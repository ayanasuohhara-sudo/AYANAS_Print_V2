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33F9C13D-F24B-4804-A2A8-8E8BF615C7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3" l="1"/>
  <c r="D29" i="3"/>
  <c r="C29" i="3"/>
  <c r="B29" i="3"/>
  <c r="Y210" i="3"/>
  <c r="X210" i="3"/>
  <c r="Y208" i="3"/>
  <c r="X208" i="3"/>
  <c r="Y206" i="3"/>
  <c r="X206" i="3"/>
  <c r="Y203" i="3"/>
  <c r="X203" i="3"/>
  <c r="Y191" i="3"/>
  <c r="X191" i="3"/>
  <c r="Y188" i="3"/>
  <c r="X188" i="3"/>
  <c r="Y184" i="3"/>
  <c r="X184" i="3"/>
  <c r="Y182" i="3"/>
  <c r="X182" i="3"/>
  <c r="Y170" i="3"/>
  <c r="X170" i="3"/>
  <c r="Y159" i="3"/>
  <c r="X159" i="3"/>
  <c r="Y134" i="3"/>
  <c r="X134" i="3"/>
  <c r="Y89" i="3"/>
  <c r="X89" i="3"/>
  <c r="Y81" i="3"/>
  <c r="X81" i="3"/>
  <c r="Y78" i="3"/>
  <c r="X78" i="3"/>
  <c r="Y76" i="3"/>
  <c r="X76" i="3"/>
  <c r="Y67" i="3"/>
  <c r="X67" i="3"/>
  <c r="Y49" i="3"/>
  <c r="X49" i="3"/>
  <c r="Y37" i="3"/>
  <c r="X37" i="3"/>
  <c r="Y33" i="3"/>
  <c r="X33" i="3"/>
  <c r="Y31" i="3"/>
  <c r="X31" i="3"/>
  <c r="Y28" i="3"/>
  <c r="X28" i="3"/>
  <c r="Y24" i="3"/>
  <c r="X24" i="3"/>
  <c r="Y17" i="3"/>
  <c r="X17" i="3"/>
  <c r="Y14" i="3"/>
  <c r="X14" i="3"/>
  <c r="Y6" i="3"/>
  <c r="X6" i="3"/>
  <c r="Y3" i="3"/>
  <c r="Y211" i="3" s="1"/>
  <c r="X3" i="3"/>
  <c r="X211" i="3" s="1"/>
  <c r="U118" i="1"/>
  <c r="A241" i="1" l="1"/>
  <c r="AZ1035" i="3"/>
  <c r="AX1035" i="3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BX1317" i="3"/>
  <c r="BW1317" i="3"/>
  <c r="BX1312" i="3"/>
  <c r="BW1312" i="3"/>
  <c r="BX1310" i="3"/>
  <c r="BW1310" i="3"/>
  <c r="BX1296" i="3"/>
  <c r="BW1296" i="3"/>
  <c r="BX1278" i="3"/>
  <c r="BW1278" i="3"/>
  <c r="BX1267" i="3"/>
  <c r="BW1267" i="3"/>
  <c r="BX1233" i="3"/>
  <c r="BW1233" i="3"/>
  <c r="BX1220" i="3"/>
  <c r="BW1220" i="3"/>
  <c r="BX1182" i="3"/>
  <c r="BW1182" i="3"/>
  <c r="BX1173" i="3"/>
  <c r="BW1173" i="3"/>
  <c r="BX1159" i="3"/>
  <c r="BW1159" i="3"/>
  <c r="BX1126" i="3"/>
  <c r="BW1126" i="3"/>
  <c r="BX1073" i="3"/>
  <c r="BW1073" i="3"/>
  <c r="BX1061" i="3"/>
  <c r="BW1061" i="3"/>
  <c r="BX1038" i="3"/>
  <c r="BW1038" i="3"/>
  <c r="BX1023" i="3"/>
  <c r="BW1023" i="3"/>
  <c r="BX999" i="3"/>
  <c r="BW999" i="3"/>
  <c r="BX981" i="3"/>
  <c r="BW981" i="3"/>
  <c r="BX961" i="3"/>
  <c r="BW961" i="3"/>
  <c r="BX947" i="3"/>
  <c r="BW947" i="3"/>
  <c r="BX938" i="3"/>
  <c r="BW938" i="3"/>
  <c r="BX864" i="3"/>
  <c r="BW864" i="3"/>
  <c r="B61" i="1"/>
  <c r="A151" i="1"/>
  <c r="AB43" i="1"/>
  <c r="BW1318" i="3" l="1"/>
  <c r="BX1318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<sst xmlns="http://schemas.openxmlformats.org/spreadsheetml/2006/main" count="2926" uniqueCount="421">
  <si>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</si>
  <si>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</si>
  <si>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</si>
  <si>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</si>
  <si>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</si>
  <si>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</si>
  <si>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</si>
  <si>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</si>
  <si>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</si>
  <si>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</si>
  <si>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</si>
  <si>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</si>
  <si>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</si>
  <si>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</si>
  <si>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</si>
  <si>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</si>
  <si>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</si>
  <si>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</si>
  <si>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</si>
  <si>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</si>
  <si>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</si>
  <si>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</si>
  <si>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</si>
  <si>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</si>
  <si>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</si>
  <si>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</si>
  <si>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</si>
  <si>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</si>
  <si>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</si>
  <si>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</si>
  <si>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</si>
  <si>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</si>
  <si>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</si>
  <si>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</si>
  <si>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</si>
  <si>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</si>
  <si>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</si>
  <si>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</si>
  <si>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</si>
  <si>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</si>
  <si>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</si>
  <si>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</si>
  <si>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</si>
  <si>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</si>
  <si>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</si>
  <si>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</si>
  <si>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</si>
  <si>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</si>
  <si>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</si>
  <si>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</si>
  <si>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</si>
  <si>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</si>
  <si>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</si>
  <si>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</si>
  <si>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</si>
  <si>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</si>
  <si>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</si>
  <si>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</si>
  <si>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</si>
  <si>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</si>
  <si>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</si>
  <si>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</si>
  <si>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</si>
  <si>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</si>
  <si>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</si>
  <si>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</si>
  <si>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</si>
  <si>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</si>
  <si>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</si>
  <si>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</si>
  <si>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</si>
  <si>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</si>
  <si>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</si>
  <si>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</si>
  <si>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</si>
  <si>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</si>
  <si>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</si>
  <si>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</si>
  <si>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</si>
  <si>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</si>
  <si>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</si>
  <si>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</si>
  <si>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</si>
  <si>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</si>
  <si>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</si>
  <si>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</si>
  <si>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</si>
  <si>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</si>
  <si>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</si>
  <si>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</si>
  <si>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</si>
  <si>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</si>
  <si>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</si>
  <si>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</si>
  <si>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</si>
  <si>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</si>
  <si>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</si>
  <si>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</si>
  <si>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</si>
  <si>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</si>
  <si>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</si>
  <si>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</si>
  <si>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</si>
  <si>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</si>
  <si>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</si>
  <si>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</si>
  <si>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</si>
  <si>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</si>
  <si>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</si>
  <si>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</si>
  <si>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</si>
  <si>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</si>
  <si>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</si>
  <si>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</si>
  <si>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</si>
  <si>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</si>
  <si>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</si>
  <si>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</si>
  <si>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</si>
  <si>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</si>
  <si>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</si>
  <si>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</si>
  <si>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</si>
  <si>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</si>
  <si>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</si>
  <si>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</si>
  <si>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</si>
  <si>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</si>
  <si>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</si>
  <si>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</si>
  <si>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</si>
  <si>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</si>
  <si>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</si>
  <si>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</si>
  <si>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</si>
  <si>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</si>
  <si>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</si>
  <si>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</si>
  <si>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</si>
  <si>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</si>
  <si>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</si>
  <si>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</si>
  <si>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</si>
  <si>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</si>
  <si>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</si>
  <si>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</si>
  <si>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</si>
  <si>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</si>
  <si>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</si>
  <si>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</si>
  <si>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</si>
  <si>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</si>
  <si>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</si>
  <si>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</si>
  <si>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</si>
  <si>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</si>
  <si>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</si>
  <si>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</si>
  <si>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</si>
  <si>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</si>
  <si>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</si>
  <si>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</si>
  <si>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</si>
  <si>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</si>
  <si>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</si>
  <si>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</si>
  <si>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</si>
  <si>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</si>
  <si>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</si>
  <si>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</si>
  <si>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</si>
  <si>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</si>
  <si>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</si>
  <si>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</si>
  <si>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</si>
  <si>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重量</t>
    <rPh sb="0" eb="2">
      <t>ジュウリョウ</t>
    </rPh>
    <phoneticPr fontId="1"/>
  </si>
  <si>
    <t>AYG108</t>
    <phoneticPr fontId="1"/>
  </si>
  <si>
    <t>AYG119</t>
    <phoneticPr fontId="1"/>
  </si>
  <si>
    <t>S</t>
    <phoneticPr fontId="1"/>
  </si>
  <si>
    <t>M032</t>
    <phoneticPr fontId="1"/>
  </si>
  <si>
    <t>A913</t>
    <phoneticPr fontId="1"/>
  </si>
  <si>
    <t>M074</t>
    <phoneticPr fontId="1"/>
  </si>
  <si>
    <t>P</t>
    <phoneticPr fontId="1"/>
  </si>
  <si>
    <t>A335</t>
    <phoneticPr fontId="1"/>
  </si>
  <si>
    <t>A700</t>
    <phoneticPr fontId="1"/>
  </si>
  <si>
    <t>A545</t>
    <phoneticPr fontId="1"/>
  </si>
  <si>
    <t>A328</t>
    <phoneticPr fontId="1"/>
  </si>
  <si>
    <t>A318</t>
    <phoneticPr fontId="1"/>
  </si>
  <si>
    <t>M037</t>
    <phoneticPr fontId="1"/>
  </si>
  <si>
    <t>A652</t>
    <phoneticPr fontId="1"/>
  </si>
  <si>
    <t>A680</t>
    <phoneticPr fontId="1"/>
  </si>
  <si>
    <t>A550</t>
    <phoneticPr fontId="1"/>
  </si>
  <si>
    <t>A655</t>
    <phoneticPr fontId="1"/>
  </si>
  <si>
    <t>M078</t>
    <phoneticPr fontId="1"/>
  </si>
  <si>
    <t>A199</t>
    <phoneticPr fontId="1"/>
  </si>
  <si>
    <t>A997</t>
    <phoneticPr fontId="1"/>
  </si>
  <si>
    <t>M079</t>
    <phoneticPr fontId="1"/>
  </si>
  <si>
    <t>M025</t>
    <phoneticPr fontId="1"/>
  </si>
  <si>
    <t>A505</t>
    <phoneticPr fontId="1"/>
  </si>
  <si>
    <t>08020020</t>
    <phoneticPr fontId="1"/>
  </si>
  <si>
    <t>A623</t>
    <phoneticPr fontId="1"/>
  </si>
  <si>
    <t>08020056</t>
    <phoneticPr fontId="1"/>
  </si>
  <si>
    <t>08020057</t>
    <phoneticPr fontId="1"/>
  </si>
  <si>
    <t>08020058</t>
    <phoneticPr fontId="1"/>
  </si>
  <si>
    <t>08020059</t>
  </si>
  <si>
    <t>08020060</t>
  </si>
  <si>
    <t>08020061</t>
  </si>
  <si>
    <t>08020062</t>
  </si>
  <si>
    <t>08020063</t>
  </si>
  <si>
    <t>08020044</t>
    <phoneticPr fontId="1"/>
  </si>
  <si>
    <t>08020055</t>
    <phoneticPr fontId="1"/>
  </si>
  <si>
    <t>08020155</t>
    <phoneticPr fontId="1"/>
  </si>
  <si>
    <t>08020159</t>
    <phoneticPr fontId="1"/>
  </si>
  <si>
    <t>08020160</t>
    <phoneticPr fontId="1"/>
  </si>
  <si>
    <t>A611</t>
    <phoneticPr fontId="1"/>
  </si>
  <si>
    <t>08020173</t>
    <phoneticPr fontId="1"/>
  </si>
  <si>
    <t>08020174</t>
    <phoneticPr fontId="1"/>
  </si>
  <si>
    <t>08020195</t>
    <phoneticPr fontId="1"/>
  </si>
  <si>
    <t>08020199</t>
    <phoneticPr fontId="1"/>
  </si>
  <si>
    <t>08020223</t>
    <phoneticPr fontId="1"/>
  </si>
  <si>
    <t>08020224</t>
    <phoneticPr fontId="1"/>
  </si>
  <si>
    <t>08020226</t>
    <phoneticPr fontId="1"/>
  </si>
  <si>
    <t>08020228</t>
    <phoneticPr fontId="1"/>
  </si>
  <si>
    <t>08020229</t>
    <phoneticPr fontId="1"/>
  </si>
  <si>
    <t>08020230</t>
    <phoneticPr fontId="1"/>
  </si>
  <si>
    <t>08020231</t>
    <phoneticPr fontId="1"/>
  </si>
  <si>
    <t>08010491</t>
    <phoneticPr fontId="1"/>
  </si>
  <si>
    <t>08020037</t>
    <phoneticPr fontId="1"/>
  </si>
  <si>
    <t>08020156</t>
    <phoneticPr fontId="1"/>
  </si>
  <si>
    <t>08020161</t>
    <phoneticPr fontId="1"/>
  </si>
  <si>
    <t>08020162</t>
    <phoneticPr fontId="1"/>
  </si>
  <si>
    <t>08020163</t>
    <phoneticPr fontId="1"/>
  </si>
  <si>
    <t>08020170</t>
    <phoneticPr fontId="1"/>
  </si>
  <si>
    <t>C</t>
    <phoneticPr fontId="1"/>
  </si>
  <si>
    <t>A120</t>
    <phoneticPr fontId="1"/>
  </si>
  <si>
    <t>08020233</t>
    <phoneticPr fontId="1"/>
  </si>
  <si>
    <t>08020234</t>
    <phoneticPr fontId="1"/>
  </si>
  <si>
    <t>A732</t>
    <phoneticPr fontId="1"/>
  </si>
  <si>
    <t>08020235</t>
    <phoneticPr fontId="1"/>
  </si>
  <si>
    <t>08020240</t>
    <phoneticPr fontId="1"/>
  </si>
  <si>
    <t>A529</t>
    <phoneticPr fontId="1"/>
  </si>
  <si>
    <t>08020241</t>
    <phoneticPr fontId="1"/>
  </si>
  <si>
    <t>08010458</t>
    <phoneticPr fontId="1"/>
  </si>
  <si>
    <t>M100</t>
    <phoneticPr fontId="1"/>
  </si>
  <si>
    <t>08010597</t>
    <phoneticPr fontId="1"/>
  </si>
  <si>
    <t>08010598</t>
    <phoneticPr fontId="1"/>
  </si>
  <si>
    <t>08020042</t>
    <phoneticPr fontId="1"/>
  </si>
  <si>
    <t>08020053</t>
    <phoneticPr fontId="1"/>
  </si>
  <si>
    <t>08020175</t>
    <phoneticPr fontId="1"/>
  </si>
  <si>
    <t>08020176</t>
    <phoneticPr fontId="1"/>
  </si>
  <si>
    <t>08020227</t>
    <phoneticPr fontId="1"/>
  </si>
  <si>
    <t>A650</t>
    <phoneticPr fontId="1"/>
  </si>
  <si>
    <t>08020242</t>
    <phoneticPr fontId="1"/>
  </si>
  <si>
    <t>08020243</t>
    <phoneticPr fontId="1"/>
  </si>
  <si>
    <t>08020269</t>
    <phoneticPr fontId="1"/>
  </si>
  <si>
    <t>08010584</t>
    <phoneticPr fontId="1"/>
  </si>
  <si>
    <t>08010585</t>
  </si>
  <si>
    <t>08010586</t>
  </si>
  <si>
    <t>08010587</t>
  </si>
  <si>
    <t>08010588</t>
  </si>
  <si>
    <t>08010589</t>
  </si>
  <si>
    <t>08010590</t>
  </si>
  <si>
    <t>08010591</t>
  </si>
  <si>
    <t>08010592</t>
  </si>
  <si>
    <t>08010495</t>
    <phoneticPr fontId="1"/>
  </si>
  <si>
    <t>08010560</t>
    <phoneticPr fontId="1"/>
  </si>
  <si>
    <t>08020039</t>
    <phoneticPr fontId="1"/>
  </si>
  <si>
    <t>08020169</t>
    <phoneticPr fontId="1"/>
  </si>
  <si>
    <t>08020191</t>
    <phoneticPr fontId="1"/>
  </si>
  <si>
    <t>08020193</t>
    <phoneticPr fontId="1"/>
  </si>
  <si>
    <t>08020260</t>
    <phoneticPr fontId="1"/>
  </si>
  <si>
    <t>08020261</t>
    <phoneticPr fontId="1"/>
  </si>
  <si>
    <t>A260</t>
    <phoneticPr fontId="1"/>
  </si>
  <si>
    <t>08020262</t>
    <phoneticPr fontId="1"/>
  </si>
  <si>
    <t>08020274</t>
    <phoneticPr fontId="1"/>
  </si>
  <si>
    <t>08020275</t>
    <phoneticPr fontId="1"/>
  </si>
  <si>
    <t>08020277</t>
    <phoneticPr fontId="1"/>
  </si>
  <si>
    <t>08020276</t>
    <phoneticPr fontId="1"/>
  </si>
  <si>
    <t>08020278</t>
    <phoneticPr fontId="1"/>
  </si>
  <si>
    <t>08020279</t>
    <phoneticPr fontId="1"/>
  </si>
  <si>
    <t>08020280</t>
    <phoneticPr fontId="1"/>
  </si>
  <si>
    <t>08020003</t>
    <phoneticPr fontId="1"/>
  </si>
  <si>
    <t>08020012</t>
    <phoneticPr fontId="1"/>
  </si>
  <si>
    <t>08020013</t>
    <phoneticPr fontId="1"/>
  </si>
  <si>
    <t>08020016</t>
    <phoneticPr fontId="1"/>
  </si>
  <si>
    <t>08020021</t>
    <phoneticPr fontId="1"/>
  </si>
  <si>
    <t>08020040</t>
    <phoneticPr fontId="1"/>
  </si>
  <si>
    <t>08020050</t>
    <phoneticPr fontId="1"/>
  </si>
  <si>
    <t>08020051</t>
    <phoneticPr fontId="1"/>
  </si>
  <si>
    <t>08020179</t>
    <phoneticPr fontId="1"/>
  </si>
  <si>
    <t>08020182</t>
    <phoneticPr fontId="1"/>
  </si>
  <si>
    <t>08020183</t>
    <phoneticPr fontId="1"/>
  </si>
  <si>
    <t>08020185</t>
    <phoneticPr fontId="1"/>
  </si>
  <si>
    <t>08020196</t>
    <phoneticPr fontId="1"/>
  </si>
  <si>
    <t>08020197</t>
    <phoneticPr fontId="1"/>
  </si>
  <si>
    <t>08020198</t>
    <phoneticPr fontId="1"/>
  </si>
  <si>
    <t>08020273</t>
    <phoneticPr fontId="1"/>
  </si>
  <si>
    <t>08020035</t>
    <phoneticPr fontId="1"/>
  </si>
  <si>
    <t>08020264</t>
    <phoneticPr fontId="1"/>
  </si>
  <si>
    <t>08020267</t>
    <phoneticPr fontId="1"/>
  </si>
  <si>
    <t>08020268</t>
    <phoneticPr fontId="1"/>
  </si>
  <si>
    <t>08020392</t>
    <phoneticPr fontId="1"/>
  </si>
  <si>
    <t>08020393</t>
    <phoneticPr fontId="1"/>
  </si>
  <si>
    <t>08020394</t>
    <phoneticPr fontId="1"/>
  </si>
  <si>
    <t>08020395</t>
    <phoneticPr fontId="1"/>
  </si>
  <si>
    <t>08020396</t>
  </si>
  <si>
    <t>08020397</t>
  </si>
  <si>
    <t>08020398</t>
  </si>
  <si>
    <t>08020399</t>
  </si>
  <si>
    <t>08020400</t>
  </si>
  <si>
    <t>08020401</t>
  </si>
  <si>
    <t>08020402</t>
  </si>
  <si>
    <t>08020403</t>
  </si>
  <si>
    <t>08020416</t>
    <phoneticPr fontId="1"/>
  </si>
  <si>
    <t>08020336</t>
    <phoneticPr fontId="1"/>
  </si>
  <si>
    <t>08020337</t>
    <phoneticPr fontId="1"/>
  </si>
  <si>
    <t>08020360</t>
    <phoneticPr fontId="1"/>
  </si>
  <si>
    <t>08020361</t>
    <phoneticPr fontId="1"/>
  </si>
  <si>
    <t>08020362</t>
    <phoneticPr fontId="1"/>
  </si>
  <si>
    <t>A330</t>
    <phoneticPr fontId="1"/>
  </si>
  <si>
    <t>08020382</t>
    <phoneticPr fontId="1"/>
  </si>
  <si>
    <t>08020383</t>
  </si>
  <si>
    <t>08020384</t>
  </si>
  <si>
    <t>08020385</t>
  </si>
  <si>
    <t>08020386</t>
  </si>
  <si>
    <t>08020387</t>
  </si>
  <si>
    <t>08020388</t>
  </si>
  <si>
    <t>08020389</t>
  </si>
  <si>
    <t>08020390</t>
  </si>
  <si>
    <t>08020391</t>
  </si>
  <si>
    <t>08010091</t>
    <phoneticPr fontId="1"/>
  </si>
  <si>
    <t>08010211</t>
    <phoneticPr fontId="1"/>
  </si>
  <si>
    <t>08010214</t>
    <phoneticPr fontId="1"/>
  </si>
  <si>
    <t>08010305</t>
    <phoneticPr fontId="1"/>
  </si>
  <si>
    <t>08010306</t>
    <phoneticPr fontId="1"/>
  </si>
  <si>
    <t>08010411</t>
    <phoneticPr fontId="1"/>
  </si>
  <si>
    <t>08010515</t>
    <phoneticPr fontId="1"/>
  </si>
  <si>
    <t>08020263</t>
    <phoneticPr fontId="1"/>
  </si>
  <si>
    <t>08020265</t>
    <phoneticPr fontId="1"/>
  </si>
  <si>
    <t>08020266</t>
    <phoneticPr fontId="1"/>
  </si>
  <si>
    <t>08020306</t>
    <phoneticPr fontId="1"/>
  </si>
  <si>
    <t>08020310</t>
    <phoneticPr fontId="1"/>
  </si>
  <si>
    <t>08020312</t>
    <phoneticPr fontId="1"/>
  </si>
  <si>
    <t>08020342</t>
    <phoneticPr fontId="1"/>
  </si>
  <si>
    <t>08020343</t>
    <phoneticPr fontId="1"/>
  </si>
  <si>
    <t>08010492</t>
    <phoneticPr fontId="1"/>
  </si>
  <si>
    <t>08010210</t>
    <phoneticPr fontId="1"/>
  </si>
  <si>
    <t>08020270</t>
    <phoneticPr fontId="1"/>
  </si>
  <si>
    <t>08020271</t>
    <phoneticPr fontId="1"/>
  </si>
  <si>
    <t>08020404</t>
    <phoneticPr fontId="1"/>
  </si>
  <si>
    <t>08020405</t>
    <phoneticPr fontId="1"/>
  </si>
  <si>
    <t>A850</t>
    <phoneticPr fontId="1"/>
  </si>
  <si>
    <t>08020406</t>
    <phoneticPr fontId="1"/>
  </si>
  <si>
    <t>08020407</t>
    <phoneticPr fontId="1"/>
  </si>
  <si>
    <t>08020408</t>
    <phoneticPr fontId="1"/>
  </si>
  <si>
    <t>08020409</t>
    <phoneticPr fontId="1"/>
  </si>
  <si>
    <t>08020415</t>
    <phoneticPr fontId="1"/>
  </si>
  <si>
    <t>08020417</t>
    <phoneticPr fontId="1"/>
  </si>
  <si>
    <t>08010527</t>
    <phoneticPr fontId="1"/>
  </si>
  <si>
    <t>08020232</t>
    <phoneticPr fontId="1"/>
  </si>
  <si>
    <t>08020236</t>
    <phoneticPr fontId="1"/>
  </si>
  <si>
    <t>08020237</t>
    <phoneticPr fontId="1"/>
  </si>
  <si>
    <t>08020238</t>
    <phoneticPr fontId="1"/>
  </si>
  <si>
    <t>08020239</t>
    <phoneticPr fontId="1"/>
  </si>
  <si>
    <t>08020339</t>
    <phoneticPr fontId="1"/>
  </si>
  <si>
    <t>08020344</t>
    <phoneticPr fontId="1"/>
  </si>
  <si>
    <t>08020345</t>
    <phoneticPr fontId="1"/>
  </si>
  <si>
    <t>08020420</t>
    <phoneticPr fontId="1"/>
  </si>
  <si>
    <t>08020421</t>
    <phoneticPr fontId="1"/>
  </si>
  <si>
    <t>08020423</t>
    <phoneticPr fontId="1"/>
  </si>
  <si>
    <t>08020424</t>
    <phoneticPr fontId="1"/>
  </si>
  <si>
    <t>08020425</t>
    <phoneticPr fontId="1"/>
  </si>
  <si>
    <t>08020246</t>
    <phoneticPr fontId="1"/>
  </si>
  <si>
    <t>08020248</t>
    <phoneticPr fontId="1"/>
  </si>
  <si>
    <t>08020250</t>
    <phoneticPr fontId="1"/>
  </si>
  <si>
    <t>08020252</t>
    <phoneticPr fontId="1"/>
  </si>
  <si>
    <t>08020259</t>
    <phoneticPr fontId="1"/>
  </si>
  <si>
    <t>08020184</t>
    <phoneticPr fontId="1"/>
  </si>
  <si>
    <t>08020254</t>
    <phoneticPr fontId="1"/>
  </si>
  <si>
    <t>08020284</t>
    <phoneticPr fontId="1"/>
  </si>
  <si>
    <t>08020301</t>
    <phoneticPr fontId="1"/>
  </si>
  <si>
    <t>08020302</t>
    <phoneticPr fontId="1"/>
  </si>
  <si>
    <t>08020321</t>
    <phoneticPr fontId="1"/>
  </si>
  <si>
    <t>08020323</t>
    <phoneticPr fontId="1"/>
  </si>
  <si>
    <t>08020340</t>
    <phoneticPr fontId="1"/>
  </si>
  <si>
    <t>08020341</t>
    <phoneticPr fontId="1"/>
  </si>
  <si>
    <t>08020347</t>
    <phoneticPr fontId="1"/>
  </si>
  <si>
    <t>08020348</t>
    <phoneticPr fontId="1"/>
  </si>
  <si>
    <t>08020350</t>
    <phoneticPr fontId="1"/>
  </si>
  <si>
    <t>08020351</t>
    <phoneticPr fontId="1"/>
  </si>
  <si>
    <t>08020353</t>
    <phoneticPr fontId="1"/>
  </si>
  <si>
    <t>08020355</t>
    <phoneticPr fontId="1"/>
  </si>
  <si>
    <t>08020422</t>
    <phoneticPr fontId="1"/>
  </si>
  <si>
    <t>2026/3/4 個数</t>
  </si>
  <si>
    <t>2026/3/7 個数</t>
  </si>
  <si>
    <t>2026/3/8 個数</t>
  </si>
  <si>
    <t>2026/3/9 個数</t>
  </si>
  <si>
    <t>2026/3/11 個数</t>
  </si>
  <si>
    <t>2026/3/12 個数</t>
  </si>
  <si>
    <t>2026/3/13 個数</t>
  </si>
  <si>
    <t>2026/3/14 個数</t>
  </si>
  <si>
    <t>2026/3/15 個数</t>
  </si>
  <si>
    <t>2026/3/16 個数</t>
  </si>
  <si>
    <t>2026/3/17 個数</t>
  </si>
  <si>
    <t>2026/3/18 個数</t>
  </si>
  <si>
    <t>2026/3/19 個数</t>
  </si>
  <si>
    <t>2026/3/20 個数</t>
  </si>
  <si>
    <t>2026/3/21 個数</t>
  </si>
  <si>
    <t>2026/3/22 個数</t>
  </si>
  <si>
    <t>2026/3/23 個数</t>
  </si>
  <si>
    <t>2026/3/24 個数</t>
  </si>
  <si>
    <t>2026/3/25 個数</t>
  </si>
  <si>
    <t>2026/3/26 個数</t>
  </si>
  <si>
    <t>2026/3/27 個数</t>
  </si>
  <si>
    <t>2026/3/28 個数</t>
  </si>
  <si>
    <t>2026/3/29 個数</t>
  </si>
  <si>
    <t>2026/3/31 個数</t>
  </si>
  <si>
    <t>2026/4/8 個数</t>
  </si>
  <si>
    <t>2026/4/11 個数</t>
  </si>
  <si>
    <t>AYG134</t>
    <phoneticPr fontId="1"/>
  </si>
  <si>
    <t>AYG133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</si>
</sst>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9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0" borderId="0" xfId="0" applyNumberFormat="1" applyFont="1" applyAlignment="1" applyProtection="1">
      <alignment horizontal="center" vertical="center" shrinkToFit="1"/>
      <protection locked="0" hidden="1"/>
    </xf>
    <xf numFmtId="56" fontId="9" fillId="0" borderId="7" xfId="0" applyNumberFormat="1" applyFont="1" applyBorder="1">
      <alignment vertical="center"/>
    </xf>
    <xf numFmtId="56" fontId="9" fillId="0" borderId="16" xfId="0" applyNumberFormat="1" applyFont="1" applyBorder="1">
      <alignment vertical="center"/>
    </xf>
    <xf numFmtId="178" fontId="7" fillId="3" borderId="93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2" xfId="0" applyNumberFormat="1" applyFont="1" applyFill="1" applyBorder="1" applyAlignment="1" applyProtection="1">
      <alignment horizontal="center" vertical="center" shrinkToFit="1"/>
      <protection locked="0" hidden="1"/>
    </xf>
    <xf numFmtId="179" fontId="9" fillId="0" borderId="11" xfId="0" applyNumberFormat="1" applyFont="1" applyBorder="1" applyAlignment="1">
      <alignment horizontal="center" vertical="center"/>
    </xf>
    <xf numFmtId="56" fontId="9" fillId="0" borderId="94" xfId="0" applyNumberFormat="1" applyFont="1" applyBorder="1">
      <alignment vertical="center"/>
    </xf>
    <xf numFmtId="0" fontId="7" fillId="3" borderId="94" xfId="0" applyFont="1" applyFill="1" applyBorder="1" applyAlignment="1" applyProtection="1">
      <alignment horizontal="center" vertical="center" shrinkToFit="1"/>
      <protection locked="0" hidden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zoomScale="106" zoomScaleNormal="106" workbookViewId="0">
      <selection activeCell="E14" sqref="E14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420</v>
      </c>
      <c r="B1" s="24">
        <v>46072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42" t="s">
        <v>105</v>
      </c>
      <c r="Y2" s="143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44">
        <v>1</v>
      </c>
      <c r="B3" s="147">
        <v>21.6</v>
      </c>
      <c r="C3" s="85" t="s">
        <v>199</v>
      </c>
      <c r="D3" s="109" t="s">
        <v>193</v>
      </c>
      <c r="E3" s="15" t="s">
        <v>40</v>
      </c>
      <c r="F3" s="14"/>
      <c r="G3" s="12" t="s">
        <v>182</v>
      </c>
      <c r="H3" s="13"/>
      <c r="I3" s="13"/>
      <c r="J3" s="13"/>
      <c r="K3" s="13"/>
      <c r="L3" s="13"/>
      <c r="M3" s="13"/>
      <c r="N3" s="13"/>
      <c r="O3" s="13">
        <v>1</v>
      </c>
      <c r="P3" s="13">
        <v>1</v>
      </c>
      <c r="Q3" s="13"/>
      <c r="R3" s="13"/>
      <c r="S3" s="13"/>
      <c r="T3" s="25">
        <v>46097</v>
      </c>
      <c r="U3" s="13" t="s">
        <v>148</v>
      </c>
      <c r="V3">
        <v>1</v>
      </c>
      <c r="X3" s="51" t="s">
        <v>106</v>
      </c>
      <c r="Y3" s="52">
        <f>COUNTIF(U3:U27,"K")</f>
        <v>7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45"/>
      <c r="B4" s="148"/>
      <c r="C4" s="85" t="s">
        <v>201</v>
      </c>
      <c r="D4" s="109" t="s">
        <v>200</v>
      </c>
      <c r="E4" s="15" t="s">
        <v>38</v>
      </c>
      <c r="F4" s="16"/>
      <c r="G4" s="12" t="s">
        <v>178</v>
      </c>
      <c r="H4" s="15"/>
      <c r="I4" s="13"/>
      <c r="J4" s="13">
        <v>1</v>
      </c>
      <c r="K4" s="15">
        <v>1</v>
      </c>
      <c r="L4" s="17"/>
      <c r="M4" s="17"/>
      <c r="N4" s="13"/>
      <c r="O4" s="17"/>
      <c r="P4" s="17"/>
      <c r="Q4" s="17"/>
      <c r="R4" s="17"/>
      <c r="S4" s="15"/>
      <c r="T4" s="25">
        <v>46098</v>
      </c>
      <c r="U4" s="13" t="s">
        <v>146</v>
      </c>
      <c r="V4">
        <v>2</v>
      </c>
      <c r="X4" s="51" t="s">
        <v>107</v>
      </c>
      <c r="Y4" s="52">
        <f>COUNTIF(U3:U27,"R")</f>
        <v>1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45"/>
      <c r="B5" s="148"/>
      <c r="C5" s="85" t="s">
        <v>202</v>
      </c>
      <c r="D5" s="109" t="s">
        <v>200</v>
      </c>
      <c r="E5" s="15" t="s">
        <v>37</v>
      </c>
      <c r="F5" s="16"/>
      <c r="G5" s="12" t="s">
        <v>178</v>
      </c>
      <c r="H5" s="13"/>
      <c r="I5" s="13"/>
      <c r="J5" s="13">
        <v>1</v>
      </c>
      <c r="K5" s="15">
        <v>1</v>
      </c>
      <c r="L5" s="17"/>
      <c r="M5" s="17"/>
      <c r="N5" s="13"/>
      <c r="O5" s="17"/>
      <c r="P5" s="17"/>
      <c r="Q5" s="17"/>
      <c r="R5" s="17"/>
      <c r="S5" s="15"/>
      <c r="T5" s="25">
        <v>46098</v>
      </c>
      <c r="U5" s="13" t="s">
        <v>146</v>
      </c>
      <c r="V5">
        <v>3</v>
      </c>
      <c r="X5" s="53" t="s">
        <v>108</v>
      </c>
      <c r="Y5" s="54">
        <f>COUNTIF(U3:U27,"J")</f>
        <v>1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45"/>
      <c r="B6" s="148"/>
      <c r="C6" s="85" t="s">
        <v>203</v>
      </c>
      <c r="D6" s="109" t="s">
        <v>200</v>
      </c>
      <c r="E6" s="15" t="s">
        <v>36</v>
      </c>
      <c r="F6" s="16"/>
      <c r="G6" s="12" t="s">
        <v>178</v>
      </c>
      <c r="H6" s="15"/>
      <c r="I6" s="13"/>
      <c r="J6" s="13">
        <v>1</v>
      </c>
      <c r="K6" s="15">
        <v>1</v>
      </c>
      <c r="L6" s="17"/>
      <c r="M6" s="17"/>
      <c r="N6" s="13"/>
      <c r="O6" s="17"/>
      <c r="P6" s="17"/>
      <c r="Q6" s="17"/>
      <c r="R6" s="17"/>
      <c r="S6" s="15"/>
      <c r="T6" s="25">
        <v>46098</v>
      </c>
      <c r="U6" s="13" t="s">
        <v>146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45"/>
      <c r="B7" s="148"/>
      <c r="C7" s="85" t="s">
        <v>204</v>
      </c>
      <c r="D7" s="109" t="s">
        <v>200</v>
      </c>
      <c r="E7" s="15" t="s">
        <v>44</v>
      </c>
      <c r="F7" s="16"/>
      <c r="G7" s="12" t="s">
        <v>178</v>
      </c>
      <c r="H7" s="15"/>
      <c r="I7" s="13"/>
      <c r="J7" s="13">
        <v>1</v>
      </c>
      <c r="K7" s="15">
        <v>1</v>
      </c>
      <c r="L7" s="17"/>
      <c r="M7" s="17"/>
      <c r="N7" s="13"/>
      <c r="O7" s="17"/>
      <c r="P7" s="17"/>
      <c r="Q7" s="17"/>
      <c r="R7" s="17"/>
      <c r="S7" s="15"/>
      <c r="T7" s="25">
        <v>46098</v>
      </c>
      <c r="U7" s="13" t="s">
        <v>146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45"/>
      <c r="B8" s="148"/>
      <c r="C8" s="85" t="s">
        <v>205</v>
      </c>
      <c r="D8" s="109" t="s">
        <v>200</v>
      </c>
      <c r="E8" s="15" t="s">
        <v>36</v>
      </c>
      <c r="F8" s="16"/>
      <c r="G8" s="12" t="s">
        <v>178</v>
      </c>
      <c r="H8" s="13"/>
      <c r="I8" s="13"/>
      <c r="J8" s="13"/>
      <c r="K8" s="15"/>
      <c r="L8" s="17"/>
      <c r="M8" s="17">
        <v>1</v>
      </c>
      <c r="N8" s="13"/>
      <c r="O8" s="17"/>
      <c r="P8" s="17"/>
      <c r="Q8" s="17">
        <v>1</v>
      </c>
      <c r="R8" s="17"/>
      <c r="S8" s="15"/>
      <c r="T8" s="25">
        <v>46098</v>
      </c>
      <c r="U8" s="13" t="s">
        <v>147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45"/>
      <c r="B9" s="148"/>
      <c r="C9" s="85" t="s">
        <v>206</v>
      </c>
      <c r="D9" s="109" t="s">
        <v>184</v>
      </c>
      <c r="E9" s="15" t="s">
        <v>59</v>
      </c>
      <c r="F9" s="16"/>
      <c r="G9" s="12" t="s">
        <v>178</v>
      </c>
      <c r="H9" s="15"/>
      <c r="I9" s="13"/>
      <c r="J9" s="13">
        <v>2</v>
      </c>
      <c r="K9" s="15"/>
      <c r="L9" s="17"/>
      <c r="M9" s="17"/>
      <c r="N9" s="13"/>
      <c r="O9" s="17"/>
      <c r="P9" s="17"/>
      <c r="Q9" s="17"/>
      <c r="R9" s="17"/>
      <c r="S9" s="15"/>
      <c r="T9" s="25">
        <v>46097</v>
      </c>
      <c r="U9" s="13" t="s">
        <v>146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45"/>
      <c r="B10" s="148"/>
      <c r="C10" s="85" t="s">
        <v>207</v>
      </c>
      <c r="D10" s="109" t="s">
        <v>184</v>
      </c>
      <c r="E10" s="15" t="s">
        <v>59</v>
      </c>
      <c r="F10" s="16"/>
      <c r="G10" s="12" t="s">
        <v>178</v>
      </c>
      <c r="H10" s="15"/>
      <c r="I10" s="13"/>
      <c r="J10" s="13">
        <v>2</v>
      </c>
      <c r="K10" s="15"/>
      <c r="L10" s="17"/>
      <c r="M10" s="17"/>
      <c r="N10" s="13"/>
      <c r="O10" s="17"/>
      <c r="P10" s="17"/>
      <c r="Q10" s="17"/>
      <c r="R10" s="17"/>
      <c r="S10" s="15"/>
      <c r="T10" s="25">
        <v>46097</v>
      </c>
      <c r="U10" s="13" t="s">
        <v>146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45"/>
      <c r="B11" s="148"/>
      <c r="C11" s="85" t="s">
        <v>208</v>
      </c>
      <c r="D11" s="109" t="s">
        <v>184</v>
      </c>
      <c r="E11" s="15" t="s">
        <v>59</v>
      </c>
      <c r="F11" s="16"/>
      <c r="G11" s="12" t="s">
        <v>178</v>
      </c>
      <c r="H11" s="15"/>
      <c r="I11" s="13"/>
      <c r="J11" s="13">
        <v>2</v>
      </c>
      <c r="K11" s="15"/>
      <c r="L11" s="17"/>
      <c r="M11" s="17"/>
      <c r="N11" s="13"/>
      <c r="O11" s="17"/>
      <c r="P11" s="17"/>
      <c r="Q11" s="17"/>
      <c r="R11" s="17"/>
      <c r="S11" s="15"/>
      <c r="T11" s="25">
        <v>46097</v>
      </c>
      <c r="U11" s="13" t="s">
        <v>146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45"/>
      <c r="B12" s="148"/>
      <c r="C12" s="85"/>
      <c r="D12" s="109"/>
      <c r="E12" s="15"/>
      <c r="F12" s="16"/>
      <c r="G12" s="12"/>
      <c r="H12" s="15"/>
      <c r="I12" s="15"/>
      <c r="J12" s="13"/>
      <c r="K12" s="15"/>
      <c r="L12" s="17"/>
      <c r="M12" s="17"/>
      <c r="N12" s="17"/>
      <c r="O12" s="17"/>
      <c r="P12" s="17"/>
      <c r="Q12" s="17"/>
      <c r="R12" s="17"/>
      <c r="S12" s="15"/>
      <c r="T12" s="25"/>
      <c r="U12" s="13"/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45"/>
      <c r="B13" s="148"/>
      <c r="C13" s="85"/>
      <c r="D13" s="109"/>
      <c r="E13" s="15"/>
      <c r="F13" s="16"/>
      <c r="G13" s="12"/>
      <c r="H13" s="15"/>
      <c r="I13" s="15"/>
      <c r="J13" s="13"/>
      <c r="K13" s="15"/>
      <c r="L13" s="17"/>
      <c r="M13" s="17"/>
      <c r="N13" s="17"/>
      <c r="O13" s="17"/>
      <c r="P13" s="17"/>
      <c r="Q13" s="17"/>
      <c r="R13" s="17"/>
      <c r="S13" s="15"/>
      <c r="T13" s="25"/>
      <c r="U13" s="13"/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45"/>
      <c r="B14" s="148"/>
      <c r="C14" s="85"/>
      <c r="D14" s="109"/>
      <c r="E14" s="15"/>
      <c r="F14" s="16"/>
      <c r="G14" s="12"/>
      <c r="H14" s="15"/>
      <c r="I14" s="15"/>
      <c r="J14" s="13"/>
      <c r="K14" s="15"/>
      <c r="L14" s="17"/>
      <c r="M14" s="17"/>
      <c r="N14" s="17"/>
      <c r="O14" s="17"/>
      <c r="P14" s="17"/>
      <c r="Q14" s="17"/>
      <c r="R14" s="17"/>
      <c r="S14" s="15"/>
      <c r="T14" s="25"/>
      <c r="U14" s="13"/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45"/>
      <c r="B15" s="148"/>
      <c r="C15" s="85"/>
      <c r="D15" s="109"/>
      <c r="E15" s="15"/>
      <c r="F15" s="16"/>
      <c r="G15" s="12"/>
      <c r="H15" s="15"/>
      <c r="I15" s="15"/>
      <c r="J15" s="13"/>
      <c r="K15" s="15"/>
      <c r="L15" s="17"/>
      <c r="M15" s="17"/>
      <c r="N15" s="17"/>
      <c r="O15" s="17"/>
      <c r="P15" s="17"/>
      <c r="Q15" s="17"/>
      <c r="R15" s="17"/>
      <c r="S15" s="15"/>
      <c r="T15" s="25"/>
      <c r="U15" s="13"/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45"/>
      <c r="B16" s="148"/>
      <c r="C16" s="85"/>
      <c r="D16" s="109"/>
      <c r="E16" s="15"/>
      <c r="F16" s="16"/>
      <c r="G16" s="12"/>
      <c r="H16" s="15"/>
      <c r="I16" s="15"/>
      <c r="J16" s="13"/>
      <c r="K16" s="15"/>
      <c r="L16" s="17"/>
      <c r="M16" s="17"/>
      <c r="N16" s="17"/>
      <c r="O16" s="17"/>
      <c r="P16" s="17"/>
      <c r="Q16" s="17"/>
      <c r="R16" s="17"/>
      <c r="S16" s="15"/>
      <c r="T16" s="25"/>
      <c r="U16" s="13"/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45"/>
      <c r="B17" s="148"/>
      <c r="C17" s="85"/>
      <c r="D17" s="109"/>
      <c r="E17" s="15"/>
      <c r="F17" s="16"/>
      <c r="G17" s="12"/>
      <c r="H17" s="15"/>
      <c r="I17" s="15"/>
      <c r="J17" s="13"/>
      <c r="K17" s="15"/>
      <c r="L17" s="17"/>
      <c r="M17" s="17"/>
      <c r="N17" s="17"/>
      <c r="O17" s="17"/>
      <c r="P17" s="17"/>
      <c r="Q17" s="17"/>
      <c r="R17" s="17"/>
      <c r="S17" s="15"/>
      <c r="T17" s="25"/>
      <c r="U17" s="13"/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45"/>
      <c r="B18" s="148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45"/>
      <c r="B19" s="148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45"/>
      <c r="B20" s="148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45"/>
      <c r="B21" s="148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45"/>
      <c r="B22" s="148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45"/>
      <c r="B23" s="148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45"/>
      <c r="B24" s="148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45"/>
      <c r="B25" s="148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317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45"/>
      <c r="B26" s="148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46"/>
      <c r="B27" s="149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183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9</v>
      </c>
      <c r="D28" s="112"/>
      <c r="E28" s="29"/>
      <c r="F28" s="29" t="s">
        <v>34</v>
      </c>
      <c r="G28" s="29">
        <f>COUNTIF(G3:G27,"S")</f>
        <v>8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10</v>
      </c>
      <c r="K28" s="29">
        <f t="shared" si="0"/>
        <v>4</v>
      </c>
      <c r="L28" s="29">
        <f t="shared" si="0"/>
        <v>0</v>
      </c>
      <c r="M28" s="29">
        <f t="shared" si="0"/>
        <v>1</v>
      </c>
      <c r="N28" s="29">
        <f t="shared" si="0"/>
        <v>0</v>
      </c>
      <c r="O28" s="29">
        <f t="shared" si="0"/>
        <v>1</v>
      </c>
      <c r="P28" s="29">
        <f t="shared" si="0"/>
        <v>1</v>
      </c>
      <c r="Q28" s="29">
        <f t="shared" si="0"/>
        <v>1</v>
      </c>
      <c r="R28" s="29">
        <f t="shared" si="0"/>
        <v>0</v>
      </c>
      <c r="S28" s="29">
        <f t="shared" si="0"/>
        <v>0</v>
      </c>
      <c r="T28" s="29" t="s">
        <v>64</v>
      </c>
      <c r="U28" s="29">
        <f>COUNTIF(H3:H27,"M")</f>
        <v>0</v>
      </c>
      <c r="AA28" s="158" t="s">
        <v>104</v>
      </c>
      <c r="AB28" s="159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1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18</v>
      </c>
      <c r="T29" s="29"/>
      <c r="U29" s="29"/>
      <c r="X29" t="s">
        <v>136</v>
      </c>
      <c r="AA29" s="160"/>
      <c r="AB29" s="161"/>
      <c r="AC29" s="153">
        <f>SUM(AC28:AE28)</f>
        <v>0</v>
      </c>
      <c r="AD29" s="154"/>
      <c r="AE29" s="155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AYG133</v>
      </c>
      <c r="B31" s="24">
        <f>B1</f>
        <v>46072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42" t="s">
        <v>119</v>
      </c>
      <c r="Y32" s="143"/>
      <c r="AA32" s="162" t="s">
        <v>47</v>
      </c>
      <c r="AB32" s="163"/>
    </row>
    <row r="33" spans="1:29" ht="19.5" thickTop="1" x14ac:dyDescent="0.4">
      <c r="A33" s="144">
        <v>2</v>
      </c>
      <c r="B33" s="147">
        <v>21.8</v>
      </c>
      <c r="C33" s="85" t="s">
        <v>209</v>
      </c>
      <c r="D33" s="109" t="s">
        <v>195</v>
      </c>
      <c r="E33" s="15" t="s">
        <v>36</v>
      </c>
      <c r="F33" s="14"/>
      <c r="G33" s="12" t="s">
        <v>178</v>
      </c>
      <c r="H33" s="13"/>
      <c r="I33" s="13"/>
      <c r="J33" s="13"/>
      <c r="K33" s="13"/>
      <c r="L33" s="13"/>
      <c r="M33" s="13">
        <v>1</v>
      </c>
      <c r="N33" s="13">
        <v>1</v>
      </c>
      <c r="O33" s="13"/>
      <c r="P33" s="13"/>
      <c r="Q33" s="13">
        <v>1</v>
      </c>
      <c r="R33" s="13"/>
      <c r="S33" s="13"/>
      <c r="T33" s="25">
        <v>46098</v>
      </c>
      <c r="U33" s="13" t="s">
        <v>147</v>
      </c>
      <c r="V33">
        <v>1</v>
      </c>
      <c r="X33" s="51" t="s">
        <v>106</v>
      </c>
      <c r="Y33" s="52">
        <f>COUNTIF(U33:U57,"K")</f>
        <v>9</v>
      </c>
      <c r="AA33" s="31" t="s">
        <v>46</v>
      </c>
      <c r="AB33" s="32">
        <f>J28+J178+J148+J118+J208+J238+J268+J298+J328+J358</f>
        <v>70</v>
      </c>
    </row>
    <row r="34" spans="1:29" x14ac:dyDescent="0.4">
      <c r="A34" s="145"/>
      <c r="B34" s="148"/>
      <c r="C34" s="85" t="s">
        <v>210</v>
      </c>
      <c r="D34" s="109" t="s">
        <v>186</v>
      </c>
      <c r="E34" s="15" t="s">
        <v>58</v>
      </c>
      <c r="F34" s="16"/>
      <c r="G34" s="12" t="s">
        <v>178</v>
      </c>
      <c r="H34" s="15"/>
      <c r="I34" s="13"/>
      <c r="J34" s="15"/>
      <c r="K34" s="15"/>
      <c r="L34" s="17"/>
      <c r="M34" s="17"/>
      <c r="N34" s="13"/>
      <c r="O34" s="17"/>
      <c r="P34" s="17"/>
      <c r="Q34" s="17"/>
      <c r="R34" s="17"/>
      <c r="S34" s="15"/>
      <c r="T34" s="25">
        <v>46100</v>
      </c>
      <c r="U34" s="13" t="s">
        <v>147</v>
      </c>
      <c r="V34">
        <v>2</v>
      </c>
      <c r="X34" s="51" t="s">
        <v>107</v>
      </c>
      <c r="Y34" s="52">
        <f>COUNTIF(U33:U57,"R")</f>
        <v>5</v>
      </c>
      <c r="AA34" s="31" t="s">
        <v>48</v>
      </c>
      <c r="AB34" s="32">
        <f>K28+K178+K148+K118+K208+K238+K268+K298+K328+K358</f>
        <v>41</v>
      </c>
    </row>
    <row r="35" spans="1:29" ht="19.5" thickBot="1" x14ac:dyDescent="0.45">
      <c r="A35" s="145"/>
      <c r="B35" s="148"/>
      <c r="C35" s="85" t="s">
        <v>211</v>
      </c>
      <c r="D35" s="109" t="s">
        <v>179</v>
      </c>
      <c r="E35" s="15" t="s">
        <v>40</v>
      </c>
      <c r="F35" s="16"/>
      <c r="G35" s="12" t="s">
        <v>178</v>
      </c>
      <c r="H35" s="13"/>
      <c r="I35" s="13"/>
      <c r="J35" s="15"/>
      <c r="K35" s="15"/>
      <c r="L35" s="17"/>
      <c r="M35" s="17"/>
      <c r="N35" s="13"/>
      <c r="O35" s="17">
        <v>1</v>
      </c>
      <c r="P35" s="17">
        <v>1</v>
      </c>
      <c r="Q35" s="17"/>
      <c r="R35" s="17"/>
      <c r="S35" s="15"/>
      <c r="T35" s="25">
        <v>46089</v>
      </c>
      <c r="U35" s="13" t="s">
        <v>148</v>
      </c>
      <c r="X35" s="53" t="s">
        <v>108</v>
      </c>
      <c r="Y35" s="54">
        <f>COUNTIF(U33:U57,"J")</f>
        <v>2</v>
      </c>
      <c r="AA35" s="31" t="s">
        <v>49</v>
      </c>
      <c r="AB35" s="32">
        <f>L28+L178+L148+L118+L208+L238+L268+L298+L328+L358</f>
        <v>9</v>
      </c>
    </row>
    <row r="36" spans="1:29" x14ac:dyDescent="0.4">
      <c r="A36" s="145"/>
      <c r="B36" s="148"/>
      <c r="C36" s="85" t="s">
        <v>212</v>
      </c>
      <c r="D36" s="109" t="s">
        <v>185</v>
      </c>
      <c r="E36" s="15" t="s">
        <v>74</v>
      </c>
      <c r="F36" s="16"/>
      <c r="G36" s="12" t="s">
        <v>178</v>
      </c>
      <c r="H36" s="15"/>
      <c r="I36" s="13"/>
      <c r="J36" s="13">
        <v>1</v>
      </c>
      <c r="K36" s="15">
        <v>1</v>
      </c>
      <c r="L36" s="17"/>
      <c r="M36" s="17"/>
      <c r="N36" s="13"/>
      <c r="O36" s="17"/>
      <c r="P36" s="17"/>
      <c r="Q36" s="17"/>
      <c r="R36" s="17"/>
      <c r="S36" s="15"/>
      <c r="T36" s="25">
        <v>46093</v>
      </c>
      <c r="U36" s="13" t="s">
        <v>142</v>
      </c>
      <c r="V36">
        <v>4</v>
      </c>
      <c r="AA36" s="31" t="s">
        <v>50</v>
      </c>
      <c r="AB36" s="32">
        <f>M28+M178+M148+M118+M208+M238+M268+M298+M328+M358</f>
        <v>35</v>
      </c>
    </row>
    <row r="37" spans="1:29" x14ac:dyDescent="0.4">
      <c r="A37" s="145"/>
      <c r="B37" s="148"/>
      <c r="C37" s="85" t="s">
        <v>213</v>
      </c>
      <c r="D37" s="109" t="s">
        <v>214</v>
      </c>
      <c r="E37" s="15" t="s">
        <v>38</v>
      </c>
      <c r="F37" s="16"/>
      <c r="G37" s="12" t="s">
        <v>178</v>
      </c>
      <c r="H37" s="15"/>
      <c r="I37" s="13"/>
      <c r="J37" s="15">
        <v>1</v>
      </c>
      <c r="K37" s="15">
        <v>1</v>
      </c>
      <c r="L37" s="17"/>
      <c r="M37" s="17"/>
      <c r="N37" s="13"/>
      <c r="O37" s="17"/>
      <c r="P37" s="17"/>
      <c r="Q37" s="17"/>
      <c r="R37" s="17"/>
      <c r="S37" s="15"/>
      <c r="T37" s="25">
        <v>46098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34</v>
      </c>
    </row>
    <row r="38" spans="1:29" x14ac:dyDescent="0.4">
      <c r="A38" s="145"/>
      <c r="B38" s="148"/>
      <c r="C38" s="85" t="s">
        <v>215</v>
      </c>
      <c r="D38" s="109" t="s">
        <v>180</v>
      </c>
      <c r="E38" s="15" t="s">
        <v>41</v>
      </c>
      <c r="F38" s="16"/>
      <c r="G38" s="12" t="s">
        <v>178</v>
      </c>
      <c r="H38" s="13"/>
      <c r="I38" s="13"/>
      <c r="J38" s="15"/>
      <c r="K38" s="15"/>
      <c r="L38" s="17"/>
      <c r="M38" s="17"/>
      <c r="N38" s="13">
        <v>1</v>
      </c>
      <c r="O38" s="17"/>
      <c r="P38" s="17"/>
      <c r="Q38" s="17">
        <v>1</v>
      </c>
      <c r="R38" s="17"/>
      <c r="S38" s="15"/>
      <c r="T38" s="25">
        <v>46110</v>
      </c>
      <c r="U38" s="13" t="s">
        <v>147</v>
      </c>
      <c r="V38">
        <v>6</v>
      </c>
      <c r="AA38" s="31" t="s">
        <v>52</v>
      </c>
      <c r="AB38" s="32">
        <f>O28+O178+O148+O118+O208+O238+O268+O298+O328+O358</f>
        <v>15</v>
      </c>
    </row>
    <row r="39" spans="1:29" x14ac:dyDescent="0.4">
      <c r="A39" s="145"/>
      <c r="B39" s="148"/>
      <c r="C39" s="85" t="s">
        <v>216</v>
      </c>
      <c r="D39" s="109" t="s">
        <v>180</v>
      </c>
      <c r="E39" s="15" t="s">
        <v>40</v>
      </c>
      <c r="F39" s="16"/>
      <c r="G39" s="12" t="s">
        <v>182</v>
      </c>
      <c r="H39" s="15"/>
      <c r="I39" s="13"/>
      <c r="J39" s="15"/>
      <c r="K39" s="15"/>
      <c r="L39" s="17"/>
      <c r="M39" s="17"/>
      <c r="N39" s="13"/>
      <c r="O39" s="17">
        <v>1</v>
      </c>
      <c r="P39" s="17">
        <v>1</v>
      </c>
      <c r="Q39" s="17">
        <v>1</v>
      </c>
      <c r="R39" s="17"/>
      <c r="S39" s="15"/>
      <c r="T39" s="25">
        <v>46110</v>
      </c>
      <c r="U39" s="13" t="s">
        <v>148</v>
      </c>
      <c r="V39">
        <v>7</v>
      </c>
      <c r="AA39" s="31" t="s">
        <v>53</v>
      </c>
      <c r="AB39" s="32">
        <f>P28+P178+P148+P118+P208+P238+P268+P298+P328+P358</f>
        <v>13</v>
      </c>
    </row>
    <row r="40" spans="1:29" x14ac:dyDescent="0.4">
      <c r="A40" s="145"/>
      <c r="B40" s="148"/>
      <c r="C40" s="85" t="s">
        <v>217</v>
      </c>
      <c r="D40" s="109" t="s">
        <v>187</v>
      </c>
      <c r="E40" s="15" t="s">
        <v>38</v>
      </c>
      <c r="F40" s="16"/>
      <c r="G40" s="12" t="s">
        <v>178</v>
      </c>
      <c r="H40" s="15"/>
      <c r="I40" s="13"/>
      <c r="J40" s="15"/>
      <c r="K40" s="15">
        <v>1</v>
      </c>
      <c r="L40" s="17"/>
      <c r="M40" s="17"/>
      <c r="N40" s="13"/>
      <c r="O40" s="17"/>
      <c r="P40" s="17"/>
      <c r="Q40" s="17"/>
      <c r="R40" s="17"/>
      <c r="S40" s="15"/>
      <c r="T40" s="25">
        <v>46110</v>
      </c>
      <c r="U40" s="13" t="s">
        <v>146</v>
      </c>
      <c r="V40">
        <v>8</v>
      </c>
      <c r="AA40" s="31" t="s">
        <v>54</v>
      </c>
      <c r="AB40" s="32">
        <f>Q28+Q178+Q148+Q118+Q208+Q238+Q268+Q298+Q328+Q358</f>
        <v>35</v>
      </c>
    </row>
    <row r="41" spans="1:29" x14ac:dyDescent="0.4">
      <c r="A41" s="145"/>
      <c r="B41" s="148"/>
      <c r="C41" s="85" t="s">
        <v>218</v>
      </c>
      <c r="D41" s="109" t="s">
        <v>187</v>
      </c>
      <c r="E41" s="15" t="s">
        <v>38</v>
      </c>
      <c r="F41" s="16"/>
      <c r="G41" s="12" t="s">
        <v>178</v>
      </c>
      <c r="H41" s="15"/>
      <c r="I41" s="13"/>
      <c r="J41" s="15">
        <v>1</v>
      </c>
      <c r="K41" s="15">
        <v>1</v>
      </c>
      <c r="L41" s="17"/>
      <c r="M41" s="17"/>
      <c r="N41" s="13"/>
      <c r="O41" s="17"/>
      <c r="P41" s="17"/>
      <c r="Q41" s="17"/>
      <c r="R41" s="17"/>
      <c r="S41" s="15"/>
      <c r="T41" s="25">
        <v>46120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11</v>
      </c>
      <c r="AC41" t="s">
        <v>123</v>
      </c>
    </row>
    <row r="42" spans="1:29" ht="19.5" thickBot="1" x14ac:dyDescent="0.45">
      <c r="A42" s="145"/>
      <c r="B42" s="148"/>
      <c r="C42" s="85" t="s">
        <v>219</v>
      </c>
      <c r="D42" s="109" t="s">
        <v>195</v>
      </c>
      <c r="E42" s="15" t="s">
        <v>36</v>
      </c>
      <c r="F42" s="16"/>
      <c r="G42" s="12" t="s">
        <v>178</v>
      </c>
      <c r="H42" s="15"/>
      <c r="I42" s="15"/>
      <c r="J42" s="15"/>
      <c r="K42" s="15"/>
      <c r="L42" s="17"/>
      <c r="M42" s="17">
        <v>1</v>
      </c>
      <c r="N42" s="17">
        <v>1</v>
      </c>
      <c r="O42" s="17"/>
      <c r="P42" s="17"/>
      <c r="Q42" s="17">
        <v>1</v>
      </c>
      <c r="R42" s="17"/>
      <c r="S42" s="15"/>
      <c r="T42" s="25">
        <v>46103</v>
      </c>
      <c r="U42" s="13" t="s">
        <v>147</v>
      </c>
      <c r="V42">
        <v>10</v>
      </c>
      <c r="AA42" s="33" t="s">
        <v>56</v>
      </c>
      <c r="AB42" s="34">
        <f>S28+S178+S148+S118+S208+S238+S268+S298+S328+S358</f>
        <v>11</v>
      </c>
      <c r="AC42" s="73">
        <f>SUM(AB33:AB42)</f>
        <v>274</v>
      </c>
    </row>
    <row r="43" spans="1:29" ht="19.5" thickBot="1" x14ac:dyDescent="0.45">
      <c r="A43" s="145"/>
      <c r="B43" s="148"/>
      <c r="C43" s="85" t="s">
        <v>220</v>
      </c>
      <c r="D43" s="109" t="s">
        <v>195</v>
      </c>
      <c r="E43" s="15" t="s">
        <v>75</v>
      </c>
      <c r="F43" s="16"/>
      <c r="G43" s="12" t="s">
        <v>178</v>
      </c>
      <c r="H43" s="15"/>
      <c r="I43" s="15"/>
      <c r="J43" s="15"/>
      <c r="K43" s="15"/>
      <c r="L43" s="17"/>
      <c r="M43" s="17"/>
      <c r="N43" s="17"/>
      <c r="O43" s="17"/>
      <c r="P43" s="17"/>
      <c r="Q43" s="17"/>
      <c r="R43" s="17"/>
      <c r="S43" s="15"/>
      <c r="T43" s="25">
        <v>46103</v>
      </c>
      <c r="U43" s="13" t="s">
        <v>147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45"/>
      <c r="B44" s="148"/>
      <c r="C44" s="85" t="s">
        <v>221</v>
      </c>
      <c r="D44" s="109" t="s">
        <v>185</v>
      </c>
      <c r="E44" s="15" t="s">
        <v>58</v>
      </c>
      <c r="F44" s="16"/>
      <c r="G44" s="12" t="s">
        <v>178</v>
      </c>
      <c r="H44" s="15"/>
      <c r="I44" s="15"/>
      <c r="J44" s="15"/>
      <c r="K44" s="15"/>
      <c r="L44" s="17"/>
      <c r="M44" s="17"/>
      <c r="N44" s="17"/>
      <c r="O44" s="17"/>
      <c r="P44" s="17"/>
      <c r="Q44" s="17"/>
      <c r="R44" s="17"/>
      <c r="S44" s="15">
        <v>1</v>
      </c>
      <c r="T44" s="25">
        <v>46110</v>
      </c>
      <c r="U44" s="13" t="s">
        <v>146</v>
      </c>
      <c r="V44">
        <v>12</v>
      </c>
      <c r="AA44" s="103" t="s">
        <v>66</v>
      </c>
      <c r="AB44" s="104">
        <f>H28+H58+H88+H118+H148+H178+H208+H238+H268+H298+H328+H358</f>
        <v>0</v>
      </c>
    </row>
    <row r="45" spans="1:29" x14ac:dyDescent="0.4">
      <c r="A45" s="145"/>
      <c r="B45" s="148"/>
      <c r="C45" s="85" t="s">
        <v>222</v>
      </c>
      <c r="D45" s="109" t="s">
        <v>184</v>
      </c>
      <c r="E45" s="15" t="s">
        <v>42</v>
      </c>
      <c r="F45" s="16"/>
      <c r="G45" s="12" t="s">
        <v>178</v>
      </c>
      <c r="H45" s="15"/>
      <c r="I45" s="15"/>
      <c r="J45" s="15"/>
      <c r="K45" s="15"/>
      <c r="L45" s="17"/>
      <c r="M45" s="17"/>
      <c r="N45" s="17"/>
      <c r="O45" s="17"/>
      <c r="P45" s="17"/>
      <c r="Q45" s="17"/>
      <c r="R45" s="17"/>
      <c r="S45" s="15">
        <v>1</v>
      </c>
      <c r="T45" s="25">
        <v>46103</v>
      </c>
      <c r="U45" s="13" t="s">
        <v>146</v>
      </c>
      <c r="V45">
        <v>13</v>
      </c>
      <c r="AA45" s="35" t="s">
        <v>65</v>
      </c>
      <c r="AB45" s="36">
        <f>H29+H59+H89+H119+H149+H179+H209+H239+H269+H299+H329+H359</f>
        <v>1</v>
      </c>
    </row>
    <row r="46" spans="1:29" x14ac:dyDescent="0.4">
      <c r="A46" s="145"/>
      <c r="B46" s="148"/>
      <c r="C46" s="85" t="s">
        <v>223</v>
      </c>
      <c r="D46" s="109" t="s">
        <v>184</v>
      </c>
      <c r="E46" s="15" t="s">
        <v>41</v>
      </c>
      <c r="F46" s="16"/>
      <c r="G46" s="12" t="s">
        <v>178</v>
      </c>
      <c r="H46" s="15"/>
      <c r="I46" s="15"/>
      <c r="J46" s="15">
        <v>1</v>
      </c>
      <c r="K46" s="15"/>
      <c r="L46" s="17"/>
      <c r="M46" s="17"/>
      <c r="N46" s="17"/>
      <c r="O46" s="17"/>
      <c r="P46" s="17"/>
      <c r="Q46" s="17"/>
      <c r="R46" s="17"/>
      <c r="S46" s="15"/>
      <c r="T46" s="25">
        <v>46103</v>
      </c>
      <c r="U46" s="13" t="s">
        <v>146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45"/>
      <c r="B47" s="148"/>
      <c r="C47" s="85" t="s">
        <v>224</v>
      </c>
      <c r="D47" s="109" t="s">
        <v>184</v>
      </c>
      <c r="E47" s="15" t="s">
        <v>42</v>
      </c>
      <c r="F47" s="16"/>
      <c r="G47" s="12" t="s">
        <v>178</v>
      </c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>
        <v>1</v>
      </c>
      <c r="T47" s="25">
        <v>46103</v>
      </c>
      <c r="U47" s="15" t="s">
        <v>146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45"/>
      <c r="B48" s="148"/>
      <c r="C48" s="85" t="s">
        <v>225</v>
      </c>
      <c r="D48" s="110" t="s">
        <v>184</v>
      </c>
      <c r="E48" s="18" t="s">
        <v>41</v>
      </c>
      <c r="F48" s="16"/>
      <c r="G48" s="18" t="s">
        <v>178</v>
      </c>
      <c r="H48" s="15"/>
      <c r="I48" s="15"/>
      <c r="J48" s="18">
        <v>1</v>
      </c>
      <c r="K48" s="15"/>
      <c r="L48" s="19"/>
      <c r="M48" s="19"/>
      <c r="N48" s="19"/>
      <c r="O48" s="19"/>
      <c r="P48" s="19"/>
      <c r="Q48" s="19"/>
      <c r="R48" s="19"/>
      <c r="S48" s="15"/>
      <c r="T48" s="25">
        <v>46103</v>
      </c>
      <c r="U48" s="15" t="s">
        <v>146</v>
      </c>
      <c r="V48" s="73">
        <v>16</v>
      </c>
    </row>
    <row r="49" spans="1:28" x14ac:dyDescent="0.4">
      <c r="A49" s="145"/>
      <c r="B49" s="148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178</v>
      </c>
    </row>
    <row r="50" spans="1:28" ht="19.5" thickBot="1" x14ac:dyDescent="0.45">
      <c r="A50" s="145"/>
      <c r="B50" s="148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3</v>
      </c>
    </row>
    <row r="51" spans="1:28" ht="19.5" thickBot="1" x14ac:dyDescent="0.45">
      <c r="A51" s="145"/>
      <c r="B51" s="148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45"/>
      <c r="B52" s="148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64">
        <v>76</v>
      </c>
    </row>
    <row r="53" spans="1:28" ht="19.5" thickBot="1" x14ac:dyDescent="0.45">
      <c r="A53" s="145"/>
      <c r="B53" s="148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65"/>
    </row>
    <row r="54" spans="1:28" ht="19.5" thickBot="1" x14ac:dyDescent="0.45">
      <c r="A54" s="145"/>
      <c r="B54" s="148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45"/>
      <c r="B55" s="148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42" t="s">
        <v>73</v>
      </c>
      <c r="AB55" s="45"/>
    </row>
    <row r="56" spans="1:28" ht="19.5" thickBot="1" x14ac:dyDescent="0.45">
      <c r="A56" s="145"/>
      <c r="B56" s="148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57"/>
      <c r="AB56" s="46"/>
    </row>
    <row r="57" spans="1:28" ht="19.5" thickBot="1" x14ac:dyDescent="0.45">
      <c r="A57" s="146"/>
      <c r="B57" s="149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42"/>
      <c r="AB57" s="45">
        <v>7</v>
      </c>
    </row>
    <row r="58" spans="1:28" ht="19.5" thickBot="1" x14ac:dyDescent="0.45">
      <c r="A58" s="27"/>
      <c r="B58" s="28"/>
      <c r="C58" s="88">
        <f>COUNTA(C33:C57)</f>
        <v>16</v>
      </c>
      <c r="D58" s="112"/>
      <c r="E58" s="29"/>
      <c r="F58" s="29" t="s">
        <v>34</v>
      </c>
      <c r="G58" s="29">
        <f>COUNTIF(G33:G57,"S")</f>
        <v>15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5</v>
      </c>
      <c r="K58" s="29">
        <f t="shared" si="1"/>
        <v>4</v>
      </c>
      <c r="L58" s="29">
        <f t="shared" si="1"/>
        <v>0</v>
      </c>
      <c r="M58" s="29">
        <f t="shared" si="1"/>
        <v>2</v>
      </c>
      <c r="N58" s="29">
        <f t="shared" si="1"/>
        <v>3</v>
      </c>
      <c r="O58" s="29">
        <f t="shared" si="1"/>
        <v>2</v>
      </c>
      <c r="P58" s="29">
        <f t="shared" si="1"/>
        <v>2</v>
      </c>
      <c r="Q58" s="29">
        <f t="shared" si="1"/>
        <v>4</v>
      </c>
      <c r="R58" s="29">
        <f t="shared" si="1"/>
        <v>0</v>
      </c>
      <c r="S58" s="29">
        <f t="shared" si="1"/>
        <v>3</v>
      </c>
      <c r="T58" s="29" t="s">
        <v>64</v>
      </c>
      <c r="U58" s="29">
        <f>COUNTIF(H33:H57,"M")</f>
        <v>0</v>
      </c>
      <c r="AA58" s="157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1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25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AYG133</v>
      </c>
      <c r="B61" s="24">
        <f>B1</f>
        <v>46072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42" t="s">
        <v>118</v>
      </c>
      <c r="Y62" s="143"/>
    </row>
    <row r="63" spans="1:28" ht="20.25" thickTop="1" thickBot="1" x14ac:dyDescent="0.45">
      <c r="A63" s="144">
        <v>3</v>
      </c>
      <c r="B63" s="150">
        <v>24</v>
      </c>
      <c r="C63" s="85" t="s">
        <v>226</v>
      </c>
      <c r="D63" s="109" t="s">
        <v>179</v>
      </c>
      <c r="E63" s="15" t="s">
        <v>38</v>
      </c>
      <c r="F63" s="16"/>
      <c r="G63" s="12" t="s">
        <v>178</v>
      </c>
      <c r="H63" s="15"/>
      <c r="I63" s="13"/>
      <c r="J63" s="15">
        <v>1</v>
      </c>
      <c r="K63" s="15">
        <v>1</v>
      </c>
      <c r="L63" s="17"/>
      <c r="M63" s="17"/>
      <c r="N63" s="13"/>
      <c r="O63" s="17"/>
      <c r="P63" s="17"/>
      <c r="Q63" s="17"/>
      <c r="R63" s="17"/>
      <c r="S63" s="15"/>
      <c r="T63" s="25">
        <v>46089</v>
      </c>
      <c r="U63" s="13" t="s">
        <v>146</v>
      </c>
      <c r="V63">
        <v>1</v>
      </c>
      <c r="X63" s="51" t="s">
        <v>106</v>
      </c>
      <c r="Y63" s="52">
        <f>COUNTIF(U63:U87,"K")</f>
        <v>10</v>
      </c>
      <c r="AA63" s="59" t="s">
        <v>120</v>
      </c>
      <c r="AB63" s="60" t="s">
        <v>121</v>
      </c>
    </row>
    <row r="64" spans="1:28" x14ac:dyDescent="0.4">
      <c r="A64" s="145"/>
      <c r="B64" s="151"/>
      <c r="C64" s="85" t="s">
        <v>227</v>
      </c>
      <c r="D64" s="109" t="s">
        <v>179</v>
      </c>
      <c r="E64" s="15" t="s">
        <v>38</v>
      </c>
      <c r="F64" s="16"/>
      <c r="G64" s="12" t="s">
        <v>178</v>
      </c>
      <c r="H64" s="15"/>
      <c r="I64" s="13"/>
      <c r="J64" s="15"/>
      <c r="K64" s="15"/>
      <c r="L64" s="17"/>
      <c r="M64" s="17">
        <v>1</v>
      </c>
      <c r="N64" s="13">
        <v>1</v>
      </c>
      <c r="O64" s="17"/>
      <c r="P64" s="17"/>
      <c r="Q64" s="17">
        <v>1</v>
      </c>
      <c r="R64" s="17"/>
      <c r="S64" s="15"/>
      <c r="T64" s="25">
        <v>46089</v>
      </c>
      <c r="U64" s="13" t="s">
        <v>147</v>
      </c>
      <c r="V64">
        <v>2</v>
      </c>
      <c r="X64" s="51" t="s">
        <v>107</v>
      </c>
      <c r="Y64" s="52">
        <f>COUNTIF(U63:U87,"R")</f>
        <v>4</v>
      </c>
      <c r="AA64" s="47" t="s">
        <v>81</v>
      </c>
      <c r="AB64" s="48" t="s">
        <v>60</v>
      </c>
    </row>
    <row r="65" spans="1:28" ht="19.5" thickBot="1" x14ac:dyDescent="0.45">
      <c r="A65" s="145"/>
      <c r="B65" s="151"/>
      <c r="C65" s="85" t="s">
        <v>228</v>
      </c>
      <c r="D65" s="109" t="s">
        <v>179</v>
      </c>
      <c r="E65" s="15" t="s">
        <v>36</v>
      </c>
      <c r="F65" s="16"/>
      <c r="G65" s="12" t="s">
        <v>178</v>
      </c>
      <c r="H65" s="15"/>
      <c r="I65" s="13"/>
      <c r="J65" s="15">
        <v>1</v>
      </c>
      <c r="K65" s="15"/>
      <c r="L65" s="17"/>
      <c r="M65" s="17"/>
      <c r="N65" s="13"/>
      <c r="O65" s="17"/>
      <c r="P65" s="17"/>
      <c r="Q65" s="17"/>
      <c r="R65" s="17"/>
      <c r="S65" s="15"/>
      <c r="T65" s="25">
        <v>46089</v>
      </c>
      <c r="U65" s="13" t="s">
        <v>146</v>
      </c>
      <c r="V65">
        <v>3</v>
      </c>
      <c r="X65" s="53" t="s">
        <v>108</v>
      </c>
      <c r="Y65" s="54">
        <f>COUNTIF(U63:U87,"J")</f>
        <v>1</v>
      </c>
      <c r="AA65" s="49" t="s">
        <v>82</v>
      </c>
      <c r="AB65" s="50" t="s">
        <v>39</v>
      </c>
    </row>
    <row r="66" spans="1:28" x14ac:dyDescent="0.4">
      <c r="A66" s="145"/>
      <c r="B66" s="151"/>
      <c r="C66" s="85" t="s">
        <v>229</v>
      </c>
      <c r="D66" s="109" t="s">
        <v>214</v>
      </c>
      <c r="E66" s="15" t="s">
        <v>38</v>
      </c>
      <c r="F66" s="16"/>
      <c r="G66" s="12" t="s">
        <v>178</v>
      </c>
      <c r="H66" s="15"/>
      <c r="I66" s="15"/>
      <c r="J66" s="15">
        <v>1</v>
      </c>
      <c r="K66" s="15">
        <v>1</v>
      </c>
      <c r="L66" s="17"/>
      <c r="M66" s="17"/>
      <c r="N66" s="17"/>
      <c r="O66" s="17"/>
      <c r="P66" s="17"/>
      <c r="Q66" s="17"/>
      <c r="R66" s="17"/>
      <c r="S66" s="15"/>
      <c r="T66" s="25">
        <v>46098</v>
      </c>
      <c r="U66" s="1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45"/>
      <c r="B67" s="151"/>
      <c r="C67" s="85" t="s">
        <v>230</v>
      </c>
      <c r="D67" s="109" t="s">
        <v>214</v>
      </c>
      <c r="E67" s="15" t="s">
        <v>39</v>
      </c>
      <c r="F67" s="16"/>
      <c r="G67" s="12" t="s">
        <v>178</v>
      </c>
      <c r="H67" s="15"/>
      <c r="I67" s="15"/>
      <c r="J67" s="15">
        <v>1</v>
      </c>
      <c r="K67" s="15">
        <v>1</v>
      </c>
      <c r="L67" s="17"/>
      <c r="M67" s="17"/>
      <c r="N67" s="17"/>
      <c r="O67" s="17"/>
      <c r="P67" s="17"/>
      <c r="Q67" s="17"/>
      <c r="R67" s="17"/>
      <c r="S67" s="15"/>
      <c r="T67" s="25">
        <v>46098</v>
      </c>
      <c r="U67" s="13" t="s">
        <v>146</v>
      </c>
      <c r="V67">
        <v>5</v>
      </c>
      <c r="AA67" s="49" t="s">
        <v>84</v>
      </c>
      <c r="AB67" s="50" t="s">
        <v>44</v>
      </c>
    </row>
    <row r="68" spans="1:28" x14ac:dyDescent="0.4">
      <c r="A68" s="145"/>
      <c r="B68" s="151"/>
      <c r="C68" s="85" t="s">
        <v>231</v>
      </c>
      <c r="D68" s="109" t="s">
        <v>214</v>
      </c>
      <c r="E68" s="15" t="s">
        <v>133</v>
      </c>
      <c r="F68" s="16"/>
      <c r="G68" s="12" t="s">
        <v>178</v>
      </c>
      <c r="H68" s="15"/>
      <c r="I68" s="15"/>
      <c r="J68" s="15"/>
      <c r="K68" s="15"/>
      <c r="L68" s="17"/>
      <c r="M68" s="17"/>
      <c r="N68" s="17">
        <v>1</v>
      </c>
      <c r="O68" s="17">
        <v>1</v>
      </c>
      <c r="P68" s="17">
        <v>1</v>
      </c>
      <c r="Q68" s="17">
        <v>1</v>
      </c>
      <c r="R68" s="17"/>
      <c r="S68" s="15"/>
      <c r="T68" s="25">
        <v>46098</v>
      </c>
      <c r="U68" s="13" t="s">
        <v>148</v>
      </c>
      <c r="V68">
        <v>6</v>
      </c>
      <c r="AA68" s="49" t="s">
        <v>85</v>
      </c>
      <c r="AB68" s="50" t="s">
        <v>43</v>
      </c>
    </row>
    <row r="69" spans="1:28" x14ac:dyDescent="0.4">
      <c r="A69" s="145"/>
      <c r="B69" s="151"/>
      <c r="C69" s="85" t="s">
        <v>232</v>
      </c>
      <c r="D69" s="109" t="s">
        <v>179</v>
      </c>
      <c r="E69" s="15" t="s">
        <v>57</v>
      </c>
      <c r="F69" s="16"/>
      <c r="G69" s="12" t="s">
        <v>233</v>
      </c>
      <c r="H69" s="15"/>
      <c r="I69" s="15"/>
      <c r="J69" s="15"/>
      <c r="K69" s="15"/>
      <c r="L69" s="17"/>
      <c r="M69" s="17"/>
      <c r="N69" s="17"/>
      <c r="O69" s="17"/>
      <c r="P69" s="17"/>
      <c r="Q69" s="17"/>
      <c r="R69" s="17"/>
      <c r="S69" s="15"/>
      <c r="T69" s="25">
        <v>46092</v>
      </c>
      <c r="U69" s="13" t="s">
        <v>147</v>
      </c>
      <c r="V69">
        <v>7</v>
      </c>
      <c r="AA69" s="49" t="s">
        <v>86</v>
      </c>
      <c r="AB69" s="50" t="s">
        <v>45</v>
      </c>
    </row>
    <row r="70" spans="1:28" x14ac:dyDescent="0.4">
      <c r="A70" s="145"/>
      <c r="B70" s="151"/>
      <c r="C70" s="85" t="s">
        <v>235</v>
      </c>
      <c r="D70" s="109" t="s">
        <v>234</v>
      </c>
      <c r="E70" s="15" t="s">
        <v>38</v>
      </c>
      <c r="F70" s="16"/>
      <c r="G70" s="12" t="s">
        <v>178</v>
      </c>
      <c r="H70" s="15"/>
      <c r="I70" s="15"/>
      <c r="J70" s="15">
        <v>1</v>
      </c>
      <c r="K70" s="15">
        <v>1</v>
      </c>
      <c r="L70" s="17"/>
      <c r="M70" s="17"/>
      <c r="N70" s="17"/>
      <c r="O70" s="17"/>
      <c r="P70" s="17"/>
      <c r="Q70" s="17"/>
      <c r="R70" s="17"/>
      <c r="S70" s="15"/>
      <c r="T70" s="25">
        <v>46104</v>
      </c>
      <c r="U70" s="13" t="s">
        <v>146</v>
      </c>
      <c r="V70">
        <v>8</v>
      </c>
      <c r="AA70" s="49" t="s">
        <v>87</v>
      </c>
      <c r="AB70" s="50" t="s">
        <v>37</v>
      </c>
    </row>
    <row r="71" spans="1:28" x14ac:dyDescent="0.4">
      <c r="A71" s="145"/>
      <c r="B71" s="151"/>
      <c r="C71" s="85" t="s">
        <v>236</v>
      </c>
      <c r="D71" s="109" t="s">
        <v>237</v>
      </c>
      <c r="E71" s="15" t="s">
        <v>36</v>
      </c>
      <c r="F71" s="16"/>
      <c r="G71" s="12" t="s">
        <v>178</v>
      </c>
      <c r="H71" s="15"/>
      <c r="I71" s="15"/>
      <c r="J71" s="15">
        <v>1</v>
      </c>
      <c r="K71" s="15">
        <v>1</v>
      </c>
      <c r="L71" s="17"/>
      <c r="M71" s="17"/>
      <c r="N71" s="17"/>
      <c r="O71" s="17"/>
      <c r="P71" s="17"/>
      <c r="Q71" s="17"/>
      <c r="R71" s="17"/>
      <c r="S71" s="15"/>
      <c r="T71" s="25">
        <v>46106</v>
      </c>
      <c r="U71" s="15" t="s">
        <v>146</v>
      </c>
      <c r="V71">
        <v>9</v>
      </c>
      <c r="AA71" s="49" t="s">
        <v>88</v>
      </c>
      <c r="AB71" s="50" t="s">
        <v>74</v>
      </c>
    </row>
    <row r="72" spans="1:28" x14ac:dyDescent="0.4">
      <c r="A72" s="145"/>
      <c r="B72" s="151"/>
      <c r="C72" s="85" t="s">
        <v>238</v>
      </c>
      <c r="D72" s="109" t="s">
        <v>237</v>
      </c>
      <c r="E72" s="18" t="s">
        <v>37</v>
      </c>
      <c r="F72" s="16"/>
      <c r="G72" s="12" t="s">
        <v>178</v>
      </c>
      <c r="H72" s="15"/>
      <c r="I72" s="15"/>
      <c r="J72" s="18">
        <v>1</v>
      </c>
      <c r="K72" s="15">
        <v>1</v>
      </c>
      <c r="L72" s="19"/>
      <c r="M72" s="19"/>
      <c r="N72" s="19"/>
      <c r="O72" s="19"/>
      <c r="P72" s="19"/>
      <c r="Q72" s="19"/>
      <c r="R72" s="19"/>
      <c r="S72" s="15"/>
      <c r="T72" s="25">
        <v>46106</v>
      </c>
      <c r="U72" s="15" t="s">
        <v>146</v>
      </c>
      <c r="V72">
        <v>10</v>
      </c>
      <c r="AA72" s="49" t="s">
        <v>89</v>
      </c>
      <c r="AB72" s="50" t="s">
        <v>36</v>
      </c>
    </row>
    <row r="73" spans="1:28" x14ac:dyDescent="0.4">
      <c r="A73" s="145"/>
      <c r="B73" s="151"/>
      <c r="C73" s="85" t="s">
        <v>239</v>
      </c>
      <c r="D73" s="109" t="s">
        <v>240</v>
      </c>
      <c r="E73" s="18" t="s">
        <v>75</v>
      </c>
      <c r="F73" s="16"/>
      <c r="G73" s="12" t="s">
        <v>178</v>
      </c>
      <c r="H73" s="15"/>
      <c r="I73" s="15"/>
      <c r="J73" s="18"/>
      <c r="K73" s="15"/>
      <c r="L73" s="19"/>
      <c r="M73" s="19"/>
      <c r="N73" s="19"/>
      <c r="O73" s="19"/>
      <c r="P73" s="19"/>
      <c r="Q73" s="19"/>
      <c r="R73" s="19"/>
      <c r="S73" s="15">
        <v>1</v>
      </c>
      <c r="T73" s="25">
        <v>46099</v>
      </c>
      <c r="U73" s="15" t="s">
        <v>146</v>
      </c>
      <c r="V73">
        <v>11</v>
      </c>
      <c r="AA73" s="49" t="s">
        <v>90</v>
      </c>
      <c r="AB73" s="50" t="s">
        <v>58</v>
      </c>
    </row>
    <row r="74" spans="1:28" x14ac:dyDescent="0.4">
      <c r="A74" s="145"/>
      <c r="B74" s="151"/>
      <c r="C74" s="85" t="s">
        <v>241</v>
      </c>
      <c r="D74" s="109" t="s">
        <v>240</v>
      </c>
      <c r="E74" s="18" t="s">
        <v>58</v>
      </c>
      <c r="F74" s="16"/>
      <c r="G74" s="12" t="s">
        <v>178</v>
      </c>
      <c r="H74" s="15"/>
      <c r="I74" s="15"/>
      <c r="J74" s="18"/>
      <c r="K74" s="15"/>
      <c r="L74" s="19"/>
      <c r="M74" s="19"/>
      <c r="N74" s="19"/>
      <c r="O74" s="19"/>
      <c r="P74" s="19"/>
      <c r="Q74" s="19"/>
      <c r="R74" s="19"/>
      <c r="S74" s="15">
        <v>1</v>
      </c>
      <c r="T74" s="26">
        <v>46099</v>
      </c>
      <c r="U74" s="15" t="s">
        <v>146</v>
      </c>
      <c r="V74">
        <v>12</v>
      </c>
      <c r="AA74" s="49" t="s">
        <v>91</v>
      </c>
      <c r="AB74" s="50" t="s">
        <v>75</v>
      </c>
    </row>
    <row r="75" spans="1:28" x14ac:dyDescent="0.4">
      <c r="A75" s="145"/>
      <c r="B75" s="151"/>
      <c r="C75" s="85" t="s">
        <v>242</v>
      </c>
      <c r="D75" s="109" t="s">
        <v>180</v>
      </c>
      <c r="E75" s="18" t="s">
        <v>38</v>
      </c>
      <c r="F75" s="16"/>
      <c r="G75" s="12" t="s">
        <v>178</v>
      </c>
      <c r="H75" s="15"/>
      <c r="I75" s="15"/>
      <c r="J75" s="18"/>
      <c r="K75" s="15">
        <v>1</v>
      </c>
      <c r="L75" s="19"/>
      <c r="M75" s="19"/>
      <c r="N75" s="19"/>
      <c r="O75" s="19"/>
      <c r="P75" s="19"/>
      <c r="Q75" s="19"/>
      <c r="R75" s="19"/>
      <c r="S75" s="15"/>
      <c r="T75" s="26">
        <v>46089</v>
      </c>
      <c r="U75" s="15" t="s">
        <v>146</v>
      </c>
      <c r="V75">
        <v>13</v>
      </c>
      <c r="AA75" s="49" t="s">
        <v>92</v>
      </c>
      <c r="AB75" s="50" t="s">
        <v>40</v>
      </c>
    </row>
    <row r="76" spans="1:28" x14ac:dyDescent="0.4">
      <c r="A76" s="145"/>
      <c r="B76" s="151"/>
      <c r="C76" s="86" t="s">
        <v>244</v>
      </c>
      <c r="D76" s="109" t="s">
        <v>243</v>
      </c>
      <c r="E76" s="18" t="s">
        <v>41</v>
      </c>
      <c r="F76" s="16"/>
      <c r="G76" s="12" t="s">
        <v>178</v>
      </c>
      <c r="H76" s="15"/>
      <c r="I76" s="15"/>
      <c r="J76" s="18"/>
      <c r="K76" s="15"/>
      <c r="L76" s="19"/>
      <c r="M76" s="19"/>
      <c r="N76" s="19"/>
      <c r="O76" s="19"/>
      <c r="P76" s="19"/>
      <c r="Q76" s="19">
        <v>1</v>
      </c>
      <c r="R76" s="19"/>
      <c r="S76" s="15"/>
      <c r="T76" s="26">
        <v>46101</v>
      </c>
      <c r="U76" s="15" t="s">
        <v>147</v>
      </c>
      <c r="V76">
        <v>14</v>
      </c>
      <c r="AA76" s="49" t="s">
        <v>93</v>
      </c>
      <c r="AB76" s="50" t="s">
        <v>57</v>
      </c>
    </row>
    <row r="77" spans="1:28" x14ac:dyDescent="0.4">
      <c r="A77" s="145"/>
      <c r="B77" s="151"/>
      <c r="C77" s="86" t="s">
        <v>245</v>
      </c>
      <c r="D77" s="110" t="s">
        <v>243</v>
      </c>
      <c r="E77" s="18" t="s">
        <v>41</v>
      </c>
      <c r="F77" s="16"/>
      <c r="G77" s="18" t="s">
        <v>178</v>
      </c>
      <c r="H77" s="15"/>
      <c r="I77" s="15"/>
      <c r="J77" s="18"/>
      <c r="K77" s="15"/>
      <c r="L77" s="19"/>
      <c r="M77" s="19"/>
      <c r="N77" s="19"/>
      <c r="O77" s="19"/>
      <c r="P77" s="19"/>
      <c r="Q77" s="19">
        <v>1</v>
      </c>
      <c r="R77" s="19"/>
      <c r="S77" s="15"/>
      <c r="T77" s="26">
        <v>46101</v>
      </c>
      <c r="U77" s="15" t="s">
        <v>147</v>
      </c>
      <c r="V77">
        <v>15</v>
      </c>
      <c r="AA77" s="49" t="s">
        <v>94</v>
      </c>
      <c r="AB77" s="50" t="s">
        <v>41</v>
      </c>
    </row>
    <row r="78" spans="1:28" x14ac:dyDescent="0.4">
      <c r="A78" s="145"/>
      <c r="B78" s="151"/>
      <c r="C78" s="86"/>
      <c r="D78" s="106"/>
      <c r="E78" s="15"/>
      <c r="F78" s="16"/>
      <c r="G78" s="15"/>
      <c r="H78" s="15"/>
      <c r="I78" s="15"/>
      <c r="J78" s="15"/>
      <c r="K78" s="15"/>
      <c r="L78" s="17"/>
      <c r="M78" s="17"/>
      <c r="N78" s="17"/>
      <c r="O78" s="17"/>
      <c r="P78" s="17"/>
      <c r="Q78" s="17"/>
      <c r="R78" s="17"/>
      <c r="S78" s="15"/>
      <c r="T78" s="26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45"/>
      <c r="B79" s="151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45"/>
      <c r="B80" s="151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45"/>
      <c r="B81" s="151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45"/>
      <c r="B82" s="151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45"/>
      <c r="B83" s="151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45"/>
      <c r="B84" s="151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45"/>
      <c r="B85" s="151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45"/>
      <c r="B86" s="151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46"/>
      <c r="B87" s="152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15</v>
      </c>
      <c r="D88" s="112"/>
      <c r="E88" s="29"/>
      <c r="F88" s="29" t="s">
        <v>34</v>
      </c>
      <c r="G88" s="29">
        <f>COUNTIF(G63:G87,"S")</f>
        <v>14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7</v>
      </c>
      <c r="L88" s="29">
        <f t="shared" si="2"/>
        <v>0</v>
      </c>
      <c r="M88" s="29">
        <f t="shared" si="2"/>
        <v>1</v>
      </c>
      <c r="N88" s="29">
        <f t="shared" si="2"/>
        <v>2</v>
      </c>
      <c r="O88" s="29">
        <f t="shared" si="2"/>
        <v>1</v>
      </c>
      <c r="P88" s="29">
        <f t="shared" si="2"/>
        <v>1</v>
      </c>
      <c r="Q88" s="29">
        <f t="shared" si="2"/>
        <v>4</v>
      </c>
      <c r="R88" s="29">
        <f t="shared" si="2"/>
        <v>0</v>
      </c>
      <c r="S88" s="29">
        <f t="shared" si="2"/>
        <v>2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18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AYG133</v>
      </c>
      <c r="B91" s="24">
        <f>B1</f>
        <v>46072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42" t="s">
        <v>117</v>
      </c>
      <c r="Y92" s="143"/>
    </row>
    <row r="93" spans="1:28" ht="20.25" thickTop="1" thickBot="1" x14ac:dyDescent="0.45">
      <c r="A93" s="144">
        <v>4</v>
      </c>
      <c r="B93" s="147">
        <v>23.2</v>
      </c>
      <c r="C93" s="85" t="s">
        <v>246</v>
      </c>
      <c r="D93" s="109" t="s">
        <v>198</v>
      </c>
      <c r="E93" s="15" t="s">
        <v>38</v>
      </c>
      <c r="F93" s="14"/>
      <c r="G93" s="12" t="s">
        <v>178</v>
      </c>
      <c r="H93" s="13"/>
      <c r="I93" s="13"/>
      <c r="J93" s="13">
        <v>1</v>
      </c>
      <c r="K93" s="13">
        <v>1</v>
      </c>
      <c r="L93" s="13"/>
      <c r="M93" s="13"/>
      <c r="N93" s="13"/>
      <c r="O93" s="13"/>
      <c r="P93" s="13"/>
      <c r="Q93" s="13"/>
      <c r="R93" s="13"/>
      <c r="S93" s="13"/>
      <c r="T93" s="25">
        <v>46098</v>
      </c>
      <c r="U93" s="13" t="s">
        <v>146</v>
      </c>
      <c r="V93">
        <v>1</v>
      </c>
      <c r="X93" s="51" t="s">
        <v>106</v>
      </c>
      <c r="Y93" s="52">
        <f>COUNTIF(U93:U117,"K")</f>
        <v>13</v>
      </c>
      <c r="AA93" s="59" t="s">
        <v>120</v>
      </c>
      <c r="AB93" s="60" t="s">
        <v>121</v>
      </c>
    </row>
    <row r="94" spans="1:28" x14ac:dyDescent="0.4">
      <c r="A94" s="145"/>
      <c r="B94" s="148"/>
      <c r="C94" s="85" t="s">
        <v>247</v>
      </c>
      <c r="D94" s="109" t="s">
        <v>196</v>
      </c>
      <c r="E94" s="15" t="s">
        <v>75</v>
      </c>
      <c r="F94" s="16"/>
      <c r="G94" s="12" t="s">
        <v>178</v>
      </c>
      <c r="H94" s="15"/>
      <c r="I94" s="15"/>
      <c r="J94" s="13"/>
      <c r="K94" s="15"/>
      <c r="L94" s="13"/>
      <c r="M94" s="17"/>
      <c r="N94" s="17"/>
      <c r="O94" s="17"/>
      <c r="P94" s="17"/>
      <c r="Q94" s="17"/>
      <c r="R94" s="17"/>
      <c r="S94" s="15"/>
      <c r="T94" s="25">
        <v>46096</v>
      </c>
      <c r="U94" s="13" t="s">
        <v>147</v>
      </c>
      <c r="V94">
        <v>2</v>
      </c>
      <c r="X94" s="51" t="s">
        <v>107</v>
      </c>
      <c r="Y94" s="52">
        <f>COUNTIF(U93:U117,"R")</f>
        <v>2</v>
      </c>
      <c r="AA94" s="47" t="s">
        <v>81</v>
      </c>
      <c r="AB94" s="48" t="s">
        <v>60</v>
      </c>
    </row>
    <row r="95" spans="1:28" ht="19.5" thickBot="1" x14ac:dyDescent="0.45">
      <c r="A95" s="145"/>
      <c r="B95" s="148"/>
      <c r="C95" s="85" t="s">
        <v>248</v>
      </c>
      <c r="D95" s="109">
        <v>1183</v>
      </c>
      <c r="E95" s="15" t="s">
        <v>36</v>
      </c>
      <c r="F95" s="16"/>
      <c r="G95" s="12" t="s">
        <v>178</v>
      </c>
      <c r="H95" s="15"/>
      <c r="I95" s="15"/>
      <c r="J95" s="13">
        <v>1</v>
      </c>
      <c r="K95" s="15">
        <v>1</v>
      </c>
      <c r="L95" s="13"/>
      <c r="M95" s="17"/>
      <c r="N95" s="17"/>
      <c r="O95" s="17"/>
      <c r="P95" s="17"/>
      <c r="Q95" s="17"/>
      <c r="R95" s="17"/>
      <c r="S95" s="15"/>
      <c r="T95" s="25">
        <v>46094</v>
      </c>
      <c r="U95" s="13" t="s">
        <v>146</v>
      </c>
      <c r="V95">
        <v>3</v>
      </c>
      <c r="X95" s="53" t="s">
        <v>108</v>
      </c>
      <c r="Y95" s="54">
        <f>COUNTIF(U93:U117,"J")</f>
        <v>2</v>
      </c>
      <c r="AA95" s="49" t="s">
        <v>122</v>
      </c>
      <c r="AB95" s="50" t="s">
        <v>39</v>
      </c>
    </row>
    <row r="96" spans="1:28" x14ac:dyDescent="0.4">
      <c r="A96" s="145"/>
      <c r="B96" s="148"/>
      <c r="C96" s="85" t="s">
        <v>249</v>
      </c>
      <c r="D96" s="109">
        <v>1183</v>
      </c>
      <c r="E96" s="15" t="s">
        <v>40</v>
      </c>
      <c r="F96" s="16"/>
      <c r="G96" s="12" t="s">
        <v>178</v>
      </c>
      <c r="H96" s="15"/>
      <c r="I96" s="15"/>
      <c r="J96" s="13"/>
      <c r="K96" s="15"/>
      <c r="L96" s="13"/>
      <c r="M96" s="17">
        <v>1</v>
      </c>
      <c r="N96" s="17">
        <v>1</v>
      </c>
      <c r="O96" s="17"/>
      <c r="P96" s="17"/>
      <c r="Q96" s="17">
        <v>1</v>
      </c>
      <c r="R96" s="17"/>
      <c r="S96" s="15"/>
      <c r="T96" s="25">
        <v>46094</v>
      </c>
      <c r="U96" s="13" t="s">
        <v>148</v>
      </c>
      <c r="V96">
        <v>4</v>
      </c>
      <c r="AA96" s="49" t="s">
        <v>83</v>
      </c>
      <c r="AB96" s="50" t="s">
        <v>38</v>
      </c>
    </row>
    <row r="97" spans="1:28" x14ac:dyDescent="0.4">
      <c r="A97" s="145"/>
      <c r="B97" s="148"/>
      <c r="C97" s="85" t="s">
        <v>250</v>
      </c>
      <c r="D97" s="109" t="s">
        <v>251</v>
      </c>
      <c r="E97" s="15" t="s">
        <v>74</v>
      </c>
      <c r="F97" s="16"/>
      <c r="G97" s="12" t="s">
        <v>178</v>
      </c>
      <c r="H97" s="15"/>
      <c r="I97" s="15"/>
      <c r="J97" s="13"/>
      <c r="K97" s="15"/>
      <c r="L97" s="13"/>
      <c r="M97" s="17">
        <v>1</v>
      </c>
      <c r="N97" s="17"/>
      <c r="O97" s="17"/>
      <c r="P97" s="17"/>
      <c r="Q97" s="17"/>
      <c r="R97" s="17"/>
      <c r="S97" s="15"/>
      <c r="T97" s="25">
        <v>46104</v>
      </c>
      <c r="U97" s="13" t="s">
        <v>147</v>
      </c>
      <c r="V97">
        <v>5</v>
      </c>
      <c r="AA97" s="49" t="s">
        <v>84</v>
      </c>
      <c r="AB97" s="50" t="s">
        <v>44</v>
      </c>
    </row>
    <row r="98" spans="1:28" x14ac:dyDescent="0.4">
      <c r="A98" s="145"/>
      <c r="B98" s="148"/>
      <c r="C98" s="85" t="s">
        <v>252</v>
      </c>
      <c r="D98" s="109" t="s">
        <v>200</v>
      </c>
      <c r="E98" s="15" t="s">
        <v>39</v>
      </c>
      <c r="F98" s="16"/>
      <c r="G98" s="12" t="s">
        <v>178</v>
      </c>
      <c r="H98" s="13"/>
      <c r="I98" s="15"/>
      <c r="J98" s="13">
        <v>1</v>
      </c>
      <c r="K98" s="15">
        <v>1</v>
      </c>
      <c r="L98" s="13"/>
      <c r="M98" s="17"/>
      <c r="N98" s="17"/>
      <c r="O98" s="17"/>
      <c r="P98" s="17"/>
      <c r="Q98" s="17"/>
      <c r="R98" s="17"/>
      <c r="S98" s="15"/>
      <c r="T98" s="25">
        <v>46104</v>
      </c>
      <c r="U98" s="13" t="s">
        <v>146</v>
      </c>
      <c r="V98">
        <v>6</v>
      </c>
      <c r="AA98" s="49" t="s">
        <v>85</v>
      </c>
      <c r="AB98" s="50" t="s">
        <v>43</v>
      </c>
    </row>
    <row r="99" spans="1:28" x14ac:dyDescent="0.4">
      <c r="A99" s="145"/>
      <c r="B99" s="148"/>
      <c r="C99" s="85" t="s">
        <v>253</v>
      </c>
      <c r="D99" s="109" t="s">
        <v>200</v>
      </c>
      <c r="E99" s="15" t="s">
        <v>133</v>
      </c>
      <c r="F99" s="16"/>
      <c r="G99" s="12" t="s">
        <v>178</v>
      </c>
      <c r="H99" s="15"/>
      <c r="I99" s="15"/>
      <c r="J99" s="13"/>
      <c r="K99" s="15"/>
      <c r="L99" s="13"/>
      <c r="M99" s="17"/>
      <c r="N99" s="17"/>
      <c r="O99" s="17">
        <v>1</v>
      </c>
      <c r="P99" s="17">
        <v>1</v>
      </c>
      <c r="Q99" s="17">
        <v>1</v>
      </c>
      <c r="R99" s="17">
        <v>1</v>
      </c>
      <c r="S99" s="15"/>
      <c r="T99" s="25">
        <v>46104</v>
      </c>
      <c r="U99" s="13" t="s">
        <v>148</v>
      </c>
      <c r="V99">
        <v>7</v>
      </c>
      <c r="AA99" s="49" t="s">
        <v>86</v>
      </c>
      <c r="AB99" s="50" t="s">
        <v>45</v>
      </c>
    </row>
    <row r="100" spans="1:28" x14ac:dyDescent="0.4">
      <c r="A100" s="145"/>
      <c r="B100" s="148"/>
      <c r="C100" s="85" t="s">
        <v>254</v>
      </c>
      <c r="D100" s="109" t="s">
        <v>190</v>
      </c>
      <c r="E100" s="15" t="s">
        <v>38</v>
      </c>
      <c r="F100" s="16"/>
      <c r="G100" s="12" t="s">
        <v>178</v>
      </c>
      <c r="H100" s="15"/>
      <c r="I100" s="15"/>
      <c r="J100" s="13">
        <v>1</v>
      </c>
      <c r="K100" s="15">
        <v>1</v>
      </c>
      <c r="L100" s="13"/>
      <c r="M100" s="17"/>
      <c r="N100" s="17"/>
      <c r="O100" s="17"/>
      <c r="P100" s="17"/>
      <c r="Q100" s="17"/>
      <c r="R100" s="17"/>
      <c r="S100" s="15"/>
      <c r="T100" s="25">
        <v>46110</v>
      </c>
      <c r="U100" s="13" t="s">
        <v>146</v>
      </c>
      <c r="V100">
        <v>8</v>
      </c>
      <c r="AA100" s="49" t="s">
        <v>87</v>
      </c>
      <c r="AB100" s="50" t="s">
        <v>37</v>
      </c>
    </row>
    <row r="101" spans="1:28" x14ac:dyDescent="0.4">
      <c r="A101" s="145"/>
      <c r="B101" s="148"/>
      <c r="C101" s="85" t="s">
        <v>255</v>
      </c>
      <c r="D101" s="109" t="s">
        <v>184</v>
      </c>
      <c r="E101" s="15" t="s">
        <v>60</v>
      </c>
      <c r="F101" s="16"/>
      <c r="G101" s="12" t="s">
        <v>178</v>
      </c>
      <c r="H101" s="15"/>
      <c r="I101" s="15"/>
      <c r="J101" s="13">
        <v>1</v>
      </c>
      <c r="K101" s="15"/>
      <c r="L101" s="13">
        <v>1</v>
      </c>
      <c r="M101" s="17"/>
      <c r="N101" s="17"/>
      <c r="O101" s="17"/>
      <c r="P101" s="17"/>
      <c r="Q101" s="17"/>
      <c r="R101" s="17"/>
      <c r="S101" s="15"/>
      <c r="T101" s="25">
        <v>46103</v>
      </c>
      <c r="U101" s="13" t="s">
        <v>146</v>
      </c>
      <c r="V101">
        <v>9</v>
      </c>
      <c r="AA101" s="49" t="s">
        <v>88</v>
      </c>
      <c r="AB101" s="50" t="s">
        <v>74</v>
      </c>
    </row>
    <row r="102" spans="1:28" x14ac:dyDescent="0.4">
      <c r="A102" s="145"/>
      <c r="B102" s="148"/>
      <c r="C102" s="85" t="s">
        <v>256</v>
      </c>
      <c r="D102" s="109" t="s">
        <v>184</v>
      </c>
      <c r="E102" s="15" t="s">
        <v>60</v>
      </c>
      <c r="F102" s="16"/>
      <c r="G102" s="12" t="s">
        <v>178</v>
      </c>
      <c r="H102" s="15"/>
      <c r="I102" s="15"/>
      <c r="J102" s="13">
        <v>1</v>
      </c>
      <c r="K102" s="15"/>
      <c r="L102" s="13">
        <v>1</v>
      </c>
      <c r="M102" s="17"/>
      <c r="N102" s="17"/>
      <c r="O102" s="17"/>
      <c r="P102" s="17"/>
      <c r="Q102" s="17"/>
      <c r="R102" s="17"/>
      <c r="S102" s="15"/>
      <c r="T102" s="25">
        <v>46103</v>
      </c>
      <c r="U102" s="13" t="s">
        <v>146</v>
      </c>
      <c r="V102">
        <v>10</v>
      </c>
      <c r="AA102" s="49" t="s">
        <v>89</v>
      </c>
      <c r="AB102" s="50" t="s">
        <v>36</v>
      </c>
    </row>
    <row r="103" spans="1:28" x14ac:dyDescent="0.4">
      <c r="A103" s="145"/>
      <c r="B103" s="148"/>
      <c r="C103" s="85" t="s">
        <v>257</v>
      </c>
      <c r="D103" s="109" t="s">
        <v>184</v>
      </c>
      <c r="E103" s="15" t="s">
        <v>60</v>
      </c>
      <c r="F103" s="16"/>
      <c r="G103" s="12" t="s">
        <v>178</v>
      </c>
      <c r="H103" s="15"/>
      <c r="I103" s="15"/>
      <c r="J103" s="13">
        <v>1</v>
      </c>
      <c r="K103" s="15"/>
      <c r="L103" s="13">
        <v>1</v>
      </c>
      <c r="M103" s="17"/>
      <c r="N103" s="17"/>
      <c r="O103" s="17"/>
      <c r="P103" s="17"/>
      <c r="Q103" s="17"/>
      <c r="R103" s="17"/>
      <c r="S103" s="15"/>
      <c r="T103" s="25">
        <v>46103</v>
      </c>
      <c r="U103" s="13" t="s">
        <v>146</v>
      </c>
      <c r="V103">
        <v>11</v>
      </c>
      <c r="AA103" s="49" t="s">
        <v>90</v>
      </c>
      <c r="AB103" s="50" t="s">
        <v>58</v>
      </c>
    </row>
    <row r="104" spans="1:28" x14ac:dyDescent="0.4">
      <c r="A104" s="145"/>
      <c r="B104" s="148"/>
      <c r="C104" s="85" t="s">
        <v>258</v>
      </c>
      <c r="D104" s="109" t="s">
        <v>184</v>
      </c>
      <c r="E104" s="15" t="s">
        <v>60</v>
      </c>
      <c r="F104" s="16"/>
      <c r="G104" s="12" t="s">
        <v>178</v>
      </c>
      <c r="H104" s="15"/>
      <c r="I104" s="15"/>
      <c r="J104" s="13">
        <v>1</v>
      </c>
      <c r="K104" s="15"/>
      <c r="L104" s="13">
        <v>1</v>
      </c>
      <c r="M104" s="17"/>
      <c r="N104" s="17"/>
      <c r="O104" s="17"/>
      <c r="P104" s="17"/>
      <c r="Q104" s="17"/>
      <c r="R104" s="17"/>
      <c r="S104" s="15"/>
      <c r="T104" s="25">
        <v>46103</v>
      </c>
      <c r="U104" s="13" t="s">
        <v>146</v>
      </c>
      <c r="V104">
        <v>12</v>
      </c>
      <c r="AA104" s="49" t="s">
        <v>91</v>
      </c>
      <c r="AB104" s="50" t="s">
        <v>75</v>
      </c>
    </row>
    <row r="105" spans="1:28" x14ac:dyDescent="0.4">
      <c r="A105" s="145"/>
      <c r="B105" s="148"/>
      <c r="C105" s="85" t="s">
        <v>259</v>
      </c>
      <c r="D105" s="109" t="s">
        <v>184</v>
      </c>
      <c r="E105" s="15" t="s">
        <v>60</v>
      </c>
      <c r="F105" s="16"/>
      <c r="G105" s="12" t="s">
        <v>178</v>
      </c>
      <c r="H105" s="15"/>
      <c r="I105" s="15"/>
      <c r="J105" s="13">
        <v>1</v>
      </c>
      <c r="K105" s="15"/>
      <c r="L105" s="13">
        <v>1</v>
      </c>
      <c r="M105" s="17"/>
      <c r="N105" s="17"/>
      <c r="O105" s="17"/>
      <c r="P105" s="17"/>
      <c r="Q105" s="17"/>
      <c r="R105" s="17"/>
      <c r="S105" s="15"/>
      <c r="T105" s="25">
        <v>46103</v>
      </c>
      <c r="U105" s="13" t="s">
        <v>146</v>
      </c>
      <c r="V105">
        <v>13</v>
      </c>
      <c r="AA105" s="49" t="s">
        <v>92</v>
      </c>
      <c r="AB105" s="50" t="s">
        <v>40</v>
      </c>
    </row>
    <row r="106" spans="1:28" x14ac:dyDescent="0.4">
      <c r="A106" s="145"/>
      <c r="B106" s="148"/>
      <c r="C106" s="85" t="s">
        <v>260</v>
      </c>
      <c r="D106" s="109" t="s">
        <v>184</v>
      </c>
      <c r="E106" s="15" t="s">
        <v>60</v>
      </c>
      <c r="F106" s="16"/>
      <c r="G106" s="12" t="s">
        <v>178</v>
      </c>
      <c r="H106" s="15"/>
      <c r="I106" s="15"/>
      <c r="J106" s="13">
        <v>1</v>
      </c>
      <c r="K106" s="15"/>
      <c r="L106" s="13">
        <v>1</v>
      </c>
      <c r="M106" s="17"/>
      <c r="N106" s="17"/>
      <c r="O106" s="17"/>
      <c r="P106" s="17"/>
      <c r="Q106" s="17"/>
      <c r="R106" s="17"/>
      <c r="S106" s="15"/>
      <c r="T106" s="25">
        <v>46103</v>
      </c>
      <c r="U106" s="13" t="s">
        <v>146</v>
      </c>
      <c r="V106">
        <v>14</v>
      </c>
      <c r="AA106" s="49" t="s">
        <v>93</v>
      </c>
      <c r="AB106" s="50" t="s">
        <v>57</v>
      </c>
    </row>
    <row r="107" spans="1:28" x14ac:dyDescent="0.4">
      <c r="A107" s="145"/>
      <c r="B107" s="148"/>
      <c r="C107" s="85" t="s">
        <v>261</v>
      </c>
      <c r="D107" s="109" t="s">
        <v>184</v>
      </c>
      <c r="E107" s="15" t="s">
        <v>60</v>
      </c>
      <c r="F107" s="16"/>
      <c r="G107" s="12" t="s">
        <v>178</v>
      </c>
      <c r="H107" s="15"/>
      <c r="I107" s="15"/>
      <c r="J107" s="13">
        <v>1</v>
      </c>
      <c r="K107" s="15"/>
      <c r="L107" s="13">
        <v>1</v>
      </c>
      <c r="M107" s="17"/>
      <c r="N107" s="17"/>
      <c r="O107" s="17"/>
      <c r="P107" s="17"/>
      <c r="Q107" s="17"/>
      <c r="R107" s="17"/>
      <c r="S107" s="15"/>
      <c r="T107" s="25">
        <v>46103</v>
      </c>
      <c r="U107" s="13" t="s">
        <v>146</v>
      </c>
      <c r="V107">
        <v>15</v>
      </c>
      <c r="AA107" s="49" t="s">
        <v>94</v>
      </c>
      <c r="AB107" s="50" t="s">
        <v>41</v>
      </c>
    </row>
    <row r="108" spans="1:28" x14ac:dyDescent="0.4">
      <c r="A108" s="145"/>
      <c r="B108" s="148"/>
      <c r="C108" s="85" t="s">
        <v>262</v>
      </c>
      <c r="D108" s="109" t="s">
        <v>184</v>
      </c>
      <c r="E108" s="15" t="s">
        <v>60</v>
      </c>
      <c r="F108" s="16"/>
      <c r="G108" s="12" t="s">
        <v>178</v>
      </c>
      <c r="H108" s="15"/>
      <c r="I108" s="15"/>
      <c r="J108" s="13">
        <v>1</v>
      </c>
      <c r="K108" s="15"/>
      <c r="L108" s="13">
        <v>1</v>
      </c>
      <c r="M108" s="19"/>
      <c r="N108" s="19"/>
      <c r="O108" s="19"/>
      <c r="P108" s="19"/>
      <c r="Q108" s="19"/>
      <c r="R108" s="19"/>
      <c r="S108" s="15"/>
      <c r="T108" s="25">
        <v>46103</v>
      </c>
      <c r="U108" s="13" t="s">
        <v>146</v>
      </c>
      <c r="V108">
        <v>16</v>
      </c>
      <c r="AA108" s="49" t="s">
        <v>95</v>
      </c>
      <c r="AB108" s="50" t="s">
        <v>42</v>
      </c>
    </row>
    <row r="109" spans="1:28" x14ac:dyDescent="0.4">
      <c r="A109" s="145"/>
      <c r="B109" s="148"/>
      <c r="C109" s="85" t="s">
        <v>263</v>
      </c>
      <c r="D109" s="109" t="s">
        <v>184</v>
      </c>
      <c r="E109" s="15" t="s">
        <v>60</v>
      </c>
      <c r="F109" s="16"/>
      <c r="G109" s="12" t="s">
        <v>178</v>
      </c>
      <c r="H109" s="15"/>
      <c r="I109" s="15"/>
      <c r="J109" s="13">
        <v>1</v>
      </c>
      <c r="K109" s="15"/>
      <c r="L109" s="13">
        <v>1</v>
      </c>
      <c r="M109" s="19"/>
      <c r="N109" s="19"/>
      <c r="O109" s="19"/>
      <c r="P109" s="19"/>
      <c r="Q109" s="19"/>
      <c r="R109" s="19"/>
      <c r="S109" s="15"/>
      <c r="T109" s="25">
        <v>46103</v>
      </c>
      <c r="U109" s="15" t="s">
        <v>146</v>
      </c>
      <c r="V109">
        <v>17</v>
      </c>
      <c r="AA109" s="49" t="s">
        <v>96</v>
      </c>
      <c r="AB109" s="50" t="s">
        <v>61</v>
      </c>
    </row>
    <row r="110" spans="1:28" x14ac:dyDescent="0.4">
      <c r="A110" s="145"/>
      <c r="B110" s="148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45"/>
      <c r="B111" s="148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45"/>
      <c r="B112" s="148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45"/>
      <c r="B113" s="148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45"/>
      <c r="B114" s="148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45"/>
      <c r="B115" s="148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45"/>
      <c r="B116" s="148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46"/>
      <c r="B117" s="149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17</v>
      </c>
      <c r="D118" s="112"/>
      <c r="E118" s="29"/>
      <c r="F118" s="29" t="s">
        <v>34</v>
      </c>
      <c r="G118" s="29">
        <f>COUNTIF(G93:G117,"S")</f>
        <v>17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13</v>
      </c>
      <c r="K118" s="29">
        <f t="shared" ref="K118" si="4">SUM(K93:K117)</f>
        <v>4</v>
      </c>
      <c r="L118" s="29">
        <f t="shared" ref="L118" si="5">SUM(L93:L117)</f>
        <v>9</v>
      </c>
      <c r="M118" s="29">
        <f t="shared" ref="M118" si="6">SUM(M93:M117)</f>
        <v>2</v>
      </c>
      <c r="N118" s="29">
        <f t="shared" ref="N118" si="7">SUM(N93:N117)</f>
        <v>1</v>
      </c>
      <c r="O118" s="29">
        <f t="shared" ref="O118" si="8">SUM(O93:O117)</f>
        <v>1</v>
      </c>
      <c r="P118" s="29">
        <f t="shared" ref="P118" si="9">SUM(P93:P117)</f>
        <v>1</v>
      </c>
      <c r="Q118" s="29">
        <f t="shared" ref="Q118" si="10">SUM(Q93:Q117)</f>
        <v>2</v>
      </c>
      <c r="R118" s="29">
        <f t="shared" ref="R118" si="11">SUM(R93:R117)</f>
        <v>1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34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AYG133</v>
      </c>
      <c r="B121" s="24">
        <f>B1</f>
        <v>46072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42" t="s">
        <v>116</v>
      </c>
      <c r="Y122" s="143"/>
    </row>
    <row r="123" spans="1:28" ht="20.25" thickTop="1" thickBot="1" x14ac:dyDescent="0.45">
      <c r="A123" s="144">
        <v>5</v>
      </c>
      <c r="B123" s="147">
        <v>21.8</v>
      </c>
      <c r="C123" s="85" t="s">
        <v>264</v>
      </c>
      <c r="D123" s="109" t="s">
        <v>180</v>
      </c>
      <c r="E123" s="15" t="s">
        <v>45</v>
      </c>
      <c r="F123" s="14"/>
      <c r="G123" s="12" t="s">
        <v>178</v>
      </c>
      <c r="H123" s="13"/>
      <c r="I123" s="13"/>
      <c r="J123" s="13">
        <v>1</v>
      </c>
      <c r="K123" s="13"/>
      <c r="L123" s="13"/>
      <c r="M123" s="13"/>
      <c r="N123" s="13"/>
      <c r="O123" s="13"/>
      <c r="P123" s="13"/>
      <c r="Q123" s="13"/>
      <c r="R123" s="13"/>
      <c r="S123" s="13"/>
      <c r="T123" s="25">
        <v>46089</v>
      </c>
      <c r="U123" s="13" t="s">
        <v>147</v>
      </c>
      <c r="V123">
        <v>1</v>
      </c>
      <c r="X123" s="51" t="s">
        <v>106</v>
      </c>
      <c r="Y123" s="52">
        <f>COUNTIF(U123:U147,"K")</f>
        <v>6</v>
      </c>
      <c r="AA123" s="59" t="s">
        <v>120</v>
      </c>
      <c r="AB123" s="60" t="s">
        <v>121</v>
      </c>
    </row>
    <row r="124" spans="1:28" x14ac:dyDescent="0.4">
      <c r="A124" s="145"/>
      <c r="B124" s="148"/>
      <c r="C124" s="85" t="s">
        <v>265</v>
      </c>
      <c r="D124" s="109" t="s">
        <v>198</v>
      </c>
      <c r="E124" s="15" t="s">
        <v>74</v>
      </c>
      <c r="F124" s="16"/>
      <c r="G124" s="12" t="s">
        <v>178</v>
      </c>
      <c r="H124" s="15"/>
      <c r="I124" s="15"/>
      <c r="J124" s="15">
        <v>1</v>
      </c>
      <c r="K124" s="15">
        <v>1</v>
      </c>
      <c r="L124" s="17"/>
      <c r="M124" s="17"/>
      <c r="N124" s="17"/>
      <c r="O124" s="17"/>
      <c r="P124" s="17"/>
      <c r="Q124" s="17"/>
      <c r="R124" s="17"/>
      <c r="S124" s="15"/>
      <c r="T124" s="25">
        <v>46097</v>
      </c>
      <c r="U124" s="13" t="s">
        <v>142</v>
      </c>
      <c r="V124">
        <v>2</v>
      </c>
      <c r="X124" s="51" t="s">
        <v>107</v>
      </c>
      <c r="Y124" s="52">
        <f>COUNTIF(U123:U147,"R")</f>
        <v>9</v>
      </c>
      <c r="AA124" s="47" t="s">
        <v>81</v>
      </c>
      <c r="AB124" s="48" t="s">
        <v>60</v>
      </c>
    </row>
    <row r="125" spans="1:28" ht="19.5" thickBot="1" x14ac:dyDescent="0.45">
      <c r="A125" s="145"/>
      <c r="B125" s="148"/>
      <c r="C125" s="85" t="s">
        <v>266</v>
      </c>
      <c r="D125" s="109" t="s">
        <v>179</v>
      </c>
      <c r="E125" s="15" t="s">
        <v>37</v>
      </c>
      <c r="F125" s="16"/>
      <c r="G125" s="12" t="s">
        <v>178</v>
      </c>
      <c r="H125" s="15"/>
      <c r="I125" s="15"/>
      <c r="J125" s="13"/>
      <c r="K125" s="13"/>
      <c r="L125" s="13"/>
      <c r="M125" s="17">
        <v>1</v>
      </c>
      <c r="N125" s="17">
        <v>1</v>
      </c>
      <c r="O125" s="17"/>
      <c r="P125" s="17"/>
      <c r="Q125" s="17">
        <v>1</v>
      </c>
      <c r="R125" s="17"/>
      <c r="S125" s="15"/>
      <c r="T125" s="25">
        <v>46085</v>
      </c>
      <c r="U125" s="13" t="s">
        <v>147</v>
      </c>
      <c r="V125">
        <v>3</v>
      </c>
      <c r="X125" s="53" t="s">
        <v>108</v>
      </c>
      <c r="Y125" s="54">
        <f>COUNTIF(U123:U147,"J")</f>
        <v>1</v>
      </c>
      <c r="AA125" s="49" t="s">
        <v>82</v>
      </c>
      <c r="AB125" s="50" t="s">
        <v>39</v>
      </c>
    </row>
    <row r="126" spans="1:28" x14ac:dyDescent="0.4">
      <c r="A126" s="145"/>
      <c r="B126" s="148"/>
      <c r="C126" s="85" t="s">
        <v>267</v>
      </c>
      <c r="D126" s="109" t="s">
        <v>179</v>
      </c>
      <c r="E126" s="15" t="s">
        <v>75</v>
      </c>
      <c r="F126" s="16"/>
      <c r="G126" s="12" t="s">
        <v>178</v>
      </c>
      <c r="H126" s="15"/>
      <c r="I126" s="15"/>
      <c r="J126" s="15"/>
      <c r="K126" s="15"/>
      <c r="L126" s="17"/>
      <c r="M126" s="17"/>
      <c r="N126" s="17"/>
      <c r="O126" s="17"/>
      <c r="P126" s="17"/>
      <c r="Q126" s="17"/>
      <c r="R126" s="17"/>
      <c r="S126" s="15"/>
      <c r="T126" s="25">
        <v>46095</v>
      </c>
      <c r="U126" s="13" t="s">
        <v>147</v>
      </c>
      <c r="V126">
        <v>4</v>
      </c>
      <c r="AA126" s="49" t="s">
        <v>83</v>
      </c>
      <c r="AB126" s="50" t="s">
        <v>38</v>
      </c>
    </row>
    <row r="127" spans="1:28" x14ac:dyDescent="0.4">
      <c r="A127" s="145"/>
      <c r="B127" s="148"/>
      <c r="C127" s="85" t="s">
        <v>268</v>
      </c>
      <c r="D127" s="109" t="s">
        <v>179</v>
      </c>
      <c r="E127" s="15" t="s">
        <v>36</v>
      </c>
      <c r="F127" s="16"/>
      <c r="G127" s="12" t="s">
        <v>178</v>
      </c>
      <c r="H127" s="15"/>
      <c r="I127" s="15"/>
      <c r="J127" s="13"/>
      <c r="K127" s="13"/>
      <c r="L127" s="13"/>
      <c r="M127" s="17">
        <v>1</v>
      </c>
      <c r="N127" s="17">
        <v>1</v>
      </c>
      <c r="O127" s="17"/>
      <c r="P127" s="17"/>
      <c r="Q127" s="17">
        <v>1</v>
      </c>
      <c r="R127" s="17"/>
      <c r="S127" s="15"/>
      <c r="T127" s="25">
        <v>46096</v>
      </c>
      <c r="U127" s="13" t="s">
        <v>147</v>
      </c>
      <c r="V127">
        <v>5</v>
      </c>
      <c r="AA127" s="49" t="s">
        <v>84</v>
      </c>
      <c r="AB127" s="50" t="s">
        <v>44</v>
      </c>
    </row>
    <row r="128" spans="1:28" x14ac:dyDescent="0.4">
      <c r="A128" s="145"/>
      <c r="B128" s="148"/>
      <c r="C128" s="85" t="s">
        <v>269</v>
      </c>
      <c r="D128" s="109" t="s">
        <v>188</v>
      </c>
      <c r="E128" s="15" t="s">
        <v>36</v>
      </c>
      <c r="F128" s="16"/>
      <c r="G128" s="12" t="s">
        <v>178</v>
      </c>
      <c r="H128" s="13"/>
      <c r="I128" s="15"/>
      <c r="J128" s="15"/>
      <c r="K128" s="15"/>
      <c r="L128" s="17"/>
      <c r="M128" s="17">
        <v>1</v>
      </c>
      <c r="N128" s="17">
        <v>1</v>
      </c>
      <c r="O128" s="17"/>
      <c r="P128" s="17"/>
      <c r="Q128" s="17">
        <v>1</v>
      </c>
      <c r="R128" s="17"/>
      <c r="S128" s="15"/>
      <c r="T128" s="25">
        <v>46097</v>
      </c>
      <c r="U128" s="13" t="s">
        <v>147</v>
      </c>
      <c r="V128">
        <v>6</v>
      </c>
      <c r="AA128" s="49" t="s">
        <v>85</v>
      </c>
      <c r="AB128" s="50" t="s">
        <v>43</v>
      </c>
    </row>
    <row r="129" spans="1:28" x14ac:dyDescent="0.4">
      <c r="A129" s="145"/>
      <c r="B129" s="148"/>
      <c r="C129" s="85" t="s">
        <v>270</v>
      </c>
      <c r="D129" s="109" t="s">
        <v>194</v>
      </c>
      <c r="E129" s="15" t="s">
        <v>75</v>
      </c>
      <c r="F129" s="16"/>
      <c r="G129" s="12" t="s">
        <v>178</v>
      </c>
      <c r="H129" s="15"/>
      <c r="I129" s="15"/>
      <c r="J129" s="13"/>
      <c r="K129" s="13"/>
      <c r="L129" s="13"/>
      <c r="M129" s="17"/>
      <c r="N129" s="17"/>
      <c r="O129" s="17"/>
      <c r="P129" s="17"/>
      <c r="Q129" s="17"/>
      <c r="R129" s="17"/>
      <c r="S129" s="15">
        <v>1</v>
      </c>
      <c r="T129" s="25">
        <v>46098</v>
      </c>
      <c r="U129" s="13" t="s">
        <v>147</v>
      </c>
      <c r="V129">
        <v>7</v>
      </c>
      <c r="AA129" s="49" t="s">
        <v>86</v>
      </c>
      <c r="AB129" s="50" t="s">
        <v>45</v>
      </c>
    </row>
    <row r="130" spans="1:28" x14ac:dyDescent="0.4">
      <c r="A130" s="145"/>
      <c r="B130" s="148"/>
      <c r="C130" s="85" t="s">
        <v>271</v>
      </c>
      <c r="D130" s="109" t="s">
        <v>272</v>
      </c>
      <c r="E130" s="15" t="s">
        <v>75</v>
      </c>
      <c r="F130" s="16"/>
      <c r="G130" s="12" t="s">
        <v>178</v>
      </c>
      <c r="H130" s="15"/>
      <c r="I130" s="15"/>
      <c r="J130" s="15"/>
      <c r="K130" s="15"/>
      <c r="L130" s="17"/>
      <c r="M130" s="17"/>
      <c r="N130" s="17"/>
      <c r="O130" s="17"/>
      <c r="P130" s="17"/>
      <c r="Q130" s="17"/>
      <c r="R130" s="17"/>
      <c r="S130" s="15"/>
      <c r="T130" s="25">
        <v>46098</v>
      </c>
      <c r="U130" s="13" t="s">
        <v>147</v>
      </c>
      <c r="V130">
        <v>8</v>
      </c>
      <c r="AA130" s="49" t="s">
        <v>87</v>
      </c>
      <c r="AB130" s="50" t="s">
        <v>37</v>
      </c>
    </row>
    <row r="131" spans="1:28" x14ac:dyDescent="0.4">
      <c r="A131" s="145"/>
      <c r="B131" s="148"/>
      <c r="C131" s="85" t="s">
        <v>273</v>
      </c>
      <c r="D131" s="109" t="s">
        <v>272</v>
      </c>
      <c r="E131" s="15" t="s">
        <v>58</v>
      </c>
      <c r="F131" s="16"/>
      <c r="G131" s="12" t="s">
        <v>178</v>
      </c>
      <c r="H131" s="15"/>
      <c r="I131" s="15"/>
      <c r="J131" s="13"/>
      <c r="K131" s="13"/>
      <c r="L131" s="13"/>
      <c r="M131" s="17"/>
      <c r="N131" s="17"/>
      <c r="O131" s="17"/>
      <c r="P131" s="17"/>
      <c r="Q131" s="17"/>
      <c r="R131" s="17"/>
      <c r="S131" s="15"/>
      <c r="T131" s="25">
        <v>46098</v>
      </c>
      <c r="U131" s="13" t="s">
        <v>147</v>
      </c>
      <c r="V131">
        <v>9</v>
      </c>
      <c r="AA131" s="49" t="s">
        <v>88</v>
      </c>
      <c r="AB131" s="50" t="s">
        <v>74</v>
      </c>
    </row>
    <row r="132" spans="1:28" x14ac:dyDescent="0.4">
      <c r="A132" s="145"/>
      <c r="B132" s="148"/>
      <c r="C132" s="85" t="s">
        <v>274</v>
      </c>
      <c r="D132" s="109" t="s">
        <v>183</v>
      </c>
      <c r="E132" s="15" t="s">
        <v>75</v>
      </c>
      <c r="F132" s="16"/>
      <c r="G132" s="12" t="s">
        <v>178</v>
      </c>
      <c r="H132" s="15"/>
      <c r="I132" s="15"/>
      <c r="J132" s="15"/>
      <c r="K132" s="15"/>
      <c r="L132" s="17"/>
      <c r="M132" s="17"/>
      <c r="N132" s="17"/>
      <c r="O132" s="17"/>
      <c r="P132" s="17"/>
      <c r="Q132" s="17"/>
      <c r="R132" s="17"/>
      <c r="S132" s="15">
        <v>1</v>
      </c>
      <c r="T132" s="25">
        <v>46103</v>
      </c>
      <c r="U132" s="13" t="s">
        <v>146</v>
      </c>
      <c r="V132">
        <v>10</v>
      </c>
      <c r="AA132" s="49" t="s">
        <v>89</v>
      </c>
      <c r="AB132" s="50" t="s">
        <v>36</v>
      </c>
    </row>
    <row r="133" spans="1:28" x14ac:dyDescent="0.4">
      <c r="A133" s="145"/>
      <c r="B133" s="148"/>
      <c r="C133" s="85" t="s">
        <v>275</v>
      </c>
      <c r="D133" s="109" t="s">
        <v>183</v>
      </c>
      <c r="E133" s="15" t="s">
        <v>37</v>
      </c>
      <c r="F133" s="16"/>
      <c r="G133" s="12" t="s">
        <v>178</v>
      </c>
      <c r="H133" s="15"/>
      <c r="I133" s="15"/>
      <c r="J133" s="13">
        <v>1</v>
      </c>
      <c r="K133" s="13">
        <v>1</v>
      </c>
      <c r="L133" s="13"/>
      <c r="M133" s="17"/>
      <c r="N133" s="17"/>
      <c r="O133" s="17"/>
      <c r="P133" s="17"/>
      <c r="Q133" s="17"/>
      <c r="R133" s="17"/>
      <c r="S133" s="15"/>
      <c r="T133" s="25">
        <v>46103</v>
      </c>
      <c r="U133" s="13" t="s">
        <v>146</v>
      </c>
      <c r="V133">
        <v>11</v>
      </c>
      <c r="AA133" s="49" t="s">
        <v>90</v>
      </c>
      <c r="AB133" s="50" t="s">
        <v>58</v>
      </c>
    </row>
    <row r="134" spans="1:28" x14ac:dyDescent="0.4">
      <c r="A134" s="145"/>
      <c r="B134" s="148"/>
      <c r="C134" s="85" t="s">
        <v>277</v>
      </c>
      <c r="D134" s="109" t="s">
        <v>183</v>
      </c>
      <c r="E134" s="15" t="s">
        <v>38</v>
      </c>
      <c r="F134" s="16"/>
      <c r="G134" s="12" t="s">
        <v>178</v>
      </c>
      <c r="H134" s="15"/>
      <c r="I134" s="15"/>
      <c r="J134" s="15">
        <v>1</v>
      </c>
      <c r="K134" s="15">
        <v>1</v>
      </c>
      <c r="L134" s="17"/>
      <c r="M134" s="17"/>
      <c r="N134" s="17"/>
      <c r="O134" s="17"/>
      <c r="P134" s="17"/>
      <c r="Q134" s="17"/>
      <c r="R134" s="17"/>
      <c r="S134" s="15"/>
      <c r="T134" s="25">
        <v>46103</v>
      </c>
      <c r="U134" s="13" t="s">
        <v>146</v>
      </c>
      <c r="V134">
        <v>12</v>
      </c>
      <c r="AA134" s="49" t="s">
        <v>91</v>
      </c>
      <c r="AB134" s="50" t="s">
        <v>75</v>
      </c>
    </row>
    <row r="135" spans="1:28" x14ac:dyDescent="0.4">
      <c r="A135" s="145"/>
      <c r="B135" s="148"/>
      <c r="C135" s="85" t="s">
        <v>276</v>
      </c>
      <c r="D135" s="109" t="s">
        <v>183</v>
      </c>
      <c r="E135" s="15" t="s">
        <v>37</v>
      </c>
      <c r="F135" s="16"/>
      <c r="G135" s="12" t="s">
        <v>178</v>
      </c>
      <c r="H135" s="15"/>
      <c r="I135" s="15"/>
      <c r="J135" s="15">
        <v>1</v>
      </c>
      <c r="K135" s="15">
        <v>1</v>
      </c>
      <c r="L135" s="17"/>
      <c r="M135" s="17"/>
      <c r="N135" s="17"/>
      <c r="O135" s="17"/>
      <c r="P135" s="17"/>
      <c r="Q135" s="17"/>
      <c r="R135" s="17"/>
      <c r="S135" s="15"/>
      <c r="T135" s="25">
        <v>46103</v>
      </c>
      <c r="U135" s="132" t="s">
        <v>146</v>
      </c>
      <c r="V135">
        <v>13</v>
      </c>
      <c r="AA135" s="49" t="s">
        <v>92</v>
      </c>
      <c r="AB135" s="50" t="s">
        <v>40</v>
      </c>
    </row>
    <row r="136" spans="1:28" x14ac:dyDescent="0.4">
      <c r="A136" s="145"/>
      <c r="B136" s="148"/>
      <c r="C136" s="85" t="s">
        <v>278</v>
      </c>
      <c r="D136" s="109" t="s">
        <v>183</v>
      </c>
      <c r="E136" s="15" t="s">
        <v>41</v>
      </c>
      <c r="F136" s="16"/>
      <c r="G136" s="12" t="s">
        <v>178</v>
      </c>
      <c r="H136" s="15"/>
      <c r="I136" s="15"/>
      <c r="J136" s="15"/>
      <c r="K136" s="15"/>
      <c r="L136" s="17"/>
      <c r="M136" s="17"/>
      <c r="N136" s="17"/>
      <c r="O136" s="17"/>
      <c r="P136" s="17"/>
      <c r="Q136" s="17">
        <v>1</v>
      </c>
      <c r="R136" s="17"/>
      <c r="S136" s="15"/>
      <c r="T136" s="25">
        <v>46103</v>
      </c>
      <c r="U136" s="15" t="s">
        <v>147</v>
      </c>
      <c r="V136">
        <v>14</v>
      </c>
      <c r="AA136" s="49" t="s">
        <v>93</v>
      </c>
      <c r="AB136" s="50" t="s">
        <v>57</v>
      </c>
    </row>
    <row r="137" spans="1:28" x14ac:dyDescent="0.4">
      <c r="A137" s="145"/>
      <c r="B137" s="148"/>
      <c r="C137" s="85" t="s">
        <v>279</v>
      </c>
      <c r="D137" s="109" t="s">
        <v>243</v>
      </c>
      <c r="E137" s="15" t="s">
        <v>39</v>
      </c>
      <c r="F137" s="16"/>
      <c r="G137" s="15" t="s">
        <v>178</v>
      </c>
      <c r="H137" s="15"/>
      <c r="I137" s="15"/>
      <c r="J137" s="15">
        <v>1</v>
      </c>
      <c r="K137" s="15"/>
      <c r="L137" s="17"/>
      <c r="M137" s="17"/>
      <c r="N137" s="17"/>
      <c r="O137" s="17"/>
      <c r="P137" s="17"/>
      <c r="Q137" s="17"/>
      <c r="R137" s="17"/>
      <c r="S137" s="15"/>
      <c r="T137" s="25">
        <v>46099</v>
      </c>
      <c r="U137" s="15" t="s">
        <v>146</v>
      </c>
      <c r="V137">
        <v>15</v>
      </c>
      <c r="AA137" s="49" t="s">
        <v>94</v>
      </c>
      <c r="AB137" s="50" t="s">
        <v>41</v>
      </c>
    </row>
    <row r="138" spans="1:28" x14ac:dyDescent="0.4">
      <c r="A138" s="145"/>
      <c r="B138" s="148"/>
      <c r="C138" s="85" t="s">
        <v>280</v>
      </c>
      <c r="D138" s="106" t="s">
        <v>243</v>
      </c>
      <c r="E138" s="15" t="s">
        <v>133</v>
      </c>
      <c r="F138" s="16"/>
      <c r="G138" s="12" t="s">
        <v>178</v>
      </c>
      <c r="H138" s="15"/>
      <c r="I138" s="15"/>
      <c r="J138" s="18"/>
      <c r="K138" s="15"/>
      <c r="L138" s="19"/>
      <c r="M138" s="19"/>
      <c r="N138" s="13"/>
      <c r="O138" s="19">
        <v>1</v>
      </c>
      <c r="P138" s="19">
        <v>1</v>
      </c>
      <c r="Q138" s="19">
        <v>1</v>
      </c>
      <c r="R138" s="19"/>
      <c r="S138" s="15"/>
      <c r="T138" s="25">
        <v>46099</v>
      </c>
      <c r="U138" s="13" t="s">
        <v>148</v>
      </c>
      <c r="V138" s="73">
        <v>16</v>
      </c>
      <c r="AA138" s="49" t="s">
        <v>95</v>
      </c>
      <c r="AB138" s="50" t="s">
        <v>42</v>
      </c>
    </row>
    <row r="139" spans="1:28" x14ac:dyDescent="0.4">
      <c r="A139" s="145"/>
      <c r="B139" s="148"/>
      <c r="C139" s="85"/>
      <c r="D139" s="106"/>
      <c r="E139" s="15"/>
      <c r="F139" s="16"/>
      <c r="G139" s="12"/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26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45"/>
      <c r="B140" s="148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45"/>
      <c r="B141" s="148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45"/>
      <c r="B142" s="148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45"/>
      <c r="B143" s="148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45"/>
      <c r="B144" s="148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45"/>
      <c r="B145" s="148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45"/>
      <c r="B146" s="148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46"/>
      <c r="B147" s="149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16</v>
      </c>
      <c r="D148" s="112"/>
      <c r="E148" s="29"/>
      <c r="F148" s="29" t="s">
        <v>34</v>
      </c>
      <c r="G148" s="29">
        <f>COUNTIF(G123:G147,"S")</f>
        <v>16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6</v>
      </c>
      <c r="K148" s="29">
        <f t="shared" ref="K148" si="14">SUM(K123:K147)</f>
        <v>4</v>
      </c>
      <c r="L148" s="29">
        <f t="shared" ref="L148" si="15">SUM(L123:L147)</f>
        <v>0</v>
      </c>
      <c r="M148" s="29">
        <f t="shared" ref="M148" si="16">SUM(M123:M147)</f>
        <v>3</v>
      </c>
      <c r="N148" s="29">
        <f t="shared" ref="N148" si="17">SUM(N123:N147)</f>
        <v>3</v>
      </c>
      <c r="O148" s="29">
        <f t="shared" ref="O148" si="18">SUM(O123:O147)</f>
        <v>1</v>
      </c>
      <c r="P148" s="29">
        <f t="shared" ref="P148" si="19">SUM(P123:P147)</f>
        <v>1</v>
      </c>
      <c r="Q148" s="29">
        <f t="shared" ref="Q148" si="20">SUM(Q123:Q147)</f>
        <v>5</v>
      </c>
      <c r="R148" s="29">
        <f t="shared" ref="R148" si="21">SUM(R123:R147)</f>
        <v>0</v>
      </c>
      <c r="S148" s="29">
        <f t="shared" ref="S148" si="22">SUM(S123:S147)</f>
        <v>2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25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AYG133</v>
      </c>
      <c r="B151" s="24">
        <f>B1</f>
        <v>46072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175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42" t="s">
        <v>115</v>
      </c>
      <c r="Y152" s="143"/>
    </row>
    <row r="153" spans="1:28" ht="20.25" thickTop="1" thickBot="1" x14ac:dyDescent="0.45">
      <c r="A153" s="144">
        <v>6</v>
      </c>
      <c r="B153" s="150">
        <v>22</v>
      </c>
      <c r="C153" s="85" t="s">
        <v>281</v>
      </c>
      <c r="D153" s="109" t="s">
        <v>180</v>
      </c>
      <c r="E153" s="13" t="s">
        <v>74</v>
      </c>
      <c r="F153" s="14"/>
      <c r="G153" s="12" t="s">
        <v>178</v>
      </c>
      <c r="H153" s="13"/>
      <c r="I153" s="13"/>
      <c r="J153" s="13"/>
      <c r="K153" s="13">
        <v>1</v>
      </c>
      <c r="L153" s="13"/>
      <c r="M153" s="13"/>
      <c r="N153" s="13"/>
      <c r="O153" s="13"/>
      <c r="P153" s="13"/>
      <c r="Q153" s="13"/>
      <c r="R153" s="13"/>
      <c r="S153" s="13"/>
      <c r="T153" s="26">
        <v>46092</v>
      </c>
      <c r="U153" s="13" t="s">
        <v>146</v>
      </c>
      <c r="V153">
        <v>1</v>
      </c>
      <c r="X153" s="51" t="s">
        <v>106</v>
      </c>
      <c r="Y153" s="52">
        <f>COUNTIF(U153:U177,"K")</f>
        <v>4</v>
      </c>
      <c r="AA153" s="59" t="s">
        <v>120</v>
      </c>
      <c r="AB153" s="60" t="s">
        <v>121</v>
      </c>
    </row>
    <row r="154" spans="1:28" x14ac:dyDescent="0.4">
      <c r="A154" s="145"/>
      <c r="B154" s="151"/>
      <c r="C154" s="85" t="s">
        <v>282</v>
      </c>
      <c r="D154" s="109" t="s">
        <v>181</v>
      </c>
      <c r="E154" s="13" t="s">
        <v>37</v>
      </c>
      <c r="F154" s="16"/>
      <c r="G154" s="12" t="s">
        <v>178</v>
      </c>
      <c r="H154" s="15"/>
      <c r="I154" s="15"/>
      <c r="J154" s="15"/>
      <c r="K154" s="15"/>
      <c r="L154" s="17"/>
      <c r="M154" s="17">
        <v>1</v>
      </c>
      <c r="N154" s="17">
        <v>1</v>
      </c>
      <c r="O154" s="17"/>
      <c r="P154" s="17"/>
      <c r="Q154" s="17">
        <v>1</v>
      </c>
      <c r="R154" s="17"/>
      <c r="S154" s="15"/>
      <c r="T154" s="26">
        <v>46097</v>
      </c>
      <c r="U154" s="13" t="s">
        <v>147</v>
      </c>
      <c r="V154">
        <v>2</v>
      </c>
      <c r="X154" s="51" t="s">
        <v>107</v>
      </c>
      <c r="Y154" s="52">
        <f>COUNTIF(U153:U177,"R")</f>
        <v>12</v>
      </c>
      <c r="AA154" s="47" t="s">
        <v>81</v>
      </c>
      <c r="AB154" s="48" t="s">
        <v>60</v>
      </c>
    </row>
    <row r="155" spans="1:28" ht="19.5" thickBot="1" x14ac:dyDescent="0.45">
      <c r="A155" s="145"/>
      <c r="B155" s="151"/>
      <c r="C155" s="85" t="s">
        <v>283</v>
      </c>
      <c r="D155" s="109" t="s">
        <v>181</v>
      </c>
      <c r="E155" s="13" t="s">
        <v>75</v>
      </c>
      <c r="F155" s="16"/>
      <c r="G155" s="12" t="s">
        <v>178</v>
      </c>
      <c r="H155" s="13"/>
      <c r="I155" s="15"/>
      <c r="J155" s="13"/>
      <c r="K155" s="13"/>
      <c r="L155" s="13"/>
      <c r="M155" s="17"/>
      <c r="N155" s="17"/>
      <c r="O155" s="17"/>
      <c r="P155" s="17"/>
      <c r="Q155" s="17"/>
      <c r="R155" s="17"/>
      <c r="S155" s="15"/>
      <c r="T155" s="26">
        <v>46099</v>
      </c>
      <c r="U155" s="13" t="s">
        <v>147</v>
      </c>
      <c r="V155">
        <v>3</v>
      </c>
      <c r="X155" s="53" t="s">
        <v>108</v>
      </c>
      <c r="Y155" s="54">
        <f>COUNTIF(U153:U177,"J")</f>
        <v>0</v>
      </c>
      <c r="AA155" s="49" t="s">
        <v>82</v>
      </c>
      <c r="AB155" s="50" t="s">
        <v>39</v>
      </c>
    </row>
    <row r="156" spans="1:28" x14ac:dyDescent="0.4">
      <c r="A156" s="145"/>
      <c r="B156" s="151"/>
      <c r="C156" s="85" t="s">
        <v>284</v>
      </c>
      <c r="D156" s="109" t="s">
        <v>193</v>
      </c>
      <c r="E156" s="13" t="s">
        <v>75</v>
      </c>
      <c r="F156" s="16"/>
      <c r="G156" s="12" t="s">
        <v>178</v>
      </c>
      <c r="H156" s="15"/>
      <c r="I156" s="15"/>
      <c r="J156" s="15"/>
      <c r="K156" s="15"/>
      <c r="L156" s="17"/>
      <c r="M156" s="17"/>
      <c r="N156" s="17"/>
      <c r="O156" s="17"/>
      <c r="P156" s="17"/>
      <c r="Q156" s="17"/>
      <c r="R156" s="17"/>
      <c r="S156" s="15">
        <v>1</v>
      </c>
      <c r="T156" s="26">
        <v>46098</v>
      </c>
      <c r="U156" s="13" t="s">
        <v>146</v>
      </c>
      <c r="V156">
        <v>4</v>
      </c>
      <c r="AA156" s="49" t="s">
        <v>83</v>
      </c>
      <c r="AB156" s="50" t="s">
        <v>38</v>
      </c>
    </row>
    <row r="157" spans="1:28" x14ac:dyDescent="0.4">
      <c r="A157" s="145"/>
      <c r="B157" s="151"/>
      <c r="C157" s="85" t="s">
        <v>285</v>
      </c>
      <c r="D157" s="109" t="s">
        <v>181</v>
      </c>
      <c r="E157" s="13" t="s">
        <v>38</v>
      </c>
      <c r="F157" s="16"/>
      <c r="G157" s="12" t="s">
        <v>178</v>
      </c>
      <c r="H157" s="15"/>
      <c r="I157" s="15"/>
      <c r="J157" s="13">
        <v>1</v>
      </c>
      <c r="K157" s="15">
        <v>1</v>
      </c>
      <c r="L157" s="13"/>
      <c r="M157" s="17"/>
      <c r="N157" s="17"/>
      <c r="O157" s="17"/>
      <c r="P157" s="17"/>
      <c r="Q157" s="17"/>
      <c r="R157" s="17"/>
      <c r="S157" s="15"/>
      <c r="T157" s="26">
        <v>46096</v>
      </c>
      <c r="U157" s="13" t="s">
        <v>147</v>
      </c>
      <c r="V157">
        <v>5</v>
      </c>
      <c r="AA157" s="49" t="s">
        <v>84</v>
      </c>
      <c r="AB157" s="50" t="s">
        <v>44</v>
      </c>
    </row>
    <row r="158" spans="1:28" x14ac:dyDescent="0.4">
      <c r="A158" s="145"/>
      <c r="B158" s="151"/>
      <c r="C158" s="85" t="s">
        <v>286</v>
      </c>
      <c r="D158" s="109" t="s">
        <v>179</v>
      </c>
      <c r="E158" s="13" t="s">
        <v>36</v>
      </c>
      <c r="F158" s="16"/>
      <c r="G158" s="12" t="s">
        <v>178</v>
      </c>
      <c r="H158" s="13"/>
      <c r="I158" s="15"/>
      <c r="J158" s="13">
        <v>1</v>
      </c>
      <c r="K158" s="15">
        <v>1</v>
      </c>
      <c r="L158" s="13"/>
      <c r="M158" s="17"/>
      <c r="N158" s="17"/>
      <c r="O158" s="17"/>
      <c r="P158" s="17"/>
      <c r="Q158" s="17"/>
      <c r="R158" s="17"/>
      <c r="S158" s="15"/>
      <c r="T158" s="26">
        <v>46090</v>
      </c>
      <c r="U158" s="13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45"/>
      <c r="B159" s="151"/>
      <c r="C159" s="85" t="s">
        <v>287</v>
      </c>
      <c r="D159" s="109" t="s">
        <v>196</v>
      </c>
      <c r="E159" s="13" t="s">
        <v>75</v>
      </c>
      <c r="F159" s="16"/>
      <c r="G159" s="12" t="s">
        <v>178</v>
      </c>
      <c r="H159" s="15"/>
      <c r="I159" s="15"/>
      <c r="J159" s="13"/>
      <c r="K159" s="15"/>
      <c r="L159" s="13"/>
      <c r="M159" s="17"/>
      <c r="N159" s="17"/>
      <c r="O159" s="17"/>
      <c r="P159" s="17"/>
      <c r="Q159" s="17"/>
      <c r="R159" s="17"/>
      <c r="S159" s="15"/>
      <c r="T159" s="26">
        <v>46107</v>
      </c>
      <c r="U159" s="13" t="s">
        <v>147</v>
      </c>
      <c r="V159">
        <v>7</v>
      </c>
      <c r="AA159" s="49" t="s">
        <v>86</v>
      </c>
      <c r="AB159" s="50" t="s">
        <v>45</v>
      </c>
    </row>
    <row r="160" spans="1:28" x14ac:dyDescent="0.4">
      <c r="A160" s="145"/>
      <c r="B160" s="151"/>
      <c r="C160" s="85" t="s">
        <v>288</v>
      </c>
      <c r="D160" s="109" t="s">
        <v>196</v>
      </c>
      <c r="E160" s="13" t="s">
        <v>36</v>
      </c>
      <c r="F160" s="16"/>
      <c r="G160" s="12" t="s">
        <v>178</v>
      </c>
      <c r="H160" s="15"/>
      <c r="I160" s="15"/>
      <c r="J160" s="13">
        <v>1</v>
      </c>
      <c r="K160" s="15">
        <v>1</v>
      </c>
      <c r="L160" s="13"/>
      <c r="M160" s="17"/>
      <c r="N160" s="17"/>
      <c r="O160" s="17"/>
      <c r="P160" s="17"/>
      <c r="Q160" s="17"/>
      <c r="R160" s="17"/>
      <c r="S160" s="15"/>
      <c r="T160" s="26">
        <v>46102</v>
      </c>
      <c r="U160" s="13" t="s">
        <v>147</v>
      </c>
      <c r="V160">
        <v>8</v>
      </c>
      <c r="AA160" s="49" t="s">
        <v>87</v>
      </c>
      <c r="AB160" s="50" t="s">
        <v>37</v>
      </c>
    </row>
    <row r="161" spans="1:28" x14ac:dyDescent="0.4">
      <c r="A161" s="145"/>
      <c r="B161" s="151"/>
      <c r="C161" s="85" t="s">
        <v>289</v>
      </c>
      <c r="D161" s="109" t="s">
        <v>193</v>
      </c>
      <c r="E161" s="13" t="s">
        <v>37</v>
      </c>
      <c r="F161" s="16"/>
      <c r="G161" s="12" t="s">
        <v>178</v>
      </c>
      <c r="H161" s="15"/>
      <c r="I161" s="15"/>
      <c r="J161" s="13"/>
      <c r="K161" s="15"/>
      <c r="L161" s="13"/>
      <c r="M161" s="17">
        <v>1</v>
      </c>
      <c r="N161" s="17">
        <v>1</v>
      </c>
      <c r="O161" s="17"/>
      <c r="P161" s="17"/>
      <c r="Q161" s="17">
        <v>1</v>
      </c>
      <c r="R161" s="17"/>
      <c r="S161" s="15"/>
      <c r="T161" s="26">
        <v>46097</v>
      </c>
      <c r="U161" s="13" t="s">
        <v>147</v>
      </c>
      <c r="V161">
        <v>9</v>
      </c>
      <c r="AA161" s="49" t="s">
        <v>88</v>
      </c>
      <c r="AB161" s="50" t="s">
        <v>74</v>
      </c>
    </row>
    <row r="162" spans="1:28" x14ac:dyDescent="0.4">
      <c r="A162" s="145"/>
      <c r="B162" s="151"/>
      <c r="C162" s="85" t="s">
        <v>290</v>
      </c>
      <c r="D162" s="109" t="s">
        <v>193</v>
      </c>
      <c r="E162" s="13" t="s">
        <v>37</v>
      </c>
      <c r="F162" s="138"/>
      <c r="G162" s="12" t="s">
        <v>178</v>
      </c>
      <c r="H162" s="15"/>
      <c r="I162" s="15"/>
      <c r="J162" s="13"/>
      <c r="K162" s="15"/>
      <c r="L162" s="13"/>
      <c r="M162" s="17">
        <v>1</v>
      </c>
      <c r="N162" s="17">
        <v>1</v>
      </c>
      <c r="O162" s="17"/>
      <c r="P162" s="17"/>
      <c r="Q162" s="17">
        <v>1</v>
      </c>
      <c r="R162" s="17"/>
      <c r="S162" s="15"/>
      <c r="T162" s="26">
        <v>46108</v>
      </c>
      <c r="U162" s="13" t="s">
        <v>147</v>
      </c>
      <c r="V162">
        <v>10</v>
      </c>
      <c r="AA162" s="49" t="s">
        <v>89</v>
      </c>
      <c r="AB162" s="50" t="s">
        <v>36</v>
      </c>
    </row>
    <row r="163" spans="1:28" x14ac:dyDescent="0.4">
      <c r="A163" s="145"/>
      <c r="B163" s="151"/>
      <c r="C163" s="85" t="s">
        <v>291</v>
      </c>
      <c r="D163" s="109" t="s">
        <v>193</v>
      </c>
      <c r="E163" s="13" t="s">
        <v>37</v>
      </c>
      <c r="F163" s="16"/>
      <c r="G163" s="12" t="s">
        <v>178</v>
      </c>
      <c r="H163" s="15"/>
      <c r="I163" s="15"/>
      <c r="J163" s="15"/>
      <c r="K163" s="15"/>
      <c r="L163" s="17"/>
      <c r="M163" s="17">
        <v>1</v>
      </c>
      <c r="N163" s="17">
        <v>1</v>
      </c>
      <c r="O163" s="17"/>
      <c r="P163" s="17"/>
      <c r="Q163" s="17">
        <v>1</v>
      </c>
      <c r="R163" s="17"/>
      <c r="S163" s="15"/>
      <c r="T163" s="26">
        <v>46097</v>
      </c>
      <c r="U163" s="13" t="s">
        <v>147</v>
      </c>
      <c r="V163">
        <v>11</v>
      </c>
      <c r="AA163" s="49" t="s">
        <v>90</v>
      </c>
      <c r="AB163" s="50" t="s">
        <v>58</v>
      </c>
    </row>
    <row r="164" spans="1:28" x14ac:dyDescent="0.4">
      <c r="A164" s="145"/>
      <c r="B164" s="151"/>
      <c r="C164" s="85" t="s">
        <v>292</v>
      </c>
      <c r="D164" s="109" t="s">
        <v>193</v>
      </c>
      <c r="E164" s="13" t="s">
        <v>37</v>
      </c>
      <c r="F164" s="16"/>
      <c r="G164" s="12" t="s">
        <v>178</v>
      </c>
      <c r="H164" s="15"/>
      <c r="I164" s="15"/>
      <c r="J164" s="15"/>
      <c r="K164" s="15"/>
      <c r="L164" s="17"/>
      <c r="M164" s="17">
        <v>1</v>
      </c>
      <c r="N164" s="17">
        <v>1</v>
      </c>
      <c r="O164" s="17"/>
      <c r="P164" s="17"/>
      <c r="Q164" s="17">
        <v>1</v>
      </c>
      <c r="R164" s="17"/>
      <c r="S164" s="15"/>
      <c r="T164" s="26">
        <v>46108</v>
      </c>
      <c r="U164" s="13" t="s">
        <v>147</v>
      </c>
      <c r="V164">
        <v>12</v>
      </c>
      <c r="AA164" s="49" t="s">
        <v>91</v>
      </c>
      <c r="AB164" s="50" t="s">
        <v>75</v>
      </c>
    </row>
    <row r="165" spans="1:28" x14ac:dyDescent="0.4">
      <c r="A165" s="145"/>
      <c r="B165" s="151"/>
      <c r="C165" s="85" t="s">
        <v>293</v>
      </c>
      <c r="D165" s="109" t="s">
        <v>187</v>
      </c>
      <c r="E165" s="13" t="s">
        <v>36</v>
      </c>
      <c r="F165" s="16"/>
      <c r="G165" s="12" t="s">
        <v>178</v>
      </c>
      <c r="H165" s="15"/>
      <c r="I165" s="15"/>
      <c r="J165" s="15"/>
      <c r="K165" s="15"/>
      <c r="L165" s="17"/>
      <c r="M165" s="17">
        <v>1</v>
      </c>
      <c r="N165" s="17">
        <v>1</v>
      </c>
      <c r="O165" s="17"/>
      <c r="P165" s="17"/>
      <c r="Q165" s="17">
        <v>1</v>
      </c>
      <c r="R165" s="17"/>
      <c r="S165" s="15"/>
      <c r="T165" s="26">
        <v>46110</v>
      </c>
      <c r="U165" s="13" t="s">
        <v>147</v>
      </c>
      <c r="V165">
        <v>13</v>
      </c>
      <c r="AA165" s="49" t="s">
        <v>92</v>
      </c>
      <c r="AB165" s="50" t="s">
        <v>40</v>
      </c>
    </row>
    <row r="166" spans="1:28" x14ac:dyDescent="0.4">
      <c r="A166" s="145"/>
      <c r="B166" s="151"/>
      <c r="C166" s="85" t="s">
        <v>294</v>
      </c>
      <c r="D166" s="109" t="s">
        <v>187</v>
      </c>
      <c r="E166" s="13" t="s">
        <v>36</v>
      </c>
      <c r="F166" s="16"/>
      <c r="G166" s="12" t="s">
        <v>178</v>
      </c>
      <c r="H166" s="15"/>
      <c r="I166" s="15"/>
      <c r="J166" s="15"/>
      <c r="K166" s="15"/>
      <c r="L166" s="17"/>
      <c r="M166" s="17">
        <v>1</v>
      </c>
      <c r="N166" s="17">
        <v>1</v>
      </c>
      <c r="O166" s="17"/>
      <c r="P166" s="17"/>
      <c r="Q166" s="17">
        <v>1</v>
      </c>
      <c r="R166" s="17"/>
      <c r="S166" s="15"/>
      <c r="T166" s="26">
        <v>46110</v>
      </c>
      <c r="U166" s="13" t="s">
        <v>147</v>
      </c>
      <c r="V166">
        <v>14</v>
      </c>
      <c r="AA166" s="49" t="s">
        <v>93</v>
      </c>
      <c r="AB166" s="50" t="s">
        <v>57</v>
      </c>
    </row>
    <row r="167" spans="1:28" x14ac:dyDescent="0.4">
      <c r="A167" s="145"/>
      <c r="B167" s="151"/>
      <c r="C167" s="85" t="s">
        <v>295</v>
      </c>
      <c r="D167" s="109" t="s">
        <v>187</v>
      </c>
      <c r="E167" s="13" t="s">
        <v>36</v>
      </c>
      <c r="F167" s="16"/>
      <c r="G167" s="12" t="s">
        <v>178</v>
      </c>
      <c r="H167" s="15"/>
      <c r="I167" s="15"/>
      <c r="J167" s="15"/>
      <c r="K167" s="15"/>
      <c r="L167" s="17"/>
      <c r="M167" s="17">
        <v>1</v>
      </c>
      <c r="N167" s="17">
        <v>1</v>
      </c>
      <c r="O167" s="17"/>
      <c r="P167" s="17"/>
      <c r="Q167" s="17">
        <v>1</v>
      </c>
      <c r="R167" s="17"/>
      <c r="S167" s="15"/>
      <c r="T167" s="26">
        <v>46110</v>
      </c>
      <c r="U167" s="13" t="s">
        <v>147</v>
      </c>
      <c r="V167">
        <v>15</v>
      </c>
      <c r="AA167" s="49" t="s">
        <v>94</v>
      </c>
      <c r="AB167" s="50" t="s">
        <v>41</v>
      </c>
    </row>
    <row r="168" spans="1:28" x14ac:dyDescent="0.4">
      <c r="A168" s="145"/>
      <c r="B168" s="151"/>
      <c r="C168" s="85" t="s">
        <v>296</v>
      </c>
      <c r="D168" s="106" t="s">
        <v>183</v>
      </c>
      <c r="E168" s="106" t="s">
        <v>37</v>
      </c>
      <c r="F168" s="16"/>
      <c r="G168" s="12" t="s">
        <v>178</v>
      </c>
      <c r="H168" s="15"/>
      <c r="I168" s="15"/>
      <c r="J168" s="18">
        <v>1</v>
      </c>
      <c r="K168" s="15">
        <v>1</v>
      </c>
      <c r="L168" s="19"/>
      <c r="M168" s="19"/>
      <c r="N168" s="19"/>
      <c r="O168" s="19"/>
      <c r="P168" s="19"/>
      <c r="Q168" s="19"/>
      <c r="R168" s="19"/>
      <c r="S168" s="15"/>
      <c r="T168" s="25">
        <v>46103</v>
      </c>
      <c r="U168" s="13" t="s">
        <v>146</v>
      </c>
      <c r="V168">
        <v>16</v>
      </c>
      <c r="AA168" s="49" t="s">
        <v>95</v>
      </c>
      <c r="AB168" s="50" t="s">
        <v>42</v>
      </c>
    </row>
    <row r="169" spans="1:28" x14ac:dyDescent="0.4">
      <c r="A169" s="145"/>
      <c r="B169" s="151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45"/>
      <c r="B170" s="151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45"/>
      <c r="B171" s="151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45"/>
      <c r="B172" s="151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45"/>
      <c r="B173" s="151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45"/>
      <c r="B174" s="151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45"/>
      <c r="B175" s="151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45"/>
      <c r="B176" s="151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46"/>
      <c r="B177" s="152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16</v>
      </c>
      <c r="D178" s="112"/>
      <c r="E178" s="29"/>
      <c r="F178" s="29" t="s">
        <v>34</v>
      </c>
      <c r="G178" s="29">
        <f>COUNTIF(G153:G177,"S")</f>
        <v>16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4</v>
      </c>
      <c r="K178" s="29">
        <f t="shared" ref="K178" si="24">SUM(K153:K177)</f>
        <v>5</v>
      </c>
      <c r="L178" s="29">
        <f t="shared" ref="L178" si="25">SUM(L153:L177)</f>
        <v>0</v>
      </c>
      <c r="M178" s="29">
        <f t="shared" ref="M178" si="26">SUM(M153:M177)</f>
        <v>8</v>
      </c>
      <c r="N178" s="29">
        <f t="shared" ref="N178" si="27">SUM(N153:N177)</f>
        <v>8</v>
      </c>
      <c r="O178" s="29">
        <f t="shared" ref="O178" si="28">SUM(O153:O177)</f>
        <v>0</v>
      </c>
      <c r="P178" s="29">
        <f t="shared" ref="P178" si="29">SUM(P153:P177)</f>
        <v>0</v>
      </c>
      <c r="Q178" s="29">
        <f t="shared" ref="Q178" si="30">SUM(Q153:Q177)</f>
        <v>8</v>
      </c>
      <c r="R178" s="29">
        <f t="shared" ref="R178" si="31">SUM(R153:R177)</f>
        <v>0</v>
      </c>
      <c r="S178" s="29">
        <f t="shared" ref="S178" si="32">SUM(S153:S177)</f>
        <v>1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34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177</v>
      </c>
      <c r="B181" s="24">
        <v>45911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42" t="s">
        <v>114</v>
      </c>
      <c r="Y182" s="143"/>
    </row>
    <row r="183" spans="1:28" ht="20.25" thickTop="1" thickBot="1" x14ac:dyDescent="0.45">
      <c r="A183" s="144">
        <v>7</v>
      </c>
      <c r="B183" s="150">
        <v>20.2</v>
      </c>
      <c r="C183" s="85" t="s">
        <v>297</v>
      </c>
      <c r="D183" s="110" t="s">
        <v>197</v>
      </c>
      <c r="E183" s="18" t="s">
        <v>58</v>
      </c>
      <c r="F183" s="16"/>
      <c r="G183" s="18" t="s">
        <v>178</v>
      </c>
      <c r="H183" s="15"/>
      <c r="I183" s="15"/>
      <c r="J183" s="18"/>
      <c r="K183" s="15"/>
      <c r="L183" s="18"/>
      <c r="M183" s="19"/>
      <c r="N183" s="19"/>
      <c r="O183" s="19"/>
      <c r="P183" s="19"/>
      <c r="Q183" s="19"/>
      <c r="R183" s="19"/>
      <c r="S183" s="15">
        <v>1</v>
      </c>
      <c r="T183" s="25">
        <v>46098</v>
      </c>
      <c r="U183" s="15" t="s">
        <v>146</v>
      </c>
      <c r="V183">
        <v>1</v>
      </c>
      <c r="X183" s="51" t="s">
        <v>106</v>
      </c>
      <c r="Y183" s="52">
        <f>COUNTIF(U183:U207,"K")</f>
        <v>11</v>
      </c>
      <c r="AA183" s="59" t="s">
        <v>120</v>
      </c>
      <c r="AB183" s="60" t="s">
        <v>121</v>
      </c>
    </row>
    <row r="184" spans="1:28" x14ac:dyDescent="0.4">
      <c r="A184" s="145"/>
      <c r="B184" s="151"/>
      <c r="C184" s="85" t="s">
        <v>298</v>
      </c>
      <c r="D184" s="110" t="s">
        <v>192</v>
      </c>
      <c r="E184" s="18" t="s">
        <v>36</v>
      </c>
      <c r="F184" s="16"/>
      <c r="G184" s="18" t="s">
        <v>178</v>
      </c>
      <c r="H184" s="15"/>
      <c r="I184" s="15"/>
      <c r="J184" s="18">
        <v>1</v>
      </c>
      <c r="K184" s="15">
        <v>1</v>
      </c>
      <c r="L184" s="18"/>
      <c r="M184" s="19"/>
      <c r="N184" s="19"/>
      <c r="O184" s="19"/>
      <c r="P184" s="19"/>
      <c r="Q184" s="19"/>
      <c r="R184" s="19"/>
      <c r="S184" s="132"/>
      <c r="T184" s="25">
        <v>46102</v>
      </c>
      <c r="U184" s="15" t="s">
        <v>146</v>
      </c>
      <c r="V184">
        <v>2</v>
      </c>
      <c r="X184" s="51" t="s">
        <v>107</v>
      </c>
      <c r="Y184" s="52">
        <f>COUNTIF(U183:U207,"R")</f>
        <v>4</v>
      </c>
      <c r="AA184" s="47" t="s">
        <v>81</v>
      </c>
      <c r="AB184" s="48" t="s">
        <v>60</v>
      </c>
    </row>
    <row r="185" spans="1:28" ht="19.5" thickBot="1" x14ac:dyDescent="0.45">
      <c r="A185" s="145"/>
      <c r="B185" s="151"/>
      <c r="C185" s="85" t="s">
        <v>299</v>
      </c>
      <c r="D185" s="110" t="s">
        <v>190</v>
      </c>
      <c r="E185" s="18" t="s">
        <v>74</v>
      </c>
      <c r="F185" s="16"/>
      <c r="G185" s="18" t="s">
        <v>178</v>
      </c>
      <c r="H185" s="15"/>
      <c r="I185" s="15"/>
      <c r="J185" s="18"/>
      <c r="K185" s="15"/>
      <c r="L185" s="18"/>
      <c r="M185" s="17">
        <v>1</v>
      </c>
      <c r="N185" s="17"/>
      <c r="O185" s="17"/>
      <c r="P185" s="17"/>
      <c r="Q185" s="17">
        <v>1</v>
      </c>
      <c r="R185" s="17"/>
      <c r="S185" s="15"/>
      <c r="T185" s="25">
        <v>46104</v>
      </c>
      <c r="U185" s="15" t="s">
        <v>147</v>
      </c>
      <c r="V185">
        <v>3</v>
      </c>
      <c r="X185" s="53" t="s">
        <v>108</v>
      </c>
      <c r="Y185" s="54">
        <f>COUNTIF(U183:U207,"J")</f>
        <v>2</v>
      </c>
      <c r="AA185" s="49" t="s">
        <v>82</v>
      </c>
      <c r="AB185" s="50" t="s">
        <v>39</v>
      </c>
    </row>
    <row r="186" spans="1:28" x14ac:dyDescent="0.4">
      <c r="A186" s="145"/>
      <c r="B186" s="151"/>
      <c r="C186" s="85" t="s">
        <v>300</v>
      </c>
      <c r="D186" s="110" t="s">
        <v>190</v>
      </c>
      <c r="E186" s="18" t="s">
        <v>40</v>
      </c>
      <c r="F186" s="16"/>
      <c r="G186" s="18" t="s">
        <v>178</v>
      </c>
      <c r="H186" s="15"/>
      <c r="I186" s="15"/>
      <c r="J186" s="18"/>
      <c r="K186" s="15"/>
      <c r="L186" s="18"/>
      <c r="M186" s="17"/>
      <c r="N186" s="17"/>
      <c r="O186" s="17">
        <v>1</v>
      </c>
      <c r="P186" s="17">
        <v>1</v>
      </c>
      <c r="Q186" s="17">
        <v>1</v>
      </c>
      <c r="R186" s="17">
        <v>1</v>
      </c>
      <c r="S186" s="15"/>
      <c r="T186" s="25">
        <v>46104</v>
      </c>
      <c r="U186" s="15" t="s">
        <v>148</v>
      </c>
      <c r="V186">
        <v>4</v>
      </c>
      <c r="AA186" s="49" t="s">
        <v>83</v>
      </c>
      <c r="AB186" s="50" t="s">
        <v>38</v>
      </c>
    </row>
    <row r="187" spans="1:28" x14ac:dyDescent="0.4">
      <c r="A187" s="145"/>
      <c r="B187" s="151"/>
      <c r="C187" s="85" t="s">
        <v>301</v>
      </c>
      <c r="D187" s="110" t="s">
        <v>183</v>
      </c>
      <c r="E187" s="18" t="s">
        <v>60</v>
      </c>
      <c r="F187" s="16"/>
      <c r="G187" s="18" t="s">
        <v>178</v>
      </c>
      <c r="H187" s="15"/>
      <c r="I187" s="15"/>
      <c r="J187" s="18">
        <v>1</v>
      </c>
      <c r="K187" s="15">
        <v>1</v>
      </c>
      <c r="L187" s="18"/>
      <c r="M187" s="17"/>
      <c r="N187" s="17"/>
      <c r="O187" s="17"/>
      <c r="P187" s="17"/>
      <c r="Q187" s="17"/>
      <c r="R187" s="17"/>
      <c r="S187" s="15"/>
      <c r="T187" s="25">
        <v>46103</v>
      </c>
      <c r="U187" s="15" t="s">
        <v>146</v>
      </c>
      <c r="V187">
        <v>5</v>
      </c>
      <c r="AA187" s="49" t="s">
        <v>84</v>
      </c>
      <c r="AB187" s="50" t="s">
        <v>44</v>
      </c>
    </row>
    <row r="188" spans="1:28" x14ac:dyDescent="0.4">
      <c r="A188" s="145"/>
      <c r="B188" s="151"/>
      <c r="C188" s="85" t="s">
        <v>302</v>
      </c>
      <c r="D188" s="110" t="s">
        <v>183</v>
      </c>
      <c r="E188" s="18" t="s">
        <v>38</v>
      </c>
      <c r="F188" s="16"/>
      <c r="G188" s="18" t="s">
        <v>178</v>
      </c>
      <c r="H188" s="13"/>
      <c r="I188" s="15"/>
      <c r="J188" s="18">
        <v>1</v>
      </c>
      <c r="K188" s="15">
        <v>1</v>
      </c>
      <c r="L188" s="18"/>
      <c r="M188" s="17"/>
      <c r="N188" s="17"/>
      <c r="O188" s="17"/>
      <c r="P188" s="17"/>
      <c r="Q188" s="17"/>
      <c r="R188" s="17"/>
      <c r="S188" s="15"/>
      <c r="T188" s="25">
        <v>46103</v>
      </c>
      <c r="U188" s="15" t="s">
        <v>146</v>
      </c>
      <c r="V188">
        <v>6</v>
      </c>
      <c r="AA188" s="49" t="s">
        <v>85</v>
      </c>
      <c r="AB188" s="50" t="s">
        <v>43</v>
      </c>
    </row>
    <row r="189" spans="1:28" x14ac:dyDescent="0.4">
      <c r="A189" s="145"/>
      <c r="B189" s="151"/>
      <c r="C189" s="85" t="s">
        <v>303</v>
      </c>
      <c r="D189" s="110" t="s">
        <v>183</v>
      </c>
      <c r="E189" s="18" t="s">
        <v>37</v>
      </c>
      <c r="F189" s="16"/>
      <c r="G189" s="18" t="s">
        <v>178</v>
      </c>
      <c r="H189" s="15"/>
      <c r="I189" s="15"/>
      <c r="J189" s="18">
        <v>1</v>
      </c>
      <c r="K189" s="15">
        <v>1</v>
      </c>
      <c r="L189" s="18"/>
      <c r="M189" s="17"/>
      <c r="N189" s="17"/>
      <c r="O189" s="17"/>
      <c r="P189" s="17"/>
      <c r="Q189" s="17"/>
      <c r="R189" s="17"/>
      <c r="S189" s="15"/>
      <c r="T189" s="25">
        <v>46103</v>
      </c>
      <c r="U189" s="15" t="s">
        <v>146</v>
      </c>
      <c r="V189">
        <v>7</v>
      </c>
      <c r="AA189" s="49" t="s">
        <v>86</v>
      </c>
      <c r="AB189" s="50" t="s">
        <v>45</v>
      </c>
    </row>
    <row r="190" spans="1:28" x14ac:dyDescent="0.4">
      <c r="A190" s="145"/>
      <c r="B190" s="151"/>
      <c r="C190" s="85" t="s">
        <v>304</v>
      </c>
      <c r="D190" s="110" t="s">
        <v>183</v>
      </c>
      <c r="E190" s="18" t="s">
        <v>75</v>
      </c>
      <c r="F190" s="16"/>
      <c r="G190" s="18" t="s">
        <v>178</v>
      </c>
      <c r="H190" s="15" t="s">
        <v>147</v>
      </c>
      <c r="I190" s="15"/>
      <c r="J190" s="18"/>
      <c r="K190" s="15"/>
      <c r="L190" s="18"/>
      <c r="M190" s="17"/>
      <c r="N190" s="17"/>
      <c r="O190" s="17"/>
      <c r="P190" s="17"/>
      <c r="Q190" s="17"/>
      <c r="R190" s="17"/>
      <c r="S190" s="15"/>
      <c r="T190" s="25">
        <v>46103</v>
      </c>
      <c r="U190" s="15" t="s">
        <v>147</v>
      </c>
      <c r="V190">
        <v>8</v>
      </c>
      <c r="AA190" s="49" t="s">
        <v>87</v>
      </c>
      <c r="AB190" s="50" t="s">
        <v>37</v>
      </c>
    </row>
    <row r="191" spans="1:28" x14ac:dyDescent="0.4">
      <c r="A191" s="145"/>
      <c r="B191" s="151"/>
      <c r="C191" s="85" t="s">
        <v>305</v>
      </c>
      <c r="D191" s="110" t="s">
        <v>183</v>
      </c>
      <c r="E191" s="18" t="s">
        <v>38</v>
      </c>
      <c r="F191" s="16"/>
      <c r="G191" s="18" t="s">
        <v>178</v>
      </c>
      <c r="H191" s="15"/>
      <c r="I191" s="15"/>
      <c r="J191" s="18">
        <v>1</v>
      </c>
      <c r="K191" s="15">
        <v>1</v>
      </c>
      <c r="L191" s="18"/>
      <c r="M191" s="17"/>
      <c r="N191" s="17"/>
      <c r="O191" s="17"/>
      <c r="P191" s="17"/>
      <c r="Q191" s="17"/>
      <c r="R191" s="17"/>
      <c r="S191" s="15"/>
      <c r="T191" s="25">
        <v>46103</v>
      </c>
      <c r="U191" s="15" t="s">
        <v>146</v>
      </c>
      <c r="V191">
        <v>9</v>
      </c>
      <c r="AA191" s="49" t="s">
        <v>88</v>
      </c>
      <c r="AB191" s="50" t="s">
        <v>74</v>
      </c>
    </row>
    <row r="192" spans="1:28" x14ac:dyDescent="0.4">
      <c r="A192" s="145"/>
      <c r="B192" s="151"/>
      <c r="C192" s="85" t="s">
        <v>306</v>
      </c>
      <c r="D192" s="110" t="s">
        <v>183</v>
      </c>
      <c r="E192" s="18" t="s">
        <v>40</v>
      </c>
      <c r="F192" s="16"/>
      <c r="G192" s="18" t="s">
        <v>178</v>
      </c>
      <c r="H192" s="15"/>
      <c r="I192" s="15"/>
      <c r="J192" s="18"/>
      <c r="K192" s="15"/>
      <c r="L192" s="18"/>
      <c r="M192" s="17"/>
      <c r="N192" s="17"/>
      <c r="O192" s="17">
        <v>1</v>
      </c>
      <c r="P192" s="17">
        <v>1</v>
      </c>
      <c r="Q192" s="17">
        <v>1</v>
      </c>
      <c r="R192" s="17">
        <v>1</v>
      </c>
      <c r="S192" s="15"/>
      <c r="T192" s="25">
        <v>46103</v>
      </c>
      <c r="U192" s="15" t="s">
        <v>148</v>
      </c>
      <c r="V192">
        <v>10</v>
      </c>
      <c r="AA192" s="49" t="s">
        <v>89</v>
      </c>
      <c r="AB192" s="50" t="s">
        <v>36</v>
      </c>
    </row>
    <row r="193" spans="1:28" x14ac:dyDescent="0.4">
      <c r="A193" s="145"/>
      <c r="B193" s="151"/>
      <c r="C193" s="85" t="s">
        <v>307</v>
      </c>
      <c r="D193" s="110" t="s">
        <v>183</v>
      </c>
      <c r="E193" s="18" t="s">
        <v>75</v>
      </c>
      <c r="F193" s="16"/>
      <c r="G193" s="18" t="s">
        <v>178</v>
      </c>
      <c r="H193" s="15"/>
      <c r="I193" s="15"/>
      <c r="J193" s="18"/>
      <c r="K193" s="15"/>
      <c r="L193" s="18"/>
      <c r="M193" s="17"/>
      <c r="N193" s="17"/>
      <c r="O193" s="17"/>
      <c r="P193" s="17"/>
      <c r="Q193" s="17"/>
      <c r="R193" s="17"/>
      <c r="S193" s="15">
        <v>1</v>
      </c>
      <c r="T193" s="25">
        <v>46103</v>
      </c>
      <c r="U193" s="15" t="s">
        <v>146</v>
      </c>
      <c r="V193">
        <v>11</v>
      </c>
      <c r="AA193" s="49" t="s">
        <v>90</v>
      </c>
      <c r="AB193" s="50" t="s">
        <v>58</v>
      </c>
    </row>
    <row r="194" spans="1:28" x14ac:dyDescent="0.4">
      <c r="A194" s="145"/>
      <c r="B194" s="151"/>
      <c r="C194" s="85" t="s">
        <v>308</v>
      </c>
      <c r="D194" s="110" t="s">
        <v>183</v>
      </c>
      <c r="E194" s="18" t="s">
        <v>44</v>
      </c>
      <c r="F194" s="16"/>
      <c r="G194" s="18" t="s">
        <v>178</v>
      </c>
      <c r="H194" s="15"/>
      <c r="I194" s="15"/>
      <c r="J194" s="18">
        <v>1</v>
      </c>
      <c r="K194" s="15">
        <v>1</v>
      </c>
      <c r="L194" s="18"/>
      <c r="M194" s="17"/>
      <c r="N194" s="17"/>
      <c r="O194" s="17"/>
      <c r="P194" s="17"/>
      <c r="Q194" s="17"/>
      <c r="R194" s="17"/>
      <c r="S194" s="15"/>
      <c r="T194" s="25">
        <v>46103</v>
      </c>
      <c r="U194" s="15" t="s">
        <v>146</v>
      </c>
      <c r="V194">
        <v>12</v>
      </c>
      <c r="AA194" s="49" t="s">
        <v>91</v>
      </c>
      <c r="AB194" s="50" t="s">
        <v>75</v>
      </c>
    </row>
    <row r="195" spans="1:28" x14ac:dyDescent="0.4">
      <c r="A195" s="145"/>
      <c r="B195" s="151"/>
      <c r="C195" s="85" t="s">
        <v>309</v>
      </c>
      <c r="D195" s="110" t="s">
        <v>183</v>
      </c>
      <c r="E195" s="18" t="s">
        <v>44</v>
      </c>
      <c r="F195" s="16"/>
      <c r="G195" s="18" t="s">
        <v>178</v>
      </c>
      <c r="H195" s="15"/>
      <c r="I195" s="15"/>
      <c r="J195" s="18">
        <v>1</v>
      </c>
      <c r="K195" s="15">
        <v>1</v>
      </c>
      <c r="L195" s="18"/>
      <c r="M195" s="17"/>
      <c r="N195" s="17"/>
      <c r="O195" s="17"/>
      <c r="P195" s="17"/>
      <c r="Q195" s="17"/>
      <c r="R195" s="17"/>
      <c r="S195" s="15"/>
      <c r="T195" s="25">
        <v>46103</v>
      </c>
      <c r="U195" s="15" t="s">
        <v>146</v>
      </c>
      <c r="V195">
        <v>13</v>
      </c>
      <c r="AA195" s="49" t="s">
        <v>92</v>
      </c>
      <c r="AB195" s="50" t="s">
        <v>40</v>
      </c>
    </row>
    <row r="196" spans="1:28" x14ac:dyDescent="0.4">
      <c r="A196" s="145"/>
      <c r="B196" s="151"/>
      <c r="C196" s="85" t="s">
        <v>310</v>
      </c>
      <c r="D196" s="110" t="s">
        <v>183</v>
      </c>
      <c r="E196" s="18" t="s">
        <v>36</v>
      </c>
      <c r="F196" s="16"/>
      <c r="G196" s="18" t="s">
        <v>178</v>
      </c>
      <c r="H196" s="15"/>
      <c r="I196" s="15"/>
      <c r="J196" s="18">
        <v>1</v>
      </c>
      <c r="K196" s="15">
        <v>1</v>
      </c>
      <c r="L196" s="18"/>
      <c r="M196" s="17"/>
      <c r="N196" s="17"/>
      <c r="O196" s="17"/>
      <c r="P196" s="17"/>
      <c r="Q196" s="17"/>
      <c r="R196" s="17"/>
      <c r="S196" s="15"/>
      <c r="T196" s="25">
        <v>46103</v>
      </c>
      <c r="U196" s="15" t="s">
        <v>146</v>
      </c>
      <c r="V196">
        <v>14</v>
      </c>
      <c r="AA196" s="49" t="s">
        <v>93</v>
      </c>
      <c r="AB196" s="50" t="s">
        <v>57</v>
      </c>
    </row>
    <row r="197" spans="1:28" x14ac:dyDescent="0.4">
      <c r="A197" s="145"/>
      <c r="B197" s="151"/>
      <c r="C197" s="85" t="s">
        <v>311</v>
      </c>
      <c r="D197" s="110" t="s">
        <v>183</v>
      </c>
      <c r="E197" s="18" t="s">
        <v>37</v>
      </c>
      <c r="F197" s="16"/>
      <c r="G197" s="18" t="s">
        <v>178</v>
      </c>
      <c r="H197" s="15"/>
      <c r="I197" s="15"/>
      <c r="J197" s="18"/>
      <c r="K197" s="15"/>
      <c r="L197" s="18"/>
      <c r="M197" s="17">
        <v>1</v>
      </c>
      <c r="N197" s="17">
        <v>1</v>
      </c>
      <c r="O197" s="17"/>
      <c r="P197" s="17"/>
      <c r="Q197" s="17">
        <v>1</v>
      </c>
      <c r="R197" s="17"/>
      <c r="S197" s="15"/>
      <c r="T197" s="25">
        <v>46103</v>
      </c>
      <c r="U197" s="15" t="s">
        <v>147</v>
      </c>
      <c r="V197">
        <v>15</v>
      </c>
      <c r="AA197" s="49" t="s">
        <v>94</v>
      </c>
      <c r="AB197" s="50" t="s">
        <v>41</v>
      </c>
    </row>
    <row r="198" spans="1:28" x14ac:dyDescent="0.4">
      <c r="A198" s="145"/>
      <c r="B198" s="151"/>
      <c r="C198" s="85" t="s">
        <v>312</v>
      </c>
      <c r="D198" s="110" t="s">
        <v>183</v>
      </c>
      <c r="E198" s="18" t="s">
        <v>36</v>
      </c>
      <c r="F198" s="16"/>
      <c r="G198" s="18" t="s">
        <v>178</v>
      </c>
      <c r="H198" s="15"/>
      <c r="I198" s="15"/>
      <c r="J198" s="18"/>
      <c r="K198" s="15"/>
      <c r="L198" s="18"/>
      <c r="M198" s="19"/>
      <c r="N198" s="19">
        <v>1</v>
      </c>
      <c r="O198" s="19"/>
      <c r="P198" s="19"/>
      <c r="Q198" s="19"/>
      <c r="R198" s="19"/>
      <c r="S198" s="15"/>
      <c r="T198" s="25">
        <v>46103</v>
      </c>
      <c r="U198" s="15" t="s">
        <v>147</v>
      </c>
      <c r="V198">
        <v>16</v>
      </c>
      <c r="AA198" s="49" t="s">
        <v>95</v>
      </c>
      <c r="AB198" s="50" t="s">
        <v>42</v>
      </c>
    </row>
    <row r="199" spans="1:28" x14ac:dyDescent="0.4">
      <c r="A199" s="145"/>
      <c r="B199" s="151"/>
      <c r="C199" s="85" t="s">
        <v>313</v>
      </c>
      <c r="D199" s="106" t="s">
        <v>183</v>
      </c>
      <c r="E199" s="18" t="s">
        <v>44</v>
      </c>
      <c r="F199" s="16"/>
      <c r="G199" s="18" t="s">
        <v>178</v>
      </c>
      <c r="H199" s="15"/>
      <c r="I199" s="15"/>
      <c r="J199" s="18">
        <v>1</v>
      </c>
      <c r="K199" s="15">
        <v>1</v>
      </c>
      <c r="L199" s="19"/>
      <c r="M199" s="19"/>
      <c r="N199" s="19"/>
      <c r="O199" s="19"/>
      <c r="P199" s="19"/>
      <c r="Q199" s="19"/>
      <c r="R199" s="19"/>
      <c r="S199" s="15"/>
      <c r="T199" s="25">
        <v>46103</v>
      </c>
      <c r="U199" s="15" t="s">
        <v>146</v>
      </c>
      <c r="V199">
        <v>17</v>
      </c>
      <c r="AA199" s="49" t="s">
        <v>96</v>
      </c>
      <c r="AB199" s="50" t="s">
        <v>61</v>
      </c>
    </row>
    <row r="200" spans="1:28" x14ac:dyDescent="0.4">
      <c r="A200" s="145"/>
      <c r="B200" s="151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45"/>
      <c r="B201" s="151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45"/>
      <c r="B202" s="151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45"/>
      <c r="B203" s="151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45"/>
      <c r="B204" s="151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45"/>
      <c r="B205" s="151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45"/>
      <c r="B206" s="151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46"/>
      <c r="B207" s="152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17</v>
      </c>
      <c r="D208" s="112"/>
      <c r="E208" s="29"/>
      <c r="F208" s="29" t="s">
        <v>34</v>
      </c>
      <c r="G208" s="29">
        <f>COUNTIF(G183:G207,"S")</f>
        <v>17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9</v>
      </c>
      <c r="K208" s="29">
        <f t="shared" ref="K208" si="34">SUM(K183:K207)</f>
        <v>9</v>
      </c>
      <c r="L208" s="29">
        <f t="shared" ref="L208" si="35">SUM(L183:L207)</f>
        <v>0</v>
      </c>
      <c r="M208" s="29">
        <f t="shared" ref="M208" si="36">SUM(M183:M207)</f>
        <v>2</v>
      </c>
      <c r="N208" s="29">
        <f t="shared" ref="N208" si="37">SUM(N183:N207)</f>
        <v>2</v>
      </c>
      <c r="O208" s="29">
        <f t="shared" ref="O208" si="38">SUM(O183:O207)</f>
        <v>2</v>
      </c>
      <c r="P208" s="29">
        <f t="shared" ref="P208" si="39">SUM(P183:P207)</f>
        <v>2</v>
      </c>
      <c r="Q208" s="29">
        <f t="shared" ref="Q208" si="40">SUM(Q183:Q207)</f>
        <v>4</v>
      </c>
      <c r="R208" s="29">
        <f t="shared" ref="R208" si="41">SUM(R183:R207)</f>
        <v>2</v>
      </c>
      <c r="S208" s="29">
        <f t="shared" ref="S208" si="42">SUM(S183:S207)</f>
        <v>2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1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34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AYG133</v>
      </c>
      <c r="B211" s="24">
        <f>B1</f>
        <v>46072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42" t="s">
        <v>113</v>
      </c>
      <c r="Y212" s="143"/>
    </row>
    <row r="213" spans="1:28" ht="20.25" thickTop="1" thickBot="1" x14ac:dyDescent="0.45">
      <c r="A213" s="144">
        <v>8</v>
      </c>
      <c r="B213" s="150">
        <v>20.399999999999999</v>
      </c>
      <c r="C213" s="85" t="s">
        <v>314</v>
      </c>
      <c r="D213" s="106" t="s">
        <v>186</v>
      </c>
      <c r="E213" s="15" t="s">
        <v>40</v>
      </c>
      <c r="F213" s="16"/>
      <c r="G213" s="15" t="s">
        <v>178</v>
      </c>
      <c r="H213" s="15"/>
      <c r="I213" s="15"/>
      <c r="J213" s="15"/>
      <c r="K213" s="15"/>
      <c r="L213" s="17"/>
      <c r="M213" s="17"/>
      <c r="N213" s="17"/>
      <c r="O213" s="17">
        <v>1</v>
      </c>
      <c r="P213" s="17">
        <v>1</v>
      </c>
      <c r="Q213" s="17"/>
      <c r="R213" s="17">
        <v>1</v>
      </c>
      <c r="S213" s="15"/>
      <c r="T213" s="25">
        <v>46105</v>
      </c>
      <c r="U213" s="15" t="s">
        <v>148</v>
      </c>
      <c r="V213">
        <v>1</v>
      </c>
      <c r="X213" s="51" t="s">
        <v>106</v>
      </c>
      <c r="Y213" s="52">
        <f>COUNTIF(U213:U237,"K")</f>
        <v>7</v>
      </c>
      <c r="AA213" s="59" t="s">
        <v>120</v>
      </c>
      <c r="AB213" s="60" t="s">
        <v>121</v>
      </c>
    </row>
    <row r="214" spans="1:28" x14ac:dyDescent="0.4">
      <c r="A214" s="145"/>
      <c r="B214" s="151"/>
      <c r="C214" s="85" t="s">
        <v>315</v>
      </c>
      <c r="D214" s="106" t="s">
        <v>186</v>
      </c>
      <c r="E214" s="15" t="s">
        <v>40</v>
      </c>
      <c r="F214" s="16"/>
      <c r="G214" s="15" t="s">
        <v>178</v>
      </c>
      <c r="H214" s="15"/>
      <c r="I214" s="15"/>
      <c r="J214" s="15"/>
      <c r="K214" s="15"/>
      <c r="L214" s="15"/>
      <c r="M214" s="19"/>
      <c r="N214" s="19"/>
      <c r="O214" s="19">
        <v>1</v>
      </c>
      <c r="P214" s="19">
        <v>1</v>
      </c>
      <c r="Q214" s="19"/>
      <c r="R214" s="19">
        <v>1</v>
      </c>
      <c r="S214" s="15"/>
      <c r="T214" s="25">
        <v>46105</v>
      </c>
      <c r="U214" s="15" t="s">
        <v>148</v>
      </c>
      <c r="V214">
        <v>2</v>
      </c>
      <c r="X214" s="51" t="s">
        <v>107</v>
      </c>
      <c r="Y214" s="52">
        <f>COUNTIF(U213:U237,"R")</f>
        <v>5</v>
      </c>
      <c r="AA214" s="47" t="s">
        <v>81</v>
      </c>
      <c r="AB214" s="48" t="s">
        <v>60</v>
      </c>
    </row>
    <row r="215" spans="1:28" ht="19.5" thickBot="1" x14ac:dyDescent="0.45">
      <c r="A215" s="145"/>
      <c r="B215" s="151"/>
      <c r="C215" s="85" t="s">
        <v>316</v>
      </c>
      <c r="D215" s="106" t="s">
        <v>179</v>
      </c>
      <c r="E215" s="15" t="s">
        <v>40</v>
      </c>
      <c r="F215" s="16"/>
      <c r="G215" s="15" t="s">
        <v>178</v>
      </c>
      <c r="H215" s="15"/>
      <c r="I215" s="15"/>
      <c r="J215" s="15"/>
      <c r="K215" s="15"/>
      <c r="L215" s="15"/>
      <c r="M215" s="19"/>
      <c r="N215" s="19"/>
      <c r="O215" s="19">
        <v>1</v>
      </c>
      <c r="P215" s="19">
        <v>1</v>
      </c>
      <c r="Q215" s="19"/>
      <c r="R215" s="19">
        <v>1</v>
      </c>
      <c r="S215" s="15"/>
      <c r="T215" s="25">
        <v>46102</v>
      </c>
      <c r="U215" s="15" t="s">
        <v>148</v>
      </c>
      <c r="V215">
        <v>3</v>
      </c>
      <c r="X215" s="53" t="s">
        <v>108</v>
      </c>
      <c r="Y215" s="54">
        <f>COUNTIF(U213:U237,"J")</f>
        <v>3</v>
      </c>
      <c r="AA215" s="49" t="s">
        <v>82</v>
      </c>
      <c r="AB215" s="50" t="s">
        <v>39</v>
      </c>
    </row>
    <row r="216" spans="1:28" x14ac:dyDescent="0.4">
      <c r="A216" s="145"/>
      <c r="B216" s="151"/>
      <c r="C216" s="85" t="s">
        <v>317</v>
      </c>
      <c r="D216" s="106" t="s">
        <v>180</v>
      </c>
      <c r="E216" s="15" t="s">
        <v>44</v>
      </c>
      <c r="F216" s="16"/>
      <c r="G216" s="15" t="s">
        <v>178</v>
      </c>
      <c r="H216" s="15"/>
      <c r="I216" s="15"/>
      <c r="J216" s="15"/>
      <c r="K216" s="15"/>
      <c r="L216" s="15"/>
      <c r="M216" s="19">
        <v>1</v>
      </c>
      <c r="N216" s="19">
        <v>1</v>
      </c>
      <c r="O216" s="19"/>
      <c r="P216" s="19"/>
      <c r="Q216" s="19"/>
      <c r="R216" s="19"/>
      <c r="S216" s="15"/>
      <c r="T216" s="25">
        <v>46110</v>
      </c>
      <c r="U216" s="15" t="s">
        <v>147</v>
      </c>
      <c r="V216">
        <v>4</v>
      </c>
      <c r="AA216" s="49" t="s">
        <v>83</v>
      </c>
      <c r="AB216" s="50" t="s">
        <v>38</v>
      </c>
    </row>
    <row r="217" spans="1:28" x14ac:dyDescent="0.4">
      <c r="A217" s="145"/>
      <c r="B217" s="151"/>
      <c r="C217" s="85" t="s">
        <v>318</v>
      </c>
      <c r="D217" s="106" t="s">
        <v>180</v>
      </c>
      <c r="E217" s="15" t="s">
        <v>44</v>
      </c>
      <c r="F217" s="16"/>
      <c r="G217" s="15" t="s">
        <v>178</v>
      </c>
      <c r="H217" s="15"/>
      <c r="I217" s="15"/>
      <c r="J217" s="15">
        <v>1</v>
      </c>
      <c r="K217" s="15">
        <v>1</v>
      </c>
      <c r="L217" s="15"/>
      <c r="M217" s="19"/>
      <c r="N217" s="19"/>
      <c r="O217" s="19"/>
      <c r="P217" s="19"/>
      <c r="Q217" s="19"/>
      <c r="R217" s="19"/>
      <c r="S217" s="15"/>
      <c r="T217" s="25">
        <v>46110</v>
      </c>
      <c r="U217" s="15" t="s">
        <v>146</v>
      </c>
      <c r="V217">
        <v>5</v>
      </c>
      <c r="AA217" s="49" t="s">
        <v>84</v>
      </c>
      <c r="AB217" s="50" t="s">
        <v>44</v>
      </c>
    </row>
    <row r="218" spans="1:28" x14ac:dyDescent="0.4">
      <c r="A218" s="145"/>
      <c r="B218" s="151"/>
      <c r="C218" s="85" t="s">
        <v>320</v>
      </c>
      <c r="D218" s="106" t="s">
        <v>319</v>
      </c>
      <c r="E218" s="15" t="s">
        <v>44</v>
      </c>
      <c r="F218" s="16"/>
      <c r="G218" s="15" t="s">
        <v>178</v>
      </c>
      <c r="H218" s="15"/>
      <c r="I218" s="15"/>
      <c r="J218" s="15"/>
      <c r="K218" s="15"/>
      <c r="L218" s="15"/>
      <c r="M218" s="19"/>
      <c r="N218" s="19"/>
      <c r="O218" s="19"/>
      <c r="P218" s="19"/>
      <c r="Q218" s="19"/>
      <c r="R218" s="19"/>
      <c r="S218" s="15"/>
      <c r="T218" s="25">
        <v>46104</v>
      </c>
      <c r="U218" s="15" t="s">
        <v>147</v>
      </c>
      <c r="V218">
        <v>6</v>
      </c>
      <c r="AA218" s="49" t="s">
        <v>85</v>
      </c>
      <c r="AB218" s="50" t="s">
        <v>43</v>
      </c>
    </row>
    <row r="219" spans="1:28" x14ac:dyDescent="0.4">
      <c r="A219" s="145"/>
      <c r="B219" s="151"/>
      <c r="C219" s="85" t="s">
        <v>321</v>
      </c>
      <c r="D219" s="106" t="s">
        <v>319</v>
      </c>
      <c r="E219" s="15" t="s">
        <v>38</v>
      </c>
      <c r="F219" s="16"/>
      <c r="G219" s="15" t="s">
        <v>178</v>
      </c>
      <c r="H219" s="15"/>
      <c r="I219" s="15"/>
      <c r="J219" s="15"/>
      <c r="K219" s="15"/>
      <c r="L219" s="15"/>
      <c r="M219" s="19">
        <v>1</v>
      </c>
      <c r="N219" s="19">
        <v>1</v>
      </c>
      <c r="O219" s="19"/>
      <c r="P219" s="19"/>
      <c r="Q219" s="19">
        <v>1</v>
      </c>
      <c r="R219" s="19"/>
      <c r="S219" s="15"/>
      <c r="T219" s="25">
        <v>46104</v>
      </c>
      <c r="U219" s="15" t="s">
        <v>147</v>
      </c>
      <c r="V219">
        <v>7</v>
      </c>
      <c r="AA219" s="49" t="s">
        <v>86</v>
      </c>
      <c r="AB219" s="50" t="s">
        <v>45</v>
      </c>
    </row>
    <row r="220" spans="1:28" x14ac:dyDescent="0.4">
      <c r="A220" s="145"/>
      <c r="B220" s="151"/>
      <c r="C220" s="85" t="s">
        <v>322</v>
      </c>
      <c r="D220" s="106" t="s">
        <v>319</v>
      </c>
      <c r="E220" s="15" t="s">
        <v>38</v>
      </c>
      <c r="F220" s="16"/>
      <c r="G220" s="15" t="s">
        <v>178</v>
      </c>
      <c r="H220" s="15"/>
      <c r="I220" s="15"/>
      <c r="J220" s="15"/>
      <c r="K220" s="15"/>
      <c r="L220" s="15"/>
      <c r="M220" s="17">
        <v>1</v>
      </c>
      <c r="N220" s="17">
        <v>1</v>
      </c>
      <c r="O220" s="17"/>
      <c r="P220" s="17"/>
      <c r="Q220" s="17">
        <v>1</v>
      </c>
      <c r="R220" s="17"/>
      <c r="S220" s="15"/>
      <c r="T220" s="25">
        <v>46104</v>
      </c>
      <c r="U220" s="15" t="s">
        <v>147</v>
      </c>
      <c r="V220">
        <v>8</v>
      </c>
      <c r="AA220" s="49" t="s">
        <v>87</v>
      </c>
      <c r="AB220" s="50" t="s">
        <v>37</v>
      </c>
    </row>
    <row r="221" spans="1:28" x14ac:dyDescent="0.4">
      <c r="A221" s="145"/>
      <c r="B221" s="151"/>
      <c r="C221" s="85" t="s">
        <v>323</v>
      </c>
      <c r="D221" s="106" t="s">
        <v>319</v>
      </c>
      <c r="E221" s="15" t="s">
        <v>38</v>
      </c>
      <c r="F221" s="16"/>
      <c r="G221" s="15" t="s">
        <v>178</v>
      </c>
      <c r="H221" s="15"/>
      <c r="I221" s="15"/>
      <c r="J221" s="15"/>
      <c r="K221" s="15"/>
      <c r="L221" s="15"/>
      <c r="M221" s="17"/>
      <c r="N221" s="17"/>
      <c r="O221" s="17"/>
      <c r="P221" s="17"/>
      <c r="Q221" s="17"/>
      <c r="R221" s="17"/>
      <c r="S221" s="15"/>
      <c r="T221" s="25">
        <v>46104</v>
      </c>
      <c r="U221" s="15" t="s">
        <v>146</v>
      </c>
      <c r="V221">
        <v>9</v>
      </c>
      <c r="AA221" s="49" t="s">
        <v>88</v>
      </c>
      <c r="AB221" s="50" t="s">
        <v>74</v>
      </c>
    </row>
    <row r="222" spans="1:28" x14ac:dyDescent="0.4">
      <c r="A222" s="145"/>
      <c r="B222" s="151"/>
      <c r="C222" s="85" t="s">
        <v>324</v>
      </c>
      <c r="D222" s="106" t="s">
        <v>319</v>
      </c>
      <c r="E222" s="15" t="s">
        <v>38</v>
      </c>
      <c r="F222" s="138"/>
      <c r="G222" s="15" t="s">
        <v>178</v>
      </c>
      <c r="H222" s="15"/>
      <c r="I222" s="15"/>
      <c r="J222" s="15"/>
      <c r="K222" s="15"/>
      <c r="L222" s="15"/>
      <c r="M222" s="17"/>
      <c r="N222" s="17"/>
      <c r="O222" s="17"/>
      <c r="P222" s="17"/>
      <c r="Q222" s="17"/>
      <c r="R222" s="17"/>
      <c r="S222" s="15"/>
      <c r="T222" s="25">
        <v>46104</v>
      </c>
      <c r="U222" s="15" t="s">
        <v>146</v>
      </c>
      <c r="V222">
        <v>10</v>
      </c>
      <c r="AA222" s="49" t="s">
        <v>89</v>
      </c>
      <c r="AB222" s="50" t="s">
        <v>36</v>
      </c>
    </row>
    <row r="223" spans="1:28" x14ac:dyDescent="0.4">
      <c r="A223" s="145"/>
      <c r="B223" s="151"/>
      <c r="C223" s="85" t="s">
        <v>325</v>
      </c>
      <c r="D223" s="106" t="s">
        <v>319</v>
      </c>
      <c r="E223" s="15" t="s">
        <v>38</v>
      </c>
      <c r="F223" s="16"/>
      <c r="G223" s="15" t="s">
        <v>178</v>
      </c>
      <c r="H223" s="15"/>
      <c r="I223" s="15"/>
      <c r="J223" s="15"/>
      <c r="K223" s="15"/>
      <c r="L223" s="15"/>
      <c r="M223" s="17"/>
      <c r="N223" s="17"/>
      <c r="O223" s="17"/>
      <c r="P223" s="17"/>
      <c r="Q223" s="17"/>
      <c r="R223" s="17"/>
      <c r="S223" s="15"/>
      <c r="T223" s="25">
        <v>46104</v>
      </c>
      <c r="U223" s="15" t="s">
        <v>146</v>
      </c>
      <c r="V223">
        <v>11</v>
      </c>
      <c r="AA223" s="49" t="s">
        <v>90</v>
      </c>
      <c r="AB223" s="50" t="s">
        <v>58</v>
      </c>
    </row>
    <row r="224" spans="1:28" x14ac:dyDescent="0.4">
      <c r="A224" s="145"/>
      <c r="B224" s="151"/>
      <c r="C224" s="85" t="s">
        <v>326</v>
      </c>
      <c r="D224" s="106" t="s">
        <v>319</v>
      </c>
      <c r="E224" s="15" t="s">
        <v>38</v>
      </c>
      <c r="F224" s="16"/>
      <c r="G224" s="15" t="s">
        <v>178</v>
      </c>
      <c r="H224" s="15"/>
      <c r="I224" s="15"/>
      <c r="J224" s="15"/>
      <c r="K224" s="15"/>
      <c r="L224" s="15"/>
      <c r="M224" s="17"/>
      <c r="N224" s="17"/>
      <c r="O224" s="17"/>
      <c r="P224" s="17"/>
      <c r="Q224" s="17"/>
      <c r="R224" s="17"/>
      <c r="S224" s="15"/>
      <c r="T224" s="25">
        <v>46104</v>
      </c>
      <c r="U224" s="15" t="s">
        <v>146</v>
      </c>
      <c r="V224">
        <v>12</v>
      </c>
      <c r="AA224" s="49" t="s">
        <v>91</v>
      </c>
      <c r="AB224" s="50" t="s">
        <v>75</v>
      </c>
    </row>
    <row r="225" spans="1:28" x14ac:dyDescent="0.4">
      <c r="A225" s="145"/>
      <c r="B225" s="151"/>
      <c r="C225" s="85" t="s">
        <v>327</v>
      </c>
      <c r="D225" s="106" t="s">
        <v>319</v>
      </c>
      <c r="E225" s="15" t="s">
        <v>38</v>
      </c>
      <c r="F225" s="16"/>
      <c r="G225" s="15" t="s">
        <v>178</v>
      </c>
      <c r="H225" s="15"/>
      <c r="I225" s="15"/>
      <c r="J225" s="15"/>
      <c r="K225" s="15"/>
      <c r="L225" s="15"/>
      <c r="M225" s="17"/>
      <c r="N225" s="17"/>
      <c r="O225" s="17"/>
      <c r="P225" s="17"/>
      <c r="Q225" s="17"/>
      <c r="R225" s="17"/>
      <c r="S225" s="15"/>
      <c r="T225" s="25">
        <v>46104</v>
      </c>
      <c r="U225" s="15" t="s">
        <v>146</v>
      </c>
      <c r="V225">
        <v>13</v>
      </c>
      <c r="AA225" s="49" t="s">
        <v>92</v>
      </c>
      <c r="AB225" s="50" t="s">
        <v>40</v>
      </c>
    </row>
    <row r="226" spans="1:28" x14ac:dyDescent="0.4">
      <c r="A226" s="145"/>
      <c r="B226" s="151"/>
      <c r="C226" s="85" t="s">
        <v>328</v>
      </c>
      <c r="D226" s="106" t="s">
        <v>319</v>
      </c>
      <c r="E226" s="15" t="s">
        <v>38</v>
      </c>
      <c r="F226" s="16"/>
      <c r="G226" s="15" t="s">
        <v>178</v>
      </c>
      <c r="H226" s="15"/>
      <c r="I226" s="15"/>
      <c r="J226" s="15"/>
      <c r="K226" s="15"/>
      <c r="L226" s="15"/>
      <c r="M226" s="17">
        <v>1</v>
      </c>
      <c r="N226" s="17">
        <v>1</v>
      </c>
      <c r="O226" s="17"/>
      <c r="P226" s="17"/>
      <c r="Q226" s="17">
        <v>1</v>
      </c>
      <c r="R226" s="17"/>
      <c r="S226" s="15"/>
      <c r="T226" s="25">
        <v>46104</v>
      </c>
      <c r="U226" s="15" t="s">
        <v>147</v>
      </c>
      <c r="V226">
        <v>14</v>
      </c>
      <c r="AA226" s="49" t="s">
        <v>93</v>
      </c>
      <c r="AB226" s="50" t="s">
        <v>57</v>
      </c>
    </row>
    <row r="227" spans="1:28" x14ac:dyDescent="0.4">
      <c r="A227" s="145"/>
      <c r="B227" s="151"/>
      <c r="C227" s="85" t="s">
        <v>329</v>
      </c>
      <c r="D227" s="106" t="s">
        <v>319</v>
      </c>
      <c r="E227" s="15" t="s">
        <v>38</v>
      </c>
      <c r="F227" s="16"/>
      <c r="G227" s="15" t="s">
        <v>178</v>
      </c>
      <c r="H227" s="15"/>
      <c r="I227" s="15"/>
      <c r="J227" s="15"/>
      <c r="K227" s="15"/>
      <c r="L227" s="15"/>
      <c r="M227" s="17"/>
      <c r="N227" s="17"/>
      <c r="O227" s="17"/>
      <c r="P227" s="17"/>
      <c r="Q227" s="17"/>
      <c r="R227" s="17"/>
      <c r="S227" s="15"/>
      <c r="T227" s="25">
        <v>46104</v>
      </c>
      <c r="U227" s="15" t="s">
        <v>146</v>
      </c>
      <c r="V227">
        <v>15</v>
      </c>
      <c r="AA227" s="49" t="s">
        <v>94</v>
      </c>
      <c r="AB227" s="50" t="s">
        <v>41</v>
      </c>
    </row>
    <row r="228" spans="1:28" x14ac:dyDescent="0.4">
      <c r="A228" s="145"/>
      <c r="B228" s="151"/>
      <c r="C228" s="85"/>
      <c r="D228" s="106"/>
      <c r="E228" s="106"/>
      <c r="F228" s="16"/>
      <c r="G228" s="12"/>
      <c r="H228" s="15"/>
      <c r="I228" s="15"/>
      <c r="J228" s="18"/>
      <c r="K228" s="15"/>
      <c r="L228" s="19"/>
      <c r="M228" s="19"/>
      <c r="N228" s="19"/>
      <c r="O228" s="19"/>
      <c r="P228" s="19"/>
      <c r="Q228" s="19"/>
      <c r="R228" s="19"/>
      <c r="S228" s="15"/>
      <c r="T228" s="25"/>
      <c r="U228" s="13"/>
      <c r="V228">
        <v>16</v>
      </c>
      <c r="AA228" s="49" t="s">
        <v>95</v>
      </c>
      <c r="AB228" s="50" t="s">
        <v>42</v>
      </c>
    </row>
    <row r="229" spans="1:28" x14ac:dyDescent="0.4">
      <c r="A229" s="145"/>
      <c r="B229" s="151"/>
      <c r="C229" s="85"/>
      <c r="D229" s="106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45"/>
      <c r="B230" s="151"/>
      <c r="C230" s="85"/>
      <c r="D230" s="106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45"/>
      <c r="B231" s="151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45"/>
      <c r="B232" s="151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45"/>
      <c r="B233" s="151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45"/>
      <c r="B234" s="151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45"/>
      <c r="B235" s="151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131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45"/>
      <c r="B236" s="151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26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46"/>
      <c r="B237" s="152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15</v>
      </c>
      <c r="D238" s="112"/>
      <c r="E238" s="29"/>
      <c r="F238" s="29" t="s">
        <v>34</v>
      </c>
      <c r="G238" s="29">
        <f>COUNTIF(G213:G237,"S")</f>
        <v>15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1</v>
      </c>
      <c r="K238" s="29">
        <f t="shared" ref="K238" si="44">SUM(K213:K237)</f>
        <v>1</v>
      </c>
      <c r="L238" s="29">
        <f t="shared" ref="L238" si="45">SUM(L213:L237)</f>
        <v>0</v>
      </c>
      <c r="M238" s="29">
        <f t="shared" ref="M238" si="46">SUM(M213:M237)</f>
        <v>4</v>
      </c>
      <c r="N238" s="29">
        <f t="shared" ref="N238" si="47">SUM(N213:N237)</f>
        <v>4</v>
      </c>
      <c r="O238" s="29">
        <f t="shared" ref="O238" si="48">SUM(O213:O237)</f>
        <v>3</v>
      </c>
      <c r="P238" s="29">
        <f t="shared" ref="P238" si="49">SUM(P213:P237)</f>
        <v>3</v>
      </c>
      <c r="Q238" s="29">
        <f t="shared" ref="Q238" si="50">SUM(Q213:Q237)</f>
        <v>3</v>
      </c>
      <c r="R238" s="29">
        <f t="shared" ref="R238" si="51">SUM(R213:R237)</f>
        <v>3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22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AYG133</v>
      </c>
      <c r="B241" s="24">
        <f>B1</f>
        <v>46072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56" t="s">
        <v>112</v>
      </c>
      <c r="Y242" s="156"/>
    </row>
    <row r="243" spans="1:28" ht="20.25" thickTop="1" thickBot="1" x14ac:dyDescent="0.45">
      <c r="A243" s="144">
        <v>9</v>
      </c>
      <c r="B243" s="150">
        <v>20.8</v>
      </c>
      <c r="C243" s="85" t="s">
        <v>330</v>
      </c>
      <c r="D243" s="106" t="s">
        <v>197</v>
      </c>
      <c r="E243" s="106" t="s">
        <v>41</v>
      </c>
      <c r="F243" s="14"/>
      <c r="G243" s="12" t="s">
        <v>178</v>
      </c>
      <c r="H243" s="13"/>
      <c r="I243" s="13"/>
      <c r="J243" s="13">
        <v>1</v>
      </c>
      <c r="K243" s="13"/>
      <c r="L243" s="13"/>
      <c r="M243" s="13"/>
      <c r="N243" s="13"/>
      <c r="O243" s="13"/>
      <c r="P243" s="13"/>
      <c r="Q243" s="13"/>
      <c r="R243" s="13"/>
      <c r="S243" s="13"/>
      <c r="T243" s="25">
        <v>46088</v>
      </c>
      <c r="U243" s="13" t="s">
        <v>146</v>
      </c>
      <c r="V243">
        <v>1</v>
      </c>
      <c r="X243" t="s">
        <v>106</v>
      </c>
      <c r="Y243">
        <f>COUNTIF(U243:U267,"K")</f>
        <v>10</v>
      </c>
      <c r="AA243" s="59" t="s">
        <v>120</v>
      </c>
      <c r="AB243" s="60" t="s">
        <v>121</v>
      </c>
    </row>
    <row r="244" spans="1:28" x14ac:dyDescent="0.4">
      <c r="A244" s="145"/>
      <c r="B244" s="151"/>
      <c r="C244" s="85" t="s">
        <v>331</v>
      </c>
      <c r="D244" s="106" t="s">
        <v>197</v>
      </c>
      <c r="E244" s="106" t="s">
        <v>74</v>
      </c>
      <c r="F244" s="16"/>
      <c r="G244" s="12" t="s">
        <v>178</v>
      </c>
      <c r="H244" s="15"/>
      <c r="I244" s="15"/>
      <c r="J244" s="13"/>
      <c r="K244" s="15"/>
      <c r="L244" s="13"/>
      <c r="M244" s="17">
        <v>1</v>
      </c>
      <c r="N244" s="17">
        <v>1</v>
      </c>
      <c r="O244" s="17"/>
      <c r="P244" s="17"/>
      <c r="Q244" s="17">
        <v>1</v>
      </c>
      <c r="R244" s="17"/>
      <c r="S244" s="15"/>
      <c r="T244" s="25">
        <v>46092</v>
      </c>
      <c r="U244" s="13" t="s">
        <v>147</v>
      </c>
      <c r="V244">
        <v>2</v>
      </c>
      <c r="X244" t="s">
        <v>107</v>
      </c>
      <c r="Y244">
        <f>COUNTIF(U243:U267,"R")</f>
        <v>3</v>
      </c>
      <c r="AA244" s="47" t="s">
        <v>81</v>
      </c>
      <c r="AB244" s="48" t="s">
        <v>60</v>
      </c>
    </row>
    <row r="245" spans="1:28" x14ac:dyDescent="0.4">
      <c r="A245" s="145"/>
      <c r="B245" s="151"/>
      <c r="C245" s="85" t="s">
        <v>332</v>
      </c>
      <c r="D245" s="106" t="s">
        <v>179</v>
      </c>
      <c r="E245" s="106" t="s">
        <v>36</v>
      </c>
      <c r="F245" s="16"/>
      <c r="G245" s="12" t="s">
        <v>178</v>
      </c>
      <c r="H245" s="13"/>
      <c r="I245" s="15"/>
      <c r="J245" s="13">
        <v>1</v>
      </c>
      <c r="K245" s="15">
        <v>1</v>
      </c>
      <c r="L245" s="13"/>
      <c r="M245" s="17"/>
      <c r="N245" s="17"/>
      <c r="O245" s="17"/>
      <c r="P245" s="17"/>
      <c r="Q245" s="17"/>
      <c r="R245" s="17"/>
      <c r="S245" s="15"/>
      <c r="T245" s="25">
        <v>46092</v>
      </c>
      <c r="U245" s="13" t="s">
        <v>146</v>
      </c>
      <c r="V245">
        <v>3</v>
      </c>
      <c r="X245" t="s">
        <v>108</v>
      </c>
      <c r="Y245">
        <f>COUNTIF(U243:U267,"J")</f>
        <v>3</v>
      </c>
      <c r="AA245" s="49" t="s">
        <v>82</v>
      </c>
      <c r="AB245" s="50" t="s">
        <v>39</v>
      </c>
    </row>
    <row r="246" spans="1:28" x14ac:dyDescent="0.4">
      <c r="A246" s="145"/>
      <c r="B246" s="151"/>
      <c r="C246" s="85" t="s">
        <v>333</v>
      </c>
      <c r="D246" s="106" t="s">
        <v>185</v>
      </c>
      <c r="E246" s="106" t="s">
        <v>36</v>
      </c>
      <c r="F246" s="16"/>
      <c r="G246" s="12" t="s">
        <v>178</v>
      </c>
      <c r="H246" s="15"/>
      <c r="I246" s="15"/>
      <c r="J246" s="13">
        <v>1</v>
      </c>
      <c r="K246" s="15">
        <v>1</v>
      </c>
      <c r="L246" s="13"/>
      <c r="M246" s="17"/>
      <c r="N246" s="17"/>
      <c r="O246" s="17"/>
      <c r="P246" s="17"/>
      <c r="Q246" s="17"/>
      <c r="R246" s="17"/>
      <c r="S246" s="15"/>
      <c r="T246" s="25">
        <v>46093</v>
      </c>
      <c r="U246" s="13" t="s">
        <v>146</v>
      </c>
      <c r="V246">
        <v>4</v>
      </c>
      <c r="AA246" s="49" t="s">
        <v>83</v>
      </c>
      <c r="AB246" s="50" t="s">
        <v>38</v>
      </c>
    </row>
    <row r="247" spans="1:28" x14ac:dyDescent="0.4">
      <c r="A247" s="145"/>
      <c r="B247" s="151"/>
      <c r="C247" s="85" t="s">
        <v>334</v>
      </c>
      <c r="D247" s="106" t="s">
        <v>185</v>
      </c>
      <c r="E247" s="106" t="s">
        <v>36</v>
      </c>
      <c r="F247" s="16"/>
      <c r="G247" s="12" t="s">
        <v>178</v>
      </c>
      <c r="H247" s="15"/>
      <c r="I247" s="15"/>
      <c r="J247" s="13">
        <v>1</v>
      </c>
      <c r="K247" s="15">
        <v>1</v>
      </c>
      <c r="L247" s="13"/>
      <c r="M247" s="17"/>
      <c r="N247" s="17"/>
      <c r="O247" s="17"/>
      <c r="P247" s="17"/>
      <c r="Q247" s="17"/>
      <c r="R247" s="17"/>
      <c r="S247" s="15"/>
      <c r="T247" s="25">
        <v>46093</v>
      </c>
      <c r="U247" s="13" t="s">
        <v>146</v>
      </c>
      <c r="V247">
        <v>5</v>
      </c>
      <c r="AA247" s="49" t="s">
        <v>84</v>
      </c>
      <c r="AB247" s="50" t="s">
        <v>44</v>
      </c>
    </row>
    <row r="248" spans="1:28" x14ac:dyDescent="0.4">
      <c r="A248" s="145"/>
      <c r="B248" s="151"/>
      <c r="C248" s="85" t="s">
        <v>335</v>
      </c>
      <c r="D248" s="106" t="s">
        <v>197</v>
      </c>
      <c r="E248" s="106" t="s">
        <v>74</v>
      </c>
      <c r="F248" s="16"/>
      <c r="G248" s="12" t="s">
        <v>178</v>
      </c>
      <c r="H248" s="13"/>
      <c r="I248" s="15"/>
      <c r="J248" s="13">
        <v>1</v>
      </c>
      <c r="K248" s="15"/>
      <c r="L248" s="13"/>
      <c r="M248" s="17"/>
      <c r="N248" s="17"/>
      <c r="O248" s="17"/>
      <c r="P248" s="17"/>
      <c r="Q248" s="17"/>
      <c r="R248" s="17"/>
      <c r="S248" s="15"/>
      <c r="T248" s="25">
        <v>46109</v>
      </c>
      <c r="U248" s="133" t="s">
        <v>146</v>
      </c>
      <c r="V248">
        <v>6</v>
      </c>
      <c r="AA248" s="49" t="s">
        <v>85</v>
      </c>
      <c r="AB248" s="50" t="s">
        <v>43</v>
      </c>
    </row>
    <row r="249" spans="1:28" x14ac:dyDescent="0.4">
      <c r="A249" s="145"/>
      <c r="B249" s="151"/>
      <c r="C249" s="85" t="s">
        <v>336</v>
      </c>
      <c r="D249" s="106" t="s">
        <v>186</v>
      </c>
      <c r="E249" s="106" t="s">
        <v>42</v>
      </c>
      <c r="F249" s="16"/>
      <c r="G249" s="12" t="s">
        <v>178</v>
      </c>
      <c r="H249" s="15"/>
      <c r="I249" s="15"/>
      <c r="J249" s="13"/>
      <c r="K249" s="15"/>
      <c r="L249" s="13"/>
      <c r="M249" s="17"/>
      <c r="N249" s="17"/>
      <c r="O249" s="17"/>
      <c r="P249" s="17"/>
      <c r="Q249" s="17"/>
      <c r="R249" s="17"/>
      <c r="S249" s="15">
        <v>1</v>
      </c>
      <c r="T249" s="25">
        <v>46090</v>
      </c>
      <c r="U249" s="13" t="s">
        <v>146</v>
      </c>
      <c r="V249">
        <v>7</v>
      </c>
      <c r="AA249" s="49" t="s">
        <v>86</v>
      </c>
      <c r="AB249" s="50" t="s">
        <v>45</v>
      </c>
    </row>
    <row r="250" spans="1:28" x14ac:dyDescent="0.4">
      <c r="A250" s="145"/>
      <c r="B250" s="151"/>
      <c r="C250" s="85" t="s">
        <v>337</v>
      </c>
      <c r="D250" s="106" t="s">
        <v>189</v>
      </c>
      <c r="E250" s="106" t="s">
        <v>44</v>
      </c>
      <c r="F250" s="16"/>
      <c r="G250" s="12" t="s">
        <v>178</v>
      </c>
      <c r="H250" s="15"/>
      <c r="I250" s="15"/>
      <c r="J250" s="13"/>
      <c r="K250" s="15"/>
      <c r="L250" s="13"/>
      <c r="M250" s="17">
        <v>1</v>
      </c>
      <c r="N250" s="17">
        <v>1</v>
      </c>
      <c r="O250" s="17"/>
      <c r="P250" s="17"/>
      <c r="Q250" s="17"/>
      <c r="R250" s="17"/>
      <c r="S250" s="15"/>
      <c r="T250" s="25">
        <v>46102</v>
      </c>
      <c r="U250" s="13" t="s">
        <v>147</v>
      </c>
      <c r="V250">
        <v>8</v>
      </c>
      <c r="AA250" s="49" t="s">
        <v>87</v>
      </c>
      <c r="AB250" s="50" t="s">
        <v>37</v>
      </c>
    </row>
    <row r="251" spans="1:28" x14ac:dyDescent="0.4">
      <c r="A251" s="145"/>
      <c r="B251" s="151"/>
      <c r="C251" s="85" t="s">
        <v>338</v>
      </c>
      <c r="D251" s="106" t="s">
        <v>189</v>
      </c>
      <c r="E251" s="106" t="s">
        <v>38</v>
      </c>
      <c r="F251" s="16"/>
      <c r="G251" s="12" t="s">
        <v>178</v>
      </c>
      <c r="H251" s="15"/>
      <c r="I251" s="15"/>
      <c r="J251" s="13">
        <v>1</v>
      </c>
      <c r="K251" s="15"/>
      <c r="L251" s="13"/>
      <c r="M251" s="17"/>
      <c r="N251" s="17"/>
      <c r="O251" s="17"/>
      <c r="P251" s="17"/>
      <c r="Q251" s="17"/>
      <c r="R251" s="17"/>
      <c r="S251" s="15"/>
      <c r="T251" s="25">
        <v>46102</v>
      </c>
      <c r="U251" s="13" t="s">
        <v>146</v>
      </c>
      <c r="V251">
        <v>9</v>
      </c>
      <c r="AA251" s="49" t="s">
        <v>88</v>
      </c>
      <c r="AB251" s="50" t="s">
        <v>74</v>
      </c>
    </row>
    <row r="252" spans="1:28" x14ac:dyDescent="0.4">
      <c r="A252" s="145"/>
      <c r="B252" s="151"/>
      <c r="C252" s="85" t="s">
        <v>339</v>
      </c>
      <c r="D252" s="106" t="s">
        <v>189</v>
      </c>
      <c r="E252" s="106" t="s">
        <v>75</v>
      </c>
      <c r="F252" s="138"/>
      <c r="G252" s="137" t="s">
        <v>178</v>
      </c>
      <c r="H252" s="15"/>
      <c r="I252" s="15"/>
      <c r="J252" s="13"/>
      <c r="K252" s="15"/>
      <c r="L252" s="13"/>
      <c r="M252" s="17"/>
      <c r="N252" s="17"/>
      <c r="O252" s="17"/>
      <c r="P252" s="17"/>
      <c r="Q252" s="17"/>
      <c r="R252" s="17"/>
      <c r="S252" s="15"/>
      <c r="T252" s="25">
        <v>46102</v>
      </c>
      <c r="U252" s="13" t="s">
        <v>147</v>
      </c>
      <c r="V252">
        <v>10</v>
      </c>
      <c r="AA252" s="49" t="s">
        <v>89</v>
      </c>
      <c r="AB252" s="50" t="s">
        <v>36</v>
      </c>
    </row>
    <row r="253" spans="1:28" x14ac:dyDescent="0.4">
      <c r="A253" s="145"/>
      <c r="B253" s="151"/>
      <c r="C253" s="85" t="s">
        <v>340</v>
      </c>
      <c r="D253" s="106" t="s">
        <v>190</v>
      </c>
      <c r="E253" s="106" t="s">
        <v>74</v>
      </c>
      <c r="F253" s="16"/>
      <c r="G253" s="12" t="s">
        <v>178</v>
      </c>
      <c r="H253" s="15"/>
      <c r="I253" s="15"/>
      <c r="J253" s="15">
        <v>1</v>
      </c>
      <c r="K253" s="15"/>
      <c r="L253" s="17"/>
      <c r="M253" s="17"/>
      <c r="N253" s="17"/>
      <c r="O253" s="17"/>
      <c r="P253" s="17"/>
      <c r="Q253" s="17"/>
      <c r="R253" s="17"/>
      <c r="S253" s="15"/>
      <c r="T253" s="25">
        <v>46097</v>
      </c>
      <c r="U253" s="13" t="s">
        <v>146</v>
      </c>
      <c r="V253">
        <v>11</v>
      </c>
      <c r="AA253" s="49" t="s">
        <v>90</v>
      </c>
      <c r="AB253" s="50" t="s">
        <v>58</v>
      </c>
    </row>
    <row r="254" spans="1:28" x14ac:dyDescent="0.4">
      <c r="A254" s="145"/>
      <c r="B254" s="151"/>
      <c r="C254" s="85" t="s">
        <v>341</v>
      </c>
      <c r="D254" s="106" t="s">
        <v>195</v>
      </c>
      <c r="E254" s="106" t="s">
        <v>40</v>
      </c>
      <c r="F254" s="16"/>
      <c r="G254" s="12" t="s">
        <v>178</v>
      </c>
      <c r="H254" s="15"/>
      <c r="I254" s="15"/>
      <c r="J254" s="15"/>
      <c r="K254" s="15"/>
      <c r="L254" s="17"/>
      <c r="M254" s="17"/>
      <c r="N254" s="17"/>
      <c r="O254" s="17">
        <v>1</v>
      </c>
      <c r="P254" s="17"/>
      <c r="Q254" s="17">
        <v>1</v>
      </c>
      <c r="R254" s="17">
        <v>1</v>
      </c>
      <c r="S254" s="15"/>
      <c r="T254" s="25">
        <v>46105</v>
      </c>
      <c r="U254" s="13" t="s">
        <v>148</v>
      </c>
      <c r="V254">
        <v>12</v>
      </c>
      <c r="AA254" s="49" t="s">
        <v>91</v>
      </c>
      <c r="AB254" s="50" t="s">
        <v>75</v>
      </c>
    </row>
    <row r="255" spans="1:28" x14ac:dyDescent="0.4">
      <c r="A255" s="145"/>
      <c r="B255" s="151"/>
      <c r="C255" s="85" t="s">
        <v>342</v>
      </c>
      <c r="D255" s="106" t="s">
        <v>195</v>
      </c>
      <c r="E255" s="106" t="s">
        <v>40</v>
      </c>
      <c r="F255" s="16"/>
      <c r="G255" s="12" t="s">
        <v>178</v>
      </c>
      <c r="H255" s="15"/>
      <c r="I255" s="15"/>
      <c r="J255" s="15"/>
      <c r="K255" s="15"/>
      <c r="L255" s="17"/>
      <c r="M255" s="17"/>
      <c r="N255" s="17"/>
      <c r="O255" s="17">
        <v>1</v>
      </c>
      <c r="P255" s="17">
        <v>1</v>
      </c>
      <c r="Q255" s="17">
        <v>1</v>
      </c>
      <c r="R255" s="17">
        <v>1</v>
      </c>
      <c r="S255" s="15"/>
      <c r="T255" s="25">
        <v>46105</v>
      </c>
      <c r="U255" s="13" t="s">
        <v>148</v>
      </c>
      <c r="V255">
        <v>13</v>
      </c>
      <c r="AA255" s="49" t="s">
        <v>92</v>
      </c>
      <c r="AB255" s="50" t="s">
        <v>40</v>
      </c>
    </row>
    <row r="256" spans="1:28" x14ac:dyDescent="0.4">
      <c r="A256" s="145"/>
      <c r="B256" s="151"/>
      <c r="C256" s="85" t="s">
        <v>343</v>
      </c>
      <c r="D256" s="106" t="s">
        <v>191</v>
      </c>
      <c r="E256" s="106" t="s">
        <v>37</v>
      </c>
      <c r="F256" s="16"/>
      <c r="G256" s="12" t="s">
        <v>178</v>
      </c>
      <c r="H256" s="15"/>
      <c r="I256" s="15"/>
      <c r="J256" s="15">
        <v>1</v>
      </c>
      <c r="K256" s="15">
        <v>1</v>
      </c>
      <c r="L256" s="17"/>
      <c r="M256" s="17"/>
      <c r="N256" s="17"/>
      <c r="O256" s="17"/>
      <c r="P256" s="17"/>
      <c r="Q256" s="17"/>
      <c r="R256" s="17"/>
      <c r="S256" s="15"/>
      <c r="T256" s="25">
        <v>46103</v>
      </c>
      <c r="U256" s="13" t="s">
        <v>146</v>
      </c>
      <c r="V256">
        <v>14</v>
      </c>
      <c r="AA256" s="49" t="s">
        <v>93</v>
      </c>
      <c r="AB256" s="50" t="s">
        <v>57</v>
      </c>
    </row>
    <row r="257" spans="1:28" x14ac:dyDescent="0.4">
      <c r="A257" s="145"/>
      <c r="B257" s="151"/>
      <c r="C257" s="85" t="s">
        <v>344</v>
      </c>
      <c r="D257" s="106" t="s">
        <v>191</v>
      </c>
      <c r="E257" s="106" t="s">
        <v>40</v>
      </c>
      <c r="F257" s="16"/>
      <c r="G257" s="12" t="s">
        <v>178</v>
      </c>
      <c r="H257" s="15"/>
      <c r="I257" s="15"/>
      <c r="J257" s="15"/>
      <c r="K257" s="15"/>
      <c r="L257" s="17"/>
      <c r="M257" s="17"/>
      <c r="N257" s="17"/>
      <c r="O257" s="17">
        <v>1</v>
      </c>
      <c r="P257" s="17"/>
      <c r="Q257" s="17"/>
      <c r="R257" s="17">
        <v>1</v>
      </c>
      <c r="S257" s="15"/>
      <c r="T257" s="25">
        <v>46103</v>
      </c>
      <c r="U257" s="13" t="s">
        <v>148</v>
      </c>
      <c r="V257">
        <v>15</v>
      </c>
      <c r="AA257" s="49" t="s">
        <v>94</v>
      </c>
      <c r="AB257" s="50" t="s">
        <v>41</v>
      </c>
    </row>
    <row r="258" spans="1:28" x14ac:dyDescent="0.4">
      <c r="A258" s="145"/>
      <c r="B258" s="151"/>
      <c r="C258" s="85" t="s">
        <v>345</v>
      </c>
      <c r="D258" s="106" t="s">
        <v>179</v>
      </c>
      <c r="E258" s="106" t="s">
        <v>38</v>
      </c>
      <c r="F258" s="16"/>
      <c r="G258" s="12" t="s">
        <v>178</v>
      </c>
      <c r="H258" s="15"/>
      <c r="I258" s="15"/>
      <c r="J258" s="18">
        <v>1</v>
      </c>
      <c r="K258" s="15">
        <v>1</v>
      </c>
      <c r="L258" s="19"/>
      <c r="M258" s="19"/>
      <c r="N258" s="19"/>
      <c r="O258" s="19"/>
      <c r="P258" s="19"/>
      <c r="Q258" s="19"/>
      <c r="R258" s="19"/>
      <c r="S258" s="15"/>
      <c r="T258" s="25">
        <v>46099</v>
      </c>
      <c r="U258" s="13" t="s">
        <v>146</v>
      </c>
      <c r="V258">
        <v>16</v>
      </c>
      <c r="AA258" s="49" t="s">
        <v>95</v>
      </c>
      <c r="AB258" s="50" t="s">
        <v>42</v>
      </c>
    </row>
    <row r="259" spans="1:28" x14ac:dyDescent="0.4">
      <c r="A259" s="145"/>
      <c r="B259" s="151"/>
      <c r="C259" s="85"/>
      <c r="D259" s="106"/>
      <c r="E259" s="106"/>
      <c r="F259" s="16"/>
      <c r="G259" s="12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5"/>
      <c r="U259" s="13"/>
      <c r="V259">
        <v>17</v>
      </c>
      <c r="AA259" s="49" t="s">
        <v>96</v>
      </c>
      <c r="AB259" s="50" t="s">
        <v>61</v>
      </c>
    </row>
    <row r="260" spans="1:28" x14ac:dyDescent="0.4">
      <c r="A260" s="145"/>
      <c r="B260" s="151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45"/>
      <c r="B261" s="151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45"/>
      <c r="B262" s="151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30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45"/>
      <c r="B263" s="151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30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45"/>
      <c r="B264" s="151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45"/>
      <c r="B265" s="151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45"/>
      <c r="B266" s="151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46"/>
      <c r="B267" s="152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16</v>
      </c>
      <c r="D268" s="112"/>
      <c r="E268" s="29"/>
      <c r="F268" s="29" t="s">
        <v>34</v>
      </c>
      <c r="G268" s="29">
        <f>COUNTIF(G243:G267,"S")</f>
        <v>16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9</v>
      </c>
      <c r="K268" s="29">
        <f t="shared" ref="K268" si="54">SUM(K243:K267)</f>
        <v>5</v>
      </c>
      <c r="L268" s="29">
        <f t="shared" ref="L268" si="55">SUM(L243:L267)</f>
        <v>0</v>
      </c>
      <c r="M268" s="29">
        <f t="shared" ref="M268" si="56">SUM(M243:M267)</f>
        <v>2</v>
      </c>
      <c r="N268" s="29">
        <f t="shared" ref="N268" si="57">SUM(N243:N267)</f>
        <v>2</v>
      </c>
      <c r="O268" s="29">
        <f t="shared" ref="O268" si="58">SUM(O243:O267)</f>
        <v>3</v>
      </c>
      <c r="P268" s="29">
        <f t="shared" ref="P268" si="59">SUM(P243:P267)</f>
        <v>1</v>
      </c>
      <c r="Q268" s="29">
        <f t="shared" ref="Q268" si="60">SUM(Q243:Q267)</f>
        <v>3</v>
      </c>
      <c r="R268" s="29">
        <f t="shared" ref="R268" si="61">SUM(R243:R267)</f>
        <v>3</v>
      </c>
      <c r="S268" s="29">
        <f t="shared" ref="S268" si="62">SUM(S243:S267)</f>
        <v>1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29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AYG133</v>
      </c>
      <c r="B271" s="24">
        <f>B1</f>
        <v>46072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42" t="s">
        <v>111</v>
      </c>
      <c r="Y272" s="143"/>
    </row>
    <row r="273" spans="1:28" ht="20.25" thickTop="1" thickBot="1" x14ac:dyDescent="0.45">
      <c r="A273" s="144">
        <v>10</v>
      </c>
      <c r="B273" s="150">
        <v>20.6</v>
      </c>
      <c r="C273" s="85" t="s">
        <v>346</v>
      </c>
      <c r="D273" s="109" t="s">
        <v>197</v>
      </c>
      <c r="E273" s="13" t="s">
        <v>41</v>
      </c>
      <c r="F273" s="14"/>
      <c r="G273" s="12" t="s">
        <v>178</v>
      </c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>
        <v>46092</v>
      </c>
      <c r="U273" s="13" t="s">
        <v>147</v>
      </c>
      <c r="V273">
        <v>1</v>
      </c>
      <c r="X273" s="51" t="s">
        <v>106</v>
      </c>
      <c r="Y273" s="52">
        <f>COUNTIF(U273:U297,"K")</f>
        <v>7</v>
      </c>
      <c r="AA273" s="59" t="s">
        <v>120</v>
      </c>
      <c r="AB273" s="60" t="s">
        <v>121</v>
      </c>
    </row>
    <row r="274" spans="1:28" x14ac:dyDescent="0.4">
      <c r="A274" s="145"/>
      <c r="B274" s="151"/>
      <c r="C274" s="85" t="s">
        <v>347</v>
      </c>
      <c r="D274" s="109" t="s">
        <v>184</v>
      </c>
      <c r="E274" s="13" t="s">
        <v>59</v>
      </c>
      <c r="F274" s="16"/>
      <c r="G274" s="12" t="s">
        <v>178</v>
      </c>
      <c r="H274" s="15"/>
      <c r="I274" s="15"/>
      <c r="J274" s="15">
        <v>2</v>
      </c>
      <c r="K274" s="15"/>
      <c r="L274" s="17"/>
      <c r="M274" s="17"/>
      <c r="N274" s="17"/>
      <c r="O274" s="17"/>
      <c r="P274" s="17"/>
      <c r="Q274" s="17"/>
      <c r="R274" s="17"/>
      <c r="S274" s="15"/>
      <c r="T274" s="26">
        <v>46104</v>
      </c>
      <c r="U274" s="13" t="s">
        <v>142</v>
      </c>
      <c r="V274">
        <v>2</v>
      </c>
      <c r="X274" s="51" t="s">
        <v>107</v>
      </c>
      <c r="Y274" s="52">
        <f>COUNTIF(U273:U297,"R")</f>
        <v>4</v>
      </c>
      <c r="AA274" s="47" t="s">
        <v>81</v>
      </c>
      <c r="AB274" s="48" t="s">
        <v>60</v>
      </c>
    </row>
    <row r="275" spans="1:28" ht="19.5" thickBot="1" x14ac:dyDescent="0.45">
      <c r="A275" s="145"/>
      <c r="B275" s="151"/>
      <c r="C275" s="85" t="s">
        <v>348</v>
      </c>
      <c r="D275" s="109" t="s">
        <v>184</v>
      </c>
      <c r="E275" s="13" t="s">
        <v>59</v>
      </c>
      <c r="F275" s="16"/>
      <c r="G275" s="12" t="s">
        <v>178</v>
      </c>
      <c r="H275" s="15"/>
      <c r="I275" s="15"/>
      <c r="J275" s="15">
        <v>2</v>
      </c>
      <c r="K275" s="15"/>
      <c r="L275" s="17"/>
      <c r="M275" s="17"/>
      <c r="N275" s="17"/>
      <c r="O275" s="17"/>
      <c r="P275" s="17"/>
      <c r="Q275" s="17"/>
      <c r="R275" s="17"/>
      <c r="S275" s="15"/>
      <c r="T275" s="26">
        <v>46123</v>
      </c>
      <c r="U275" s="13" t="s">
        <v>146</v>
      </c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45"/>
      <c r="B276" s="151"/>
      <c r="C276" s="85" t="s">
        <v>349</v>
      </c>
      <c r="D276" s="109" t="s">
        <v>194</v>
      </c>
      <c r="E276" s="13" t="s">
        <v>58</v>
      </c>
      <c r="F276" s="16"/>
      <c r="G276" s="12" t="s">
        <v>178</v>
      </c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/>
      <c r="T276" s="26">
        <v>46103</v>
      </c>
      <c r="U276" s="13" t="s">
        <v>147</v>
      </c>
      <c r="V276">
        <v>4</v>
      </c>
      <c r="AA276" s="49" t="s">
        <v>83</v>
      </c>
      <c r="AB276" s="50" t="s">
        <v>38</v>
      </c>
    </row>
    <row r="277" spans="1:28" x14ac:dyDescent="0.4">
      <c r="A277" s="145"/>
      <c r="B277" s="151"/>
      <c r="C277" s="85" t="s">
        <v>350</v>
      </c>
      <c r="D277" s="109">
        <v>1101</v>
      </c>
      <c r="E277" s="13" t="s">
        <v>36</v>
      </c>
      <c r="F277" s="16"/>
      <c r="G277" s="12" t="s">
        <v>178</v>
      </c>
      <c r="H277" s="15"/>
      <c r="I277" s="15"/>
      <c r="J277" s="15"/>
      <c r="K277" s="15"/>
      <c r="L277" s="17"/>
      <c r="M277" s="17">
        <v>1</v>
      </c>
      <c r="N277" s="17">
        <v>1</v>
      </c>
      <c r="O277" s="17"/>
      <c r="P277" s="17"/>
      <c r="Q277" s="17"/>
      <c r="R277" s="17"/>
      <c r="S277" s="15"/>
      <c r="T277" s="26">
        <v>46103</v>
      </c>
      <c r="U277" s="13" t="s">
        <v>147</v>
      </c>
      <c r="V277">
        <v>5</v>
      </c>
      <c r="AA277" s="49" t="s">
        <v>84</v>
      </c>
      <c r="AB277" s="50" t="s">
        <v>44</v>
      </c>
    </row>
    <row r="278" spans="1:28" x14ac:dyDescent="0.4">
      <c r="A278" s="145"/>
      <c r="B278" s="151"/>
      <c r="C278" s="85" t="s">
        <v>352</v>
      </c>
      <c r="D278" s="109" t="s">
        <v>351</v>
      </c>
      <c r="E278" s="13" t="s">
        <v>41</v>
      </c>
      <c r="F278" s="16"/>
      <c r="G278" s="12" t="s">
        <v>178</v>
      </c>
      <c r="H278" s="13"/>
      <c r="I278" s="15"/>
      <c r="J278" s="15">
        <v>1</v>
      </c>
      <c r="K278" s="15"/>
      <c r="L278" s="17"/>
      <c r="M278" s="17"/>
      <c r="N278" s="17"/>
      <c r="O278" s="17"/>
      <c r="P278" s="17"/>
      <c r="Q278" s="17"/>
      <c r="R278" s="17"/>
      <c r="S278" s="15"/>
      <c r="T278" s="26">
        <v>46106</v>
      </c>
      <c r="U278" s="13" t="s">
        <v>146</v>
      </c>
      <c r="V278">
        <v>6</v>
      </c>
      <c r="AA278" s="49" t="s">
        <v>85</v>
      </c>
      <c r="AB278" s="50" t="s">
        <v>43</v>
      </c>
    </row>
    <row r="279" spans="1:28" x14ac:dyDescent="0.4">
      <c r="A279" s="145"/>
      <c r="B279" s="151"/>
      <c r="C279" s="85" t="s">
        <v>353</v>
      </c>
      <c r="D279" s="109" t="s">
        <v>351</v>
      </c>
      <c r="E279" s="13" t="s">
        <v>42</v>
      </c>
      <c r="F279" s="16"/>
      <c r="G279" s="12" t="s">
        <v>178</v>
      </c>
      <c r="H279" s="15"/>
      <c r="I279" s="15"/>
      <c r="J279" s="15"/>
      <c r="K279" s="15"/>
      <c r="L279" s="15"/>
      <c r="M279" s="17"/>
      <c r="N279" s="17"/>
      <c r="O279" s="17"/>
      <c r="P279" s="17"/>
      <c r="Q279" s="17"/>
      <c r="R279" s="17"/>
      <c r="S279" s="15">
        <v>1</v>
      </c>
      <c r="T279" s="26">
        <v>46106</v>
      </c>
      <c r="U279" s="13" t="s">
        <v>146</v>
      </c>
      <c r="V279">
        <v>7</v>
      </c>
      <c r="AA279" s="49" t="s">
        <v>86</v>
      </c>
      <c r="AB279" s="50" t="s">
        <v>45</v>
      </c>
    </row>
    <row r="280" spans="1:28" x14ac:dyDescent="0.4">
      <c r="A280" s="145"/>
      <c r="B280" s="151"/>
      <c r="C280" s="85" t="s">
        <v>354</v>
      </c>
      <c r="D280" s="109" t="s">
        <v>351</v>
      </c>
      <c r="E280" s="13" t="s">
        <v>41</v>
      </c>
      <c r="F280" s="16"/>
      <c r="G280" s="12" t="s">
        <v>178</v>
      </c>
      <c r="H280" s="15"/>
      <c r="I280" s="15"/>
      <c r="J280" s="15">
        <v>1</v>
      </c>
      <c r="K280" s="15"/>
      <c r="L280" s="15"/>
      <c r="M280" s="17"/>
      <c r="N280" s="17"/>
      <c r="O280" s="17"/>
      <c r="P280" s="17"/>
      <c r="Q280" s="17"/>
      <c r="R280" s="17"/>
      <c r="S280" s="15"/>
      <c r="T280" s="26">
        <v>46106</v>
      </c>
      <c r="U280" s="13" t="s">
        <v>146</v>
      </c>
      <c r="V280">
        <v>8</v>
      </c>
      <c r="AA280" s="49" t="s">
        <v>87</v>
      </c>
      <c r="AB280" s="50" t="s">
        <v>37</v>
      </c>
    </row>
    <row r="281" spans="1:28" x14ac:dyDescent="0.4">
      <c r="A281" s="145"/>
      <c r="B281" s="151"/>
      <c r="C281" s="85" t="s">
        <v>355</v>
      </c>
      <c r="D281" s="109" t="s">
        <v>351</v>
      </c>
      <c r="E281" s="13" t="s">
        <v>42</v>
      </c>
      <c r="F281" s="16"/>
      <c r="G281" s="12" t="s">
        <v>178</v>
      </c>
      <c r="H281" s="15"/>
      <c r="I281" s="15"/>
      <c r="J281" s="15"/>
      <c r="K281" s="15"/>
      <c r="L281" s="15"/>
      <c r="M281" s="17"/>
      <c r="N281" s="17"/>
      <c r="O281" s="17"/>
      <c r="P281" s="17"/>
      <c r="Q281" s="17"/>
      <c r="R281" s="17"/>
      <c r="S281" s="15">
        <v>1</v>
      </c>
      <c r="T281" s="26">
        <v>46106</v>
      </c>
      <c r="U281" s="13" t="s">
        <v>146</v>
      </c>
      <c r="V281">
        <v>9</v>
      </c>
      <c r="AA281" s="49" t="s">
        <v>88</v>
      </c>
      <c r="AB281" s="50" t="s">
        <v>74</v>
      </c>
    </row>
    <row r="282" spans="1:28" x14ac:dyDescent="0.4">
      <c r="A282" s="145"/>
      <c r="B282" s="151"/>
      <c r="C282" s="85" t="s">
        <v>356</v>
      </c>
      <c r="D282" s="109" t="s">
        <v>189</v>
      </c>
      <c r="E282" s="13" t="s">
        <v>37</v>
      </c>
      <c r="F282" s="16"/>
      <c r="G282" s="12" t="s">
        <v>178</v>
      </c>
      <c r="H282" s="15"/>
      <c r="I282" s="15"/>
      <c r="J282" s="15"/>
      <c r="K282" s="15"/>
      <c r="L282" s="15"/>
      <c r="M282" s="17">
        <v>1</v>
      </c>
      <c r="N282" s="17">
        <v>1</v>
      </c>
      <c r="O282" s="17"/>
      <c r="P282" s="17"/>
      <c r="Q282" s="17">
        <v>1</v>
      </c>
      <c r="R282" s="17"/>
      <c r="S282" s="15"/>
      <c r="T282" s="26">
        <v>46104</v>
      </c>
      <c r="U282" s="13" t="s">
        <v>147</v>
      </c>
      <c r="V282">
        <v>10</v>
      </c>
      <c r="AA282" s="49" t="s">
        <v>89</v>
      </c>
      <c r="AB282" s="50" t="s">
        <v>36</v>
      </c>
    </row>
    <row r="283" spans="1:28" x14ac:dyDescent="0.4">
      <c r="A283" s="145"/>
      <c r="B283" s="151"/>
      <c r="C283" s="85" t="s">
        <v>357</v>
      </c>
      <c r="D283" s="109" t="s">
        <v>185</v>
      </c>
      <c r="E283" s="13" t="s">
        <v>36</v>
      </c>
      <c r="F283" s="16"/>
      <c r="G283" s="12" t="s">
        <v>178</v>
      </c>
      <c r="H283" s="15"/>
      <c r="I283" s="15"/>
      <c r="J283" s="15">
        <v>1</v>
      </c>
      <c r="K283" s="15">
        <v>1</v>
      </c>
      <c r="L283" s="15"/>
      <c r="M283" s="17"/>
      <c r="N283" s="17"/>
      <c r="O283" s="17"/>
      <c r="P283" s="17"/>
      <c r="Q283" s="17"/>
      <c r="R283" s="17"/>
      <c r="S283" s="15"/>
      <c r="T283" s="26">
        <v>46110</v>
      </c>
      <c r="U283" s="13" t="s">
        <v>146</v>
      </c>
      <c r="V283">
        <v>11</v>
      </c>
      <c r="AA283" s="49" t="s">
        <v>90</v>
      </c>
      <c r="AB283" s="50" t="s">
        <v>58</v>
      </c>
    </row>
    <row r="284" spans="1:28" x14ac:dyDescent="0.4">
      <c r="A284" s="145"/>
      <c r="B284" s="151"/>
      <c r="C284" s="85"/>
      <c r="D284" s="109"/>
      <c r="E284" s="13"/>
      <c r="F284" s="16"/>
      <c r="G284" s="12"/>
      <c r="H284" s="15"/>
      <c r="I284" s="15"/>
      <c r="J284" s="15"/>
      <c r="K284" s="15"/>
      <c r="L284" s="15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45"/>
      <c r="B285" s="151"/>
      <c r="C285" s="85"/>
      <c r="D285" s="109"/>
      <c r="E285" s="13"/>
      <c r="F285" s="16"/>
      <c r="G285" s="12"/>
      <c r="H285" s="15"/>
      <c r="I285" s="15"/>
      <c r="J285" s="15"/>
      <c r="K285" s="15"/>
      <c r="L285" s="15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45"/>
      <c r="B286" s="151"/>
      <c r="C286" s="85"/>
      <c r="D286" s="109"/>
      <c r="E286" s="13"/>
      <c r="F286" s="16"/>
      <c r="G286" s="12"/>
      <c r="H286" s="15"/>
      <c r="I286" s="15"/>
      <c r="J286" s="15"/>
      <c r="K286" s="15"/>
      <c r="L286" s="15"/>
      <c r="M286" s="17"/>
      <c r="N286" s="17"/>
      <c r="O286" s="17"/>
      <c r="P286" s="17"/>
      <c r="Q286" s="17"/>
      <c r="R286" s="17"/>
      <c r="S286" s="15"/>
      <c r="T286" s="26"/>
      <c r="U286" s="13"/>
      <c r="V286">
        <v>14</v>
      </c>
      <c r="AA286" s="49" t="s">
        <v>93</v>
      </c>
      <c r="AB286" s="50" t="s">
        <v>57</v>
      </c>
    </row>
    <row r="287" spans="1:28" x14ac:dyDescent="0.4">
      <c r="A287" s="145"/>
      <c r="B287" s="151"/>
      <c r="C287" s="85"/>
      <c r="D287" s="109"/>
      <c r="E287" s="13"/>
      <c r="F287" s="16"/>
      <c r="G287" s="12"/>
      <c r="H287" s="15"/>
      <c r="I287" s="15"/>
      <c r="J287" s="15"/>
      <c r="K287" s="15"/>
      <c r="L287" s="15"/>
      <c r="M287" s="17"/>
      <c r="N287" s="17"/>
      <c r="O287" s="17"/>
      <c r="P287" s="17"/>
      <c r="Q287" s="17"/>
      <c r="R287" s="17"/>
      <c r="S287" s="15"/>
      <c r="T287" s="26"/>
      <c r="U287" s="13"/>
      <c r="V287">
        <v>15</v>
      </c>
      <c r="AA287" s="49" t="s">
        <v>94</v>
      </c>
      <c r="AB287" s="50" t="s">
        <v>41</v>
      </c>
    </row>
    <row r="288" spans="1:28" x14ac:dyDescent="0.4">
      <c r="A288" s="145"/>
      <c r="B288" s="151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45"/>
      <c r="B289" s="151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45"/>
      <c r="B290" s="151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45"/>
      <c r="B291" s="151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45"/>
      <c r="B292" s="151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45"/>
      <c r="B293" s="151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45"/>
      <c r="B294" s="151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45"/>
      <c r="B295" s="151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45"/>
      <c r="B296" s="151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46"/>
      <c r="B297" s="152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11</v>
      </c>
      <c r="D298" s="112"/>
      <c r="E298" s="29"/>
      <c r="F298" s="29" t="s">
        <v>34</v>
      </c>
      <c r="G298" s="29">
        <f>COUNTIF(G273:G297,"S")</f>
        <v>11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7</v>
      </c>
      <c r="K298" s="29">
        <f t="shared" ref="K298" si="64">SUM(K273:K297)</f>
        <v>1</v>
      </c>
      <c r="L298" s="29">
        <f t="shared" ref="L298" si="65">SUM(L273:L297)</f>
        <v>0</v>
      </c>
      <c r="M298" s="29">
        <f t="shared" ref="M298" si="66">SUM(M273:M297)</f>
        <v>2</v>
      </c>
      <c r="N298" s="29">
        <f t="shared" ref="N298" si="67">SUM(N273:N297)</f>
        <v>2</v>
      </c>
      <c r="O298" s="29">
        <f t="shared" ref="O298" si="68">SUM(O273:O297)</f>
        <v>0</v>
      </c>
      <c r="P298" s="29">
        <f t="shared" ref="P298" si="69">SUM(P273:P297)</f>
        <v>0</v>
      </c>
      <c r="Q298" s="29">
        <f t="shared" ref="Q298" si="70">SUM(Q273:Q297)</f>
        <v>1</v>
      </c>
      <c r="R298" s="29">
        <f t="shared" ref="R298" si="71">SUM(R273:R297)</f>
        <v>0</v>
      </c>
      <c r="S298" s="29">
        <f t="shared" ref="S298" si="72">SUM(S273:S297)</f>
        <v>2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15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AYG133</v>
      </c>
      <c r="B301" s="24">
        <f>B1</f>
        <v>46072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42" t="s">
        <v>110</v>
      </c>
      <c r="Y302" s="143"/>
    </row>
    <row r="303" spans="1:28" ht="20.25" thickTop="1" thickBot="1" x14ac:dyDescent="0.45">
      <c r="A303" s="144">
        <v>11</v>
      </c>
      <c r="B303" s="150">
        <v>21</v>
      </c>
      <c r="C303" s="85" t="s">
        <v>358</v>
      </c>
      <c r="D303" s="109" t="s">
        <v>179</v>
      </c>
      <c r="E303" s="13" t="s">
        <v>38</v>
      </c>
      <c r="F303" s="14"/>
      <c r="G303" s="12" t="s">
        <v>178</v>
      </c>
      <c r="H303" s="13"/>
      <c r="I303" s="13"/>
      <c r="J303" s="13">
        <v>1</v>
      </c>
      <c r="K303" s="13">
        <v>1</v>
      </c>
      <c r="L303" s="13"/>
      <c r="M303" s="13"/>
      <c r="N303" s="13"/>
      <c r="O303" s="13"/>
      <c r="P303" s="13"/>
      <c r="Q303" s="13"/>
      <c r="R303" s="13"/>
      <c r="S303" s="13"/>
      <c r="T303" s="26">
        <v>46089</v>
      </c>
      <c r="U303" s="13" t="s">
        <v>146</v>
      </c>
      <c r="V303">
        <v>1</v>
      </c>
      <c r="X303" s="51" t="s">
        <v>106</v>
      </c>
      <c r="Y303" s="52">
        <f>COUNTIF(U303:U327,"K")</f>
        <v>8</v>
      </c>
      <c r="AA303" s="59" t="s">
        <v>120</v>
      </c>
      <c r="AB303" s="60" t="s">
        <v>121</v>
      </c>
    </row>
    <row r="304" spans="1:28" x14ac:dyDescent="0.4">
      <c r="A304" s="145"/>
      <c r="B304" s="151"/>
      <c r="C304" s="85" t="s">
        <v>359</v>
      </c>
      <c r="D304" s="109" t="s">
        <v>185</v>
      </c>
      <c r="E304" s="13" t="s">
        <v>58</v>
      </c>
      <c r="F304" s="16"/>
      <c r="G304" s="12" t="s">
        <v>178</v>
      </c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>
        <v>46088</v>
      </c>
      <c r="U304" s="13" t="s">
        <v>147</v>
      </c>
      <c r="V304">
        <v>2</v>
      </c>
      <c r="X304" s="51" t="s">
        <v>107</v>
      </c>
      <c r="Y304" s="52">
        <f>COUNTIF(U303:U327,"R")</f>
        <v>8</v>
      </c>
      <c r="AA304" s="47" t="s">
        <v>81</v>
      </c>
      <c r="AB304" s="48" t="s">
        <v>60</v>
      </c>
    </row>
    <row r="305" spans="1:28" ht="19.5" thickBot="1" x14ac:dyDescent="0.45">
      <c r="A305" s="145"/>
      <c r="B305" s="151"/>
      <c r="C305" s="85" t="s">
        <v>360</v>
      </c>
      <c r="D305" s="109" t="s">
        <v>200</v>
      </c>
      <c r="E305" s="13" t="s">
        <v>43</v>
      </c>
      <c r="F305" s="16"/>
      <c r="G305" s="12" t="s">
        <v>178</v>
      </c>
      <c r="H305" s="15"/>
      <c r="I305" s="15"/>
      <c r="J305" s="15">
        <v>1</v>
      </c>
      <c r="K305" s="15">
        <v>1</v>
      </c>
      <c r="L305" s="17"/>
      <c r="M305" s="13"/>
      <c r="N305" s="13"/>
      <c r="O305" s="17"/>
      <c r="P305" s="17"/>
      <c r="Q305" s="17"/>
      <c r="R305" s="17"/>
      <c r="S305" s="15"/>
      <c r="T305" s="26">
        <v>46104</v>
      </c>
      <c r="U305" s="13" t="s">
        <v>146</v>
      </c>
      <c r="V305">
        <v>3</v>
      </c>
      <c r="X305" s="53" t="s">
        <v>108</v>
      </c>
      <c r="Y305" s="54">
        <f>COUNTIF(U303:U327,"J")</f>
        <v>3</v>
      </c>
      <c r="AA305" s="49" t="s">
        <v>82</v>
      </c>
      <c r="AB305" s="50" t="s">
        <v>39</v>
      </c>
    </row>
    <row r="306" spans="1:28" x14ac:dyDescent="0.4">
      <c r="A306" s="145"/>
      <c r="B306" s="151"/>
      <c r="C306" s="85" t="s">
        <v>361</v>
      </c>
      <c r="D306" s="109" t="s">
        <v>200</v>
      </c>
      <c r="E306" s="13" t="s">
        <v>45</v>
      </c>
      <c r="F306" s="16"/>
      <c r="G306" s="12" t="s">
        <v>178</v>
      </c>
      <c r="H306" s="15"/>
      <c r="I306" s="15"/>
      <c r="J306" s="15"/>
      <c r="K306" s="15"/>
      <c r="L306" s="17"/>
      <c r="M306" s="13">
        <v>1</v>
      </c>
      <c r="N306" s="13">
        <v>1</v>
      </c>
      <c r="O306" s="17"/>
      <c r="P306" s="17"/>
      <c r="Q306" s="17"/>
      <c r="R306" s="17"/>
      <c r="S306" s="15"/>
      <c r="T306" s="26">
        <v>46104</v>
      </c>
      <c r="U306" s="13" t="s">
        <v>147</v>
      </c>
      <c r="V306">
        <v>4</v>
      </c>
      <c r="AA306" s="49" t="s">
        <v>83</v>
      </c>
      <c r="AB306" s="50" t="s">
        <v>38</v>
      </c>
    </row>
    <row r="307" spans="1:28" x14ac:dyDescent="0.4">
      <c r="A307" s="145"/>
      <c r="B307" s="151"/>
      <c r="C307" s="85" t="s">
        <v>362</v>
      </c>
      <c r="D307" s="109" t="s">
        <v>200</v>
      </c>
      <c r="E307" s="13" t="s">
        <v>40</v>
      </c>
      <c r="F307" s="16"/>
      <c r="G307" s="12" t="s">
        <v>178</v>
      </c>
      <c r="H307" s="15"/>
      <c r="I307" s="15"/>
      <c r="J307" s="15"/>
      <c r="K307" s="15"/>
      <c r="L307" s="17"/>
      <c r="M307" s="13"/>
      <c r="N307" s="13">
        <v>1</v>
      </c>
      <c r="O307" s="17">
        <v>1</v>
      </c>
      <c r="P307" s="17">
        <v>1</v>
      </c>
      <c r="Q307" s="17">
        <v>1</v>
      </c>
      <c r="R307" s="17">
        <v>1</v>
      </c>
      <c r="S307" s="15"/>
      <c r="T307" s="26">
        <v>46104</v>
      </c>
      <c r="U307" s="13" t="s">
        <v>148</v>
      </c>
      <c r="V307">
        <v>5</v>
      </c>
      <c r="AA307" s="49" t="s">
        <v>84</v>
      </c>
      <c r="AB307" s="50" t="s">
        <v>44</v>
      </c>
    </row>
    <row r="308" spans="1:28" x14ac:dyDescent="0.4">
      <c r="A308" s="145"/>
      <c r="B308" s="151"/>
      <c r="C308" s="85" t="s">
        <v>363</v>
      </c>
      <c r="D308" s="109" t="s">
        <v>200</v>
      </c>
      <c r="E308" s="13" t="s">
        <v>40</v>
      </c>
      <c r="F308" s="16"/>
      <c r="G308" s="12" t="s">
        <v>178</v>
      </c>
      <c r="H308" s="13"/>
      <c r="I308" s="15"/>
      <c r="J308" s="15"/>
      <c r="K308" s="15"/>
      <c r="L308" s="17"/>
      <c r="M308" s="13"/>
      <c r="N308" s="13"/>
      <c r="O308" s="17">
        <v>1</v>
      </c>
      <c r="P308" s="17">
        <v>1</v>
      </c>
      <c r="Q308" s="17"/>
      <c r="R308" s="17"/>
      <c r="S308" s="15"/>
      <c r="T308" s="26">
        <v>46104</v>
      </c>
      <c r="U308" s="13" t="s">
        <v>148</v>
      </c>
      <c r="V308">
        <v>6</v>
      </c>
      <c r="AA308" s="49" t="s">
        <v>85</v>
      </c>
      <c r="AB308" s="50" t="s">
        <v>43</v>
      </c>
    </row>
    <row r="309" spans="1:28" x14ac:dyDescent="0.4">
      <c r="A309" s="145"/>
      <c r="B309" s="151"/>
      <c r="C309" s="85" t="s">
        <v>364</v>
      </c>
      <c r="D309" s="109" t="s">
        <v>237</v>
      </c>
      <c r="E309" s="13" t="s">
        <v>75</v>
      </c>
      <c r="F309" s="16"/>
      <c r="G309" s="12" t="s">
        <v>178</v>
      </c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>
        <v>1</v>
      </c>
      <c r="T309" s="26">
        <v>46105</v>
      </c>
      <c r="U309" s="13" t="s">
        <v>146</v>
      </c>
      <c r="V309">
        <v>7</v>
      </c>
      <c r="AA309" s="49" t="s">
        <v>86</v>
      </c>
      <c r="AB309" s="50" t="s">
        <v>45</v>
      </c>
    </row>
    <row r="310" spans="1:28" x14ac:dyDescent="0.4">
      <c r="A310" s="145"/>
      <c r="B310" s="151"/>
      <c r="C310" s="85" t="s">
        <v>365</v>
      </c>
      <c r="D310" s="109" t="s">
        <v>191</v>
      </c>
      <c r="E310" s="13" t="s">
        <v>36</v>
      </c>
      <c r="F310" s="16"/>
      <c r="G310" s="12" t="s">
        <v>178</v>
      </c>
      <c r="H310" s="15"/>
      <c r="I310" s="15"/>
      <c r="J310" s="15">
        <v>1</v>
      </c>
      <c r="K310" s="15">
        <v>1</v>
      </c>
      <c r="L310" s="17"/>
      <c r="M310" s="13"/>
      <c r="N310" s="13"/>
      <c r="O310" s="17"/>
      <c r="P310" s="17"/>
      <c r="Q310" s="17"/>
      <c r="R310" s="17"/>
      <c r="S310" s="15"/>
      <c r="T310" s="26">
        <v>46103</v>
      </c>
      <c r="U310" s="13" t="s">
        <v>146</v>
      </c>
      <c r="V310">
        <v>8</v>
      </c>
      <c r="AA310" s="49" t="s">
        <v>87</v>
      </c>
      <c r="AB310" s="50" t="s">
        <v>37</v>
      </c>
    </row>
    <row r="311" spans="1:28" x14ac:dyDescent="0.4">
      <c r="A311" s="145"/>
      <c r="B311" s="151"/>
      <c r="C311" s="85" t="s">
        <v>366</v>
      </c>
      <c r="D311" s="109" t="s">
        <v>191</v>
      </c>
      <c r="E311" s="13" t="s">
        <v>36</v>
      </c>
      <c r="F311" s="16"/>
      <c r="G311" s="12" t="s">
        <v>178</v>
      </c>
      <c r="H311" s="15"/>
      <c r="I311" s="15"/>
      <c r="J311" s="15">
        <v>1</v>
      </c>
      <c r="K311" s="15">
        <v>1</v>
      </c>
      <c r="L311" s="17"/>
      <c r="M311" s="13"/>
      <c r="N311" s="13"/>
      <c r="O311" s="17"/>
      <c r="P311" s="17"/>
      <c r="Q311" s="17"/>
      <c r="R311" s="17"/>
      <c r="S311" s="15"/>
      <c r="T311" s="26">
        <v>46103</v>
      </c>
      <c r="U311" s="13" t="s">
        <v>146</v>
      </c>
      <c r="V311">
        <v>9</v>
      </c>
      <c r="AA311" s="49" t="s">
        <v>88</v>
      </c>
      <c r="AB311" s="50" t="s">
        <v>74</v>
      </c>
    </row>
    <row r="312" spans="1:28" x14ac:dyDescent="0.4">
      <c r="A312" s="145"/>
      <c r="B312" s="151"/>
      <c r="C312" s="85" t="s">
        <v>367</v>
      </c>
      <c r="D312" s="109" t="s">
        <v>179</v>
      </c>
      <c r="E312" s="13" t="s">
        <v>36</v>
      </c>
      <c r="F312" s="16"/>
      <c r="G312" s="12" t="s">
        <v>178</v>
      </c>
      <c r="H312" s="15"/>
      <c r="I312" s="15"/>
      <c r="J312" s="15"/>
      <c r="K312" s="15"/>
      <c r="L312" s="17"/>
      <c r="M312" s="13">
        <v>1</v>
      </c>
      <c r="N312" s="13">
        <v>1</v>
      </c>
      <c r="O312" s="17"/>
      <c r="P312" s="17"/>
      <c r="Q312" s="17">
        <v>1</v>
      </c>
      <c r="R312" s="17"/>
      <c r="S312" s="15"/>
      <c r="T312" s="26">
        <v>46105</v>
      </c>
      <c r="U312" s="13" t="s">
        <v>147</v>
      </c>
      <c r="V312">
        <v>10</v>
      </c>
      <c r="AA312" s="49" t="s">
        <v>89</v>
      </c>
      <c r="AB312" s="50" t="s">
        <v>36</v>
      </c>
    </row>
    <row r="313" spans="1:28" x14ac:dyDescent="0.4">
      <c r="A313" s="145"/>
      <c r="B313" s="151"/>
      <c r="C313" s="85" t="s">
        <v>368</v>
      </c>
      <c r="D313" s="109" t="s">
        <v>179</v>
      </c>
      <c r="E313" s="13" t="s">
        <v>75</v>
      </c>
      <c r="F313" s="16"/>
      <c r="G313" s="12" t="s">
        <v>178</v>
      </c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>
        <v>46104</v>
      </c>
      <c r="U313" s="13" t="s">
        <v>147</v>
      </c>
      <c r="V313">
        <v>11</v>
      </c>
      <c r="AA313" s="49" t="s">
        <v>90</v>
      </c>
      <c r="AB313" s="50" t="s">
        <v>58</v>
      </c>
    </row>
    <row r="314" spans="1:28" x14ac:dyDescent="0.4">
      <c r="A314" s="145"/>
      <c r="B314" s="151"/>
      <c r="C314" s="85" t="s">
        <v>369</v>
      </c>
      <c r="D314" s="109" t="s">
        <v>183</v>
      </c>
      <c r="E314" s="13" t="s">
        <v>57</v>
      </c>
      <c r="F314" s="16"/>
      <c r="G314" s="12" t="s">
        <v>233</v>
      </c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>
        <v>46103</v>
      </c>
      <c r="U314" s="13" t="s">
        <v>147</v>
      </c>
      <c r="V314">
        <v>12</v>
      </c>
      <c r="AA314" s="49" t="s">
        <v>91</v>
      </c>
      <c r="AB314" s="50" t="s">
        <v>75</v>
      </c>
    </row>
    <row r="315" spans="1:28" x14ac:dyDescent="0.4">
      <c r="A315" s="145"/>
      <c r="B315" s="151"/>
      <c r="C315" s="85" t="s">
        <v>370</v>
      </c>
      <c r="D315" s="109" t="s">
        <v>183</v>
      </c>
      <c r="E315" s="13" t="s">
        <v>58</v>
      </c>
      <c r="F315" s="16"/>
      <c r="G315" s="12" t="s">
        <v>178</v>
      </c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>
        <v>1</v>
      </c>
      <c r="T315" s="26">
        <v>46103</v>
      </c>
      <c r="U315" s="13" t="s">
        <v>146</v>
      </c>
      <c r="V315">
        <v>13</v>
      </c>
      <c r="AA315" s="49" t="s">
        <v>92</v>
      </c>
      <c r="AB315" s="50" t="s">
        <v>40</v>
      </c>
    </row>
    <row r="316" spans="1:28" x14ac:dyDescent="0.4">
      <c r="A316" s="145"/>
      <c r="B316" s="151"/>
      <c r="C316" s="85" t="s">
        <v>371</v>
      </c>
      <c r="D316" s="109" t="s">
        <v>234</v>
      </c>
      <c r="E316" s="13" t="s">
        <v>37</v>
      </c>
      <c r="F316" s="16"/>
      <c r="G316" s="12" t="s">
        <v>178</v>
      </c>
      <c r="H316" s="15"/>
      <c r="I316" s="15"/>
      <c r="J316" s="15"/>
      <c r="K316" s="15"/>
      <c r="L316" s="17"/>
      <c r="M316" s="13">
        <v>1</v>
      </c>
      <c r="N316" s="13">
        <v>1</v>
      </c>
      <c r="O316" s="17"/>
      <c r="P316" s="17"/>
      <c r="Q316" s="17">
        <v>1</v>
      </c>
      <c r="R316" s="17"/>
      <c r="S316" s="15"/>
      <c r="T316" s="26">
        <v>46103</v>
      </c>
      <c r="U316" s="13" t="s">
        <v>147</v>
      </c>
      <c r="V316">
        <v>14</v>
      </c>
      <c r="AA316" s="49" t="s">
        <v>93</v>
      </c>
      <c r="AB316" s="50" t="s">
        <v>57</v>
      </c>
    </row>
    <row r="317" spans="1:28" x14ac:dyDescent="0.4">
      <c r="A317" s="145"/>
      <c r="B317" s="151"/>
      <c r="C317" s="85" t="s">
        <v>372</v>
      </c>
      <c r="D317" s="109" t="s">
        <v>181</v>
      </c>
      <c r="E317" s="13" t="s">
        <v>37</v>
      </c>
      <c r="F317" s="16"/>
      <c r="G317" s="12" t="s">
        <v>178</v>
      </c>
      <c r="H317" s="15"/>
      <c r="I317" s="15"/>
      <c r="J317" s="15"/>
      <c r="K317" s="15"/>
      <c r="L317" s="17"/>
      <c r="M317" s="13">
        <v>1</v>
      </c>
      <c r="N317" s="13">
        <v>1</v>
      </c>
      <c r="O317" s="17"/>
      <c r="P317" s="17"/>
      <c r="Q317" s="17"/>
      <c r="R317" s="17"/>
      <c r="S317" s="15"/>
      <c r="T317" s="26">
        <v>46106</v>
      </c>
      <c r="U317" s="13" t="s">
        <v>147</v>
      </c>
      <c r="V317">
        <v>15</v>
      </c>
      <c r="AA317" s="49" t="s">
        <v>94</v>
      </c>
      <c r="AB317" s="50" t="s">
        <v>41</v>
      </c>
    </row>
    <row r="318" spans="1:28" x14ac:dyDescent="0.4">
      <c r="A318" s="145"/>
      <c r="B318" s="151"/>
      <c r="C318" s="85" t="s">
        <v>373</v>
      </c>
      <c r="D318" s="109" t="s">
        <v>181</v>
      </c>
      <c r="E318" s="13" t="s">
        <v>37</v>
      </c>
      <c r="F318" s="16"/>
      <c r="G318" s="12" t="s">
        <v>178</v>
      </c>
      <c r="H318" s="15"/>
      <c r="I318" s="15"/>
      <c r="J318" s="15"/>
      <c r="K318" s="15"/>
      <c r="L318" s="19"/>
      <c r="M318" s="13">
        <v>1</v>
      </c>
      <c r="N318" s="13">
        <v>1</v>
      </c>
      <c r="O318" s="19"/>
      <c r="P318" s="19"/>
      <c r="Q318" s="19"/>
      <c r="R318" s="19"/>
      <c r="S318" s="15"/>
      <c r="T318" s="26">
        <v>46106</v>
      </c>
      <c r="U318" s="13" t="s">
        <v>147</v>
      </c>
      <c r="V318">
        <v>16</v>
      </c>
      <c r="AA318" s="49" t="s">
        <v>95</v>
      </c>
      <c r="AB318" s="50" t="s">
        <v>42</v>
      </c>
    </row>
    <row r="319" spans="1:28" x14ac:dyDescent="0.4">
      <c r="A319" s="145"/>
      <c r="B319" s="151"/>
      <c r="C319" s="85" t="s">
        <v>374</v>
      </c>
      <c r="D319" s="110" t="s">
        <v>181</v>
      </c>
      <c r="E319" s="18" t="s">
        <v>40</v>
      </c>
      <c r="F319" s="16"/>
      <c r="G319" s="15" t="s">
        <v>182</v>
      </c>
      <c r="H319" s="15"/>
      <c r="I319" s="15"/>
      <c r="J319" s="18"/>
      <c r="K319" s="15"/>
      <c r="L319" s="19"/>
      <c r="M319" s="19"/>
      <c r="N319" s="19"/>
      <c r="O319" s="19">
        <v>1</v>
      </c>
      <c r="P319" s="19">
        <v>1</v>
      </c>
      <c r="Q319" s="19"/>
      <c r="R319" s="19"/>
      <c r="S319" s="15"/>
      <c r="T319" s="26">
        <v>46106</v>
      </c>
      <c r="U319" s="15" t="s">
        <v>148</v>
      </c>
      <c r="V319">
        <v>17</v>
      </c>
      <c r="AA319" s="49" t="s">
        <v>96</v>
      </c>
      <c r="AB319" s="50" t="s">
        <v>61</v>
      </c>
    </row>
    <row r="320" spans="1:28" x14ac:dyDescent="0.4">
      <c r="A320" s="145"/>
      <c r="B320" s="151"/>
      <c r="C320" s="85" t="s">
        <v>375</v>
      </c>
      <c r="D320" s="110" t="s">
        <v>197</v>
      </c>
      <c r="E320" s="18" t="s">
        <v>41</v>
      </c>
      <c r="F320" s="16"/>
      <c r="G320" s="18" t="s">
        <v>178</v>
      </c>
      <c r="H320" s="15"/>
      <c r="I320" s="15"/>
      <c r="J320" s="18">
        <v>1</v>
      </c>
      <c r="K320" s="15"/>
      <c r="L320" s="19"/>
      <c r="M320" s="19"/>
      <c r="N320" s="19"/>
      <c r="O320" s="19"/>
      <c r="P320" s="19"/>
      <c r="Q320" s="19"/>
      <c r="R320" s="19"/>
      <c r="S320" s="15"/>
      <c r="T320" s="26">
        <v>46112</v>
      </c>
      <c r="U320" s="15" t="s">
        <v>146</v>
      </c>
      <c r="V320">
        <v>18</v>
      </c>
      <c r="AA320" s="49" t="s">
        <v>97</v>
      </c>
      <c r="AB320" s="50" t="s">
        <v>76</v>
      </c>
    </row>
    <row r="321" spans="1:28" x14ac:dyDescent="0.4">
      <c r="A321" s="145"/>
      <c r="B321" s="151"/>
      <c r="C321" s="86" t="s">
        <v>376</v>
      </c>
      <c r="D321" s="110" t="s">
        <v>197</v>
      </c>
      <c r="E321" s="18" t="s">
        <v>42</v>
      </c>
      <c r="F321" s="16"/>
      <c r="G321" s="18" t="s">
        <v>178</v>
      </c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>
        <v>1</v>
      </c>
      <c r="T321" s="26">
        <v>46112</v>
      </c>
      <c r="U321" s="15" t="s">
        <v>146</v>
      </c>
      <c r="V321">
        <v>19</v>
      </c>
      <c r="AA321" s="49" t="s">
        <v>98</v>
      </c>
      <c r="AB321" s="50" t="s">
        <v>77</v>
      </c>
    </row>
    <row r="322" spans="1:28" x14ac:dyDescent="0.4">
      <c r="A322" s="145"/>
      <c r="B322" s="151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45"/>
      <c r="B323" s="151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45"/>
      <c r="B324" s="151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45"/>
      <c r="B325" s="151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45"/>
      <c r="B326" s="151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46"/>
      <c r="B327" s="152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19</v>
      </c>
      <c r="D328" s="112"/>
      <c r="E328" s="29"/>
      <c r="F328" s="29" t="s">
        <v>34</v>
      </c>
      <c r="G328" s="29">
        <f>COUNTIF(G303:G327,"S")</f>
        <v>17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5</v>
      </c>
      <c r="K328" s="29">
        <f t="shared" ref="K328" si="74">SUM(K303:K327)</f>
        <v>4</v>
      </c>
      <c r="L328" s="29">
        <f t="shared" ref="L328" si="75">SUM(L303:L327)</f>
        <v>0</v>
      </c>
      <c r="M328" s="29">
        <f t="shared" ref="M328" si="76">SUM(M303:M327)</f>
        <v>5</v>
      </c>
      <c r="N328" s="29">
        <f t="shared" ref="N328" si="77">SUM(N303:N327)</f>
        <v>6</v>
      </c>
      <c r="O328" s="29">
        <f t="shared" ref="O328" si="78">SUM(O303:O327)</f>
        <v>3</v>
      </c>
      <c r="P328" s="29">
        <f t="shared" ref="P328" si="79">SUM(P303:P327)</f>
        <v>3</v>
      </c>
      <c r="Q328" s="29">
        <f t="shared" ref="Q328" si="80">SUM(Q303:Q327)</f>
        <v>3</v>
      </c>
      <c r="R328" s="29">
        <f t="shared" ref="R328" si="81">SUM(R303:R327)</f>
        <v>1</v>
      </c>
      <c r="S328" s="29">
        <f t="shared" ref="S328" si="82">SUM(S303:S327)</f>
        <v>3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1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33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AYG133</v>
      </c>
      <c r="B331" s="24">
        <f>B151</f>
        <v>46072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42" t="s">
        <v>109</v>
      </c>
      <c r="Y332" s="143"/>
    </row>
    <row r="333" spans="1:28" ht="20.25" thickTop="1" thickBot="1" x14ac:dyDescent="0.45">
      <c r="A333" s="144">
        <v>12</v>
      </c>
      <c r="B333" s="150">
        <v>21.4</v>
      </c>
      <c r="C333" s="86" t="s">
        <v>377</v>
      </c>
      <c r="D333" s="109" t="s">
        <v>193</v>
      </c>
      <c r="E333" s="109" t="s">
        <v>37</v>
      </c>
      <c r="F333" s="14"/>
      <c r="G333" s="12" t="s">
        <v>178</v>
      </c>
      <c r="H333" s="13"/>
      <c r="I333" s="13"/>
      <c r="J333" s="13">
        <v>1</v>
      </c>
      <c r="K333" s="13">
        <v>1</v>
      </c>
      <c r="L333" s="13"/>
      <c r="M333" s="13"/>
      <c r="N333" s="13"/>
      <c r="O333" s="13"/>
      <c r="P333" s="13"/>
      <c r="Q333" s="13"/>
      <c r="R333" s="13"/>
      <c r="S333" s="13"/>
      <c r="T333" s="26">
        <v>46092</v>
      </c>
      <c r="U333" s="13" t="s">
        <v>146</v>
      </c>
      <c r="V333">
        <v>1</v>
      </c>
      <c r="X333" s="51" t="s">
        <v>106</v>
      </c>
      <c r="Y333" s="52">
        <f>COUNTIF(U333:U356,"K")</f>
        <v>5</v>
      </c>
      <c r="AA333" s="59" t="s">
        <v>120</v>
      </c>
      <c r="AB333" s="60" t="s">
        <v>121</v>
      </c>
    </row>
    <row r="334" spans="1:28" x14ac:dyDescent="0.4">
      <c r="A334" s="145"/>
      <c r="B334" s="151"/>
      <c r="C334" s="86" t="s">
        <v>378</v>
      </c>
      <c r="D334" s="109" t="s">
        <v>179</v>
      </c>
      <c r="E334" s="109" t="s">
        <v>36</v>
      </c>
      <c r="F334" s="16"/>
      <c r="G334" s="12" t="s">
        <v>178</v>
      </c>
      <c r="H334" s="15"/>
      <c r="I334" s="15"/>
      <c r="J334" s="15">
        <v>1</v>
      </c>
      <c r="K334" s="15">
        <v>1</v>
      </c>
      <c r="L334" s="17"/>
      <c r="M334" s="17"/>
      <c r="N334" s="17"/>
      <c r="O334" s="17"/>
      <c r="P334" s="17"/>
      <c r="Q334" s="17"/>
      <c r="R334" s="17"/>
      <c r="S334" s="15"/>
      <c r="T334" s="26">
        <v>46104</v>
      </c>
      <c r="U334" s="13" t="s">
        <v>147</v>
      </c>
      <c r="V334">
        <v>2</v>
      </c>
      <c r="X334" s="51" t="s">
        <v>107</v>
      </c>
      <c r="Y334" s="52">
        <f>COUNTIF(U333:U356,"R")</f>
        <v>10</v>
      </c>
      <c r="AA334" s="47" t="s">
        <v>81</v>
      </c>
      <c r="AB334" s="48" t="s">
        <v>60</v>
      </c>
    </row>
    <row r="335" spans="1:28" ht="19.5" thickBot="1" x14ac:dyDescent="0.45">
      <c r="A335" s="145"/>
      <c r="B335" s="151"/>
      <c r="C335" s="86" t="s">
        <v>379</v>
      </c>
      <c r="D335" s="109" t="s">
        <v>193</v>
      </c>
      <c r="E335" s="109" t="s">
        <v>36</v>
      </c>
      <c r="F335" s="16"/>
      <c r="G335" s="12" t="s">
        <v>178</v>
      </c>
      <c r="H335" s="15"/>
      <c r="I335" s="15"/>
      <c r="J335" s="15">
        <v>1</v>
      </c>
      <c r="K335" s="15">
        <v>1</v>
      </c>
      <c r="L335" s="17"/>
      <c r="M335" s="17"/>
      <c r="N335" s="17"/>
      <c r="O335" s="17"/>
      <c r="P335" s="17"/>
      <c r="Q335" s="17"/>
      <c r="R335" s="17"/>
      <c r="S335" s="15"/>
      <c r="T335" s="26">
        <v>46108</v>
      </c>
      <c r="U335" s="13" t="s">
        <v>146</v>
      </c>
      <c r="V335">
        <v>3</v>
      </c>
      <c r="X335" s="53" t="s">
        <v>108</v>
      </c>
      <c r="Y335" s="54">
        <f>COUNTIF(U333:U356,"J")</f>
        <v>1</v>
      </c>
      <c r="AA335" s="49" t="s">
        <v>82</v>
      </c>
      <c r="AB335" s="50" t="s">
        <v>39</v>
      </c>
    </row>
    <row r="336" spans="1:28" x14ac:dyDescent="0.4">
      <c r="A336" s="145"/>
      <c r="B336" s="151"/>
      <c r="C336" s="86" t="s">
        <v>380</v>
      </c>
      <c r="D336" s="109" t="s">
        <v>179</v>
      </c>
      <c r="E336" s="109" t="s">
        <v>37</v>
      </c>
      <c r="F336" s="16"/>
      <c r="G336" s="12" t="s">
        <v>178</v>
      </c>
      <c r="H336" s="15"/>
      <c r="I336" s="15"/>
      <c r="J336" s="15"/>
      <c r="K336" s="15"/>
      <c r="L336" s="17"/>
      <c r="M336" s="17">
        <v>1</v>
      </c>
      <c r="N336" s="17">
        <v>1</v>
      </c>
      <c r="O336" s="17"/>
      <c r="P336" s="17"/>
      <c r="Q336" s="17">
        <v>1</v>
      </c>
      <c r="R336" s="17"/>
      <c r="S336" s="15"/>
      <c r="T336" s="26">
        <v>46098</v>
      </c>
      <c r="U336" s="13" t="s">
        <v>147</v>
      </c>
      <c r="V336">
        <v>4</v>
      </c>
      <c r="AA336" s="49" t="s">
        <v>83</v>
      </c>
      <c r="AB336" s="50" t="s">
        <v>38</v>
      </c>
    </row>
    <row r="337" spans="1:28" x14ac:dyDescent="0.4">
      <c r="A337" s="145"/>
      <c r="B337" s="151"/>
      <c r="C337" s="86" t="s">
        <v>381</v>
      </c>
      <c r="D337" s="109" t="s">
        <v>179</v>
      </c>
      <c r="E337" s="109" t="s">
        <v>36</v>
      </c>
      <c r="F337" s="16"/>
      <c r="G337" s="12" t="s">
        <v>178</v>
      </c>
      <c r="H337" s="15"/>
      <c r="I337" s="15"/>
      <c r="J337" s="15"/>
      <c r="K337" s="15"/>
      <c r="L337" s="17"/>
      <c r="M337" s="17">
        <v>1</v>
      </c>
      <c r="N337" s="17">
        <v>1</v>
      </c>
      <c r="O337" s="17"/>
      <c r="P337" s="17"/>
      <c r="Q337" s="17">
        <v>1</v>
      </c>
      <c r="R337" s="17"/>
      <c r="S337" s="15"/>
      <c r="T337" s="26">
        <v>46102</v>
      </c>
      <c r="U337" s="13" t="s">
        <v>147</v>
      </c>
      <c r="V337">
        <v>5</v>
      </c>
      <c r="AA337" s="49" t="s">
        <v>84</v>
      </c>
      <c r="AB337" s="50" t="s">
        <v>44</v>
      </c>
    </row>
    <row r="338" spans="1:28" x14ac:dyDescent="0.4">
      <c r="A338" s="145"/>
      <c r="B338" s="151"/>
      <c r="C338" s="86" t="s">
        <v>382</v>
      </c>
      <c r="D338" s="109" t="s">
        <v>196</v>
      </c>
      <c r="E338" s="109" t="s">
        <v>75</v>
      </c>
      <c r="F338" s="16"/>
      <c r="G338" s="12" t="s">
        <v>178</v>
      </c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>
        <v>46103</v>
      </c>
      <c r="U338" s="13" t="s">
        <v>147</v>
      </c>
      <c r="V338">
        <v>6</v>
      </c>
      <c r="AA338" s="49" t="s">
        <v>85</v>
      </c>
      <c r="AB338" s="50" t="s">
        <v>43</v>
      </c>
    </row>
    <row r="339" spans="1:28" x14ac:dyDescent="0.4">
      <c r="A339" s="145"/>
      <c r="B339" s="151"/>
      <c r="C339" s="86" t="s">
        <v>383</v>
      </c>
      <c r="D339" s="109" t="s">
        <v>196</v>
      </c>
      <c r="E339" s="109" t="s">
        <v>37</v>
      </c>
      <c r="F339" s="16"/>
      <c r="G339" s="12" t="s">
        <v>178</v>
      </c>
      <c r="H339" s="15"/>
      <c r="I339" s="15"/>
      <c r="J339" s="15"/>
      <c r="K339" s="15"/>
      <c r="L339" s="17"/>
      <c r="M339" s="17">
        <v>1</v>
      </c>
      <c r="N339" s="17">
        <v>1</v>
      </c>
      <c r="O339" s="17"/>
      <c r="P339" s="17"/>
      <c r="Q339" s="17">
        <v>1</v>
      </c>
      <c r="R339" s="17"/>
      <c r="S339" s="15"/>
      <c r="T339" s="26">
        <v>46097</v>
      </c>
      <c r="U339" s="13" t="s">
        <v>147</v>
      </c>
      <c r="V339">
        <v>7</v>
      </c>
      <c r="AA339" s="49" t="s">
        <v>86</v>
      </c>
      <c r="AB339" s="50" t="s">
        <v>45</v>
      </c>
    </row>
    <row r="340" spans="1:28" x14ac:dyDescent="0.4">
      <c r="A340" s="145"/>
      <c r="B340" s="151"/>
      <c r="C340" s="86" t="s">
        <v>384</v>
      </c>
      <c r="D340" s="109" t="s">
        <v>191</v>
      </c>
      <c r="E340" s="109" t="s">
        <v>37</v>
      </c>
      <c r="F340" s="16"/>
      <c r="G340" s="12" t="s">
        <v>178</v>
      </c>
      <c r="H340" s="15"/>
      <c r="I340" s="15"/>
      <c r="J340" s="15">
        <v>1</v>
      </c>
      <c r="K340" s="15"/>
      <c r="L340" s="17"/>
      <c r="M340" s="17"/>
      <c r="N340" s="17"/>
      <c r="O340" s="17"/>
      <c r="P340" s="17"/>
      <c r="Q340" s="17"/>
      <c r="R340" s="17"/>
      <c r="S340" s="15"/>
      <c r="T340" s="26">
        <v>46099</v>
      </c>
      <c r="U340" s="13" t="s">
        <v>146</v>
      </c>
      <c r="V340">
        <v>8</v>
      </c>
      <c r="AA340" s="49" t="s">
        <v>87</v>
      </c>
      <c r="AB340" s="50" t="s">
        <v>37</v>
      </c>
    </row>
    <row r="341" spans="1:28" x14ac:dyDescent="0.4">
      <c r="A341" s="145"/>
      <c r="B341" s="151"/>
      <c r="C341" s="86" t="s">
        <v>385</v>
      </c>
      <c r="D341" s="109" t="s">
        <v>191</v>
      </c>
      <c r="E341" s="15" t="s">
        <v>36</v>
      </c>
      <c r="F341" s="16"/>
      <c r="G341" s="15" t="s">
        <v>178</v>
      </c>
      <c r="H341" s="15"/>
      <c r="I341" s="15"/>
      <c r="J341" s="15">
        <v>1</v>
      </c>
      <c r="K341" s="15">
        <v>1</v>
      </c>
      <c r="L341" s="17"/>
      <c r="M341" s="17"/>
      <c r="N341" s="17"/>
      <c r="O341" s="17"/>
      <c r="P341" s="17"/>
      <c r="Q341" s="17"/>
      <c r="R341" s="17"/>
      <c r="S341" s="15"/>
      <c r="T341" s="26">
        <v>46099</v>
      </c>
      <c r="U341" s="13" t="s">
        <v>146</v>
      </c>
      <c r="V341">
        <v>9</v>
      </c>
      <c r="AA341" s="49" t="s">
        <v>88</v>
      </c>
      <c r="AB341" s="50" t="s">
        <v>74</v>
      </c>
    </row>
    <row r="342" spans="1:28" x14ac:dyDescent="0.4">
      <c r="A342" s="145"/>
      <c r="B342" s="151"/>
      <c r="C342" s="86" t="s">
        <v>386</v>
      </c>
      <c r="D342" s="109" t="s">
        <v>179</v>
      </c>
      <c r="E342" s="15" t="s">
        <v>36</v>
      </c>
      <c r="F342" s="16"/>
      <c r="G342" s="15" t="s">
        <v>178</v>
      </c>
      <c r="H342" s="15"/>
      <c r="I342" s="15"/>
      <c r="J342" s="15"/>
      <c r="K342" s="15"/>
      <c r="L342" s="17"/>
      <c r="M342" s="17">
        <v>1</v>
      </c>
      <c r="N342" s="17">
        <v>1</v>
      </c>
      <c r="O342" s="17"/>
      <c r="P342" s="17"/>
      <c r="Q342" s="17">
        <v>1</v>
      </c>
      <c r="R342" s="17"/>
      <c r="S342" s="15"/>
      <c r="T342" s="26">
        <v>46106</v>
      </c>
      <c r="U342" s="13" t="s">
        <v>147</v>
      </c>
      <c r="V342">
        <v>10</v>
      </c>
      <c r="AA342" s="49" t="s">
        <v>89</v>
      </c>
      <c r="AB342" s="50" t="s">
        <v>36</v>
      </c>
    </row>
    <row r="343" spans="1:28" x14ac:dyDescent="0.4">
      <c r="A343" s="145"/>
      <c r="B343" s="151"/>
      <c r="C343" s="86" t="s">
        <v>387</v>
      </c>
      <c r="D343" s="109" t="s">
        <v>179</v>
      </c>
      <c r="E343" s="15" t="s">
        <v>75</v>
      </c>
      <c r="F343" s="16"/>
      <c r="G343" s="15" t="s">
        <v>178</v>
      </c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>
        <v>46106</v>
      </c>
      <c r="U343" s="15" t="s">
        <v>147</v>
      </c>
      <c r="V343">
        <v>11</v>
      </c>
      <c r="AA343" s="49" t="s">
        <v>90</v>
      </c>
      <c r="AB343" s="50" t="s">
        <v>58</v>
      </c>
    </row>
    <row r="344" spans="1:28" x14ac:dyDescent="0.4">
      <c r="A344" s="145"/>
      <c r="B344" s="151"/>
      <c r="C344" s="86" t="s">
        <v>388</v>
      </c>
      <c r="D344" s="109" t="s">
        <v>179</v>
      </c>
      <c r="E344" s="15" t="s">
        <v>37</v>
      </c>
      <c r="F344" s="16"/>
      <c r="G344" s="15" t="s">
        <v>178</v>
      </c>
      <c r="H344" s="15"/>
      <c r="I344" s="15"/>
      <c r="J344" s="15">
        <v>1</v>
      </c>
      <c r="K344" s="15"/>
      <c r="L344" s="17"/>
      <c r="M344" s="17"/>
      <c r="N344" s="17"/>
      <c r="O344" s="17"/>
      <c r="P344" s="17"/>
      <c r="Q344" s="17"/>
      <c r="R344" s="17"/>
      <c r="S344" s="15"/>
      <c r="T344" s="26">
        <v>46105</v>
      </c>
      <c r="U344" s="15" t="s">
        <v>146</v>
      </c>
      <c r="V344">
        <v>12</v>
      </c>
      <c r="AA344" s="49" t="s">
        <v>91</v>
      </c>
      <c r="AB344" s="50" t="s">
        <v>75</v>
      </c>
    </row>
    <row r="345" spans="1:28" x14ac:dyDescent="0.4">
      <c r="A345" s="145"/>
      <c r="B345" s="151"/>
      <c r="C345" s="86" t="s">
        <v>389</v>
      </c>
      <c r="D345" s="109" t="s">
        <v>179</v>
      </c>
      <c r="E345" s="15" t="s">
        <v>40</v>
      </c>
      <c r="F345" s="16"/>
      <c r="G345" s="15" t="s">
        <v>178</v>
      </c>
      <c r="H345" s="15"/>
      <c r="I345" s="15"/>
      <c r="J345" s="15"/>
      <c r="K345" s="15"/>
      <c r="L345" s="17"/>
      <c r="M345" s="17"/>
      <c r="N345" s="17"/>
      <c r="O345" s="17">
        <v>1</v>
      </c>
      <c r="P345" s="17">
        <v>1</v>
      </c>
      <c r="Q345" s="17"/>
      <c r="R345" s="17">
        <v>1</v>
      </c>
      <c r="S345" s="15"/>
      <c r="T345" s="26">
        <v>46105</v>
      </c>
      <c r="U345" s="15" t="s">
        <v>148</v>
      </c>
      <c r="V345">
        <v>13</v>
      </c>
      <c r="AA345" s="49" t="s">
        <v>92</v>
      </c>
      <c r="AB345" s="50" t="s">
        <v>40</v>
      </c>
    </row>
    <row r="346" spans="1:28" x14ac:dyDescent="0.4">
      <c r="A346" s="145"/>
      <c r="B346" s="151"/>
      <c r="C346" s="86" t="s">
        <v>390</v>
      </c>
      <c r="D346" s="109" t="s">
        <v>179</v>
      </c>
      <c r="E346" s="15" t="s">
        <v>36</v>
      </c>
      <c r="F346" s="16"/>
      <c r="G346" s="15" t="s">
        <v>178</v>
      </c>
      <c r="H346" s="15"/>
      <c r="I346" s="15"/>
      <c r="J346" s="15"/>
      <c r="K346" s="15"/>
      <c r="L346" s="17"/>
      <c r="M346" s="17">
        <v>1</v>
      </c>
      <c r="N346" s="17">
        <v>1</v>
      </c>
      <c r="O346" s="17"/>
      <c r="P346" s="17"/>
      <c r="Q346" s="17">
        <v>1</v>
      </c>
      <c r="R346" s="17"/>
      <c r="S346" s="15"/>
      <c r="T346" s="26">
        <v>46105</v>
      </c>
      <c r="U346" s="15" t="s">
        <v>147</v>
      </c>
      <c r="V346">
        <v>14</v>
      </c>
      <c r="AA346" s="49" t="s">
        <v>93</v>
      </c>
      <c r="AB346" s="50" t="s">
        <v>57</v>
      </c>
    </row>
    <row r="347" spans="1:28" x14ac:dyDescent="0.4">
      <c r="A347" s="145"/>
      <c r="B347" s="151"/>
      <c r="C347" s="86" t="s">
        <v>391</v>
      </c>
      <c r="D347" s="109" t="s">
        <v>179</v>
      </c>
      <c r="E347" s="15" t="s">
        <v>75</v>
      </c>
      <c r="F347" s="16"/>
      <c r="G347" s="15" t="s">
        <v>178</v>
      </c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>
        <v>46105</v>
      </c>
      <c r="U347" s="15" t="s">
        <v>147</v>
      </c>
      <c r="V347">
        <v>15</v>
      </c>
      <c r="AA347" s="49" t="s">
        <v>94</v>
      </c>
      <c r="AB347" s="50" t="s">
        <v>41</v>
      </c>
    </row>
    <row r="348" spans="1:28" x14ac:dyDescent="0.4">
      <c r="A348" s="145"/>
      <c r="B348" s="151"/>
      <c r="C348" s="86" t="s">
        <v>392</v>
      </c>
      <c r="D348" s="109" t="s">
        <v>179</v>
      </c>
      <c r="E348" s="15" t="s">
        <v>37</v>
      </c>
      <c r="F348" s="16"/>
      <c r="G348" s="15" t="s">
        <v>178</v>
      </c>
      <c r="H348" s="15"/>
      <c r="I348" s="15"/>
      <c r="J348" s="15"/>
      <c r="K348" s="15"/>
      <c r="L348" s="19"/>
      <c r="M348" s="19">
        <v>1</v>
      </c>
      <c r="N348" s="19">
        <v>1</v>
      </c>
      <c r="O348" s="19"/>
      <c r="P348" s="19"/>
      <c r="Q348" s="19"/>
      <c r="R348" s="19"/>
      <c r="S348" s="15"/>
      <c r="T348" s="26">
        <v>46109</v>
      </c>
      <c r="U348" s="15" t="s">
        <v>147</v>
      </c>
      <c r="V348">
        <v>16</v>
      </c>
      <c r="AA348" s="49" t="s">
        <v>95</v>
      </c>
      <c r="AB348" s="50" t="s">
        <v>42</v>
      </c>
    </row>
    <row r="349" spans="1:28" x14ac:dyDescent="0.4">
      <c r="A349" s="145"/>
      <c r="B349" s="151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45"/>
      <c r="B350" s="151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45"/>
      <c r="B351" s="151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45"/>
      <c r="B352" s="151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45"/>
      <c r="B353" s="151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45"/>
      <c r="B354" s="151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45"/>
      <c r="B355" s="151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45"/>
      <c r="B356" s="151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46"/>
      <c r="B357" s="152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16</v>
      </c>
      <c r="D358" s="112"/>
      <c r="E358" s="29"/>
      <c r="F358" s="29" t="s">
        <v>34</v>
      </c>
      <c r="G358" s="29">
        <f>COUNTIF(G333:G357,"S")</f>
        <v>16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6</v>
      </c>
      <c r="K358" s="29">
        <f t="shared" si="83"/>
        <v>4</v>
      </c>
      <c r="L358" s="29">
        <f t="shared" si="83"/>
        <v>0</v>
      </c>
      <c r="M358" s="29">
        <f t="shared" si="83"/>
        <v>6</v>
      </c>
      <c r="N358" s="29">
        <f t="shared" si="83"/>
        <v>6</v>
      </c>
      <c r="O358" s="29">
        <f t="shared" si="83"/>
        <v>1</v>
      </c>
      <c r="P358" s="29">
        <f t="shared" si="83"/>
        <v>1</v>
      </c>
      <c r="Q358" s="29">
        <f t="shared" si="83"/>
        <v>5</v>
      </c>
      <c r="R358" s="29">
        <f t="shared" si="83"/>
        <v>1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30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176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42" t="s">
        <v>138</v>
      </c>
      <c r="Y362" s="143"/>
    </row>
    <row r="363" spans="1:28" ht="19.5" thickTop="1" x14ac:dyDescent="0.4">
      <c r="A363" s="144">
        <v>13</v>
      </c>
      <c r="B363" s="150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45"/>
      <c r="B364" s="151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45"/>
      <c r="B365" s="151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45"/>
      <c r="B366" s="151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45"/>
      <c r="B367" s="151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45"/>
      <c r="B368" s="151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45"/>
      <c r="B369" s="151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45"/>
      <c r="B370" s="151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45"/>
      <c r="B371" s="151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45"/>
      <c r="B372" s="151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45"/>
      <c r="B373" s="151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45"/>
      <c r="B374" s="151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45"/>
      <c r="B375" s="151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45"/>
      <c r="B376" s="151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45"/>
      <c r="B377" s="151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45"/>
      <c r="B378" s="151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45"/>
      <c r="B379" s="151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45"/>
      <c r="B380" s="151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45"/>
      <c r="B381" s="151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45"/>
      <c r="B382" s="151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45"/>
      <c r="B383" s="151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45"/>
      <c r="B384" s="151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45"/>
      <c r="B385" s="151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45"/>
      <c r="B386" s="151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46"/>
      <c r="B387" s="152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42" t="s">
        <v>139</v>
      </c>
      <c r="Y392" s="143"/>
    </row>
    <row r="393" spans="1:25" ht="19.5" thickTop="1" x14ac:dyDescent="0.4">
      <c r="A393" s="144">
        <v>14</v>
      </c>
      <c r="B393" s="150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45"/>
      <c r="B394" s="151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45"/>
      <c r="B395" s="151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45"/>
      <c r="B396" s="151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45"/>
      <c r="B397" s="151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45"/>
      <c r="B398" s="151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45"/>
      <c r="B399" s="151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45"/>
      <c r="B400" s="151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45"/>
      <c r="B401" s="151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45"/>
      <c r="B402" s="151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45"/>
      <c r="B403" s="151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45"/>
      <c r="B404" s="151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45"/>
      <c r="B405" s="151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45"/>
      <c r="B406" s="151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45"/>
      <c r="B407" s="151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45"/>
      <c r="B408" s="151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45"/>
      <c r="B409" s="151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45"/>
      <c r="B410" s="151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45"/>
      <c r="B411" s="151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45"/>
      <c r="B412" s="151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45"/>
      <c r="B413" s="151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45"/>
      <c r="B414" s="151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45"/>
      <c r="B415" s="151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45"/>
      <c r="B416" s="151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46"/>
      <c r="B417" s="152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42" t="s">
        <v>140</v>
      </c>
      <c r="Y422" s="143"/>
    </row>
    <row r="423" spans="1:25" ht="19.5" thickTop="1" x14ac:dyDescent="0.4">
      <c r="A423" s="144">
        <v>15</v>
      </c>
      <c r="B423" s="150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45"/>
      <c r="B424" s="151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45"/>
      <c r="B425" s="151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45"/>
      <c r="B426" s="151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45"/>
      <c r="B427" s="151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45"/>
      <c r="B428" s="151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45"/>
      <c r="B429" s="151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45"/>
      <c r="B430" s="151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45"/>
      <c r="B431" s="151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45"/>
      <c r="B432" s="151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45"/>
      <c r="B433" s="151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45"/>
      <c r="B434" s="151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45"/>
      <c r="B435" s="151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45"/>
      <c r="B436" s="151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45"/>
      <c r="B437" s="151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45"/>
      <c r="B438" s="151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45"/>
      <c r="B439" s="151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45"/>
      <c r="B440" s="151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45"/>
      <c r="B441" s="151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45"/>
      <c r="B442" s="151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45"/>
      <c r="B443" s="151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45"/>
      <c r="B444" s="151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45"/>
      <c r="B445" s="151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45"/>
      <c r="B446" s="151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46"/>
      <c r="B447" s="152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42" t="s">
        <v>105</v>
      </c>
      <c r="Y451" s="143"/>
    </row>
    <row r="452" spans="1:25" ht="19.5" thickTop="1" x14ac:dyDescent="0.4">
      <c r="A452" s="144">
        <v>16</v>
      </c>
      <c r="B452" s="147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45"/>
      <c r="B453" s="148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45"/>
      <c r="B454" s="148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45"/>
      <c r="B455" s="148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45"/>
      <c r="B456" s="148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45"/>
      <c r="B457" s="148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45"/>
      <c r="B458" s="148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45"/>
      <c r="B459" s="148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45"/>
      <c r="B460" s="148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45"/>
      <c r="B461" s="148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45"/>
      <c r="B462" s="148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45"/>
      <c r="B463" s="148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45"/>
      <c r="B464" s="148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45"/>
      <c r="B465" s="148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45"/>
      <c r="B466" s="148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45"/>
      <c r="B467" s="148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45"/>
      <c r="B468" s="148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45"/>
      <c r="B469" s="148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45"/>
      <c r="B470" s="148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45"/>
      <c r="B471" s="148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45"/>
      <c r="B472" s="148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45"/>
      <c r="B473" s="148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45"/>
      <c r="B474" s="148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45"/>
      <c r="B475" s="148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46"/>
      <c r="B476" s="149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66" t="s">
        <v>47</v>
      </c>
      <c r="C26" s="166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7"/>
      <c r="C27" s="167"/>
      <c r="D27" s="168">
        <f>SUM(D26:F26)</f>
        <v>116</v>
      </c>
      <c r="E27" s="168"/>
      <c r="F27" s="168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CE2000"/>
  <sheetViews>
    <sheetView topLeftCell="A9" zoomScaleNormal="100" workbookViewId="0">
      <selection sqref="A1:E33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56" width="16.625" customWidth="1"/>
    <col min="57" max="57" width="11" customWidth="1"/>
    <col min="58" max="58" width="10.5" style="121" customWidth="1"/>
    <col min="59" max="59" width="10.25" style="121" customWidth="1"/>
    <col min="60" max="60" width="10.875" style="121" customWidth="1"/>
    <col min="61" max="74" width="16.625" customWidth="1"/>
    <col min="75" max="75" width="20.5" customWidth="1"/>
    <col min="80" max="80" width="12.375" customWidth="1"/>
    <col min="81" max="81" width="11.25" customWidth="1"/>
    <col min="82" max="82" width="10.5" customWidth="1"/>
    <col min="83" max="83" width="10.25" customWidth="1"/>
  </cols>
  <sheetData>
    <row r="1" spans="1:79" x14ac:dyDescent="0.4">
      <c r="A1" s="120" t="s">
        <v>419</v>
      </c>
      <c r="B1" s="121"/>
      <c r="C1" s="121"/>
      <c r="D1" s="121"/>
      <c r="X1" t="s">
        <v>143</v>
      </c>
      <c r="Y1" t="s">
        <v>144</v>
      </c>
      <c r="AY1" t="s">
        <v>143</v>
      </c>
      <c r="AZ1" t="s">
        <v>144</v>
      </c>
      <c r="BE1" s="120"/>
      <c r="BW1" t="s">
        <v>143</v>
      </c>
      <c r="BX1" t="s">
        <v>144</v>
      </c>
    </row>
    <row r="2" spans="1:79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X2" s="25">
        <v>46085</v>
      </c>
      <c r="Y2" s="13" t="s">
        <v>147</v>
      </c>
      <c r="AN2" s="127"/>
      <c r="AO2" s="29"/>
      <c r="AY2" s="25">
        <v>45669</v>
      </c>
      <c r="AZ2" s="13" t="s">
        <v>147</v>
      </c>
      <c r="BE2" s="116"/>
      <c r="BF2" s="123"/>
      <c r="BG2" s="123"/>
      <c r="BH2" s="123"/>
      <c r="BM2" s="115"/>
      <c r="BN2" s="115"/>
      <c r="BO2" s="115"/>
      <c r="BP2" s="115"/>
      <c r="BQ2" s="115"/>
      <c r="BR2" s="115"/>
      <c r="BS2" s="115"/>
      <c r="BT2" s="115"/>
      <c r="BU2" s="115"/>
      <c r="BV2" s="115"/>
      <c r="BW2" s="25">
        <v>45258</v>
      </c>
      <c r="BX2" s="13" t="s">
        <v>162</v>
      </c>
      <c r="CA2" s="114"/>
    </row>
    <row r="3" spans="1:79" ht="20.100000000000001" customHeight="1" x14ac:dyDescent="0.4">
      <c r="A3" s="117">
        <v>46085</v>
      </c>
      <c r="B3" s="123"/>
      <c r="C3" s="123">
        <v>1</v>
      </c>
      <c r="D3" s="123"/>
      <c r="W3" s="115" t="s">
        <v>393</v>
      </c>
      <c r="X3" s="13">
        <f>SUBTOTAL(3,X2:X2)</f>
        <v>1</v>
      </c>
      <c r="Y3" s="13">
        <f>SUBTOTAL(3,Y2:Y2)</f>
        <v>1</v>
      </c>
      <c r="AN3" s="127"/>
      <c r="AO3" s="29"/>
      <c r="AY3" s="25"/>
      <c r="AZ3" s="13"/>
      <c r="BE3" s="116"/>
      <c r="BF3" s="123"/>
      <c r="BG3" s="123"/>
      <c r="BH3" s="123"/>
      <c r="BM3" s="115"/>
      <c r="BN3" s="115"/>
      <c r="BO3" s="115"/>
      <c r="BP3" s="115"/>
      <c r="BQ3" s="115"/>
      <c r="BR3" s="115"/>
      <c r="BS3" s="115"/>
      <c r="BT3" s="115"/>
      <c r="BU3" s="115"/>
      <c r="BV3" s="115"/>
      <c r="BW3" s="25"/>
      <c r="BX3" s="13"/>
      <c r="CA3" s="114"/>
    </row>
    <row r="4" spans="1:79" ht="20.100000000000001" customHeight="1" x14ac:dyDescent="0.4">
      <c r="A4" s="117">
        <v>46088</v>
      </c>
      <c r="B4" s="123">
        <v>1</v>
      </c>
      <c r="C4" s="123">
        <v>1</v>
      </c>
      <c r="D4" s="123"/>
      <c r="V4" s="115"/>
      <c r="W4" s="115"/>
      <c r="X4" s="25">
        <v>46088</v>
      </c>
      <c r="Y4" s="13" t="s">
        <v>146</v>
      </c>
      <c r="AN4" s="127"/>
      <c r="AO4" s="29"/>
      <c r="AY4" s="25"/>
      <c r="AZ4" s="13"/>
      <c r="BE4" s="116"/>
      <c r="BF4" s="123"/>
      <c r="BG4" s="123"/>
      <c r="BH4" s="123"/>
      <c r="BM4" s="115"/>
      <c r="BN4" s="115"/>
      <c r="BO4" s="115"/>
      <c r="BP4" s="115"/>
      <c r="BQ4" s="115"/>
      <c r="BR4" s="115"/>
      <c r="BS4" s="115"/>
      <c r="BT4" s="115"/>
      <c r="BU4" s="115"/>
      <c r="BV4" s="115"/>
      <c r="BW4" s="25"/>
      <c r="BX4" s="13"/>
      <c r="CA4" s="114"/>
    </row>
    <row r="5" spans="1:79" ht="20.100000000000001" customHeight="1" x14ac:dyDescent="0.4">
      <c r="A5" s="117">
        <v>46089</v>
      </c>
      <c r="B5" s="123">
        <v>4</v>
      </c>
      <c r="C5" s="123">
        <v>2</v>
      </c>
      <c r="D5" s="123">
        <v>1</v>
      </c>
      <c r="U5" s="115"/>
      <c r="V5" s="115"/>
      <c r="W5" s="115"/>
      <c r="X5" s="25">
        <v>46088</v>
      </c>
      <c r="Y5" s="13" t="s">
        <v>147</v>
      </c>
      <c r="AN5" s="127"/>
      <c r="AO5" s="29"/>
      <c r="AY5" s="25"/>
      <c r="AZ5" s="13"/>
      <c r="BE5" s="116"/>
      <c r="BF5" s="123"/>
      <c r="BG5" s="123"/>
      <c r="BH5" s="123"/>
      <c r="BM5" s="115"/>
      <c r="BN5" s="115"/>
      <c r="BO5" s="115"/>
      <c r="BP5" s="115"/>
      <c r="BQ5" s="115"/>
      <c r="BR5" s="115"/>
      <c r="BS5" s="115"/>
      <c r="BT5" s="115"/>
      <c r="BU5" s="115"/>
      <c r="BV5" s="115"/>
      <c r="BW5" s="25"/>
      <c r="BX5" s="13"/>
      <c r="CA5" s="114"/>
    </row>
    <row r="6" spans="1:79" ht="20.100000000000001" customHeight="1" x14ac:dyDescent="0.4">
      <c r="A6" s="117">
        <v>46090</v>
      </c>
      <c r="B6" s="123">
        <v>2</v>
      </c>
      <c r="C6" s="123"/>
      <c r="D6" s="123"/>
      <c r="U6" s="115"/>
      <c r="V6" s="115"/>
      <c r="W6" s="115" t="s">
        <v>394</v>
      </c>
      <c r="X6" s="13">
        <f>SUBTOTAL(3,X4:X5)</f>
        <v>2</v>
      </c>
      <c r="Y6" s="13">
        <f>SUBTOTAL(3,Y4:Y5)</f>
        <v>2</v>
      </c>
      <c r="AN6" s="127"/>
      <c r="AO6" s="29"/>
      <c r="AY6" s="25"/>
      <c r="AZ6" s="13"/>
      <c r="BE6" s="116"/>
      <c r="BF6" s="123"/>
      <c r="BG6" s="123"/>
      <c r="BH6" s="123"/>
      <c r="BM6" s="115"/>
      <c r="BN6" s="115"/>
      <c r="BO6" s="115"/>
      <c r="BP6" s="115"/>
      <c r="BQ6" s="115"/>
      <c r="BR6" s="115"/>
      <c r="BS6" s="115"/>
      <c r="BT6" s="115"/>
      <c r="BU6" s="115"/>
      <c r="BV6" s="115"/>
      <c r="BW6" s="25"/>
      <c r="BX6" s="13"/>
      <c r="CA6" s="114"/>
    </row>
    <row r="7" spans="1:79" ht="20.100000000000001" customHeight="1" x14ac:dyDescent="0.4">
      <c r="A7" s="117">
        <v>46092</v>
      </c>
      <c r="B7" s="123">
        <v>3</v>
      </c>
      <c r="C7" s="123">
        <v>3</v>
      </c>
      <c r="D7" s="123"/>
      <c r="T7" s="115"/>
      <c r="U7" s="115"/>
      <c r="V7" s="115"/>
      <c r="W7" s="115"/>
      <c r="X7" s="25">
        <v>46089</v>
      </c>
      <c r="Y7" s="13" t="s">
        <v>148</v>
      </c>
      <c r="AN7" s="127"/>
      <c r="AO7" s="29"/>
      <c r="AY7" s="25"/>
      <c r="AZ7" s="13"/>
      <c r="BE7" s="116"/>
      <c r="BF7" s="123"/>
      <c r="BG7" s="123"/>
      <c r="BH7" s="123"/>
      <c r="BM7" s="115"/>
      <c r="BN7" s="115"/>
      <c r="BO7" s="115"/>
      <c r="BP7" s="115"/>
      <c r="BQ7" s="115"/>
      <c r="BR7" s="115"/>
      <c r="BS7" s="115"/>
      <c r="BT7" s="115"/>
      <c r="BU7" s="115"/>
      <c r="BV7" s="115"/>
      <c r="BW7" s="25"/>
      <c r="BX7" s="13"/>
      <c r="CA7" s="114"/>
    </row>
    <row r="8" spans="1:79" ht="20.100000000000001" customHeight="1" x14ac:dyDescent="0.4">
      <c r="A8" s="117">
        <v>46093</v>
      </c>
      <c r="B8" s="123">
        <v>3</v>
      </c>
      <c r="C8" s="123"/>
      <c r="D8" s="123"/>
      <c r="T8" s="115"/>
      <c r="U8" s="115"/>
      <c r="V8" s="115"/>
      <c r="W8" s="115"/>
      <c r="X8" s="25">
        <v>46089</v>
      </c>
      <c r="Y8" s="13" t="s">
        <v>146</v>
      </c>
      <c r="AN8" s="127"/>
      <c r="AO8" s="29"/>
      <c r="AY8" s="25"/>
      <c r="AZ8" s="13"/>
      <c r="BE8" s="116"/>
      <c r="BF8" s="123"/>
      <c r="BG8" s="123"/>
      <c r="BH8" s="123"/>
      <c r="BM8" s="115"/>
      <c r="BN8" s="115"/>
      <c r="BO8" s="115"/>
      <c r="BP8" s="115"/>
      <c r="BQ8" s="115"/>
      <c r="BR8" s="115"/>
      <c r="BS8" s="115"/>
      <c r="BT8" s="115"/>
      <c r="BU8" s="115"/>
      <c r="BV8" s="115"/>
      <c r="BW8" s="25"/>
      <c r="BX8" s="13"/>
      <c r="CA8" s="114"/>
    </row>
    <row r="9" spans="1:79" ht="20.100000000000001" customHeight="1" x14ac:dyDescent="0.4">
      <c r="A9" s="117">
        <v>46094</v>
      </c>
      <c r="B9" s="123">
        <v>1</v>
      </c>
      <c r="C9" s="123"/>
      <c r="D9" s="123">
        <v>1</v>
      </c>
      <c r="T9" s="115"/>
      <c r="U9" s="115"/>
      <c r="V9" s="115"/>
      <c r="W9" s="115"/>
      <c r="X9" s="25">
        <v>46089</v>
      </c>
      <c r="Y9" s="13" t="s">
        <v>147</v>
      </c>
      <c r="AN9" s="127"/>
      <c r="AO9" s="29"/>
      <c r="AY9" s="25"/>
      <c r="AZ9" s="13"/>
      <c r="BE9" s="116"/>
      <c r="BF9" s="123"/>
      <c r="BG9" s="123"/>
      <c r="BH9" s="123"/>
      <c r="BM9" s="115"/>
      <c r="BN9" s="115"/>
      <c r="BO9" s="115"/>
      <c r="BP9" s="115"/>
      <c r="BQ9" s="115"/>
      <c r="BR9" s="115"/>
      <c r="BS9" s="115"/>
      <c r="BT9" s="115"/>
      <c r="BU9" s="115"/>
      <c r="BV9" s="115"/>
      <c r="BW9" s="25"/>
      <c r="BX9" s="13"/>
      <c r="CA9" s="114"/>
    </row>
    <row r="10" spans="1:79" ht="20.100000000000001" customHeight="1" x14ac:dyDescent="0.4">
      <c r="A10" s="117">
        <v>46095</v>
      </c>
      <c r="B10" s="123"/>
      <c r="C10" s="123">
        <v>1</v>
      </c>
      <c r="D10" s="123"/>
      <c r="S10" s="115"/>
      <c r="T10" s="115"/>
      <c r="U10" s="115"/>
      <c r="V10" s="115"/>
      <c r="W10" s="115"/>
      <c r="X10" s="25">
        <v>46089</v>
      </c>
      <c r="Y10" s="13" t="s">
        <v>146</v>
      </c>
      <c r="AN10" s="127"/>
      <c r="AO10" s="29"/>
      <c r="AY10" s="25"/>
      <c r="AZ10" s="13"/>
      <c r="BE10" s="116"/>
      <c r="BF10" s="123"/>
      <c r="BG10" s="123"/>
      <c r="BH10" s="123"/>
      <c r="BM10" s="115"/>
      <c r="BN10" s="115"/>
      <c r="BO10" s="115"/>
      <c r="BP10" s="115"/>
      <c r="BQ10" s="115"/>
      <c r="BR10" s="115"/>
      <c r="BS10" s="115"/>
      <c r="BT10" s="115"/>
      <c r="BU10" s="115"/>
      <c r="BV10" s="115"/>
      <c r="BW10" s="25"/>
      <c r="BX10" s="13"/>
      <c r="CA10" s="114"/>
    </row>
    <row r="11" spans="1:79" ht="20.100000000000001" customHeight="1" x14ac:dyDescent="0.4">
      <c r="A11" s="117">
        <v>46096</v>
      </c>
      <c r="B11" s="123"/>
      <c r="C11" s="123">
        <v>3</v>
      </c>
      <c r="D11" s="123"/>
      <c r="S11" s="115"/>
      <c r="T11" s="115"/>
      <c r="U11" s="115"/>
      <c r="V11" s="115"/>
      <c r="W11" s="115"/>
      <c r="X11" s="25">
        <v>46089</v>
      </c>
      <c r="Y11" s="13" t="s">
        <v>146</v>
      </c>
      <c r="AN11" s="127"/>
      <c r="AO11" s="29"/>
      <c r="AY11" s="25"/>
      <c r="AZ11" s="13"/>
      <c r="BE11" s="116"/>
      <c r="BF11" s="123"/>
      <c r="BG11" s="123"/>
      <c r="BH11" s="123"/>
      <c r="BM11" s="115"/>
      <c r="BN11" s="115"/>
      <c r="BO11" s="115"/>
      <c r="BP11" s="115"/>
      <c r="BQ11" s="115"/>
      <c r="BR11" s="115"/>
      <c r="BS11" s="115"/>
      <c r="BT11" s="115"/>
      <c r="BU11" s="115"/>
      <c r="BV11" s="115"/>
      <c r="BW11" s="25"/>
      <c r="BX11" s="13"/>
      <c r="CA11" s="114"/>
    </row>
    <row r="12" spans="1:79" ht="20.100000000000001" customHeight="1" x14ac:dyDescent="0.4">
      <c r="A12" s="117">
        <v>46097</v>
      </c>
      <c r="B12" s="123">
        <v>5</v>
      </c>
      <c r="C12" s="123">
        <v>5</v>
      </c>
      <c r="D12" s="123">
        <v>1</v>
      </c>
      <c r="S12" s="115"/>
      <c r="T12" s="115"/>
      <c r="U12" s="115"/>
      <c r="V12" s="115"/>
      <c r="W12" s="115"/>
      <c r="X12" s="25">
        <v>46089</v>
      </c>
      <c r="Y12" s="13" t="s">
        <v>147</v>
      </c>
      <c r="AN12" s="127"/>
      <c r="AO12" s="29"/>
      <c r="AY12" s="25"/>
      <c r="AZ12" s="13"/>
      <c r="BE12" s="116"/>
      <c r="BF12" s="123"/>
      <c r="BG12" s="123"/>
      <c r="BH12" s="123"/>
      <c r="BM12" s="115"/>
      <c r="BN12" s="115"/>
      <c r="BO12" s="115"/>
      <c r="BP12" s="115"/>
      <c r="BQ12" s="115"/>
      <c r="BR12" s="115"/>
      <c r="BS12" s="115"/>
      <c r="BT12" s="115"/>
      <c r="BU12" s="115"/>
      <c r="BV12" s="115"/>
      <c r="BW12" s="25"/>
      <c r="BX12" s="13"/>
      <c r="CA12" s="114"/>
    </row>
    <row r="13" spans="1:79" ht="20.100000000000001" customHeight="1" x14ac:dyDescent="0.4">
      <c r="A13" s="117">
        <v>46098</v>
      </c>
      <c r="B13" s="123">
        <v>10</v>
      </c>
      <c r="C13" s="123">
        <v>6</v>
      </c>
      <c r="D13" s="123">
        <v>1</v>
      </c>
      <c r="O13" s="115"/>
      <c r="P13" s="115"/>
      <c r="Q13" s="115"/>
      <c r="R13" s="115"/>
      <c r="S13" s="115"/>
      <c r="T13" s="115"/>
      <c r="U13" s="115"/>
      <c r="V13" s="115"/>
      <c r="W13" s="115"/>
      <c r="X13" s="25">
        <v>46089</v>
      </c>
      <c r="Y13" s="13" t="s">
        <v>146</v>
      </c>
      <c r="AN13" s="127"/>
      <c r="AO13" s="29"/>
      <c r="AY13" s="25"/>
      <c r="AZ13" s="13"/>
      <c r="BE13" s="116"/>
      <c r="BF13" s="123"/>
      <c r="BG13" s="123"/>
      <c r="BH13" s="123"/>
      <c r="BM13" s="115"/>
      <c r="BN13" s="115"/>
      <c r="BO13" s="115"/>
      <c r="BP13" s="115"/>
      <c r="BQ13" s="115"/>
      <c r="BR13" s="115"/>
      <c r="BS13" s="115"/>
      <c r="BT13" s="115"/>
      <c r="BU13" s="115"/>
      <c r="BV13" s="115"/>
      <c r="BW13" s="25"/>
      <c r="BX13" s="13"/>
      <c r="CA13" s="114"/>
    </row>
    <row r="14" spans="1:79" ht="20.100000000000001" customHeight="1" x14ac:dyDescent="0.4">
      <c r="A14" s="117">
        <v>46099</v>
      </c>
      <c r="B14" s="123">
        <v>6</v>
      </c>
      <c r="C14" s="123">
        <v>1</v>
      </c>
      <c r="D14" s="123">
        <v>1</v>
      </c>
      <c r="O14" s="115"/>
      <c r="P14" s="115"/>
      <c r="Q14" s="115"/>
      <c r="R14" s="115"/>
      <c r="S14" s="115"/>
      <c r="T14" s="115"/>
      <c r="U14" s="115"/>
      <c r="V14" s="115"/>
      <c r="W14" s="115" t="s">
        <v>395</v>
      </c>
      <c r="X14" s="13">
        <f>SUBTOTAL(3,X7:X13)</f>
        <v>7</v>
      </c>
      <c r="Y14" s="13">
        <f>SUBTOTAL(3,Y7:Y13)</f>
        <v>7</v>
      </c>
      <c r="AN14" s="127"/>
      <c r="AO14" s="29"/>
      <c r="AY14" s="25"/>
      <c r="AZ14" s="13"/>
      <c r="BE14" s="116"/>
      <c r="BF14" s="123"/>
      <c r="BG14" s="123"/>
      <c r="BH14" s="123"/>
      <c r="BM14" s="115"/>
      <c r="BN14" s="115"/>
      <c r="BO14" s="115"/>
      <c r="BP14" s="115"/>
      <c r="BQ14" s="115"/>
      <c r="BR14" s="115"/>
      <c r="BS14" s="115"/>
      <c r="BT14" s="115"/>
      <c r="BU14" s="115"/>
      <c r="BV14" s="115"/>
      <c r="BW14" s="25"/>
      <c r="BX14" s="13"/>
      <c r="CA14" s="114"/>
    </row>
    <row r="15" spans="1:79" ht="20.100000000000001" customHeight="1" x14ac:dyDescent="0.4">
      <c r="A15" s="117">
        <v>46100</v>
      </c>
      <c r="B15" s="123"/>
      <c r="C15" s="123">
        <v>1</v>
      </c>
      <c r="D15" s="123"/>
      <c r="O15" s="115"/>
      <c r="P15" s="115"/>
      <c r="Q15" s="115"/>
      <c r="R15" s="115"/>
      <c r="S15" s="115"/>
      <c r="T15" s="115"/>
      <c r="U15" s="115"/>
      <c r="V15" s="115"/>
      <c r="W15" s="115"/>
      <c r="X15" s="25">
        <v>46090</v>
      </c>
      <c r="Y15" s="13" t="s">
        <v>146</v>
      </c>
      <c r="AN15" s="127"/>
      <c r="AO15" s="29"/>
      <c r="AY15" s="25"/>
      <c r="AZ15" s="13"/>
      <c r="BE15" s="116"/>
      <c r="BF15" s="123"/>
      <c r="BG15" s="123"/>
      <c r="BH15" s="123"/>
      <c r="BM15" s="115"/>
      <c r="BN15" s="115"/>
      <c r="BO15" s="115"/>
      <c r="BP15" s="115"/>
      <c r="BQ15" s="115"/>
      <c r="BR15" s="115"/>
      <c r="BS15" s="115"/>
      <c r="BT15" s="115"/>
      <c r="BU15" s="115"/>
      <c r="BV15" s="115"/>
      <c r="BW15" s="25"/>
      <c r="BX15" s="13"/>
      <c r="CA15" s="114"/>
    </row>
    <row r="16" spans="1:79" ht="20.100000000000001" customHeight="1" x14ac:dyDescent="0.4">
      <c r="A16" s="117">
        <v>46101</v>
      </c>
      <c r="B16" s="123"/>
      <c r="C16" s="123">
        <v>2</v>
      </c>
      <c r="D16" s="123"/>
      <c r="O16" s="115"/>
      <c r="P16" s="115"/>
      <c r="Q16" s="115"/>
      <c r="R16" s="115"/>
      <c r="S16" s="115"/>
      <c r="T16" s="115"/>
      <c r="U16" s="115"/>
      <c r="V16" s="115"/>
      <c r="W16" s="115"/>
      <c r="X16" s="25">
        <v>46090</v>
      </c>
      <c r="Y16" s="13" t="s">
        <v>146</v>
      </c>
      <c r="AN16" s="127"/>
      <c r="AO16" s="29"/>
      <c r="AY16" s="25"/>
      <c r="AZ16" s="13"/>
      <c r="BE16" s="116"/>
      <c r="BF16" s="123"/>
      <c r="BG16" s="123"/>
      <c r="BH16" s="123"/>
      <c r="BM16" s="115"/>
      <c r="BN16" s="115"/>
      <c r="BO16" s="115"/>
      <c r="BP16" s="115"/>
      <c r="BQ16" s="115"/>
      <c r="BR16" s="115"/>
      <c r="BS16" s="115"/>
      <c r="BT16" s="115"/>
      <c r="BU16" s="115"/>
      <c r="BV16" s="115"/>
      <c r="BW16" s="25"/>
      <c r="BX16" s="13"/>
      <c r="CA16" s="114"/>
    </row>
    <row r="17" spans="1:79" ht="20.100000000000001" customHeight="1" x14ac:dyDescent="0.4">
      <c r="A17" s="117">
        <v>46102</v>
      </c>
      <c r="B17" s="123">
        <v>2</v>
      </c>
      <c r="C17" s="123">
        <v>4</v>
      </c>
      <c r="D17" s="123">
        <v>1</v>
      </c>
      <c r="O17" s="115"/>
      <c r="P17" s="115"/>
      <c r="Q17" s="115"/>
      <c r="R17" s="115"/>
      <c r="S17" s="115"/>
      <c r="T17" s="115"/>
      <c r="U17" s="115"/>
      <c r="V17" s="115"/>
      <c r="W17" s="115" t="s">
        <v>396</v>
      </c>
      <c r="X17" s="13">
        <f>SUBTOTAL(3,X15:X16)</f>
        <v>2</v>
      </c>
      <c r="Y17" s="13">
        <f>SUBTOTAL(3,Y15:Y16)</f>
        <v>2</v>
      </c>
      <c r="AN17" s="127"/>
      <c r="AO17" s="29"/>
      <c r="AY17" s="25"/>
      <c r="AZ17" s="13"/>
      <c r="BE17" s="116"/>
      <c r="BF17" s="123"/>
      <c r="BG17" s="123"/>
      <c r="BH17" s="123"/>
      <c r="BM17" s="115"/>
      <c r="BN17" s="115"/>
      <c r="BO17" s="115"/>
      <c r="BP17" s="115"/>
      <c r="BQ17" s="115"/>
      <c r="BR17" s="115"/>
      <c r="BS17" s="115"/>
      <c r="BT17" s="115"/>
      <c r="BU17" s="115"/>
      <c r="BV17" s="115"/>
      <c r="BW17" s="25"/>
      <c r="BX17" s="13"/>
      <c r="CA17" s="114"/>
    </row>
    <row r="18" spans="1:79" ht="20.100000000000001" customHeight="1" x14ac:dyDescent="0.4">
      <c r="A18" s="117">
        <v>46103</v>
      </c>
      <c r="B18" s="123">
        <v>31</v>
      </c>
      <c r="C18" s="123">
        <v>11</v>
      </c>
      <c r="D18" s="123">
        <v>2</v>
      </c>
      <c r="O18" s="115"/>
      <c r="P18" s="115"/>
      <c r="Q18" s="115"/>
      <c r="R18" s="115"/>
      <c r="S18" s="115"/>
      <c r="T18" s="115"/>
      <c r="U18" s="115"/>
      <c r="V18" s="115"/>
      <c r="W18" s="115"/>
      <c r="X18" s="25">
        <v>46092</v>
      </c>
      <c r="Y18" s="13" t="s">
        <v>147</v>
      </c>
      <c r="AN18" s="127"/>
      <c r="AO18" s="29"/>
      <c r="AY18" s="25"/>
      <c r="AZ18" s="13"/>
      <c r="BE18" s="116"/>
      <c r="BF18" s="123"/>
      <c r="BG18" s="123"/>
      <c r="BH18" s="123"/>
      <c r="BM18" s="115"/>
      <c r="BN18" s="115"/>
      <c r="BO18" s="115"/>
      <c r="BP18" s="115"/>
      <c r="BQ18" s="115"/>
      <c r="BR18" s="115"/>
      <c r="BS18" s="115"/>
      <c r="BT18" s="115"/>
      <c r="BU18" s="115"/>
      <c r="BV18" s="115"/>
      <c r="BW18" s="25"/>
      <c r="BX18" s="13"/>
      <c r="CA18" s="114"/>
    </row>
    <row r="19" spans="1:79" ht="20.100000000000001" customHeight="1" x14ac:dyDescent="0.4">
      <c r="A19" s="117">
        <v>46104</v>
      </c>
      <c r="B19" s="123">
        <v>10</v>
      </c>
      <c r="C19" s="123">
        <v>10</v>
      </c>
      <c r="D19" s="123">
        <v>4</v>
      </c>
      <c r="O19" s="115"/>
      <c r="P19" s="115"/>
      <c r="Q19" s="115"/>
      <c r="R19" s="115"/>
      <c r="S19" s="115"/>
      <c r="T19" s="115"/>
      <c r="U19" s="115"/>
      <c r="V19" s="115"/>
      <c r="W19" s="115"/>
      <c r="X19" s="25">
        <v>46092</v>
      </c>
      <c r="Y19" s="13" t="s">
        <v>146</v>
      </c>
      <c r="AN19" s="127"/>
      <c r="AO19" s="29"/>
      <c r="AY19" s="25"/>
      <c r="AZ19" s="13"/>
      <c r="BE19" s="116"/>
      <c r="BF19" s="123"/>
      <c r="BG19" s="123"/>
      <c r="BH19" s="123"/>
      <c r="BM19" s="115"/>
      <c r="BN19" s="115"/>
      <c r="BO19" s="115"/>
      <c r="BP19" s="115"/>
      <c r="BQ19" s="115"/>
      <c r="BR19" s="115"/>
      <c r="BS19" s="115"/>
      <c r="BT19" s="115"/>
      <c r="BU19" s="115"/>
      <c r="BV19" s="115"/>
      <c r="BW19" s="25"/>
      <c r="BX19" s="13"/>
      <c r="CA19" s="114"/>
    </row>
    <row r="20" spans="1:79" ht="20.100000000000001" customHeight="1" x14ac:dyDescent="0.4">
      <c r="A20" s="117">
        <v>46105</v>
      </c>
      <c r="B20" s="123">
        <v>2</v>
      </c>
      <c r="C20" s="123">
        <v>3</v>
      </c>
      <c r="D20" s="123">
        <v>5</v>
      </c>
      <c r="O20" s="115"/>
      <c r="P20" s="115"/>
      <c r="Q20" s="115"/>
      <c r="R20" s="115"/>
      <c r="S20" s="115"/>
      <c r="T20" s="115"/>
      <c r="U20" s="115"/>
      <c r="V20" s="115"/>
      <c r="W20" s="115"/>
      <c r="X20" s="25">
        <v>46092</v>
      </c>
      <c r="Y20" s="13" t="s">
        <v>147</v>
      </c>
      <c r="AN20" s="127"/>
      <c r="AO20" s="29"/>
      <c r="AY20" s="25"/>
      <c r="AZ20" s="13"/>
      <c r="BE20" s="116"/>
      <c r="BF20" s="123"/>
      <c r="BG20" s="123"/>
      <c r="BH20" s="123"/>
      <c r="BM20" s="115"/>
      <c r="BN20" s="115"/>
      <c r="BO20" s="115"/>
      <c r="BP20" s="115"/>
      <c r="BQ20" s="115"/>
      <c r="BR20" s="115"/>
      <c r="BS20" s="115"/>
      <c r="BT20" s="115"/>
      <c r="BU20" s="115"/>
      <c r="BV20" s="115"/>
      <c r="BW20" s="25"/>
      <c r="BX20" s="13"/>
      <c r="CA20" s="114"/>
    </row>
    <row r="21" spans="1:79" ht="20.100000000000001" customHeight="1" x14ac:dyDescent="0.4">
      <c r="A21" s="117">
        <v>46106</v>
      </c>
      <c r="B21" s="123">
        <v>6</v>
      </c>
      <c r="C21" s="123">
        <v>4</v>
      </c>
      <c r="D21" s="123">
        <v>1</v>
      </c>
      <c r="O21" s="115"/>
      <c r="P21" s="115"/>
      <c r="Q21" s="115"/>
      <c r="R21" s="115"/>
      <c r="S21" s="115"/>
      <c r="T21" s="115"/>
      <c r="U21" s="115"/>
      <c r="V21" s="115"/>
      <c r="W21" s="115"/>
      <c r="X21" s="25">
        <v>46092</v>
      </c>
      <c r="Y21" s="13" t="s">
        <v>146</v>
      </c>
      <c r="AN21" s="127"/>
      <c r="AO21" s="29"/>
      <c r="AY21" s="25"/>
      <c r="AZ21" s="13"/>
      <c r="BE21" s="116"/>
      <c r="BF21" s="123"/>
      <c r="BG21" s="123"/>
      <c r="BH21" s="123"/>
      <c r="BM21" s="115"/>
      <c r="BN21" s="115"/>
      <c r="BO21" s="115"/>
      <c r="BP21" s="115"/>
      <c r="BQ21" s="115"/>
      <c r="BR21" s="115"/>
      <c r="BS21" s="115"/>
      <c r="BT21" s="115"/>
      <c r="BU21" s="115"/>
      <c r="BV21" s="115"/>
      <c r="BW21" s="25"/>
      <c r="BX21" s="13"/>
      <c r="CA21" s="114"/>
    </row>
    <row r="22" spans="1:79" ht="20.100000000000001" customHeight="1" x14ac:dyDescent="0.4">
      <c r="A22" s="117">
        <v>46107</v>
      </c>
      <c r="B22" s="123"/>
      <c r="C22" s="123">
        <v>1</v>
      </c>
      <c r="D22" s="123"/>
      <c r="O22" s="115"/>
      <c r="P22" s="115"/>
      <c r="Q22" s="115"/>
      <c r="R22" s="115"/>
      <c r="S22" s="115"/>
      <c r="T22" s="115"/>
      <c r="U22" s="115"/>
      <c r="V22" s="115"/>
      <c r="W22" s="115"/>
      <c r="X22" s="25">
        <v>46092</v>
      </c>
      <c r="Y22" s="13" t="s">
        <v>147</v>
      </c>
      <c r="AN22" s="127"/>
      <c r="AO22" s="29"/>
      <c r="AY22" s="25"/>
      <c r="AZ22" s="13"/>
      <c r="BE22" s="116"/>
      <c r="BF22" s="123"/>
      <c r="BG22" s="123"/>
      <c r="BH22" s="123"/>
      <c r="BM22" s="115"/>
      <c r="BN22" s="115"/>
      <c r="BO22" s="115"/>
      <c r="BP22" s="115"/>
      <c r="BQ22" s="115"/>
      <c r="BR22" s="115"/>
      <c r="BS22" s="115"/>
      <c r="BT22" s="115"/>
      <c r="BU22" s="115"/>
      <c r="BV22" s="115"/>
      <c r="BW22" s="25"/>
      <c r="BX22" s="13"/>
      <c r="CA22" s="114"/>
    </row>
    <row r="23" spans="1:79" ht="20.100000000000001" customHeight="1" x14ac:dyDescent="0.4">
      <c r="A23" s="117">
        <v>46108</v>
      </c>
      <c r="B23" s="123">
        <v>1</v>
      </c>
      <c r="C23" s="123">
        <v>2</v>
      </c>
      <c r="D23" s="123"/>
      <c r="O23" s="115"/>
      <c r="P23" s="115"/>
      <c r="Q23" s="115"/>
      <c r="R23" s="115"/>
      <c r="S23" s="115"/>
      <c r="T23" s="115"/>
      <c r="U23" s="115"/>
      <c r="V23" s="115"/>
      <c r="W23" s="115"/>
      <c r="X23" s="25">
        <v>46092</v>
      </c>
      <c r="Y23" s="13" t="s">
        <v>146</v>
      </c>
      <c r="AN23" s="127"/>
      <c r="AO23" s="29"/>
      <c r="AY23" s="25"/>
      <c r="AZ23" s="13"/>
      <c r="BE23" s="116"/>
      <c r="BF23" s="123"/>
      <c r="BG23" s="123"/>
      <c r="BH23" s="123"/>
      <c r="BM23" s="115"/>
      <c r="BN23" s="115"/>
      <c r="BO23" s="115"/>
      <c r="BP23" s="115"/>
      <c r="BQ23" s="115"/>
      <c r="BR23" s="115"/>
      <c r="BS23" s="115"/>
      <c r="BT23" s="115"/>
      <c r="BU23" s="115"/>
      <c r="BV23" s="115"/>
      <c r="BW23" s="25"/>
      <c r="BX23" s="13"/>
      <c r="CA23" s="114"/>
    </row>
    <row r="24" spans="1:79" ht="20.100000000000001" customHeight="1" x14ac:dyDescent="0.4">
      <c r="A24" s="117">
        <v>46109</v>
      </c>
      <c r="B24" s="123">
        <v>1</v>
      </c>
      <c r="C24" s="123">
        <v>1</v>
      </c>
      <c r="D24" s="123"/>
      <c r="O24" s="115"/>
      <c r="P24" s="115"/>
      <c r="Q24" s="115"/>
      <c r="R24" s="115"/>
      <c r="S24" s="115"/>
      <c r="T24" s="115"/>
      <c r="U24" s="115"/>
      <c r="V24" s="115"/>
      <c r="W24" s="115" t="s">
        <v>397</v>
      </c>
      <c r="X24" s="13">
        <f>SUBTOTAL(3,X18:X23)</f>
        <v>6</v>
      </c>
      <c r="Y24" s="13">
        <f>SUBTOTAL(3,Y18:Y23)</f>
        <v>6</v>
      </c>
      <c r="AN24" s="127"/>
      <c r="AO24" s="29"/>
      <c r="AY24" s="25"/>
      <c r="AZ24" s="13"/>
      <c r="BE24" s="116"/>
      <c r="BF24" s="123"/>
      <c r="BG24" s="123"/>
      <c r="BH24" s="123"/>
      <c r="BM24" s="115"/>
      <c r="BN24" s="115"/>
      <c r="BO24" s="115"/>
      <c r="BP24" s="115"/>
      <c r="BQ24" s="115"/>
      <c r="BR24" s="115"/>
      <c r="BS24" s="115"/>
      <c r="BT24" s="115"/>
      <c r="BU24" s="115"/>
      <c r="BV24" s="115"/>
      <c r="BW24" s="25"/>
      <c r="BX24" s="13"/>
      <c r="CA24" s="114"/>
    </row>
    <row r="25" spans="1:79" ht="20.100000000000001" customHeight="1" x14ac:dyDescent="0.4">
      <c r="A25" s="117">
        <v>46110</v>
      </c>
      <c r="B25" s="123">
        <v>5</v>
      </c>
      <c r="C25" s="123">
        <v>5</v>
      </c>
      <c r="D25" s="123">
        <v>1</v>
      </c>
      <c r="O25" s="115"/>
      <c r="P25" s="115"/>
      <c r="Q25" s="115"/>
      <c r="R25" s="115"/>
      <c r="S25" s="115"/>
      <c r="T25" s="115"/>
      <c r="U25" s="115"/>
      <c r="V25" s="115"/>
      <c r="W25" s="115"/>
      <c r="X25" s="25">
        <v>46093</v>
      </c>
      <c r="Y25" s="13" t="s">
        <v>142</v>
      </c>
      <c r="AN25" s="127"/>
      <c r="AO25" s="29"/>
      <c r="AY25" s="25"/>
      <c r="AZ25" s="13"/>
      <c r="BE25" s="116"/>
      <c r="BF25" s="123"/>
      <c r="BG25" s="123"/>
      <c r="BH25" s="123"/>
      <c r="BM25" s="115"/>
      <c r="BN25" s="115"/>
      <c r="BO25" s="115"/>
      <c r="BP25" s="115"/>
      <c r="BQ25" s="115"/>
      <c r="BR25" s="115"/>
      <c r="BS25" s="115"/>
      <c r="BT25" s="115"/>
      <c r="BU25" s="115"/>
      <c r="BV25" s="115"/>
      <c r="BW25" s="25"/>
      <c r="BX25" s="13"/>
      <c r="CA25" s="114"/>
    </row>
    <row r="26" spans="1:79" ht="20.100000000000001" customHeight="1" x14ac:dyDescent="0.4">
      <c r="A26" s="117">
        <v>46112</v>
      </c>
      <c r="B26" s="123">
        <v>2</v>
      </c>
      <c r="C26" s="123"/>
      <c r="D26" s="123"/>
      <c r="O26" s="115"/>
      <c r="P26" s="115"/>
      <c r="Q26" s="115"/>
      <c r="R26" s="115"/>
      <c r="S26" s="115"/>
      <c r="T26" s="115"/>
      <c r="U26" s="115"/>
      <c r="V26" s="115"/>
      <c r="W26" s="115"/>
      <c r="X26" s="25">
        <v>46093</v>
      </c>
      <c r="Y26" s="13" t="s">
        <v>146</v>
      </c>
      <c r="AN26" s="127"/>
      <c r="AO26" s="29"/>
      <c r="AY26" s="25"/>
      <c r="AZ26" s="13"/>
      <c r="BE26" s="116"/>
      <c r="BF26" s="123"/>
      <c r="BG26" s="123"/>
      <c r="BH26" s="123"/>
      <c r="BM26" s="115"/>
      <c r="BN26" s="115"/>
      <c r="BO26" s="115"/>
      <c r="BP26" s="115"/>
      <c r="BQ26" s="115"/>
      <c r="BR26" s="115"/>
      <c r="BS26" s="115"/>
      <c r="BT26" s="115"/>
      <c r="BU26" s="115"/>
      <c r="BV26" s="115"/>
      <c r="BW26" s="25"/>
      <c r="BX26" s="13"/>
      <c r="CA26" s="114"/>
    </row>
    <row r="27" spans="1:79" ht="20.100000000000001" customHeight="1" x14ac:dyDescent="0.4">
      <c r="A27" s="117">
        <v>46120</v>
      </c>
      <c r="B27" s="123">
        <v>1</v>
      </c>
      <c r="C27" s="123"/>
      <c r="D27" s="123"/>
      <c r="O27" s="115"/>
      <c r="P27" s="115"/>
      <c r="Q27" s="115"/>
      <c r="R27" s="115"/>
      <c r="S27" s="115"/>
      <c r="T27" s="115"/>
      <c r="U27" s="115"/>
      <c r="V27" s="115"/>
      <c r="W27" s="115"/>
      <c r="X27" s="25">
        <v>46093</v>
      </c>
      <c r="Y27" s="13" t="s">
        <v>146</v>
      </c>
      <c r="AN27" s="127"/>
      <c r="AO27" s="29"/>
      <c r="AY27" s="25"/>
      <c r="AZ27" s="13"/>
      <c r="BE27" s="116"/>
      <c r="BF27" s="123"/>
      <c r="BG27" s="123"/>
      <c r="BH27" s="123"/>
      <c r="BM27" s="115"/>
      <c r="BN27" s="115"/>
      <c r="BO27" s="115"/>
      <c r="BP27" s="115"/>
      <c r="BQ27" s="115"/>
      <c r="BR27" s="115"/>
      <c r="BS27" s="115"/>
      <c r="BT27" s="115"/>
      <c r="BU27" s="115"/>
      <c r="BV27" s="115"/>
      <c r="BW27" s="25"/>
      <c r="BX27" s="13"/>
      <c r="CA27" s="114"/>
    </row>
    <row r="28" spans="1:79" ht="20.100000000000001" customHeight="1" x14ac:dyDescent="0.4">
      <c r="A28" s="117">
        <v>46123</v>
      </c>
      <c r="B28" s="123">
        <v>1</v>
      </c>
      <c r="C28" s="123"/>
      <c r="D28" s="123"/>
      <c r="O28" s="115"/>
      <c r="P28" s="115"/>
      <c r="Q28" s="115"/>
      <c r="R28" s="115"/>
      <c r="S28" s="115"/>
      <c r="T28" s="115"/>
      <c r="U28" s="115"/>
      <c r="V28" s="115"/>
      <c r="W28" s="115" t="s">
        <v>398</v>
      </c>
      <c r="X28" s="13">
        <f>SUBTOTAL(3,X25:X27)</f>
        <v>3</v>
      </c>
      <c r="Y28" s="13">
        <f>SUBTOTAL(3,Y25:Y27)</f>
        <v>3</v>
      </c>
      <c r="AN28" s="127"/>
      <c r="AO28" s="29"/>
      <c r="AY28" s="25"/>
      <c r="AZ28" s="13"/>
      <c r="BE28" s="116"/>
      <c r="BF28" s="123"/>
      <c r="BG28" s="123"/>
      <c r="BH28" s="123"/>
      <c r="BM28" s="115"/>
      <c r="BN28" s="115"/>
      <c r="BO28" s="115"/>
      <c r="BP28" s="115"/>
      <c r="BQ28" s="115"/>
      <c r="BR28" s="115"/>
      <c r="BS28" s="115"/>
      <c r="BT28" s="115"/>
      <c r="BU28" s="115"/>
      <c r="BV28" s="115"/>
      <c r="BW28" s="25"/>
      <c r="BX28" s="13"/>
      <c r="CA28" s="114"/>
    </row>
    <row r="29" spans="1:79" ht="20.100000000000001" customHeight="1" x14ac:dyDescent="0.4">
      <c r="A29" s="117"/>
      <c r="B29" s="123">
        <f>SUM(B3:B28)</f>
        <v>97</v>
      </c>
      <c r="C29" s="123">
        <f>SUM(C3:C28)</f>
        <v>67</v>
      </c>
      <c r="D29" s="123">
        <f>SUM(D3:D28)</f>
        <v>19</v>
      </c>
      <c r="O29" s="115"/>
      <c r="P29" s="115"/>
      <c r="Q29" s="115"/>
      <c r="R29" s="115"/>
      <c r="S29" s="115"/>
      <c r="T29" s="115"/>
      <c r="U29" s="115"/>
      <c r="V29" s="115"/>
      <c r="W29" s="115"/>
      <c r="X29" s="25">
        <v>46094</v>
      </c>
      <c r="Y29" s="13" t="s">
        <v>146</v>
      </c>
      <c r="AN29" s="127"/>
      <c r="AO29" s="29"/>
      <c r="AY29" s="25"/>
      <c r="AZ29" s="13"/>
      <c r="BE29" s="116"/>
      <c r="BF29" s="123"/>
      <c r="BG29" s="123"/>
      <c r="BH29" s="123"/>
      <c r="BM29" s="115"/>
      <c r="BN29" s="115"/>
      <c r="BO29" s="115"/>
      <c r="BP29" s="115"/>
      <c r="BQ29" s="115"/>
      <c r="BR29" s="115"/>
      <c r="BS29" s="115"/>
      <c r="BT29" s="115"/>
      <c r="BU29" s="115"/>
      <c r="BV29" s="115"/>
      <c r="BW29" s="25"/>
      <c r="BX29" s="13"/>
      <c r="CA29" s="114"/>
    </row>
    <row r="30" spans="1:79" ht="20.100000000000001" customHeight="1" x14ac:dyDescent="0.4">
      <c r="A30" s="117"/>
      <c r="B30" s="123"/>
      <c r="C30" s="123"/>
      <c r="D30" s="123">
        <f>SUM(B29:D29)</f>
        <v>183</v>
      </c>
      <c r="O30" s="115"/>
      <c r="P30" s="115"/>
      <c r="Q30" s="115"/>
      <c r="R30" s="115"/>
      <c r="S30" s="115"/>
      <c r="T30" s="115"/>
      <c r="U30" s="115"/>
      <c r="V30" s="115"/>
      <c r="W30" s="115"/>
      <c r="X30" s="25">
        <v>46094</v>
      </c>
      <c r="Y30" s="13" t="s">
        <v>148</v>
      </c>
      <c r="AN30" s="127"/>
      <c r="AO30" s="29"/>
      <c r="AY30" s="25"/>
      <c r="AZ30" s="13"/>
      <c r="BE30" s="116"/>
      <c r="BF30" s="123"/>
      <c r="BG30" s="123"/>
      <c r="BH30" s="123"/>
      <c r="BM30" s="115"/>
      <c r="BN30" s="115"/>
      <c r="BO30" s="115"/>
      <c r="BP30" s="115"/>
      <c r="BQ30" s="115"/>
      <c r="BR30" s="115"/>
      <c r="BS30" s="115"/>
      <c r="BT30" s="115"/>
      <c r="BU30" s="115"/>
      <c r="BV30" s="115"/>
      <c r="BW30" s="25"/>
      <c r="BX30" s="13"/>
      <c r="CA30" s="114"/>
    </row>
    <row r="31" spans="1:79" ht="20.100000000000001" customHeight="1" x14ac:dyDescent="0.4">
      <c r="A31" s="117"/>
      <c r="B31" s="123"/>
      <c r="C31" s="123"/>
      <c r="D31" s="123"/>
      <c r="O31" s="115"/>
      <c r="P31" s="115"/>
      <c r="Q31" s="115"/>
      <c r="R31" s="115"/>
      <c r="S31" s="115"/>
      <c r="T31" s="115"/>
      <c r="U31" s="115"/>
      <c r="V31" s="115"/>
      <c r="W31" s="115" t="s">
        <v>399</v>
      </c>
      <c r="X31" s="13">
        <f>SUBTOTAL(3,X29:X30)</f>
        <v>2</v>
      </c>
      <c r="Y31" s="13">
        <f>SUBTOTAL(3,Y29:Y30)</f>
        <v>2</v>
      </c>
      <c r="AN31" s="127"/>
      <c r="AO31" s="29"/>
      <c r="AY31" s="25"/>
      <c r="AZ31" s="13"/>
      <c r="BE31" s="116"/>
      <c r="BF31" s="123"/>
      <c r="BG31" s="123"/>
      <c r="BH31" s="123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25"/>
      <c r="BX31" s="13"/>
      <c r="CA31" s="114"/>
    </row>
    <row r="32" spans="1:79" ht="20.100000000000001" customHeight="1" x14ac:dyDescent="0.4">
      <c r="A32" s="117"/>
      <c r="B32" s="123"/>
      <c r="C32" s="123"/>
      <c r="D32" s="123"/>
      <c r="O32" s="115"/>
      <c r="P32" s="115"/>
      <c r="Q32" s="115"/>
      <c r="R32" s="115"/>
      <c r="S32" s="115"/>
      <c r="T32" s="115"/>
      <c r="U32" s="115"/>
      <c r="V32" s="115"/>
      <c r="W32" s="115"/>
      <c r="X32" s="25">
        <v>46095</v>
      </c>
      <c r="Y32" s="15" t="s">
        <v>147</v>
      </c>
      <c r="AN32" s="127"/>
      <c r="AO32" s="29"/>
      <c r="AY32" s="25"/>
      <c r="AZ32" s="13"/>
      <c r="BE32" s="116"/>
      <c r="BF32" s="123"/>
      <c r="BG32" s="123"/>
      <c r="BH32" s="123"/>
      <c r="BM32" s="115"/>
      <c r="BN32" s="115"/>
      <c r="BO32" s="115"/>
      <c r="BP32" s="115"/>
      <c r="BQ32" s="115"/>
      <c r="BR32" s="115"/>
      <c r="BS32" s="115"/>
      <c r="BT32" s="115"/>
      <c r="BU32" s="115"/>
      <c r="BV32" s="115"/>
      <c r="BW32" s="25"/>
      <c r="BX32" s="13"/>
      <c r="CA32" s="114"/>
    </row>
    <row r="33" spans="1:79" ht="20.100000000000001" customHeight="1" x14ac:dyDescent="0.4">
      <c r="A33" s="117"/>
      <c r="B33" s="123"/>
      <c r="C33" s="123"/>
      <c r="D33" s="123"/>
      <c r="O33" s="115"/>
      <c r="P33" s="115"/>
      <c r="Q33" s="115"/>
      <c r="R33" s="115"/>
      <c r="S33" s="115"/>
      <c r="T33" s="115"/>
      <c r="U33" s="115"/>
      <c r="V33" s="115"/>
      <c r="W33" s="115" t="s">
        <v>400</v>
      </c>
      <c r="X33" s="13">
        <f>SUBTOTAL(3,X32:X32)</f>
        <v>1</v>
      </c>
      <c r="Y33" s="15">
        <f>SUBTOTAL(3,Y32:Y32)</f>
        <v>1</v>
      </c>
      <c r="AN33" s="127"/>
      <c r="AO33" s="29"/>
      <c r="AY33" s="25"/>
      <c r="AZ33" s="13"/>
      <c r="BE33" s="116"/>
      <c r="BF33" s="123"/>
      <c r="BG33" s="123"/>
      <c r="BH33" s="123"/>
      <c r="BM33" s="115"/>
      <c r="BN33" s="115"/>
      <c r="BO33" s="115"/>
      <c r="BP33" s="115"/>
      <c r="BQ33" s="115"/>
      <c r="BR33" s="115"/>
      <c r="BS33" s="115"/>
      <c r="BT33" s="115"/>
      <c r="BU33" s="115"/>
      <c r="BV33" s="115"/>
      <c r="BW33" s="25"/>
      <c r="BX33" s="13"/>
      <c r="CA33" s="114"/>
    </row>
    <row r="34" spans="1:79" ht="20.100000000000001" customHeight="1" x14ac:dyDescent="0.4">
      <c r="A34" s="117"/>
      <c r="B34" s="123"/>
      <c r="C34" s="123"/>
      <c r="D34" s="123"/>
      <c r="O34" s="115"/>
      <c r="P34" s="115"/>
      <c r="Q34" s="115"/>
      <c r="R34" s="115"/>
      <c r="S34" s="115"/>
      <c r="T34" s="115"/>
      <c r="U34" s="115"/>
      <c r="V34" s="115"/>
      <c r="W34" s="115"/>
      <c r="X34" s="25">
        <v>46096</v>
      </c>
      <c r="Y34" s="15" t="s">
        <v>147</v>
      </c>
      <c r="AN34" s="127"/>
      <c r="AO34" s="29"/>
      <c r="AY34" s="25"/>
      <c r="AZ34" s="13"/>
      <c r="BE34" s="116"/>
      <c r="BF34" s="123"/>
      <c r="BG34" s="123"/>
      <c r="BH34" s="123"/>
      <c r="BM34" s="115"/>
      <c r="BN34" s="115"/>
      <c r="BO34" s="115"/>
      <c r="BP34" s="115"/>
      <c r="BQ34" s="115"/>
      <c r="BR34" s="115"/>
      <c r="BS34" s="115"/>
      <c r="BT34" s="115"/>
      <c r="BU34" s="115"/>
      <c r="BV34" s="115"/>
      <c r="BW34" s="25"/>
      <c r="BX34" s="13"/>
      <c r="CA34" s="114"/>
    </row>
    <row r="35" spans="1:79" ht="20.100000000000001" customHeight="1" x14ac:dyDescent="0.4">
      <c r="A35" s="117"/>
      <c r="B35" s="123"/>
      <c r="C35" s="123"/>
      <c r="D35" s="123"/>
      <c r="O35" s="115"/>
      <c r="P35" s="115"/>
      <c r="Q35" s="115"/>
      <c r="R35" s="115"/>
      <c r="S35" s="115"/>
      <c r="T35" s="115"/>
      <c r="U35" s="115"/>
      <c r="V35" s="115"/>
      <c r="W35" s="115"/>
      <c r="X35" s="25">
        <v>46096</v>
      </c>
      <c r="Y35" s="13" t="s">
        <v>147</v>
      </c>
      <c r="AN35" s="127"/>
      <c r="AO35" s="29"/>
      <c r="AY35" s="25"/>
      <c r="AZ35" s="13"/>
      <c r="BE35" s="116"/>
      <c r="BF35" s="123"/>
      <c r="BG35" s="123"/>
      <c r="BH35" s="123"/>
      <c r="BM35" s="115"/>
      <c r="BN35" s="115"/>
      <c r="BO35" s="115"/>
      <c r="BP35" s="115"/>
      <c r="BQ35" s="115"/>
      <c r="BR35" s="115"/>
      <c r="BS35" s="115"/>
      <c r="BT35" s="115"/>
      <c r="BU35" s="115"/>
      <c r="BV35" s="115"/>
      <c r="BW35" s="25"/>
      <c r="BX35" s="13"/>
      <c r="CA35" s="114"/>
    </row>
    <row r="36" spans="1:79" ht="20.100000000000001" customHeight="1" x14ac:dyDescent="0.4">
      <c r="A36" s="117"/>
      <c r="B36" s="123"/>
      <c r="C36" s="123"/>
      <c r="D36" s="123"/>
      <c r="O36" s="115"/>
      <c r="P36" s="115"/>
      <c r="Q36" s="115"/>
      <c r="R36" s="115"/>
      <c r="S36" s="115"/>
      <c r="T36" s="115"/>
      <c r="U36" s="115"/>
      <c r="V36" s="115"/>
      <c r="W36" s="115"/>
      <c r="X36" s="25">
        <v>46096</v>
      </c>
      <c r="Y36" s="13" t="s">
        <v>147</v>
      </c>
      <c r="AN36" s="127"/>
      <c r="AO36" s="29"/>
      <c r="AY36" s="25"/>
      <c r="AZ36" s="13"/>
      <c r="BE36" s="116"/>
      <c r="BF36" s="123"/>
      <c r="BG36" s="123"/>
      <c r="BH36" s="123"/>
      <c r="BM36" s="115"/>
      <c r="BN36" s="115"/>
      <c r="BO36" s="115"/>
      <c r="BP36" s="115"/>
      <c r="BQ36" s="115"/>
      <c r="BR36" s="115"/>
      <c r="BS36" s="115"/>
      <c r="BT36" s="115"/>
      <c r="BU36" s="115"/>
      <c r="BV36" s="115"/>
      <c r="BW36" s="25"/>
      <c r="BX36" s="13"/>
      <c r="CA36" s="114"/>
    </row>
    <row r="37" spans="1:79" ht="20.100000000000001" customHeight="1" x14ac:dyDescent="0.4">
      <c r="A37" s="117"/>
      <c r="B37" s="123"/>
      <c r="C37" s="123"/>
      <c r="D37" s="123"/>
      <c r="O37" s="115"/>
      <c r="P37" s="115"/>
      <c r="Q37" s="115"/>
      <c r="R37" s="115"/>
      <c r="S37" s="115"/>
      <c r="T37" s="115"/>
      <c r="U37" s="115"/>
      <c r="V37" s="115"/>
      <c r="W37" s="115" t="s">
        <v>401</v>
      </c>
      <c r="X37" s="13">
        <f>SUBTOTAL(3,X34:X36)</f>
        <v>3</v>
      </c>
      <c r="Y37" s="13">
        <f>SUBTOTAL(3,Y34:Y36)</f>
        <v>3</v>
      </c>
      <c r="AN37" s="127"/>
      <c r="AO37" s="29"/>
      <c r="AY37" s="25"/>
      <c r="AZ37" s="13"/>
      <c r="BE37" s="116"/>
      <c r="BF37" s="123"/>
      <c r="BG37" s="123"/>
      <c r="BH37" s="123"/>
      <c r="BM37" s="115"/>
      <c r="BN37" s="115"/>
      <c r="BO37" s="115"/>
      <c r="BP37" s="115"/>
      <c r="BQ37" s="115"/>
      <c r="BR37" s="115"/>
      <c r="BS37" s="115"/>
      <c r="BT37" s="115"/>
      <c r="BU37" s="115"/>
      <c r="BV37" s="115"/>
      <c r="BW37" s="25"/>
      <c r="BX37" s="13"/>
      <c r="CA37" s="114"/>
    </row>
    <row r="38" spans="1:79" ht="20.100000000000001" customHeight="1" x14ac:dyDescent="0.4">
      <c r="A38" s="117"/>
      <c r="B38" s="123"/>
      <c r="C38" s="123"/>
      <c r="D38" s="123"/>
      <c r="O38" s="115"/>
      <c r="P38" s="115"/>
      <c r="Q38" s="115"/>
      <c r="R38" s="115"/>
      <c r="S38" s="115"/>
      <c r="T38" s="115"/>
      <c r="U38" s="115"/>
      <c r="V38" s="115"/>
      <c r="W38" s="115"/>
      <c r="X38" s="25">
        <v>46097</v>
      </c>
      <c r="Y38" s="13" t="s">
        <v>148</v>
      </c>
      <c r="AN38" s="127"/>
      <c r="AO38" s="29"/>
      <c r="AY38" s="25"/>
      <c r="AZ38" s="13"/>
      <c r="BE38" s="116"/>
      <c r="BF38" s="123"/>
      <c r="BG38" s="123"/>
      <c r="BH38" s="123"/>
      <c r="BM38" s="115"/>
      <c r="BN38" s="115"/>
      <c r="BO38" s="115"/>
      <c r="BP38" s="115"/>
      <c r="BQ38" s="115"/>
      <c r="BR38" s="115"/>
      <c r="BS38" s="115"/>
      <c r="BT38" s="115"/>
      <c r="BU38" s="115"/>
      <c r="BV38" s="115"/>
      <c r="BW38" s="25"/>
      <c r="BX38" s="13"/>
      <c r="CA38" s="114"/>
    </row>
    <row r="39" spans="1:79" ht="20.100000000000001" customHeight="1" x14ac:dyDescent="0.4">
      <c r="A39" s="117"/>
      <c r="B39" s="123"/>
      <c r="C39" s="123"/>
      <c r="D39" s="123"/>
      <c r="O39" s="115"/>
      <c r="P39" s="115"/>
      <c r="Q39" s="115"/>
      <c r="R39" s="115"/>
      <c r="S39" s="115"/>
      <c r="T39" s="115"/>
      <c r="U39" s="115"/>
      <c r="V39" s="115"/>
      <c r="W39" s="115"/>
      <c r="X39" s="25">
        <v>46097</v>
      </c>
      <c r="Y39" s="13" t="s">
        <v>146</v>
      </c>
      <c r="AN39" s="127"/>
      <c r="AO39" s="29"/>
      <c r="AY39" s="25"/>
      <c r="AZ39" s="13"/>
      <c r="BE39" s="116"/>
      <c r="BF39" s="123"/>
      <c r="BG39" s="123"/>
      <c r="BH39" s="123"/>
      <c r="BM39" s="115"/>
      <c r="BN39" s="115"/>
      <c r="BO39" s="115"/>
      <c r="BP39" s="115"/>
      <c r="BQ39" s="115"/>
      <c r="BR39" s="115"/>
      <c r="BS39" s="115"/>
      <c r="BT39" s="115"/>
      <c r="BU39" s="115"/>
      <c r="BV39" s="115"/>
      <c r="BW39" s="25"/>
      <c r="BX39" s="13"/>
      <c r="CA39" s="114"/>
    </row>
    <row r="40" spans="1:79" ht="20.100000000000001" customHeight="1" x14ac:dyDescent="0.4">
      <c r="A40" s="117"/>
      <c r="B40" s="123"/>
      <c r="C40" s="123"/>
      <c r="D40" s="123"/>
      <c r="O40" s="115"/>
      <c r="P40" s="115"/>
      <c r="Q40" s="115"/>
      <c r="R40" s="115"/>
      <c r="S40" s="115"/>
      <c r="T40" s="115"/>
      <c r="U40" s="115"/>
      <c r="V40" s="115"/>
      <c r="W40" s="115"/>
      <c r="X40" s="25">
        <v>46097</v>
      </c>
      <c r="Y40" s="13" t="s">
        <v>146</v>
      </c>
      <c r="AN40" s="127"/>
      <c r="AO40" s="29"/>
      <c r="AY40" s="25"/>
      <c r="AZ40" s="13"/>
      <c r="BE40" s="116"/>
      <c r="BF40" s="123"/>
      <c r="BG40" s="123"/>
      <c r="BH40" s="123"/>
      <c r="BM40" s="115"/>
      <c r="BN40" s="115"/>
      <c r="BO40" s="115"/>
      <c r="BP40" s="115"/>
      <c r="BQ40" s="115"/>
      <c r="BR40" s="115"/>
      <c r="BS40" s="115"/>
      <c r="BT40" s="115"/>
      <c r="BU40" s="115"/>
      <c r="BV40" s="115"/>
      <c r="BW40" s="25"/>
      <c r="BX40" s="13"/>
      <c r="CA40" s="114"/>
    </row>
    <row r="41" spans="1:79" ht="20.100000000000001" customHeight="1" x14ac:dyDescent="0.4">
      <c r="A41" s="117"/>
      <c r="B41" s="123"/>
      <c r="C41" s="123"/>
      <c r="D41" s="123"/>
      <c r="O41" s="115"/>
      <c r="P41" s="115"/>
      <c r="Q41" s="115"/>
      <c r="R41" s="115"/>
      <c r="S41" s="115"/>
      <c r="T41" s="115"/>
      <c r="U41" s="115"/>
      <c r="V41" s="115"/>
      <c r="W41" s="115"/>
      <c r="X41" s="25">
        <v>46097</v>
      </c>
      <c r="Y41" s="13" t="s">
        <v>146</v>
      </c>
      <c r="AN41" s="127"/>
      <c r="AO41" s="29"/>
      <c r="AY41" s="25"/>
      <c r="AZ41" s="13"/>
      <c r="BE41" s="116"/>
      <c r="BF41" s="123"/>
      <c r="BG41" s="123"/>
      <c r="BH41" s="123"/>
      <c r="BM41" s="115"/>
      <c r="BN41" s="115"/>
      <c r="BO41" s="115"/>
      <c r="BP41" s="115"/>
      <c r="BQ41" s="115"/>
      <c r="BR41" s="115"/>
      <c r="BS41" s="115"/>
      <c r="BT41" s="115"/>
      <c r="BU41" s="115"/>
      <c r="BV41" s="115"/>
      <c r="BW41" s="25"/>
      <c r="BX41" s="13"/>
      <c r="CA41" s="114"/>
    </row>
    <row r="42" spans="1:79" ht="20.100000000000001" customHeight="1" x14ac:dyDescent="0.4">
      <c r="A42" s="117"/>
      <c r="B42" s="123"/>
      <c r="C42" s="123"/>
      <c r="D42" s="123"/>
      <c r="O42" s="115"/>
      <c r="P42" s="115"/>
      <c r="Q42" s="115"/>
      <c r="R42" s="115"/>
      <c r="S42" s="115"/>
      <c r="T42" s="115"/>
      <c r="U42" s="115"/>
      <c r="V42" s="115"/>
      <c r="W42" s="115"/>
      <c r="X42" s="25">
        <v>46097</v>
      </c>
      <c r="Y42" s="13" t="s">
        <v>142</v>
      </c>
      <c r="AN42" s="127"/>
      <c r="AO42" s="29"/>
      <c r="AY42" s="25"/>
      <c r="AZ42" s="13"/>
      <c r="BE42" s="116"/>
      <c r="BF42" s="123"/>
      <c r="BG42" s="123"/>
      <c r="BH42" s="123"/>
      <c r="BM42" s="115"/>
      <c r="BN42" s="115"/>
      <c r="BO42" s="115"/>
      <c r="BP42" s="115"/>
      <c r="BQ42" s="115"/>
      <c r="BR42" s="115"/>
      <c r="BS42" s="115"/>
      <c r="BT42" s="115"/>
      <c r="BU42" s="115"/>
      <c r="BV42" s="115"/>
      <c r="BW42" s="25"/>
      <c r="BX42" s="13"/>
      <c r="CA42" s="114"/>
    </row>
    <row r="43" spans="1:79" ht="20.100000000000001" customHeight="1" x14ac:dyDescent="0.4">
      <c r="A43" s="117"/>
      <c r="B43" s="123"/>
      <c r="C43" s="123"/>
      <c r="D43" s="123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25">
        <v>46097</v>
      </c>
      <c r="Y43" s="13" t="s">
        <v>147</v>
      </c>
      <c r="AN43" s="127"/>
      <c r="AO43" s="29"/>
      <c r="AY43" s="25"/>
      <c r="AZ43" s="13"/>
      <c r="BE43" s="116"/>
      <c r="BF43" s="123"/>
      <c r="BG43" s="123"/>
      <c r="BH43" s="123"/>
      <c r="BM43" s="115"/>
      <c r="BN43" s="115"/>
      <c r="BO43" s="115"/>
      <c r="BP43" s="115"/>
      <c r="BQ43" s="115"/>
      <c r="BR43" s="115"/>
      <c r="BS43" s="115"/>
      <c r="BT43" s="115"/>
      <c r="BU43" s="115"/>
      <c r="BV43" s="115"/>
      <c r="BW43" s="25"/>
      <c r="BX43" s="13"/>
      <c r="CA43" s="114"/>
    </row>
    <row r="44" spans="1:79" ht="20.100000000000001" customHeight="1" x14ac:dyDescent="0.4">
      <c r="A44" s="117"/>
      <c r="B44" s="123"/>
      <c r="C44" s="123"/>
      <c r="D44" s="123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25">
        <v>46097</v>
      </c>
      <c r="Y44" s="15" t="s">
        <v>147</v>
      </c>
      <c r="AN44" s="127"/>
      <c r="AO44" s="29"/>
      <c r="AY44" s="25"/>
      <c r="AZ44" s="13"/>
      <c r="BE44" s="116"/>
      <c r="BF44" s="123"/>
      <c r="BG44" s="123"/>
      <c r="BH44" s="123"/>
      <c r="BM44" s="115"/>
      <c r="BN44" s="115"/>
      <c r="BO44" s="115"/>
      <c r="BP44" s="115"/>
      <c r="BQ44" s="115"/>
      <c r="BR44" s="115"/>
      <c r="BS44" s="115"/>
      <c r="BT44" s="115"/>
      <c r="BU44" s="115"/>
      <c r="BV44" s="115"/>
      <c r="BW44" s="25"/>
      <c r="BX44" s="13"/>
      <c r="CA44" s="114"/>
    </row>
    <row r="45" spans="1:79" ht="20.100000000000001" customHeight="1" x14ac:dyDescent="0.4">
      <c r="A45" s="117"/>
      <c r="B45" s="123"/>
      <c r="C45" s="123"/>
      <c r="D45" s="123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25">
        <v>46097</v>
      </c>
      <c r="Y45" s="15" t="s">
        <v>147</v>
      </c>
      <c r="AN45" s="127"/>
      <c r="AO45" s="29"/>
      <c r="AY45" s="25"/>
      <c r="AZ45" s="13"/>
      <c r="BE45" s="116"/>
      <c r="BF45" s="123"/>
      <c r="BG45" s="123"/>
      <c r="BH45" s="123"/>
      <c r="BM45" s="115"/>
      <c r="BN45" s="115"/>
      <c r="BO45" s="115"/>
      <c r="BP45" s="115"/>
      <c r="BQ45" s="115"/>
      <c r="BR45" s="115"/>
      <c r="BS45" s="115"/>
      <c r="BT45" s="115"/>
      <c r="BU45" s="115"/>
      <c r="BV45" s="115"/>
      <c r="BW45" s="25"/>
      <c r="BX45" s="13"/>
      <c r="CA45" s="114"/>
    </row>
    <row r="46" spans="1:79" ht="20.100000000000001" customHeight="1" x14ac:dyDescent="0.4">
      <c r="A46" s="117"/>
      <c r="B46" s="123"/>
      <c r="C46" s="123"/>
      <c r="D46" s="123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25">
        <v>46097</v>
      </c>
      <c r="Y46" s="15" t="s">
        <v>147</v>
      </c>
      <c r="AN46" s="127"/>
      <c r="AO46" s="29"/>
      <c r="AY46" s="25"/>
      <c r="AZ46" s="13"/>
      <c r="BE46" s="116"/>
      <c r="BF46" s="123"/>
      <c r="BG46" s="123"/>
      <c r="BH46" s="123"/>
      <c r="BM46" s="115"/>
      <c r="BN46" s="115"/>
      <c r="BO46" s="115"/>
      <c r="BP46" s="115"/>
      <c r="BQ46" s="115"/>
      <c r="BR46" s="115"/>
      <c r="BS46" s="115"/>
      <c r="BT46" s="115"/>
      <c r="BU46" s="115"/>
      <c r="BV46" s="115"/>
      <c r="BW46" s="25"/>
      <c r="BX46" s="13"/>
      <c r="CA46" s="114"/>
    </row>
    <row r="47" spans="1:79" ht="20.100000000000001" customHeight="1" x14ac:dyDescent="0.4">
      <c r="A47" s="117"/>
      <c r="B47" s="123"/>
      <c r="C47" s="123"/>
      <c r="D47" s="123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26">
        <v>46097</v>
      </c>
      <c r="Y47" s="15" t="s">
        <v>146</v>
      </c>
      <c r="AN47" s="127"/>
      <c r="AO47" s="29"/>
      <c r="AY47" s="25"/>
      <c r="AZ47" s="13"/>
      <c r="BE47" s="116"/>
      <c r="BF47" s="123"/>
      <c r="BG47" s="123"/>
      <c r="BH47" s="123"/>
      <c r="BM47" s="115"/>
      <c r="BN47" s="115"/>
      <c r="BO47" s="115"/>
      <c r="BP47" s="115"/>
      <c r="BQ47" s="115"/>
      <c r="BR47" s="115"/>
      <c r="BS47" s="115"/>
      <c r="BT47" s="115"/>
      <c r="BU47" s="115"/>
      <c r="BV47" s="115"/>
      <c r="BW47" s="25"/>
      <c r="BX47" s="13"/>
      <c r="CA47" s="114"/>
    </row>
    <row r="48" spans="1:79" ht="20.100000000000001" customHeight="1" x14ac:dyDescent="0.4">
      <c r="A48" s="117"/>
      <c r="B48" s="123"/>
      <c r="C48" s="123"/>
      <c r="D48" s="123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26">
        <v>46097</v>
      </c>
      <c r="Y48" s="15" t="s">
        <v>147</v>
      </c>
      <c r="AN48" s="127"/>
      <c r="AO48" s="29"/>
      <c r="AY48" s="25"/>
      <c r="AZ48" s="13"/>
      <c r="BE48" s="116"/>
      <c r="BF48" s="123"/>
      <c r="BG48" s="123"/>
      <c r="BH48" s="123"/>
      <c r="BM48" s="115"/>
      <c r="BN48" s="115"/>
      <c r="BO48" s="115"/>
      <c r="BP48" s="115"/>
      <c r="BQ48" s="115"/>
      <c r="BR48" s="115"/>
      <c r="BS48" s="115"/>
      <c r="BT48" s="115"/>
      <c r="BU48" s="115"/>
      <c r="BV48" s="115"/>
      <c r="BW48" s="25"/>
      <c r="BX48" s="13"/>
      <c r="CA48" s="114"/>
    </row>
    <row r="49" spans="1:79" ht="20.100000000000001" customHeight="1" x14ac:dyDescent="0.4">
      <c r="A49" s="117"/>
      <c r="B49" s="123"/>
      <c r="C49" s="123"/>
      <c r="D49" s="123"/>
      <c r="N49" s="115"/>
      <c r="O49" s="115"/>
      <c r="P49" s="115"/>
      <c r="Q49" s="115"/>
      <c r="R49" s="115"/>
      <c r="S49" s="115"/>
      <c r="T49" s="115"/>
      <c r="U49" s="115"/>
      <c r="V49" s="115"/>
      <c r="W49" s="115" t="s">
        <v>402</v>
      </c>
      <c r="X49" s="17">
        <f>SUBTOTAL(3,X38:X48)</f>
        <v>11</v>
      </c>
      <c r="Y49" s="15">
        <f>SUBTOTAL(3,Y38:Y48)</f>
        <v>11</v>
      </c>
      <c r="AN49" s="127"/>
      <c r="AO49" s="29"/>
      <c r="AY49" s="25"/>
      <c r="AZ49" s="13"/>
      <c r="BE49" s="116"/>
      <c r="BF49" s="123"/>
      <c r="BG49" s="123"/>
      <c r="BH49" s="123"/>
      <c r="BM49" s="115"/>
      <c r="BN49" s="115"/>
      <c r="BO49" s="115"/>
      <c r="BP49" s="115"/>
      <c r="BQ49" s="115"/>
      <c r="BR49" s="115"/>
      <c r="BS49" s="115"/>
      <c r="BT49" s="115"/>
      <c r="BU49" s="115"/>
      <c r="BV49" s="115"/>
      <c r="BW49" s="25"/>
      <c r="BX49" s="13"/>
      <c r="CA49" s="114"/>
    </row>
    <row r="50" spans="1:79" ht="20.100000000000001" customHeight="1" x14ac:dyDescent="0.4">
      <c r="A50" s="117"/>
      <c r="B50" s="123"/>
      <c r="C50" s="123"/>
      <c r="D50" s="123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26">
        <v>46098</v>
      </c>
      <c r="Y50" s="15" t="s">
        <v>146</v>
      </c>
      <c r="AN50" s="127"/>
      <c r="AO50" s="29"/>
      <c r="AY50" s="25"/>
      <c r="AZ50" s="13"/>
      <c r="BE50" s="116"/>
      <c r="BF50" s="123"/>
      <c r="BG50" s="123"/>
      <c r="BH50" s="123"/>
      <c r="BM50" s="115"/>
      <c r="BN50" s="115"/>
      <c r="BO50" s="115"/>
      <c r="BP50" s="115"/>
      <c r="BQ50" s="115"/>
      <c r="BR50" s="115"/>
      <c r="BS50" s="115"/>
      <c r="BT50" s="115"/>
      <c r="BU50" s="115"/>
      <c r="BV50" s="115"/>
      <c r="BW50" s="25"/>
      <c r="BX50" s="13"/>
      <c r="CA50" s="114"/>
    </row>
    <row r="51" spans="1:79" ht="20.100000000000001" customHeight="1" x14ac:dyDescent="0.4">
      <c r="A51" s="117"/>
      <c r="B51" s="123"/>
      <c r="C51" s="123"/>
      <c r="D51" s="123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26">
        <v>46098</v>
      </c>
      <c r="Y51" s="15" t="s">
        <v>146</v>
      </c>
      <c r="AN51" s="127"/>
      <c r="AO51" s="29"/>
      <c r="AY51" s="25"/>
      <c r="AZ51" s="13"/>
      <c r="BE51" s="116"/>
      <c r="BF51" s="123"/>
      <c r="BG51" s="123"/>
      <c r="BH51" s="123"/>
      <c r="BM51" s="115"/>
      <c r="BN51" s="115"/>
      <c r="BO51" s="115"/>
      <c r="BP51" s="115"/>
      <c r="BQ51" s="115"/>
      <c r="BR51" s="115"/>
      <c r="BS51" s="115"/>
      <c r="BT51" s="115"/>
      <c r="BU51" s="115"/>
      <c r="BV51" s="115"/>
      <c r="BW51" s="25"/>
      <c r="BX51" s="13"/>
      <c r="CA51" s="114"/>
    </row>
    <row r="52" spans="1:79" ht="20.100000000000001" customHeight="1" x14ac:dyDescent="0.4">
      <c r="A52" s="117"/>
      <c r="B52" s="123"/>
      <c r="C52" s="123"/>
      <c r="D52" s="123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25">
        <v>46098</v>
      </c>
      <c r="Y52" s="13" t="s">
        <v>146</v>
      </c>
      <c r="AN52" s="127"/>
      <c r="AO52" s="29"/>
      <c r="AY52" s="25"/>
      <c r="AZ52" s="13"/>
      <c r="BE52" s="116"/>
      <c r="BF52" s="123"/>
      <c r="BG52" s="123"/>
      <c r="BH52" s="123"/>
      <c r="BM52" s="115"/>
      <c r="BN52" s="115"/>
      <c r="BO52" s="115"/>
      <c r="BP52" s="115"/>
      <c r="BQ52" s="115"/>
      <c r="BR52" s="115"/>
      <c r="BS52" s="115"/>
      <c r="BT52" s="115"/>
      <c r="BU52" s="115"/>
      <c r="BV52" s="115"/>
      <c r="BW52" s="25"/>
      <c r="BX52" s="13"/>
      <c r="CA52" s="114"/>
    </row>
    <row r="53" spans="1:79" ht="20.100000000000001" customHeight="1" x14ac:dyDescent="0.4">
      <c r="A53" s="117"/>
      <c r="B53" s="123"/>
      <c r="C53" s="123"/>
      <c r="D53" s="123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25">
        <v>46098</v>
      </c>
      <c r="Y53" s="13" t="s">
        <v>146</v>
      </c>
      <c r="AN53" s="127"/>
      <c r="AO53" s="29"/>
      <c r="AY53" s="25"/>
      <c r="AZ53" s="13"/>
      <c r="BE53" s="116"/>
      <c r="BF53" s="123"/>
      <c r="BG53" s="123"/>
      <c r="BH53" s="123"/>
      <c r="BM53" s="115"/>
      <c r="BN53" s="115"/>
      <c r="BO53" s="115"/>
      <c r="BP53" s="115"/>
      <c r="BQ53" s="115"/>
      <c r="BR53" s="115"/>
      <c r="BS53" s="115"/>
      <c r="BT53" s="115"/>
      <c r="BU53" s="115"/>
      <c r="BV53" s="115"/>
      <c r="BW53" s="25"/>
      <c r="BX53" s="13"/>
      <c r="CA53" s="114"/>
    </row>
    <row r="54" spans="1:79" ht="20.100000000000001" customHeight="1" x14ac:dyDescent="0.4">
      <c r="A54" s="117"/>
      <c r="B54" s="123"/>
      <c r="C54" s="123"/>
      <c r="D54" s="123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25">
        <v>46098</v>
      </c>
      <c r="Y54" s="13" t="s">
        <v>147</v>
      </c>
      <c r="AN54" s="127"/>
      <c r="AO54" s="29"/>
      <c r="AY54" s="25"/>
      <c r="AZ54" s="13"/>
      <c r="BE54" s="116"/>
      <c r="BF54" s="123"/>
      <c r="BG54" s="123"/>
      <c r="BH54" s="123"/>
      <c r="BM54" s="115"/>
      <c r="BN54" s="115"/>
      <c r="BO54" s="115"/>
      <c r="BP54" s="115"/>
      <c r="BQ54" s="115"/>
      <c r="BR54" s="115"/>
      <c r="BS54" s="115"/>
      <c r="BT54" s="115"/>
      <c r="BU54" s="115"/>
      <c r="BV54" s="115"/>
      <c r="BW54" s="25"/>
      <c r="BX54" s="13"/>
      <c r="CA54" s="114"/>
    </row>
    <row r="55" spans="1:79" ht="20.100000000000001" customHeight="1" x14ac:dyDescent="0.4">
      <c r="A55" s="117"/>
      <c r="B55" s="123"/>
      <c r="C55" s="123"/>
      <c r="D55" s="123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25">
        <v>46098</v>
      </c>
      <c r="Y55" s="13" t="s">
        <v>147</v>
      </c>
      <c r="AN55" s="127"/>
      <c r="AO55" s="29"/>
      <c r="AY55" s="25"/>
      <c r="AZ55" s="13"/>
      <c r="BE55" s="116"/>
      <c r="BF55" s="123"/>
      <c r="BG55" s="123"/>
      <c r="BH55" s="123"/>
      <c r="BM55" s="115"/>
      <c r="BN55" s="115"/>
      <c r="BO55" s="115"/>
      <c r="BP55" s="115"/>
      <c r="BQ55" s="115"/>
      <c r="BR55" s="115"/>
      <c r="BS55" s="115"/>
      <c r="BT55" s="115"/>
      <c r="BU55" s="115"/>
      <c r="BV55" s="115"/>
      <c r="BW55" s="25"/>
      <c r="BX55" s="13"/>
      <c r="CA55" s="114"/>
    </row>
    <row r="56" spans="1:79" ht="20.100000000000001" customHeight="1" x14ac:dyDescent="0.4">
      <c r="A56" s="117"/>
      <c r="B56" s="123"/>
      <c r="C56" s="123"/>
      <c r="D56" s="123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25">
        <v>46098</v>
      </c>
      <c r="Y56" s="13" t="s">
        <v>146</v>
      </c>
      <c r="AN56" s="127"/>
      <c r="AO56" s="29"/>
      <c r="AY56" s="25"/>
      <c r="AZ56" s="13"/>
      <c r="BE56" s="116"/>
      <c r="BF56" s="123"/>
      <c r="BG56" s="123"/>
      <c r="BH56" s="123"/>
      <c r="BM56" s="115"/>
      <c r="BN56" s="115"/>
      <c r="BO56" s="115"/>
      <c r="BP56" s="115"/>
      <c r="BQ56" s="115"/>
      <c r="BR56" s="115"/>
      <c r="BS56" s="115"/>
      <c r="BT56" s="115"/>
      <c r="BU56" s="115"/>
      <c r="BV56" s="115"/>
      <c r="BW56" s="25"/>
      <c r="BX56" s="13"/>
      <c r="CA56" s="114"/>
    </row>
    <row r="57" spans="1:79" ht="20.100000000000001" customHeight="1" x14ac:dyDescent="0.4">
      <c r="A57" s="117"/>
      <c r="B57" s="123"/>
      <c r="C57" s="123"/>
      <c r="D57" s="123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25">
        <v>46098</v>
      </c>
      <c r="Y57" s="13" t="s">
        <v>146</v>
      </c>
      <c r="AN57" s="127"/>
      <c r="AO57" s="29"/>
      <c r="AY57" s="25"/>
      <c r="AZ57" s="13"/>
      <c r="BE57" s="116"/>
      <c r="BF57" s="123"/>
      <c r="BG57" s="123"/>
      <c r="BH57" s="123"/>
      <c r="BM57" s="115"/>
      <c r="BN57" s="115"/>
      <c r="BO57" s="115"/>
      <c r="BP57" s="115"/>
      <c r="BQ57" s="115"/>
      <c r="BR57" s="115"/>
      <c r="BS57" s="115"/>
      <c r="BT57" s="115"/>
      <c r="BU57" s="115"/>
      <c r="BV57" s="115"/>
      <c r="BW57" s="25"/>
      <c r="BX57" s="13"/>
      <c r="CA57" s="114"/>
    </row>
    <row r="58" spans="1:79" ht="20.100000000000001" customHeight="1" x14ac:dyDescent="0.4">
      <c r="A58" s="117"/>
      <c r="B58" s="123"/>
      <c r="C58" s="123"/>
      <c r="D58" s="123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25">
        <v>46098</v>
      </c>
      <c r="Y58" s="13" t="s">
        <v>146</v>
      </c>
      <c r="AN58" s="127"/>
      <c r="AO58" s="29"/>
      <c r="AY58" s="25"/>
      <c r="AZ58" s="13"/>
      <c r="BE58" s="116"/>
      <c r="BF58" s="123"/>
      <c r="BG58" s="123"/>
      <c r="BH58" s="123"/>
      <c r="BM58" s="115"/>
      <c r="BN58" s="115"/>
      <c r="BO58" s="115"/>
      <c r="BP58" s="115"/>
      <c r="BQ58" s="115"/>
      <c r="BR58" s="115"/>
      <c r="BS58" s="115"/>
      <c r="BT58" s="115"/>
      <c r="BU58" s="115"/>
      <c r="BV58" s="115"/>
      <c r="BW58" s="25"/>
      <c r="BX58" s="13"/>
      <c r="CA58" s="114"/>
    </row>
    <row r="59" spans="1:79" ht="20.100000000000001" customHeight="1" x14ac:dyDescent="0.4">
      <c r="A59" s="117"/>
      <c r="B59" s="123"/>
      <c r="C59" s="123"/>
      <c r="D59" s="123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25">
        <v>46098</v>
      </c>
      <c r="Y59" s="13" t="s">
        <v>148</v>
      </c>
      <c r="AN59" s="127"/>
      <c r="AO59" s="29"/>
      <c r="AY59" s="25"/>
      <c r="AZ59" s="13"/>
      <c r="BE59" s="116"/>
      <c r="BF59" s="123"/>
      <c r="BG59" s="123"/>
      <c r="BH59" s="123"/>
      <c r="BM59" s="115"/>
      <c r="BN59" s="115"/>
      <c r="BO59" s="115"/>
      <c r="BP59" s="115"/>
      <c r="BQ59" s="115"/>
      <c r="BR59" s="115"/>
      <c r="BS59" s="115"/>
      <c r="BT59" s="115"/>
      <c r="BU59" s="115"/>
      <c r="BV59" s="115"/>
      <c r="BW59" s="25"/>
      <c r="BX59" s="13"/>
      <c r="CA59" s="114"/>
    </row>
    <row r="60" spans="1:79" ht="20.100000000000001" customHeight="1" x14ac:dyDescent="0.4">
      <c r="A60" s="117"/>
      <c r="B60" s="123"/>
      <c r="C60" s="123"/>
      <c r="D60" s="123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25">
        <v>46098</v>
      </c>
      <c r="Y60" s="13" t="s">
        <v>146</v>
      </c>
      <c r="AN60" s="127"/>
      <c r="AO60" s="29"/>
      <c r="AY60" s="25"/>
      <c r="AZ60" s="13"/>
      <c r="BE60" s="116"/>
      <c r="BF60" s="123"/>
      <c r="BG60" s="123"/>
      <c r="BH60" s="123"/>
      <c r="BM60" s="115"/>
      <c r="BN60" s="115"/>
      <c r="BO60" s="115"/>
      <c r="BP60" s="115"/>
      <c r="BQ60" s="115"/>
      <c r="BR60" s="115"/>
      <c r="BS60" s="115"/>
      <c r="BT60" s="115"/>
      <c r="BU60" s="115"/>
      <c r="BV60" s="115"/>
      <c r="BW60" s="25"/>
      <c r="BX60" s="13"/>
      <c r="CA60" s="114"/>
    </row>
    <row r="61" spans="1:79" ht="20.100000000000001" customHeight="1" x14ac:dyDescent="0.4">
      <c r="A61" s="117"/>
      <c r="B61" s="123"/>
      <c r="C61" s="123"/>
      <c r="D61" s="123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25">
        <v>46098</v>
      </c>
      <c r="Y61" s="13" t="s">
        <v>147</v>
      </c>
      <c r="AN61" s="127"/>
      <c r="AO61" s="29"/>
      <c r="AY61" s="25"/>
      <c r="AZ61" s="13"/>
      <c r="BE61" s="116"/>
      <c r="BF61" s="123"/>
      <c r="BG61" s="123"/>
      <c r="BH61" s="123"/>
      <c r="BM61" s="115"/>
      <c r="BN61" s="115"/>
      <c r="BO61" s="115"/>
      <c r="BP61" s="115"/>
      <c r="BQ61" s="115"/>
      <c r="BR61" s="115"/>
      <c r="BS61" s="115"/>
      <c r="BT61" s="115"/>
      <c r="BU61" s="115"/>
      <c r="BV61" s="115"/>
      <c r="BW61" s="25"/>
      <c r="BX61" s="13"/>
      <c r="CA61" s="114"/>
    </row>
    <row r="62" spans="1:79" ht="20.100000000000001" customHeight="1" x14ac:dyDescent="0.4">
      <c r="A62" s="117"/>
      <c r="B62" s="123"/>
      <c r="C62" s="123"/>
      <c r="D62" s="123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25">
        <v>46098</v>
      </c>
      <c r="Y62" s="13" t="s">
        <v>147</v>
      </c>
      <c r="AN62" s="127"/>
      <c r="AO62" s="29"/>
      <c r="AY62" s="25"/>
      <c r="AZ62" s="13"/>
      <c r="BE62" s="116"/>
      <c r="BF62" s="123"/>
      <c r="BG62" s="123"/>
      <c r="BH62" s="123"/>
      <c r="BM62" s="115"/>
      <c r="BN62" s="115"/>
      <c r="BO62" s="115"/>
      <c r="BP62" s="115"/>
      <c r="BQ62" s="115"/>
      <c r="BR62" s="115"/>
      <c r="BS62" s="115"/>
      <c r="BT62" s="115"/>
      <c r="BU62" s="115"/>
      <c r="BV62" s="115"/>
      <c r="BW62" s="25"/>
      <c r="BX62" s="13"/>
      <c r="CA62" s="114"/>
    </row>
    <row r="63" spans="1:79" ht="20.100000000000001" customHeight="1" x14ac:dyDescent="0.4">
      <c r="A63" s="117"/>
      <c r="B63" s="123"/>
      <c r="C63" s="123"/>
      <c r="D63" s="123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25">
        <v>46098</v>
      </c>
      <c r="Y63" s="13" t="s">
        <v>147</v>
      </c>
      <c r="AN63" s="127"/>
      <c r="AO63" s="29"/>
      <c r="AY63" s="25"/>
      <c r="AZ63" s="13"/>
      <c r="BE63" s="116"/>
      <c r="BF63" s="123"/>
      <c r="BG63" s="123"/>
      <c r="BH63" s="123"/>
      <c r="BM63" s="115"/>
      <c r="BN63" s="115"/>
      <c r="BO63" s="115"/>
      <c r="BP63" s="115"/>
      <c r="BQ63" s="115"/>
      <c r="BR63" s="115"/>
      <c r="BS63" s="115"/>
      <c r="BT63" s="115"/>
      <c r="BU63" s="115"/>
      <c r="BV63" s="115"/>
      <c r="BW63" s="25"/>
      <c r="BX63" s="13"/>
      <c r="CA63" s="114"/>
    </row>
    <row r="64" spans="1:79" ht="20.100000000000001" customHeight="1" x14ac:dyDescent="0.4">
      <c r="A64" s="117"/>
      <c r="B64" s="123"/>
      <c r="C64" s="123"/>
      <c r="D64" s="123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25">
        <v>46098</v>
      </c>
      <c r="Y64" s="13" t="s">
        <v>146</v>
      </c>
      <c r="AN64" s="127"/>
      <c r="AO64" s="29"/>
      <c r="AY64" s="25"/>
      <c r="AZ64" s="13"/>
      <c r="BE64" s="116"/>
      <c r="BF64" s="123"/>
      <c r="BG64" s="123"/>
      <c r="BH64" s="123"/>
      <c r="BM64" s="115"/>
      <c r="BN64" s="115"/>
      <c r="BO64" s="115"/>
      <c r="BP64" s="115"/>
      <c r="BQ64" s="115"/>
      <c r="BR64" s="115"/>
      <c r="BS64" s="115"/>
      <c r="BT64" s="115"/>
      <c r="BU64" s="115"/>
      <c r="BV64" s="115"/>
      <c r="BW64" s="25"/>
      <c r="BX64" s="13"/>
      <c r="CA64" s="114"/>
    </row>
    <row r="65" spans="1:79" ht="20.100000000000001" customHeight="1" x14ac:dyDescent="0.4">
      <c r="A65" s="117"/>
      <c r="B65" s="123"/>
      <c r="C65" s="123"/>
      <c r="D65" s="123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25">
        <v>46098</v>
      </c>
      <c r="Y65" s="13" t="s">
        <v>146</v>
      </c>
      <c r="AN65" s="127"/>
      <c r="AO65" s="29"/>
      <c r="AY65" s="25"/>
      <c r="AZ65" s="13"/>
      <c r="BE65" s="116"/>
      <c r="BF65" s="123"/>
      <c r="BG65" s="123"/>
      <c r="BH65" s="123"/>
      <c r="BM65" s="115"/>
      <c r="BN65" s="115"/>
      <c r="BO65" s="115"/>
      <c r="BP65" s="115"/>
      <c r="BQ65" s="115"/>
      <c r="BR65" s="115"/>
      <c r="BS65" s="115"/>
      <c r="BT65" s="115"/>
      <c r="BU65" s="115"/>
      <c r="BV65" s="115"/>
      <c r="BW65" s="25"/>
      <c r="BX65" s="13"/>
      <c r="CA65" s="114"/>
    </row>
    <row r="66" spans="1:79" ht="20.100000000000001" customHeight="1" x14ac:dyDescent="0.4">
      <c r="A66" s="117"/>
      <c r="B66" s="123"/>
      <c r="C66" s="123"/>
      <c r="D66" s="123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25">
        <v>46098</v>
      </c>
      <c r="Y66" s="13" t="s">
        <v>147</v>
      </c>
      <c r="AN66" s="127"/>
      <c r="AO66" s="29"/>
      <c r="AY66" s="25"/>
      <c r="AZ66" s="13"/>
      <c r="BE66" s="116"/>
      <c r="BF66" s="123"/>
      <c r="BG66" s="123"/>
      <c r="BH66" s="123"/>
      <c r="BM66" s="115"/>
      <c r="BN66" s="115"/>
      <c r="BO66" s="115"/>
      <c r="BP66" s="115"/>
      <c r="BQ66" s="115"/>
      <c r="BR66" s="115"/>
      <c r="BS66" s="115"/>
      <c r="BT66" s="115"/>
      <c r="BU66" s="115"/>
      <c r="BV66" s="115"/>
      <c r="BW66" s="25"/>
      <c r="BX66" s="13"/>
      <c r="CA66" s="114"/>
    </row>
    <row r="67" spans="1:79" ht="20.100000000000001" customHeight="1" x14ac:dyDescent="0.4">
      <c r="A67" s="117"/>
      <c r="B67" s="123"/>
      <c r="C67" s="123"/>
      <c r="D67" s="123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 t="s">
        <v>403</v>
      </c>
      <c r="X67" s="13">
        <f>SUBTOTAL(3,X50:X66)</f>
        <v>17</v>
      </c>
      <c r="Y67" s="13">
        <f>SUBTOTAL(3,Y50:Y66)</f>
        <v>17</v>
      </c>
      <c r="AN67" s="127"/>
      <c r="AO67" s="29"/>
      <c r="AY67" s="25"/>
      <c r="AZ67" s="13"/>
      <c r="BE67" s="116"/>
      <c r="BF67" s="123"/>
      <c r="BG67" s="123"/>
      <c r="BH67" s="123"/>
      <c r="BM67" s="115"/>
      <c r="BN67" s="115"/>
      <c r="BO67" s="115"/>
      <c r="BP67" s="115"/>
      <c r="BQ67" s="115"/>
      <c r="BR67" s="115"/>
      <c r="BS67" s="115"/>
      <c r="BT67" s="115"/>
      <c r="BU67" s="115"/>
      <c r="BV67" s="115"/>
      <c r="BW67" s="25"/>
      <c r="BX67" s="13"/>
      <c r="CA67" s="114"/>
    </row>
    <row r="68" spans="1:79" ht="20.100000000000001" customHeight="1" x14ac:dyDescent="0.4">
      <c r="A68" s="117"/>
      <c r="B68" s="123"/>
      <c r="C68" s="123"/>
      <c r="D68" s="123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25">
        <v>46099</v>
      </c>
      <c r="Y68" s="13" t="s">
        <v>146</v>
      </c>
      <c r="AN68" s="127"/>
      <c r="AO68" s="29"/>
      <c r="AY68" s="25"/>
      <c r="AZ68" s="13"/>
      <c r="BE68" s="116"/>
      <c r="BF68" s="123"/>
      <c r="BG68" s="123"/>
      <c r="BH68" s="123"/>
      <c r="BM68" s="115"/>
      <c r="BN68" s="115"/>
      <c r="BO68" s="115"/>
      <c r="BP68" s="115"/>
      <c r="BQ68" s="115"/>
      <c r="BR68" s="115"/>
      <c r="BS68" s="115"/>
      <c r="BT68" s="115"/>
      <c r="BU68" s="115"/>
      <c r="BV68" s="115"/>
      <c r="BW68" s="25"/>
      <c r="BX68" s="13"/>
      <c r="CA68" s="114"/>
    </row>
    <row r="69" spans="1:79" ht="20.100000000000001" customHeight="1" x14ac:dyDescent="0.4">
      <c r="A69" s="117"/>
      <c r="B69" s="123"/>
      <c r="C69" s="123"/>
      <c r="D69" s="123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25">
        <v>46099</v>
      </c>
      <c r="Y69" s="15" t="s">
        <v>146</v>
      </c>
      <c r="AN69" s="127"/>
      <c r="AO69" s="29"/>
      <c r="AY69" s="25"/>
      <c r="AZ69" s="13"/>
      <c r="BE69" s="116"/>
      <c r="BF69" s="123"/>
      <c r="BG69" s="123"/>
      <c r="BH69" s="123"/>
      <c r="BM69" s="115"/>
      <c r="BN69" s="115"/>
      <c r="BO69" s="115"/>
      <c r="BP69" s="115"/>
      <c r="BQ69" s="115"/>
      <c r="BR69" s="115"/>
      <c r="BS69" s="115"/>
      <c r="BT69" s="115"/>
      <c r="BU69" s="115"/>
      <c r="BV69" s="115"/>
      <c r="BW69" s="25"/>
      <c r="BX69" s="13"/>
      <c r="CA69" s="114"/>
    </row>
    <row r="70" spans="1:79" ht="20.100000000000001" customHeight="1" x14ac:dyDescent="0.4">
      <c r="A70" s="117"/>
      <c r="B70" s="123"/>
      <c r="C70" s="123"/>
      <c r="D70" s="123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25">
        <v>46099</v>
      </c>
      <c r="Y70" s="13" t="s">
        <v>146</v>
      </c>
      <c r="AN70" s="127"/>
      <c r="AO70" s="29"/>
      <c r="AY70" s="25"/>
      <c r="AZ70" s="13"/>
      <c r="BE70" s="116"/>
      <c r="BF70" s="123"/>
      <c r="BG70" s="123"/>
      <c r="BH70" s="123"/>
      <c r="BM70" s="115"/>
      <c r="BN70" s="115"/>
      <c r="BO70" s="115"/>
      <c r="BP70" s="115"/>
      <c r="BQ70" s="115"/>
      <c r="BR70" s="115"/>
      <c r="BS70" s="115"/>
      <c r="BT70" s="115"/>
      <c r="BU70" s="115"/>
      <c r="BV70" s="115"/>
      <c r="BW70" s="25"/>
      <c r="BX70" s="13"/>
      <c r="CA70" s="114"/>
    </row>
    <row r="71" spans="1:79" ht="20.100000000000001" customHeight="1" x14ac:dyDescent="0.4">
      <c r="A71" s="117"/>
      <c r="B71" s="123"/>
      <c r="C71" s="123"/>
      <c r="D71" s="123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25">
        <v>46099</v>
      </c>
      <c r="Y71" s="13" t="s">
        <v>148</v>
      </c>
      <c r="AN71" s="127"/>
      <c r="AO71" s="29"/>
      <c r="AY71" s="25"/>
      <c r="AZ71" s="13"/>
      <c r="BE71" s="116"/>
      <c r="BF71" s="123"/>
      <c r="BG71" s="123"/>
      <c r="BH71" s="123"/>
      <c r="BM71" s="115"/>
      <c r="BN71" s="115"/>
      <c r="BO71" s="115"/>
      <c r="BP71" s="115"/>
      <c r="BQ71" s="115"/>
      <c r="BR71" s="115"/>
      <c r="BS71" s="115"/>
      <c r="BT71" s="115"/>
      <c r="BU71" s="115"/>
      <c r="BV71" s="115"/>
      <c r="BW71" s="25"/>
      <c r="BX71" s="13"/>
      <c r="CA71" s="114"/>
    </row>
    <row r="72" spans="1:79" ht="20.100000000000001" customHeight="1" x14ac:dyDescent="0.4">
      <c r="A72" s="117"/>
      <c r="B72" s="123"/>
      <c r="C72" s="123"/>
      <c r="D72" s="123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25">
        <v>46099</v>
      </c>
      <c r="Y72" s="13" t="s">
        <v>147</v>
      </c>
      <c r="AN72" s="127"/>
      <c r="AO72" s="29"/>
      <c r="AY72" s="25"/>
      <c r="AZ72" s="13"/>
      <c r="BE72" s="116"/>
      <c r="BF72" s="123"/>
      <c r="BG72" s="123"/>
      <c r="BH72" s="123"/>
      <c r="BM72" s="115"/>
      <c r="BN72" s="115"/>
      <c r="BO72" s="115"/>
      <c r="BP72" s="115"/>
      <c r="BQ72" s="115"/>
      <c r="BR72" s="115"/>
      <c r="BS72" s="115"/>
      <c r="BT72" s="115"/>
      <c r="BU72" s="115"/>
      <c r="BV72" s="115"/>
      <c r="BW72" s="25"/>
      <c r="BX72" s="13"/>
      <c r="CA72" s="114"/>
    </row>
    <row r="73" spans="1:79" ht="20.100000000000001" customHeight="1" x14ac:dyDescent="0.4">
      <c r="A73" s="117"/>
      <c r="B73" s="123"/>
      <c r="C73" s="123"/>
      <c r="D73" s="123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25">
        <v>46099</v>
      </c>
      <c r="Y73" s="13" t="s">
        <v>146</v>
      </c>
      <c r="AN73" s="127"/>
      <c r="AO73" s="29"/>
      <c r="AY73" s="25"/>
      <c r="AZ73" s="13"/>
      <c r="BE73" s="116"/>
      <c r="BF73" s="123"/>
      <c r="BG73" s="123"/>
      <c r="BH73" s="123"/>
      <c r="BM73" s="115"/>
      <c r="BN73" s="115"/>
      <c r="BO73" s="115"/>
      <c r="BP73" s="115"/>
      <c r="BQ73" s="115"/>
      <c r="BR73" s="115"/>
      <c r="BS73" s="115"/>
      <c r="BT73" s="115"/>
      <c r="BU73" s="115"/>
      <c r="BV73" s="115"/>
      <c r="BW73" s="25"/>
      <c r="BX73" s="13"/>
      <c r="CA73" s="114"/>
    </row>
    <row r="74" spans="1:79" ht="20.100000000000001" customHeight="1" x14ac:dyDescent="0.4">
      <c r="A74" s="117"/>
      <c r="B74" s="123"/>
      <c r="C74" s="123"/>
      <c r="D74" s="123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25">
        <v>46099</v>
      </c>
      <c r="Y74" s="13" t="s">
        <v>146</v>
      </c>
      <c r="AN74" s="127"/>
      <c r="AO74" s="29"/>
      <c r="AY74" s="25"/>
      <c r="AZ74" s="13"/>
      <c r="BE74" s="116"/>
      <c r="BF74" s="123"/>
      <c r="BG74" s="123"/>
      <c r="BH74" s="123"/>
      <c r="BM74" s="115"/>
      <c r="BN74" s="115"/>
      <c r="BO74" s="115"/>
      <c r="BP74" s="115"/>
      <c r="BQ74" s="115"/>
      <c r="BR74" s="115"/>
      <c r="BS74" s="115"/>
      <c r="BT74" s="115"/>
      <c r="BU74" s="115"/>
      <c r="BV74" s="115"/>
      <c r="BW74" s="25"/>
      <c r="BX74" s="13"/>
      <c r="CA74" s="114"/>
    </row>
    <row r="75" spans="1:79" ht="20.100000000000001" customHeight="1" x14ac:dyDescent="0.4">
      <c r="A75" s="117"/>
      <c r="B75" s="123"/>
      <c r="C75" s="123"/>
      <c r="D75" s="123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25">
        <v>46099</v>
      </c>
      <c r="Y75" s="13" t="s">
        <v>146</v>
      </c>
      <c r="AN75" s="127"/>
      <c r="AO75" s="29"/>
      <c r="AY75" s="25"/>
      <c r="AZ75" s="13"/>
      <c r="BE75" s="116"/>
      <c r="BF75" s="123"/>
      <c r="BG75" s="123"/>
      <c r="BH75" s="123"/>
      <c r="BM75" s="115"/>
      <c r="BN75" s="115"/>
      <c r="BO75" s="115"/>
      <c r="BP75" s="115"/>
      <c r="BQ75" s="115"/>
      <c r="BR75" s="115"/>
      <c r="BS75" s="115"/>
      <c r="BT75" s="115"/>
      <c r="BU75" s="115"/>
      <c r="BV75" s="115"/>
      <c r="BW75" s="25"/>
      <c r="BX75" s="13"/>
      <c r="CA75" s="114"/>
    </row>
    <row r="76" spans="1:79" ht="20.100000000000001" customHeight="1" x14ac:dyDescent="0.4">
      <c r="A76" s="117"/>
      <c r="B76" s="123"/>
      <c r="C76" s="123"/>
      <c r="D76" s="123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 t="s">
        <v>404</v>
      </c>
      <c r="X76" s="13">
        <f>SUBTOTAL(3,X68:X75)</f>
        <v>8</v>
      </c>
      <c r="Y76" s="13">
        <f>SUBTOTAL(3,Y68:Y75)</f>
        <v>8</v>
      </c>
      <c r="AN76" s="127"/>
      <c r="AO76" s="29"/>
      <c r="AY76" s="25"/>
      <c r="AZ76" s="13"/>
      <c r="BE76" s="116"/>
      <c r="BF76" s="123"/>
      <c r="BG76" s="123"/>
      <c r="BH76" s="123"/>
      <c r="BM76" s="115"/>
      <c r="BN76" s="115"/>
      <c r="BO76" s="115"/>
      <c r="BP76" s="115"/>
      <c r="BQ76" s="115"/>
      <c r="BR76" s="115"/>
      <c r="BS76" s="115"/>
      <c r="BT76" s="115"/>
      <c r="BU76" s="115"/>
      <c r="BV76" s="115"/>
      <c r="BW76" s="25"/>
      <c r="BX76" s="13"/>
      <c r="CA76" s="114"/>
    </row>
    <row r="77" spans="1:79" ht="20.100000000000001" customHeight="1" x14ac:dyDescent="0.4">
      <c r="A77" s="117"/>
      <c r="B77" s="123"/>
      <c r="C77" s="123"/>
      <c r="D77" s="123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25">
        <v>46100</v>
      </c>
      <c r="Y77" s="13" t="s">
        <v>147</v>
      </c>
      <c r="AN77" s="127"/>
      <c r="AO77" s="29"/>
      <c r="AY77" s="25"/>
      <c r="AZ77" s="13"/>
      <c r="BE77" s="116"/>
      <c r="BF77" s="123"/>
      <c r="BG77" s="123"/>
      <c r="BH77" s="123"/>
      <c r="BM77" s="115"/>
      <c r="BN77" s="115"/>
      <c r="BO77" s="115"/>
      <c r="BP77" s="115"/>
      <c r="BQ77" s="115"/>
      <c r="BR77" s="115"/>
      <c r="BS77" s="115"/>
      <c r="BT77" s="115"/>
      <c r="BU77" s="115"/>
      <c r="BV77" s="115"/>
      <c r="BW77" s="25"/>
      <c r="BX77" s="13"/>
      <c r="CA77" s="114"/>
    </row>
    <row r="78" spans="1:79" ht="20.100000000000001" customHeight="1" x14ac:dyDescent="0.4">
      <c r="A78" s="117"/>
      <c r="B78" s="123"/>
      <c r="C78" s="123"/>
      <c r="D78" s="123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 t="s">
        <v>405</v>
      </c>
      <c r="X78" s="13">
        <f>SUBTOTAL(3,X77:X77)</f>
        <v>1</v>
      </c>
      <c r="Y78" s="13">
        <f>SUBTOTAL(3,Y77:Y77)</f>
        <v>1</v>
      </c>
      <c r="AN78" s="127"/>
      <c r="AO78" s="29"/>
      <c r="AY78" s="25"/>
      <c r="AZ78" s="13"/>
      <c r="BE78" s="116"/>
      <c r="BF78" s="123"/>
      <c r="BG78" s="123"/>
      <c r="BH78" s="123"/>
      <c r="BM78" s="115"/>
      <c r="BN78" s="115"/>
      <c r="BO78" s="115"/>
      <c r="BP78" s="115"/>
      <c r="BQ78" s="115"/>
      <c r="BR78" s="115"/>
      <c r="BS78" s="115"/>
      <c r="BT78" s="115"/>
      <c r="BU78" s="115"/>
      <c r="BV78" s="115"/>
      <c r="BW78" s="25"/>
      <c r="BX78" s="13"/>
      <c r="CA78" s="114"/>
    </row>
    <row r="79" spans="1:79" ht="20.100000000000001" customHeight="1" x14ac:dyDescent="0.4">
      <c r="A79" s="117"/>
      <c r="B79" s="123"/>
      <c r="C79" s="123"/>
      <c r="D79" s="123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25">
        <v>46101</v>
      </c>
      <c r="Y79" s="13" t="s">
        <v>147</v>
      </c>
      <c r="AN79" s="127"/>
      <c r="AO79" s="29"/>
      <c r="AY79" s="25"/>
      <c r="AZ79" s="13"/>
      <c r="BE79" s="116"/>
      <c r="BF79" s="123"/>
      <c r="BG79" s="123"/>
      <c r="BH79" s="123"/>
      <c r="BM79" s="115"/>
      <c r="BN79" s="115"/>
      <c r="BO79" s="115"/>
      <c r="BP79" s="115"/>
      <c r="BQ79" s="115"/>
      <c r="BR79" s="115"/>
      <c r="BS79" s="115"/>
      <c r="BT79" s="115"/>
      <c r="BU79" s="115"/>
      <c r="BV79" s="115"/>
      <c r="BW79" s="25"/>
      <c r="BX79" s="13"/>
      <c r="CA79" s="114"/>
    </row>
    <row r="80" spans="1:79" ht="20.100000000000001" customHeight="1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25">
        <v>46101</v>
      </c>
      <c r="Y80" s="13" t="s">
        <v>147</v>
      </c>
      <c r="AN80" s="127"/>
      <c r="AO80" s="29"/>
      <c r="AY80" s="25"/>
      <c r="AZ80" s="13"/>
      <c r="BE80" s="116"/>
      <c r="BF80" s="123"/>
      <c r="BG80" s="123"/>
      <c r="BH80" s="123"/>
      <c r="BM80" s="115"/>
      <c r="BN80" s="115"/>
      <c r="BO80" s="115"/>
      <c r="BP80" s="115"/>
      <c r="BQ80" s="115"/>
      <c r="BR80" s="115"/>
      <c r="BS80" s="115"/>
      <c r="BT80" s="115"/>
      <c r="BU80" s="115"/>
      <c r="BV80" s="115"/>
      <c r="BW80" s="25"/>
      <c r="BX80" s="13"/>
      <c r="CA80" s="114"/>
    </row>
    <row r="81" spans="1:79" ht="20.100000000000001" customHeight="1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 t="s">
        <v>406</v>
      </c>
      <c r="X81" s="13">
        <f>SUBTOTAL(3,X79:X80)</f>
        <v>2</v>
      </c>
      <c r="Y81" s="13">
        <f>SUBTOTAL(3,Y79:Y80)</f>
        <v>2</v>
      </c>
      <c r="AN81" s="127"/>
      <c r="AO81" s="29"/>
      <c r="AY81" s="25"/>
      <c r="AZ81" s="13"/>
      <c r="BE81" s="116"/>
      <c r="BF81" s="123"/>
      <c r="BG81" s="123"/>
      <c r="BH81" s="123"/>
      <c r="BM81" s="115"/>
      <c r="BN81" s="115"/>
      <c r="BO81" s="115"/>
      <c r="BP81" s="115"/>
      <c r="BQ81" s="115"/>
      <c r="BR81" s="115"/>
      <c r="BS81" s="115"/>
      <c r="BT81" s="115"/>
      <c r="BU81" s="115"/>
      <c r="BV81" s="115"/>
      <c r="BW81" s="25"/>
      <c r="BX81" s="13"/>
      <c r="CA81" s="114"/>
    </row>
    <row r="82" spans="1:79" ht="20.100000000000001" customHeight="1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25">
        <v>46102</v>
      </c>
      <c r="Y82" s="13" t="s">
        <v>147</v>
      </c>
      <c r="AN82" s="127"/>
      <c r="AO82" s="29"/>
      <c r="AY82" s="25"/>
      <c r="AZ82" s="13"/>
      <c r="BE82" s="116"/>
      <c r="BF82" s="123"/>
      <c r="BG82" s="123"/>
      <c r="BH82" s="123"/>
      <c r="BM82" s="115"/>
      <c r="BN82" s="115"/>
      <c r="BO82" s="115"/>
      <c r="BP82" s="115"/>
      <c r="BQ82" s="115"/>
      <c r="BR82" s="115"/>
      <c r="BS82" s="115"/>
      <c r="BT82" s="115"/>
      <c r="BU82" s="115"/>
      <c r="BV82" s="115"/>
      <c r="BW82" s="25"/>
      <c r="BX82" s="13"/>
      <c r="CA82" s="114"/>
    </row>
    <row r="83" spans="1:79" ht="20.100000000000001" customHeight="1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25">
        <v>46102</v>
      </c>
      <c r="Y83" s="13" t="s">
        <v>146</v>
      </c>
      <c r="AN83" s="127"/>
      <c r="AO83" s="29"/>
      <c r="AY83" s="25"/>
      <c r="AZ83" s="13"/>
      <c r="BE83" s="116"/>
      <c r="BF83" s="123"/>
      <c r="BG83" s="123"/>
      <c r="BH83" s="123"/>
      <c r="BM83" s="115"/>
      <c r="BN83" s="115"/>
      <c r="BO83" s="115"/>
      <c r="BP83" s="115"/>
      <c r="BQ83" s="115"/>
      <c r="BR83" s="115"/>
      <c r="BS83" s="115"/>
      <c r="BT83" s="115"/>
      <c r="BU83" s="115"/>
      <c r="BV83" s="115"/>
      <c r="BW83" s="25"/>
      <c r="BX83" s="13"/>
      <c r="CA83" s="114"/>
    </row>
    <row r="84" spans="1:79" ht="20.100000000000001" customHeight="1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25">
        <v>46102</v>
      </c>
      <c r="Y84" s="13" t="s">
        <v>148</v>
      </c>
      <c r="AN84" s="127"/>
      <c r="AO84" s="29"/>
      <c r="AY84" s="25"/>
      <c r="AZ84" s="13"/>
      <c r="BE84" s="116"/>
      <c r="BF84" s="123"/>
      <c r="BG84" s="123"/>
      <c r="BH84" s="123"/>
      <c r="BM84" s="115"/>
      <c r="BN84" s="115"/>
      <c r="BO84" s="115"/>
      <c r="BP84" s="115"/>
      <c r="BQ84" s="115"/>
      <c r="BR84" s="115"/>
      <c r="BS84" s="115"/>
      <c r="BT84" s="115"/>
      <c r="BU84" s="115"/>
      <c r="BV84" s="115"/>
      <c r="BW84" s="25"/>
      <c r="BX84" s="13"/>
      <c r="CA84" s="114"/>
    </row>
    <row r="85" spans="1:79" ht="20.100000000000001" customHeight="1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25">
        <v>46102</v>
      </c>
      <c r="Y85" s="15" t="s">
        <v>147</v>
      </c>
      <c r="AN85" s="127"/>
      <c r="AO85" s="29"/>
      <c r="AY85" s="25"/>
      <c r="AZ85" s="13"/>
      <c r="BE85" s="116"/>
      <c r="BF85" s="123"/>
      <c r="BG85" s="123"/>
      <c r="BH85" s="123"/>
      <c r="BM85" s="115"/>
      <c r="BN85" s="115"/>
      <c r="BO85" s="115"/>
      <c r="BP85" s="115"/>
      <c r="BQ85" s="115"/>
      <c r="BR85" s="115"/>
      <c r="BS85" s="115"/>
      <c r="BT85" s="115"/>
      <c r="BU85" s="115"/>
      <c r="BV85" s="115"/>
      <c r="BW85" s="25"/>
      <c r="BX85" s="13"/>
      <c r="CA85" s="114"/>
    </row>
    <row r="86" spans="1:79" ht="20.100000000000001" customHeight="1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25">
        <v>46102</v>
      </c>
      <c r="Y86" s="15" t="s">
        <v>146</v>
      </c>
      <c r="AN86" s="127"/>
      <c r="AO86" s="29"/>
      <c r="AY86" s="25"/>
      <c r="AZ86" s="13"/>
      <c r="BE86" s="116"/>
      <c r="BF86" s="123"/>
      <c r="BG86" s="123"/>
      <c r="BH86" s="123"/>
      <c r="BM86" s="115"/>
      <c r="BN86" s="115"/>
      <c r="BO86" s="115"/>
      <c r="BP86" s="115"/>
      <c r="BQ86" s="115"/>
      <c r="BR86" s="115"/>
      <c r="BS86" s="115"/>
      <c r="BT86" s="115"/>
      <c r="BU86" s="115"/>
      <c r="BV86" s="115"/>
      <c r="BW86" s="25"/>
      <c r="BX86" s="13"/>
      <c r="CA86" s="114"/>
    </row>
    <row r="87" spans="1:79" ht="20.100000000000001" customHeight="1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25">
        <v>46102</v>
      </c>
      <c r="Y87" s="15" t="s">
        <v>147</v>
      </c>
      <c r="AN87" s="127"/>
      <c r="AO87" s="29"/>
      <c r="AY87" s="25"/>
      <c r="AZ87" s="13"/>
      <c r="BE87" s="116"/>
      <c r="BF87" s="123"/>
      <c r="BG87" s="123"/>
      <c r="BH87" s="123"/>
      <c r="BM87" s="115"/>
      <c r="BN87" s="115"/>
      <c r="BO87" s="115"/>
      <c r="BP87" s="115"/>
      <c r="BQ87" s="115"/>
      <c r="BR87" s="115"/>
      <c r="BS87" s="115"/>
      <c r="BT87" s="115"/>
      <c r="BU87" s="115"/>
      <c r="BV87" s="115"/>
      <c r="BW87" s="25"/>
      <c r="BX87" s="13"/>
      <c r="CA87" s="114"/>
    </row>
    <row r="88" spans="1:79" ht="20.100000000000001" customHeight="1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25">
        <v>46102</v>
      </c>
      <c r="Y88" s="13" t="s">
        <v>147</v>
      </c>
      <c r="AN88" s="127"/>
      <c r="AO88" s="29"/>
      <c r="AY88" s="25"/>
      <c r="AZ88" s="13"/>
      <c r="BE88" s="116"/>
      <c r="BF88" s="123"/>
      <c r="BG88" s="123"/>
      <c r="BH88" s="123"/>
      <c r="BM88" s="115"/>
      <c r="BN88" s="115"/>
      <c r="BO88" s="115"/>
      <c r="BP88" s="115"/>
      <c r="BQ88" s="115"/>
      <c r="BR88" s="115"/>
      <c r="BS88" s="115"/>
      <c r="BT88" s="115"/>
      <c r="BU88" s="115"/>
      <c r="BV88" s="115"/>
      <c r="BW88" s="25"/>
      <c r="BX88" s="13"/>
      <c r="CA88" s="114"/>
    </row>
    <row r="89" spans="1:79" ht="20.100000000000001" customHeight="1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 t="s">
        <v>407</v>
      </c>
      <c r="X89" s="20">
        <f>SUBTOTAL(3,X82:X88)</f>
        <v>7</v>
      </c>
      <c r="Y89" s="13">
        <f>SUBTOTAL(3,Y82:Y88)</f>
        <v>7</v>
      </c>
      <c r="AN89" s="127"/>
      <c r="AO89" s="29"/>
      <c r="AY89" s="25"/>
      <c r="AZ89" s="13"/>
      <c r="BE89" s="116"/>
      <c r="BF89" s="123"/>
      <c r="BG89" s="123"/>
      <c r="BH89" s="123"/>
      <c r="BM89" s="115"/>
      <c r="BN89" s="115"/>
      <c r="BO89" s="115"/>
      <c r="BP89" s="115"/>
      <c r="BQ89" s="115"/>
      <c r="BR89" s="115"/>
      <c r="BS89" s="115"/>
      <c r="BT89" s="115"/>
      <c r="BU89" s="115"/>
      <c r="BV89" s="115"/>
      <c r="BW89" s="25"/>
      <c r="BX89" s="13"/>
      <c r="CA89" s="114"/>
    </row>
    <row r="90" spans="1:79" ht="20.100000000000001" customHeight="1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26">
        <v>46103</v>
      </c>
      <c r="Y90" s="13" t="s">
        <v>147</v>
      </c>
      <c r="AN90" s="127"/>
      <c r="AO90" s="29"/>
      <c r="AY90" s="25"/>
      <c r="AZ90" s="13"/>
      <c r="BE90" s="116"/>
      <c r="BF90" s="123"/>
      <c r="BG90" s="123"/>
      <c r="BH90" s="123"/>
      <c r="BM90" s="115"/>
      <c r="BN90" s="115"/>
      <c r="BO90" s="115"/>
      <c r="BP90" s="115"/>
      <c r="BQ90" s="115"/>
      <c r="BR90" s="115"/>
      <c r="BS90" s="115"/>
      <c r="BT90" s="115"/>
      <c r="BU90" s="115"/>
      <c r="BV90" s="115"/>
      <c r="BW90" s="25"/>
      <c r="BX90" s="13"/>
      <c r="CA90" s="114"/>
    </row>
    <row r="91" spans="1:79" ht="20.100000000000001" customHeight="1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26">
        <v>46103</v>
      </c>
      <c r="Y91" s="13" t="s">
        <v>147</v>
      </c>
      <c r="AN91" s="127"/>
      <c r="AO91" s="29"/>
      <c r="AY91" s="25"/>
      <c r="AZ91" s="13"/>
      <c r="BE91" s="116"/>
      <c r="BF91" s="123"/>
      <c r="BG91" s="123"/>
      <c r="BH91" s="123"/>
      <c r="BM91" s="115"/>
      <c r="BN91" s="115"/>
      <c r="BO91" s="115"/>
      <c r="BP91" s="115"/>
      <c r="BQ91" s="115"/>
      <c r="BR91" s="115"/>
      <c r="BS91" s="115"/>
      <c r="BT91" s="115"/>
      <c r="BU91" s="115"/>
      <c r="BV91" s="115"/>
      <c r="BW91" s="25"/>
      <c r="BX91" s="13"/>
      <c r="CA91" s="114"/>
    </row>
    <row r="92" spans="1:79" ht="20.100000000000001" customHeight="1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26">
        <v>46103</v>
      </c>
      <c r="Y92" s="13" t="s">
        <v>146</v>
      </c>
      <c r="AN92" s="127"/>
      <c r="AO92" s="29"/>
      <c r="AY92" s="25"/>
      <c r="AZ92" s="13"/>
      <c r="BE92" s="116"/>
      <c r="BF92" s="123"/>
      <c r="BG92" s="123"/>
      <c r="BH92" s="123"/>
      <c r="BM92" s="115"/>
      <c r="BN92" s="115"/>
      <c r="BO92" s="115"/>
      <c r="BP92" s="115"/>
      <c r="BQ92" s="115"/>
      <c r="BR92" s="115"/>
      <c r="BS92" s="115"/>
      <c r="BT92" s="115"/>
      <c r="BU92" s="115"/>
      <c r="BV92" s="115"/>
      <c r="BW92" s="25"/>
      <c r="BX92" s="13"/>
      <c r="CA92" s="114"/>
    </row>
    <row r="93" spans="1:79" ht="20.100000000000001" customHeight="1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26">
        <v>46103</v>
      </c>
      <c r="Y93" s="13" t="s">
        <v>146</v>
      </c>
      <c r="AN93" s="127"/>
      <c r="AO93" s="29"/>
      <c r="AY93" s="25"/>
      <c r="AZ93" s="13"/>
      <c r="BE93" s="116"/>
      <c r="BF93" s="123"/>
      <c r="BG93" s="123"/>
      <c r="BH93" s="123"/>
      <c r="BM93" s="115"/>
      <c r="BN93" s="115"/>
      <c r="BO93" s="115"/>
      <c r="BP93" s="115"/>
      <c r="BQ93" s="115"/>
      <c r="BR93" s="115"/>
      <c r="BS93" s="115"/>
      <c r="BT93" s="115"/>
      <c r="BU93" s="115"/>
      <c r="BV93" s="115"/>
      <c r="BW93" s="25"/>
      <c r="BX93" s="13"/>
      <c r="CA93" s="114"/>
    </row>
    <row r="94" spans="1:79" ht="20.100000000000001" customHeight="1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26">
        <v>46103</v>
      </c>
      <c r="Y94" s="13" t="s">
        <v>146</v>
      </c>
      <c r="AN94" s="127"/>
      <c r="AO94" s="29"/>
      <c r="AY94" s="25"/>
      <c r="AZ94" s="13"/>
      <c r="BE94" s="116"/>
      <c r="BF94" s="123"/>
      <c r="BG94" s="123"/>
      <c r="BH94" s="123"/>
      <c r="BM94" s="115"/>
      <c r="BN94" s="115"/>
      <c r="BO94" s="115"/>
      <c r="BP94" s="115"/>
      <c r="BQ94" s="115"/>
      <c r="BR94" s="115"/>
      <c r="BS94" s="115"/>
      <c r="BT94" s="115"/>
      <c r="BU94" s="115"/>
      <c r="BV94" s="115"/>
      <c r="BW94" s="25"/>
      <c r="BX94" s="13"/>
      <c r="CA94" s="114"/>
    </row>
    <row r="95" spans="1:79" ht="20.100000000000001" customHeight="1" x14ac:dyDescent="0.4">
      <c r="A95" s="117"/>
      <c r="B95" s="123"/>
      <c r="C95" s="123"/>
      <c r="D95" s="123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26">
        <v>46103</v>
      </c>
      <c r="Y95" s="13" t="s">
        <v>146</v>
      </c>
      <c r="AN95" s="127"/>
      <c r="AO95" s="29"/>
      <c r="AY95" s="25"/>
      <c r="AZ95" s="13"/>
      <c r="BE95" s="116"/>
      <c r="BF95" s="123"/>
      <c r="BG95" s="123"/>
      <c r="BH95" s="123"/>
      <c r="BM95" s="115"/>
      <c r="BN95" s="115"/>
      <c r="BO95" s="115"/>
      <c r="BP95" s="115"/>
      <c r="BQ95" s="115"/>
      <c r="BR95" s="115"/>
      <c r="BS95" s="115"/>
      <c r="BT95" s="115"/>
      <c r="BU95" s="115"/>
      <c r="BV95" s="115"/>
      <c r="BW95" s="25"/>
      <c r="BX95" s="13"/>
      <c r="CA95" s="114"/>
    </row>
    <row r="96" spans="1:79" ht="20.100000000000001" customHeight="1" x14ac:dyDescent="0.4">
      <c r="A96" s="117"/>
      <c r="B96" s="123"/>
      <c r="C96" s="123"/>
      <c r="D96" s="123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26">
        <v>46103</v>
      </c>
      <c r="Y96" s="13" t="s">
        <v>146</v>
      </c>
      <c r="AN96" s="127"/>
      <c r="AO96" s="29"/>
      <c r="AY96" s="25"/>
      <c r="AZ96" s="13"/>
      <c r="BE96" s="116"/>
      <c r="BF96" s="123"/>
      <c r="BG96" s="123"/>
      <c r="BH96" s="123"/>
      <c r="BM96" s="115"/>
      <c r="BN96" s="115"/>
      <c r="BO96" s="115"/>
      <c r="BP96" s="115"/>
      <c r="BQ96" s="115"/>
      <c r="BR96" s="115"/>
      <c r="BS96" s="115"/>
      <c r="BT96" s="115"/>
      <c r="BU96" s="115"/>
      <c r="BV96" s="115"/>
      <c r="BW96" s="25"/>
      <c r="BX96" s="13"/>
      <c r="CA96" s="114"/>
    </row>
    <row r="97" spans="1:79" ht="20.100000000000001" customHeight="1" x14ac:dyDescent="0.4">
      <c r="A97" s="117"/>
      <c r="B97" s="123"/>
      <c r="C97" s="123"/>
      <c r="D97" s="123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26">
        <v>46103</v>
      </c>
      <c r="Y97" s="13" t="s">
        <v>146</v>
      </c>
      <c r="AN97" s="127"/>
      <c r="AO97" s="29"/>
      <c r="AY97" s="25"/>
      <c r="AZ97" s="13"/>
      <c r="BE97" s="116"/>
      <c r="BF97" s="123"/>
      <c r="BG97" s="123"/>
      <c r="BH97" s="123"/>
      <c r="BM97" s="115"/>
      <c r="BN97" s="115"/>
      <c r="BO97" s="115"/>
      <c r="BP97" s="115"/>
      <c r="BQ97" s="115"/>
      <c r="BR97" s="115"/>
      <c r="BS97" s="115"/>
      <c r="BT97" s="115"/>
      <c r="BU97" s="115"/>
      <c r="BV97" s="115"/>
      <c r="BW97" s="25"/>
      <c r="BX97" s="13"/>
      <c r="CA97" s="114"/>
    </row>
    <row r="98" spans="1:79" ht="20.100000000000001" customHeight="1" x14ac:dyDescent="0.4">
      <c r="A98" s="117"/>
      <c r="B98" s="123"/>
      <c r="C98" s="123"/>
      <c r="D98" s="123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26">
        <v>46103</v>
      </c>
      <c r="Y98" s="13" t="s">
        <v>146</v>
      </c>
      <c r="AN98" s="127"/>
      <c r="AO98" s="29"/>
      <c r="AY98" s="25"/>
      <c r="AZ98" s="13"/>
      <c r="BE98" s="116"/>
      <c r="BF98" s="123"/>
      <c r="BG98" s="123"/>
      <c r="BH98" s="123"/>
      <c r="BM98" s="115"/>
      <c r="BN98" s="115"/>
      <c r="BO98" s="115"/>
      <c r="BP98" s="115"/>
      <c r="BQ98" s="115"/>
      <c r="BR98" s="115"/>
      <c r="BS98" s="115"/>
      <c r="BT98" s="115"/>
      <c r="BU98" s="115"/>
      <c r="BV98" s="115"/>
      <c r="BW98" s="25"/>
      <c r="BX98" s="13"/>
      <c r="CA98" s="114"/>
    </row>
    <row r="99" spans="1:79" ht="20.100000000000001" customHeight="1" x14ac:dyDescent="0.4">
      <c r="A99" s="117"/>
      <c r="B99" s="123"/>
      <c r="C99" s="123"/>
      <c r="D99" s="123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26">
        <v>46103</v>
      </c>
      <c r="Y99" s="13" t="s">
        <v>146</v>
      </c>
      <c r="AN99" s="127"/>
      <c r="AO99" s="29"/>
      <c r="AY99" s="25"/>
      <c r="AZ99" s="13"/>
      <c r="BE99" s="116"/>
      <c r="BF99" s="123"/>
      <c r="BG99" s="123"/>
      <c r="BH99" s="123"/>
      <c r="BM99" s="115"/>
      <c r="BN99" s="115"/>
      <c r="BO99" s="115"/>
      <c r="BP99" s="115"/>
      <c r="BQ99" s="115"/>
      <c r="BR99" s="115"/>
      <c r="BS99" s="115"/>
      <c r="BT99" s="115"/>
      <c r="BU99" s="115"/>
      <c r="BV99" s="115"/>
      <c r="BW99" s="25"/>
      <c r="BX99" s="13"/>
      <c r="CA99" s="114"/>
    </row>
    <row r="100" spans="1:79" ht="20.100000000000001" customHeight="1" x14ac:dyDescent="0.4">
      <c r="A100" s="117"/>
      <c r="B100" s="123"/>
      <c r="C100" s="123"/>
      <c r="D100" s="123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26">
        <v>46103</v>
      </c>
      <c r="Y100" s="13" t="s">
        <v>146</v>
      </c>
      <c r="AN100" s="127"/>
      <c r="AO100" s="29"/>
      <c r="AY100" s="25"/>
      <c r="AZ100" s="13"/>
      <c r="BE100" s="116"/>
      <c r="BF100" s="123"/>
      <c r="BG100" s="123"/>
      <c r="BH100" s="123"/>
      <c r="BM100" s="115"/>
      <c r="BN100" s="115"/>
      <c r="BO100" s="115"/>
      <c r="BP100" s="115"/>
      <c r="BQ100" s="115"/>
      <c r="BR100" s="115"/>
      <c r="BS100" s="115"/>
      <c r="BT100" s="115"/>
      <c r="BU100" s="115"/>
      <c r="BV100" s="115"/>
      <c r="BW100" s="25"/>
      <c r="BX100" s="13"/>
      <c r="CA100" s="114"/>
    </row>
    <row r="101" spans="1:79" ht="20.100000000000001" customHeight="1" x14ac:dyDescent="0.4">
      <c r="A101" s="117"/>
      <c r="B101" s="123"/>
      <c r="C101" s="123"/>
      <c r="D101" s="123"/>
      <c r="X101" s="26">
        <v>46103</v>
      </c>
      <c r="Y101" s="13" t="s">
        <v>146</v>
      </c>
      <c r="AM101" s="115"/>
      <c r="AN101" s="29"/>
      <c r="AO101" s="29"/>
      <c r="AY101" s="25"/>
      <c r="AZ101" s="13"/>
      <c r="BE101" s="116"/>
      <c r="BF101" s="123"/>
      <c r="BG101" s="123"/>
      <c r="BH101" s="123"/>
      <c r="BM101" s="115"/>
      <c r="BN101" s="115"/>
      <c r="BO101" s="115"/>
      <c r="BP101" s="115"/>
      <c r="BQ101" s="115"/>
      <c r="BR101" s="115"/>
      <c r="BS101" s="115"/>
      <c r="BT101" s="115"/>
      <c r="BU101" s="115"/>
      <c r="BV101" s="115"/>
      <c r="BW101" s="25"/>
      <c r="BX101" s="13"/>
      <c r="CA101" s="114"/>
    </row>
    <row r="102" spans="1:79" ht="20.100000000000001" customHeight="1" x14ac:dyDescent="0.4">
      <c r="A102" s="117"/>
      <c r="B102" s="123"/>
      <c r="C102" s="123"/>
      <c r="D102" s="123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26">
        <v>46103</v>
      </c>
      <c r="Y102" s="13" t="s">
        <v>146</v>
      </c>
      <c r="AM102" s="115"/>
      <c r="AN102" s="29"/>
      <c r="AO102" s="29"/>
      <c r="AY102" s="25"/>
      <c r="AZ102" s="13"/>
      <c r="BE102" s="116"/>
      <c r="BF102" s="123"/>
      <c r="BG102" s="123"/>
      <c r="BH102" s="123"/>
      <c r="BM102" s="115"/>
      <c r="BN102" s="115"/>
      <c r="BO102" s="115"/>
      <c r="BP102" s="115"/>
      <c r="BQ102" s="115"/>
      <c r="BR102" s="115"/>
      <c r="BS102" s="115"/>
      <c r="BT102" s="115"/>
      <c r="BU102" s="115"/>
      <c r="BV102" s="115"/>
      <c r="BW102" s="25"/>
      <c r="BX102" s="13"/>
      <c r="CA102" s="114"/>
    </row>
    <row r="103" spans="1:79" ht="20.100000000000001" customHeight="1" x14ac:dyDescent="0.4">
      <c r="A103" s="117"/>
      <c r="B103" s="123"/>
      <c r="C103" s="123"/>
      <c r="D103" s="123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26">
        <v>46103</v>
      </c>
      <c r="Y103" s="13" t="s">
        <v>146</v>
      </c>
      <c r="AM103" s="115"/>
      <c r="AN103" s="29"/>
      <c r="AO103" s="29"/>
      <c r="AY103" s="25"/>
      <c r="AZ103" s="13"/>
      <c r="BE103" s="116"/>
      <c r="BF103" s="123"/>
      <c r="BG103" s="123"/>
      <c r="BH103" s="123"/>
      <c r="BM103" s="115"/>
      <c r="BN103" s="115"/>
      <c r="BO103" s="115"/>
      <c r="BP103" s="115"/>
      <c r="BQ103" s="115"/>
      <c r="BR103" s="115"/>
      <c r="BS103" s="115"/>
      <c r="BT103" s="115"/>
      <c r="BU103" s="115"/>
      <c r="BV103" s="115"/>
      <c r="BW103" s="25"/>
      <c r="BX103" s="13"/>
      <c r="CA103" s="114"/>
    </row>
    <row r="104" spans="1:79" ht="20.100000000000001" customHeight="1" x14ac:dyDescent="0.4">
      <c r="A104" s="117"/>
      <c r="B104" s="123"/>
      <c r="C104" s="123"/>
      <c r="D104" s="123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26">
        <v>46103</v>
      </c>
      <c r="Y104" s="13" t="s">
        <v>146</v>
      </c>
      <c r="AM104" s="115"/>
      <c r="AN104" s="29"/>
      <c r="AO104" s="29"/>
      <c r="AY104" s="25"/>
      <c r="AZ104" s="13"/>
      <c r="BE104" s="116"/>
      <c r="BF104" s="123"/>
      <c r="BG104" s="123"/>
      <c r="BH104" s="123"/>
      <c r="BM104" s="115"/>
      <c r="BN104" s="115"/>
      <c r="BO104" s="115"/>
      <c r="BP104" s="115"/>
      <c r="BQ104" s="115"/>
      <c r="BR104" s="115"/>
      <c r="BS104" s="115"/>
      <c r="BT104" s="115"/>
      <c r="BU104" s="115"/>
      <c r="BV104" s="115"/>
      <c r="BW104" s="25"/>
      <c r="BX104" s="13"/>
      <c r="CA104" s="114"/>
    </row>
    <row r="105" spans="1:79" ht="20.100000000000001" customHeight="1" x14ac:dyDescent="0.4">
      <c r="A105" s="117"/>
      <c r="B105" s="123"/>
      <c r="C105" s="123"/>
      <c r="D105" s="123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25">
        <v>46103</v>
      </c>
      <c r="Y105" s="13" t="s">
        <v>146</v>
      </c>
      <c r="AM105" s="115"/>
      <c r="AN105" s="29"/>
      <c r="AO105" s="29"/>
      <c r="AY105" s="25"/>
      <c r="AZ105" s="13"/>
      <c r="BE105" s="116"/>
      <c r="BF105" s="123"/>
      <c r="BG105" s="123"/>
      <c r="BH105" s="123"/>
      <c r="BM105" s="115"/>
      <c r="BN105" s="115"/>
      <c r="BO105" s="115"/>
      <c r="BP105" s="115"/>
      <c r="BQ105" s="115"/>
      <c r="BR105" s="115"/>
      <c r="BS105" s="115"/>
      <c r="BT105" s="115"/>
      <c r="BU105" s="115"/>
      <c r="BV105" s="115"/>
      <c r="BW105" s="25"/>
      <c r="BX105" s="13"/>
      <c r="CA105" s="114"/>
    </row>
    <row r="106" spans="1:79" ht="20.100000000000001" customHeight="1" x14ac:dyDescent="0.4">
      <c r="A106" s="117"/>
      <c r="B106" s="123"/>
      <c r="C106" s="123"/>
      <c r="D106" s="123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25">
        <v>46103</v>
      </c>
      <c r="Y106" s="15" t="s">
        <v>146</v>
      </c>
      <c r="AM106" s="115"/>
      <c r="AN106" s="29"/>
      <c r="AO106" s="29"/>
      <c r="AY106" s="25"/>
      <c r="AZ106" s="13"/>
      <c r="BE106" s="116"/>
      <c r="BF106" s="123"/>
      <c r="BG106" s="123"/>
      <c r="BH106" s="123"/>
      <c r="BM106" s="115"/>
      <c r="BN106" s="115"/>
      <c r="BO106" s="115"/>
      <c r="BP106" s="115"/>
      <c r="BQ106" s="115"/>
      <c r="BR106" s="115"/>
      <c r="BS106" s="115"/>
      <c r="BT106" s="115"/>
      <c r="BU106" s="115"/>
      <c r="BV106" s="115"/>
      <c r="BW106" s="25"/>
      <c r="BX106" s="13"/>
      <c r="CA106" s="114"/>
    </row>
    <row r="107" spans="1:79" ht="20.100000000000001" customHeight="1" x14ac:dyDescent="0.4">
      <c r="A107" s="117"/>
      <c r="B107" s="123"/>
      <c r="C107" s="123"/>
      <c r="D107" s="123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25">
        <v>46103</v>
      </c>
      <c r="Y107" s="15" t="s">
        <v>146</v>
      </c>
      <c r="AM107" s="115"/>
      <c r="AN107" s="29"/>
      <c r="AO107" s="29"/>
      <c r="AY107" s="25"/>
      <c r="AZ107" s="13"/>
      <c r="BE107" s="116"/>
      <c r="BF107" s="123"/>
      <c r="BG107" s="123"/>
      <c r="BH107" s="123"/>
      <c r="BM107" s="115"/>
      <c r="BN107" s="115"/>
      <c r="BO107" s="115"/>
      <c r="BP107" s="115"/>
      <c r="BQ107" s="115"/>
      <c r="BR107" s="115"/>
      <c r="BS107" s="115"/>
      <c r="BT107" s="115"/>
      <c r="BU107" s="115"/>
      <c r="BV107" s="115"/>
      <c r="BW107" s="25"/>
      <c r="BX107" s="13"/>
      <c r="CA107" s="114"/>
    </row>
    <row r="108" spans="1:79" ht="20.100000000000001" customHeight="1" x14ac:dyDescent="0.4">
      <c r="A108" s="117"/>
      <c r="B108" s="123"/>
      <c r="C108" s="123"/>
      <c r="D108" s="123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25">
        <v>46103</v>
      </c>
      <c r="Y108" s="132" t="s">
        <v>146</v>
      </c>
      <c r="AM108" s="115"/>
      <c r="AN108" s="29"/>
      <c r="AO108" s="29"/>
      <c r="AY108" s="25"/>
      <c r="AZ108" s="13"/>
      <c r="BE108" s="116"/>
      <c r="BF108" s="123"/>
      <c r="BG108" s="123"/>
      <c r="BH108" s="123"/>
      <c r="BM108" s="115"/>
      <c r="BN108" s="115"/>
      <c r="BO108" s="115"/>
      <c r="BP108" s="115"/>
      <c r="BQ108" s="115"/>
      <c r="BR108" s="115"/>
      <c r="BS108" s="115"/>
      <c r="BT108" s="115"/>
      <c r="BU108" s="115"/>
      <c r="BV108" s="115"/>
      <c r="BW108" s="25"/>
      <c r="BX108" s="13"/>
      <c r="CA108" s="114"/>
    </row>
    <row r="109" spans="1:79" ht="20.100000000000001" customHeight="1" x14ac:dyDescent="0.4">
      <c r="A109" s="117"/>
      <c r="B109" s="123"/>
      <c r="C109" s="123"/>
      <c r="D109" s="123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25">
        <v>46103</v>
      </c>
      <c r="Y109" s="15" t="s">
        <v>147</v>
      </c>
      <c r="AM109" s="115"/>
      <c r="AN109" s="29"/>
      <c r="AO109" s="29"/>
      <c r="AY109" s="25"/>
      <c r="AZ109" s="13"/>
      <c r="BE109" s="116"/>
      <c r="BF109" s="123"/>
      <c r="BG109" s="123"/>
      <c r="BH109" s="123"/>
      <c r="BM109" s="115"/>
      <c r="BN109" s="115"/>
      <c r="BO109" s="115"/>
      <c r="BP109" s="115"/>
      <c r="BQ109" s="115"/>
      <c r="BR109" s="115"/>
      <c r="BS109" s="115"/>
      <c r="BT109" s="115"/>
      <c r="BU109" s="115"/>
      <c r="BV109" s="115"/>
      <c r="BW109" s="25"/>
      <c r="BX109" s="13"/>
      <c r="CA109" s="114"/>
    </row>
    <row r="110" spans="1:79" ht="20.100000000000001" customHeight="1" x14ac:dyDescent="0.4">
      <c r="A110" s="117"/>
      <c r="B110" s="123"/>
      <c r="C110" s="123"/>
      <c r="D110" s="123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25">
        <v>46103</v>
      </c>
      <c r="Y110" s="15" t="s">
        <v>146</v>
      </c>
      <c r="AM110" s="115"/>
      <c r="AN110" s="29"/>
      <c r="AO110" s="29"/>
      <c r="AY110" s="25"/>
      <c r="AZ110" s="13"/>
      <c r="BE110" s="116"/>
      <c r="BF110" s="123"/>
      <c r="BG110" s="123"/>
      <c r="BH110" s="123"/>
      <c r="BM110" s="115"/>
      <c r="BN110" s="115"/>
      <c r="BO110" s="115"/>
      <c r="BP110" s="115"/>
      <c r="BQ110" s="115"/>
      <c r="BR110" s="115"/>
      <c r="BS110" s="115"/>
      <c r="BT110" s="115"/>
      <c r="BU110" s="115"/>
      <c r="BV110" s="115"/>
      <c r="BW110" s="25"/>
      <c r="BX110" s="13"/>
      <c r="CA110" s="114"/>
    </row>
    <row r="111" spans="1:79" ht="20.100000000000001" customHeight="1" x14ac:dyDescent="0.4">
      <c r="A111" s="117"/>
      <c r="B111" s="123"/>
      <c r="C111" s="123"/>
      <c r="D111" s="123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25">
        <v>46103</v>
      </c>
      <c r="Y111" s="15" t="s">
        <v>146</v>
      </c>
      <c r="AM111" s="115"/>
      <c r="AN111" s="29"/>
      <c r="AO111" s="29"/>
      <c r="AY111" s="25"/>
      <c r="AZ111" s="13"/>
      <c r="BE111" s="116"/>
      <c r="BF111" s="123"/>
      <c r="BG111" s="123"/>
      <c r="BH111" s="123"/>
      <c r="BM111" s="115"/>
      <c r="BN111" s="115"/>
      <c r="BO111" s="115"/>
      <c r="BP111" s="115"/>
      <c r="BQ111" s="115"/>
      <c r="BR111" s="115"/>
      <c r="BS111" s="115"/>
      <c r="BT111" s="115"/>
      <c r="BU111" s="115"/>
      <c r="BV111" s="115"/>
      <c r="BW111" s="25"/>
      <c r="BX111" s="13"/>
      <c r="CA111" s="114"/>
    </row>
    <row r="112" spans="1:79" ht="20.100000000000001" customHeight="1" x14ac:dyDescent="0.4">
      <c r="A112" s="117"/>
      <c r="B112" s="123"/>
      <c r="C112" s="123"/>
      <c r="D112" s="123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25">
        <v>46103</v>
      </c>
      <c r="Y112" s="15" t="s">
        <v>146</v>
      </c>
      <c r="AM112" s="115"/>
      <c r="AN112" s="29"/>
      <c r="AO112" s="29"/>
      <c r="AY112" s="25"/>
      <c r="AZ112" s="13"/>
      <c r="BE112" s="116"/>
      <c r="BF112" s="123"/>
      <c r="BG112" s="123"/>
      <c r="BH112" s="123"/>
      <c r="BM112" s="115"/>
      <c r="BN112" s="115"/>
      <c r="BO112" s="115"/>
      <c r="BP112" s="115"/>
      <c r="BQ112" s="115"/>
      <c r="BR112" s="115"/>
      <c r="BS112" s="115"/>
      <c r="BT112" s="115"/>
      <c r="BU112" s="115"/>
      <c r="BV112" s="115"/>
      <c r="BW112" s="25"/>
      <c r="BX112" s="13"/>
      <c r="CA112" s="114"/>
    </row>
    <row r="113" spans="1:79" ht="20.100000000000001" customHeight="1" x14ac:dyDescent="0.4">
      <c r="A113" s="117"/>
      <c r="B113" s="123"/>
      <c r="C113" s="123"/>
      <c r="D113" s="123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25">
        <v>46103</v>
      </c>
      <c r="Y113" s="15" t="s">
        <v>146</v>
      </c>
      <c r="AM113" s="115"/>
      <c r="AN113" s="29"/>
      <c r="AO113" s="29"/>
      <c r="AY113" s="25"/>
      <c r="AZ113" s="13"/>
      <c r="BE113" s="116"/>
      <c r="BF113" s="123"/>
      <c r="BG113" s="123"/>
      <c r="BH113" s="123"/>
      <c r="BM113" s="115"/>
      <c r="BN113" s="115"/>
      <c r="BO113" s="115"/>
      <c r="BP113" s="115"/>
      <c r="BQ113" s="115"/>
      <c r="BR113" s="115"/>
      <c r="BS113" s="115"/>
      <c r="BT113" s="115"/>
      <c r="BU113" s="115"/>
      <c r="BV113" s="115"/>
      <c r="BW113" s="25"/>
      <c r="BX113" s="13"/>
      <c r="CA113" s="114"/>
    </row>
    <row r="114" spans="1:79" ht="20.100000000000001" customHeight="1" x14ac:dyDescent="0.4">
      <c r="A114" s="117"/>
      <c r="B114" s="123"/>
      <c r="C114" s="123"/>
      <c r="D114" s="123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25">
        <v>46103</v>
      </c>
      <c r="Y114" s="15" t="s">
        <v>147</v>
      </c>
      <c r="AM114" s="115"/>
      <c r="AN114" s="29"/>
      <c r="AO114" s="29"/>
      <c r="AY114" s="25"/>
      <c r="AZ114" s="13"/>
      <c r="BE114" s="116"/>
      <c r="BF114" s="123"/>
      <c r="BG114" s="123"/>
      <c r="BH114" s="123"/>
      <c r="BM114" s="115"/>
      <c r="BN114" s="115"/>
      <c r="BO114" s="115"/>
      <c r="BP114" s="115"/>
      <c r="BQ114" s="115"/>
      <c r="BR114" s="115"/>
      <c r="BS114" s="115"/>
      <c r="BT114" s="115"/>
      <c r="BU114" s="115"/>
      <c r="BV114" s="115"/>
      <c r="BW114" s="25"/>
      <c r="BX114" s="13"/>
      <c r="CA114" s="114"/>
    </row>
    <row r="115" spans="1:79" ht="20.100000000000001" customHeight="1" x14ac:dyDescent="0.4">
      <c r="A115" s="117"/>
      <c r="B115" s="123"/>
      <c r="C115" s="123"/>
      <c r="D115" s="123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25">
        <v>46103</v>
      </c>
      <c r="Y115" s="15" t="s">
        <v>146</v>
      </c>
      <c r="AM115" s="115"/>
      <c r="AN115" s="29"/>
      <c r="AO115" s="29"/>
      <c r="AY115" s="25"/>
      <c r="AZ115" s="13"/>
      <c r="BE115" s="116"/>
      <c r="BF115" s="123"/>
      <c r="BG115" s="123"/>
      <c r="BH115" s="123"/>
      <c r="BM115" s="115"/>
      <c r="BN115" s="115"/>
      <c r="BO115" s="115"/>
      <c r="BP115" s="115"/>
      <c r="BQ115" s="115"/>
      <c r="BR115" s="115"/>
      <c r="BS115" s="115"/>
      <c r="BT115" s="115"/>
      <c r="BU115" s="115"/>
      <c r="BV115" s="115"/>
      <c r="BW115" s="25"/>
      <c r="BX115" s="13"/>
      <c r="CA115" s="114"/>
    </row>
    <row r="116" spans="1:79" ht="20.100000000000001" customHeight="1" x14ac:dyDescent="0.4">
      <c r="A116" s="117"/>
      <c r="B116" s="123"/>
      <c r="C116" s="123"/>
      <c r="D116" s="123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25">
        <v>46103</v>
      </c>
      <c r="Y116" s="15" t="s">
        <v>148</v>
      </c>
      <c r="AM116" s="115"/>
      <c r="AN116" s="29"/>
      <c r="AO116" s="29"/>
      <c r="AY116" s="25"/>
      <c r="AZ116" s="13"/>
      <c r="BE116" s="116"/>
      <c r="BF116" s="123"/>
      <c r="BG116" s="123"/>
      <c r="BH116" s="123"/>
      <c r="BM116" s="115"/>
      <c r="BN116" s="115"/>
      <c r="BO116" s="115"/>
      <c r="BP116" s="115"/>
      <c r="BQ116" s="115"/>
      <c r="BR116" s="115"/>
      <c r="BS116" s="115"/>
      <c r="BT116" s="115"/>
      <c r="BU116" s="115"/>
      <c r="BV116" s="115"/>
      <c r="BW116" s="25"/>
      <c r="BX116" s="13"/>
      <c r="CA116" s="114"/>
    </row>
    <row r="117" spans="1:79" ht="20.100000000000001" customHeight="1" x14ac:dyDescent="0.4">
      <c r="A117" s="117"/>
      <c r="B117" s="123"/>
      <c r="C117" s="123"/>
      <c r="D117" s="123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25">
        <v>46103</v>
      </c>
      <c r="Y117" s="15" t="s">
        <v>146</v>
      </c>
      <c r="AM117" s="115"/>
      <c r="AN117" s="29"/>
      <c r="AO117" s="29"/>
      <c r="AY117" s="25"/>
      <c r="AZ117" s="13"/>
      <c r="BE117" s="116"/>
      <c r="BF117" s="123"/>
      <c r="BG117" s="123"/>
      <c r="BH117" s="123"/>
      <c r="BM117" s="115"/>
      <c r="BN117" s="115"/>
      <c r="BO117" s="115"/>
      <c r="BP117" s="115"/>
      <c r="BQ117" s="115"/>
      <c r="BR117" s="115"/>
      <c r="BS117" s="115"/>
      <c r="BT117" s="115"/>
      <c r="BU117" s="115"/>
      <c r="BV117" s="115"/>
      <c r="BW117" s="25"/>
      <c r="BX117" s="13"/>
      <c r="CA117" s="114"/>
    </row>
    <row r="118" spans="1:79" ht="20.100000000000001" customHeight="1" x14ac:dyDescent="0.4">
      <c r="A118" s="117"/>
      <c r="B118" s="123"/>
      <c r="C118" s="123"/>
      <c r="D118" s="123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25">
        <v>46103</v>
      </c>
      <c r="Y118" s="15" t="s">
        <v>146</v>
      </c>
      <c r="AM118" s="115"/>
      <c r="AN118" s="29"/>
      <c r="AO118" s="29"/>
      <c r="AY118" s="25"/>
      <c r="AZ118" s="13"/>
      <c r="BE118" s="116"/>
      <c r="BF118" s="123"/>
      <c r="BG118" s="123"/>
      <c r="BH118" s="123"/>
      <c r="BM118" s="115"/>
      <c r="BN118" s="115"/>
      <c r="BO118" s="115"/>
      <c r="BP118" s="115"/>
      <c r="BQ118" s="115"/>
      <c r="BR118" s="115"/>
      <c r="BS118" s="115"/>
      <c r="BT118" s="115"/>
      <c r="BU118" s="115"/>
      <c r="BV118" s="115"/>
      <c r="BW118" s="25"/>
      <c r="BX118" s="13"/>
      <c r="CA118" s="114"/>
    </row>
    <row r="119" spans="1:79" ht="20.100000000000001" customHeight="1" x14ac:dyDescent="0.4">
      <c r="A119" s="117"/>
      <c r="B119" s="123"/>
      <c r="C119" s="123"/>
      <c r="D119" s="123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25">
        <v>46103</v>
      </c>
      <c r="Y119" s="15" t="s">
        <v>146</v>
      </c>
      <c r="AM119" s="115"/>
      <c r="AN119" s="29"/>
      <c r="AO119" s="29"/>
      <c r="AY119" s="25"/>
      <c r="AZ119" s="13"/>
      <c r="BE119" s="116"/>
      <c r="BF119" s="123"/>
      <c r="BG119" s="123"/>
      <c r="BH119" s="123"/>
      <c r="BM119" s="115"/>
      <c r="BN119" s="115"/>
      <c r="BO119" s="115"/>
      <c r="BP119" s="115"/>
      <c r="BQ119" s="115"/>
      <c r="BR119" s="115"/>
      <c r="BS119" s="115"/>
      <c r="BT119" s="115"/>
      <c r="BU119" s="115"/>
      <c r="BV119" s="115"/>
      <c r="BW119" s="25"/>
      <c r="BX119" s="13"/>
      <c r="CA119" s="114"/>
    </row>
    <row r="120" spans="1:79" ht="20.100000000000001" customHeight="1" x14ac:dyDescent="0.4">
      <c r="A120" s="117"/>
      <c r="B120" s="123"/>
      <c r="C120" s="123"/>
      <c r="D120" s="123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25">
        <v>46103</v>
      </c>
      <c r="Y120" s="15" t="s">
        <v>146</v>
      </c>
      <c r="AM120" s="115"/>
      <c r="AN120" s="29"/>
      <c r="AO120" s="29"/>
      <c r="AY120" s="25"/>
      <c r="AZ120" s="13"/>
      <c r="BE120" s="116"/>
      <c r="BF120" s="123"/>
      <c r="BG120" s="123"/>
      <c r="BH120" s="123"/>
      <c r="BM120" s="115"/>
      <c r="BN120" s="115"/>
      <c r="BO120" s="115"/>
      <c r="BP120" s="115"/>
      <c r="BQ120" s="115"/>
      <c r="BR120" s="115"/>
      <c r="BS120" s="115"/>
      <c r="BT120" s="115"/>
      <c r="BU120" s="115"/>
      <c r="BV120" s="115"/>
      <c r="BW120" s="25"/>
      <c r="BX120" s="13"/>
      <c r="CA120" s="114"/>
    </row>
    <row r="121" spans="1:79" ht="20.100000000000001" customHeight="1" x14ac:dyDescent="0.4">
      <c r="A121" s="117"/>
      <c r="B121" s="123"/>
      <c r="C121" s="123"/>
      <c r="D121" s="123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25">
        <v>46103</v>
      </c>
      <c r="Y121" s="15" t="s">
        <v>147</v>
      </c>
      <c r="AM121" s="115"/>
      <c r="AN121" s="29"/>
      <c r="AO121" s="29"/>
      <c r="AY121" s="25"/>
      <c r="AZ121" s="13"/>
      <c r="BE121" s="116"/>
      <c r="BF121" s="123"/>
      <c r="BG121" s="123"/>
      <c r="BH121" s="123"/>
      <c r="BM121" s="115"/>
      <c r="BN121" s="115"/>
      <c r="BO121" s="115"/>
      <c r="BP121" s="115"/>
      <c r="BQ121" s="115"/>
      <c r="BR121" s="115"/>
      <c r="BS121" s="115"/>
      <c r="BT121" s="115"/>
      <c r="BU121" s="115"/>
      <c r="BV121" s="115"/>
      <c r="BW121" s="25"/>
      <c r="BX121" s="13"/>
      <c r="CA121" s="114"/>
    </row>
    <row r="122" spans="1:79" ht="20.100000000000001" customHeight="1" x14ac:dyDescent="0.4">
      <c r="A122" s="117"/>
      <c r="B122" s="123"/>
      <c r="C122" s="123"/>
      <c r="D122" s="123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25">
        <v>46103</v>
      </c>
      <c r="Y122" s="15" t="s">
        <v>147</v>
      </c>
      <c r="AM122" s="115"/>
      <c r="AN122" s="29"/>
      <c r="AO122" s="29"/>
      <c r="AY122" s="25"/>
      <c r="AZ122" s="13"/>
      <c r="BE122" s="116"/>
      <c r="BF122" s="123"/>
      <c r="BG122" s="123"/>
      <c r="BH122" s="123"/>
      <c r="BM122" s="115"/>
      <c r="BN122" s="115"/>
      <c r="BO122" s="115"/>
      <c r="BP122" s="115"/>
      <c r="BQ122" s="115"/>
      <c r="BR122" s="115"/>
      <c r="BS122" s="115"/>
      <c r="BT122" s="115"/>
      <c r="BU122" s="115"/>
      <c r="BV122" s="115"/>
      <c r="BW122" s="25"/>
      <c r="BX122" s="13"/>
      <c r="CA122" s="114"/>
    </row>
    <row r="123" spans="1:79" ht="20.100000000000001" customHeight="1" x14ac:dyDescent="0.4">
      <c r="A123" s="117"/>
      <c r="B123" s="123"/>
      <c r="C123" s="123"/>
      <c r="D123" s="123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25">
        <v>46103</v>
      </c>
      <c r="Y123" s="15" t="s">
        <v>146</v>
      </c>
      <c r="AM123" s="115"/>
      <c r="AN123" s="29"/>
      <c r="AO123" s="29"/>
      <c r="AY123" s="25"/>
      <c r="AZ123" s="13"/>
      <c r="BE123" s="116"/>
      <c r="BF123" s="123"/>
      <c r="BG123" s="123"/>
      <c r="BH123" s="123"/>
      <c r="BM123" s="115"/>
      <c r="BN123" s="115"/>
      <c r="BO123" s="115"/>
      <c r="BP123" s="115"/>
      <c r="BQ123" s="115"/>
      <c r="BR123" s="115"/>
      <c r="BS123" s="115"/>
      <c r="BT123" s="115"/>
      <c r="BU123" s="115"/>
      <c r="BV123" s="115"/>
      <c r="BW123" s="25"/>
      <c r="BX123" s="13"/>
      <c r="CA123" s="114"/>
    </row>
    <row r="124" spans="1:79" ht="20.100000000000001" customHeight="1" x14ac:dyDescent="0.4">
      <c r="A124" s="117"/>
      <c r="B124" s="123"/>
      <c r="C124" s="123"/>
      <c r="D124" s="123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25">
        <v>46103</v>
      </c>
      <c r="Y124" s="15" t="s">
        <v>146</v>
      </c>
      <c r="AM124" s="115"/>
      <c r="AN124" s="29"/>
      <c r="AO124" s="29"/>
      <c r="AY124" s="25"/>
      <c r="AZ124" s="13"/>
      <c r="BE124" s="116"/>
      <c r="BF124" s="123"/>
      <c r="BG124" s="123"/>
      <c r="BH124" s="123"/>
      <c r="BM124" s="115"/>
      <c r="BN124" s="115"/>
      <c r="BO124" s="115"/>
      <c r="BP124" s="115"/>
      <c r="BQ124" s="115"/>
      <c r="BR124" s="115"/>
      <c r="BS124" s="115"/>
      <c r="BT124" s="115"/>
      <c r="BU124" s="115"/>
      <c r="BV124" s="115"/>
      <c r="BW124" s="25"/>
      <c r="BX124" s="13"/>
      <c r="CA124" s="114"/>
    </row>
    <row r="125" spans="1:79" ht="20.100000000000001" customHeight="1" x14ac:dyDescent="0.4">
      <c r="A125" s="117"/>
      <c r="B125" s="123"/>
      <c r="C125" s="123"/>
      <c r="D125" s="123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25">
        <v>46103</v>
      </c>
      <c r="Y125" s="15" t="s">
        <v>148</v>
      </c>
      <c r="AM125" s="115"/>
      <c r="AN125" s="29"/>
      <c r="AO125" s="29"/>
      <c r="AY125" s="25"/>
      <c r="AZ125" s="13"/>
      <c r="BE125" s="116"/>
      <c r="BF125" s="123"/>
      <c r="BG125" s="123"/>
      <c r="BH125" s="123"/>
      <c r="BM125" s="115"/>
      <c r="BN125" s="115"/>
      <c r="BO125" s="115"/>
      <c r="BP125" s="115"/>
      <c r="BQ125" s="115"/>
      <c r="BR125" s="115"/>
      <c r="BS125" s="115"/>
      <c r="BT125" s="115"/>
      <c r="BU125" s="115"/>
      <c r="BV125" s="115"/>
      <c r="BW125" s="25"/>
      <c r="BX125" s="13"/>
      <c r="CA125" s="114"/>
    </row>
    <row r="126" spans="1:79" ht="20.100000000000001" customHeight="1" x14ac:dyDescent="0.4">
      <c r="A126" s="117"/>
      <c r="B126" s="123"/>
      <c r="C126" s="123"/>
      <c r="D126" s="123"/>
      <c r="X126" s="25">
        <v>46103</v>
      </c>
      <c r="Y126" s="15" t="s">
        <v>147</v>
      </c>
      <c r="AK126" s="115"/>
      <c r="AL126" s="115"/>
      <c r="AM126" s="115"/>
      <c r="AN126" s="127"/>
      <c r="AO126" s="29"/>
      <c r="AY126" s="25"/>
      <c r="AZ126" s="13"/>
      <c r="BE126" s="116"/>
      <c r="BF126" s="123"/>
      <c r="BG126" s="123"/>
      <c r="BH126" s="123"/>
      <c r="BM126" s="115"/>
      <c r="BN126" s="115"/>
      <c r="BO126" s="115"/>
      <c r="BP126" s="115"/>
      <c r="BQ126" s="115"/>
      <c r="BR126" s="115"/>
      <c r="BS126" s="115"/>
      <c r="BT126" s="115"/>
      <c r="BU126" s="115"/>
      <c r="BV126" s="115"/>
      <c r="BW126" s="25"/>
      <c r="BX126" s="13"/>
      <c r="CA126" s="114"/>
    </row>
    <row r="127" spans="1:79" ht="20.100000000000001" customHeight="1" x14ac:dyDescent="0.4">
      <c r="A127" s="117"/>
      <c r="B127" s="123"/>
      <c r="C127" s="123"/>
      <c r="D127" s="123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25">
        <v>46103</v>
      </c>
      <c r="Y127" s="15" t="s">
        <v>147</v>
      </c>
      <c r="AK127" s="115"/>
      <c r="AL127" s="115"/>
      <c r="AM127" s="115"/>
      <c r="AN127" s="127"/>
      <c r="AO127" s="29"/>
      <c r="AY127" s="25"/>
      <c r="AZ127" s="13"/>
      <c r="BE127" s="116"/>
      <c r="BF127" s="123"/>
      <c r="BG127" s="123"/>
      <c r="BH127" s="123"/>
      <c r="BM127" s="115"/>
      <c r="BN127" s="115"/>
      <c r="BO127" s="115"/>
      <c r="BP127" s="115"/>
      <c r="BQ127" s="115"/>
      <c r="BR127" s="115"/>
      <c r="BS127" s="115"/>
      <c r="BT127" s="115"/>
      <c r="BU127" s="115"/>
      <c r="BV127" s="115"/>
      <c r="BW127" s="25"/>
      <c r="BX127" s="13"/>
      <c r="CA127" s="114"/>
    </row>
    <row r="128" spans="1:79" ht="20.100000000000001" customHeight="1" x14ac:dyDescent="0.4">
      <c r="A128" s="117"/>
      <c r="B128" s="123"/>
      <c r="C128" s="123"/>
      <c r="D128" s="123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25">
        <v>46103</v>
      </c>
      <c r="Y128" s="15" t="s">
        <v>146</v>
      </c>
      <c r="AK128" s="115"/>
      <c r="AL128" s="115"/>
      <c r="AM128" s="115"/>
      <c r="AN128" s="127"/>
      <c r="AO128" s="29"/>
      <c r="AY128" s="25"/>
      <c r="AZ128" s="13"/>
      <c r="BE128" s="116"/>
      <c r="BF128" s="123"/>
      <c r="BG128" s="123"/>
      <c r="BH128" s="123"/>
      <c r="BM128" s="115"/>
      <c r="BN128" s="115"/>
      <c r="BO128" s="115"/>
      <c r="BP128" s="115"/>
      <c r="BQ128" s="115"/>
      <c r="BR128" s="115"/>
      <c r="BS128" s="115"/>
      <c r="BT128" s="115"/>
      <c r="BU128" s="115"/>
      <c r="BV128" s="115"/>
      <c r="BW128" s="25"/>
      <c r="BX128" s="13"/>
      <c r="CA128" s="114"/>
    </row>
    <row r="129" spans="1:79" ht="20.100000000000001" customHeight="1" x14ac:dyDescent="0.4">
      <c r="A129" s="117"/>
      <c r="B129" s="123"/>
      <c r="C129" s="123"/>
      <c r="D129" s="123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25">
        <v>46103</v>
      </c>
      <c r="Y129" s="15" t="s">
        <v>146</v>
      </c>
      <c r="AK129" s="115"/>
      <c r="AL129" s="115"/>
      <c r="AM129" s="115"/>
      <c r="AN129" s="127"/>
      <c r="AO129" s="29"/>
      <c r="AY129" s="25"/>
      <c r="AZ129" s="13"/>
      <c r="BE129" s="116"/>
      <c r="BF129" s="123"/>
      <c r="BG129" s="123"/>
      <c r="BH129" s="123"/>
      <c r="BM129" s="115"/>
      <c r="BN129" s="115"/>
      <c r="BO129" s="115"/>
      <c r="BP129" s="115"/>
      <c r="BQ129" s="115"/>
      <c r="BR129" s="115"/>
      <c r="BS129" s="115"/>
      <c r="BT129" s="115"/>
      <c r="BU129" s="115"/>
      <c r="BV129" s="115"/>
      <c r="BW129" s="25"/>
      <c r="BX129" s="13"/>
      <c r="CA129" s="114"/>
    </row>
    <row r="130" spans="1:79" ht="20.100000000000001" customHeight="1" x14ac:dyDescent="0.4">
      <c r="A130" s="117"/>
      <c r="B130" s="123"/>
      <c r="C130" s="123"/>
      <c r="D130" s="123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25">
        <v>46103</v>
      </c>
      <c r="Y130" s="15" t="s">
        <v>147</v>
      </c>
      <c r="AK130" s="115"/>
      <c r="AL130" s="115"/>
      <c r="AM130" s="115"/>
      <c r="AN130" s="127"/>
      <c r="AO130" s="29"/>
      <c r="AY130" s="25"/>
      <c r="AZ130" s="13"/>
      <c r="BE130" s="116"/>
      <c r="BF130" s="123"/>
      <c r="BG130" s="123"/>
      <c r="BH130" s="123"/>
      <c r="BM130" s="115"/>
      <c r="BN130" s="115"/>
      <c r="BO130" s="115"/>
      <c r="BP130" s="115"/>
      <c r="BQ130" s="115"/>
      <c r="BR130" s="115"/>
      <c r="BS130" s="115"/>
      <c r="BT130" s="115"/>
      <c r="BU130" s="115"/>
      <c r="BV130" s="115"/>
      <c r="BW130" s="25"/>
      <c r="BX130" s="13"/>
      <c r="CA130" s="114"/>
    </row>
    <row r="131" spans="1:79" ht="20.100000000000001" customHeight="1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25">
        <v>46103</v>
      </c>
      <c r="Y131" s="15" t="s">
        <v>146</v>
      </c>
      <c r="AK131" s="115"/>
      <c r="AL131" s="115"/>
      <c r="AM131" s="115"/>
      <c r="AN131" s="127"/>
      <c r="AO131" s="29"/>
      <c r="AY131" s="25"/>
      <c r="AZ131" s="13"/>
      <c r="BE131" s="116"/>
      <c r="BF131" s="123"/>
      <c r="BG131" s="123"/>
      <c r="BH131" s="123"/>
      <c r="BM131" s="115"/>
      <c r="BN131" s="115"/>
      <c r="BO131" s="115"/>
      <c r="BP131" s="115"/>
      <c r="BQ131" s="115"/>
      <c r="BR131" s="115"/>
      <c r="BS131" s="115"/>
      <c r="BT131" s="115"/>
      <c r="BU131" s="115"/>
      <c r="BV131" s="115"/>
      <c r="BW131" s="25"/>
      <c r="BX131" s="13"/>
      <c r="CA131" s="114"/>
    </row>
    <row r="132" spans="1:79" ht="20.100000000000001" customHeight="1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25">
        <v>46103</v>
      </c>
      <c r="Y132" s="15" t="s">
        <v>147</v>
      </c>
      <c r="AK132" s="115"/>
      <c r="AL132" s="115"/>
      <c r="AM132" s="115"/>
      <c r="AN132" s="127"/>
      <c r="AO132" s="29"/>
      <c r="AY132" s="25"/>
      <c r="AZ132" s="13"/>
      <c r="BE132" s="116"/>
      <c r="BF132" s="123"/>
      <c r="BG132" s="123"/>
      <c r="BH132" s="123"/>
      <c r="BM132" s="115"/>
      <c r="BN132" s="115"/>
      <c r="BO132" s="115"/>
      <c r="BP132" s="115"/>
      <c r="BQ132" s="115"/>
      <c r="BR132" s="115"/>
      <c r="BS132" s="115"/>
      <c r="BT132" s="115"/>
      <c r="BU132" s="115"/>
      <c r="BV132" s="115"/>
      <c r="BW132" s="25"/>
      <c r="BX132" s="13"/>
      <c r="CA132" s="114"/>
    </row>
    <row r="133" spans="1:79" ht="20.100000000000001" customHeight="1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25">
        <v>46103</v>
      </c>
      <c r="Y133" s="15" t="s">
        <v>147</v>
      </c>
      <c r="AK133" s="115"/>
      <c r="AL133" s="115"/>
      <c r="AM133" s="115"/>
      <c r="AN133" s="127"/>
      <c r="AO133" s="29"/>
      <c r="AY133" s="25"/>
      <c r="AZ133" s="13"/>
      <c r="BE133" s="116"/>
      <c r="BF133" s="123"/>
      <c r="BG133" s="123"/>
      <c r="BH133" s="123"/>
      <c r="BM133" s="115"/>
      <c r="BN133" s="115"/>
      <c r="BO133" s="115"/>
      <c r="BP133" s="115"/>
      <c r="BQ133" s="115"/>
      <c r="BR133" s="115"/>
      <c r="BS133" s="115"/>
      <c r="BT133" s="115"/>
      <c r="BU133" s="115"/>
      <c r="BV133" s="115"/>
      <c r="BW133" s="25"/>
      <c r="BX133" s="13"/>
      <c r="CA133" s="114"/>
    </row>
    <row r="134" spans="1:79" ht="20.100000000000001" customHeight="1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 t="s">
        <v>408</v>
      </c>
      <c r="X134" s="13">
        <f>SUBTOTAL(3,X90:X133)</f>
        <v>44</v>
      </c>
      <c r="Y134" s="15">
        <f>SUBTOTAL(3,Y90:Y133)</f>
        <v>44</v>
      </c>
      <c r="AK134" s="115"/>
      <c r="AL134" s="115"/>
      <c r="AM134" s="115"/>
      <c r="AN134" s="127"/>
      <c r="AO134" s="29"/>
      <c r="AY134" s="25"/>
      <c r="AZ134" s="13"/>
      <c r="BE134" s="116"/>
      <c r="BF134" s="123"/>
      <c r="BG134" s="123"/>
      <c r="BH134" s="123"/>
      <c r="BM134" s="115"/>
      <c r="BN134" s="115"/>
      <c r="BO134" s="115"/>
      <c r="BP134" s="115"/>
      <c r="BQ134" s="115"/>
      <c r="BR134" s="115"/>
      <c r="BS134" s="115"/>
      <c r="BT134" s="115"/>
      <c r="BU134" s="115"/>
      <c r="BV134" s="115"/>
      <c r="BW134" s="25"/>
      <c r="BX134" s="13"/>
      <c r="CA134" s="114"/>
    </row>
    <row r="135" spans="1:79" ht="20.100000000000001" customHeight="1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25">
        <v>46104</v>
      </c>
      <c r="Y135" s="15" t="s">
        <v>146</v>
      </c>
      <c r="AK135" s="115"/>
      <c r="AL135" s="115"/>
      <c r="AM135" s="115"/>
      <c r="AN135" s="127"/>
      <c r="AO135" s="29"/>
      <c r="AY135" s="25"/>
      <c r="AZ135" s="13"/>
      <c r="BE135" s="116"/>
      <c r="BF135" s="123"/>
      <c r="BG135" s="123"/>
      <c r="BH135" s="123"/>
      <c r="BM135" s="115"/>
      <c r="BN135" s="115"/>
      <c r="BO135" s="115"/>
      <c r="BP135" s="115"/>
      <c r="BQ135" s="115"/>
      <c r="BR135" s="115"/>
      <c r="BS135" s="115"/>
      <c r="BT135" s="115"/>
      <c r="BU135" s="115"/>
      <c r="BV135" s="115"/>
      <c r="BW135" s="25"/>
      <c r="BX135" s="13"/>
      <c r="CA135" s="114"/>
    </row>
    <row r="136" spans="1:79" ht="20.100000000000001" customHeight="1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25">
        <v>46104</v>
      </c>
      <c r="Y136" s="15" t="s">
        <v>147</v>
      </c>
      <c r="AK136" s="115"/>
      <c r="AL136" s="115"/>
      <c r="AM136" s="115"/>
      <c r="AN136" s="127"/>
      <c r="AO136" s="29"/>
      <c r="AY136" s="25"/>
      <c r="AZ136" s="13"/>
      <c r="BE136" s="116"/>
      <c r="BF136" s="123"/>
      <c r="BG136" s="123"/>
      <c r="BH136" s="123"/>
      <c r="BM136" s="115"/>
      <c r="BN136" s="115"/>
      <c r="BO136" s="115"/>
      <c r="BP136" s="115"/>
      <c r="BQ136" s="115"/>
      <c r="BR136" s="115"/>
      <c r="BS136" s="115"/>
      <c r="BT136" s="115"/>
      <c r="BU136" s="115"/>
      <c r="BV136" s="115"/>
      <c r="BW136" s="25"/>
      <c r="BX136" s="13"/>
      <c r="CA136" s="114"/>
    </row>
    <row r="137" spans="1:79" ht="20.100000000000001" customHeight="1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25">
        <v>46104</v>
      </c>
      <c r="Y137" s="15" t="s">
        <v>146</v>
      </c>
      <c r="AK137" s="115"/>
      <c r="AL137" s="115"/>
      <c r="AM137" s="115"/>
      <c r="AN137" s="127"/>
      <c r="AO137" s="29"/>
      <c r="AY137" s="25"/>
      <c r="AZ137" s="13"/>
      <c r="BE137" s="116"/>
      <c r="BF137" s="123"/>
      <c r="BG137" s="123"/>
      <c r="BH137" s="123"/>
      <c r="BM137" s="115"/>
      <c r="BN137" s="115"/>
      <c r="BO137" s="115"/>
      <c r="BP137" s="115"/>
      <c r="BQ137" s="115"/>
      <c r="BR137" s="115"/>
      <c r="BS137" s="115"/>
      <c r="BT137" s="115"/>
      <c r="BU137" s="115"/>
      <c r="BV137" s="115"/>
      <c r="BW137" s="25"/>
      <c r="BX137" s="13"/>
      <c r="CA137" s="114"/>
    </row>
    <row r="138" spans="1:79" ht="20.100000000000001" customHeight="1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25">
        <v>46104</v>
      </c>
      <c r="Y138" s="15" t="s">
        <v>148</v>
      </c>
      <c r="AK138" s="115"/>
      <c r="AL138" s="115"/>
      <c r="AM138" s="115"/>
      <c r="AN138" s="127"/>
      <c r="AO138" s="29"/>
      <c r="AY138" s="25"/>
      <c r="AZ138" s="13"/>
      <c r="BE138" s="116"/>
      <c r="BF138" s="123"/>
      <c r="BG138" s="123"/>
      <c r="BH138" s="123"/>
      <c r="BM138" s="115"/>
      <c r="BN138" s="115"/>
      <c r="BO138" s="115"/>
      <c r="BP138" s="115"/>
      <c r="BQ138" s="115"/>
      <c r="BR138" s="115"/>
      <c r="BS138" s="115"/>
      <c r="BT138" s="115"/>
      <c r="BU138" s="115"/>
      <c r="BV138" s="115"/>
      <c r="BW138" s="25"/>
      <c r="BX138" s="13"/>
      <c r="CA138" s="114"/>
    </row>
    <row r="139" spans="1:79" ht="20.100000000000001" customHeight="1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25">
        <v>46104</v>
      </c>
      <c r="Y139" s="13" t="s">
        <v>147</v>
      </c>
      <c r="AK139" s="115"/>
      <c r="AL139" s="115"/>
      <c r="AM139" s="115"/>
      <c r="AN139" s="127"/>
      <c r="AO139" s="29"/>
      <c r="AY139" s="25"/>
      <c r="AZ139" s="13"/>
      <c r="BE139" s="116"/>
      <c r="BF139" s="123"/>
      <c r="BG139" s="123"/>
      <c r="BH139" s="123"/>
      <c r="BM139" s="115"/>
      <c r="BN139" s="115"/>
      <c r="BO139" s="115"/>
      <c r="BP139" s="115"/>
      <c r="BQ139" s="115"/>
      <c r="BR139" s="115"/>
      <c r="BS139" s="115"/>
      <c r="BT139" s="115"/>
      <c r="BU139" s="115"/>
      <c r="BV139" s="115"/>
      <c r="BW139" s="25"/>
      <c r="BX139" s="13"/>
      <c r="CA139" s="114"/>
    </row>
    <row r="140" spans="1:79" ht="20.100000000000001" customHeight="1" x14ac:dyDescent="0.4">
      <c r="A140" s="117"/>
      <c r="B140" s="123"/>
      <c r="C140" s="123"/>
      <c r="D140" s="123"/>
      <c r="X140" s="25">
        <v>46104</v>
      </c>
      <c r="Y140" s="13" t="s">
        <v>148</v>
      </c>
      <c r="AK140" s="115"/>
      <c r="AL140" s="115"/>
      <c r="AM140" s="115"/>
      <c r="AN140" s="29"/>
      <c r="AO140" s="29"/>
      <c r="AY140" s="25"/>
      <c r="AZ140" s="13"/>
      <c r="BE140" s="116"/>
      <c r="BF140" s="123"/>
      <c r="BG140" s="123"/>
      <c r="BH140" s="123"/>
      <c r="BM140" s="115"/>
      <c r="BN140" s="115"/>
      <c r="BO140" s="115"/>
      <c r="BP140" s="115"/>
      <c r="BQ140" s="115"/>
      <c r="BR140" s="115"/>
      <c r="BS140" s="115"/>
      <c r="BT140" s="115"/>
      <c r="BU140" s="115"/>
      <c r="BV140" s="115"/>
      <c r="BW140" s="25"/>
      <c r="BX140" s="13"/>
      <c r="CA140" s="114"/>
    </row>
    <row r="141" spans="1:79" ht="20.100000000000001" customHeight="1" x14ac:dyDescent="0.4">
      <c r="A141" s="117"/>
      <c r="B141" s="123"/>
      <c r="C141" s="123"/>
      <c r="D141" s="123"/>
      <c r="P141" s="115"/>
      <c r="Q141" s="115"/>
      <c r="R141" s="115"/>
      <c r="S141" s="115"/>
      <c r="T141" s="115"/>
      <c r="U141" s="115"/>
      <c r="V141" s="115"/>
      <c r="W141" s="115"/>
      <c r="X141" s="25">
        <v>46104</v>
      </c>
      <c r="Y141" s="13" t="s">
        <v>147</v>
      </c>
      <c r="AK141" s="115"/>
      <c r="AL141" s="115"/>
      <c r="AM141" s="115"/>
      <c r="AN141" s="29"/>
      <c r="AO141" s="29"/>
      <c r="AY141" s="25"/>
      <c r="AZ141" s="13"/>
      <c r="BE141" s="116"/>
      <c r="BF141" s="123"/>
      <c r="BG141" s="123"/>
      <c r="BH141" s="123"/>
      <c r="BM141" s="115"/>
      <c r="BN141" s="115"/>
      <c r="BO141" s="115"/>
      <c r="BP141" s="115"/>
      <c r="BQ141" s="115"/>
      <c r="BR141" s="115"/>
      <c r="BS141" s="115"/>
      <c r="BT141" s="115"/>
      <c r="BU141" s="115"/>
      <c r="BV141" s="115"/>
      <c r="BW141" s="25"/>
      <c r="BX141" s="13"/>
      <c r="CA141" s="114"/>
    </row>
    <row r="142" spans="1:79" ht="20.100000000000001" customHeight="1" x14ac:dyDescent="0.4">
      <c r="A142" s="117"/>
      <c r="B142" s="123"/>
      <c r="C142" s="123"/>
      <c r="D142" s="123"/>
      <c r="P142" s="115"/>
      <c r="Q142" s="115"/>
      <c r="R142" s="115"/>
      <c r="S142" s="115"/>
      <c r="T142" s="115"/>
      <c r="U142" s="115"/>
      <c r="V142" s="115"/>
      <c r="W142" s="115"/>
      <c r="X142" s="25">
        <v>46104</v>
      </c>
      <c r="Y142" s="13" t="s">
        <v>147</v>
      </c>
      <c r="AK142" s="115"/>
      <c r="AL142" s="115"/>
      <c r="AM142" s="115"/>
      <c r="AN142" s="29"/>
      <c r="AO142" s="29"/>
      <c r="AY142" s="25"/>
      <c r="AZ142" s="13"/>
      <c r="BE142" s="116"/>
      <c r="BF142" s="123"/>
      <c r="BG142" s="123"/>
      <c r="BH142" s="123"/>
      <c r="BM142" s="115"/>
      <c r="BN142" s="115"/>
      <c r="BO142" s="115"/>
      <c r="BP142" s="115"/>
      <c r="BQ142" s="115"/>
      <c r="BR142" s="115"/>
      <c r="BS142" s="115"/>
      <c r="BT142" s="115"/>
      <c r="BU142" s="115"/>
      <c r="BV142" s="115"/>
      <c r="BW142" s="25"/>
      <c r="BX142" s="13"/>
      <c r="CA142" s="114"/>
    </row>
    <row r="143" spans="1:79" ht="20.100000000000001" customHeight="1" x14ac:dyDescent="0.4">
      <c r="A143" s="117"/>
      <c r="B143" s="123"/>
      <c r="C143" s="123"/>
      <c r="D143" s="123"/>
      <c r="P143" s="115"/>
      <c r="Q143" s="115"/>
      <c r="R143" s="115"/>
      <c r="S143" s="115"/>
      <c r="T143" s="115"/>
      <c r="U143" s="115"/>
      <c r="V143" s="115"/>
      <c r="W143" s="115"/>
      <c r="X143" s="25">
        <v>46104</v>
      </c>
      <c r="Y143" s="13" t="s">
        <v>147</v>
      </c>
      <c r="AK143" s="115"/>
      <c r="AL143" s="115"/>
      <c r="AM143" s="115"/>
      <c r="AN143" s="29"/>
      <c r="AO143" s="29"/>
      <c r="AY143" s="25"/>
      <c r="AZ143" s="13"/>
      <c r="BE143" s="116"/>
      <c r="BF143" s="123"/>
      <c r="BG143" s="123"/>
      <c r="BH143" s="123"/>
      <c r="BM143" s="115"/>
      <c r="BN143" s="115"/>
      <c r="BO143" s="115"/>
      <c r="BP143" s="115"/>
      <c r="BQ143" s="115"/>
      <c r="BR143" s="115"/>
      <c r="BS143" s="115"/>
      <c r="BT143" s="115"/>
      <c r="BU143" s="115"/>
      <c r="BV143" s="115"/>
      <c r="BW143" s="25"/>
      <c r="BX143" s="13"/>
      <c r="CA143" s="114"/>
    </row>
    <row r="144" spans="1:79" ht="20.100000000000001" customHeight="1" x14ac:dyDescent="0.4">
      <c r="A144" s="117"/>
      <c r="B144" s="123"/>
      <c r="C144" s="123"/>
      <c r="D144" s="123"/>
      <c r="P144" s="115"/>
      <c r="Q144" s="115"/>
      <c r="R144" s="115"/>
      <c r="S144" s="115"/>
      <c r="T144" s="115"/>
      <c r="U144" s="115"/>
      <c r="V144" s="115"/>
      <c r="W144" s="115"/>
      <c r="X144" s="25">
        <v>46104</v>
      </c>
      <c r="Y144" s="13" t="s">
        <v>146</v>
      </c>
      <c r="AK144" s="115"/>
      <c r="AL144" s="115"/>
      <c r="AM144" s="115"/>
      <c r="AN144" s="29"/>
      <c r="AO144" s="29"/>
      <c r="AY144" s="25"/>
      <c r="AZ144" s="13"/>
      <c r="BE144" s="116"/>
      <c r="BF144" s="123"/>
      <c r="BG144" s="123"/>
      <c r="BH144" s="123"/>
      <c r="BM144" s="115"/>
      <c r="BN144" s="115"/>
      <c r="BO144" s="115"/>
      <c r="BP144" s="115"/>
      <c r="BQ144" s="115"/>
      <c r="BR144" s="115"/>
      <c r="BS144" s="115"/>
      <c r="BT144" s="115"/>
      <c r="BU144" s="115"/>
      <c r="BV144" s="115"/>
      <c r="BW144" s="25"/>
      <c r="BX144" s="13"/>
      <c r="CA144" s="114"/>
    </row>
    <row r="145" spans="1:79" ht="20.100000000000001" customHeight="1" x14ac:dyDescent="0.4">
      <c r="A145" s="117"/>
      <c r="B145" s="123"/>
      <c r="C145" s="123"/>
      <c r="D145" s="123"/>
      <c r="X145" s="25">
        <v>46104</v>
      </c>
      <c r="Y145" s="13" t="s">
        <v>146</v>
      </c>
      <c r="AJ145" s="115"/>
      <c r="AK145" s="115"/>
      <c r="AL145" s="115"/>
      <c r="AM145" s="115"/>
      <c r="AN145" s="127"/>
      <c r="AO145" s="29"/>
      <c r="AY145" s="25"/>
      <c r="AZ145" s="13"/>
      <c r="BE145" s="116"/>
      <c r="BF145" s="123"/>
      <c r="BG145" s="123"/>
      <c r="BH145" s="123"/>
      <c r="BM145" s="115"/>
      <c r="BN145" s="115"/>
      <c r="BO145" s="115"/>
      <c r="BP145" s="115"/>
      <c r="BQ145" s="115"/>
      <c r="BR145" s="115"/>
      <c r="BS145" s="115"/>
      <c r="BT145" s="115"/>
      <c r="BU145" s="115"/>
      <c r="BV145" s="115"/>
      <c r="BW145" s="25"/>
      <c r="BX145" s="13"/>
      <c r="CA145" s="114"/>
    </row>
    <row r="146" spans="1:79" ht="20.100000000000001" customHeight="1" x14ac:dyDescent="0.4">
      <c r="A146" s="117"/>
      <c r="B146" s="123"/>
      <c r="C146" s="123"/>
      <c r="D146" s="123"/>
      <c r="R146" s="115"/>
      <c r="S146" s="115"/>
      <c r="T146" s="115"/>
      <c r="U146" s="115"/>
      <c r="V146" s="115"/>
      <c r="W146" s="115"/>
      <c r="X146" s="25">
        <v>46104</v>
      </c>
      <c r="Y146" s="13" t="s">
        <v>146</v>
      </c>
      <c r="AJ146" s="115"/>
      <c r="AK146" s="115"/>
      <c r="AL146" s="115"/>
      <c r="AM146" s="115"/>
      <c r="AN146" s="127"/>
      <c r="AO146" s="29"/>
      <c r="AY146" s="25"/>
      <c r="AZ146" s="13"/>
      <c r="BE146" s="116"/>
      <c r="BF146" s="123"/>
      <c r="BG146" s="123"/>
      <c r="BH146" s="123"/>
      <c r="BM146" s="115"/>
      <c r="BN146" s="115"/>
      <c r="BO146" s="115"/>
      <c r="BP146" s="115"/>
      <c r="BQ146" s="115"/>
      <c r="BR146" s="115"/>
      <c r="BS146" s="115"/>
      <c r="BT146" s="115"/>
      <c r="BU146" s="115"/>
      <c r="BV146" s="115"/>
      <c r="BW146" s="25"/>
      <c r="BX146" s="13"/>
      <c r="CA146" s="114"/>
    </row>
    <row r="147" spans="1:79" ht="20.100000000000001" customHeight="1" x14ac:dyDescent="0.4">
      <c r="A147" s="117"/>
      <c r="B147" s="123"/>
      <c r="C147" s="123"/>
      <c r="D147" s="123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25">
        <v>46104</v>
      </c>
      <c r="Y147" s="13" t="s">
        <v>146</v>
      </c>
      <c r="AJ147" s="115"/>
      <c r="AK147" s="115"/>
      <c r="AL147" s="115"/>
      <c r="AM147" s="115"/>
      <c r="AN147" s="127"/>
      <c r="AO147" s="29"/>
      <c r="AY147" s="25"/>
      <c r="AZ147" s="13"/>
      <c r="BE147" s="116"/>
      <c r="BF147" s="123"/>
      <c r="BG147" s="123"/>
      <c r="BH147" s="123"/>
      <c r="BM147" s="115"/>
      <c r="BN147" s="115"/>
      <c r="BO147" s="115"/>
      <c r="BP147" s="115"/>
      <c r="BQ147" s="115"/>
      <c r="BR147" s="115"/>
      <c r="BS147" s="115"/>
      <c r="BT147" s="115"/>
      <c r="BU147" s="115"/>
      <c r="BV147" s="115"/>
      <c r="BW147" s="25"/>
      <c r="BX147" s="13"/>
      <c r="CA147" s="114"/>
    </row>
    <row r="148" spans="1:79" ht="20.100000000000001" customHeight="1" x14ac:dyDescent="0.4">
      <c r="A148" s="117"/>
      <c r="B148" s="123"/>
      <c r="C148" s="123"/>
      <c r="D148" s="123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25">
        <v>46104</v>
      </c>
      <c r="Y148" s="13" t="s">
        <v>146</v>
      </c>
      <c r="AJ148" s="115"/>
      <c r="AK148" s="115"/>
      <c r="AL148" s="115"/>
      <c r="AM148" s="115"/>
      <c r="AN148" s="127"/>
      <c r="AO148" s="29"/>
      <c r="AY148" s="25"/>
      <c r="AZ148" s="13"/>
      <c r="BE148" s="116"/>
      <c r="BF148" s="123"/>
      <c r="BG148" s="123"/>
      <c r="BH148" s="123"/>
      <c r="BM148" s="115"/>
      <c r="BN148" s="115"/>
      <c r="BO148" s="115"/>
      <c r="BP148" s="115"/>
      <c r="BQ148" s="115"/>
      <c r="BR148" s="115"/>
      <c r="BS148" s="115"/>
      <c r="BT148" s="115"/>
      <c r="BU148" s="115"/>
      <c r="BV148" s="115"/>
      <c r="BW148" s="25"/>
      <c r="BX148" s="13"/>
      <c r="CA148" s="114"/>
    </row>
    <row r="149" spans="1:79" ht="20.100000000000001" customHeight="1" x14ac:dyDescent="0.4">
      <c r="A149" s="117"/>
      <c r="B149" s="123"/>
      <c r="C149" s="123"/>
      <c r="D149" s="123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25">
        <v>46104</v>
      </c>
      <c r="Y149" s="13" t="s">
        <v>147</v>
      </c>
      <c r="AJ149" s="115"/>
      <c r="AK149" s="115"/>
      <c r="AL149" s="115"/>
      <c r="AM149" s="115"/>
      <c r="AN149" s="127"/>
      <c r="AO149" s="29"/>
      <c r="AY149" s="25"/>
      <c r="AZ149" s="13"/>
      <c r="BE149" s="116"/>
      <c r="BF149" s="123"/>
      <c r="BG149" s="123"/>
      <c r="BH149" s="123"/>
      <c r="BM149" s="115"/>
      <c r="BN149" s="115"/>
      <c r="BO149" s="115"/>
      <c r="BP149" s="115"/>
      <c r="BQ149" s="115"/>
      <c r="BR149" s="115"/>
      <c r="BS149" s="115"/>
      <c r="BT149" s="115"/>
      <c r="BU149" s="115"/>
      <c r="BV149" s="115"/>
      <c r="BW149" s="25"/>
      <c r="BX149" s="13"/>
      <c r="CA149" s="114"/>
    </row>
    <row r="150" spans="1:79" ht="20.100000000000001" customHeight="1" x14ac:dyDescent="0.4">
      <c r="A150" s="117"/>
      <c r="B150" s="123"/>
      <c r="C150" s="123"/>
      <c r="D150" s="123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25">
        <v>46104</v>
      </c>
      <c r="Y150" s="13" t="s">
        <v>146</v>
      </c>
      <c r="AJ150" s="115"/>
      <c r="AK150" s="115"/>
      <c r="AL150" s="115"/>
      <c r="AM150" s="115"/>
      <c r="AN150" s="127"/>
      <c r="AO150" s="29"/>
      <c r="AY150" s="25"/>
      <c r="AZ150" s="13"/>
      <c r="BE150" s="116"/>
      <c r="BF150" s="123"/>
      <c r="BG150" s="123"/>
      <c r="BH150" s="123"/>
      <c r="BM150" s="115"/>
      <c r="BN150" s="115"/>
      <c r="BO150" s="115"/>
      <c r="BP150" s="115"/>
      <c r="BQ150" s="115"/>
      <c r="BR150" s="115"/>
      <c r="BS150" s="115"/>
      <c r="BT150" s="115"/>
      <c r="BU150" s="115"/>
      <c r="BV150" s="115"/>
      <c r="BW150" s="25"/>
      <c r="BX150" s="13"/>
      <c r="CA150" s="114"/>
    </row>
    <row r="151" spans="1:79" ht="20.100000000000001" customHeight="1" x14ac:dyDescent="0.4">
      <c r="A151" s="117"/>
      <c r="B151" s="123"/>
      <c r="C151" s="123"/>
      <c r="D151" s="123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25">
        <v>46104</v>
      </c>
      <c r="Y151" s="13" t="s">
        <v>142</v>
      </c>
      <c r="AJ151" s="115"/>
      <c r="AK151" s="115"/>
      <c r="AL151" s="115"/>
      <c r="AM151" s="115"/>
      <c r="AN151" s="127"/>
      <c r="AO151" s="29"/>
      <c r="AY151" s="25"/>
      <c r="AZ151" s="13"/>
      <c r="BE151" s="116"/>
      <c r="BF151" s="123"/>
      <c r="BG151" s="123"/>
      <c r="BH151" s="123"/>
      <c r="BM151" s="115"/>
      <c r="BN151" s="115"/>
      <c r="BO151" s="115"/>
      <c r="BP151" s="115"/>
      <c r="BQ151" s="115"/>
      <c r="BR151" s="115"/>
      <c r="BS151" s="115"/>
      <c r="BT151" s="115"/>
      <c r="BU151" s="115"/>
      <c r="BV151" s="115"/>
      <c r="BW151" s="25"/>
      <c r="BX151" s="13"/>
      <c r="CA151" s="114"/>
    </row>
    <row r="152" spans="1:79" ht="20.100000000000001" customHeight="1" x14ac:dyDescent="0.4">
      <c r="A152" s="117"/>
      <c r="B152" s="123"/>
      <c r="C152" s="123"/>
      <c r="D152" s="123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25">
        <v>46104</v>
      </c>
      <c r="Y152" s="13" t="s">
        <v>147</v>
      </c>
      <c r="AJ152" s="115"/>
      <c r="AK152" s="115"/>
      <c r="AL152" s="115"/>
      <c r="AM152" s="115"/>
      <c r="AN152" s="127"/>
      <c r="AO152" s="29"/>
      <c r="AY152" s="25"/>
      <c r="AZ152" s="13"/>
      <c r="BE152" s="116"/>
      <c r="BF152" s="123"/>
      <c r="BG152" s="123"/>
      <c r="BH152" s="123"/>
      <c r="BM152" s="115"/>
      <c r="BN152" s="115"/>
      <c r="BO152" s="115"/>
      <c r="BP152" s="115"/>
      <c r="BQ152" s="115"/>
      <c r="BR152" s="115"/>
      <c r="BS152" s="115"/>
      <c r="BT152" s="115"/>
      <c r="BU152" s="115"/>
      <c r="BV152" s="115"/>
      <c r="BW152" s="25"/>
      <c r="BX152" s="13"/>
      <c r="CA152" s="114"/>
    </row>
    <row r="153" spans="1:79" ht="20.100000000000001" customHeight="1" x14ac:dyDescent="0.4">
      <c r="A153" s="117"/>
      <c r="B153" s="123"/>
      <c r="C153" s="123"/>
      <c r="D153" s="123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25">
        <v>46104</v>
      </c>
      <c r="Y153" s="13" t="s">
        <v>146</v>
      </c>
      <c r="AJ153" s="115"/>
      <c r="AK153" s="115"/>
      <c r="AL153" s="115"/>
      <c r="AM153" s="115"/>
      <c r="AN153" s="127"/>
      <c r="AO153" s="29"/>
      <c r="AY153" s="25"/>
      <c r="AZ153" s="13"/>
      <c r="BE153" s="116"/>
      <c r="BF153" s="123"/>
      <c r="BG153" s="123"/>
      <c r="BH153" s="123"/>
      <c r="BM153" s="115"/>
      <c r="BN153" s="115"/>
      <c r="BO153" s="115"/>
      <c r="BP153" s="115"/>
      <c r="BQ153" s="115"/>
      <c r="BR153" s="115"/>
      <c r="BS153" s="115"/>
      <c r="BT153" s="115"/>
      <c r="BU153" s="115"/>
      <c r="BV153" s="115"/>
      <c r="BW153" s="25"/>
      <c r="BX153" s="13"/>
      <c r="CA153" s="114"/>
    </row>
    <row r="154" spans="1:79" ht="20.100000000000001" customHeight="1" x14ac:dyDescent="0.4">
      <c r="A154" s="117"/>
      <c r="B154" s="123"/>
      <c r="C154" s="123"/>
      <c r="D154" s="123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25">
        <v>46104</v>
      </c>
      <c r="Y154" s="13" t="s">
        <v>147</v>
      </c>
      <c r="AJ154" s="115"/>
      <c r="AK154" s="115"/>
      <c r="AL154" s="115"/>
      <c r="AM154" s="115"/>
      <c r="AN154" s="127"/>
      <c r="AO154" s="29"/>
      <c r="AY154" s="25"/>
      <c r="AZ154" s="13"/>
      <c r="BE154" s="116"/>
      <c r="BF154" s="123"/>
      <c r="BG154" s="123"/>
      <c r="BH154" s="123"/>
      <c r="BM154" s="115"/>
      <c r="BN154" s="115"/>
      <c r="BO154" s="115"/>
      <c r="BP154" s="115"/>
      <c r="BQ154" s="115"/>
      <c r="BR154" s="115"/>
      <c r="BS154" s="115"/>
      <c r="BT154" s="115"/>
      <c r="BU154" s="115"/>
      <c r="BV154" s="115"/>
      <c r="BW154" s="25"/>
      <c r="BX154" s="13"/>
      <c r="CA154" s="114"/>
    </row>
    <row r="155" spans="1:79" ht="20.100000000000001" customHeight="1" x14ac:dyDescent="0.4">
      <c r="A155" s="117"/>
      <c r="B155" s="123"/>
      <c r="C155" s="123"/>
      <c r="D155" s="123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26">
        <v>46104</v>
      </c>
      <c r="Y155" s="13" t="s">
        <v>148</v>
      </c>
      <c r="AJ155" s="115"/>
      <c r="AK155" s="115"/>
      <c r="AL155" s="115"/>
      <c r="AM155" s="115"/>
      <c r="AN155" s="127"/>
      <c r="AO155" s="29"/>
      <c r="AY155" s="25"/>
      <c r="AZ155" s="13"/>
      <c r="BE155" s="116"/>
      <c r="BF155" s="123"/>
      <c r="BG155" s="123"/>
      <c r="BH155" s="123"/>
      <c r="BM155" s="115"/>
      <c r="BN155" s="115"/>
      <c r="BO155" s="115"/>
      <c r="BP155" s="115"/>
      <c r="BQ155" s="115"/>
      <c r="BR155" s="115"/>
      <c r="BS155" s="115"/>
      <c r="BT155" s="115"/>
      <c r="BU155" s="115"/>
      <c r="BV155" s="115"/>
      <c r="BW155" s="25"/>
      <c r="BX155" s="13"/>
      <c r="CA155" s="114"/>
    </row>
    <row r="156" spans="1:79" ht="20.100000000000001" customHeight="1" x14ac:dyDescent="0.4">
      <c r="A156" s="117"/>
      <c r="B156" s="123"/>
      <c r="C156" s="123"/>
      <c r="D156" s="123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26">
        <v>46104</v>
      </c>
      <c r="Y156" s="13" t="s">
        <v>148</v>
      </c>
      <c r="AJ156" s="115"/>
      <c r="AK156" s="115"/>
      <c r="AL156" s="115"/>
      <c r="AM156" s="115"/>
      <c r="AN156" s="127"/>
      <c r="AO156" s="29"/>
      <c r="AY156" s="25"/>
      <c r="AZ156" s="13"/>
      <c r="BE156" s="116"/>
      <c r="BF156" s="123"/>
      <c r="BG156" s="123"/>
      <c r="BH156" s="123"/>
      <c r="BM156" s="115"/>
      <c r="BN156" s="115"/>
      <c r="BO156" s="115"/>
      <c r="BP156" s="115"/>
      <c r="BQ156" s="115"/>
      <c r="BR156" s="115"/>
      <c r="BS156" s="115"/>
      <c r="BT156" s="115"/>
      <c r="BU156" s="115"/>
      <c r="BV156" s="115"/>
      <c r="BW156" s="25"/>
      <c r="BX156" s="13"/>
      <c r="CA156" s="114"/>
    </row>
    <row r="157" spans="1:79" ht="20.100000000000001" customHeight="1" x14ac:dyDescent="0.4">
      <c r="A157" s="117"/>
      <c r="B157" s="123"/>
      <c r="C157" s="123"/>
      <c r="D157" s="123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26">
        <v>46104</v>
      </c>
      <c r="Y157" s="13" t="s">
        <v>147</v>
      </c>
      <c r="AJ157" s="115"/>
      <c r="AK157" s="115"/>
      <c r="AL157" s="115"/>
      <c r="AM157" s="115"/>
      <c r="AN157" s="127"/>
      <c r="AO157" s="29"/>
      <c r="AY157" s="25"/>
      <c r="AZ157" s="13"/>
      <c r="BE157" s="116"/>
      <c r="BF157" s="123"/>
      <c r="BG157" s="123"/>
      <c r="BH157" s="123"/>
      <c r="BM157" s="115"/>
      <c r="BN157" s="115"/>
      <c r="BO157" s="115"/>
      <c r="BP157" s="115"/>
      <c r="BQ157" s="115"/>
      <c r="BR157" s="115"/>
      <c r="BS157" s="115"/>
      <c r="BT157" s="115"/>
      <c r="BU157" s="115"/>
      <c r="BV157" s="115"/>
      <c r="BW157" s="25"/>
      <c r="BX157" s="13"/>
      <c r="CA157" s="114"/>
    </row>
    <row r="158" spans="1:79" ht="20.100000000000001" customHeight="1" x14ac:dyDescent="0.4">
      <c r="A158" s="117"/>
      <c r="B158" s="123"/>
      <c r="C158" s="123"/>
      <c r="D158" s="123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26">
        <v>46104</v>
      </c>
      <c r="Y158" s="13" t="s">
        <v>147</v>
      </c>
      <c r="AJ158" s="115"/>
      <c r="AK158" s="115"/>
      <c r="AL158" s="115"/>
      <c r="AM158" s="115"/>
      <c r="AN158" s="127"/>
      <c r="AO158" s="29"/>
      <c r="AY158" s="25"/>
      <c r="AZ158" s="13"/>
      <c r="BE158" s="116"/>
      <c r="BF158" s="123"/>
      <c r="BG158" s="123"/>
      <c r="BH158" s="123"/>
      <c r="BM158" s="115"/>
      <c r="BN158" s="115"/>
      <c r="BO158" s="115"/>
      <c r="BP158" s="115"/>
      <c r="BQ158" s="115"/>
      <c r="BR158" s="115"/>
      <c r="BS158" s="115"/>
      <c r="BT158" s="115"/>
      <c r="BU158" s="115"/>
      <c r="BV158" s="115"/>
      <c r="BW158" s="25"/>
      <c r="BX158" s="13"/>
      <c r="CA158" s="114"/>
    </row>
    <row r="159" spans="1:79" ht="20.100000000000001" customHeight="1" x14ac:dyDescent="0.4">
      <c r="A159" s="117"/>
      <c r="B159" s="123"/>
      <c r="C159" s="123"/>
      <c r="D159" s="123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 t="s">
        <v>409</v>
      </c>
      <c r="X159" s="17">
        <f>SUBTOTAL(3,X135:X158)</f>
        <v>24</v>
      </c>
      <c r="Y159" s="13">
        <f>SUBTOTAL(3,Y135:Y158)</f>
        <v>24</v>
      </c>
      <c r="AJ159" s="115"/>
      <c r="AK159" s="115"/>
      <c r="AL159" s="115"/>
      <c r="AM159" s="115"/>
      <c r="AN159" s="127"/>
      <c r="AO159" s="29"/>
      <c r="AY159" s="25"/>
      <c r="AZ159" s="13"/>
      <c r="BE159" s="116"/>
      <c r="BF159" s="123"/>
      <c r="BG159" s="123"/>
      <c r="BH159" s="123"/>
      <c r="BM159" s="115"/>
      <c r="BN159" s="115"/>
      <c r="BO159" s="115"/>
      <c r="BP159" s="115"/>
      <c r="BQ159" s="115"/>
      <c r="BR159" s="115"/>
      <c r="BS159" s="115"/>
      <c r="BT159" s="115"/>
      <c r="BU159" s="115"/>
      <c r="BV159" s="115"/>
      <c r="BW159" s="25"/>
      <c r="BX159" s="13"/>
      <c r="CA159" s="114"/>
    </row>
    <row r="160" spans="1:79" ht="20.100000000000001" customHeight="1" x14ac:dyDescent="0.4">
      <c r="A160" s="117"/>
      <c r="B160" s="123"/>
      <c r="C160" s="123"/>
      <c r="D160" s="123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26">
        <v>46105</v>
      </c>
      <c r="Y160" s="13" t="s">
        <v>148</v>
      </c>
      <c r="AJ160" s="115"/>
      <c r="AK160" s="115"/>
      <c r="AL160" s="115"/>
      <c r="AM160" s="115"/>
      <c r="AN160" s="127"/>
      <c r="AO160" s="29"/>
      <c r="AY160" s="25"/>
      <c r="AZ160" s="13"/>
      <c r="BE160" s="116"/>
      <c r="BF160" s="123"/>
      <c r="BG160" s="123"/>
      <c r="BH160" s="123"/>
      <c r="BM160" s="115"/>
      <c r="BN160" s="115"/>
      <c r="BO160" s="115"/>
      <c r="BP160" s="115"/>
      <c r="BQ160" s="115"/>
      <c r="BR160" s="115"/>
      <c r="BS160" s="115"/>
      <c r="BT160" s="115"/>
      <c r="BU160" s="115"/>
      <c r="BV160" s="115"/>
      <c r="BW160" s="25"/>
      <c r="BX160" s="13"/>
      <c r="CA160" s="114"/>
    </row>
    <row r="161" spans="1:79" ht="20.100000000000001" customHeight="1" x14ac:dyDescent="0.4">
      <c r="A161" s="117"/>
      <c r="B161" s="123"/>
      <c r="C161" s="123"/>
      <c r="D161" s="123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26">
        <v>46105</v>
      </c>
      <c r="Y161" s="13" t="s">
        <v>148</v>
      </c>
      <c r="AJ161" s="115"/>
      <c r="AK161" s="115"/>
      <c r="AL161" s="115"/>
      <c r="AM161" s="115"/>
      <c r="AN161" s="127"/>
      <c r="AO161" s="29"/>
      <c r="AY161" s="25"/>
      <c r="AZ161" s="13"/>
      <c r="BE161" s="116"/>
      <c r="BF161" s="123"/>
      <c r="BG161" s="123"/>
      <c r="BH161" s="123"/>
      <c r="BM161" s="115"/>
      <c r="BN161" s="115"/>
      <c r="BO161" s="115"/>
      <c r="BP161" s="115"/>
      <c r="BQ161" s="115"/>
      <c r="BR161" s="115"/>
      <c r="BS161" s="115"/>
      <c r="BT161" s="115"/>
      <c r="BU161" s="115"/>
      <c r="BV161" s="115"/>
      <c r="BW161" s="25"/>
      <c r="BX161" s="13"/>
      <c r="CA161" s="114"/>
    </row>
    <row r="162" spans="1:79" ht="20.100000000000001" customHeight="1" x14ac:dyDescent="0.4">
      <c r="A162" s="117"/>
      <c r="B162" s="123"/>
      <c r="C162" s="123"/>
      <c r="D162" s="123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26">
        <v>46105</v>
      </c>
      <c r="Y162" s="13" t="s">
        <v>148</v>
      </c>
      <c r="AJ162" s="115"/>
      <c r="AK162" s="115"/>
      <c r="AL162" s="115"/>
      <c r="AM162" s="115"/>
      <c r="AN162" s="127"/>
      <c r="AO162" s="29"/>
      <c r="AY162" s="25"/>
      <c r="AZ162" s="13"/>
      <c r="BE162" s="116"/>
      <c r="BF162" s="123"/>
      <c r="BG162" s="123"/>
      <c r="BH162" s="123"/>
      <c r="BM162" s="115"/>
      <c r="BN162" s="115"/>
      <c r="BO162" s="115"/>
      <c r="BP162" s="115"/>
      <c r="BQ162" s="115"/>
      <c r="BR162" s="115"/>
      <c r="BS162" s="115"/>
      <c r="BT162" s="115"/>
      <c r="BU162" s="115"/>
      <c r="BV162" s="115"/>
      <c r="BW162" s="25"/>
      <c r="BX162" s="13"/>
      <c r="CA162" s="114"/>
    </row>
    <row r="163" spans="1:79" ht="20.100000000000001" customHeight="1" x14ac:dyDescent="0.4">
      <c r="A163" s="117"/>
      <c r="B163" s="123"/>
      <c r="C163" s="123"/>
      <c r="D163" s="123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26">
        <v>46105</v>
      </c>
      <c r="Y163" s="13" t="s">
        <v>148</v>
      </c>
      <c r="AJ163" s="115"/>
      <c r="AK163" s="115"/>
      <c r="AL163" s="115"/>
      <c r="AM163" s="115"/>
      <c r="AN163" s="127"/>
      <c r="AO163" s="29"/>
      <c r="AY163" s="25"/>
      <c r="AZ163" s="13"/>
      <c r="BE163" s="116"/>
      <c r="BF163" s="123"/>
      <c r="BG163" s="123"/>
      <c r="BH163" s="123"/>
      <c r="BM163" s="115"/>
      <c r="BN163" s="115"/>
      <c r="BO163" s="115"/>
      <c r="BP163" s="115"/>
      <c r="BQ163" s="115"/>
      <c r="BR163" s="115"/>
      <c r="BS163" s="115"/>
      <c r="BT163" s="115"/>
      <c r="BU163" s="115"/>
      <c r="BV163" s="115"/>
      <c r="BW163" s="25"/>
      <c r="BX163" s="13"/>
      <c r="CA163" s="114"/>
    </row>
    <row r="164" spans="1:79" ht="20.100000000000001" customHeight="1" x14ac:dyDescent="0.4">
      <c r="A164" s="117"/>
      <c r="B164" s="123"/>
      <c r="C164" s="123"/>
      <c r="D164" s="123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26">
        <v>46105</v>
      </c>
      <c r="Y164" s="13" t="s">
        <v>146</v>
      </c>
      <c r="AJ164" s="115"/>
      <c r="AK164" s="115"/>
      <c r="AL164" s="115"/>
      <c r="AM164" s="115"/>
      <c r="AN164" s="127"/>
      <c r="AO164" s="29"/>
      <c r="AY164" s="25"/>
      <c r="AZ164" s="13"/>
      <c r="BE164" s="116"/>
      <c r="BF164" s="123"/>
      <c r="BG164" s="123"/>
      <c r="BH164" s="123"/>
      <c r="BM164" s="115"/>
      <c r="BN164" s="115"/>
      <c r="BO164" s="115"/>
      <c r="BP164" s="115"/>
      <c r="BQ164" s="115"/>
      <c r="BR164" s="115"/>
      <c r="BS164" s="115"/>
      <c r="BT164" s="115"/>
      <c r="BU164" s="115"/>
      <c r="BV164" s="115"/>
      <c r="BW164" s="25"/>
      <c r="BX164" s="13"/>
      <c r="CA164" s="114"/>
    </row>
    <row r="165" spans="1:79" ht="20.100000000000001" customHeight="1" x14ac:dyDescent="0.4">
      <c r="A165" s="117"/>
      <c r="B165" s="123"/>
      <c r="C165" s="123"/>
      <c r="D165" s="123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26">
        <v>46105</v>
      </c>
      <c r="Y165" s="13" t="s">
        <v>147</v>
      </c>
      <c r="AJ165" s="115"/>
      <c r="AK165" s="115"/>
      <c r="AL165" s="115"/>
      <c r="AM165" s="115"/>
      <c r="AN165" s="127"/>
      <c r="AO165" s="29"/>
      <c r="AY165" s="25"/>
      <c r="AZ165" s="13"/>
      <c r="BE165" s="116"/>
      <c r="BF165" s="123"/>
      <c r="BG165" s="123"/>
      <c r="BH165" s="123"/>
      <c r="BM165" s="115"/>
      <c r="BN165" s="115"/>
      <c r="BO165" s="115"/>
      <c r="BP165" s="115"/>
      <c r="BQ165" s="115"/>
      <c r="BR165" s="115"/>
      <c r="BS165" s="115"/>
      <c r="BT165" s="115"/>
      <c r="BU165" s="115"/>
      <c r="BV165" s="115"/>
      <c r="BW165" s="25"/>
      <c r="BX165" s="13"/>
      <c r="CA165" s="114"/>
    </row>
    <row r="166" spans="1:79" ht="20.100000000000001" customHeight="1" x14ac:dyDescent="0.4">
      <c r="A166" s="117"/>
      <c r="B166" s="123"/>
      <c r="C166" s="123"/>
      <c r="D166" s="123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26">
        <v>46105</v>
      </c>
      <c r="Y166" s="13" t="s">
        <v>146</v>
      </c>
      <c r="AJ166" s="115"/>
      <c r="AK166" s="115"/>
      <c r="AL166" s="115"/>
      <c r="AM166" s="115"/>
      <c r="AN166" s="127"/>
      <c r="AO166" s="29"/>
      <c r="AY166" s="25"/>
      <c r="AZ166" s="13"/>
      <c r="BE166" s="116"/>
      <c r="BF166" s="123"/>
      <c r="BG166" s="123"/>
      <c r="BH166" s="123"/>
      <c r="BM166" s="115"/>
      <c r="BN166" s="115"/>
      <c r="BO166" s="115"/>
      <c r="BP166" s="115"/>
      <c r="BQ166" s="115"/>
      <c r="BR166" s="115"/>
      <c r="BS166" s="115"/>
      <c r="BT166" s="115"/>
      <c r="BU166" s="115"/>
      <c r="BV166" s="115"/>
      <c r="BW166" s="25"/>
      <c r="BX166" s="13"/>
      <c r="CA166" s="114"/>
    </row>
    <row r="167" spans="1:79" ht="20.100000000000001" customHeight="1" x14ac:dyDescent="0.4">
      <c r="A167" s="117"/>
      <c r="B167" s="123"/>
      <c r="C167" s="123"/>
      <c r="D167" s="123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26">
        <v>46105</v>
      </c>
      <c r="Y167" s="13" t="s">
        <v>148</v>
      </c>
      <c r="AJ167" s="115"/>
      <c r="AK167" s="115"/>
      <c r="AL167" s="115"/>
      <c r="AM167" s="115"/>
      <c r="AN167" s="127"/>
      <c r="AO167" s="29"/>
      <c r="AY167" s="25"/>
      <c r="AZ167" s="13"/>
      <c r="BE167" s="116"/>
      <c r="BF167" s="123"/>
      <c r="BG167" s="123"/>
      <c r="BH167" s="123"/>
      <c r="BM167" s="115"/>
      <c r="BN167" s="115"/>
      <c r="BO167" s="115"/>
      <c r="BP167" s="115"/>
      <c r="BQ167" s="115"/>
      <c r="BR167" s="115"/>
      <c r="BS167" s="115"/>
      <c r="BT167" s="115"/>
      <c r="BU167" s="115"/>
      <c r="BV167" s="115"/>
      <c r="BW167" s="25"/>
      <c r="BX167" s="13"/>
      <c r="CA167" s="114"/>
    </row>
    <row r="168" spans="1:79" ht="20.100000000000001" customHeight="1" x14ac:dyDescent="0.4">
      <c r="A168" s="117"/>
      <c r="B168" s="123"/>
      <c r="C168" s="123"/>
      <c r="D168" s="123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26">
        <v>46105</v>
      </c>
      <c r="Y168" s="13" t="s">
        <v>147</v>
      </c>
      <c r="AJ168" s="115"/>
      <c r="AK168" s="115"/>
      <c r="AL168" s="115"/>
      <c r="AM168" s="115"/>
      <c r="AN168" s="127"/>
      <c r="AO168" s="29"/>
      <c r="AY168" s="25"/>
      <c r="AZ168" s="13"/>
      <c r="BE168" s="116"/>
      <c r="BF168" s="123"/>
      <c r="BG168" s="123"/>
      <c r="BH168" s="123"/>
      <c r="BM168" s="115"/>
      <c r="BN168" s="115"/>
      <c r="BO168" s="115"/>
      <c r="BP168" s="115"/>
      <c r="BQ168" s="115"/>
      <c r="BR168" s="115"/>
      <c r="BS168" s="115"/>
      <c r="BT168" s="115"/>
      <c r="BU168" s="115"/>
      <c r="BV168" s="115"/>
      <c r="BW168" s="25"/>
      <c r="BX168" s="13"/>
      <c r="CA168" s="114"/>
    </row>
    <row r="169" spans="1:79" ht="20.100000000000001" customHeight="1" x14ac:dyDescent="0.4">
      <c r="A169" s="117"/>
      <c r="B169" s="123"/>
      <c r="C169" s="123"/>
      <c r="D169" s="123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26">
        <v>46105</v>
      </c>
      <c r="Y169" s="13" t="s">
        <v>147</v>
      </c>
      <c r="AJ169" s="115"/>
      <c r="AK169" s="115"/>
      <c r="AL169" s="115"/>
      <c r="AM169" s="115"/>
      <c r="AN169" s="127"/>
      <c r="AO169" s="29"/>
      <c r="AY169" s="25"/>
      <c r="AZ169" s="13"/>
      <c r="BE169" s="116"/>
      <c r="BF169" s="123"/>
      <c r="BG169" s="123"/>
      <c r="BH169" s="123"/>
      <c r="BM169" s="115"/>
      <c r="BN169" s="115"/>
      <c r="BO169" s="115"/>
      <c r="BP169" s="115"/>
      <c r="BQ169" s="115"/>
      <c r="BR169" s="115"/>
      <c r="BS169" s="115"/>
      <c r="BT169" s="115"/>
      <c r="BU169" s="115"/>
      <c r="BV169" s="115"/>
      <c r="BW169" s="25"/>
      <c r="BX169" s="13"/>
      <c r="CA169" s="114"/>
    </row>
    <row r="170" spans="1:79" ht="20.100000000000001" customHeight="1" x14ac:dyDescent="0.4">
      <c r="A170" s="117"/>
      <c r="B170" s="123"/>
      <c r="C170" s="123"/>
      <c r="D170" s="123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 t="s">
        <v>410</v>
      </c>
      <c r="X170" s="17">
        <f>SUBTOTAL(3,X160:X169)</f>
        <v>10</v>
      </c>
      <c r="Y170" s="13">
        <f>SUBTOTAL(3,Y160:Y169)</f>
        <v>10</v>
      </c>
      <c r="AJ170" s="115"/>
      <c r="AK170" s="115"/>
      <c r="AL170" s="115"/>
      <c r="AM170" s="115"/>
      <c r="AN170" s="127"/>
      <c r="AO170" s="29"/>
      <c r="AY170" s="25"/>
      <c r="AZ170" s="13"/>
      <c r="BE170" s="116"/>
      <c r="BF170" s="123"/>
      <c r="BG170" s="123"/>
      <c r="BH170" s="123"/>
      <c r="BM170" s="115"/>
      <c r="BN170" s="115"/>
      <c r="BO170" s="115"/>
      <c r="BP170" s="115"/>
      <c r="BQ170" s="115"/>
      <c r="BR170" s="115"/>
      <c r="BS170" s="115"/>
      <c r="BT170" s="115"/>
      <c r="BU170" s="115"/>
      <c r="BV170" s="115"/>
      <c r="BW170" s="25"/>
      <c r="BX170" s="13"/>
      <c r="CA170" s="114"/>
    </row>
    <row r="171" spans="1:79" ht="20.100000000000001" customHeight="1" x14ac:dyDescent="0.4">
      <c r="A171" s="117"/>
      <c r="B171" s="123"/>
      <c r="C171" s="123"/>
      <c r="D171" s="123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26">
        <v>46106</v>
      </c>
      <c r="Y171" s="13" t="s">
        <v>146</v>
      </c>
      <c r="AJ171" s="115"/>
      <c r="AK171" s="115"/>
      <c r="AL171" s="115"/>
      <c r="AM171" s="115"/>
      <c r="AN171" s="127"/>
      <c r="AO171" s="29"/>
      <c r="AY171" s="25"/>
      <c r="AZ171" s="13"/>
      <c r="BE171" s="116"/>
      <c r="BF171" s="123"/>
      <c r="BG171" s="123"/>
      <c r="BH171" s="123"/>
      <c r="BM171" s="115"/>
      <c r="BN171" s="115"/>
      <c r="BO171" s="115"/>
      <c r="BP171" s="115"/>
      <c r="BQ171" s="115"/>
      <c r="BR171" s="115"/>
      <c r="BS171" s="115"/>
      <c r="BT171" s="115"/>
      <c r="BU171" s="115"/>
      <c r="BV171" s="115"/>
      <c r="BW171" s="25"/>
      <c r="BX171" s="13"/>
      <c r="CA171" s="114"/>
    </row>
    <row r="172" spans="1:79" ht="20.100000000000001" customHeight="1" x14ac:dyDescent="0.4">
      <c r="A172" s="117"/>
      <c r="B172" s="123"/>
      <c r="C172" s="123"/>
      <c r="D172" s="123"/>
      <c r="X172" s="26">
        <v>46106</v>
      </c>
      <c r="Y172" s="13" t="s">
        <v>146</v>
      </c>
      <c r="AJ172" s="115"/>
      <c r="AK172" s="115"/>
      <c r="AL172" s="115"/>
      <c r="AM172" s="115"/>
      <c r="AN172" s="29"/>
      <c r="AO172" s="29"/>
      <c r="AY172" s="25"/>
      <c r="AZ172" s="13"/>
      <c r="BE172" s="116"/>
      <c r="BF172" s="123"/>
      <c r="BG172" s="123"/>
      <c r="BH172" s="123"/>
      <c r="BM172" s="115"/>
      <c r="BN172" s="115"/>
      <c r="BO172" s="115"/>
      <c r="BP172" s="115"/>
      <c r="BQ172" s="115"/>
      <c r="BR172" s="115"/>
      <c r="BS172" s="115"/>
      <c r="BT172" s="115"/>
      <c r="BU172" s="115"/>
      <c r="BV172" s="115"/>
      <c r="BW172" s="25"/>
      <c r="BX172" s="13"/>
      <c r="CA172" s="114"/>
    </row>
    <row r="173" spans="1:79" ht="20.100000000000001" customHeight="1" x14ac:dyDescent="0.4">
      <c r="A173" s="117"/>
      <c r="B173" s="123"/>
      <c r="C173" s="123"/>
      <c r="D173" s="123"/>
      <c r="V173" s="115"/>
      <c r="W173" s="115"/>
      <c r="X173" s="26">
        <v>46106</v>
      </c>
      <c r="Y173" s="13" t="s">
        <v>146</v>
      </c>
      <c r="AJ173" s="115"/>
      <c r="AK173" s="115"/>
      <c r="AL173" s="115"/>
      <c r="AM173" s="115"/>
      <c r="AN173" s="29"/>
      <c r="AO173" s="29"/>
      <c r="AY173" s="25"/>
      <c r="AZ173" s="13"/>
      <c r="BE173" s="116"/>
      <c r="BF173" s="123"/>
      <c r="BG173" s="123"/>
      <c r="BH173" s="123"/>
      <c r="BM173" s="115"/>
      <c r="BN173" s="115"/>
      <c r="BO173" s="115"/>
      <c r="BP173" s="115"/>
      <c r="BQ173" s="115"/>
      <c r="BR173" s="115"/>
      <c r="BS173" s="115"/>
      <c r="BT173" s="115"/>
      <c r="BU173" s="115"/>
      <c r="BV173" s="115"/>
      <c r="BW173" s="25"/>
      <c r="BX173" s="13"/>
      <c r="CA173" s="114"/>
    </row>
    <row r="174" spans="1:79" ht="20.100000000000001" customHeight="1" x14ac:dyDescent="0.4">
      <c r="A174" s="117"/>
      <c r="B174" s="123"/>
      <c r="C174" s="123"/>
      <c r="D174" s="123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26">
        <v>46106</v>
      </c>
      <c r="Y174" s="13" t="s">
        <v>146</v>
      </c>
      <c r="AJ174" s="115"/>
      <c r="AK174" s="115"/>
      <c r="AL174" s="115"/>
      <c r="AM174" s="115"/>
      <c r="AN174" s="29"/>
      <c r="AO174" s="29"/>
      <c r="AY174" s="25"/>
      <c r="AZ174" s="13"/>
      <c r="BE174" s="116"/>
      <c r="BF174" s="123"/>
      <c r="BG174" s="123"/>
      <c r="BH174" s="123"/>
      <c r="BM174" s="115"/>
      <c r="BN174" s="115"/>
      <c r="BO174" s="115"/>
      <c r="BP174" s="115"/>
      <c r="BQ174" s="115"/>
      <c r="BR174" s="115"/>
      <c r="BS174" s="115"/>
      <c r="BT174" s="115"/>
      <c r="BU174" s="115"/>
      <c r="BV174" s="115"/>
      <c r="BW174" s="25"/>
      <c r="BX174" s="13"/>
      <c r="CA174" s="114"/>
    </row>
    <row r="175" spans="1:79" ht="20.100000000000001" customHeight="1" x14ac:dyDescent="0.4">
      <c r="A175" s="117"/>
      <c r="B175" s="123"/>
      <c r="C175" s="123"/>
      <c r="D175" s="123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26">
        <v>46106</v>
      </c>
      <c r="Y175" s="13" t="s">
        <v>146</v>
      </c>
      <c r="AJ175" s="115"/>
      <c r="AK175" s="115"/>
      <c r="AL175" s="115"/>
      <c r="AM175" s="115"/>
      <c r="AN175" s="29"/>
      <c r="AO175" s="29"/>
      <c r="AY175" s="25"/>
      <c r="AZ175" s="13"/>
      <c r="BE175" s="116"/>
      <c r="BF175" s="123"/>
      <c r="BG175" s="123"/>
      <c r="BH175" s="123"/>
      <c r="BM175" s="115"/>
      <c r="BN175" s="115"/>
      <c r="BO175" s="115"/>
      <c r="BP175" s="115"/>
      <c r="BQ175" s="115"/>
      <c r="BR175" s="115"/>
      <c r="BS175" s="115"/>
      <c r="BT175" s="115"/>
      <c r="BU175" s="115"/>
      <c r="BV175" s="115"/>
      <c r="BW175" s="25"/>
      <c r="BX175" s="13"/>
      <c r="CA175" s="114"/>
    </row>
    <row r="176" spans="1:79" ht="20.100000000000001" customHeight="1" x14ac:dyDescent="0.4">
      <c r="A176" s="117"/>
      <c r="B176" s="123"/>
      <c r="C176" s="123"/>
      <c r="D176" s="123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26">
        <v>46106</v>
      </c>
      <c r="Y176" s="13" t="s">
        <v>146</v>
      </c>
      <c r="AJ176" s="115"/>
      <c r="AK176" s="115"/>
      <c r="AL176" s="115"/>
      <c r="AM176" s="115"/>
      <c r="AN176" s="29"/>
      <c r="AO176" s="29"/>
      <c r="AY176" s="25"/>
      <c r="AZ176" s="13"/>
      <c r="BE176" s="116"/>
      <c r="BF176" s="123"/>
      <c r="BG176" s="123"/>
      <c r="BH176" s="123"/>
      <c r="BM176" s="115"/>
      <c r="BN176" s="115"/>
      <c r="BO176" s="115"/>
      <c r="BP176" s="115"/>
      <c r="BQ176" s="115"/>
      <c r="BR176" s="115"/>
      <c r="BS176" s="115"/>
      <c r="BT176" s="115"/>
      <c r="BU176" s="115"/>
      <c r="BV176" s="115"/>
      <c r="BW176" s="25"/>
      <c r="BX176" s="13"/>
      <c r="CA176" s="114"/>
    </row>
    <row r="177" spans="1:79" ht="20.100000000000001" customHeight="1" x14ac:dyDescent="0.4">
      <c r="A177" s="117"/>
      <c r="B177" s="139"/>
      <c r="C177" s="123"/>
      <c r="D177" s="123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26">
        <v>46106</v>
      </c>
      <c r="Y177" s="13" t="s">
        <v>147</v>
      </c>
      <c r="AJ177" s="115"/>
      <c r="AK177" s="115"/>
      <c r="AL177" s="115"/>
      <c r="AM177" s="115"/>
      <c r="AN177" s="29"/>
      <c r="AO177" s="29"/>
      <c r="AY177" s="25"/>
      <c r="AZ177" s="13"/>
      <c r="BE177" s="116"/>
      <c r="BF177" s="123"/>
      <c r="BG177" s="123"/>
      <c r="BH177" s="123"/>
      <c r="BM177" s="115"/>
      <c r="BN177" s="115"/>
      <c r="BO177" s="115"/>
      <c r="BP177" s="115"/>
      <c r="BQ177" s="115"/>
      <c r="BR177" s="115"/>
      <c r="BS177" s="115"/>
      <c r="BT177" s="115"/>
      <c r="BU177" s="115"/>
      <c r="BV177" s="115"/>
      <c r="BW177" s="25"/>
      <c r="BX177" s="13"/>
      <c r="CA177" s="114"/>
    </row>
    <row r="178" spans="1:79" ht="20.100000000000001" customHeight="1" x14ac:dyDescent="0.4">
      <c r="A178" s="117"/>
      <c r="B178" s="139"/>
      <c r="C178" s="123"/>
      <c r="D178" s="123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26">
        <v>46106</v>
      </c>
      <c r="Y178" s="13" t="s">
        <v>147</v>
      </c>
      <c r="AJ178" s="115"/>
      <c r="AK178" s="115"/>
      <c r="AL178" s="115"/>
      <c r="AM178" s="115"/>
      <c r="AN178" s="29"/>
      <c r="AO178" s="29"/>
      <c r="AY178" s="25"/>
      <c r="AZ178" s="13"/>
      <c r="BE178" s="116"/>
      <c r="BF178" s="123"/>
      <c r="BG178" s="123"/>
      <c r="BH178" s="123"/>
      <c r="BM178" s="115"/>
      <c r="BN178" s="115"/>
      <c r="BO178" s="115"/>
      <c r="BP178" s="115"/>
      <c r="BQ178" s="115"/>
      <c r="BR178" s="115"/>
      <c r="BS178" s="115"/>
      <c r="BT178" s="115"/>
      <c r="BU178" s="115"/>
      <c r="BV178" s="115"/>
      <c r="BW178" s="25"/>
      <c r="BX178" s="13"/>
      <c r="CA178" s="114"/>
    </row>
    <row r="179" spans="1:79" ht="20.100000000000001" customHeight="1" x14ac:dyDescent="0.4">
      <c r="A179" s="117"/>
      <c r="B179" s="139"/>
      <c r="C179" s="123"/>
      <c r="D179" s="123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26">
        <v>46106</v>
      </c>
      <c r="Y179" s="13" t="s">
        <v>148</v>
      </c>
      <c r="AJ179" s="115"/>
      <c r="AK179" s="115"/>
      <c r="AL179" s="115"/>
      <c r="AM179" s="115"/>
      <c r="AN179" s="29"/>
      <c r="AO179" s="29"/>
      <c r="AY179" s="25"/>
      <c r="AZ179" s="13"/>
      <c r="BE179" s="116"/>
      <c r="BF179" s="123"/>
      <c r="BG179" s="123"/>
      <c r="BH179" s="123"/>
      <c r="BM179" s="115"/>
      <c r="BN179" s="115"/>
      <c r="BO179" s="115"/>
      <c r="BP179" s="115"/>
      <c r="BQ179" s="115"/>
      <c r="BR179" s="115"/>
      <c r="BS179" s="115"/>
      <c r="BT179" s="115"/>
      <c r="BU179" s="115"/>
      <c r="BV179" s="115"/>
      <c r="BW179" s="25"/>
      <c r="BX179" s="13"/>
      <c r="CA179" s="114"/>
    </row>
    <row r="180" spans="1:79" ht="20.100000000000001" customHeight="1" x14ac:dyDescent="0.4">
      <c r="A180" s="117"/>
      <c r="B180" s="139"/>
      <c r="C180" s="123"/>
      <c r="D180" s="123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26">
        <v>46106</v>
      </c>
      <c r="Y180" s="13" t="s">
        <v>147</v>
      </c>
      <c r="AJ180" s="115"/>
      <c r="AK180" s="115"/>
      <c r="AL180" s="115"/>
      <c r="AM180" s="115"/>
      <c r="AN180" s="29"/>
      <c r="AO180" s="29"/>
      <c r="AY180" s="25"/>
      <c r="AZ180" s="13"/>
      <c r="BE180" s="116"/>
      <c r="BF180" s="123"/>
      <c r="BG180" s="123"/>
      <c r="BH180" s="123"/>
      <c r="BM180" s="115"/>
      <c r="BN180" s="115"/>
      <c r="BO180" s="115"/>
      <c r="BP180" s="115"/>
      <c r="BQ180" s="115"/>
      <c r="BR180" s="115"/>
      <c r="BS180" s="115"/>
      <c r="BT180" s="115"/>
      <c r="BU180" s="115"/>
      <c r="BV180" s="115"/>
      <c r="BW180" s="25"/>
      <c r="BX180" s="13"/>
      <c r="CA180" s="114"/>
    </row>
    <row r="181" spans="1:79" ht="20.100000000000001" customHeight="1" x14ac:dyDescent="0.4">
      <c r="A181" s="117"/>
      <c r="B181" s="139"/>
      <c r="C181" s="123"/>
      <c r="D181" s="123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26">
        <v>46106</v>
      </c>
      <c r="Y181" s="13" t="s">
        <v>147</v>
      </c>
      <c r="AJ181" s="115"/>
      <c r="AK181" s="115"/>
      <c r="AL181" s="115"/>
      <c r="AM181" s="115"/>
      <c r="AN181" s="29"/>
      <c r="AO181" s="29"/>
      <c r="AY181" s="25"/>
      <c r="AZ181" s="13"/>
      <c r="BE181" s="116"/>
      <c r="BF181" s="123"/>
      <c r="BG181" s="123"/>
      <c r="BH181" s="123"/>
      <c r="BM181" s="115"/>
      <c r="BN181" s="115"/>
      <c r="BO181" s="115"/>
      <c r="BP181" s="115"/>
      <c r="BQ181" s="115"/>
      <c r="BR181" s="115"/>
      <c r="BS181" s="115"/>
      <c r="BT181" s="115"/>
      <c r="BU181" s="115"/>
      <c r="BV181" s="115"/>
      <c r="BW181" s="25"/>
      <c r="BX181" s="13"/>
      <c r="CA181" s="114"/>
    </row>
    <row r="182" spans="1:79" ht="20.100000000000001" customHeight="1" x14ac:dyDescent="0.4">
      <c r="A182" s="117"/>
      <c r="B182" s="139"/>
      <c r="C182" s="123"/>
      <c r="D182" s="123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 t="s">
        <v>411</v>
      </c>
      <c r="X182" s="17">
        <f>SUBTOTAL(3,X171:X181)</f>
        <v>11</v>
      </c>
      <c r="Y182" s="13">
        <f>SUBTOTAL(3,Y171:Y181)</f>
        <v>11</v>
      </c>
      <c r="AJ182" s="115"/>
      <c r="AK182" s="115"/>
      <c r="AL182" s="115"/>
      <c r="AM182" s="115"/>
      <c r="AN182" s="29"/>
      <c r="AO182" s="29"/>
      <c r="AY182" s="25"/>
      <c r="AZ182" s="13"/>
      <c r="BE182" s="116"/>
      <c r="BF182" s="123"/>
      <c r="BG182" s="123"/>
      <c r="BH182" s="123"/>
      <c r="BM182" s="115"/>
      <c r="BN182" s="115"/>
      <c r="BO182" s="115"/>
      <c r="BP182" s="115"/>
      <c r="BQ182" s="115"/>
      <c r="BR182" s="115"/>
      <c r="BS182" s="115"/>
      <c r="BT182" s="115"/>
      <c r="BU182" s="115"/>
      <c r="BV182" s="115"/>
      <c r="BW182" s="25"/>
      <c r="BX182" s="13"/>
      <c r="CA182" s="114"/>
    </row>
    <row r="183" spans="1:79" ht="20.100000000000001" customHeight="1" x14ac:dyDescent="0.4">
      <c r="A183" s="117"/>
      <c r="B183" s="123"/>
      <c r="C183" s="123"/>
      <c r="D183" s="123"/>
      <c r="X183" s="26">
        <v>46107</v>
      </c>
      <c r="Y183" s="13" t="s">
        <v>147</v>
      </c>
      <c r="AJ183" s="115"/>
      <c r="AK183" s="115"/>
      <c r="AL183" s="115"/>
      <c r="AM183" s="115"/>
      <c r="AN183" s="127"/>
      <c r="AO183" s="29"/>
      <c r="AY183" s="25"/>
      <c r="AZ183" s="13"/>
      <c r="BE183" s="116"/>
      <c r="BF183" s="123"/>
      <c r="BG183" s="123"/>
      <c r="BH183" s="123"/>
      <c r="BM183" s="115"/>
      <c r="BN183" s="115"/>
      <c r="BO183" s="115"/>
      <c r="BP183" s="115"/>
      <c r="BQ183" s="115"/>
      <c r="BR183" s="115"/>
      <c r="BS183" s="115"/>
      <c r="BT183" s="115"/>
      <c r="BU183" s="115"/>
      <c r="BV183" s="115"/>
      <c r="BW183" s="25"/>
      <c r="BX183" s="13"/>
      <c r="CA183" s="114"/>
    </row>
    <row r="184" spans="1:79" ht="20.100000000000001" customHeight="1" x14ac:dyDescent="0.4">
      <c r="A184" s="117"/>
      <c r="B184" s="123"/>
      <c r="C184" s="123"/>
      <c r="D184" s="123"/>
      <c r="W184" s="115" t="s">
        <v>412</v>
      </c>
      <c r="X184" s="17">
        <f>SUBTOTAL(3,X183:X183)</f>
        <v>1</v>
      </c>
      <c r="Y184" s="13">
        <f>SUBTOTAL(3,Y183:Y183)</f>
        <v>1</v>
      </c>
      <c r="AJ184" s="115"/>
      <c r="AK184" s="115"/>
      <c r="AL184" s="115"/>
      <c r="AM184" s="115"/>
      <c r="AN184" s="127"/>
      <c r="AO184" s="29"/>
      <c r="AY184" s="25"/>
      <c r="AZ184" s="13"/>
      <c r="BE184" s="116"/>
      <c r="BF184" s="123"/>
      <c r="BG184" s="123"/>
      <c r="BH184" s="123"/>
      <c r="BM184" s="115"/>
      <c r="BN184" s="115"/>
      <c r="BO184" s="115"/>
      <c r="BP184" s="115"/>
      <c r="BQ184" s="115"/>
      <c r="BR184" s="115"/>
      <c r="BS184" s="115"/>
      <c r="BT184" s="115"/>
      <c r="BU184" s="115"/>
      <c r="BV184" s="115"/>
      <c r="BW184" s="25"/>
      <c r="BX184" s="13"/>
      <c r="CA184" s="114"/>
    </row>
    <row r="185" spans="1:79" ht="20.100000000000001" customHeight="1" x14ac:dyDescent="0.4">
      <c r="A185" s="117"/>
      <c r="B185" s="123"/>
      <c r="C185" s="123"/>
      <c r="D185" s="123"/>
      <c r="R185" s="115"/>
      <c r="S185" s="115"/>
      <c r="T185" s="115"/>
      <c r="U185" s="115"/>
      <c r="V185" s="115"/>
      <c r="W185" s="115"/>
      <c r="X185" s="26">
        <v>46108</v>
      </c>
      <c r="Y185" s="13" t="s">
        <v>147</v>
      </c>
      <c r="AJ185" s="115"/>
      <c r="AK185" s="115"/>
      <c r="AL185" s="115"/>
      <c r="AM185" s="115"/>
      <c r="AN185" s="127"/>
      <c r="AO185" s="29"/>
      <c r="AY185" s="25"/>
      <c r="AZ185" s="13"/>
      <c r="BE185" s="116"/>
      <c r="BF185" s="123"/>
      <c r="BG185" s="123"/>
      <c r="BH185" s="123"/>
      <c r="BM185" s="115"/>
      <c r="BN185" s="115"/>
      <c r="BO185" s="115"/>
      <c r="BP185" s="115"/>
      <c r="BQ185" s="115"/>
      <c r="BR185" s="115"/>
      <c r="BS185" s="115"/>
      <c r="BT185" s="115"/>
      <c r="BU185" s="115"/>
      <c r="BV185" s="115"/>
      <c r="BW185" s="25"/>
      <c r="BX185" s="13"/>
      <c r="CA185" s="114"/>
    </row>
    <row r="186" spans="1:79" ht="20.100000000000001" customHeight="1" x14ac:dyDescent="0.4">
      <c r="A186" s="117"/>
      <c r="B186" s="123"/>
      <c r="C186" s="123"/>
      <c r="D186" s="123"/>
      <c r="P186" s="115"/>
      <c r="Q186" s="115"/>
      <c r="R186" s="115"/>
      <c r="S186" s="115"/>
      <c r="T186" s="115"/>
      <c r="U186" s="115"/>
      <c r="V186" s="115"/>
      <c r="W186" s="115"/>
      <c r="X186" s="26">
        <v>46108</v>
      </c>
      <c r="Y186" s="15" t="s">
        <v>147</v>
      </c>
      <c r="AJ186" s="115"/>
      <c r="AK186" s="115"/>
      <c r="AL186" s="115"/>
      <c r="AM186" s="115"/>
      <c r="AN186" s="127"/>
      <c r="AO186" s="29"/>
      <c r="AY186" s="25"/>
      <c r="AZ186" s="13"/>
      <c r="BE186" s="116"/>
      <c r="BF186" s="123"/>
      <c r="BG186" s="123"/>
      <c r="BH186" s="123"/>
      <c r="BM186" s="115"/>
      <c r="BN186" s="115"/>
      <c r="BO186" s="115"/>
      <c r="BP186" s="115"/>
      <c r="BQ186" s="115"/>
      <c r="BR186" s="115"/>
      <c r="BS186" s="115"/>
      <c r="BT186" s="115"/>
      <c r="BU186" s="115"/>
      <c r="BV186" s="115"/>
      <c r="BW186" s="25"/>
      <c r="BX186" s="13"/>
      <c r="CA186" s="114"/>
    </row>
    <row r="187" spans="1:79" ht="20.100000000000001" customHeight="1" x14ac:dyDescent="0.4">
      <c r="A187" s="117"/>
      <c r="B187" s="123"/>
      <c r="C187" s="123"/>
      <c r="D187" s="123"/>
      <c r="P187" s="115"/>
      <c r="Q187" s="115"/>
      <c r="R187" s="115"/>
      <c r="S187" s="115"/>
      <c r="T187" s="115"/>
      <c r="U187" s="115"/>
      <c r="V187" s="115"/>
      <c r="W187" s="115"/>
      <c r="X187" s="26">
        <v>46108</v>
      </c>
      <c r="Y187" s="15" t="s">
        <v>146</v>
      </c>
      <c r="AJ187" s="115"/>
      <c r="AK187" s="115"/>
      <c r="AL187" s="115"/>
      <c r="AM187" s="115"/>
      <c r="AN187" s="127"/>
      <c r="AO187" s="29"/>
      <c r="AY187" s="25"/>
      <c r="AZ187" s="13"/>
      <c r="BE187" s="116"/>
      <c r="BF187" s="123"/>
      <c r="BG187" s="123"/>
      <c r="BH187" s="123"/>
      <c r="BM187" s="115"/>
      <c r="BN187" s="115"/>
      <c r="BO187" s="115"/>
      <c r="BP187" s="115"/>
      <c r="BQ187" s="115"/>
      <c r="BR187" s="115"/>
      <c r="BS187" s="115"/>
      <c r="BT187" s="115"/>
      <c r="BU187" s="115"/>
      <c r="BV187" s="115"/>
      <c r="BW187" s="25"/>
      <c r="BX187" s="13"/>
      <c r="CA187" s="114"/>
    </row>
    <row r="188" spans="1:79" ht="20.100000000000001" customHeight="1" x14ac:dyDescent="0.4">
      <c r="A188" s="117"/>
      <c r="B188" s="123"/>
      <c r="C188" s="123"/>
      <c r="D188" s="123"/>
      <c r="P188" s="115"/>
      <c r="Q188" s="115"/>
      <c r="R188" s="115"/>
      <c r="S188" s="115"/>
      <c r="T188" s="115"/>
      <c r="U188" s="115"/>
      <c r="V188" s="115"/>
      <c r="W188" s="115" t="s">
        <v>413</v>
      </c>
      <c r="X188" s="17">
        <f>SUBTOTAL(3,X185:X187)</f>
        <v>3</v>
      </c>
      <c r="Y188" s="15">
        <f>SUBTOTAL(3,Y185:Y187)</f>
        <v>3</v>
      </c>
      <c r="AJ188" s="115"/>
      <c r="AK188" s="115"/>
      <c r="AL188" s="115"/>
      <c r="AM188" s="115"/>
      <c r="AN188" s="127"/>
      <c r="AO188" s="29"/>
      <c r="AY188" s="25"/>
      <c r="AZ188" s="13"/>
      <c r="BE188" s="116"/>
      <c r="BF188" s="123"/>
      <c r="BG188" s="123"/>
      <c r="BH188" s="123"/>
      <c r="BM188" s="115"/>
      <c r="BN188" s="115"/>
      <c r="BO188" s="115"/>
      <c r="BP188" s="115"/>
      <c r="BQ188" s="115"/>
      <c r="BR188" s="115"/>
      <c r="BS188" s="115"/>
      <c r="BT188" s="115"/>
      <c r="BU188" s="115"/>
      <c r="BV188" s="115"/>
      <c r="BW188" s="25"/>
      <c r="BX188" s="13"/>
      <c r="CA188" s="114"/>
    </row>
    <row r="189" spans="1:79" ht="20.100000000000001" customHeight="1" x14ac:dyDescent="0.4">
      <c r="A189" s="117"/>
      <c r="B189" s="123"/>
      <c r="C189" s="123"/>
      <c r="D189" s="123"/>
      <c r="P189" s="115"/>
      <c r="Q189" s="115"/>
      <c r="R189" s="115"/>
      <c r="S189" s="115"/>
      <c r="T189" s="115"/>
      <c r="U189" s="115"/>
      <c r="V189" s="115"/>
      <c r="W189" s="115"/>
      <c r="X189" s="26">
        <v>46109</v>
      </c>
      <c r="Y189" s="132" t="s">
        <v>146</v>
      </c>
      <c r="AJ189" s="115"/>
      <c r="AK189" s="115"/>
      <c r="AL189" s="115"/>
      <c r="AM189" s="115"/>
      <c r="AN189" s="127"/>
      <c r="AO189" s="29"/>
      <c r="AY189" s="25"/>
      <c r="AZ189" s="13"/>
      <c r="BE189" s="116"/>
      <c r="BF189" s="123"/>
      <c r="BG189" s="123"/>
      <c r="BH189" s="123"/>
      <c r="BM189" s="115"/>
      <c r="BN189" s="115"/>
      <c r="BO189" s="115"/>
      <c r="BP189" s="115"/>
      <c r="BQ189" s="115"/>
      <c r="BR189" s="115"/>
      <c r="BS189" s="115"/>
      <c r="BT189" s="115"/>
      <c r="BU189" s="115"/>
      <c r="BV189" s="115"/>
      <c r="BW189" s="25"/>
      <c r="BX189" s="13"/>
      <c r="CA189" s="114"/>
    </row>
    <row r="190" spans="1:79" ht="20.100000000000001" customHeight="1" x14ac:dyDescent="0.4">
      <c r="A190" s="117"/>
      <c r="B190" s="123"/>
      <c r="C190" s="123"/>
      <c r="D190" s="123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26">
        <v>46109</v>
      </c>
      <c r="Y190" s="13" t="s">
        <v>147</v>
      </c>
      <c r="AJ190" s="115"/>
      <c r="AK190" s="115"/>
      <c r="AL190" s="115"/>
      <c r="AM190" s="115"/>
      <c r="AN190" s="127"/>
      <c r="AO190" s="29"/>
      <c r="AY190" s="25"/>
      <c r="AZ190" s="13"/>
      <c r="BE190" s="116"/>
      <c r="BF190" s="123"/>
      <c r="BG190" s="123"/>
      <c r="BH190" s="123"/>
      <c r="BM190" s="115"/>
      <c r="BN190" s="115"/>
      <c r="BO190" s="115"/>
      <c r="BP190" s="115"/>
      <c r="BQ190" s="115"/>
      <c r="BR190" s="115"/>
      <c r="BS190" s="115"/>
      <c r="BT190" s="115"/>
      <c r="BU190" s="115"/>
      <c r="BV190" s="115"/>
      <c r="BW190" s="25"/>
      <c r="BX190" s="13"/>
      <c r="CA190" s="114"/>
    </row>
    <row r="191" spans="1:79" ht="20.100000000000001" customHeight="1" x14ac:dyDescent="0.4">
      <c r="A191" s="117"/>
      <c r="B191" s="123"/>
      <c r="C191" s="123"/>
      <c r="D191" s="123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 t="s">
        <v>414</v>
      </c>
      <c r="X191" s="17">
        <f>SUBTOTAL(3,X189:X190)</f>
        <v>2</v>
      </c>
      <c r="Y191" s="13">
        <f>SUBTOTAL(3,Y189:Y190)</f>
        <v>2</v>
      </c>
      <c r="AJ191" s="115"/>
      <c r="AK191" s="115"/>
      <c r="AL191" s="115"/>
      <c r="AM191" s="115"/>
      <c r="AN191" s="127"/>
      <c r="AO191" s="29"/>
      <c r="AY191" s="25"/>
      <c r="AZ191" s="13"/>
      <c r="BE191" s="116"/>
      <c r="BF191" s="123"/>
      <c r="BG191" s="123"/>
      <c r="BH191" s="123"/>
      <c r="BM191" s="115"/>
      <c r="BN191" s="115"/>
      <c r="BO191" s="115"/>
      <c r="BP191" s="115"/>
      <c r="BQ191" s="115"/>
      <c r="BR191" s="115"/>
      <c r="BS191" s="115"/>
      <c r="BT191" s="115"/>
      <c r="BU191" s="115"/>
      <c r="BV191" s="115"/>
      <c r="BW191" s="25"/>
      <c r="BX191" s="13"/>
      <c r="CA191" s="114"/>
    </row>
    <row r="192" spans="1:79" ht="20.100000000000001" customHeight="1" x14ac:dyDescent="0.4">
      <c r="A192" s="117"/>
      <c r="B192" s="123"/>
      <c r="C192" s="123"/>
      <c r="D192" s="123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26">
        <v>46110</v>
      </c>
      <c r="Y192" s="13" t="s">
        <v>147</v>
      </c>
      <c r="AJ192" s="115"/>
      <c r="AK192" s="115"/>
      <c r="AL192" s="115"/>
      <c r="AM192" s="115"/>
      <c r="AN192" s="127"/>
      <c r="AO192" s="29"/>
      <c r="AY192" s="25"/>
      <c r="AZ192" s="13"/>
      <c r="BE192" s="116"/>
      <c r="BF192" s="123"/>
      <c r="BG192" s="123"/>
      <c r="BH192" s="123"/>
      <c r="BM192" s="115"/>
      <c r="BN192" s="115"/>
      <c r="BO192" s="115"/>
      <c r="BP192" s="115"/>
      <c r="BQ192" s="115"/>
      <c r="BR192" s="115"/>
      <c r="BS192" s="115"/>
      <c r="BT192" s="115"/>
      <c r="BU192" s="115"/>
      <c r="BV192" s="115"/>
      <c r="BW192" s="25"/>
      <c r="BX192" s="13"/>
      <c r="CA192" s="114"/>
    </row>
    <row r="193" spans="1:79" ht="20.100000000000001" customHeight="1" x14ac:dyDescent="0.4">
      <c r="A193" s="117"/>
      <c r="B193" s="123"/>
      <c r="C193" s="123"/>
      <c r="D193" s="123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26">
        <v>46110</v>
      </c>
      <c r="Y193" s="13" t="s">
        <v>148</v>
      </c>
      <c r="AJ193" s="115"/>
      <c r="AK193" s="115"/>
      <c r="AL193" s="115"/>
      <c r="AM193" s="115"/>
      <c r="AN193" s="127"/>
      <c r="AO193" s="29"/>
      <c r="AY193" s="25"/>
      <c r="AZ193" s="13"/>
      <c r="BE193" s="116"/>
      <c r="BF193" s="123"/>
      <c r="BG193" s="123"/>
      <c r="BH193" s="123"/>
      <c r="BM193" s="115"/>
      <c r="BN193" s="115"/>
      <c r="BO193" s="115"/>
      <c r="BP193" s="115"/>
      <c r="BQ193" s="115"/>
      <c r="BR193" s="115"/>
      <c r="BS193" s="115"/>
      <c r="BT193" s="115"/>
      <c r="BU193" s="115"/>
      <c r="BV193" s="115"/>
      <c r="BW193" s="25"/>
      <c r="BX193" s="13"/>
      <c r="CA193" s="114"/>
    </row>
    <row r="194" spans="1:79" ht="20.100000000000001" customHeight="1" x14ac:dyDescent="0.4">
      <c r="A194" s="117"/>
      <c r="B194" s="123"/>
      <c r="C194" s="123"/>
      <c r="D194" s="123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26">
        <v>46110</v>
      </c>
      <c r="Y194" s="13" t="s">
        <v>146</v>
      </c>
      <c r="AJ194" s="115"/>
      <c r="AK194" s="115"/>
      <c r="AL194" s="115"/>
      <c r="AM194" s="115"/>
      <c r="AN194" s="127"/>
      <c r="AO194" s="29"/>
      <c r="AY194" s="25"/>
      <c r="AZ194" s="13"/>
      <c r="BE194" s="116"/>
      <c r="BF194" s="123"/>
      <c r="BG194" s="123"/>
      <c r="BH194" s="123"/>
      <c r="BM194" s="115"/>
      <c r="BN194" s="115"/>
      <c r="BO194" s="115"/>
      <c r="BP194" s="115"/>
      <c r="BQ194" s="115"/>
      <c r="BR194" s="115"/>
      <c r="BS194" s="115"/>
      <c r="BT194" s="115"/>
      <c r="BU194" s="115"/>
      <c r="BV194" s="115"/>
      <c r="BW194" s="25"/>
      <c r="BX194" s="13"/>
      <c r="CA194" s="114"/>
    </row>
    <row r="195" spans="1:79" ht="20.100000000000001" customHeight="1" x14ac:dyDescent="0.4">
      <c r="A195" s="117"/>
      <c r="B195" s="123"/>
      <c r="C195" s="123"/>
      <c r="D195" s="123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26">
        <v>46110</v>
      </c>
      <c r="Y195" s="13" t="s">
        <v>146</v>
      </c>
      <c r="AJ195" s="115"/>
      <c r="AK195" s="115"/>
      <c r="AL195" s="115"/>
      <c r="AM195" s="115"/>
      <c r="AN195" s="127"/>
      <c r="AO195" s="29"/>
      <c r="AY195" s="25"/>
      <c r="AZ195" s="13"/>
      <c r="BE195" s="116"/>
      <c r="BF195" s="123"/>
      <c r="BG195" s="123"/>
      <c r="BH195" s="123"/>
      <c r="BM195" s="115"/>
      <c r="BN195" s="115"/>
      <c r="BO195" s="115"/>
      <c r="BP195" s="115"/>
      <c r="BQ195" s="115"/>
      <c r="BR195" s="115"/>
      <c r="BS195" s="115"/>
      <c r="BT195" s="115"/>
      <c r="BU195" s="115"/>
      <c r="BV195" s="115"/>
      <c r="BW195" s="25"/>
      <c r="BX195" s="13"/>
      <c r="CA195" s="114"/>
    </row>
    <row r="196" spans="1:79" ht="20.100000000000001" customHeight="1" x14ac:dyDescent="0.4">
      <c r="A196" s="117"/>
      <c r="B196" s="123"/>
      <c r="C196" s="123"/>
      <c r="D196" s="123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26">
        <v>46110</v>
      </c>
      <c r="Y196" s="13" t="s">
        <v>146</v>
      </c>
      <c r="AJ196" s="115"/>
      <c r="AK196" s="115"/>
      <c r="AL196" s="115"/>
      <c r="AM196" s="115"/>
      <c r="AN196" s="127"/>
      <c r="AO196" s="29"/>
      <c r="AY196" s="25"/>
      <c r="AZ196" s="13"/>
      <c r="BE196" s="116"/>
      <c r="BF196" s="123"/>
      <c r="BG196" s="123"/>
      <c r="BH196" s="123"/>
      <c r="BM196" s="115"/>
      <c r="BN196" s="115"/>
      <c r="BO196" s="115"/>
      <c r="BP196" s="115"/>
      <c r="BQ196" s="115"/>
      <c r="BR196" s="115"/>
      <c r="BS196" s="115"/>
      <c r="BT196" s="115"/>
      <c r="BU196" s="115"/>
      <c r="BV196" s="115"/>
      <c r="BW196" s="25"/>
      <c r="BX196" s="13"/>
      <c r="CA196" s="114"/>
    </row>
    <row r="197" spans="1:79" ht="20.100000000000001" customHeight="1" x14ac:dyDescent="0.4">
      <c r="A197" s="117"/>
      <c r="B197" s="123"/>
      <c r="C197" s="123"/>
      <c r="D197" s="123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26">
        <v>46110</v>
      </c>
      <c r="Y197" s="13" t="s">
        <v>147</v>
      </c>
      <c r="AJ197" s="115"/>
      <c r="AK197" s="115"/>
      <c r="AL197" s="115"/>
      <c r="AM197" s="115"/>
      <c r="AN197" s="127"/>
      <c r="AO197" s="29"/>
      <c r="AY197" s="25"/>
      <c r="AZ197" s="13"/>
      <c r="BE197" s="116"/>
      <c r="BF197" s="123"/>
      <c r="BG197" s="123"/>
      <c r="BH197" s="123"/>
      <c r="BM197" s="115"/>
      <c r="BN197" s="115"/>
      <c r="BO197" s="115"/>
      <c r="BP197" s="115"/>
      <c r="BQ197" s="115"/>
      <c r="BR197" s="115"/>
      <c r="BS197" s="115"/>
      <c r="BT197" s="115"/>
      <c r="BU197" s="115"/>
      <c r="BV197" s="115"/>
      <c r="BW197" s="25"/>
      <c r="BX197" s="13"/>
      <c r="CA197" s="114"/>
    </row>
    <row r="198" spans="1:79" ht="20.100000000000001" customHeight="1" x14ac:dyDescent="0.4">
      <c r="A198" s="117"/>
      <c r="B198" s="123"/>
      <c r="C198" s="123"/>
      <c r="D198" s="123"/>
      <c r="X198" s="26">
        <v>46110</v>
      </c>
      <c r="Y198" s="13" t="s">
        <v>147</v>
      </c>
      <c r="AJ198" s="115"/>
      <c r="AK198" s="115"/>
      <c r="AL198" s="115"/>
      <c r="AM198" s="115"/>
      <c r="AN198" s="29"/>
      <c r="AO198" s="29"/>
      <c r="AY198" s="25"/>
      <c r="AZ198" s="13"/>
      <c r="BE198" s="116"/>
      <c r="BF198" s="123"/>
      <c r="BG198" s="123"/>
      <c r="BH198" s="123"/>
      <c r="BM198" s="115"/>
      <c r="BN198" s="115"/>
      <c r="BO198" s="115"/>
      <c r="BP198" s="115"/>
      <c r="BQ198" s="115"/>
      <c r="BR198" s="115"/>
      <c r="BS198" s="115"/>
      <c r="BT198" s="115"/>
      <c r="BU198" s="115"/>
      <c r="BV198" s="115"/>
      <c r="BW198" s="25"/>
      <c r="BX198" s="13"/>
      <c r="CA198" s="114"/>
    </row>
    <row r="199" spans="1:79" ht="20.100000000000001" customHeight="1" x14ac:dyDescent="0.4">
      <c r="A199" s="117"/>
      <c r="B199" s="123"/>
      <c r="C199" s="123"/>
      <c r="D199" s="123"/>
      <c r="T199" s="115"/>
      <c r="U199" s="115"/>
      <c r="V199" s="115"/>
      <c r="W199" s="115"/>
      <c r="X199" s="26">
        <v>46110</v>
      </c>
      <c r="Y199" s="13" t="s">
        <v>147</v>
      </c>
      <c r="AJ199" s="115"/>
      <c r="AK199" s="115"/>
      <c r="AL199" s="115"/>
      <c r="AM199" s="115"/>
      <c r="AN199" s="29"/>
      <c r="AO199" s="29"/>
      <c r="AY199" s="25"/>
      <c r="AZ199" s="13"/>
      <c r="BE199" s="116"/>
      <c r="BF199" s="123"/>
      <c r="BG199" s="123"/>
      <c r="BH199" s="123"/>
      <c r="BM199" s="115"/>
      <c r="BN199" s="115"/>
      <c r="BO199" s="115"/>
      <c r="BP199" s="115"/>
      <c r="BQ199" s="115"/>
      <c r="BR199" s="115"/>
      <c r="BS199" s="115"/>
      <c r="BT199" s="115"/>
      <c r="BU199" s="115"/>
      <c r="BV199" s="115"/>
      <c r="BW199" s="25"/>
      <c r="BX199" s="13"/>
      <c r="CA199" s="114"/>
    </row>
    <row r="200" spans="1:79" ht="20.100000000000001" customHeight="1" x14ac:dyDescent="0.4">
      <c r="A200" s="117"/>
      <c r="B200" s="123"/>
      <c r="C200" s="123"/>
      <c r="D200" s="123"/>
      <c r="S200" s="115"/>
      <c r="T200" s="115"/>
      <c r="U200" s="115"/>
      <c r="V200" s="115"/>
      <c r="W200" s="115"/>
      <c r="X200" s="26">
        <v>46110</v>
      </c>
      <c r="Y200" s="13" t="s">
        <v>147</v>
      </c>
      <c r="AJ200" s="115"/>
      <c r="AK200" s="115"/>
      <c r="AL200" s="115"/>
      <c r="AM200" s="115"/>
      <c r="AN200" s="29"/>
      <c r="AO200" s="29"/>
      <c r="AY200" s="25"/>
      <c r="AZ200" s="13"/>
      <c r="BE200" s="116"/>
      <c r="BF200" s="123"/>
      <c r="BG200" s="123"/>
      <c r="BH200" s="123"/>
      <c r="BM200" s="115"/>
      <c r="BN200" s="115"/>
      <c r="BO200" s="115"/>
      <c r="BP200" s="115"/>
      <c r="BQ200" s="115"/>
      <c r="BR200" s="115"/>
      <c r="BS200" s="115"/>
      <c r="BT200" s="115"/>
      <c r="BU200" s="115"/>
      <c r="BV200" s="115"/>
      <c r="BW200" s="25"/>
      <c r="BX200" s="13"/>
      <c r="CA200" s="114"/>
    </row>
    <row r="201" spans="1:79" ht="20.100000000000001" customHeight="1" x14ac:dyDescent="0.4">
      <c r="A201" s="117"/>
      <c r="B201" s="123"/>
      <c r="C201" s="123"/>
      <c r="D201" s="123"/>
      <c r="S201" s="115"/>
      <c r="T201" s="115"/>
      <c r="U201" s="115"/>
      <c r="V201" s="115"/>
      <c r="W201" s="115"/>
      <c r="X201" s="26">
        <v>46110</v>
      </c>
      <c r="Y201" s="15" t="s">
        <v>146</v>
      </c>
      <c r="AJ201" s="115"/>
      <c r="AK201" s="115"/>
      <c r="AL201" s="115"/>
      <c r="AM201" s="115"/>
      <c r="AN201" s="29"/>
      <c r="AO201" s="29"/>
      <c r="AY201" s="25"/>
      <c r="AZ201" s="13"/>
      <c r="BE201" s="116"/>
      <c r="BF201" s="123"/>
      <c r="BG201" s="123"/>
      <c r="BH201" s="123"/>
      <c r="BM201" s="115"/>
      <c r="BN201" s="115"/>
      <c r="BO201" s="115"/>
      <c r="BP201" s="115"/>
      <c r="BQ201" s="115"/>
      <c r="BR201" s="115"/>
      <c r="BS201" s="115"/>
      <c r="BT201" s="115"/>
      <c r="BU201" s="115"/>
      <c r="BV201" s="115"/>
      <c r="BW201" s="25"/>
      <c r="BX201" s="13"/>
      <c r="CA201" s="114"/>
    </row>
    <row r="202" spans="1:79" ht="20.100000000000001" customHeight="1" x14ac:dyDescent="0.4">
      <c r="A202" s="117"/>
      <c r="B202" s="123"/>
      <c r="C202" s="123"/>
      <c r="D202" s="123"/>
      <c r="X202" s="26">
        <v>46110</v>
      </c>
      <c r="Y202" s="15" t="s">
        <v>146</v>
      </c>
      <c r="AI202" s="115"/>
      <c r="AJ202" s="115"/>
      <c r="AK202" s="115"/>
      <c r="AL202" s="115"/>
      <c r="AM202" s="115"/>
      <c r="AN202" s="127"/>
      <c r="AO202" s="29"/>
      <c r="AY202" s="25"/>
      <c r="AZ202" s="13"/>
      <c r="BE202" s="116"/>
      <c r="BF202" s="123"/>
      <c r="BG202" s="123"/>
      <c r="BH202" s="123"/>
      <c r="BM202" s="115"/>
      <c r="BN202" s="115"/>
      <c r="BO202" s="115"/>
      <c r="BP202" s="115"/>
      <c r="BQ202" s="115"/>
      <c r="BR202" s="115"/>
      <c r="BS202" s="115"/>
      <c r="BT202" s="115"/>
      <c r="BU202" s="115"/>
      <c r="BV202" s="115"/>
      <c r="BW202" s="25"/>
      <c r="BX202" s="13"/>
      <c r="CA202" s="114"/>
    </row>
    <row r="203" spans="1:79" ht="20.100000000000001" customHeight="1" x14ac:dyDescent="0.4">
      <c r="A203" s="117"/>
      <c r="B203" s="123"/>
      <c r="C203" s="123"/>
      <c r="D203" s="123"/>
      <c r="W203" s="115" t="s">
        <v>415</v>
      </c>
      <c r="X203" s="17">
        <f>SUBTOTAL(3,X192:X202)</f>
        <v>11</v>
      </c>
      <c r="Y203" s="15">
        <f>SUBTOTAL(3,Y192:Y202)</f>
        <v>11</v>
      </c>
      <c r="AI203" s="115"/>
      <c r="AJ203" s="115"/>
      <c r="AK203" s="115"/>
      <c r="AL203" s="115"/>
      <c r="AM203" s="115"/>
      <c r="AN203" s="127"/>
      <c r="AO203" s="29"/>
      <c r="AY203" s="25"/>
      <c r="AZ203" s="13"/>
      <c r="BE203" s="116"/>
      <c r="BF203" s="123"/>
      <c r="BG203" s="123"/>
      <c r="BH203" s="123"/>
      <c r="BM203" s="115"/>
      <c r="BN203" s="115"/>
      <c r="BO203" s="115"/>
      <c r="BP203" s="115"/>
      <c r="BQ203" s="115"/>
      <c r="BR203" s="115"/>
      <c r="BS203" s="115"/>
      <c r="BT203" s="115"/>
      <c r="BU203" s="115"/>
      <c r="BV203" s="115"/>
      <c r="BW203" s="25"/>
      <c r="BX203" s="13"/>
      <c r="CA203" s="114"/>
    </row>
    <row r="204" spans="1:79" ht="20.100000000000001" customHeight="1" x14ac:dyDescent="0.4">
      <c r="A204" s="117"/>
      <c r="B204" s="123"/>
      <c r="C204" s="123"/>
      <c r="D204" s="123"/>
      <c r="U204" s="115"/>
      <c r="V204" s="115"/>
      <c r="W204" s="115"/>
      <c r="X204" s="26">
        <v>46112</v>
      </c>
      <c r="Y204" s="15" t="s">
        <v>146</v>
      </c>
      <c r="AI204" s="115"/>
      <c r="AJ204" s="115"/>
      <c r="AK204" s="115"/>
      <c r="AL204" s="115"/>
      <c r="AM204" s="115"/>
      <c r="AN204" s="127"/>
      <c r="AO204" s="29"/>
      <c r="AY204" s="25"/>
      <c r="AZ204" s="13"/>
      <c r="BE204" s="116"/>
      <c r="BF204" s="123"/>
      <c r="BG204" s="123"/>
      <c r="BH204" s="123"/>
      <c r="BM204" s="115"/>
      <c r="BN204" s="115"/>
      <c r="BO204" s="115"/>
      <c r="BP204" s="115"/>
      <c r="BQ204" s="115"/>
      <c r="BR204" s="115"/>
      <c r="BS204" s="115"/>
      <c r="BT204" s="115"/>
      <c r="BU204" s="115"/>
      <c r="BV204" s="115"/>
      <c r="BW204" s="25"/>
      <c r="BX204" s="13"/>
      <c r="CA204" s="114"/>
    </row>
    <row r="205" spans="1:79" ht="20.100000000000001" customHeight="1" x14ac:dyDescent="0.4">
      <c r="A205" s="117"/>
      <c r="B205" s="123"/>
      <c r="C205" s="123"/>
      <c r="D205" s="123"/>
      <c r="S205" s="115"/>
      <c r="T205" s="115"/>
      <c r="U205" s="115"/>
      <c r="V205" s="115"/>
      <c r="W205" s="115"/>
      <c r="X205" s="26">
        <v>46112</v>
      </c>
      <c r="Y205" s="15" t="s">
        <v>146</v>
      </c>
      <c r="AI205" s="115"/>
      <c r="AJ205" s="115"/>
      <c r="AK205" s="115"/>
      <c r="AL205" s="115"/>
      <c r="AM205" s="115"/>
      <c r="AN205" s="127"/>
      <c r="AO205" s="29"/>
      <c r="AY205" s="25"/>
      <c r="AZ205" s="13"/>
      <c r="BE205" s="116"/>
      <c r="BF205" s="123"/>
      <c r="BG205" s="123"/>
      <c r="BH205" s="123"/>
      <c r="BM205" s="115"/>
      <c r="BN205" s="115"/>
      <c r="BO205" s="115"/>
      <c r="BP205" s="115"/>
      <c r="BQ205" s="115"/>
      <c r="BR205" s="115"/>
      <c r="BS205" s="115"/>
      <c r="BT205" s="115"/>
      <c r="BU205" s="115"/>
      <c r="BV205" s="115"/>
      <c r="BW205" s="25"/>
      <c r="BX205" s="13"/>
      <c r="CA205" s="114"/>
    </row>
    <row r="206" spans="1:79" ht="20.100000000000001" customHeight="1" x14ac:dyDescent="0.4">
      <c r="A206" s="117"/>
      <c r="B206" s="123"/>
      <c r="C206" s="123"/>
      <c r="D206" s="123"/>
      <c r="S206" s="115"/>
      <c r="T206" s="115"/>
      <c r="U206" s="115"/>
      <c r="V206" s="115"/>
      <c r="W206" s="115" t="s">
        <v>416</v>
      </c>
      <c r="X206" s="17">
        <f>SUBTOTAL(3,X204:X205)</f>
        <v>2</v>
      </c>
      <c r="Y206" s="15">
        <f>SUBTOTAL(3,Y204:Y205)</f>
        <v>2</v>
      </c>
      <c r="AI206" s="115"/>
      <c r="AJ206" s="115"/>
      <c r="AK206" s="115"/>
      <c r="AL206" s="115"/>
      <c r="AM206" s="115"/>
      <c r="AN206" s="127"/>
      <c r="AO206" s="29"/>
      <c r="AY206" s="25"/>
      <c r="AZ206" s="13"/>
      <c r="BE206" s="116"/>
      <c r="BF206" s="123"/>
      <c r="BG206" s="123"/>
      <c r="BH206" s="123"/>
      <c r="BM206" s="115"/>
      <c r="BN206" s="115"/>
      <c r="BO206" s="115"/>
      <c r="BP206" s="115"/>
      <c r="BQ206" s="115"/>
      <c r="BR206" s="115"/>
      <c r="BS206" s="115"/>
      <c r="BT206" s="115"/>
      <c r="BU206" s="115"/>
      <c r="BV206" s="115"/>
      <c r="BW206" s="25"/>
      <c r="BX206" s="13"/>
      <c r="CA206" s="114"/>
    </row>
    <row r="207" spans="1:79" ht="20.100000000000001" customHeight="1" x14ac:dyDescent="0.4">
      <c r="A207" s="117"/>
      <c r="B207" s="123"/>
      <c r="C207" s="123"/>
      <c r="D207" s="123"/>
      <c r="S207" s="115"/>
      <c r="T207" s="115"/>
      <c r="U207" s="115"/>
      <c r="V207" s="115"/>
      <c r="W207" s="115"/>
      <c r="X207" s="26">
        <v>46120</v>
      </c>
      <c r="Y207" s="15" t="s">
        <v>146</v>
      </c>
      <c r="AI207" s="115"/>
      <c r="AJ207" s="115"/>
      <c r="AK207" s="115"/>
      <c r="AL207" s="115"/>
      <c r="AM207" s="115"/>
      <c r="AN207" s="127"/>
      <c r="AO207" s="29"/>
      <c r="AY207" s="25"/>
      <c r="AZ207" s="13"/>
      <c r="BE207" s="116"/>
      <c r="BF207" s="123"/>
      <c r="BG207" s="123"/>
      <c r="BH207" s="123"/>
      <c r="BM207" s="115"/>
      <c r="BN207" s="115"/>
      <c r="BO207" s="115"/>
      <c r="BP207" s="115"/>
      <c r="BQ207" s="115"/>
      <c r="BR207" s="115"/>
      <c r="BS207" s="115"/>
      <c r="BT207" s="115"/>
      <c r="BU207" s="115"/>
      <c r="BV207" s="115"/>
      <c r="BW207" s="25"/>
      <c r="BX207" s="13"/>
      <c r="CA207" s="114"/>
    </row>
    <row r="208" spans="1:79" ht="20.100000000000001" customHeight="1" x14ac:dyDescent="0.4">
      <c r="A208" s="117"/>
      <c r="B208" s="123"/>
      <c r="C208" s="123"/>
      <c r="D208" s="123"/>
      <c r="S208" s="115"/>
      <c r="T208" s="115"/>
      <c r="U208" s="115"/>
      <c r="V208" s="115"/>
      <c r="W208" s="115" t="s">
        <v>417</v>
      </c>
      <c r="X208" s="17">
        <f>SUBTOTAL(3,X207:X207)</f>
        <v>1</v>
      </c>
      <c r="Y208" s="15">
        <f>SUBTOTAL(3,Y207:Y207)</f>
        <v>1</v>
      </c>
      <c r="AI208" s="115"/>
      <c r="AJ208" s="115"/>
      <c r="AK208" s="115"/>
      <c r="AL208" s="115"/>
      <c r="AM208" s="115"/>
      <c r="AN208" s="127"/>
      <c r="AO208" s="29"/>
      <c r="AY208" s="25"/>
      <c r="AZ208" s="13"/>
      <c r="BE208" s="116"/>
      <c r="BF208" s="123"/>
      <c r="BG208" s="123"/>
      <c r="BH208" s="123"/>
      <c r="BM208" s="115"/>
      <c r="BN208" s="115"/>
      <c r="BO208" s="115"/>
      <c r="BP208" s="115"/>
      <c r="BQ208" s="115"/>
      <c r="BR208" s="115"/>
      <c r="BS208" s="115"/>
      <c r="BT208" s="115"/>
      <c r="BU208" s="115"/>
      <c r="BV208" s="115"/>
      <c r="BW208" s="25"/>
      <c r="BX208" s="13"/>
      <c r="CA208" s="114"/>
    </row>
    <row r="209" spans="1:79" ht="20.100000000000001" customHeight="1" x14ac:dyDescent="0.4">
      <c r="A209" s="117"/>
      <c r="B209" s="123"/>
      <c r="C209" s="123"/>
      <c r="D209" s="123"/>
      <c r="S209" s="115"/>
      <c r="T209" s="115"/>
      <c r="U209" s="115"/>
      <c r="V209" s="115"/>
      <c r="W209" s="115"/>
      <c r="X209" s="26">
        <v>46123</v>
      </c>
      <c r="Y209" s="15" t="s">
        <v>146</v>
      </c>
      <c r="AI209" s="115"/>
      <c r="AJ209" s="115"/>
      <c r="AK209" s="115"/>
      <c r="AL209" s="115"/>
      <c r="AM209" s="115"/>
      <c r="AN209" s="127"/>
      <c r="AO209" s="29"/>
      <c r="AY209" s="25"/>
      <c r="AZ209" s="13"/>
      <c r="BE209" s="116"/>
      <c r="BF209" s="123"/>
      <c r="BG209" s="123"/>
      <c r="BH209" s="123"/>
      <c r="BM209" s="115"/>
      <c r="BN209" s="115"/>
      <c r="BO209" s="115"/>
      <c r="BP209" s="115"/>
      <c r="BQ209" s="115"/>
      <c r="BR209" s="115"/>
      <c r="BS209" s="115"/>
      <c r="BT209" s="115"/>
      <c r="BU209" s="115"/>
      <c r="BV209" s="115"/>
      <c r="BW209" s="25"/>
      <c r="BX209" s="13"/>
      <c r="CA209" s="114"/>
    </row>
    <row r="210" spans="1:79" ht="20.100000000000001" customHeight="1" x14ac:dyDescent="0.4">
      <c r="A210" s="117"/>
      <c r="B210" s="123"/>
      <c r="C210" s="123"/>
      <c r="D210" s="123"/>
      <c r="S210" s="115"/>
      <c r="T210" s="115"/>
      <c r="U210" s="115"/>
      <c r="V210" s="115"/>
      <c r="W210" s="115" t="s">
        <v>418</v>
      </c>
      <c r="X210" s="17">
        <f>SUBTOTAL(3,X209:X209)</f>
        <v>1</v>
      </c>
      <c r="Y210" s="13">
        <f>SUBTOTAL(3,Y209:Y209)</f>
        <v>1</v>
      </c>
      <c r="AI210" s="115"/>
      <c r="AJ210" s="115"/>
      <c r="AK210" s="115"/>
      <c r="AL210" s="115"/>
      <c r="AM210" s="115"/>
      <c r="AN210" s="127"/>
      <c r="AO210" s="29"/>
      <c r="AY210" s="25"/>
      <c r="AZ210" s="13"/>
      <c r="BE210" s="116"/>
      <c r="BF210" s="123"/>
      <c r="BG210" s="123"/>
      <c r="BH210" s="123"/>
      <c r="BM210" s="115"/>
      <c r="BN210" s="115"/>
      <c r="BO210" s="115"/>
      <c r="BP210" s="115"/>
      <c r="BQ210" s="115"/>
      <c r="BR210" s="115"/>
      <c r="BS210" s="115"/>
      <c r="BT210" s="115"/>
      <c r="BU210" s="115"/>
      <c r="BV210" s="115"/>
      <c r="BW210" s="25"/>
      <c r="BX210" s="13"/>
      <c r="CA210" s="114"/>
    </row>
    <row r="211" spans="1:79" ht="20.100000000000001" customHeight="1" x14ac:dyDescent="0.4">
      <c r="A211" s="117"/>
      <c r="B211" s="123"/>
      <c r="C211" s="123"/>
      <c r="D211" s="123"/>
      <c r="S211" s="115"/>
      <c r="T211" s="115"/>
      <c r="U211" s="115"/>
      <c r="V211" s="115"/>
      <c r="W211" s="115" t="s">
        <v>145</v>
      </c>
      <c r="X211" s="17">
        <f>SUBTOTAL(3,X2:X209)</f>
        <v>183</v>
      </c>
      <c r="Y211" s="13">
        <f>SUBTOTAL(3,Y2:Y209)</f>
        <v>183</v>
      </c>
      <c r="AI211" s="115"/>
      <c r="AJ211" s="115"/>
      <c r="AK211" s="115"/>
      <c r="AL211" s="115"/>
      <c r="AM211" s="115"/>
      <c r="AN211" s="127"/>
      <c r="AO211" s="29"/>
      <c r="AY211" s="25"/>
      <c r="AZ211" s="13"/>
      <c r="BE211" s="116"/>
      <c r="BF211" s="123"/>
      <c r="BG211" s="123"/>
      <c r="BH211" s="123"/>
      <c r="BM211" s="115"/>
      <c r="BN211" s="115"/>
      <c r="BO211" s="115"/>
      <c r="BP211" s="115"/>
      <c r="BQ211" s="115"/>
      <c r="BR211" s="115"/>
      <c r="BS211" s="115"/>
      <c r="BT211" s="115"/>
      <c r="BU211" s="115"/>
      <c r="BV211" s="115"/>
      <c r="BW211" s="25"/>
      <c r="BX211" s="13"/>
      <c r="CA211" s="114"/>
    </row>
    <row r="212" spans="1:79" ht="20.100000000000001" customHeight="1" x14ac:dyDescent="0.4">
      <c r="A212" s="117"/>
      <c r="B212" s="123"/>
      <c r="C212" s="123"/>
      <c r="D212" s="123"/>
      <c r="S212" s="115"/>
      <c r="T212" s="115"/>
      <c r="U212" s="115"/>
      <c r="V212" s="115"/>
      <c r="W212" s="115"/>
      <c r="X212" s="26"/>
      <c r="Y212" s="13"/>
      <c r="AI212" s="115"/>
      <c r="AJ212" s="115"/>
      <c r="AK212" s="115"/>
      <c r="AL212" s="115"/>
      <c r="AM212" s="115"/>
      <c r="AN212" s="127"/>
      <c r="AO212" s="29"/>
      <c r="AY212" s="25"/>
      <c r="AZ212" s="13"/>
      <c r="BE212" s="116"/>
      <c r="BF212" s="123"/>
      <c r="BG212" s="123"/>
      <c r="BH212" s="123"/>
      <c r="BM212" s="115"/>
      <c r="BN212" s="115"/>
      <c r="BO212" s="115"/>
      <c r="BP212" s="115"/>
      <c r="BQ212" s="115"/>
      <c r="BR212" s="115"/>
      <c r="BS212" s="115"/>
      <c r="BT212" s="115"/>
      <c r="BU212" s="115"/>
      <c r="BV212" s="115"/>
      <c r="BW212" s="25"/>
      <c r="BX212" s="13"/>
      <c r="CA212" s="114"/>
    </row>
    <row r="213" spans="1:79" ht="20.100000000000001" customHeight="1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26"/>
      <c r="Y213" s="13"/>
      <c r="AI213" s="115"/>
      <c r="AJ213" s="115"/>
      <c r="AK213" s="115"/>
      <c r="AL213" s="115"/>
      <c r="AM213" s="115"/>
      <c r="AN213" s="127"/>
      <c r="AO213" s="29"/>
      <c r="AY213" s="25"/>
      <c r="AZ213" s="13"/>
      <c r="BE213" s="116"/>
      <c r="BF213" s="123"/>
      <c r="BG213" s="123"/>
      <c r="BH213" s="123"/>
      <c r="BM213" s="115"/>
      <c r="BN213" s="115"/>
      <c r="BO213" s="115"/>
      <c r="BP213" s="115"/>
      <c r="BQ213" s="115"/>
      <c r="BR213" s="115"/>
      <c r="BS213" s="115"/>
      <c r="BT213" s="115"/>
      <c r="BU213" s="115"/>
      <c r="BV213" s="115"/>
      <c r="BW213" s="25"/>
      <c r="BX213" s="13"/>
      <c r="CA213" s="114"/>
    </row>
    <row r="214" spans="1:79" ht="20.100000000000001" customHeight="1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7"/>
      <c r="Y214" s="13"/>
      <c r="AI214" s="115"/>
      <c r="AJ214" s="115"/>
      <c r="AK214" s="115"/>
      <c r="AL214" s="115"/>
      <c r="AM214" s="115"/>
      <c r="AN214" s="127"/>
      <c r="AO214" s="29"/>
      <c r="AY214" s="25"/>
      <c r="AZ214" s="13"/>
      <c r="BE214" s="116"/>
      <c r="BF214" s="123"/>
      <c r="BG214" s="123"/>
      <c r="BH214" s="123"/>
      <c r="BM214" s="115"/>
      <c r="BN214" s="115"/>
      <c r="BO214" s="115"/>
      <c r="BP214" s="115"/>
      <c r="BQ214" s="115"/>
      <c r="BR214" s="115"/>
      <c r="BS214" s="115"/>
      <c r="BT214" s="115"/>
      <c r="BU214" s="115"/>
      <c r="BV214" s="115"/>
      <c r="BW214" s="25"/>
      <c r="BX214" s="13"/>
      <c r="CA214" s="114"/>
    </row>
    <row r="215" spans="1:79" ht="20.100000000000001" customHeight="1" x14ac:dyDescent="0.4">
      <c r="A215" s="117"/>
      <c r="B215" s="123"/>
      <c r="C215" s="123"/>
      <c r="D215" s="123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26"/>
      <c r="Y215" s="13"/>
      <c r="AI215" s="115"/>
      <c r="AJ215" s="115"/>
      <c r="AK215" s="115"/>
      <c r="AL215" s="115"/>
      <c r="AM215" s="115"/>
      <c r="AN215" s="127"/>
      <c r="AO215" s="29"/>
      <c r="AY215" s="25"/>
      <c r="AZ215" s="13"/>
      <c r="BE215" s="116"/>
      <c r="BF215" s="123"/>
      <c r="BG215" s="123"/>
      <c r="BH215" s="123"/>
      <c r="BM215" s="115"/>
      <c r="BN215" s="115"/>
      <c r="BO215" s="115"/>
      <c r="BP215" s="115"/>
      <c r="BQ215" s="115"/>
      <c r="BR215" s="115"/>
      <c r="BS215" s="115"/>
      <c r="BT215" s="115"/>
      <c r="BU215" s="115"/>
      <c r="BV215" s="115"/>
      <c r="BW215" s="25"/>
      <c r="BX215" s="13"/>
      <c r="CA215" s="114"/>
    </row>
    <row r="216" spans="1:79" ht="20.100000000000001" customHeight="1" x14ac:dyDescent="0.4">
      <c r="A216" s="117"/>
      <c r="B216" s="123"/>
      <c r="C216" s="123"/>
      <c r="D216" s="123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7"/>
      <c r="Y216" s="13"/>
      <c r="AI216" s="115"/>
      <c r="AJ216" s="115"/>
      <c r="AK216" s="115"/>
      <c r="AL216" s="115"/>
      <c r="AM216" s="115"/>
      <c r="AN216" s="127"/>
      <c r="AO216" s="29"/>
      <c r="AY216" s="25"/>
      <c r="AZ216" s="13"/>
      <c r="BE216" s="116"/>
      <c r="BF216" s="123"/>
      <c r="BG216" s="123"/>
      <c r="BH216" s="123"/>
      <c r="BM216" s="115"/>
      <c r="BN216" s="115"/>
      <c r="BO216" s="115"/>
      <c r="BP216" s="115"/>
      <c r="BQ216" s="115"/>
      <c r="BR216" s="115"/>
      <c r="BS216" s="115"/>
      <c r="BT216" s="115"/>
      <c r="BU216" s="115"/>
      <c r="BV216" s="115"/>
      <c r="BW216" s="25"/>
      <c r="BX216" s="13"/>
      <c r="CA216" s="114"/>
    </row>
    <row r="217" spans="1:79" ht="20.100000000000001" customHeight="1" x14ac:dyDescent="0.4">
      <c r="A217" s="117"/>
      <c r="B217" s="123"/>
      <c r="C217" s="123"/>
      <c r="D217" s="123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7"/>
      <c r="Y217" s="13"/>
      <c r="AI217" s="115"/>
      <c r="AJ217" s="115"/>
      <c r="AK217" s="115"/>
      <c r="AL217" s="115"/>
      <c r="AM217" s="115"/>
      <c r="AN217" s="127"/>
      <c r="AO217" s="29"/>
      <c r="AY217" s="25"/>
      <c r="AZ217" s="13"/>
      <c r="BE217" s="116"/>
      <c r="BF217" s="123"/>
      <c r="BG217" s="123"/>
      <c r="BH217" s="123"/>
      <c r="BM217" s="115"/>
      <c r="BN217" s="115"/>
      <c r="BO217" s="115"/>
      <c r="BP217" s="115"/>
      <c r="BQ217" s="115"/>
      <c r="BR217" s="115"/>
      <c r="BS217" s="115"/>
      <c r="BT217" s="115"/>
      <c r="BU217" s="115"/>
      <c r="BV217" s="115"/>
      <c r="BW217" s="25"/>
      <c r="BX217" s="13"/>
      <c r="CA217" s="114"/>
    </row>
    <row r="218" spans="1:79" ht="20.100000000000001" customHeight="1" x14ac:dyDescent="0.4">
      <c r="A218" s="117"/>
      <c r="B218" s="123"/>
      <c r="C218" s="123"/>
      <c r="D218" s="123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26"/>
      <c r="Y218" s="13"/>
      <c r="AI218" s="115"/>
      <c r="AJ218" s="115"/>
      <c r="AK218" s="115"/>
      <c r="AL218" s="115"/>
      <c r="AM218" s="115"/>
      <c r="AN218" s="127"/>
      <c r="AO218" s="29"/>
      <c r="AY218" s="25"/>
      <c r="AZ218" s="13"/>
      <c r="BE218" s="116"/>
      <c r="BF218" s="123"/>
      <c r="BG218" s="123"/>
      <c r="BH218" s="123"/>
      <c r="BM218" s="115"/>
      <c r="BN218" s="115"/>
      <c r="BO218" s="115"/>
      <c r="BP218" s="115"/>
      <c r="BQ218" s="115"/>
      <c r="BR218" s="115"/>
      <c r="BS218" s="115"/>
      <c r="BT218" s="115"/>
      <c r="BU218" s="115"/>
      <c r="BV218" s="115"/>
      <c r="BW218" s="25"/>
      <c r="BX218" s="13"/>
      <c r="CA218" s="114"/>
    </row>
    <row r="219" spans="1:79" ht="20.100000000000001" customHeight="1" x14ac:dyDescent="0.4">
      <c r="A219" s="117"/>
      <c r="B219" s="123"/>
      <c r="C219" s="123"/>
      <c r="D219" s="123"/>
      <c r="X219" s="26"/>
      <c r="Y219" s="13"/>
      <c r="AI219" s="115"/>
      <c r="AJ219" s="115"/>
      <c r="AK219" s="115"/>
      <c r="AL219" s="115"/>
      <c r="AM219" s="115"/>
      <c r="AN219" s="29"/>
      <c r="AO219" s="29"/>
      <c r="AY219" s="25"/>
      <c r="AZ219" s="13"/>
      <c r="BE219" s="116"/>
      <c r="BF219" s="123"/>
      <c r="BG219" s="123"/>
      <c r="BH219" s="123"/>
      <c r="BM219" s="115"/>
      <c r="BN219" s="115"/>
      <c r="BO219" s="115"/>
      <c r="BP219" s="115"/>
      <c r="BQ219" s="115"/>
      <c r="BR219" s="115"/>
      <c r="BS219" s="115"/>
      <c r="BT219" s="115"/>
      <c r="BU219" s="115"/>
      <c r="BV219" s="115"/>
      <c r="BW219" s="25"/>
      <c r="BX219" s="13"/>
      <c r="CA219" s="114"/>
    </row>
    <row r="220" spans="1:79" ht="20.100000000000001" customHeight="1" x14ac:dyDescent="0.4">
      <c r="A220" s="117"/>
      <c r="B220" s="123"/>
      <c r="C220" s="123"/>
      <c r="D220" s="123"/>
      <c r="T220" s="115"/>
      <c r="U220" s="115"/>
      <c r="V220" s="115"/>
      <c r="W220" s="115"/>
      <c r="X220" s="26"/>
      <c r="Y220" s="13"/>
      <c r="AI220" s="115"/>
      <c r="AJ220" s="115"/>
      <c r="AK220" s="115"/>
      <c r="AL220" s="115"/>
      <c r="AM220" s="115"/>
      <c r="AN220" s="29"/>
      <c r="AO220" s="29"/>
      <c r="AY220" s="25"/>
      <c r="AZ220" s="13"/>
      <c r="BE220" s="116"/>
      <c r="BF220" s="123"/>
      <c r="BG220" s="123"/>
      <c r="BH220" s="123"/>
      <c r="BM220" s="115"/>
      <c r="BN220" s="115"/>
      <c r="BO220" s="115"/>
      <c r="BP220" s="115"/>
      <c r="BQ220" s="115"/>
      <c r="BR220" s="115"/>
      <c r="BS220" s="115"/>
      <c r="BT220" s="115"/>
      <c r="BU220" s="115"/>
      <c r="BV220" s="115"/>
      <c r="BW220" s="25"/>
      <c r="BX220" s="13"/>
      <c r="CA220" s="114"/>
    </row>
    <row r="221" spans="1:79" ht="20.100000000000001" customHeight="1" x14ac:dyDescent="0.4">
      <c r="A221" s="117"/>
      <c r="B221" s="123"/>
      <c r="C221" s="123"/>
      <c r="D221" s="123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26"/>
      <c r="Y221" s="13"/>
      <c r="AI221" s="115"/>
      <c r="AJ221" s="115"/>
      <c r="AK221" s="115"/>
      <c r="AL221" s="115"/>
      <c r="AM221" s="115"/>
      <c r="AN221" s="29"/>
      <c r="AO221" s="29"/>
      <c r="AY221" s="25"/>
      <c r="AZ221" s="13"/>
      <c r="BE221" s="116"/>
      <c r="BF221" s="123"/>
      <c r="BG221" s="123"/>
      <c r="BH221" s="123"/>
      <c r="BM221" s="115"/>
      <c r="BN221" s="115"/>
      <c r="BO221" s="115"/>
      <c r="BP221" s="115"/>
      <c r="BQ221" s="115"/>
      <c r="BR221" s="115"/>
      <c r="BS221" s="115"/>
      <c r="BT221" s="115"/>
      <c r="BU221" s="115"/>
      <c r="BV221" s="115"/>
      <c r="BW221" s="25"/>
      <c r="BX221" s="13"/>
      <c r="CA221" s="114"/>
    </row>
    <row r="222" spans="1:79" ht="20.100000000000001" customHeight="1" x14ac:dyDescent="0.4">
      <c r="A222" s="117"/>
      <c r="B222" s="123"/>
      <c r="C222" s="123"/>
      <c r="D222" s="123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26"/>
      <c r="Y222" s="13"/>
      <c r="AI222" s="115"/>
      <c r="AJ222" s="115"/>
      <c r="AK222" s="115"/>
      <c r="AL222" s="115"/>
      <c r="AM222" s="115"/>
      <c r="AN222" s="29"/>
      <c r="AO222" s="29"/>
      <c r="AY222" s="25"/>
      <c r="AZ222" s="13"/>
      <c r="BE222" s="116"/>
      <c r="BF222" s="123"/>
      <c r="BG222" s="123"/>
      <c r="BH222" s="123"/>
      <c r="BM222" s="115"/>
      <c r="BN222" s="115"/>
      <c r="BO222" s="115"/>
      <c r="BP222" s="115"/>
      <c r="BQ222" s="115"/>
      <c r="BR222" s="115"/>
      <c r="BS222" s="115"/>
      <c r="BT222" s="115"/>
      <c r="BU222" s="115"/>
      <c r="BV222" s="115"/>
      <c r="BW222" s="25"/>
      <c r="BX222" s="13"/>
      <c r="CA222" s="114"/>
    </row>
    <row r="223" spans="1:79" ht="20.100000000000001" customHeight="1" x14ac:dyDescent="0.4">
      <c r="A223" s="117"/>
      <c r="B223" s="123"/>
      <c r="C223" s="123"/>
      <c r="D223" s="123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26"/>
      <c r="Y223" s="13"/>
      <c r="AI223" s="115"/>
      <c r="AJ223" s="115"/>
      <c r="AK223" s="115"/>
      <c r="AL223" s="115"/>
      <c r="AM223" s="115"/>
      <c r="AN223" s="29"/>
      <c r="AO223" s="29"/>
      <c r="AY223" s="25"/>
      <c r="AZ223" s="13"/>
      <c r="BE223" s="116"/>
      <c r="BF223" s="123"/>
      <c r="BG223" s="123"/>
      <c r="BH223" s="123"/>
      <c r="BM223" s="115"/>
      <c r="BN223" s="115"/>
      <c r="BO223" s="115"/>
      <c r="BP223" s="115"/>
      <c r="BQ223" s="115"/>
      <c r="BR223" s="115"/>
      <c r="BS223" s="115"/>
      <c r="BT223" s="115"/>
      <c r="BU223" s="115"/>
      <c r="BV223" s="115"/>
      <c r="BW223" s="25"/>
      <c r="BX223" s="13"/>
      <c r="CA223" s="114"/>
    </row>
    <row r="224" spans="1:79" ht="20.100000000000001" customHeight="1" x14ac:dyDescent="0.4">
      <c r="A224" s="117"/>
      <c r="B224" s="123"/>
      <c r="C224" s="123"/>
      <c r="D224" s="123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7"/>
      <c r="Y224" s="13"/>
      <c r="AI224" s="115"/>
      <c r="AJ224" s="115"/>
      <c r="AK224" s="115"/>
      <c r="AL224" s="115"/>
      <c r="AM224" s="115"/>
      <c r="AN224" s="29"/>
      <c r="AO224" s="29"/>
      <c r="AY224" s="25"/>
      <c r="AZ224" s="13"/>
      <c r="BE224" s="116"/>
      <c r="BF224" s="123"/>
      <c r="BG224" s="123"/>
      <c r="BH224" s="123"/>
      <c r="BM224" s="115"/>
      <c r="BN224" s="115"/>
      <c r="BO224" s="115"/>
      <c r="BP224" s="115"/>
      <c r="BQ224" s="115"/>
      <c r="BR224" s="115"/>
      <c r="BS224" s="115"/>
      <c r="BT224" s="115"/>
      <c r="BU224" s="115"/>
      <c r="BV224" s="115"/>
      <c r="BW224" s="25"/>
      <c r="BX224" s="13"/>
      <c r="CA224" s="114"/>
    </row>
    <row r="225" spans="1:79" ht="20.100000000000001" customHeight="1" x14ac:dyDescent="0.4">
      <c r="A225" s="117"/>
      <c r="B225" s="123"/>
      <c r="C225" s="123"/>
      <c r="D225" s="123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26"/>
      <c r="Y225" s="13"/>
      <c r="AI225" s="115"/>
      <c r="AJ225" s="115"/>
      <c r="AK225" s="115"/>
      <c r="AL225" s="115"/>
      <c r="AM225" s="115"/>
      <c r="AN225" s="29"/>
      <c r="AO225" s="29"/>
      <c r="AY225" s="25"/>
      <c r="AZ225" s="13"/>
      <c r="BE225" s="116"/>
      <c r="BF225" s="123"/>
      <c r="BG225" s="123"/>
      <c r="BH225" s="123"/>
      <c r="BM225" s="115"/>
      <c r="BN225" s="115"/>
      <c r="BO225" s="115"/>
      <c r="BP225" s="115"/>
      <c r="BQ225" s="115"/>
      <c r="BR225" s="115"/>
      <c r="BS225" s="115"/>
      <c r="BT225" s="115"/>
      <c r="BU225" s="115"/>
      <c r="BV225" s="115"/>
      <c r="BW225" s="25"/>
      <c r="BX225" s="13"/>
      <c r="CA225" s="114"/>
    </row>
    <row r="226" spans="1:79" ht="20.100000000000001" customHeight="1" x14ac:dyDescent="0.4">
      <c r="A226" s="117"/>
      <c r="B226" s="123"/>
      <c r="C226" s="123"/>
      <c r="D226" s="123"/>
      <c r="X226" s="26"/>
      <c r="Y226" s="13"/>
      <c r="AI226" s="115"/>
      <c r="AJ226" s="115"/>
      <c r="AK226" s="115"/>
      <c r="AL226" s="115"/>
      <c r="AM226" s="115"/>
      <c r="AN226" s="127"/>
      <c r="AO226" s="29"/>
      <c r="AY226" s="25"/>
      <c r="AZ226" s="13"/>
      <c r="BE226" s="116"/>
      <c r="BF226" s="123"/>
      <c r="BG226" s="123"/>
      <c r="BH226" s="123"/>
      <c r="BM226" s="115"/>
      <c r="BN226" s="115"/>
      <c r="BO226" s="115"/>
      <c r="BP226" s="115"/>
      <c r="BQ226" s="115"/>
      <c r="BR226" s="115"/>
      <c r="BS226" s="115"/>
      <c r="BT226" s="115"/>
      <c r="BU226" s="115"/>
      <c r="BV226" s="115"/>
      <c r="BW226" s="25"/>
      <c r="BX226" s="13"/>
      <c r="CA226" s="114"/>
    </row>
    <row r="227" spans="1:79" ht="20.100000000000001" customHeight="1" x14ac:dyDescent="0.4">
      <c r="A227" s="117"/>
      <c r="B227" s="123"/>
      <c r="C227" s="123"/>
      <c r="D227" s="123"/>
      <c r="X227" s="26"/>
      <c r="Y227" s="15"/>
      <c r="AH227" s="115"/>
      <c r="AI227" s="115"/>
      <c r="AJ227" s="115"/>
      <c r="AK227" s="115"/>
      <c r="AL227" s="115"/>
      <c r="AM227" s="115"/>
      <c r="AN227" s="127"/>
      <c r="AO227" s="29"/>
      <c r="AY227" s="25"/>
      <c r="AZ227" s="13"/>
      <c r="BE227" s="116"/>
      <c r="BF227" s="123"/>
      <c r="BG227" s="123"/>
      <c r="BH227" s="123"/>
      <c r="BM227" s="115"/>
      <c r="BN227" s="115"/>
      <c r="BO227" s="115"/>
      <c r="BP227" s="115"/>
      <c r="BQ227" s="115"/>
      <c r="BR227" s="115"/>
      <c r="BS227" s="115"/>
      <c r="BT227" s="115"/>
      <c r="BU227" s="115"/>
      <c r="BV227" s="115"/>
      <c r="BW227" s="25"/>
      <c r="BX227" s="13"/>
      <c r="CA227" s="114"/>
    </row>
    <row r="228" spans="1:79" ht="20.100000000000001" customHeight="1" x14ac:dyDescent="0.4">
      <c r="A228" s="117"/>
      <c r="B228" s="123"/>
      <c r="C228" s="123"/>
      <c r="D228" s="123"/>
      <c r="T228" s="115"/>
      <c r="U228" s="115"/>
      <c r="V228" s="115"/>
      <c r="W228" s="115"/>
      <c r="X228" s="26"/>
      <c r="Y228" s="15"/>
      <c r="AH228" s="115"/>
      <c r="AI228" s="115"/>
      <c r="AJ228" s="115"/>
      <c r="AK228" s="115"/>
      <c r="AL228" s="115"/>
      <c r="AM228" s="115"/>
      <c r="AN228" s="127"/>
      <c r="AO228" s="29"/>
      <c r="AY228" s="25"/>
      <c r="AZ228" s="13"/>
      <c r="BE228" s="116"/>
      <c r="BF228" s="123"/>
      <c r="BG228" s="123"/>
      <c r="BH228" s="123"/>
      <c r="BM228" s="115"/>
      <c r="BN228" s="115"/>
      <c r="BO228" s="115"/>
      <c r="BP228" s="115"/>
      <c r="BQ228" s="115"/>
      <c r="BR228" s="115"/>
      <c r="BS228" s="115"/>
      <c r="BT228" s="115"/>
      <c r="BU228" s="115"/>
      <c r="BV228" s="115"/>
      <c r="BW228" s="25"/>
      <c r="BX228" s="13"/>
      <c r="CA228" s="114"/>
    </row>
    <row r="229" spans="1:79" ht="20.100000000000001" customHeight="1" x14ac:dyDescent="0.4">
      <c r="A229" s="117"/>
      <c r="B229" s="123"/>
      <c r="C229" s="123"/>
      <c r="D229" s="123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26"/>
      <c r="Y229" s="15"/>
      <c r="AH229" s="115"/>
      <c r="AI229" s="115"/>
      <c r="AJ229" s="115"/>
      <c r="AK229" s="115"/>
      <c r="AL229" s="115"/>
      <c r="AM229" s="115"/>
      <c r="AN229" s="127"/>
      <c r="AO229" s="29"/>
      <c r="AY229" s="25"/>
      <c r="AZ229" s="13"/>
      <c r="BE229" s="116"/>
      <c r="BF229" s="123"/>
      <c r="BG229" s="123"/>
      <c r="BH229" s="123"/>
      <c r="BM229" s="115"/>
      <c r="BN229" s="115"/>
      <c r="BO229" s="115"/>
      <c r="BP229" s="115"/>
      <c r="BQ229" s="115"/>
      <c r="BR229" s="115"/>
      <c r="BS229" s="115"/>
      <c r="BT229" s="115"/>
      <c r="BU229" s="115"/>
      <c r="BV229" s="115"/>
      <c r="BW229" s="25"/>
      <c r="BX229" s="13"/>
      <c r="CA229" s="114"/>
    </row>
    <row r="230" spans="1:79" ht="20.100000000000001" customHeight="1" x14ac:dyDescent="0.4">
      <c r="A230" s="117"/>
      <c r="B230" s="123"/>
      <c r="C230" s="123"/>
      <c r="D230" s="123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26"/>
      <c r="Y230" s="13"/>
      <c r="AH230" s="115"/>
      <c r="AI230" s="115"/>
      <c r="AJ230" s="115"/>
      <c r="AK230" s="115"/>
      <c r="AL230" s="115"/>
      <c r="AM230" s="115"/>
      <c r="AN230" s="127"/>
      <c r="AO230" s="29"/>
      <c r="AY230" s="25"/>
      <c r="AZ230" s="13"/>
      <c r="BE230" s="116"/>
      <c r="BF230" s="123"/>
      <c r="BG230" s="123"/>
      <c r="BH230" s="123"/>
      <c r="BM230" s="115"/>
      <c r="BN230" s="115"/>
      <c r="BO230" s="115"/>
      <c r="BP230" s="115"/>
      <c r="BQ230" s="115"/>
      <c r="BR230" s="115"/>
      <c r="BS230" s="115"/>
      <c r="BT230" s="115"/>
      <c r="BU230" s="115"/>
      <c r="BV230" s="115"/>
      <c r="BW230" s="25"/>
      <c r="BX230" s="13"/>
      <c r="CA230" s="114"/>
    </row>
    <row r="231" spans="1:79" ht="20.100000000000001" customHeight="1" x14ac:dyDescent="0.4">
      <c r="A231" s="117"/>
      <c r="B231" s="123"/>
      <c r="C231" s="123"/>
      <c r="D231" s="123"/>
      <c r="X231" s="26"/>
      <c r="Y231" s="13"/>
      <c r="AH231" s="115"/>
      <c r="AI231" s="115"/>
      <c r="AJ231" s="115"/>
      <c r="AK231" s="115"/>
      <c r="AL231" s="115"/>
      <c r="AM231" s="115"/>
      <c r="AN231" s="29"/>
      <c r="AO231" s="29"/>
      <c r="AY231" s="25"/>
      <c r="AZ231" s="13"/>
      <c r="BE231" s="116"/>
      <c r="BF231" s="123"/>
      <c r="BG231" s="123"/>
      <c r="BH231" s="123"/>
      <c r="BM231" s="115"/>
      <c r="BN231" s="115"/>
      <c r="BO231" s="115"/>
      <c r="BP231" s="115"/>
      <c r="BQ231" s="115"/>
      <c r="BR231" s="115"/>
      <c r="BS231" s="115"/>
      <c r="BT231" s="115"/>
      <c r="BU231" s="115"/>
      <c r="BV231" s="115"/>
      <c r="BW231" s="25"/>
      <c r="BX231" s="13"/>
      <c r="CA231" s="114"/>
    </row>
    <row r="232" spans="1:79" ht="20.100000000000001" customHeight="1" x14ac:dyDescent="0.4">
      <c r="A232" s="117"/>
      <c r="B232" s="123"/>
      <c r="C232" s="123"/>
      <c r="D232" s="123"/>
      <c r="U232" s="115"/>
      <c r="V232" s="115"/>
      <c r="W232" s="115"/>
      <c r="X232" s="17"/>
      <c r="Y232" s="13"/>
      <c r="AH232" s="115"/>
      <c r="AI232" s="115"/>
      <c r="AJ232" s="115"/>
      <c r="AK232" s="115"/>
      <c r="AL232" s="115"/>
      <c r="AM232" s="115"/>
      <c r="AN232" s="29"/>
      <c r="AO232" s="29"/>
      <c r="AY232" s="25"/>
      <c r="AZ232" s="13"/>
      <c r="BE232" s="116"/>
      <c r="BF232" s="123"/>
      <c r="BG232" s="123"/>
      <c r="BH232" s="123"/>
      <c r="BM232" s="115"/>
      <c r="BN232" s="115"/>
      <c r="BO232" s="115"/>
      <c r="BP232" s="115"/>
      <c r="BQ232" s="115"/>
      <c r="BR232" s="115"/>
      <c r="BS232" s="115"/>
      <c r="BT232" s="115"/>
      <c r="BU232" s="115"/>
      <c r="BV232" s="115"/>
      <c r="BW232" s="25"/>
      <c r="BX232" s="13"/>
      <c r="CA232" s="114"/>
    </row>
    <row r="233" spans="1:79" ht="20.100000000000001" customHeight="1" x14ac:dyDescent="0.4">
      <c r="A233" s="117"/>
      <c r="B233" s="123"/>
      <c r="C233" s="123"/>
      <c r="D233" s="123"/>
      <c r="T233" s="115"/>
      <c r="U233" s="115"/>
      <c r="V233" s="115"/>
      <c r="W233" s="115"/>
      <c r="X233" s="26"/>
      <c r="Y233" s="13"/>
      <c r="AH233" s="115"/>
      <c r="AI233" s="115"/>
      <c r="AJ233" s="115"/>
      <c r="AK233" s="115"/>
      <c r="AL233" s="115"/>
      <c r="AM233" s="115"/>
      <c r="AN233" s="29"/>
      <c r="AO233" s="29"/>
      <c r="AY233" s="25"/>
      <c r="AZ233" s="13"/>
      <c r="BE233" s="116"/>
      <c r="BF233" s="123"/>
      <c r="BG233" s="123"/>
      <c r="BH233" s="123"/>
      <c r="BM233" s="115"/>
      <c r="BN233" s="115"/>
      <c r="BO233" s="115"/>
      <c r="BP233" s="115"/>
      <c r="BQ233" s="115"/>
      <c r="BR233" s="115"/>
      <c r="BS233" s="115"/>
      <c r="BT233" s="115"/>
      <c r="BU233" s="115"/>
      <c r="BV233" s="115"/>
      <c r="BW233" s="25"/>
      <c r="BX233" s="13"/>
      <c r="CA233" s="114"/>
    </row>
    <row r="234" spans="1:79" ht="20.100000000000001" customHeight="1" x14ac:dyDescent="0.4">
      <c r="A234" s="117"/>
      <c r="B234" s="123"/>
      <c r="C234" s="123"/>
      <c r="D234" s="123"/>
      <c r="X234" s="26"/>
      <c r="Y234" s="13"/>
      <c r="AH234" s="115"/>
      <c r="AI234" s="115"/>
      <c r="AJ234" s="115"/>
      <c r="AK234" s="115"/>
      <c r="AL234" s="115"/>
      <c r="AM234" s="115"/>
      <c r="AN234" s="127"/>
      <c r="AO234" s="29"/>
      <c r="AY234" s="25"/>
      <c r="AZ234" s="13"/>
      <c r="BE234" s="116"/>
      <c r="BF234" s="123"/>
      <c r="BG234" s="123"/>
      <c r="BH234" s="123"/>
      <c r="BM234" s="115"/>
      <c r="BN234" s="115"/>
      <c r="BO234" s="115"/>
      <c r="BP234" s="115"/>
      <c r="BQ234" s="115"/>
      <c r="BR234" s="115"/>
      <c r="BS234" s="115"/>
      <c r="BT234" s="115"/>
      <c r="BU234" s="115"/>
      <c r="BV234" s="115"/>
      <c r="BW234" s="25"/>
      <c r="BX234" s="13"/>
      <c r="CA234" s="114"/>
    </row>
    <row r="235" spans="1:79" ht="20.100000000000001" customHeight="1" x14ac:dyDescent="0.4">
      <c r="A235" s="117"/>
      <c r="B235" s="123"/>
      <c r="C235" s="123"/>
      <c r="D235" s="123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26"/>
      <c r="Y235" s="13"/>
      <c r="AH235" s="115"/>
      <c r="AI235" s="115"/>
      <c r="AJ235" s="115"/>
      <c r="AK235" s="115"/>
      <c r="AL235" s="115"/>
      <c r="AM235" s="115"/>
      <c r="AN235" s="127"/>
      <c r="AO235" s="29"/>
      <c r="AY235" s="25"/>
      <c r="AZ235" s="13"/>
      <c r="BE235" s="116"/>
      <c r="BF235" s="123"/>
      <c r="BG235" s="123"/>
      <c r="BH235" s="123"/>
      <c r="BM235" s="115"/>
      <c r="BN235" s="115"/>
      <c r="BO235" s="115"/>
      <c r="BP235" s="115"/>
      <c r="BQ235" s="115"/>
      <c r="BR235" s="115"/>
      <c r="BS235" s="115"/>
      <c r="BT235" s="115"/>
      <c r="BU235" s="115"/>
      <c r="BV235" s="115"/>
      <c r="BW235" s="25"/>
      <c r="BX235" s="13"/>
      <c r="CA235" s="114"/>
    </row>
    <row r="236" spans="1:79" ht="20.100000000000001" customHeight="1" x14ac:dyDescent="0.4">
      <c r="A236" s="117"/>
      <c r="B236" s="123"/>
      <c r="C236" s="123"/>
      <c r="D236" s="123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7"/>
      <c r="Y236" s="13"/>
      <c r="AH236" s="115"/>
      <c r="AI236" s="115"/>
      <c r="AJ236" s="115"/>
      <c r="AK236" s="115"/>
      <c r="AL236" s="115"/>
      <c r="AM236" s="115"/>
      <c r="AN236" s="127"/>
      <c r="AO236" s="29"/>
      <c r="AY236" s="25"/>
      <c r="AZ236" s="13"/>
      <c r="BE236" s="116"/>
      <c r="BF236" s="123"/>
      <c r="BG236" s="123"/>
      <c r="BH236" s="123"/>
      <c r="BM236" s="115"/>
      <c r="BN236" s="115"/>
      <c r="BO236" s="115"/>
      <c r="BP236" s="115"/>
      <c r="BQ236" s="115"/>
      <c r="BR236" s="115"/>
      <c r="BS236" s="115"/>
      <c r="BT236" s="115"/>
      <c r="BU236" s="115"/>
      <c r="BV236" s="115"/>
      <c r="BW236" s="25"/>
      <c r="BX236" s="13"/>
      <c r="CA236" s="114"/>
    </row>
    <row r="237" spans="1:79" ht="20.100000000000001" customHeight="1" x14ac:dyDescent="0.4">
      <c r="A237" s="117"/>
      <c r="B237" s="123"/>
      <c r="C237" s="123"/>
      <c r="D237" s="123"/>
      <c r="X237" s="26"/>
      <c r="Y237" s="13"/>
      <c r="AH237" s="115"/>
      <c r="AI237" s="115"/>
      <c r="AJ237" s="115"/>
      <c r="AK237" s="115"/>
      <c r="AL237" s="115"/>
      <c r="AM237" s="115"/>
      <c r="AN237" s="127"/>
      <c r="AO237" s="29"/>
      <c r="AY237" s="25"/>
      <c r="AZ237" s="13"/>
      <c r="BE237" s="116"/>
      <c r="BF237" s="123"/>
      <c r="BG237" s="123"/>
      <c r="BH237" s="123"/>
      <c r="BM237" s="115"/>
      <c r="BN237" s="115"/>
      <c r="BO237" s="115"/>
      <c r="BP237" s="115"/>
      <c r="BQ237" s="115"/>
      <c r="BR237" s="115"/>
      <c r="BS237" s="115"/>
      <c r="BT237" s="115"/>
      <c r="BU237" s="115"/>
      <c r="BV237" s="115"/>
      <c r="BW237" s="25"/>
      <c r="BX237" s="13"/>
      <c r="CA237" s="114"/>
    </row>
    <row r="238" spans="1:79" ht="20.100000000000001" customHeight="1" x14ac:dyDescent="0.4">
      <c r="A238" s="117"/>
      <c r="B238" s="123"/>
      <c r="C238" s="123"/>
      <c r="D238" s="123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26"/>
      <c r="Y238" s="13"/>
      <c r="AH238" s="115"/>
      <c r="AI238" s="115"/>
      <c r="AJ238" s="115"/>
      <c r="AK238" s="115"/>
      <c r="AL238" s="115"/>
      <c r="AM238" s="115"/>
      <c r="AN238" s="127"/>
      <c r="AO238" s="29"/>
      <c r="AY238" s="25"/>
      <c r="AZ238" s="13"/>
      <c r="BE238" s="116"/>
      <c r="BF238" s="123"/>
      <c r="BG238" s="123"/>
      <c r="BH238" s="123"/>
      <c r="BM238" s="115"/>
      <c r="BN238" s="115"/>
      <c r="BO238" s="115"/>
      <c r="BP238" s="115"/>
      <c r="BQ238" s="115"/>
      <c r="BR238" s="115"/>
      <c r="BS238" s="115"/>
      <c r="BT238" s="115"/>
      <c r="BU238" s="115"/>
      <c r="BV238" s="115"/>
      <c r="BW238" s="25"/>
      <c r="BX238" s="13"/>
      <c r="CA238" s="114"/>
    </row>
    <row r="239" spans="1:79" ht="20.100000000000001" customHeight="1" x14ac:dyDescent="0.4">
      <c r="A239" s="117"/>
      <c r="B239" s="123"/>
      <c r="C239" s="123"/>
      <c r="D239" s="123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26"/>
      <c r="Y239" s="13"/>
      <c r="AH239" s="115"/>
      <c r="AI239" s="115"/>
      <c r="AJ239" s="115"/>
      <c r="AK239" s="115"/>
      <c r="AL239" s="115"/>
      <c r="AM239" s="115"/>
      <c r="AN239" s="127"/>
      <c r="AO239" s="29"/>
      <c r="AY239" s="25"/>
      <c r="AZ239" s="13"/>
      <c r="BE239" s="116"/>
      <c r="BF239" s="123"/>
      <c r="BG239" s="123"/>
      <c r="BH239" s="123"/>
      <c r="BM239" s="115"/>
      <c r="BN239" s="115"/>
      <c r="BO239" s="115"/>
      <c r="BP239" s="115"/>
      <c r="BQ239" s="115"/>
      <c r="BR239" s="115"/>
      <c r="BS239" s="115"/>
      <c r="BT239" s="115"/>
      <c r="BU239" s="115"/>
      <c r="BV239" s="115"/>
      <c r="BW239" s="25"/>
      <c r="BX239" s="13"/>
      <c r="CA239" s="114"/>
    </row>
    <row r="240" spans="1:79" ht="20.100000000000001" customHeight="1" x14ac:dyDescent="0.4">
      <c r="A240" s="117"/>
      <c r="B240" s="123"/>
      <c r="C240" s="123"/>
      <c r="D240" s="123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26"/>
      <c r="Y240" s="13"/>
      <c r="AH240" s="115"/>
      <c r="AI240" s="115"/>
      <c r="AJ240" s="115"/>
      <c r="AK240" s="115"/>
      <c r="AL240" s="115"/>
      <c r="AM240" s="115"/>
      <c r="AN240" s="127"/>
      <c r="AO240" s="29"/>
      <c r="AY240" s="25"/>
      <c r="AZ240" s="13"/>
      <c r="BE240" s="116"/>
      <c r="BF240" s="123"/>
      <c r="BG240" s="123"/>
      <c r="BH240" s="123"/>
      <c r="BM240" s="115"/>
      <c r="BN240" s="115"/>
      <c r="BO240" s="115"/>
      <c r="BP240" s="115"/>
      <c r="BQ240" s="115"/>
      <c r="BR240" s="115"/>
      <c r="BS240" s="115"/>
      <c r="BT240" s="115"/>
      <c r="BU240" s="115"/>
      <c r="BV240" s="115"/>
      <c r="BW240" s="25"/>
      <c r="BX240" s="13"/>
      <c r="CA240" s="114"/>
    </row>
    <row r="241" spans="1:79" ht="20.100000000000001" customHeight="1" x14ac:dyDescent="0.4">
      <c r="A241" s="117"/>
      <c r="B241" s="123"/>
      <c r="C241" s="123"/>
      <c r="D241" s="123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7"/>
      <c r="Y241" s="13"/>
      <c r="AH241" s="115"/>
      <c r="AI241" s="115"/>
      <c r="AJ241" s="115"/>
      <c r="AK241" s="115"/>
      <c r="AL241" s="115"/>
      <c r="AM241" s="115"/>
      <c r="AN241" s="127"/>
      <c r="AO241" s="29"/>
      <c r="AY241" s="25"/>
      <c r="AZ241" s="13"/>
      <c r="BE241" s="116"/>
      <c r="BF241" s="123"/>
      <c r="BG241" s="123"/>
      <c r="BH241" s="123"/>
      <c r="BM241" s="115"/>
      <c r="BN241" s="115"/>
      <c r="BO241" s="115"/>
      <c r="BP241" s="115"/>
      <c r="BQ241" s="115"/>
      <c r="BR241" s="115"/>
      <c r="BS241" s="115"/>
      <c r="BT241" s="115"/>
      <c r="BU241" s="115"/>
      <c r="BV241" s="115"/>
      <c r="BW241" s="25"/>
      <c r="BX241" s="13"/>
      <c r="CA241" s="114"/>
    </row>
    <row r="242" spans="1:79" ht="20.100000000000001" customHeight="1" x14ac:dyDescent="0.4">
      <c r="A242" s="117"/>
      <c r="B242" s="123"/>
      <c r="C242" s="123"/>
      <c r="D242" s="123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26"/>
      <c r="Y242" s="13"/>
      <c r="AH242" s="115"/>
      <c r="AI242" s="115"/>
      <c r="AJ242" s="115"/>
      <c r="AK242" s="115"/>
      <c r="AL242" s="115"/>
      <c r="AM242" s="115"/>
      <c r="AN242" s="127"/>
      <c r="AO242" s="29"/>
      <c r="AY242" s="25"/>
      <c r="AZ242" s="13"/>
      <c r="BE242" s="116"/>
      <c r="BF242" s="123"/>
      <c r="BG242" s="123"/>
      <c r="BH242" s="123"/>
      <c r="BM242" s="115"/>
      <c r="BN242" s="115"/>
      <c r="BO242" s="115"/>
      <c r="BP242" s="115"/>
      <c r="BQ242" s="115"/>
      <c r="BR242" s="115"/>
      <c r="BS242" s="115"/>
      <c r="BT242" s="115"/>
      <c r="BU242" s="115"/>
      <c r="BV242" s="115"/>
      <c r="BW242" s="25"/>
      <c r="BX242" s="13"/>
      <c r="CA242" s="114"/>
    </row>
    <row r="243" spans="1:79" ht="20.100000000000001" customHeight="1" x14ac:dyDescent="0.4">
      <c r="A243" s="117"/>
      <c r="B243" s="123"/>
      <c r="C243" s="123"/>
      <c r="D243" s="123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26"/>
      <c r="Y243" s="13"/>
      <c r="AH243" s="115"/>
      <c r="AI243" s="115"/>
      <c r="AJ243" s="115"/>
      <c r="AK243" s="115"/>
      <c r="AL243" s="115"/>
      <c r="AM243" s="115"/>
      <c r="AN243" s="127"/>
      <c r="AO243" s="29"/>
      <c r="AY243" s="25"/>
      <c r="AZ243" s="13"/>
      <c r="BE243" s="116"/>
      <c r="BF243" s="123"/>
      <c r="BG243" s="123"/>
      <c r="BH243" s="123"/>
      <c r="BM243" s="115"/>
      <c r="BN243" s="115"/>
      <c r="BO243" s="115"/>
      <c r="BP243" s="115"/>
      <c r="BQ243" s="115"/>
      <c r="BR243" s="115"/>
      <c r="BS243" s="115"/>
      <c r="BT243" s="115"/>
      <c r="BU243" s="115"/>
      <c r="BV243" s="115"/>
      <c r="BW243" s="25"/>
      <c r="BX243" s="13"/>
      <c r="CA243" s="114"/>
    </row>
    <row r="244" spans="1:79" ht="20.100000000000001" customHeight="1" x14ac:dyDescent="0.4">
      <c r="A244" s="117"/>
      <c r="B244" s="123"/>
      <c r="C244" s="123"/>
      <c r="D244" s="123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26"/>
      <c r="Y244" s="13"/>
      <c r="AH244" s="115"/>
      <c r="AI244" s="115"/>
      <c r="AJ244" s="115"/>
      <c r="AK244" s="115"/>
      <c r="AL244" s="115"/>
      <c r="AM244" s="115"/>
      <c r="AN244" s="127"/>
      <c r="AO244" s="29"/>
      <c r="AY244" s="25"/>
      <c r="AZ244" s="13"/>
      <c r="BE244" s="116"/>
      <c r="BF244" s="123"/>
      <c r="BG244" s="123"/>
      <c r="BH244" s="123"/>
      <c r="BM244" s="115"/>
      <c r="BN244" s="115"/>
      <c r="BO244" s="115"/>
      <c r="BP244" s="115"/>
      <c r="BQ244" s="115"/>
      <c r="BR244" s="115"/>
      <c r="BS244" s="115"/>
      <c r="BT244" s="115"/>
      <c r="BU244" s="115"/>
      <c r="BV244" s="115"/>
      <c r="BW244" s="25"/>
      <c r="BX244" s="13"/>
      <c r="CA244" s="114"/>
    </row>
    <row r="245" spans="1:79" ht="20.100000000000001" customHeight="1" x14ac:dyDescent="0.4">
      <c r="A245" s="117"/>
      <c r="B245" s="123"/>
      <c r="C245" s="123"/>
      <c r="D245" s="123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26"/>
      <c r="Y245" s="13"/>
      <c r="AH245" s="115"/>
      <c r="AI245" s="115"/>
      <c r="AJ245" s="115"/>
      <c r="AK245" s="115"/>
      <c r="AL245" s="115"/>
      <c r="AM245" s="115"/>
      <c r="AN245" s="127"/>
      <c r="AO245" s="29"/>
      <c r="AY245" s="25"/>
      <c r="AZ245" s="13"/>
      <c r="BE245" s="116"/>
      <c r="BF245" s="123"/>
      <c r="BG245" s="123"/>
      <c r="BH245" s="123"/>
      <c r="BM245" s="115"/>
      <c r="BN245" s="115"/>
      <c r="BO245" s="115"/>
      <c r="BP245" s="115"/>
      <c r="BQ245" s="115"/>
      <c r="BR245" s="115"/>
      <c r="BS245" s="115"/>
      <c r="BT245" s="115"/>
      <c r="BU245" s="115"/>
      <c r="BV245" s="115"/>
      <c r="BW245" s="25"/>
      <c r="BX245" s="13"/>
      <c r="CA245" s="114"/>
    </row>
    <row r="246" spans="1:79" ht="20.100000000000001" customHeight="1" x14ac:dyDescent="0.4">
      <c r="A246" s="117"/>
      <c r="B246" s="123"/>
      <c r="C246" s="123"/>
      <c r="D246" s="123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7"/>
      <c r="Y246" s="13"/>
      <c r="AH246" s="115"/>
      <c r="AI246" s="115"/>
      <c r="AJ246" s="115"/>
      <c r="AK246" s="115"/>
      <c r="AL246" s="115"/>
      <c r="AM246" s="115"/>
      <c r="AN246" s="127"/>
      <c r="AO246" s="29"/>
      <c r="AY246" s="25"/>
      <c r="AZ246" s="13"/>
      <c r="BE246" s="116"/>
      <c r="BF246" s="123"/>
      <c r="BG246" s="123"/>
      <c r="BH246" s="123"/>
      <c r="BM246" s="115"/>
      <c r="BN246" s="115"/>
      <c r="BO246" s="115"/>
      <c r="BP246" s="115"/>
      <c r="BQ246" s="115"/>
      <c r="BR246" s="115"/>
      <c r="BS246" s="115"/>
      <c r="BT246" s="115"/>
      <c r="BU246" s="115"/>
      <c r="BV246" s="115"/>
      <c r="BW246" s="25"/>
      <c r="BX246" s="13"/>
      <c r="CA246" s="114"/>
    </row>
    <row r="247" spans="1:79" ht="20.100000000000001" customHeight="1" x14ac:dyDescent="0.4">
      <c r="A247" s="117"/>
      <c r="B247" s="123"/>
      <c r="C247" s="123"/>
      <c r="D247" s="123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26"/>
      <c r="Y247" s="13"/>
      <c r="AH247" s="115"/>
      <c r="AI247" s="115"/>
      <c r="AJ247" s="115"/>
      <c r="AK247" s="115"/>
      <c r="AL247" s="115"/>
      <c r="AM247" s="115"/>
      <c r="AN247" s="127"/>
      <c r="AO247" s="29"/>
      <c r="AY247" s="25"/>
      <c r="AZ247" s="13"/>
      <c r="BE247" s="116"/>
      <c r="BF247" s="123"/>
      <c r="BG247" s="123"/>
      <c r="BH247" s="123"/>
      <c r="BM247" s="115"/>
      <c r="BN247" s="115"/>
      <c r="BO247" s="115"/>
      <c r="BP247" s="115"/>
      <c r="BQ247" s="115"/>
      <c r="BR247" s="115"/>
      <c r="BS247" s="115"/>
      <c r="BT247" s="115"/>
      <c r="BU247" s="115"/>
      <c r="BV247" s="115"/>
      <c r="BW247" s="25"/>
      <c r="BX247" s="13"/>
      <c r="CA247" s="114"/>
    </row>
    <row r="248" spans="1:79" ht="20.100000000000001" customHeight="1" x14ac:dyDescent="0.4">
      <c r="A248" s="117"/>
      <c r="B248" s="123"/>
      <c r="C248" s="123"/>
      <c r="D248" s="123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20"/>
      <c r="Y248" s="13"/>
      <c r="AH248" s="115"/>
      <c r="AI248" s="115"/>
      <c r="AJ248" s="115"/>
      <c r="AK248" s="115"/>
      <c r="AL248" s="115"/>
      <c r="AM248" s="115"/>
      <c r="AN248" s="127"/>
      <c r="AO248" s="29"/>
      <c r="AY248" s="25"/>
      <c r="AZ248" s="13"/>
      <c r="BE248" s="116"/>
      <c r="BF248" s="123"/>
      <c r="BG248" s="123"/>
      <c r="BH248" s="123"/>
      <c r="BM248" s="115"/>
      <c r="BN248" s="115"/>
      <c r="BO248" s="115"/>
      <c r="BP248" s="115"/>
      <c r="BQ248" s="115"/>
      <c r="BR248" s="115"/>
      <c r="BS248" s="115"/>
      <c r="BT248" s="115"/>
      <c r="BU248" s="115"/>
      <c r="BV248" s="115"/>
      <c r="BW248" s="25"/>
      <c r="BX248" s="13"/>
      <c r="CA248" s="114"/>
    </row>
    <row r="249" spans="1:79" ht="20.100000000000001" customHeight="1" x14ac:dyDescent="0.4">
      <c r="A249" s="117"/>
      <c r="B249" s="123"/>
      <c r="C249" s="123"/>
      <c r="D249" s="123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20"/>
      <c r="Y249" s="13"/>
      <c r="AH249" s="115"/>
      <c r="AI249" s="115"/>
      <c r="AJ249" s="115"/>
      <c r="AK249" s="115"/>
      <c r="AL249" s="115"/>
      <c r="AM249" s="115"/>
      <c r="AN249" s="127"/>
      <c r="AO249" s="29"/>
      <c r="AY249" s="25"/>
      <c r="AZ249" s="13"/>
      <c r="BE249" s="116"/>
      <c r="BF249" s="123"/>
      <c r="BG249" s="123"/>
      <c r="BH249" s="123"/>
      <c r="BM249" s="115"/>
      <c r="BN249" s="115"/>
      <c r="BO249" s="115"/>
      <c r="BP249" s="115"/>
      <c r="BQ249" s="115"/>
      <c r="BR249" s="115"/>
      <c r="BS249" s="115"/>
      <c r="BT249" s="115"/>
      <c r="BU249" s="115"/>
      <c r="BV249" s="115"/>
      <c r="BW249" s="25"/>
      <c r="BX249" s="13"/>
      <c r="CA249" s="114"/>
    </row>
    <row r="250" spans="1:79" ht="20.100000000000001" customHeight="1" x14ac:dyDescent="0.4">
      <c r="A250" s="117"/>
      <c r="B250" s="123"/>
      <c r="C250" s="123"/>
      <c r="D250" s="123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20"/>
      <c r="Y250" s="13"/>
      <c r="AH250" s="115"/>
      <c r="AI250" s="115"/>
      <c r="AJ250" s="115"/>
      <c r="AK250" s="115"/>
      <c r="AL250" s="115"/>
      <c r="AM250" s="115"/>
      <c r="AN250" s="127"/>
      <c r="AO250" s="29"/>
      <c r="AY250" s="25"/>
      <c r="AZ250" s="13"/>
      <c r="BE250" s="116"/>
      <c r="BF250" s="123"/>
      <c r="BG250" s="123"/>
      <c r="BH250" s="123"/>
      <c r="BM250" s="115"/>
      <c r="BN250" s="115"/>
      <c r="BO250" s="115"/>
      <c r="BP250" s="115"/>
      <c r="BQ250" s="115"/>
      <c r="BR250" s="115"/>
      <c r="BS250" s="115"/>
      <c r="BT250" s="115"/>
      <c r="BU250" s="115"/>
      <c r="BV250" s="115"/>
      <c r="BW250" s="25"/>
      <c r="BX250" s="13"/>
      <c r="CA250" s="114"/>
    </row>
    <row r="251" spans="1:79" ht="20.100000000000001" customHeight="1" x14ac:dyDescent="0.4">
      <c r="A251" s="117"/>
      <c r="B251" s="123"/>
      <c r="C251" s="123"/>
      <c r="D251" s="123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20"/>
      <c r="Y251" s="13"/>
      <c r="AH251" s="115"/>
      <c r="AI251" s="115"/>
      <c r="AJ251" s="115"/>
      <c r="AK251" s="115"/>
      <c r="AL251" s="115"/>
      <c r="AM251" s="115"/>
      <c r="AN251" s="127"/>
      <c r="AO251" s="29"/>
      <c r="AY251" s="25"/>
      <c r="AZ251" s="13"/>
      <c r="BE251" s="116"/>
      <c r="BF251" s="123"/>
      <c r="BG251" s="123"/>
      <c r="BH251" s="123"/>
      <c r="BM251" s="115"/>
      <c r="BN251" s="115"/>
      <c r="BO251" s="115"/>
      <c r="BP251" s="115"/>
      <c r="BQ251" s="115"/>
      <c r="BR251" s="115"/>
      <c r="BS251" s="115"/>
      <c r="BT251" s="115"/>
      <c r="BU251" s="115"/>
      <c r="BV251" s="115"/>
      <c r="BW251" s="25"/>
      <c r="BX251" s="13"/>
      <c r="CA251" s="114"/>
    </row>
    <row r="252" spans="1:79" ht="20.100000000000001" customHeight="1" x14ac:dyDescent="0.4">
      <c r="A252" s="117"/>
      <c r="B252" s="123"/>
      <c r="C252" s="123"/>
      <c r="D252" s="123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25"/>
      <c r="Y252" s="13"/>
      <c r="AH252" s="115"/>
      <c r="AI252" s="115"/>
      <c r="AJ252" s="115"/>
      <c r="AK252" s="115"/>
      <c r="AL252" s="115"/>
      <c r="AM252" s="115"/>
      <c r="AN252" s="127"/>
      <c r="AO252" s="29"/>
      <c r="AY252" s="25"/>
      <c r="AZ252" s="13"/>
      <c r="BE252" s="116"/>
      <c r="BF252" s="123"/>
      <c r="BG252" s="123"/>
      <c r="BH252" s="123"/>
      <c r="BM252" s="115"/>
      <c r="BN252" s="115"/>
      <c r="BO252" s="115"/>
      <c r="BP252" s="115"/>
      <c r="BQ252" s="115"/>
      <c r="BR252" s="115"/>
      <c r="BS252" s="115"/>
      <c r="BT252" s="115"/>
      <c r="BU252" s="115"/>
      <c r="BV252" s="115"/>
      <c r="BW252" s="25"/>
      <c r="BX252" s="13"/>
      <c r="CA252" s="114"/>
    </row>
    <row r="253" spans="1:79" ht="20.100000000000001" customHeight="1" x14ac:dyDescent="0.4">
      <c r="A253" s="117"/>
      <c r="B253" s="123"/>
      <c r="C253" s="123"/>
      <c r="D253" s="123"/>
      <c r="X253" s="25"/>
      <c r="Y253" s="13"/>
      <c r="AH253" s="115"/>
      <c r="AI253" s="115"/>
      <c r="AJ253" s="115"/>
      <c r="AK253" s="115"/>
      <c r="AL253" s="115"/>
      <c r="AM253" s="115"/>
      <c r="AN253" s="127"/>
      <c r="AO253" s="29"/>
      <c r="AY253" s="25"/>
      <c r="AZ253" s="13"/>
      <c r="BE253" s="116"/>
      <c r="BF253" s="123"/>
      <c r="BG253" s="123"/>
      <c r="BH253" s="123"/>
      <c r="BM253" s="115"/>
      <c r="BN253" s="115"/>
      <c r="BO253" s="115"/>
      <c r="BP253" s="115"/>
      <c r="BQ253" s="115"/>
      <c r="BR253" s="115"/>
      <c r="BS253" s="115"/>
      <c r="BT253" s="115"/>
      <c r="BU253" s="115"/>
      <c r="BV253" s="115"/>
      <c r="BW253" s="25"/>
      <c r="BX253" s="13"/>
      <c r="CA253" s="114"/>
    </row>
    <row r="254" spans="1:79" ht="20.100000000000001" customHeight="1" x14ac:dyDescent="0.4">
      <c r="A254" s="117"/>
      <c r="B254" s="123"/>
      <c r="C254" s="123"/>
      <c r="D254" s="123"/>
      <c r="X254" s="25"/>
      <c r="Y254" s="13"/>
      <c r="AH254" s="115"/>
      <c r="AI254" s="115"/>
      <c r="AJ254" s="115"/>
      <c r="AK254" s="115"/>
      <c r="AL254" s="115"/>
      <c r="AM254" s="115"/>
      <c r="AN254" s="29"/>
      <c r="AO254" s="29"/>
      <c r="AY254" s="25"/>
      <c r="AZ254" s="13"/>
      <c r="BE254" s="116"/>
      <c r="BF254" s="123"/>
      <c r="BG254" s="123"/>
      <c r="BH254" s="123"/>
      <c r="BM254" s="115"/>
      <c r="BN254" s="115"/>
      <c r="BO254" s="115"/>
      <c r="BP254" s="115"/>
      <c r="BQ254" s="115"/>
      <c r="BR254" s="115"/>
      <c r="BS254" s="115"/>
      <c r="BT254" s="115"/>
      <c r="BU254" s="115"/>
      <c r="BV254" s="115"/>
      <c r="BW254" s="25"/>
      <c r="BX254" s="13"/>
      <c r="CA254" s="114"/>
    </row>
    <row r="255" spans="1:79" ht="20.100000000000001" customHeight="1" x14ac:dyDescent="0.4">
      <c r="A255" s="117"/>
      <c r="B255" s="123"/>
      <c r="C255" s="123"/>
      <c r="D255" s="123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25"/>
      <c r="Y255" s="13"/>
      <c r="AH255" s="115"/>
      <c r="AI255" s="115"/>
      <c r="AJ255" s="115"/>
      <c r="AK255" s="115"/>
      <c r="AL255" s="115"/>
      <c r="AM255" s="115"/>
      <c r="AN255" s="29"/>
      <c r="AO255" s="29"/>
      <c r="AY255" s="25"/>
      <c r="AZ255" s="13"/>
      <c r="BE255" s="116"/>
      <c r="BF255" s="123"/>
      <c r="BG255" s="123"/>
      <c r="BH255" s="123"/>
      <c r="BM255" s="115"/>
      <c r="BN255" s="115"/>
      <c r="BO255" s="115"/>
      <c r="BP255" s="115"/>
      <c r="BQ255" s="115"/>
      <c r="BR255" s="115"/>
      <c r="BS255" s="115"/>
      <c r="BT255" s="115"/>
      <c r="BU255" s="115"/>
      <c r="BV255" s="115"/>
      <c r="BW255" s="25"/>
      <c r="BX255" s="13"/>
      <c r="CA255" s="114"/>
    </row>
    <row r="256" spans="1:79" ht="20.100000000000001" customHeight="1" x14ac:dyDescent="0.4">
      <c r="A256" s="117"/>
      <c r="B256" s="123"/>
      <c r="C256" s="123"/>
      <c r="D256" s="123"/>
      <c r="X256" s="25"/>
      <c r="Y256" s="13"/>
      <c r="AH256" s="115"/>
      <c r="AI256" s="115"/>
      <c r="AJ256" s="115"/>
      <c r="AK256" s="115"/>
      <c r="AL256" s="115"/>
      <c r="AM256" s="115"/>
      <c r="AN256" s="127"/>
      <c r="AO256" s="29"/>
      <c r="AY256" s="25"/>
      <c r="AZ256" s="13"/>
      <c r="BE256" s="116"/>
      <c r="BF256" s="123"/>
      <c r="BG256" s="123"/>
      <c r="BH256" s="123"/>
      <c r="BM256" s="115"/>
      <c r="BN256" s="115"/>
      <c r="BO256" s="115"/>
      <c r="BP256" s="115"/>
      <c r="BQ256" s="115"/>
      <c r="BR256" s="115"/>
      <c r="BS256" s="115"/>
      <c r="BT256" s="115"/>
      <c r="BU256" s="115"/>
      <c r="BV256" s="115"/>
      <c r="BW256" s="25"/>
      <c r="BX256" s="13"/>
      <c r="CA256" s="114"/>
    </row>
    <row r="257" spans="1:79" ht="20.100000000000001" customHeight="1" x14ac:dyDescent="0.4">
      <c r="A257" s="117"/>
      <c r="B257" s="123"/>
      <c r="C257" s="123"/>
      <c r="D257" s="123"/>
      <c r="P257" s="115"/>
      <c r="Q257" s="115"/>
      <c r="R257" s="115"/>
      <c r="S257" s="115"/>
      <c r="T257" s="115"/>
      <c r="U257" s="115"/>
      <c r="V257" s="115"/>
      <c r="W257" s="115"/>
      <c r="X257" s="25"/>
      <c r="Y257" s="13"/>
      <c r="AH257" s="115"/>
      <c r="AI257" s="115"/>
      <c r="AJ257" s="115"/>
      <c r="AK257" s="115"/>
      <c r="AL257" s="115"/>
      <c r="AM257" s="115"/>
      <c r="AN257" s="127"/>
      <c r="AO257" s="29"/>
      <c r="AY257" s="25"/>
      <c r="AZ257" s="13"/>
      <c r="BE257" s="116"/>
      <c r="BF257" s="123"/>
      <c r="BG257" s="123"/>
      <c r="BH257" s="123"/>
      <c r="BM257" s="115"/>
      <c r="BN257" s="115"/>
      <c r="BO257" s="115"/>
      <c r="BP257" s="115"/>
      <c r="BQ257" s="115"/>
      <c r="BR257" s="115"/>
      <c r="BS257" s="115"/>
      <c r="BT257" s="115"/>
      <c r="BU257" s="115"/>
      <c r="BV257" s="115"/>
      <c r="BW257" s="25"/>
      <c r="BX257" s="13"/>
      <c r="CA257" s="114"/>
    </row>
    <row r="258" spans="1:79" ht="20.100000000000001" customHeight="1" x14ac:dyDescent="0.4">
      <c r="A258" s="117"/>
      <c r="B258" s="123"/>
      <c r="C258" s="123"/>
      <c r="D258" s="123"/>
      <c r="X258" s="25"/>
      <c r="Y258" s="13"/>
      <c r="AH258" s="115"/>
      <c r="AI258" s="115"/>
      <c r="AJ258" s="115"/>
      <c r="AK258" s="115"/>
      <c r="AL258" s="115"/>
      <c r="AM258" s="115"/>
      <c r="AN258" s="29"/>
      <c r="AO258" s="29"/>
      <c r="AY258" s="25"/>
      <c r="AZ258" s="13"/>
      <c r="BE258" s="116"/>
      <c r="BF258" s="123"/>
      <c r="BG258" s="123"/>
      <c r="BH258" s="123"/>
      <c r="BM258" s="115"/>
      <c r="BN258" s="115"/>
      <c r="BO258" s="115"/>
      <c r="BP258" s="115"/>
      <c r="BQ258" s="115"/>
      <c r="BR258" s="115"/>
      <c r="BS258" s="115"/>
      <c r="BT258" s="115"/>
      <c r="BU258" s="115"/>
      <c r="BV258" s="115"/>
      <c r="BW258" s="25"/>
      <c r="BX258" s="13"/>
      <c r="CA258" s="114"/>
    </row>
    <row r="259" spans="1:79" ht="20.100000000000001" customHeight="1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25"/>
      <c r="Y259" s="13"/>
      <c r="AH259" s="115"/>
      <c r="AI259" s="115"/>
      <c r="AJ259" s="115"/>
      <c r="AK259" s="115"/>
      <c r="AL259" s="115"/>
      <c r="AM259" s="115"/>
      <c r="AN259" s="29"/>
      <c r="AO259" s="29"/>
      <c r="AY259" s="25"/>
      <c r="AZ259" s="13"/>
      <c r="BE259" s="116"/>
      <c r="BF259" s="123"/>
      <c r="BG259" s="123"/>
      <c r="BH259" s="123"/>
      <c r="BM259" s="115"/>
      <c r="BN259" s="115"/>
      <c r="BO259" s="115"/>
      <c r="BP259" s="115"/>
      <c r="BQ259" s="115"/>
      <c r="BR259" s="115"/>
      <c r="BS259" s="115"/>
      <c r="BT259" s="115"/>
      <c r="BU259" s="115"/>
      <c r="BV259" s="115"/>
      <c r="BW259" s="25"/>
      <c r="BX259" s="13"/>
      <c r="CA259" s="114"/>
    </row>
    <row r="260" spans="1:79" ht="20.100000000000001" customHeight="1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25"/>
      <c r="Y260" s="13"/>
      <c r="AH260" s="115"/>
      <c r="AI260" s="115"/>
      <c r="AJ260" s="115"/>
      <c r="AK260" s="115"/>
      <c r="AL260" s="115"/>
      <c r="AM260" s="115"/>
      <c r="AN260" s="29"/>
      <c r="AO260" s="29"/>
      <c r="AY260" s="25"/>
      <c r="AZ260" s="13"/>
      <c r="BE260" s="116"/>
      <c r="BF260" s="123"/>
      <c r="BG260" s="123"/>
      <c r="BH260" s="123"/>
      <c r="BM260" s="115"/>
      <c r="BN260" s="115"/>
      <c r="BO260" s="115"/>
      <c r="BP260" s="115"/>
      <c r="BQ260" s="115"/>
      <c r="BR260" s="115"/>
      <c r="BS260" s="115"/>
      <c r="BT260" s="115"/>
      <c r="BU260" s="115"/>
      <c r="BV260" s="115"/>
      <c r="BW260" s="25"/>
      <c r="BX260" s="13"/>
      <c r="CA260" s="114"/>
    </row>
    <row r="261" spans="1:79" ht="20.100000000000001" customHeight="1" x14ac:dyDescent="0.4">
      <c r="A261" s="117"/>
      <c r="B261" s="123"/>
      <c r="C261" s="123"/>
      <c r="D261" s="123"/>
      <c r="X261" s="25"/>
      <c r="Y261" s="13"/>
      <c r="AH261" s="115"/>
      <c r="AI261" s="115"/>
      <c r="AJ261" s="115"/>
      <c r="AK261" s="115"/>
      <c r="AL261" s="115"/>
      <c r="AM261" s="115"/>
      <c r="AN261" s="127"/>
      <c r="AO261" s="29"/>
      <c r="AY261" s="25"/>
      <c r="AZ261" s="13"/>
      <c r="BE261" s="116"/>
      <c r="BF261" s="123"/>
      <c r="BG261" s="123"/>
      <c r="BH261" s="123"/>
      <c r="BM261" s="115"/>
      <c r="BN261" s="115"/>
      <c r="BO261" s="115"/>
      <c r="BP261" s="115"/>
      <c r="BQ261" s="115"/>
      <c r="BR261" s="115"/>
      <c r="BS261" s="115"/>
      <c r="BT261" s="115"/>
      <c r="BU261" s="115"/>
      <c r="BV261" s="115"/>
      <c r="BW261" s="25"/>
      <c r="BX261" s="13"/>
      <c r="CA261" s="114"/>
    </row>
    <row r="262" spans="1:79" ht="20.100000000000001" customHeight="1" x14ac:dyDescent="0.4">
      <c r="A262" s="117"/>
      <c r="B262" s="123"/>
      <c r="C262" s="123"/>
      <c r="D262" s="123"/>
      <c r="O262" s="115"/>
      <c r="P262" s="115"/>
      <c r="Q262" s="115"/>
      <c r="R262" s="115"/>
      <c r="S262" s="115"/>
      <c r="T262" s="115"/>
      <c r="U262" s="115"/>
      <c r="V262" s="115"/>
      <c r="W262" s="115"/>
      <c r="X262" s="25"/>
      <c r="Y262" s="13"/>
      <c r="AH262" s="115"/>
      <c r="AI262" s="115"/>
      <c r="AJ262" s="115"/>
      <c r="AK262" s="115"/>
      <c r="AL262" s="115"/>
      <c r="AM262" s="115"/>
      <c r="AN262" s="127"/>
      <c r="AO262" s="29"/>
      <c r="AY262" s="25"/>
      <c r="AZ262" s="13"/>
      <c r="BE262" s="116"/>
      <c r="BF262" s="123"/>
      <c r="BG262" s="123"/>
      <c r="BH262" s="123"/>
      <c r="BM262" s="115"/>
      <c r="BN262" s="115"/>
      <c r="BO262" s="115"/>
      <c r="BP262" s="115"/>
      <c r="BQ262" s="115"/>
      <c r="BR262" s="115"/>
      <c r="BS262" s="115"/>
      <c r="BT262" s="115"/>
      <c r="BU262" s="115"/>
      <c r="BV262" s="115"/>
      <c r="BW262" s="25"/>
      <c r="BX262" s="13"/>
      <c r="CA262" s="114"/>
    </row>
    <row r="263" spans="1:79" ht="20.100000000000001" customHeight="1" x14ac:dyDescent="0.4">
      <c r="A263" s="117"/>
      <c r="B263" s="123"/>
      <c r="C263" s="123"/>
      <c r="D263" s="123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25"/>
      <c r="Y263" s="13"/>
      <c r="AH263" s="115"/>
      <c r="AI263" s="115"/>
      <c r="AJ263" s="115"/>
      <c r="AK263" s="115"/>
      <c r="AL263" s="115"/>
      <c r="AM263" s="115"/>
      <c r="AN263" s="127"/>
      <c r="AO263" s="29"/>
      <c r="AY263" s="25"/>
      <c r="AZ263" s="13"/>
      <c r="BE263" s="116"/>
      <c r="BF263" s="123"/>
      <c r="BG263" s="123"/>
      <c r="BH263" s="123"/>
      <c r="BM263" s="115"/>
      <c r="BN263" s="115"/>
      <c r="BO263" s="115"/>
      <c r="BP263" s="115"/>
      <c r="BQ263" s="115"/>
      <c r="BR263" s="115"/>
      <c r="BS263" s="115"/>
      <c r="BT263" s="115"/>
      <c r="BU263" s="115"/>
      <c r="BV263" s="115"/>
      <c r="BW263" s="25"/>
      <c r="BX263" s="13"/>
      <c r="CA263" s="114"/>
    </row>
    <row r="264" spans="1:79" ht="20.100000000000001" customHeight="1" x14ac:dyDescent="0.4">
      <c r="A264" s="117"/>
      <c r="B264" s="123"/>
      <c r="C264" s="123"/>
      <c r="D264" s="123"/>
      <c r="X264" s="25"/>
      <c r="Y264" s="13"/>
      <c r="AH264" s="115"/>
      <c r="AI264" s="115"/>
      <c r="AJ264" s="115"/>
      <c r="AK264" s="115"/>
      <c r="AL264" s="115"/>
      <c r="AM264" s="115"/>
      <c r="AN264" s="127"/>
      <c r="AO264" s="29"/>
      <c r="AY264" s="25"/>
      <c r="AZ264" s="13"/>
      <c r="BE264" s="116"/>
      <c r="BF264" s="123"/>
      <c r="BG264" s="123"/>
      <c r="BH264" s="123"/>
      <c r="BM264" s="115"/>
      <c r="BN264" s="115"/>
      <c r="BO264" s="115"/>
      <c r="BP264" s="115"/>
      <c r="BQ264" s="115"/>
      <c r="BR264" s="115"/>
      <c r="BS264" s="115"/>
      <c r="BT264" s="115"/>
      <c r="BU264" s="115"/>
      <c r="BV264" s="115"/>
      <c r="BW264" s="25"/>
      <c r="BX264" s="13"/>
      <c r="CA264" s="114"/>
    </row>
    <row r="265" spans="1:79" ht="20.100000000000001" customHeight="1" x14ac:dyDescent="0.4">
      <c r="A265" s="117"/>
      <c r="B265" s="123"/>
      <c r="C265" s="123"/>
      <c r="D265" s="123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25"/>
      <c r="Y265" s="13"/>
      <c r="AH265" s="115"/>
      <c r="AI265" s="115"/>
      <c r="AJ265" s="115"/>
      <c r="AK265" s="115"/>
      <c r="AL265" s="115"/>
      <c r="AM265" s="115"/>
      <c r="AN265" s="127"/>
      <c r="AO265" s="29"/>
      <c r="AY265" s="25"/>
      <c r="AZ265" s="13"/>
      <c r="BE265" s="116"/>
      <c r="BF265" s="123"/>
      <c r="BG265" s="123"/>
      <c r="BH265" s="123"/>
      <c r="BM265" s="115"/>
      <c r="BN265" s="115"/>
      <c r="BO265" s="115"/>
      <c r="BP265" s="115"/>
      <c r="BQ265" s="115"/>
      <c r="BR265" s="115"/>
      <c r="BS265" s="115"/>
      <c r="BT265" s="115"/>
      <c r="BU265" s="115"/>
      <c r="BV265" s="115"/>
      <c r="BW265" s="25"/>
      <c r="BX265" s="13"/>
      <c r="CA265" s="114"/>
    </row>
    <row r="266" spans="1:79" ht="20.100000000000001" customHeight="1" x14ac:dyDescent="0.4">
      <c r="A266" s="117"/>
      <c r="B266" s="123"/>
      <c r="C266" s="123"/>
      <c r="D266" s="123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25"/>
      <c r="Y266" s="13"/>
      <c r="AH266" s="115"/>
      <c r="AI266" s="115"/>
      <c r="AJ266" s="115"/>
      <c r="AK266" s="115"/>
      <c r="AL266" s="115"/>
      <c r="AM266" s="115"/>
      <c r="AN266" s="127"/>
      <c r="AO266" s="29"/>
      <c r="AY266" s="25"/>
      <c r="AZ266" s="13"/>
      <c r="BE266" s="116"/>
      <c r="BF266" s="123"/>
      <c r="BG266" s="123"/>
      <c r="BH266" s="123"/>
      <c r="BM266" s="115"/>
      <c r="BN266" s="115"/>
      <c r="BO266" s="115"/>
      <c r="BP266" s="115"/>
      <c r="BQ266" s="115"/>
      <c r="BR266" s="115"/>
      <c r="BS266" s="115"/>
      <c r="BT266" s="115"/>
      <c r="BU266" s="115"/>
      <c r="BV266" s="115"/>
      <c r="BW266" s="25"/>
      <c r="BX266" s="13"/>
      <c r="CA266" s="114"/>
    </row>
    <row r="267" spans="1:79" ht="20.100000000000001" customHeight="1" x14ac:dyDescent="0.4">
      <c r="A267" s="117"/>
      <c r="B267" s="123"/>
      <c r="C267" s="123"/>
      <c r="D267" s="123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26"/>
      <c r="Y267" s="13"/>
      <c r="AH267" s="115"/>
      <c r="AI267" s="115"/>
      <c r="AJ267" s="115"/>
      <c r="AK267" s="115"/>
      <c r="AL267" s="115"/>
      <c r="AM267" s="115"/>
      <c r="AN267" s="127"/>
      <c r="AO267" s="29"/>
      <c r="AY267" s="25"/>
      <c r="AZ267" s="13"/>
      <c r="BE267" s="116"/>
      <c r="BF267" s="123"/>
      <c r="BG267" s="123"/>
      <c r="BH267" s="123"/>
      <c r="BM267" s="115"/>
      <c r="BN267" s="115"/>
      <c r="BO267" s="115"/>
      <c r="BP267" s="115"/>
      <c r="BQ267" s="115"/>
      <c r="BR267" s="115"/>
      <c r="BS267" s="115"/>
      <c r="BT267" s="115"/>
      <c r="BU267" s="115"/>
      <c r="BV267" s="115"/>
      <c r="BW267" s="25"/>
      <c r="BX267" s="13"/>
      <c r="CA267" s="114"/>
    </row>
    <row r="268" spans="1:79" ht="20.100000000000001" customHeight="1" x14ac:dyDescent="0.4">
      <c r="A268" s="117"/>
      <c r="B268" s="123"/>
      <c r="C268" s="123"/>
      <c r="D268" s="123"/>
      <c r="X268" s="26"/>
      <c r="Y268" s="13"/>
      <c r="AH268" s="115"/>
      <c r="AI268" s="115"/>
      <c r="AJ268" s="115"/>
      <c r="AK268" s="115"/>
      <c r="AL268" s="115"/>
      <c r="AM268" s="115"/>
      <c r="AN268" s="29"/>
      <c r="AO268" s="29"/>
      <c r="AY268" s="25"/>
      <c r="AZ268" s="13"/>
      <c r="BE268" s="116"/>
      <c r="BF268" s="123"/>
      <c r="BG268" s="123"/>
      <c r="BH268" s="123"/>
      <c r="BM268" s="115"/>
      <c r="BN268" s="115"/>
      <c r="BO268" s="115"/>
      <c r="BP268" s="115"/>
      <c r="BQ268" s="115"/>
      <c r="BR268" s="115"/>
      <c r="BS268" s="115"/>
      <c r="BT268" s="115"/>
      <c r="BU268" s="115"/>
      <c r="BV268" s="115"/>
      <c r="BW268" s="25"/>
      <c r="BX268" s="13"/>
      <c r="CA268" s="114"/>
    </row>
    <row r="269" spans="1:79" ht="20.100000000000001" customHeight="1" x14ac:dyDescent="0.4">
      <c r="A269" s="117"/>
      <c r="B269" s="123"/>
      <c r="C269" s="123"/>
      <c r="D269" s="123"/>
      <c r="Q269" s="115"/>
      <c r="R269" s="115"/>
      <c r="S269" s="115"/>
      <c r="T269" s="115"/>
      <c r="U269" s="115"/>
      <c r="V269" s="115"/>
      <c r="W269" s="115"/>
      <c r="X269" s="17"/>
      <c r="Y269" s="13"/>
      <c r="AH269" s="115"/>
      <c r="AI269" s="115"/>
      <c r="AJ269" s="115"/>
      <c r="AK269" s="115"/>
      <c r="AL269" s="115"/>
      <c r="AM269" s="115"/>
      <c r="AN269" s="29"/>
      <c r="AO269" s="29"/>
      <c r="AY269" s="25"/>
      <c r="AZ269" s="13"/>
      <c r="BE269" s="116"/>
      <c r="BF269" s="123"/>
      <c r="BG269" s="123"/>
      <c r="BH269" s="123"/>
      <c r="BM269" s="115"/>
      <c r="BN269" s="115"/>
      <c r="BO269" s="115"/>
      <c r="BP269" s="115"/>
      <c r="BQ269" s="115"/>
      <c r="BR269" s="115"/>
      <c r="BS269" s="115"/>
      <c r="BT269" s="115"/>
      <c r="BU269" s="115"/>
      <c r="BV269" s="115"/>
      <c r="BW269" s="25"/>
      <c r="BX269" s="13"/>
      <c r="CA269" s="114"/>
    </row>
    <row r="270" spans="1:79" ht="20.100000000000001" customHeight="1" x14ac:dyDescent="0.4">
      <c r="A270" s="117"/>
      <c r="B270" s="123"/>
      <c r="C270" s="123"/>
      <c r="D270" s="123"/>
      <c r="P270" s="115"/>
      <c r="Q270" s="115"/>
      <c r="R270" s="115"/>
      <c r="S270" s="115"/>
      <c r="T270" s="115"/>
      <c r="U270" s="115"/>
      <c r="V270" s="115"/>
      <c r="W270" s="115"/>
      <c r="X270" s="26"/>
      <c r="Y270" s="13"/>
      <c r="AH270" s="115"/>
      <c r="AI270" s="115"/>
      <c r="AJ270" s="115"/>
      <c r="AK270" s="115"/>
      <c r="AL270" s="115"/>
      <c r="AM270" s="115"/>
      <c r="AN270" s="29"/>
      <c r="AO270" s="29"/>
      <c r="AY270" s="25"/>
      <c r="AZ270" s="13"/>
      <c r="BE270" s="116"/>
      <c r="BF270" s="123"/>
      <c r="BG270" s="123"/>
      <c r="BH270" s="123"/>
      <c r="BM270" s="115"/>
      <c r="BN270" s="115"/>
      <c r="BO270" s="115"/>
      <c r="BP270" s="115"/>
      <c r="BQ270" s="115"/>
      <c r="BR270" s="115"/>
      <c r="BS270" s="115"/>
      <c r="BT270" s="115"/>
      <c r="BU270" s="115"/>
      <c r="BV270" s="115"/>
      <c r="BW270" s="25"/>
      <c r="BX270" s="13"/>
      <c r="CA270" s="114"/>
    </row>
    <row r="271" spans="1:79" ht="20.100000000000001" customHeight="1" x14ac:dyDescent="0.4">
      <c r="A271" s="117"/>
      <c r="B271" s="123"/>
      <c r="C271" s="123"/>
      <c r="D271" s="123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26"/>
      <c r="Y271" s="13"/>
      <c r="AH271" s="115"/>
      <c r="AI271" s="115"/>
      <c r="AJ271" s="115"/>
      <c r="AK271" s="115"/>
      <c r="AL271" s="115"/>
      <c r="AM271" s="115"/>
      <c r="AN271" s="29"/>
      <c r="AO271" s="29"/>
      <c r="AY271" s="25"/>
      <c r="AZ271" s="13"/>
      <c r="BE271" s="116"/>
      <c r="BF271" s="123"/>
      <c r="BG271" s="123"/>
      <c r="BH271" s="123"/>
      <c r="BM271" s="115"/>
      <c r="BN271" s="115"/>
      <c r="BO271" s="115"/>
      <c r="BP271" s="115"/>
      <c r="BQ271" s="115"/>
      <c r="BR271" s="115"/>
      <c r="BS271" s="115"/>
      <c r="BT271" s="115"/>
      <c r="BU271" s="115"/>
      <c r="BV271" s="115"/>
      <c r="BW271" s="25"/>
      <c r="BX271" s="13"/>
      <c r="CA271" s="114"/>
    </row>
    <row r="272" spans="1:79" ht="20.100000000000001" customHeight="1" x14ac:dyDescent="0.4">
      <c r="A272" s="117"/>
      <c r="B272" s="123"/>
      <c r="C272" s="123"/>
      <c r="D272" s="123"/>
      <c r="X272" s="26"/>
      <c r="Y272" s="13"/>
      <c r="AG272" s="115"/>
      <c r="AH272" s="115"/>
      <c r="AI272" s="115"/>
      <c r="AJ272" s="115"/>
      <c r="AK272" s="115"/>
      <c r="AL272" s="115"/>
      <c r="AM272" s="115"/>
      <c r="AN272" s="127"/>
      <c r="AO272" s="29"/>
      <c r="AY272" s="25"/>
      <c r="AZ272" s="13"/>
      <c r="BE272" s="116"/>
      <c r="BF272" s="123"/>
      <c r="BG272" s="123"/>
      <c r="BH272" s="123"/>
      <c r="BM272" s="115"/>
      <c r="BN272" s="115"/>
      <c r="BO272" s="115"/>
      <c r="BP272" s="115"/>
      <c r="BQ272" s="115"/>
      <c r="BR272" s="115"/>
      <c r="BS272" s="115"/>
      <c r="BT272" s="115"/>
      <c r="BU272" s="115"/>
      <c r="BV272" s="115"/>
      <c r="BW272" s="25"/>
      <c r="BX272" s="13"/>
      <c r="CA272" s="114"/>
    </row>
    <row r="273" spans="1:79" ht="20.100000000000001" customHeight="1" x14ac:dyDescent="0.4">
      <c r="A273" s="117"/>
      <c r="B273" s="123"/>
      <c r="C273" s="123"/>
      <c r="D273" s="123"/>
      <c r="P273" s="115"/>
      <c r="Q273" s="115"/>
      <c r="R273" s="115"/>
      <c r="S273" s="115"/>
      <c r="T273" s="115"/>
      <c r="U273" s="115"/>
      <c r="V273" s="115"/>
      <c r="W273" s="115"/>
      <c r="X273" s="26"/>
      <c r="Y273" s="13"/>
      <c r="AG273" s="115"/>
      <c r="AH273" s="115"/>
      <c r="AI273" s="115"/>
      <c r="AJ273" s="115"/>
      <c r="AK273" s="115"/>
      <c r="AL273" s="115"/>
      <c r="AM273" s="115"/>
      <c r="AN273" s="127"/>
      <c r="AO273" s="29"/>
      <c r="AY273" s="25"/>
      <c r="AZ273" s="13"/>
      <c r="BE273" s="116"/>
      <c r="BF273" s="123"/>
      <c r="BG273" s="123"/>
      <c r="BH273" s="123"/>
      <c r="BM273" s="115"/>
      <c r="BN273" s="115"/>
      <c r="BO273" s="115"/>
      <c r="BP273" s="115"/>
      <c r="BQ273" s="115"/>
      <c r="BR273" s="115"/>
      <c r="BS273" s="115"/>
      <c r="BT273" s="115"/>
      <c r="BU273" s="115"/>
      <c r="BV273" s="115"/>
      <c r="BW273" s="25"/>
      <c r="BX273" s="13"/>
      <c r="CA273" s="114"/>
    </row>
    <row r="274" spans="1:79" ht="20.100000000000001" customHeight="1" x14ac:dyDescent="0.4">
      <c r="A274" s="117"/>
      <c r="B274" s="123"/>
      <c r="C274" s="123"/>
      <c r="D274" s="123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26"/>
      <c r="Y274" s="13"/>
      <c r="AG274" s="115"/>
      <c r="AH274" s="115"/>
      <c r="AI274" s="115"/>
      <c r="AJ274" s="115"/>
      <c r="AK274" s="115"/>
      <c r="AL274" s="115"/>
      <c r="AM274" s="115"/>
      <c r="AN274" s="127"/>
      <c r="AO274" s="29"/>
      <c r="AY274" s="25"/>
      <c r="AZ274" s="13"/>
      <c r="BE274" s="116"/>
      <c r="BF274" s="123"/>
      <c r="BG274" s="123"/>
      <c r="BH274" s="123"/>
      <c r="BM274" s="115"/>
      <c r="BN274" s="115"/>
      <c r="BO274" s="115"/>
      <c r="BP274" s="115"/>
      <c r="BQ274" s="115"/>
      <c r="BR274" s="115"/>
      <c r="BS274" s="115"/>
      <c r="BT274" s="115"/>
      <c r="BU274" s="115"/>
      <c r="BV274" s="115"/>
      <c r="BW274" s="25"/>
      <c r="BX274" s="13"/>
      <c r="CA274" s="114"/>
    </row>
    <row r="275" spans="1:79" ht="20.100000000000001" customHeight="1" x14ac:dyDescent="0.4">
      <c r="A275" s="117"/>
      <c r="B275" s="123"/>
      <c r="C275" s="123"/>
      <c r="D275" s="123"/>
      <c r="X275" s="26"/>
      <c r="Y275" s="13"/>
      <c r="AG275" s="115"/>
      <c r="AH275" s="115"/>
      <c r="AI275" s="115"/>
      <c r="AJ275" s="115"/>
      <c r="AK275" s="115"/>
      <c r="AL275" s="115"/>
      <c r="AM275" s="115"/>
      <c r="AN275" s="127"/>
      <c r="AO275" s="134"/>
      <c r="AY275" s="25"/>
      <c r="AZ275" s="13"/>
      <c r="BE275" s="116"/>
      <c r="BF275" s="123"/>
      <c r="BG275" s="123"/>
      <c r="BH275" s="123"/>
      <c r="BM275" s="115"/>
      <c r="BN275" s="115"/>
      <c r="BO275" s="115"/>
      <c r="BP275" s="115"/>
      <c r="BQ275" s="115"/>
      <c r="BR275" s="115"/>
      <c r="BS275" s="115"/>
      <c r="BT275" s="115"/>
      <c r="BU275" s="115"/>
      <c r="BV275" s="115"/>
      <c r="BW275" s="25"/>
      <c r="BX275" s="13"/>
      <c r="CA275" s="114"/>
    </row>
    <row r="276" spans="1:79" ht="20.100000000000001" customHeight="1" x14ac:dyDescent="0.4">
      <c r="A276" s="117"/>
      <c r="B276" s="123"/>
      <c r="C276" s="123"/>
      <c r="D276" s="123"/>
      <c r="P276" s="115"/>
      <c r="Q276" s="115"/>
      <c r="R276" s="115"/>
      <c r="S276" s="115"/>
      <c r="T276" s="115"/>
      <c r="U276" s="115"/>
      <c r="V276" s="115"/>
      <c r="W276" s="115"/>
      <c r="X276" s="26"/>
      <c r="Y276" s="13"/>
      <c r="AG276" s="115"/>
      <c r="AH276" s="115"/>
      <c r="AI276" s="115"/>
      <c r="AJ276" s="115"/>
      <c r="AK276" s="115"/>
      <c r="AL276" s="115"/>
      <c r="AM276" s="115"/>
      <c r="AN276" s="127"/>
      <c r="AO276" s="134"/>
      <c r="AY276" s="25"/>
      <c r="AZ276" s="13"/>
      <c r="BE276" s="116"/>
      <c r="BF276" s="123"/>
      <c r="BG276" s="123"/>
      <c r="BH276" s="123"/>
      <c r="BM276" s="115"/>
      <c r="BN276" s="115"/>
      <c r="BO276" s="115"/>
      <c r="BP276" s="115"/>
      <c r="BQ276" s="115"/>
      <c r="BR276" s="115"/>
      <c r="BS276" s="115"/>
      <c r="BT276" s="115"/>
      <c r="BU276" s="115"/>
      <c r="BV276" s="115"/>
      <c r="BW276" s="25"/>
      <c r="BX276" s="13"/>
      <c r="CA276" s="114"/>
    </row>
    <row r="277" spans="1:79" ht="20.100000000000001" customHeight="1" x14ac:dyDescent="0.4">
      <c r="A277" s="117"/>
      <c r="B277" s="123"/>
      <c r="C277" s="123"/>
      <c r="D277" s="123"/>
      <c r="O277" s="115"/>
      <c r="P277" s="115"/>
      <c r="Q277" s="115"/>
      <c r="R277" s="115"/>
      <c r="S277" s="115"/>
      <c r="T277" s="115"/>
      <c r="U277" s="115"/>
      <c r="V277" s="115"/>
      <c r="W277" s="115"/>
      <c r="X277" s="26"/>
      <c r="Y277" s="13"/>
      <c r="AG277" s="115"/>
      <c r="AH277" s="115"/>
      <c r="AI277" s="115"/>
      <c r="AJ277" s="115"/>
      <c r="AK277" s="115"/>
      <c r="AL277" s="115"/>
      <c r="AM277" s="115"/>
      <c r="AN277" s="127"/>
      <c r="AO277" s="134"/>
      <c r="AY277" s="25"/>
      <c r="AZ277" s="13"/>
      <c r="BE277" s="116"/>
      <c r="BF277" s="123"/>
      <c r="BG277" s="123"/>
      <c r="BH277" s="123"/>
      <c r="BM277" s="115"/>
      <c r="BN277" s="115"/>
      <c r="BO277" s="115"/>
      <c r="BP277" s="115"/>
      <c r="BQ277" s="115"/>
      <c r="BR277" s="115"/>
      <c r="BS277" s="115"/>
      <c r="BT277" s="115"/>
      <c r="BU277" s="115"/>
      <c r="BV277" s="115"/>
      <c r="BW277" s="25"/>
      <c r="BX277" s="13"/>
      <c r="CA277" s="114"/>
    </row>
    <row r="278" spans="1:79" ht="20.100000000000001" customHeight="1" x14ac:dyDescent="0.4">
      <c r="A278" s="117"/>
      <c r="B278" s="123"/>
      <c r="C278" s="123"/>
      <c r="D278" s="123"/>
      <c r="O278" s="115"/>
      <c r="P278" s="115"/>
      <c r="Q278" s="115"/>
      <c r="R278" s="115"/>
      <c r="S278" s="115"/>
      <c r="T278" s="115"/>
      <c r="U278" s="115"/>
      <c r="V278" s="115"/>
      <c r="W278" s="115"/>
      <c r="X278" s="26"/>
      <c r="Y278" s="13"/>
      <c r="AG278" s="115"/>
      <c r="AH278" s="115"/>
      <c r="AI278" s="115"/>
      <c r="AJ278" s="115"/>
      <c r="AK278" s="115"/>
      <c r="AL278" s="115"/>
      <c r="AM278" s="115"/>
      <c r="AN278" s="127"/>
      <c r="AO278" s="134"/>
      <c r="AY278" s="25"/>
      <c r="AZ278" s="13"/>
      <c r="BE278" s="116"/>
      <c r="BF278" s="123"/>
      <c r="BG278" s="123"/>
      <c r="BH278" s="123"/>
      <c r="BM278" s="115"/>
      <c r="BN278" s="115"/>
      <c r="BO278" s="115"/>
      <c r="BP278" s="115"/>
      <c r="BQ278" s="115"/>
      <c r="BR278" s="115"/>
      <c r="BS278" s="115"/>
      <c r="BT278" s="115"/>
      <c r="BU278" s="115"/>
      <c r="BV278" s="115"/>
      <c r="BW278" s="25"/>
      <c r="BX278" s="13"/>
      <c r="CA278" s="114"/>
    </row>
    <row r="279" spans="1:79" ht="20.100000000000001" customHeight="1" x14ac:dyDescent="0.4">
      <c r="A279" s="117"/>
      <c r="B279" s="123"/>
      <c r="C279" s="123"/>
      <c r="D279" s="123"/>
      <c r="X279" s="26"/>
      <c r="Y279" s="13"/>
      <c r="AE279" s="115"/>
      <c r="AF279" s="115"/>
      <c r="AG279" s="115"/>
      <c r="AH279" s="115"/>
      <c r="AI279" s="115"/>
      <c r="AJ279" s="115"/>
      <c r="AK279" s="115"/>
      <c r="AL279" s="115"/>
      <c r="AM279" s="115"/>
      <c r="AN279" s="127"/>
      <c r="AO279" s="29"/>
      <c r="AY279" s="25"/>
      <c r="AZ279" s="13"/>
      <c r="BE279" s="116"/>
      <c r="BF279" s="123"/>
      <c r="BG279" s="123"/>
      <c r="BH279" s="123"/>
      <c r="BM279" s="115"/>
      <c r="BN279" s="115"/>
      <c r="BO279" s="115"/>
      <c r="BP279" s="115"/>
      <c r="BQ279" s="115"/>
      <c r="BR279" s="115"/>
      <c r="BS279" s="115"/>
      <c r="BT279" s="115"/>
      <c r="BU279" s="115"/>
      <c r="BV279" s="115"/>
      <c r="BW279" s="25"/>
      <c r="BX279" s="13"/>
      <c r="CA279" s="114"/>
    </row>
    <row r="280" spans="1:79" ht="20.100000000000001" customHeight="1" x14ac:dyDescent="0.4">
      <c r="A280" s="117"/>
      <c r="B280" s="123"/>
      <c r="C280" s="123"/>
      <c r="D280" s="123"/>
      <c r="P280" s="115"/>
      <c r="Q280" s="115"/>
      <c r="R280" s="115"/>
      <c r="S280" s="115"/>
      <c r="T280" s="115"/>
      <c r="U280" s="115"/>
      <c r="V280" s="115"/>
      <c r="W280" s="115"/>
      <c r="X280" s="26"/>
      <c r="Y280" s="13"/>
      <c r="AE280" s="115"/>
      <c r="AF280" s="115"/>
      <c r="AG280" s="115"/>
      <c r="AH280" s="115"/>
      <c r="AI280" s="115"/>
      <c r="AJ280" s="115"/>
      <c r="AK280" s="115"/>
      <c r="AL280" s="115"/>
      <c r="AM280" s="115"/>
      <c r="AN280" s="127"/>
      <c r="AO280" s="29"/>
      <c r="AY280" s="25"/>
      <c r="AZ280" s="13"/>
      <c r="BE280" s="116"/>
      <c r="BF280" s="123"/>
      <c r="BG280" s="123"/>
      <c r="BH280" s="123"/>
      <c r="BM280" s="115"/>
      <c r="BN280" s="115"/>
      <c r="BO280" s="115"/>
      <c r="BP280" s="115"/>
      <c r="BQ280" s="115"/>
      <c r="BR280" s="115"/>
      <c r="BS280" s="115"/>
      <c r="BT280" s="115"/>
      <c r="BU280" s="115"/>
      <c r="BV280" s="115"/>
      <c r="BW280" s="25"/>
      <c r="BX280" s="13"/>
      <c r="CA280" s="114"/>
    </row>
    <row r="281" spans="1:79" ht="20.100000000000001" customHeight="1" x14ac:dyDescent="0.4">
      <c r="A281" s="117"/>
      <c r="B281" s="123"/>
      <c r="C281" s="123"/>
      <c r="D281" s="123"/>
      <c r="X281" s="26"/>
      <c r="Y281" s="13"/>
      <c r="AE281" s="115"/>
      <c r="AF281" s="115"/>
      <c r="AG281" s="115"/>
      <c r="AH281" s="115"/>
      <c r="AI281" s="115"/>
      <c r="AJ281" s="115"/>
      <c r="AK281" s="115"/>
      <c r="AL281" s="115"/>
      <c r="AM281" s="115"/>
      <c r="AN281" s="127"/>
      <c r="AO281" s="29"/>
      <c r="AY281" s="25"/>
      <c r="AZ281" s="13"/>
      <c r="BE281" s="116"/>
      <c r="BF281" s="123"/>
      <c r="BG281" s="123"/>
      <c r="BH281" s="123"/>
      <c r="BM281" s="115"/>
      <c r="BN281" s="115"/>
      <c r="BO281" s="115"/>
      <c r="BP281" s="115"/>
      <c r="BQ281" s="115"/>
      <c r="BR281" s="115"/>
      <c r="BS281" s="115"/>
      <c r="BT281" s="115"/>
      <c r="BU281" s="115"/>
      <c r="BV281" s="115"/>
      <c r="BW281" s="25"/>
      <c r="BX281" s="13"/>
      <c r="CA281" s="114"/>
    </row>
    <row r="282" spans="1:79" ht="20.100000000000001" customHeight="1" x14ac:dyDescent="0.4">
      <c r="A282" s="117"/>
      <c r="B282" s="123"/>
      <c r="C282" s="123"/>
      <c r="D282" s="123"/>
      <c r="P282" s="115"/>
      <c r="Q282" s="115"/>
      <c r="R282" s="115"/>
      <c r="S282" s="115"/>
      <c r="T282" s="115"/>
      <c r="U282" s="115"/>
      <c r="V282" s="115"/>
      <c r="W282" s="115"/>
      <c r="X282" s="26"/>
      <c r="Y282" s="15"/>
      <c r="AE282" s="115"/>
      <c r="AF282" s="115"/>
      <c r="AG282" s="115"/>
      <c r="AH282" s="115"/>
      <c r="AI282" s="115"/>
      <c r="AJ282" s="115"/>
      <c r="AK282" s="115"/>
      <c r="AL282" s="115"/>
      <c r="AM282" s="115"/>
      <c r="AN282" s="127"/>
      <c r="AO282" s="29"/>
      <c r="AY282" s="25"/>
      <c r="AZ282" s="13"/>
      <c r="BE282" s="116"/>
      <c r="BF282" s="123"/>
      <c r="BG282" s="123"/>
      <c r="BH282" s="123"/>
      <c r="BM282" s="115"/>
      <c r="BN282" s="115"/>
      <c r="BO282" s="115"/>
      <c r="BP282" s="115"/>
      <c r="BQ282" s="115"/>
      <c r="BR282" s="115"/>
      <c r="BS282" s="115"/>
      <c r="BT282" s="115"/>
      <c r="BU282" s="115"/>
      <c r="BV282" s="115"/>
      <c r="BW282" s="25"/>
      <c r="BX282" s="13"/>
      <c r="CA282" s="114"/>
    </row>
    <row r="283" spans="1:79" ht="20.100000000000001" customHeight="1" x14ac:dyDescent="0.4">
      <c r="A283" s="117"/>
      <c r="B283" s="123"/>
      <c r="C283" s="123"/>
      <c r="D283" s="123"/>
      <c r="P283" s="115"/>
      <c r="Q283" s="115"/>
      <c r="R283" s="115"/>
      <c r="S283" s="115"/>
      <c r="T283" s="115"/>
      <c r="U283" s="115"/>
      <c r="V283" s="115"/>
      <c r="W283" s="115"/>
      <c r="X283" s="17"/>
      <c r="Y283" s="15"/>
      <c r="AE283" s="115"/>
      <c r="AF283" s="115"/>
      <c r="AG283" s="115"/>
      <c r="AH283" s="115"/>
      <c r="AI283" s="115"/>
      <c r="AJ283" s="115"/>
      <c r="AK283" s="115"/>
      <c r="AL283" s="115"/>
      <c r="AM283" s="115"/>
      <c r="AN283" s="127"/>
      <c r="AO283" s="29"/>
      <c r="AY283" s="25"/>
      <c r="AZ283" s="13"/>
      <c r="BE283" s="116"/>
      <c r="BF283" s="123"/>
      <c r="BG283" s="123"/>
      <c r="BH283" s="123"/>
      <c r="BM283" s="115"/>
      <c r="BN283" s="115"/>
      <c r="BO283" s="115"/>
      <c r="BP283" s="115"/>
      <c r="BQ283" s="115"/>
      <c r="BR283" s="115"/>
      <c r="BS283" s="115"/>
      <c r="BT283" s="115"/>
      <c r="BU283" s="115"/>
      <c r="BV283" s="115"/>
      <c r="BW283" s="25"/>
      <c r="BX283" s="13"/>
      <c r="CA283" s="114"/>
    </row>
    <row r="284" spans="1:79" ht="20.100000000000001" customHeight="1" x14ac:dyDescent="0.4">
      <c r="A284" s="117"/>
      <c r="B284" s="123"/>
      <c r="C284" s="123"/>
      <c r="D284" s="123"/>
      <c r="P284" s="115"/>
      <c r="Q284" s="115"/>
      <c r="R284" s="115"/>
      <c r="S284" s="115"/>
      <c r="T284" s="115"/>
      <c r="U284" s="115"/>
      <c r="V284" s="115"/>
      <c r="W284" s="115"/>
      <c r="X284" s="26"/>
      <c r="Y284" s="132"/>
      <c r="AE284" s="115"/>
      <c r="AF284" s="115"/>
      <c r="AG284" s="115"/>
      <c r="AH284" s="115"/>
      <c r="AI284" s="115"/>
      <c r="AJ284" s="115"/>
      <c r="AK284" s="115"/>
      <c r="AL284" s="115"/>
      <c r="AM284" s="115"/>
      <c r="AN284" s="127"/>
      <c r="AO284" s="29"/>
      <c r="AY284" s="25"/>
      <c r="AZ284" s="13"/>
      <c r="BE284" s="116"/>
      <c r="BF284" s="123"/>
      <c r="BG284" s="123"/>
      <c r="BH284" s="123"/>
      <c r="BM284" s="115"/>
      <c r="BN284" s="115"/>
      <c r="BO284" s="115"/>
      <c r="BP284" s="115"/>
      <c r="BQ284" s="115"/>
      <c r="BR284" s="115"/>
      <c r="BS284" s="115"/>
      <c r="BT284" s="115"/>
      <c r="BU284" s="115"/>
      <c r="BV284" s="115"/>
      <c r="BW284" s="25"/>
      <c r="BX284" s="13"/>
      <c r="CA284" s="114"/>
    </row>
    <row r="285" spans="1:79" ht="20.100000000000001" customHeight="1" x14ac:dyDescent="0.4">
      <c r="A285" s="117"/>
      <c r="B285" s="123"/>
      <c r="C285" s="123"/>
      <c r="D285" s="123"/>
      <c r="X285" s="26"/>
      <c r="Y285" s="13"/>
      <c r="AE285" s="115"/>
      <c r="AF285" s="115"/>
      <c r="AG285" s="115"/>
      <c r="AH285" s="115"/>
      <c r="AI285" s="115"/>
      <c r="AJ285" s="115"/>
      <c r="AK285" s="115"/>
      <c r="AL285" s="115"/>
      <c r="AM285" s="115"/>
      <c r="AN285" s="127"/>
      <c r="AO285" s="29"/>
      <c r="AY285" s="25"/>
      <c r="AZ285" s="13"/>
      <c r="BE285" s="116"/>
      <c r="BF285" s="123"/>
      <c r="BG285" s="123"/>
      <c r="BH285" s="123"/>
      <c r="BM285" s="115"/>
      <c r="BN285" s="115"/>
      <c r="BO285" s="115"/>
      <c r="BP285" s="115"/>
      <c r="BQ285" s="115"/>
      <c r="BR285" s="115"/>
      <c r="BS285" s="115"/>
      <c r="BT285" s="115"/>
      <c r="BU285" s="115"/>
      <c r="BV285" s="115"/>
      <c r="BW285" s="25"/>
      <c r="BX285" s="13"/>
      <c r="CA285" s="114"/>
    </row>
    <row r="286" spans="1:79" ht="20.100000000000001" customHeight="1" x14ac:dyDescent="0.4">
      <c r="A286" s="117"/>
      <c r="B286" s="123"/>
      <c r="C286" s="123"/>
      <c r="D286" s="123"/>
      <c r="O286" s="115"/>
      <c r="P286" s="115"/>
      <c r="Q286" s="115"/>
      <c r="R286" s="115"/>
      <c r="S286" s="115"/>
      <c r="T286" s="115"/>
      <c r="U286" s="115"/>
      <c r="V286" s="115"/>
      <c r="W286" s="115"/>
      <c r="X286" s="26"/>
      <c r="Y286" s="13"/>
      <c r="AE286" s="115"/>
      <c r="AF286" s="115"/>
      <c r="AG286" s="115"/>
      <c r="AH286" s="115"/>
      <c r="AI286" s="115"/>
      <c r="AJ286" s="115"/>
      <c r="AK286" s="115"/>
      <c r="AL286" s="115"/>
      <c r="AM286" s="115"/>
      <c r="AN286" s="127"/>
      <c r="AO286" s="29"/>
      <c r="AY286" s="25"/>
      <c r="AZ286" s="13"/>
      <c r="BE286" s="116"/>
      <c r="BF286" s="123"/>
      <c r="BG286" s="123"/>
      <c r="BH286" s="123"/>
      <c r="BM286" s="115"/>
      <c r="BN286" s="115"/>
      <c r="BO286" s="115"/>
      <c r="BP286" s="115"/>
      <c r="BQ286" s="115"/>
      <c r="BR286" s="115"/>
      <c r="BS286" s="115"/>
      <c r="BT286" s="115"/>
      <c r="BU286" s="115"/>
      <c r="BV286" s="115"/>
      <c r="BW286" s="25"/>
      <c r="BX286" s="13"/>
      <c r="CA286" s="114"/>
    </row>
    <row r="287" spans="1:79" ht="20.100000000000001" customHeight="1" x14ac:dyDescent="0.4">
      <c r="A287" s="117"/>
      <c r="B287" s="123"/>
      <c r="C287" s="123"/>
      <c r="D287" s="123"/>
      <c r="X287" s="26"/>
      <c r="Y287" s="13"/>
      <c r="AE287" s="115"/>
      <c r="AF287" s="115"/>
      <c r="AG287" s="115"/>
      <c r="AH287" s="115"/>
      <c r="AI287" s="115"/>
      <c r="AJ287" s="115"/>
      <c r="AK287" s="115"/>
      <c r="AL287" s="115"/>
      <c r="AM287" s="115"/>
      <c r="AN287" s="29"/>
      <c r="AO287" s="29"/>
      <c r="AY287" s="25"/>
      <c r="AZ287" s="13"/>
      <c r="BE287" s="116"/>
      <c r="BF287" s="123"/>
      <c r="BG287" s="123"/>
      <c r="BH287" s="123"/>
      <c r="BM287" s="115"/>
      <c r="BN287" s="115"/>
      <c r="BO287" s="115"/>
      <c r="BP287" s="115"/>
      <c r="BQ287" s="115"/>
      <c r="BR287" s="115"/>
      <c r="BS287" s="115"/>
      <c r="BT287" s="115"/>
      <c r="BU287" s="115"/>
      <c r="BV287" s="115"/>
      <c r="BW287" s="25"/>
      <c r="BX287" s="13"/>
      <c r="CA287" s="114"/>
    </row>
    <row r="288" spans="1:79" ht="20.100000000000001" customHeight="1" x14ac:dyDescent="0.4">
      <c r="A288" s="117"/>
      <c r="B288" s="123"/>
      <c r="C288" s="123"/>
      <c r="D288" s="123"/>
      <c r="X288" s="26"/>
      <c r="Y288" s="13"/>
      <c r="AE288" s="115"/>
      <c r="AF288" s="115"/>
      <c r="AG288" s="115"/>
      <c r="AH288" s="115"/>
      <c r="AI288" s="115"/>
      <c r="AJ288" s="115"/>
      <c r="AK288" s="115"/>
      <c r="AL288" s="115"/>
      <c r="AM288" s="115"/>
      <c r="AN288" s="127"/>
      <c r="AO288" s="29"/>
      <c r="AY288" s="25"/>
      <c r="AZ288" s="13"/>
      <c r="BE288" s="116"/>
      <c r="BF288" s="123"/>
      <c r="BG288" s="123"/>
      <c r="BH288" s="123"/>
      <c r="BM288" s="115"/>
      <c r="BN288" s="115"/>
      <c r="BO288" s="115"/>
      <c r="BP288" s="115"/>
      <c r="BQ288" s="115"/>
      <c r="BR288" s="115"/>
      <c r="BS288" s="115"/>
      <c r="BT288" s="115"/>
      <c r="BU288" s="115"/>
      <c r="BV288" s="115"/>
      <c r="BW288" s="25"/>
      <c r="BX288" s="13"/>
      <c r="CA288" s="114"/>
    </row>
    <row r="289" spans="1:79" ht="20.100000000000001" customHeight="1" x14ac:dyDescent="0.4">
      <c r="A289" s="117"/>
      <c r="B289" s="123"/>
      <c r="C289" s="123"/>
      <c r="D289" s="123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26"/>
      <c r="Y289" s="13"/>
      <c r="AE289" s="115"/>
      <c r="AF289" s="115"/>
      <c r="AG289" s="115"/>
      <c r="AH289" s="115"/>
      <c r="AI289" s="115"/>
      <c r="AJ289" s="115"/>
      <c r="AK289" s="115"/>
      <c r="AL289" s="115"/>
      <c r="AM289" s="115"/>
      <c r="AN289" s="127"/>
      <c r="AO289" s="29"/>
      <c r="AY289" s="25"/>
      <c r="AZ289" s="13"/>
      <c r="BE289" s="116"/>
      <c r="BF289" s="123"/>
      <c r="BG289" s="123"/>
      <c r="BH289" s="123"/>
      <c r="BM289" s="115"/>
      <c r="BN289" s="115"/>
      <c r="BO289" s="115"/>
      <c r="BP289" s="115"/>
      <c r="BQ289" s="115"/>
      <c r="BR289" s="115"/>
      <c r="BS289" s="115"/>
      <c r="BT289" s="115"/>
      <c r="BU289" s="115"/>
      <c r="BV289" s="115"/>
      <c r="BW289" s="25"/>
      <c r="BX289" s="13"/>
      <c r="CA289" s="114"/>
    </row>
    <row r="290" spans="1:79" ht="20.100000000000001" customHeight="1" x14ac:dyDescent="0.4">
      <c r="A290" s="117"/>
      <c r="B290" s="123"/>
      <c r="C290" s="123"/>
      <c r="D290" s="123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26"/>
      <c r="Y290" s="13"/>
      <c r="AE290" s="115"/>
      <c r="AF290" s="115"/>
      <c r="AG290" s="115"/>
      <c r="AH290" s="115"/>
      <c r="AI290" s="115"/>
      <c r="AJ290" s="115"/>
      <c r="AK290" s="115"/>
      <c r="AL290" s="115"/>
      <c r="AM290" s="115"/>
      <c r="AN290" s="127"/>
      <c r="AO290" s="29"/>
      <c r="AY290" s="25"/>
      <c r="AZ290" s="13"/>
      <c r="BE290" s="116"/>
      <c r="BF290" s="123"/>
      <c r="BG290" s="123"/>
      <c r="BH290" s="123"/>
      <c r="BM290" s="115"/>
      <c r="BN290" s="115"/>
      <c r="BO290" s="115"/>
      <c r="BP290" s="115"/>
      <c r="BQ290" s="115"/>
      <c r="BR290" s="115"/>
      <c r="BS290" s="115"/>
      <c r="BT290" s="115"/>
      <c r="BU290" s="115"/>
      <c r="BV290" s="115"/>
      <c r="BW290" s="25"/>
      <c r="BX290" s="13"/>
      <c r="CA290" s="114"/>
    </row>
    <row r="291" spans="1:79" ht="20.100000000000001" customHeight="1" x14ac:dyDescent="0.4">
      <c r="A291" s="117"/>
      <c r="B291" s="123"/>
      <c r="C291" s="123"/>
      <c r="D291" s="123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7"/>
      <c r="Y291" s="13"/>
      <c r="AE291" s="115"/>
      <c r="AF291" s="115"/>
      <c r="AG291" s="115"/>
      <c r="AH291" s="115"/>
      <c r="AI291" s="115"/>
      <c r="AJ291" s="115"/>
      <c r="AK291" s="115"/>
      <c r="AL291" s="115"/>
      <c r="AM291" s="115"/>
      <c r="AN291" s="127"/>
      <c r="AO291" s="29"/>
      <c r="AY291" s="25"/>
      <c r="AZ291" s="13"/>
      <c r="BE291" s="116"/>
      <c r="BF291" s="123"/>
      <c r="BG291" s="123"/>
      <c r="BH291" s="123"/>
      <c r="BM291" s="115"/>
      <c r="BN291" s="115"/>
      <c r="BO291" s="115"/>
      <c r="BP291" s="115"/>
      <c r="BQ291" s="115"/>
      <c r="BR291" s="115"/>
      <c r="BS291" s="115"/>
      <c r="BT291" s="115"/>
      <c r="BU291" s="115"/>
      <c r="BV291" s="115"/>
      <c r="BW291" s="25"/>
      <c r="BX291" s="13"/>
      <c r="CA291" s="114"/>
    </row>
    <row r="292" spans="1:79" ht="20.100000000000001" customHeight="1" x14ac:dyDescent="0.4">
      <c r="A292" s="117"/>
      <c r="B292" s="123"/>
      <c r="C292" s="123"/>
      <c r="D292" s="123"/>
      <c r="X292" s="26"/>
      <c r="Y292" s="13"/>
      <c r="AE292" s="115"/>
      <c r="AF292" s="115"/>
      <c r="AG292" s="115"/>
      <c r="AH292" s="115"/>
      <c r="AI292" s="115"/>
      <c r="AJ292" s="115"/>
      <c r="AK292" s="115"/>
      <c r="AL292" s="115"/>
      <c r="AM292" s="115"/>
      <c r="AN292" s="127"/>
      <c r="AO292" s="29"/>
      <c r="AY292" s="25"/>
      <c r="AZ292" s="13"/>
      <c r="BE292" s="116"/>
      <c r="BF292" s="123"/>
      <c r="BG292" s="123"/>
      <c r="BH292" s="123"/>
      <c r="BM292" s="115"/>
      <c r="BN292" s="115"/>
      <c r="BO292" s="115"/>
      <c r="BP292" s="115"/>
      <c r="BQ292" s="115"/>
      <c r="BR292" s="115"/>
      <c r="BS292" s="115"/>
      <c r="BT292" s="115"/>
      <c r="BU292" s="115"/>
      <c r="BV292" s="115"/>
      <c r="BW292" s="25"/>
      <c r="BX292" s="13"/>
      <c r="CA292" s="114"/>
    </row>
    <row r="293" spans="1:79" ht="20.100000000000001" customHeight="1" x14ac:dyDescent="0.4">
      <c r="A293" s="117"/>
      <c r="B293" s="123"/>
      <c r="C293" s="123"/>
      <c r="D293" s="123"/>
      <c r="O293" s="115"/>
      <c r="P293" s="115"/>
      <c r="Q293" s="115"/>
      <c r="R293" s="115"/>
      <c r="S293" s="115"/>
      <c r="T293" s="115"/>
      <c r="U293" s="115"/>
      <c r="V293" s="115"/>
      <c r="W293" s="115"/>
      <c r="X293" s="26"/>
      <c r="Y293" s="13"/>
      <c r="AE293" s="115"/>
      <c r="AF293" s="115"/>
      <c r="AG293" s="115"/>
      <c r="AH293" s="115"/>
      <c r="AI293" s="115"/>
      <c r="AJ293" s="115"/>
      <c r="AK293" s="115"/>
      <c r="AL293" s="115"/>
      <c r="AM293" s="115"/>
      <c r="AN293" s="127"/>
      <c r="AO293" s="29"/>
      <c r="AY293" s="25"/>
      <c r="AZ293" s="13"/>
      <c r="BE293" s="116"/>
      <c r="BF293" s="123"/>
      <c r="BG293" s="123"/>
      <c r="BH293" s="123"/>
      <c r="BM293" s="115"/>
      <c r="BN293" s="115"/>
      <c r="BO293" s="115"/>
      <c r="BP293" s="115"/>
      <c r="BQ293" s="115"/>
      <c r="BR293" s="115"/>
      <c r="BS293" s="115"/>
      <c r="BT293" s="115"/>
      <c r="BU293" s="115"/>
      <c r="BV293" s="115"/>
      <c r="BW293" s="25"/>
      <c r="BX293" s="13"/>
      <c r="CA293" s="114"/>
    </row>
    <row r="294" spans="1:79" ht="20.100000000000001" customHeight="1" x14ac:dyDescent="0.4">
      <c r="A294" s="117"/>
      <c r="B294" s="123"/>
      <c r="C294" s="123"/>
      <c r="D294" s="123"/>
      <c r="O294" s="115"/>
      <c r="P294" s="115"/>
      <c r="Q294" s="115"/>
      <c r="R294" s="115"/>
      <c r="S294" s="115"/>
      <c r="T294" s="115"/>
      <c r="U294" s="115"/>
      <c r="V294" s="115"/>
      <c r="W294" s="115"/>
      <c r="X294" s="17"/>
      <c r="Y294" s="13"/>
      <c r="AE294" s="115"/>
      <c r="AF294" s="115"/>
      <c r="AG294" s="115"/>
      <c r="AH294" s="115"/>
      <c r="AI294" s="115"/>
      <c r="AJ294" s="115"/>
      <c r="AK294" s="115"/>
      <c r="AL294" s="115"/>
      <c r="AM294" s="115"/>
      <c r="AN294" s="127"/>
      <c r="AO294" s="29"/>
      <c r="AY294" s="25"/>
      <c r="AZ294" s="13"/>
      <c r="BE294" s="116"/>
      <c r="BF294" s="123"/>
      <c r="BG294" s="123"/>
      <c r="BH294" s="123"/>
      <c r="BM294" s="115"/>
      <c r="BN294" s="115"/>
      <c r="BO294" s="115"/>
      <c r="BP294" s="115"/>
      <c r="BQ294" s="115"/>
      <c r="BR294" s="115"/>
      <c r="BS294" s="115"/>
      <c r="BT294" s="115"/>
      <c r="BU294" s="115"/>
      <c r="BV294" s="115"/>
      <c r="BW294" s="25"/>
      <c r="BX294" s="13"/>
      <c r="CA294" s="114"/>
    </row>
    <row r="295" spans="1:79" ht="20.100000000000001" customHeight="1" x14ac:dyDescent="0.4">
      <c r="A295" s="117"/>
      <c r="B295" s="123"/>
      <c r="C295" s="123"/>
      <c r="D295" s="123"/>
      <c r="X295" s="26"/>
      <c r="Y295" s="13"/>
      <c r="AE295" s="115"/>
      <c r="AF295" s="115"/>
      <c r="AG295" s="115"/>
      <c r="AH295" s="115"/>
      <c r="AI295" s="115"/>
      <c r="AJ295" s="115"/>
      <c r="AK295" s="115"/>
      <c r="AL295" s="115"/>
      <c r="AM295" s="115"/>
      <c r="AN295" s="127"/>
      <c r="AO295" s="29"/>
      <c r="AY295" s="25"/>
      <c r="AZ295" s="13"/>
      <c r="BE295" s="116"/>
      <c r="BF295" s="123"/>
      <c r="BG295" s="123"/>
      <c r="BH295" s="123"/>
      <c r="BM295" s="115"/>
      <c r="BN295" s="115"/>
      <c r="BO295" s="115"/>
      <c r="BP295" s="115"/>
      <c r="BQ295" s="115"/>
      <c r="BR295" s="115"/>
      <c r="BS295" s="115"/>
      <c r="BT295" s="115"/>
      <c r="BU295" s="115"/>
      <c r="BV295" s="115"/>
      <c r="BW295" s="25"/>
      <c r="BX295" s="13"/>
      <c r="CA295" s="114"/>
    </row>
    <row r="296" spans="1:79" ht="20.100000000000001" customHeight="1" x14ac:dyDescent="0.4">
      <c r="A296" s="117"/>
      <c r="B296" s="123"/>
      <c r="C296" s="123"/>
      <c r="D296" s="123"/>
      <c r="X296" s="26"/>
      <c r="Y296" s="13"/>
      <c r="AE296" s="115"/>
      <c r="AF296" s="115"/>
      <c r="AG296" s="115"/>
      <c r="AH296" s="115"/>
      <c r="AI296" s="115"/>
      <c r="AJ296" s="115"/>
      <c r="AK296" s="115"/>
      <c r="AL296" s="115"/>
      <c r="AM296" s="115"/>
      <c r="AN296" s="127"/>
      <c r="AO296" s="29"/>
      <c r="AY296" s="25"/>
      <c r="AZ296" s="13"/>
      <c r="BE296" s="116"/>
      <c r="BF296" s="123"/>
      <c r="BG296" s="123"/>
      <c r="BH296" s="123"/>
      <c r="BM296" s="115"/>
      <c r="BN296" s="115"/>
      <c r="BO296" s="115"/>
      <c r="BP296" s="115"/>
      <c r="BQ296" s="115"/>
      <c r="BR296" s="115"/>
      <c r="BS296" s="115"/>
      <c r="BT296" s="115"/>
      <c r="BU296" s="115"/>
      <c r="BV296" s="115"/>
      <c r="BW296" s="25"/>
      <c r="BX296" s="13"/>
      <c r="CA296" s="114"/>
    </row>
    <row r="297" spans="1:79" ht="20.100000000000001" customHeight="1" x14ac:dyDescent="0.4">
      <c r="A297" s="117"/>
      <c r="B297" s="123"/>
      <c r="C297" s="123"/>
      <c r="D297" s="123"/>
      <c r="O297" s="115"/>
      <c r="P297" s="115"/>
      <c r="Q297" s="115"/>
      <c r="R297" s="115"/>
      <c r="S297" s="115"/>
      <c r="T297" s="115"/>
      <c r="U297" s="115"/>
      <c r="V297" s="115"/>
      <c r="W297" s="115"/>
      <c r="X297" s="26"/>
      <c r="Y297" s="13"/>
      <c r="AE297" s="115"/>
      <c r="AF297" s="115"/>
      <c r="AG297" s="115"/>
      <c r="AH297" s="115"/>
      <c r="AI297" s="115"/>
      <c r="AJ297" s="115"/>
      <c r="AK297" s="115"/>
      <c r="AL297" s="115"/>
      <c r="AM297" s="115"/>
      <c r="AN297" s="127"/>
      <c r="AO297" s="29"/>
      <c r="AY297" s="25"/>
      <c r="AZ297" s="13"/>
      <c r="BE297" s="116"/>
      <c r="BF297" s="123"/>
      <c r="BG297" s="123"/>
      <c r="BH297" s="123"/>
      <c r="BM297" s="115"/>
      <c r="BN297" s="115"/>
      <c r="BO297" s="115"/>
      <c r="BP297" s="115"/>
      <c r="BQ297" s="115"/>
      <c r="BR297" s="115"/>
      <c r="BS297" s="115"/>
      <c r="BT297" s="115"/>
      <c r="BU297" s="115"/>
      <c r="BV297" s="115"/>
      <c r="BW297" s="25"/>
      <c r="BX297" s="13"/>
      <c r="CA297" s="114"/>
    </row>
    <row r="298" spans="1:79" ht="20.100000000000001" customHeight="1" x14ac:dyDescent="0.4">
      <c r="A298" s="117"/>
      <c r="B298" s="123"/>
      <c r="C298" s="123"/>
      <c r="D298" s="123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26"/>
      <c r="Y298" s="13"/>
      <c r="AE298" s="115"/>
      <c r="AF298" s="115"/>
      <c r="AG298" s="115"/>
      <c r="AH298" s="115"/>
      <c r="AI298" s="115"/>
      <c r="AJ298" s="115"/>
      <c r="AK298" s="115"/>
      <c r="AL298" s="115"/>
      <c r="AM298" s="115"/>
      <c r="AN298" s="127"/>
      <c r="AO298" s="29"/>
      <c r="AY298" s="25"/>
      <c r="AZ298" s="13"/>
      <c r="BE298" s="116"/>
      <c r="BF298" s="123"/>
      <c r="BG298" s="123"/>
      <c r="BH298" s="123"/>
      <c r="BM298" s="115"/>
      <c r="BN298" s="115"/>
      <c r="BO298" s="115"/>
      <c r="BP298" s="115"/>
      <c r="BQ298" s="115"/>
      <c r="BR298" s="115"/>
      <c r="BS298" s="115"/>
      <c r="BT298" s="115"/>
      <c r="BU298" s="115"/>
      <c r="BV298" s="115"/>
      <c r="BW298" s="25"/>
      <c r="BX298" s="13"/>
      <c r="CA298" s="114"/>
    </row>
    <row r="299" spans="1:79" ht="20.100000000000001" customHeight="1" x14ac:dyDescent="0.4">
      <c r="A299" s="117"/>
      <c r="B299" s="123"/>
      <c r="C299" s="123"/>
      <c r="D299" s="123"/>
      <c r="X299" s="26"/>
      <c r="Y299" s="13"/>
      <c r="AE299" s="115"/>
      <c r="AF299" s="115"/>
      <c r="AG299" s="115"/>
      <c r="AH299" s="115"/>
      <c r="AI299" s="115"/>
      <c r="AJ299" s="115"/>
      <c r="AK299" s="115"/>
      <c r="AL299" s="115"/>
      <c r="AM299" s="115"/>
      <c r="AN299" s="127"/>
      <c r="AO299" s="29"/>
      <c r="AY299" s="25"/>
      <c r="AZ299" s="13"/>
      <c r="BE299" s="116"/>
      <c r="BF299" s="123"/>
      <c r="BG299" s="123"/>
      <c r="BH299" s="123"/>
      <c r="BM299" s="115"/>
      <c r="BN299" s="115"/>
      <c r="BO299" s="115"/>
      <c r="BP299" s="115"/>
      <c r="BQ299" s="115"/>
      <c r="BR299" s="115"/>
      <c r="BS299" s="115"/>
      <c r="BT299" s="115"/>
      <c r="BU299" s="115"/>
      <c r="BV299" s="115"/>
      <c r="BW299" s="25"/>
      <c r="BX299" s="13"/>
      <c r="CA299" s="114"/>
    </row>
    <row r="300" spans="1:79" ht="20.100000000000001" customHeight="1" x14ac:dyDescent="0.4">
      <c r="A300" s="117"/>
      <c r="B300" s="123"/>
      <c r="C300" s="123"/>
      <c r="D300" s="123"/>
      <c r="X300" s="26"/>
      <c r="Y300" s="13"/>
      <c r="AE300" s="115"/>
      <c r="AF300" s="115"/>
      <c r="AG300" s="115"/>
      <c r="AH300" s="115"/>
      <c r="AI300" s="115"/>
      <c r="AJ300" s="115"/>
      <c r="AK300" s="115"/>
      <c r="AL300" s="115"/>
      <c r="AM300" s="115"/>
      <c r="AN300" s="127"/>
      <c r="AO300" s="29"/>
      <c r="AY300" s="25"/>
      <c r="AZ300" s="13"/>
      <c r="BE300" s="116"/>
      <c r="BF300" s="123"/>
      <c r="BG300" s="123"/>
      <c r="BH300" s="123"/>
      <c r="BM300" s="115"/>
      <c r="BN300" s="115"/>
      <c r="BO300" s="115"/>
      <c r="BP300" s="115"/>
      <c r="BQ300" s="115"/>
      <c r="BR300" s="115"/>
      <c r="BS300" s="115"/>
      <c r="BT300" s="115"/>
      <c r="BU300" s="115"/>
      <c r="BV300" s="115"/>
      <c r="BW300" s="25"/>
      <c r="BX300" s="13"/>
      <c r="CA300" s="114"/>
    </row>
    <row r="301" spans="1:79" ht="20.100000000000001" customHeight="1" x14ac:dyDescent="0.4">
      <c r="A301" s="117"/>
      <c r="B301" s="123"/>
      <c r="C301" s="123"/>
      <c r="D301" s="123"/>
      <c r="X301" s="26"/>
      <c r="Y301" s="13"/>
      <c r="AE301" s="115"/>
      <c r="AF301" s="115"/>
      <c r="AG301" s="115"/>
      <c r="AH301" s="115"/>
      <c r="AI301" s="115"/>
      <c r="AJ301" s="115"/>
      <c r="AK301" s="115"/>
      <c r="AL301" s="115"/>
      <c r="AM301" s="115"/>
      <c r="AN301" s="127"/>
      <c r="AO301" s="29"/>
      <c r="AY301" s="25"/>
      <c r="AZ301" s="13"/>
      <c r="BE301" s="116"/>
      <c r="BF301" s="123"/>
      <c r="BG301" s="123"/>
      <c r="BH301" s="123"/>
      <c r="BM301" s="115"/>
      <c r="BN301" s="115"/>
      <c r="BO301" s="115"/>
      <c r="BP301" s="115"/>
      <c r="BQ301" s="115"/>
      <c r="BR301" s="115"/>
      <c r="BS301" s="115"/>
      <c r="BT301" s="115"/>
      <c r="BU301" s="115"/>
      <c r="BV301" s="115"/>
      <c r="BW301" s="25"/>
      <c r="BX301" s="13"/>
      <c r="CA301" s="114"/>
    </row>
    <row r="302" spans="1:79" ht="20.100000000000001" customHeight="1" x14ac:dyDescent="0.4">
      <c r="A302" s="117"/>
      <c r="B302" s="123"/>
      <c r="C302" s="123"/>
      <c r="D302" s="123"/>
      <c r="X302" s="26"/>
      <c r="Y302" s="13"/>
      <c r="AE302" s="115"/>
      <c r="AF302" s="115"/>
      <c r="AG302" s="115"/>
      <c r="AH302" s="115"/>
      <c r="AI302" s="115"/>
      <c r="AJ302" s="115"/>
      <c r="AK302" s="115"/>
      <c r="AL302" s="115"/>
      <c r="AM302" s="115"/>
      <c r="AN302" s="127"/>
      <c r="AO302" s="29"/>
      <c r="AY302" s="25"/>
      <c r="AZ302" s="13"/>
      <c r="BE302" s="116"/>
      <c r="BF302" s="123"/>
      <c r="BG302" s="123"/>
      <c r="BH302" s="123"/>
      <c r="BM302" s="115"/>
      <c r="BN302" s="115"/>
      <c r="BO302" s="115"/>
      <c r="BP302" s="115"/>
      <c r="BQ302" s="115"/>
      <c r="BR302" s="115"/>
      <c r="BS302" s="115"/>
      <c r="BT302" s="115"/>
      <c r="BU302" s="115"/>
      <c r="BV302" s="115"/>
      <c r="BW302" s="25"/>
      <c r="BX302" s="13"/>
      <c r="CA302" s="114"/>
    </row>
    <row r="303" spans="1:79" ht="20.100000000000001" customHeight="1" x14ac:dyDescent="0.4">
      <c r="A303" s="117"/>
      <c r="B303" s="123"/>
      <c r="C303" s="123"/>
      <c r="D303" s="123"/>
      <c r="Q303" s="115"/>
      <c r="R303" s="115"/>
      <c r="S303" s="115"/>
      <c r="T303" s="115"/>
      <c r="U303" s="115"/>
      <c r="V303" s="115"/>
      <c r="W303" s="115"/>
      <c r="X303" s="17"/>
      <c r="Y303" s="13"/>
      <c r="AE303" s="115"/>
      <c r="AF303" s="115"/>
      <c r="AG303" s="115"/>
      <c r="AH303" s="115"/>
      <c r="AI303" s="115"/>
      <c r="AJ303" s="115"/>
      <c r="AK303" s="115"/>
      <c r="AL303" s="115"/>
      <c r="AM303" s="115"/>
      <c r="AN303" s="127"/>
      <c r="AO303" s="29"/>
      <c r="AY303" s="25"/>
      <c r="AZ303" s="13"/>
      <c r="BE303" s="116"/>
      <c r="BF303" s="123"/>
      <c r="BG303" s="123"/>
      <c r="BH303" s="123"/>
      <c r="BM303" s="115"/>
      <c r="BN303" s="115"/>
      <c r="BO303" s="115"/>
      <c r="BP303" s="115"/>
      <c r="BQ303" s="115"/>
      <c r="BR303" s="115"/>
      <c r="BS303" s="115"/>
      <c r="BT303" s="115"/>
      <c r="BU303" s="115"/>
      <c r="BV303" s="115"/>
      <c r="BW303" s="25"/>
      <c r="BX303" s="13"/>
      <c r="CA303" s="114"/>
    </row>
    <row r="304" spans="1:79" ht="20.100000000000001" customHeight="1" x14ac:dyDescent="0.4">
      <c r="A304" s="117"/>
      <c r="B304" s="123"/>
      <c r="C304" s="123"/>
      <c r="D304" s="123"/>
      <c r="O304" s="115"/>
      <c r="P304" s="115"/>
      <c r="Q304" s="115"/>
      <c r="R304" s="115"/>
      <c r="S304" s="115"/>
      <c r="T304" s="115"/>
      <c r="U304" s="115"/>
      <c r="V304" s="115"/>
      <c r="W304" s="115"/>
      <c r="X304" s="26"/>
      <c r="Y304" s="15"/>
      <c r="AE304" s="115"/>
      <c r="AF304" s="115"/>
      <c r="AG304" s="115"/>
      <c r="AH304" s="115"/>
      <c r="AI304" s="115"/>
      <c r="AJ304" s="115"/>
      <c r="AK304" s="115"/>
      <c r="AL304" s="115"/>
      <c r="AM304" s="115"/>
      <c r="AN304" s="127"/>
      <c r="AO304" s="29"/>
      <c r="AY304" s="25"/>
      <c r="AZ304" s="13"/>
      <c r="BE304" s="116"/>
      <c r="BF304" s="123"/>
      <c r="BG304" s="123"/>
      <c r="BH304" s="123"/>
      <c r="BM304" s="115"/>
      <c r="BN304" s="115"/>
      <c r="BO304" s="115"/>
      <c r="BP304" s="115"/>
      <c r="BQ304" s="115"/>
      <c r="BR304" s="115"/>
      <c r="BS304" s="115"/>
      <c r="BT304" s="115"/>
      <c r="BU304" s="115"/>
      <c r="BV304" s="115"/>
      <c r="BW304" s="25"/>
      <c r="BX304" s="13"/>
      <c r="CA304" s="114"/>
    </row>
    <row r="305" spans="1:79" ht="20.100000000000001" customHeight="1" x14ac:dyDescent="0.4">
      <c r="A305" s="117"/>
      <c r="B305" s="123"/>
      <c r="C305" s="123"/>
      <c r="D305" s="123"/>
      <c r="O305" s="115"/>
      <c r="P305" s="115"/>
      <c r="Q305" s="115"/>
      <c r="R305" s="115"/>
      <c r="S305" s="115"/>
      <c r="T305" s="115"/>
      <c r="U305" s="115"/>
      <c r="V305" s="115"/>
      <c r="W305" s="115"/>
      <c r="X305" s="17"/>
      <c r="Y305" s="15"/>
      <c r="AE305" s="115"/>
      <c r="AF305" s="115"/>
      <c r="AG305" s="115"/>
      <c r="AH305" s="115"/>
      <c r="AI305" s="115"/>
      <c r="AJ305" s="115"/>
      <c r="AK305" s="115"/>
      <c r="AL305" s="115"/>
      <c r="AM305" s="115"/>
      <c r="AN305" s="127"/>
      <c r="AO305" s="29"/>
      <c r="AY305" s="25"/>
      <c r="AZ305" s="13"/>
      <c r="BE305" s="116"/>
      <c r="BF305" s="123"/>
      <c r="BG305" s="123"/>
      <c r="BH305" s="123"/>
      <c r="BM305" s="115"/>
      <c r="BN305" s="115"/>
      <c r="BO305" s="115"/>
      <c r="BP305" s="115"/>
      <c r="BQ305" s="115"/>
      <c r="BR305" s="115"/>
      <c r="BS305" s="115"/>
      <c r="BT305" s="115"/>
      <c r="BU305" s="115"/>
      <c r="BV305" s="115"/>
      <c r="BW305" s="25"/>
      <c r="BX305" s="13"/>
      <c r="CA305" s="114"/>
    </row>
    <row r="306" spans="1:79" ht="20.100000000000001" customHeight="1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26"/>
      <c r="Y306" s="15"/>
      <c r="AE306" s="115"/>
      <c r="AF306" s="115"/>
      <c r="AG306" s="115"/>
      <c r="AH306" s="115"/>
      <c r="AI306" s="115"/>
      <c r="AJ306" s="115"/>
      <c r="AK306" s="115"/>
      <c r="AL306" s="115"/>
      <c r="AM306" s="115"/>
      <c r="AN306" s="127"/>
      <c r="AO306" s="29"/>
      <c r="AY306" s="25"/>
      <c r="AZ306" s="13"/>
      <c r="BE306" s="116"/>
      <c r="BF306" s="123"/>
      <c r="BG306" s="123"/>
      <c r="BH306" s="123"/>
      <c r="BM306" s="115"/>
      <c r="BN306" s="115"/>
      <c r="BO306" s="115"/>
      <c r="BP306" s="115"/>
      <c r="BQ306" s="115"/>
      <c r="BR306" s="115"/>
      <c r="BS306" s="115"/>
      <c r="BT306" s="115"/>
      <c r="BU306" s="115"/>
      <c r="BV306" s="115"/>
      <c r="BW306" s="25"/>
      <c r="BX306" s="13"/>
      <c r="CA306" s="114"/>
    </row>
    <row r="307" spans="1:79" ht="20.100000000000001" customHeight="1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7"/>
      <c r="Y307" s="15"/>
      <c r="AE307" s="115"/>
      <c r="AF307" s="115"/>
      <c r="AG307" s="115"/>
      <c r="AH307" s="115"/>
      <c r="AI307" s="115"/>
      <c r="AJ307" s="115"/>
      <c r="AK307" s="115"/>
      <c r="AL307" s="115"/>
      <c r="AM307" s="115"/>
      <c r="AN307" s="127"/>
      <c r="AO307" s="29"/>
      <c r="AY307" s="25"/>
      <c r="AZ307" s="13"/>
      <c r="BE307" s="116"/>
      <c r="BF307" s="123"/>
      <c r="BG307" s="123"/>
      <c r="BH307" s="123"/>
      <c r="BM307" s="115"/>
      <c r="BN307" s="115"/>
      <c r="BO307" s="115"/>
      <c r="BP307" s="115"/>
      <c r="BQ307" s="115"/>
      <c r="BR307" s="115"/>
      <c r="BS307" s="115"/>
      <c r="BT307" s="115"/>
      <c r="BU307" s="115"/>
      <c r="BV307" s="115"/>
      <c r="BW307" s="25"/>
      <c r="BX307" s="13"/>
      <c r="CA307" s="114"/>
    </row>
    <row r="308" spans="1:79" ht="20.100000000000001" customHeight="1" x14ac:dyDescent="0.4">
      <c r="A308" s="117"/>
      <c r="B308" s="123"/>
      <c r="C308" s="123"/>
      <c r="D308" s="123"/>
      <c r="X308" s="26"/>
      <c r="Y308" s="15"/>
      <c r="AB308" s="115"/>
      <c r="AC308" s="115"/>
      <c r="AD308" s="115"/>
      <c r="AE308" s="115"/>
      <c r="AF308" s="115"/>
      <c r="AG308" s="115"/>
      <c r="AH308" s="115"/>
      <c r="AI308" s="115"/>
      <c r="AJ308" s="115"/>
      <c r="AK308" s="115"/>
      <c r="AL308" s="115"/>
      <c r="AM308" s="115"/>
      <c r="AN308" s="127"/>
      <c r="AO308" s="29"/>
      <c r="AY308" s="25"/>
      <c r="AZ308" s="13"/>
      <c r="BE308" s="116"/>
      <c r="BF308" s="123"/>
      <c r="BG308" s="123"/>
      <c r="BH308" s="123"/>
      <c r="BM308" s="115"/>
      <c r="BN308" s="115"/>
      <c r="BO308" s="115"/>
      <c r="BP308" s="115"/>
      <c r="BQ308" s="115"/>
      <c r="BR308" s="115"/>
      <c r="BS308" s="115"/>
      <c r="BT308" s="115"/>
      <c r="BU308" s="115"/>
      <c r="BV308" s="115"/>
      <c r="BW308" s="25"/>
      <c r="BX308" s="13"/>
      <c r="CA308" s="114"/>
    </row>
    <row r="309" spans="1:79" ht="20.100000000000001" customHeight="1" x14ac:dyDescent="0.4">
      <c r="A309" s="117"/>
      <c r="B309" s="123"/>
      <c r="C309" s="123"/>
      <c r="D309" s="123"/>
      <c r="Q309" s="115"/>
      <c r="R309" s="115"/>
      <c r="S309" s="115"/>
      <c r="T309" s="115"/>
      <c r="U309" s="115"/>
      <c r="V309" s="115"/>
      <c r="W309" s="115"/>
      <c r="X309" s="17"/>
      <c r="Y309" s="15"/>
      <c r="AB309" s="115"/>
      <c r="AC309" s="115"/>
      <c r="AD309" s="115"/>
      <c r="AE309" s="115"/>
      <c r="AF309" s="115"/>
      <c r="AG309" s="115"/>
      <c r="AH309" s="115"/>
      <c r="AI309" s="115"/>
      <c r="AJ309" s="115"/>
      <c r="AK309" s="115"/>
      <c r="AL309" s="115"/>
      <c r="AM309" s="115"/>
      <c r="AN309" s="127"/>
      <c r="AO309" s="29"/>
      <c r="AY309" s="25"/>
      <c r="AZ309" s="13"/>
      <c r="BE309" s="116"/>
      <c r="BF309" s="123"/>
      <c r="BG309" s="123"/>
      <c r="BH309" s="123"/>
      <c r="BM309" s="115"/>
      <c r="BN309" s="115"/>
      <c r="BO309" s="115"/>
      <c r="BP309" s="115"/>
      <c r="BQ309" s="115"/>
      <c r="BR309" s="115"/>
      <c r="BS309" s="115"/>
      <c r="BT309" s="115"/>
      <c r="BU309" s="115"/>
      <c r="BV309" s="115"/>
      <c r="BW309" s="25"/>
      <c r="BX309" s="13"/>
      <c r="CA309" s="114"/>
    </row>
    <row r="310" spans="1:79" ht="20.100000000000001" customHeight="1" x14ac:dyDescent="0.4">
      <c r="A310" s="117"/>
      <c r="B310" s="123"/>
      <c r="C310" s="123"/>
      <c r="D310" s="123"/>
      <c r="X310" s="26"/>
      <c r="Y310" s="15"/>
      <c r="AB310" s="115"/>
      <c r="AC310" s="115"/>
      <c r="AD310" s="115"/>
      <c r="AE310" s="115"/>
      <c r="AF310" s="115"/>
      <c r="AG310" s="115"/>
      <c r="AH310" s="115"/>
      <c r="AI310" s="115"/>
      <c r="AJ310" s="115"/>
      <c r="AK310" s="115"/>
      <c r="AL310" s="115"/>
      <c r="AM310" s="115"/>
      <c r="AN310" s="127"/>
      <c r="AO310" s="29"/>
      <c r="AY310" s="25"/>
      <c r="AZ310" s="13"/>
      <c r="BE310" s="116"/>
      <c r="BF310" s="123"/>
      <c r="BG310" s="123"/>
      <c r="BH310" s="123"/>
      <c r="BM310" s="115"/>
      <c r="BN310" s="115"/>
      <c r="BO310" s="115"/>
      <c r="BP310" s="115"/>
      <c r="BQ310" s="115"/>
      <c r="BR310" s="115"/>
      <c r="BS310" s="115"/>
      <c r="BT310" s="115"/>
      <c r="BU310" s="115"/>
      <c r="BV310" s="115"/>
      <c r="BW310" s="25"/>
      <c r="BX310" s="13"/>
      <c r="CA310" s="114"/>
    </row>
    <row r="311" spans="1:79" ht="20.100000000000001" customHeight="1" x14ac:dyDescent="0.4">
      <c r="A311" s="117"/>
      <c r="B311" s="123"/>
      <c r="C311" s="123"/>
      <c r="D311" s="123"/>
      <c r="O311" s="115"/>
      <c r="P311" s="115"/>
      <c r="Q311" s="115"/>
      <c r="R311" s="115"/>
      <c r="S311" s="115"/>
      <c r="T311" s="115"/>
      <c r="U311" s="115"/>
      <c r="V311" s="115"/>
      <c r="W311" s="115"/>
      <c r="X311" s="26"/>
      <c r="Y311" s="15"/>
      <c r="AB311" s="115"/>
      <c r="AC311" s="115"/>
      <c r="AD311" s="115"/>
      <c r="AE311" s="115"/>
      <c r="AF311" s="115"/>
      <c r="AG311" s="115"/>
      <c r="AH311" s="115"/>
      <c r="AI311" s="115"/>
      <c r="AJ311" s="115"/>
      <c r="AK311" s="115"/>
      <c r="AL311" s="115"/>
      <c r="AM311" s="115"/>
      <c r="AN311" s="127"/>
      <c r="AO311" s="29"/>
      <c r="AY311" s="25"/>
      <c r="AZ311" s="13"/>
      <c r="BE311" s="116"/>
      <c r="BF311" s="123"/>
      <c r="BG311" s="123"/>
      <c r="BH311" s="123"/>
      <c r="BM311" s="115"/>
      <c r="BN311" s="115"/>
      <c r="BO311" s="115"/>
      <c r="BP311" s="115"/>
      <c r="BQ311" s="115"/>
      <c r="BR311" s="115"/>
      <c r="BS311" s="115"/>
      <c r="BT311" s="115"/>
      <c r="BU311" s="115"/>
      <c r="BV311" s="115"/>
      <c r="BW311" s="25"/>
      <c r="BX311" s="13"/>
      <c r="CA311" s="114"/>
    </row>
    <row r="312" spans="1:79" ht="20.100000000000001" customHeight="1" x14ac:dyDescent="0.4">
      <c r="A312" s="117"/>
      <c r="B312" s="123"/>
      <c r="C312" s="123"/>
      <c r="D312" s="123"/>
      <c r="O312" s="115"/>
      <c r="P312" s="115"/>
      <c r="Q312" s="115"/>
      <c r="R312" s="115"/>
      <c r="S312" s="115"/>
      <c r="T312" s="115"/>
      <c r="U312" s="115"/>
      <c r="V312" s="115"/>
      <c r="W312" s="115"/>
      <c r="X312" s="20"/>
      <c r="Y312" s="13"/>
      <c r="AB312" s="115"/>
      <c r="AC312" s="115"/>
      <c r="AD312" s="115"/>
      <c r="AE312" s="115"/>
      <c r="AF312" s="115"/>
      <c r="AG312" s="115"/>
      <c r="AH312" s="115"/>
      <c r="AI312" s="115"/>
      <c r="AJ312" s="115"/>
      <c r="AK312" s="115"/>
      <c r="AL312" s="115"/>
      <c r="AM312" s="115"/>
      <c r="AN312" s="127"/>
      <c r="AO312" s="29"/>
      <c r="AY312" s="25"/>
      <c r="AZ312" s="13"/>
      <c r="BE312" s="116"/>
      <c r="BF312" s="123"/>
      <c r="BG312" s="123"/>
      <c r="BH312" s="123"/>
      <c r="BM312" s="115"/>
      <c r="BN312" s="115"/>
      <c r="BO312" s="115"/>
      <c r="BP312" s="115"/>
      <c r="BQ312" s="115"/>
      <c r="BR312" s="115"/>
      <c r="BS312" s="115"/>
      <c r="BT312" s="115"/>
      <c r="BU312" s="115"/>
      <c r="BV312" s="115"/>
      <c r="BW312" s="25"/>
      <c r="BX312" s="13"/>
      <c r="CA312" s="114"/>
    </row>
    <row r="313" spans="1:79" ht="20.100000000000001" customHeight="1" x14ac:dyDescent="0.4">
      <c r="A313" s="117"/>
      <c r="B313" s="123"/>
      <c r="C313" s="123"/>
      <c r="D313" s="123"/>
      <c r="O313" s="115"/>
      <c r="P313" s="115"/>
      <c r="Q313" s="115"/>
      <c r="R313" s="115"/>
      <c r="S313" s="115"/>
      <c r="T313" s="115"/>
      <c r="U313" s="115"/>
      <c r="V313" s="115"/>
      <c r="W313" s="115"/>
      <c r="X313" s="20"/>
      <c r="Y313" s="13"/>
      <c r="AB313" s="115"/>
      <c r="AC313" s="115"/>
      <c r="AD313" s="115"/>
      <c r="AE313" s="115"/>
      <c r="AF313" s="115"/>
      <c r="AG313" s="115"/>
      <c r="AH313" s="115"/>
      <c r="AI313" s="115"/>
      <c r="AJ313" s="115"/>
      <c r="AK313" s="115"/>
      <c r="AL313" s="115"/>
      <c r="AM313" s="115"/>
      <c r="AN313" s="127"/>
      <c r="AO313" s="29"/>
      <c r="AY313" s="25"/>
      <c r="AZ313" s="13"/>
      <c r="BE313" s="116"/>
      <c r="BF313" s="123"/>
      <c r="BG313" s="123"/>
      <c r="BH313" s="123"/>
      <c r="BM313" s="115"/>
      <c r="BN313" s="115"/>
      <c r="BO313" s="115"/>
      <c r="BP313" s="115"/>
      <c r="BQ313" s="115"/>
      <c r="BR313" s="115"/>
      <c r="BS313" s="115"/>
      <c r="BT313" s="115"/>
      <c r="BU313" s="115"/>
      <c r="BV313" s="115"/>
      <c r="BW313" s="25"/>
      <c r="BX313" s="13"/>
      <c r="CA313" s="114"/>
    </row>
    <row r="314" spans="1:79" ht="20.100000000000001" customHeight="1" x14ac:dyDescent="0.4">
      <c r="A314" s="117"/>
      <c r="B314" s="123"/>
      <c r="C314" s="123"/>
      <c r="D314" s="123"/>
      <c r="O314" s="115"/>
      <c r="P314" s="115"/>
      <c r="Q314" s="115"/>
      <c r="R314" s="115"/>
      <c r="S314" s="115"/>
      <c r="T314" s="115"/>
      <c r="U314" s="115"/>
      <c r="V314" s="115"/>
      <c r="W314" s="115"/>
      <c r="X314" s="13"/>
      <c r="Y314" s="13"/>
      <c r="AB314" s="115"/>
      <c r="AC314" s="115"/>
      <c r="AD314" s="115"/>
      <c r="AE314" s="115"/>
      <c r="AF314" s="115"/>
      <c r="AG314" s="115"/>
      <c r="AH314" s="115"/>
      <c r="AI314" s="115"/>
      <c r="AJ314" s="115"/>
      <c r="AK314" s="115"/>
      <c r="AL314" s="115"/>
      <c r="AM314" s="115"/>
      <c r="AN314" s="127"/>
      <c r="AO314" s="29"/>
      <c r="AY314" s="25"/>
      <c r="AZ314" s="13"/>
      <c r="BE314" s="116"/>
      <c r="BF314" s="123"/>
      <c r="BG314" s="123"/>
      <c r="BH314" s="123"/>
      <c r="BM314" s="115"/>
      <c r="BN314" s="115"/>
      <c r="BO314" s="115"/>
      <c r="BP314" s="115"/>
      <c r="BQ314" s="115"/>
      <c r="BR314" s="115"/>
      <c r="BS314" s="115"/>
      <c r="BT314" s="115"/>
      <c r="BU314" s="115"/>
      <c r="BV314" s="115"/>
      <c r="BW314" s="25"/>
      <c r="BX314" s="13"/>
      <c r="CA314" s="114"/>
    </row>
    <row r="315" spans="1:79" ht="20.100000000000001" customHeight="1" x14ac:dyDescent="0.4">
      <c r="A315" s="117"/>
      <c r="B315" s="123"/>
      <c r="C315" s="123"/>
      <c r="D315" s="123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25"/>
      <c r="Y315" s="15"/>
      <c r="AB315" s="115"/>
      <c r="AC315" s="115"/>
      <c r="AD315" s="115"/>
      <c r="AE315" s="115"/>
      <c r="AF315" s="115"/>
      <c r="AG315" s="115"/>
      <c r="AH315" s="115"/>
      <c r="AI315" s="115"/>
      <c r="AJ315" s="115"/>
      <c r="AK315" s="115"/>
      <c r="AL315" s="115"/>
      <c r="AM315" s="115"/>
      <c r="AN315" s="127"/>
      <c r="AO315" s="29"/>
      <c r="AY315" s="25"/>
      <c r="AZ315" s="13"/>
      <c r="BE315" s="116"/>
      <c r="BF315" s="123"/>
      <c r="BG315" s="123"/>
      <c r="BH315" s="123"/>
      <c r="BM315" s="115"/>
      <c r="BN315" s="115"/>
      <c r="BO315" s="115"/>
      <c r="BP315" s="115"/>
      <c r="BQ315" s="115"/>
      <c r="BR315" s="115"/>
      <c r="BS315" s="115"/>
      <c r="BT315" s="115"/>
      <c r="BU315" s="115"/>
      <c r="BV315" s="115"/>
      <c r="BW315" s="25"/>
      <c r="BX315" s="13"/>
      <c r="CA315" s="114"/>
    </row>
    <row r="316" spans="1:79" ht="20.100000000000001" customHeight="1" x14ac:dyDescent="0.4">
      <c r="A316" s="117"/>
      <c r="B316" s="123"/>
      <c r="C316" s="123"/>
      <c r="D316" s="123"/>
      <c r="X316" s="25"/>
      <c r="Y316" s="15"/>
      <c r="AB316" s="115"/>
      <c r="AC316" s="115"/>
      <c r="AD316" s="115"/>
      <c r="AE316" s="115"/>
      <c r="AF316" s="115"/>
      <c r="AG316" s="115"/>
      <c r="AH316" s="115"/>
      <c r="AI316" s="115"/>
      <c r="AJ316" s="115"/>
      <c r="AK316" s="115"/>
      <c r="AL316" s="115"/>
      <c r="AM316" s="115"/>
      <c r="AN316" s="29"/>
      <c r="AO316" s="29"/>
      <c r="AY316" s="25"/>
      <c r="AZ316" s="13"/>
      <c r="BE316" s="116"/>
      <c r="BF316" s="123"/>
      <c r="BG316" s="123"/>
      <c r="BH316" s="123"/>
      <c r="BM316" s="115"/>
      <c r="BN316" s="115"/>
      <c r="BO316" s="115"/>
      <c r="BP316" s="115"/>
      <c r="BQ316" s="115"/>
      <c r="BR316" s="115"/>
      <c r="BS316" s="115"/>
      <c r="BT316" s="115"/>
      <c r="BU316" s="115"/>
      <c r="BV316" s="115"/>
      <c r="BW316" s="25"/>
      <c r="BX316" s="13"/>
      <c r="CA316" s="114"/>
    </row>
    <row r="317" spans="1:79" ht="20.100000000000001" customHeight="1" x14ac:dyDescent="0.4">
      <c r="A317" s="117"/>
      <c r="B317" s="123"/>
      <c r="C317" s="123"/>
      <c r="D317" s="123"/>
      <c r="X317" s="25"/>
      <c r="Y317" s="15"/>
      <c r="AB317" s="115"/>
      <c r="AC317" s="115"/>
      <c r="AD317" s="115"/>
      <c r="AE317" s="115"/>
      <c r="AF317" s="115"/>
      <c r="AG317" s="115"/>
      <c r="AH317" s="115"/>
      <c r="AI317" s="115"/>
      <c r="AJ317" s="115"/>
      <c r="AK317" s="115"/>
      <c r="AL317" s="115"/>
      <c r="AM317" s="115"/>
      <c r="AN317" s="127"/>
      <c r="AO317" s="29"/>
      <c r="AY317" s="25"/>
      <c r="AZ317" s="13"/>
      <c r="BE317" s="116"/>
      <c r="BF317" s="123"/>
      <c r="BG317" s="123"/>
      <c r="BH317" s="123"/>
      <c r="BM317" s="115"/>
      <c r="BN317" s="115"/>
      <c r="BO317" s="115"/>
      <c r="BP317" s="115"/>
      <c r="BQ317" s="115"/>
      <c r="BR317" s="115"/>
      <c r="BS317" s="115"/>
      <c r="BT317" s="115"/>
      <c r="BU317" s="115"/>
      <c r="BV317" s="115"/>
      <c r="BW317" s="25"/>
      <c r="BX317" s="13"/>
      <c r="CA317" s="114"/>
    </row>
    <row r="318" spans="1:79" ht="20.100000000000001" customHeight="1" x14ac:dyDescent="0.4">
      <c r="A318" s="117"/>
      <c r="B318" s="123"/>
      <c r="C318" s="123"/>
      <c r="D318" s="123"/>
      <c r="X318" s="25"/>
      <c r="Y318" s="13"/>
      <c r="AB318" s="115"/>
      <c r="AC318" s="115"/>
      <c r="AD318" s="115"/>
      <c r="AE318" s="115"/>
      <c r="AF318" s="115"/>
      <c r="AG318" s="115"/>
      <c r="AH318" s="115"/>
      <c r="AI318" s="115"/>
      <c r="AJ318" s="115"/>
      <c r="AK318" s="115"/>
      <c r="AL318" s="115"/>
      <c r="AM318" s="115"/>
      <c r="AN318" s="127"/>
      <c r="AO318" s="29"/>
      <c r="AY318" s="25"/>
      <c r="AZ318" s="13"/>
      <c r="BE318" s="116"/>
      <c r="BF318" s="123"/>
      <c r="BG318" s="123"/>
      <c r="BH318" s="123"/>
      <c r="BM318" s="115"/>
      <c r="BN318" s="115"/>
      <c r="BO318" s="115"/>
      <c r="BP318" s="115"/>
      <c r="BQ318" s="115"/>
      <c r="BR318" s="115"/>
      <c r="BS318" s="115"/>
      <c r="BT318" s="115"/>
      <c r="BU318" s="115"/>
      <c r="BV318" s="115"/>
      <c r="BW318" s="25"/>
      <c r="BX318" s="13"/>
      <c r="CA318" s="114"/>
    </row>
    <row r="319" spans="1:79" ht="20.100000000000001" customHeight="1" x14ac:dyDescent="0.4">
      <c r="A319" s="117"/>
      <c r="B319" s="123"/>
      <c r="C319" s="123"/>
      <c r="D319" s="123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3"/>
      <c r="Y319" s="13"/>
      <c r="AB319" s="115"/>
      <c r="AC319" s="115"/>
      <c r="AD319" s="115"/>
      <c r="AE319" s="115"/>
      <c r="AF319" s="115"/>
      <c r="AG319" s="115"/>
      <c r="AH319" s="115"/>
      <c r="AI319" s="115"/>
      <c r="AJ319" s="115"/>
      <c r="AK319" s="115"/>
      <c r="AL319" s="115"/>
      <c r="AM319" s="115"/>
      <c r="AN319" s="127"/>
      <c r="AO319" s="29"/>
      <c r="AY319" s="25"/>
      <c r="AZ319" s="13"/>
      <c r="BE319" s="116"/>
      <c r="BF319" s="123"/>
      <c r="BG319" s="123"/>
      <c r="BH319" s="123"/>
      <c r="BM319" s="115"/>
      <c r="BN319" s="115"/>
      <c r="BO319" s="115"/>
      <c r="BP319" s="115"/>
      <c r="BQ319" s="115"/>
      <c r="BR319" s="115"/>
      <c r="BS319" s="115"/>
      <c r="BT319" s="115"/>
      <c r="BU319" s="115"/>
      <c r="BV319" s="115"/>
      <c r="BW319" s="25"/>
      <c r="BX319" s="13"/>
      <c r="CA319" s="114"/>
    </row>
    <row r="320" spans="1:79" ht="20.100000000000001" customHeight="1" x14ac:dyDescent="0.4">
      <c r="A320" s="117"/>
      <c r="B320" s="123"/>
      <c r="C320" s="123"/>
      <c r="D320" s="123"/>
      <c r="X320" s="25"/>
      <c r="Y320" s="13"/>
      <c r="AB320" s="115"/>
      <c r="AC320" s="115"/>
      <c r="AD320" s="115"/>
      <c r="AE320" s="115"/>
      <c r="AF320" s="115"/>
      <c r="AG320" s="115"/>
      <c r="AH320" s="115"/>
      <c r="AI320" s="115"/>
      <c r="AJ320" s="115"/>
      <c r="AK320" s="115"/>
      <c r="AL320" s="115"/>
      <c r="AM320" s="115"/>
      <c r="AN320" s="29"/>
      <c r="AO320" s="29"/>
      <c r="AY320" s="25"/>
      <c r="AZ320" s="13"/>
      <c r="BE320" s="116"/>
      <c r="BF320" s="123"/>
      <c r="BG320" s="123"/>
      <c r="BH320" s="123"/>
      <c r="BM320" s="115"/>
      <c r="BN320" s="115"/>
      <c r="BO320" s="115"/>
      <c r="BP320" s="115"/>
      <c r="BQ320" s="115"/>
      <c r="BR320" s="115"/>
      <c r="BS320" s="115"/>
      <c r="BT320" s="115"/>
      <c r="BU320" s="115"/>
      <c r="BV320" s="115"/>
      <c r="BW320" s="25"/>
      <c r="BX320" s="13"/>
      <c r="CA320" s="114"/>
    </row>
    <row r="321" spans="1:79" ht="20.100000000000001" customHeight="1" x14ac:dyDescent="0.4">
      <c r="A321" s="117"/>
      <c r="B321" s="123"/>
      <c r="C321" s="123"/>
      <c r="D321" s="123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25"/>
      <c r="Y321" s="13"/>
      <c r="AB321" s="115"/>
      <c r="AC321" s="115"/>
      <c r="AD321" s="115"/>
      <c r="AE321" s="115"/>
      <c r="AF321" s="115"/>
      <c r="AG321" s="115"/>
      <c r="AH321" s="115"/>
      <c r="AI321" s="115"/>
      <c r="AJ321" s="115"/>
      <c r="AK321" s="115"/>
      <c r="AL321" s="115"/>
      <c r="AM321" s="115"/>
      <c r="AN321" s="29"/>
      <c r="AO321" s="29"/>
      <c r="AY321" s="25"/>
      <c r="AZ321" s="13"/>
      <c r="BE321" s="116"/>
      <c r="BF321" s="123"/>
      <c r="BG321" s="123"/>
      <c r="BH321" s="123"/>
      <c r="BM321" s="115"/>
      <c r="BN321" s="115"/>
      <c r="BO321" s="115"/>
      <c r="BP321" s="115"/>
      <c r="BQ321" s="115"/>
      <c r="BR321" s="115"/>
      <c r="BS321" s="115"/>
      <c r="BT321" s="115"/>
      <c r="BU321" s="115"/>
      <c r="BV321" s="115"/>
      <c r="BW321" s="25"/>
      <c r="BX321" s="13"/>
      <c r="CA321" s="114"/>
    </row>
    <row r="322" spans="1:79" ht="20.100000000000001" customHeight="1" x14ac:dyDescent="0.4">
      <c r="A322" s="117"/>
      <c r="B322" s="123"/>
      <c r="C322" s="123"/>
      <c r="D322" s="123"/>
      <c r="X322" s="25"/>
      <c r="Y322" s="13"/>
      <c r="AB322" s="115"/>
      <c r="AC322" s="115"/>
      <c r="AD322" s="115"/>
      <c r="AE322" s="115"/>
      <c r="AF322" s="115"/>
      <c r="AG322" s="115"/>
      <c r="AH322" s="115"/>
      <c r="AI322" s="115"/>
      <c r="AJ322" s="115"/>
      <c r="AK322" s="115"/>
      <c r="AL322" s="115"/>
      <c r="AM322" s="115"/>
      <c r="AN322" s="127"/>
      <c r="AO322" s="29"/>
      <c r="AY322" s="25"/>
      <c r="AZ322" s="13"/>
      <c r="BE322" s="116"/>
      <c r="BF322" s="123"/>
      <c r="BG322" s="123"/>
      <c r="BH322" s="123"/>
      <c r="BM322" s="115"/>
      <c r="BN322" s="115"/>
      <c r="BO322" s="115"/>
      <c r="BP322" s="115"/>
      <c r="BQ322" s="115"/>
      <c r="BR322" s="115"/>
      <c r="BS322" s="115"/>
      <c r="BT322" s="115"/>
      <c r="BU322" s="115"/>
      <c r="BV322" s="115"/>
      <c r="BW322" s="25"/>
      <c r="BX322" s="13"/>
      <c r="CA322" s="114"/>
    </row>
    <row r="323" spans="1:79" ht="20.100000000000001" customHeight="1" x14ac:dyDescent="0.4">
      <c r="A323" s="117"/>
      <c r="B323" s="123"/>
      <c r="C323" s="123"/>
      <c r="D323" s="123"/>
      <c r="X323" s="25"/>
      <c r="Y323" s="13"/>
      <c r="AB323" s="115"/>
      <c r="AC323" s="115"/>
      <c r="AD323" s="115"/>
      <c r="AE323" s="115"/>
      <c r="AF323" s="115"/>
      <c r="AG323" s="115"/>
      <c r="AH323" s="115"/>
      <c r="AI323" s="115"/>
      <c r="AJ323" s="115"/>
      <c r="AK323" s="115"/>
      <c r="AL323" s="115"/>
      <c r="AM323" s="115"/>
      <c r="AN323" s="127"/>
      <c r="AO323" s="29"/>
      <c r="AY323" s="25"/>
      <c r="AZ323" s="13"/>
      <c r="BE323" s="116"/>
      <c r="BF323" s="123"/>
      <c r="BG323" s="123"/>
      <c r="BH323" s="123"/>
      <c r="BM323" s="115"/>
      <c r="BN323" s="115"/>
      <c r="BO323" s="115"/>
      <c r="BP323" s="115"/>
      <c r="BQ323" s="115"/>
      <c r="BR323" s="115"/>
      <c r="BS323" s="115"/>
      <c r="BT323" s="115"/>
      <c r="BU323" s="115"/>
      <c r="BV323" s="115"/>
      <c r="BW323" s="25"/>
      <c r="BX323" s="13"/>
      <c r="CA323" s="114"/>
    </row>
    <row r="324" spans="1:79" ht="20.100000000000001" customHeight="1" x14ac:dyDescent="0.4">
      <c r="A324" s="117"/>
      <c r="B324" s="123"/>
      <c r="C324" s="123"/>
      <c r="D324" s="123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3"/>
      <c r="Y324" s="13"/>
      <c r="AB324" s="115"/>
      <c r="AC324" s="115"/>
      <c r="AD324" s="115"/>
      <c r="AE324" s="115"/>
      <c r="AF324" s="115"/>
      <c r="AG324" s="115"/>
      <c r="AH324" s="115"/>
      <c r="AI324" s="115"/>
      <c r="AJ324" s="115"/>
      <c r="AK324" s="115"/>
      <c r="AL324" s="115"/>
      <c r="AM324" s="115"/>
      <c r="AN324" s="127"/>
      <c r="AO324" s="29"/>
      <c r="AY324" s="25"/>
      <c r="AZ324" s="13"/>
      <c r="BE324" s="116"/>
      <c r="BF324" s="123"/>
      <c r="BG324" s="123"/>
      <c r="BH324" s="123"/>
      <c r="BM324" s="115"/>
      <c r="BN324" s="115"/>
      <c r="BO324" s="115"/>
      <c r="BP324" s="115"/>
      <c r="BQ324" s="115"/>
      <c r="BR324" s="115"/>
      <c r="BS324" s="115"/>
      <c r="BT324" s="115"/>
      <c r="BU324" s="115"/>
      <c r="BV324" s="115"/>
      <c r="BW324" s="25"/>
      <c r="BX324" s="13"/>
      <c r="CA324" s="114"/>
    </row>
    <row r="325" spans="1:79" ht="20.100000000000001" customHeight="1" x14ac:dyDescent="0.4">
      <c r="A325" s="117"/>
      <c r="B325" s="123"/>
      <c r="C325" s="123"/>
      <c r="D325" s="123"/>
      <c r="F325" s="117"/>
      <c r="G325" s="135"/>
      <c r="H325" s="135"/>
      <c r="I325" s="135"/>
      <c r="J325" s="135"/>
      <c r="K325" s="135"/>
      <c r="L325" s="136"/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36"/>
      <c r="X325" s="25"/>
      <c r="Y325" s="13"/>
      <c r="AA325" s="115"/>
      <c r="AB325" s="115"/>
      <c r="AC325" s="115"/>
      <c r="AD325" s="115"/>
      <c r="AE325" s="115"/>
      <c r="AF325" s="115"/>
      <c r="AG325" s="115"/>
      <c r="AH325" s="115"/>
      <c r="AI325" s="115"/>
      <c r="AJ325" s="115"/>
      <c r="AK325" s="115"/>
      <c r="AL325" s="115"/>
      <c r="AM325" s="115"/>
      <c r="AN325" s="127"/>
      <c r="AO325" s="29"/>
      <c r="AY325" s="25"/>
      <c r="AZ325" s="13"/>
      <c r="BE325" s="116"/>
      <c r="BF325" s="123"/>
      <c r="BG325" s="123"/>
      <c r="BH325" s="123"/>
      <c r="BM325" s="115"/>
      <c r="BN325" s="115"/>
      <c r="BO325" s="115"/>
      <c r="BP325" s="115"/>
      <c r="BQ325" s="115"/>
      <c r="BR325" s="115"/>
      <c r="BS325" s="115"/>
      <c r="BT325" s="115"/>
      <c r="BU325" s="115"/>
      <c r="BV325" s="115"/>
      <c r="BW325" s="25"/>
      <c r="BX325" s="13"/>
      <c r="CA325" s="114"/>
    </row>
    <row r="326" spans="1:79" ht="20.100000000000001" customHeight="1" x14ac:dyDescent="0.4">
      <c r="A326" s="117"/>
      <c r="B326" s="123"/>
      <c r="C326" s="123"/>
      <c r="D326" s="123"/>
      <c r="F326" s="117"/>
      <c r="G326" s="135"/>
      <c r="H326" s="135"/>
      <c r="I326" s="135"/>
      <c r="J326" s="135"/>
      <c r="K326" s="135"/>
      <c r="L326" s="136"/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36"/>
      <c r="X326" s="25"/>
      <c r="Y326" s="13"/>
      <c r="AA326" s="115"/>
      <c r="AB326" s="115"/>
      <c r="AC326" s="115"/>
      <c r="AD326" s="115"/>
      <c r="AE326" s="115"/>
      <c r="AF326" s="115"/>
      <c r="AG326" s="115"/>
      <c r="AH326" s="115"/>
      <c r="AI326" s="115"/>
      <c r="AJ326" s="115"/>
      <c r="AK326" s="115"/>
      <c r="AL326" s="115"/>
      <c r="AM326" s="115"/>
      <c r="AN326" s="127"/>
      <c r="AO326" s="29"/>
      <c r="AY326" s="25"/>
      <c r="AZ326" s="13"/>
      <c r="BE326" s="116"/>
      <c r="BF326" s="123"/>
      <c r="BG326" s="123"/>
      <c r="BH326" s="123"/>
      <c r="BM326" s="115"/>
      <c r="BN326" s="115"/>
      <c r="BO326" s="115"/>
      <c r="BP326" s="115"/>
      <c r="BQ326" s="115"/>
      <c r="BR326" s="115"/>
      <c r="BS326" s="115"/>
      <c r="BT326" s="115"/>
      <c r="BU326" s="115"/>
      <c r="BV326" s="115"/>
      <c r="BW326" s="25"/>
      <c r="BX326" s="13"/>
      <c r="CA326" s="114"/>
    </row>
    <row r="327" spans="1:79" ht="20.100000000000001" customHeight="1" x14ac:dyDescent="0.4">
      <c r="A327" s="117"/>
      <c r="B327" s="123"/>
      <c r="C327" s="123"/>
      <c r="D327" s="123"/>
      <c r="F327" s="117"/>
      <c r="G327" s="135"/>
      <c r="H327" s="135"/>
      <c r="I327" s="135"/>
      <c r="J327" s="135"/>
      <c r="K327" s="135"/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20"/>
      <c r="Y327" s="13"/>
      <c r="AA327" s="115"/>
      <c r="AB327" s="115"/>
      <c r="AC327" s="115"/>
      <c r="AD327" s="115"/>
      <c r="AE327" s="115"/>
      <c r="AF327" s="115"/>
      <c r="AG327" s="115"/>
      <c r="AH327" s="115"/>
      <c r="AI327" s="115"/>
      <c r="AJ327" s="115"/>
      <c r="AK327" s="115"/>
      <c r="AL327" s="115"/>
      <c r="AM327" s="115"/>
      <c r="AN327" s="127"/>
      <c r="AO327" s="29"/>
      <c r="AY327" s="25"/>
      <c r="AZ327" s="13"/>
      <c r="BE327" s="116"/>
      <c r="BF327" s="123"/>
      <c r="BG327" s="123"/>
      <c r="BH327" s="123"/>
      <c r="BM327" s="115"/>
      <c r="BN327" s="115"/>
      <c r="BO327" s="115"/>
      <c r="BP327" s="115"/>
      <c r="BQ327" s="115"/>
      <c r="BR327" s="115"/>
      <c r="BS327" s="115"/>
      <c r="BT327" s="115"/>
      <c r="BU327" s="115"/>
      <c r="BV327" s="115"/>
      <c r="BW327" s="25"/>
      <c r="BX327" s="13"/>
      <c r="CA327" s="114"/>
    </row>
    <row r="328" spans="1:79" ht="20.100000000000001" customHeight="1" x14ac:dyDescent="0.4">
      <c r="A328" s="117"/>
      <c r="B328" s="123"/>
      <c r="C328" s="123"/>
      <c r="D328" s="123"/>
      <c r="F328" s="117"/>
      <c r="G328" s="135"/>
      <c r="H328" s="135"/>
      <c r="I328" s="135"/>
      <c r="J328" s="135"/>
      <c r="K328" s="135"/>
      <c r="L328" s="136"/>
      <c r="M328" s="136"/>
      <c r="N328" s="136"/>
      <c r="O328" s="136"/>
      <c r="P328" s="136"/>
      <c r="Q328" s="136"/>
      <c r="R328" s="136"/>
      <c r="S328" s="136"/>
      <c r="T328" s="136"/>
      <c r="U328" s="136"/>
      <c r="V328" s="136"/>
      <c r="W328" s="136"/>
      <c r="X328" s="26"/>
      <c r="Y328" s="15"/>
      <c r="AA328" s="115"/>
      <c r="AB328" s="115"/>
      <c r="AC328" s="115"/>
      <c r="AD328" s="115"/>
      <c r="AE328" s="115"/>
      <c r="AF328" s="115"/>
      <c r="AG328" s="115"/>
      <c r="AH328" s="115"/>
      <c r="AI328" s="115"/>
      <c r="AJ328" s="115"/>
      <c r="AK328" s="115"/>
      <c r="AL328" s="115"/>
      <c r="AM328" s="115"/>
      <c r="AN328" s="29"/>
      <c r="AO328" s="29"/>
      <c r="AY328" s="25"/>
      <c r="AZ328" s="13"/>
      <c r="BE328" s="116"/>
      <c r="BF328" s="123"/>
      <c r="BG328" s="123"/>
      <c r="BH328" s="123"/>
      <c r="BM328" s="115"/>
      <c r="BN328" s="115"/>
      <c r="BO328" s="115"/>
      <c r="BP328" s="115"/>
      <c r="BQ328" s="115"/>
      <c r="BR328" s="115"/>
      <c r="BS328" s="115"/>
      <c r="BT328" s="115"/>
      <c r="BU328" s="115"/>
      <c r="BV328" s="115"/>
      <c r="BW328" s="25"/>
      <c r="BX328" s="13"/>
      <c r="CA328" s="114"/>
    </row>
    <row r="329" spans="1:79" ht="20.100000000000001" customHeight="1" x14ac:dyDescent="0.4">
      <c r="A329" s="117"/>
      <c r="B329" s="123"/>
      <c r="C329" s="123"/>
      <c r="D329" s="123"/>
      <c r="F329" s="117"/>
      <c r="G329" s="135"/>
      <c r="H329" s="135"/>
      <c r="I329" s="135"/>
      <c r="J329" s="135"/>
      <c r="K329" s="135"/>
      <c r="L329" s="136"/>
      <c r="M329" s="136"/>
      <c r="N329" s="136"/>
      <c r="O329" s="136"/>
      <c r="P329" s="136"/>
      <c r="Q329" s="136"/>
      <c r="R329" s="136"/>
      <c r="S329" s="136"/>
      <c r="T329" s="136"/>
      <c r="U329" s="136"/>
      <c r="V329" s="136"/>
      <c r="W329" s="136"/>
      <c r="X329" s="26"/>
      <c r="Y329" s="15"/>
      <c r="AA329" s="115"/>
      <c r="AB329" s="115"/>
      <c r="AC329" s="115"/>
      <c r="AD329" s="115"/>
      <c r="AE329" s="115"/>
      <c r="AF329" s="115"/>
      <c r="AG329" s="115"/>
      <c r="AH329" s="115"/>
      <c r="AI329" s="115"/>
      <c r="AJ329" s="115"/>
      <c r="AK329" s="115"/>
      <c r="AL329" s="115"/>
      <c r="AM329" s="115"/>
      <c r="AN329" s="127"/>
      <c r="AO329" s="29"/>
      <c r="AY329" s="25"/>
      <c r="AZ329" s="13"/>
      <c r="BE329" s="116"/>
      <c r="BF329" s="123"/>
      <c r="BG329" s="123"/>
      <c r="BH329" s="123"/>
      <c r="BM329" s="115"/>
      <c r="BN329" s="115"/>
      <c r="BO329" s="115"/>
      <c r="BP329" s="115"/>
      <c r="BQ329" s="115"/>
      <c r="BR329" s="115"/>
      <c r="BS329" s="115"/>
      <c r="BT329" s="115"/>
      <c r="BU329" s="115"/>
      <c r="BV329" s="115"/>
      <c r="BW329" s="25"/>
      <c r="BX329" s="13"/>
      <c r="CA329" s="114"/>
    </row>
    <row r="330" spans="1:79" ht="20.100000000000001" customHeight="1" x14ac:dyDescent="0.4">
      <c r="A330" s="117"/>
      <c r="B330" s="123"/>
      <c r="C330" s="123"/>
      <c r="D330" s="123"/>
      <c r="F330" s="117"/>
      <c r="G330" s="135"/>
      <c r="H330" s="135"/>
      <c r="I330" s="135"/>
      <c r="J330" s="135"/>
      <c r="K330" s="135"/>
      <c r="L330" s="136"/>
      <c r="M330" s="136"/>
      <c r="N330" s="140"/>
      <c r="O330" s="140"/>
      <c r="P330" s="140"/>
      <c r="Q330" s="140"/>
      <c r="R330" s="140"/>
      <c r="S330" s="140"/>
      <c r="T330" s="140"/>
      <c r="U330" s="140"/>
      <c r="V330" s="140"/>
      <c r="W330" s="140"/>
      <c r="X330" s="30"/>
      <c r="Y330" s="15"/>
      <c r="AA330" s="115"/>
      <c r="AB330" s="115"/>
      <c r="AC330" s="115"/>
      <c r="AD330" s="115"/>
      <c r="AE330" s="115"/>
      <c r="AF330" s="115"/>
      <c r="AG330" s="115"/>
      <c r="AH330" s="115"/>
      <c r="AI330" s="115"/>
      <c r="AJ330" s="115"/>
      <c r="AK330" s="115"/>
      <c r="AL330" s="115"/>
      <c r="AM330" s="115"/>
      <c r="AN330" s="127"/>
      <c r="AO330" s="29"/>
      <c r="AY330" s="25"/>
      <c r="AZ330" s="13"/>
      <c r="BE330" s="116"/>
      <c r="BF330" s="123"/>
      <c r="BG330" s="123"/>
      <c r="BH330" s="123"/>
      <c r="BM330" s="115"/>
      <c r="BN330" s="115"/>
      <c r="BO330" s="115"/>
      <c r="BP330" s="115"/>
      <c r="BQ330" s="115"/>
      <c r="BR330" s="115"/>
      <c r="BS330" s="115"/>
      <c r="BT330" s="115"/>
      <c r="BU330" s="115"/>
      <c r="BV330" s="115"/>
      <c r="BW330" s="25"/>
      <c r="BX330" s="13"/>
      <c r="CA330" s="114"/>
    </row>
    <row r="331" spans="1:79" ht="20.100000000000001" customHeight="1" x14ac:dyDescent="0.4">
      <c r="A331" s="117"/>
      <c r="B331" s="123"/>
      <c r="C331" s="123"/>
      <c r="D331" s="123"/>
      <c r="F331" s="117"/>
      <c r="G331" s="135"/>
      <c r="H331" s="135"/>
      <c r="I331" s="135"/>
      <c r="J331" s="135"/>
      <c r="K331" s="135"/>
      <c r="L331" s="136"/>
      <c r="M331" s="136"/>
      <c r="N331" s="136"/>
      <c r="O331" s="136"/>
      <c r="P331" s="136"/>
      <c r="Q331" s="136"/>
      <c r="R331" s="136"/>
      <c r="S331" s="136"/>
      <c r="T331" s="136"/>
      <c r="U331" s="136"/>
      <c r="V331" s="136"/>
      <c r="W331" s="136"/>
      <c r="X331" s="25"/>
      <c r="Y331" s="13"/>
      <c r="AA331" s="115"/>
      <c r="AB331" s="115"/>
      <c r="AC331" s="115"/>
      <c r="AD331" s="115"/>
      <c r="AE331" s="115"/>
      <c r="AF331" s="115"/>
      <c r="AG331" s="115"/>
      <c r="AH331" s="115"/>
      <c r="AI331" s="115"/>
      <c r="AJ331" s="115"/>
      <c r="AK331" s="115"/>
      <c r="AL331" s="115"/>
      <c r="AM331" s="115"/>
      <c r="AN331" s="127"/>
      <c r="AO331" s="29"/>
      <c r="AY331" s="25"/>
      <c r="AZ331" s="13"/>
      <c r="BE331" s="116"/>
      <c r="BF331" s="123"/>
      <c r="BG331" s="123"/>
      <c r="BH331" s="123"/>
      <c r="BM331" s="115"/>
      <c r="BN331" s="115"/>
      <c r="BO331" s="115"/>
      <c r="BP331" s="115"/>
      <c r="BQ331" s="115"/>
      <c r="BR331" s="115"/>
      <c r="BS331" s="115"/>
      <c r="BT331" s="115"/>
      <c r="BU331" s="115"/>
      <c r="BV331" s="115"/>
      <c r="BW331" s="25"/>
      <c r="BX331" s="13"/>
      <c r="CA331" s="114"/>
    </row>
    <row r="332" spans="1:79" ht="20.100000000000001" customHeight="1" x14ac:dyDescent="0.4">
      <c r="A332" s="117"/>
      <c r="B332" s="123"/>
      <c r="C332" s="123"/>
      <c r="D332" s="123"/>
      <c r="F332" s="117"/>
      <c r="G332" s="135"/>
      <c r="H332" s="135"/>
      <c r="I332" s="135"/>
      <c r="J332" s="135"/>
      <c r="K332" s="135"/>
      <c r="L332" s="136"/>
      <c r="M332" s="136"/>
      <c r="N332" s="136"/>
      <c r="O332" s="136"/>
      <c r="P332" s="136"/>
      <c r="Q332" s="136"/>
      <c r="R332" s="136"/>
      <c r="S332" s="136"/>
      <c r="T332" s="136"/>
      <c r="U332" s="136"/>
      <c r="V332" s="136"/>
      <c r="W332" s="136"/>
      <c r="X332" s="25"/>
      <c r="Y332" s="13"/>
      <c r="AA332" s="115"/>
      <c r="AB332" s="115"/>
      <c r="AC332" s="115"/>
      <c r="AD332" s="115"/>
      <c r="AE332" s="115"/>
      <c r="AF332" s="115"/>
      <c r="AG332" s="115"/>
      <c r="AH332" s="115"/>
      <c r="AI332" s="115"/>
      <c r="AJ332" s="115"/>
      <c r="AK332" s="115"/>
      <c r="AL332" s="115"/>
      <c r="AM332" s="115"/>
      <c r="AN332" s="29"/>
      <c r="AO332" s="29"/>
      <c r="AY332" s="25"/>
      <c r="AZ332" s="13"/>
      <c r="BE332" s="116"/>
      <c r="BF332" s="123"/>
      <c r="BG332" s="123"/>
      <c r="BH332" s="123"/>
      <c r="BM332" s="115"/>
      <c r="BN332" s="115"/>
      <c r="BO332" s="115"/>
      <c r="BP332" s="115"/>
      <c r="BQ332" s="115"/>
      <c r="BR332" s="115"/>
      <c r="BS332" s="115"/>
      <c r="BT332" s="115"/>
      <c r="BU332" s="115"/>
      <c r="BV332" s="115"/>
      <c r="BW332" s="25"/>
      <c r="BX332" s="13"/>
      <c r="CA332" s="114"/>
    </row>
    <row r="333" spans="1:79" ht="20.100000000000001" customHeight="1" x14ac:dyDescent="0.4">
      <c r="A333" s="117"/>
      <c r="B333" s="123"/>
      <c r="C333" s="123"/>
      <c r="D333" s="123"/>
      <c r="F333" s="117"/>
      <c r="G333" s="135"/>
      <c r="H333" s="135"/>
      <c r="I333" s="135"/>
      <c r="J333" s="135"/>
      <c r="K333" s="135"/>
      <c r="L333" s="13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25"/>
      <c r="Y333" s="13"/>
      <c r="AA333" s="115"/>
      <c r="AB333" s="115"/>
      <c r="AC333" s="115"/>
      <c r="AD333" s="115"/>
      <c r="AE333" s="115"/>
      <c r="AF333" s="115"/>
      <c r="AG333" s="115"/>
      <c r="AH333" s="115"/>
      <c r="AI333" s="115"/>
      <c r="AJ333" s="115"/>
      <c r="AK333" s="115"/>
      <c r="AL333" s="115"/>
      <c r="AM333" s="115"/>
      <c r="AN333" s="29"/>
      <c r="AO333" s="29"/>
      <c r="AY333" s="25"/>
      <c r="AZ333" s="13"/>
      <c r="BE333" s="116"/>
      <c r="BF333" s="123"/>
      <c r="BG333" s="123"/>
      <c r="BH333" s="123"/>
      <c r="BM333" s="115"/>
      <c r="BN333" s="115"/>
      <c r="BO333" s="115"/>
      <c r="BP333" s="115"/>
      <c r="BQ333" s="115"/>
      <c r="BR333" s="115"/>
      <c r="BS333" s="115"/>
      <c r="BT333" s="115"/>
      <c r="BU333" s="115"/>
      <c r="BV333" s="115"/>
      <c r="BW333" s="25"/>
      <c r="BX333" s="13"/>
      <c r="CA333" s="114"/>
    </row>
    <row r="334" spans="1:79" ht="20.100000000000001" customHeight="1" x14ac:dyDescent="0.4">
      <c r="A334" s="117"/>
      <c r="B334" s="123"/>
      <c r="C334" s="123"/>
      <c r="D334" s="123"/>
      <c r="F334" s="117"/>
      <c r="G334" s="135"/>
      <c r="H334" s="135"/>
      <c r="I334" s="135"/>
      <c r="J334" s="135"/>
      <c r="K334" s="135"/>
      <c r="L334" s="136"/>
      <c r="M334" s="136"/>
      <c r="N334" s="136"/>
      <c r="O334" s="136"/>
      <c r="P334" s="136"/>
      <c r="Q334" s="136"/>
      <c r="R334" s="136"/>
      <c r="S334" s="136"/>
      <c r="T334" s="136"/>
      <c r="U334" s="136"/>
      <c r="V334" s="136"/>
      <c r="W334" s="136"/>
      <c r="X334" s="25"/>
      <c r="Y334" s="13"/>
      <c r="AA334" s="115"/>
      <c r="AB334" s="115"/>
      <c r="AC334" s="115"/>
      <c r="AD334" s="115"/>
      <c r="AE334" s="115"/>
      <c r="AF334" s="115"/>
      <c r="AG334" s="115"/>
      <c r="AH334" s="115"/>
      <c r="AI334" s="115"/>
      <c r="AJ334" s="115"/>
      <c r="AK334" s="115"/>
      <c r="AL334" s="115"/>
      <c r="AM334" s="115"/>
      <c r="AN334" s="29"/>
      <c r="AO334" s="29"/>
      <c r="AY334" s="25"/>
      <c r="AZ334" s="13"/>
      <c r="BE334" s="116"/>
      <c r="BF334" s="123"/>
      <c r="BG334" s="123"/>
      <c r="BH334" s="123"/>
      <c r="BM334" s="115"/>
      <c r="BN334" s="115"/>
      <c r="BO334" s="115"/>
      <c r="BP334" s="115"/>
      <c r="BQ334" s="115"/>
      <c r="BR334" s="115"/>
      <c r="BS334" s="115"/>
      <c r="BT334" s="115"/>
      <c r="BU334" s="115"/>
      <c r="BV334" s="115"/>
      <c r="BW334" s="25"/>
      <c r="BX334" s="13"/>
      <c r="CA334" s="114"/>
    </row>
    <row r="335" spans="1:79" ht="20.100000000000001" customHeight="1" x14ac:dyDescent="0.4">
      <c r="A335" s="117"/>
      <c r="B335" s="123"/>
      <c r="C335" s="123"/>
      <c r="D335" s="123"/>
      <c r="F335" s="117"/>
      <c r="G335" s="135"/>
      <c r="H335" s="135"/>
      <c r="I335" s="135"/>
      <c r="J335" s="135"/>
      <c r="K335" s="135"/>
      <c r="L335" s="136"/>
      <c r="M335" s="136"/>
      <c r="N335" s="136"/>
      <c r="O335" s="136"/>
      <c r="P335" s="136"/>
      <c r="Q335" s="136"/>
      <c r="R335" s="136"/>
      <c r="S335" s="136"/>
      <c r="T335" s="136"/>
      <c r="U335" s="136"/>
      <c r="V335" s="136"/>
      <c r="W335" s="136"/>
      <c r="X335" s="25"/>
      <c r="Y335" s="13"/>
      <c r="AA335" s="115"/>
      <c r="AB335" s="115"/>
      <c r="AC335" s="115"/>
      <c r="AD335" s="115"/>
      <c r="AE335" s="115"/>
      <c r="AF335" s="115"/>
      <c r="AG335" s="115"/>
      <c r="AH335" s="115"/>
      <c r="AI335" s="115"/>
      <c r="AJ335" s="115"/>
      <c r="AK335" s="115"/>
      <c r="AL335" s="115"/>
      <c r="AM335" s="115"/>
      <c r="AN335" s="127"/>
      <c r="AO335" s="29"/>
      <c r="AY335" s="25"/>
      <c r="AZ335" s="13"/>
      <c r="BE335" s="116"/>
      <c r="BF335" s="123"/>
      <c r="BG335" s="123"/>
      <c r="BH335" s="123"/>
      <c r="BM335" s="115"/>
      <c r="BN335" s="115"/>
      <c r="BO335" s="115"/>
      <c r="BP335" s="115"/>
      <c r="BQ335" s="115"/>
      <c r="BR335" s="115"/>
      <c r="BS335" s="115"/>
      <c r="BT335" s="115"/>
      <c r="BU335" s="115"/>
      <c r="BV335" s="115"/>
      <c r="BW335" s="25"/>
      <c r="BX335" s="13"/>
      <c r="CA335" s="114"/>
    </row>
    <row r="336" spans="1:79" ht="20.100000000000001" customHeight="1" x14ac:dyDescent="0.4">
      <c r="A336" s="117"/>
      <c r="B336" s="123"/>
      <c r="C336" s="123"/>
      <c r="D336" s="123"/>
      <c r="F336" s="117"/>
      <c r="G336" s="135"/>
      <c r="H336" s="136"/>
      <c r="I336" s="136"/>
      <c r="J336" s="136"/>
      <c r="K336" s="136"/>
      <c r="L336" s="136"/>
      <c r="M336" s="136"/>
      <c r="N336" s="136"/>
      <c r="O336" s="136"/>
      <c r="P336" s="136"/>
      <c r="Q336" s="136"/>
      <c r="R336" s="136"/>
      <c r="S336" s="136"/>
      <c r="T336" s="136"/>
      <c r="U336" s="136"/>
      <c r="V336" s="136"/>
      <c r="W336" s="136"/>
      <c r="X336" s="25"/>
      <c r="Y336" s="13"/>
      <c r="AA336" s="115"/>
      <c r="AB336" s="115"/>
      <c r="AC336" s="115"/>
      <c r="AD336" s="115"/>
      <c r="AE336" s="115"/>
      <c r="AF336" s="115"/>
      <c r="AG336" s="115"/>
      <c r="AH336" s="115"/>
      <c r="AI336" s="115"/>
      <c r="AJ336" s="115"/>
      <c r="AK336" s="115"/>
      <c r="AL336" s="115"/>
      <c r="AM336" s="115"/>
      <c r="AN336" s="127"/>
      <c r="AO336" s="29"/>
      <c r="AY336" s="25"/>
      <c r="AZ336" s="13"/>
      <c r="BE336" s="116"/>
      <c r="BF336" s="123"/>
      <c r="BG336" s="123"/>
      <c r="BH336" s="123"/>
      <c r="BM336" s="115"/>
      <c r="BN336" s="115"/>
      <c r="BO336" s="115"/>
      <c r="BP336" s="115"/>
      <c r="BQ336" s="115"/>
      <c r="BR336" s="115"/>
      <c r="BS336" s="115"/>
      <c r="BT336" s="115"/>
      <c r="BU336" s="115"/>
      <c r="BV336" s="115"/>
      <c r="BW336" s="25"/>
      <c r="BX336" s="13"/>
      <c r="CA336" s="114"/>
    </row>
    <row r="337" spans="1:79" ht="20.100000000000001" customHeight="1" x14ac:dyDescent="0.4">
      <c r="A337" s="117"/>
      <c r="B337" s="123"/>
      <c r="C337" s="123"/>
      <c r="D337" s="123"/>
      <c r="F337" s="117"/>
      <c r="G337" s="135"/>
      <c r="H337" s="136"/>
      <c r="I337" s="136"/>
      <c r="J337" s="136"/>
      <c r="K337" s="136"/>
      <c r="L337" s="136"/>
      <c r="M337" s="136"/>
      <c r="N337" s="136"/>
      <c r="O337" s="136"/>
      <c r="P337" s="136"/>
      <c r="Q337" s="136"/>
      <c r="R337" s="136"/>
      <c r="S337" s="136"/>
      <c r="T337" s="136"/>
      <c r="U337" s="136"/>
      <c r="V337" s="136"/>
      <c r="W337" s="136"/>
      <c r="X337" s="25"/>
      <c r="Y337" s="13"/>
      <c r="AA337" s="115"/>
      <c r="AB337" s="115"/>
      <c r="AC337" s="115"/>
      <c r="AD337" s="115"/>
      <c r="AE337" s="115"/>
      <c r="AF337" s="115"/>
      <c r="AG337" s="115"/>
      <c r="AH337" s="115"/>
      <c r="AI337" s="115"/>
      <c r="AJ337" s="115"/>
      <c r="AK337" s="115"/>
      <c r="AL337" s="115"/>
      <c r="AM337" s="115"/>
      <c r="AN337" s="127"/>
      <c r="AO337" s="29"/>
      <c r="AY337" s="25"/>
      <c r="AZ337" s="13"/>
      <c r="BE337" s="116"/>
      <c r="BF337" s="123"/>
      <c r="BG337" s="123"/>
      <c r="BH337" s="123"/>
      <c r="BM337" s="115"/>
      <c r="BN337" s="115"/>
      <c r="BO337" s="115"/>
      <c r="BP337" s="115"/>
      <c r="BQ337" s="115"/>
      <c r="BR337" s="115"/>
      <c r="BS337" s="115"/>
      <c r="BT337" s="115"/>
      <c r="BU337" s="115"/>
      <c r="BV337" s="115"/>
      <c r="BW337" s="25"/>
      <c r="BX337" s="13"/>
      <c r="CA337" s="114"/>
    </row>
    <row r="338" spans="1:79" ht="20.100000000000001" customHeight="1" x14ac:dyDescent="0.4">
      <c r="A338" s="117"/>
      <c r="B338" s="123"/>
      <c r="C338" s="123"/>
      <c r="D338" s="123"/>
      <c r="F338" s="117"/>
      <c r="G338" s="135"/>
      <c r="H338" s="136"/>
      <c r="I338" s="136"/>
      <c r="J338" s="136"/>
      <c r="K338" s="136"/>
      <c r="L338" s="136"/>
      <c r="M338" s="136"/>
      <c r="N338" s="136"/>
      <c r="O338" s="136"/>
      <c r="P338" s="136"/>
      <c r="Q338" s="136"/>
      <c r="R338" s="136"/>
      <c r="S338" s="136"/>
      <c r="T338" s="136"/>
      <c r="U338" s="136"/>
      <c r="V338" s="136"/>
      <c r="W338" s="136"/>
      <c r="X338" s="13"/>
      <c r="Y338" s="13"/>
      <c r="AA338" s="115"/>
      <c r="AB338" s="115"/>
      <c r="AC338" s="115"/>
      <c r="AD338" s="115"/>
      <c r="AE338" s="115"/>
      <c r="AF338" s="115"/>
      <c r="AG338" s="115"/>
      <c r="AH338" s="115"/>
      <c r="AI338" s="115"/>
      <c r="AJ338" s="115"/>
      <c r="AK338" s="115"/>
      <c r="AL338" s="115"/>
      <c r="AM338" s="115"/>
      <c r="AN338" s="127"/>
      <c r="AO338" s="29"/>
      <c r="AY338" s="25"/>
      <c r="AZ338" s="13"/>
      <c r="BE338" s="116"/>
      <c r="BF338" s="123"/>
      <c r="BG338" s="123"/>
      <c r="BH338" s="123"/>
      <c r="BM338" s="115"/>
      <c r="BN338" s="115"/>
      <c r="BO338" s="115"/>
      <c r="BP338" s="115"/>
      <c r="BQ338" s="115"/>
      <c r="BR338" s="115"/>
      <c r="BS338" s="115"/>
      <c r="BT338" s="115"/>
      <c r="BU338" s="115"/>
      <c r="BV338" s="115"/>
      <c r="BW338" s="25"/>
      <c r="BX338" s="13"/>
      <c r="CA338" s="114"/>
    </row>
    <row r="339" spans="1:79" ht="20.100000000000001" customHeight="1" x14ac:dyDescent="0.4">
      <c r="A339" s="117"/>
      <c r="B339" s="123"/>
      <c r="C339" s="123"/>
      <c r="D339" s="123"/>
      <c r="F339" s="117"/>
      <c r="G339" s="135"/>
      <c r="H339" s="136"/>
      <c r="I339" s="136"/>
      <c r="J339" s="136"/>
      <c r="K339" s="136"/>
      <c r="L339" s="136"/>
      <c r="M339" s="136"/>
      <c r="N339" s="136"/>
      <c r="O339" s="136"/>
      <c r="P339" s="136"/>
      <c r="Q339" s="136"/>
      <c r="R339" s="136"/>
      <c r="S339" s="136"/>
      <c r="T339" s="136"/>
      <c r="U339" s="136"/>
      <c r="V339" s="136"/>
      <c r="W339" s="136"/>
      <c r="X339" s="25"/>
      <c r="Y339" s="13"/>
      <c r="AA339" s="115"/>
      <c r="AB339" s="115"/>
      <c r="AC339" s="115"/>
      <c r="AD339" s="115"/>
      <c r="AE339" s="115"/>
      <c r="AF339" s="115"/>
      <c r="AG339" s="115"/>
      <c r="AH339" s="115"/>
      <c r="AI339" s="115"/>
      <c r="AJ339" s="115"/>
      <c r="AK339" s="115"/>
      <c r="AL339" s="115"/>
      <c r="AM339" s="115"/>
      <c r="AN339" s="127"/>
      <c r="AO339" s="29"/>
      <c r="AY339" s="25"/>
      <c r="AZ339" s="13"/>
      <c r="BE339" s="116"/>
      <c r="BF339" s="123"/>
      <c r="BG339" s="123"/>
      <c r="BH339" s="123"/>
      <c r="BM339" s="115"/>
      <c r="BN339" s="115"/>
      <c r="BO339" s="115"/>
      <c r="BP339" s="115"/>
      <c r="BQ339" s="115"/>
      <c r="BR339" s="115"/>
      <c r="BS339" s="115"/>
      <c r="BT339" s="115"/>
      <c r="BU339" s="115"/>
      <c r="BV339" s="115"/>
      <c r="BW339" s="25"/>
      <c r="BX339" s="13"/>
      <c r="CA339" s="114"/>
    </row>
    <row r="340" spans="1:79" ht="20.100000000000001" customHeight="1" x14ac:dyDescent="0.4">
      <c r="A340" s="117"/>
      <c r="B340" s="123"/>
      <c r="C340" s="123"/>
      <c r="D340" s="123"/>
      <c r="F340" s="117"/>
      <c r="G340" s="135"/>
      <c r="H340" s="136"/>
      <c r="I340" s="136"/>
      <c r="J340" s="136"/>
      <c r="K340" s="136"/>
      <c r="L340" s="136"/>
      <c r="M340" s="136"/>
      <c r="N340" s="136"/>
      <c r="O340" s="136"/>
      <c r="P340" s="136"/>
      <c r="Q340" s="136"/>
      <c r="R340" s="136"/>
      <c r="S340" s="136"/>
      <c r="T340" s="136"/>
      <c r="U340" s="136"/>
      <c r="V340" s="136"/>
      <c r="W340" s="136"/>
      <c r="X340" s="25"/>
      <c r="Y340" s="13"/>
      <c r="AA340" s="115"/>
      <c r="AB340" s="115"/>
      <c r="AC340" s="115"/>
      <c r="AD340" s="115"/>
      <c r="AE340" s="115"/>
      <c r="AF340" s="115"/>
      <c r="AG340" s="115"/>
      <c r="AH340" s="115"/>
      <c r="AI340" s="115"/>
      <c r="AJ340" s="115"/>
      <c r="AK340" s="115"/>
      <c r="AL340" s="115"/>
      <c r="AM340" s="115"/>
      <c r="AN340" s="127"/>
      <c r="AO340" s="29"/>
      <c r="AY340" s="25"/>
      <c r="AZ340" s="13"/>
      <c r="BE340" s="116"/>
      <c r="BF340" s="123"/>
      <c r="BG340" s="123"/>
      <c r="BH340" s="123"/>
      <c r="BM340" s="115"/>
      <c r="BN340" s="115"/>
      <c r="BO340" s="115"/>
      <c r="BP340" s="115"/>
      <c r="BQ340" s="115"/>
      <c r="BR340" s="115"/>
      <c r="BS340" s="115"/>
      <c r="BT340" s="115"/>
      <c r="BU340" s="115"/>
      <c r="BV340" s="115"/>
      <c r="BW340" s="25"/>
      <c r="BX340" s="13"/>
      <c r="CA340" s="114"/>
    </row>
    <row r="341" spans="1:79" ht="20.100000000000001" customHeight="1" x14ac:dyDescent="0.4">
      <c r="A341" s="117"/>
      <c r="B341" s="123"/>
      <c r="C341" s="123"/>
      <c r="D341" s="123"/>
      <c r="F341" s="117"/>
      <c r="G341" s="135"/>
      <c r="H341" s="136"/>
      <c r="I341" s="136"/>
      <c r="J341" s="136"/>
      <c r="K341" s="136"/>
      <c r="L341" s="136"/>
      <c r="M341" s="136"/>
      <c r="N341" s="136"/>
      <c r="O341" s="136"/>
      <c r="P341" s="136"/>
      <c r="Q341" s="136"/>
      <c r="R341" s="136"/>
      <c r="S341" s="136"/>
      <c r="T341" s="136"/>
      <c r="U341" s="136"/>
      <c r="V341" s="136"/>
      <c r="W341" s="136"/>
      <c r="X341" s="25"/>
      <c r="Y341" s="13"/>
      <c r="AA341" s="115"/>
      <c r="AB341" s="115"/>
      <c r="AC341" s="115"/>
      <c r="AD341" s="115"/>
      <c r="AE341" s="115"/>
      <c r="AF341" s="115"/>
      <c r="AG341" s="115"/>
      <c r="AH341" s="115"/>
      <c r="AI341" s="115"/>
      <c r="AJ341" s="115"/>
      <c r="AK341" s="115"/>
      <c r="AL341" s="115"/>
      <c r="AM341" s="115"/>
      <c r="AN341" s="127"/>
      <c r="AO341" s="29"/>
      <c r="AY341" s="25"/>
      <c r="AZ341" s="13"/>
      <c r="BE341" s="116"/>
      <c r="BF341" s="123"/>
      <c r="BG341" s="123"/>
      <c r="BH341" s="123"/>
      <c r="BM341" s="115"/>
      <c r="BN341" s="115"/>
      <c r="BO341" s="115"/>
      <c r="BP341" s="115"/>
      <c r="BQ341" s="115"/>
      <c r="BR341" s="115"/>
      <c r="BS341" s="115"/>
      <c r="BT341" s="115"/>
      <c r="BU341" s="115"/>
      <c r="BV341" s="115"/>
      <c r="BW341" s="25"/>
      <c r="BX341" s="13"/>
      <c r="CA341" s="114"/>
    </row>
    <row r="342" spans="1:79" ht="20.100000000000001" customHeight="1" x14ac:dyDescent="0.4">
      <c r="A342" s="117"/>
      <c r="B342" s="123"/>
      <c r="C342" s="123"/>
      <c r="D342" s="123"/>
      <c r="F342" s="117"/>
      <c r="G342" s="135"/>
      <c r="H342" s="136"/>
      <c r="I342" s="136"/>
      <c r="J342" s="136"/>
      <c r="K342" s="136"/>
      <c r="L342" s="136"/>
      <c r="M342" s="136"/>
      <c r="N342" s="136"/>
      <c r="O342" s="136"/>
      <c r="P342" s="136"/>
      <c r="Q342" s="136"/>
      <c r="R342" s="136"/>
      <c r="S342" s="136"/>
      <c r="T342" s="136"/>
      <c r="U342" s="136"/>
      <c r="V342" s="136"/>
      <c r="W342" s="136"/>
      <c r="X342" s="25"/>
      <c r="Y342" s="13"/>
      <c r="AA342" s="115"/>
      <c r="AB342" s="115"/>
      <c r="AC342" s="115"/>
      <c r="AD342" s="115"/>
      <c r="AE342" s="115"/>
      <c r="AF342" s="115"/>
      <c r="AG342" s="115"/>
      <c r="AH342" s="115"/>
      <c r="AI342" s="115"/>
      <c r="AJ342" s="115"/>
      <c r="AK342" s="115"/>
      <c r="AL342" s="115"/>
      <c r="AM342" s="115"/>
      <c r="AN342" s="127"/>
      <c r="AO342" s="29"/>
      <c r="AY342" s="25"/>
      <c r="AZ342" s="13"/>
      <c r="BE342" s="116"/>
      <c r="BF342" s="123"/>
      <c r="BG342" s="123"/>
      <c r="BH342" s="123"/>
      <c r="BM342" s="115"/>
      <c r="BN342" s="115"/>
      <c r="BO342" s="115"/>
      <c r="BP342" s="115"/>
      <c r="BQ342" s="115"/>
      <c r="BR342" s="115"/>
      <c r="BS342" s="115"/>
      <c r="BT342" s="115"/>
      <c r="BU342" s="115"/>
      <c r="BV342" s="115"/>
      <c r="BW342" s="25"/>
      <c r="BX342" s="13"/>
      <c r="CA342" s="114"/>
    </row>
    <row r="343" spans="1:79" ht="20.100000000000001" customHeight="1" x14ac:dyDescent="0.4">
      <c r="A343" s="117"/>
      <c r="B343" s="123"/>
      <c r="C343" s="123"/>
      <c r="D343" s="123"/>
      <c r="F343" s="117"/>
      <c r="G343" s="135"/>
      <c r="H343" s="136"/>
      <c r="I343" s="136"/>
      <c r="J343" s="136"/>
      <c r="K343" s="136"/>
      <c r="L343" s="136"/>
      <c r="M343" s="136"/>
      <c r="N343" s="136"/>
      <c r="O343" s="136"/>
      <c r="P343" s="136"/>
      <c r="Q343" s="136"/>
      <c r="R343" s="136"/>
      <c r="S343" s="136"/>
      <c r="T343" s="136"/>
      <c r="U343" s="136"/>
      <c r="V343" s="136"/>
      <c r="W343" s="136"/>
      <c r="X343" s="13"/>
      <c r="Y343" s="13"/>
      <c r="AA343" s="115"/>
      <c r="AB343" s="115"/>
      <c r="AC343" s="115"/>
      <c r="AD343" s="115"/>
      <c r="AE343" s="115"/>
      <c r="AF343" s="115"/>
      <c r="AG343" s="115"/>
      <c r="AH343" s="115"/>
      <c r="AI343" s="115"/>
      <c r="AJ343" s="115"/>
      <c r="AK343" s="115"/>
      <c r="AL343" s="115"/>
      <c r="AM343" s="115"/>
      <c r="AN343" s="127"/>
      <c r="AO343" s="29"/>
      <c r="AY343" s="25"/>
      <c r="AZ343" s="13"/>
      <c r="BE343" s="116"/>
      <c r="BF343" s="123"/>
      <c r="BG343" s="123"/>
      <c r="BH343" s="123"/>
      <c r="BM343" s="115"/>
      <c r="BN343" s="115"/>
      <c r="BO343" s="115"/>
      <c r="BP343" s="115"/>
      <c r="BQ343" s="115"/>
      <c r="BR343" s="115"/>
      <c r="BS343" s="115"/>
      <c r="BT343" s="115"/>
      <c r="BU343" s="115"/>
      <c r="BV343" s="115"/>
      <c r="BW343" s="25"/>
      <c r="BX343" s="13"/>
      <c r="CA343" s="114"/>
    </row>
    <row r="344" spans="1:79" ht="20.100000000000001" customHeight="1" x14ac:dyDescent="0.4">
      <c r="A344" s="117"/>
      <c r="B344" s="123"/>
      <c r="C344" s="123"/>
      <c r="D344" s="123"/>
      <c r="F344" s="117"/>
      <c r="G344" s="135"/>
      <c r="H344" s="136"/>
      <c r="I344" s="136"/>
      <c r="J344" s="136"/>
      <c r="K344" s="136"/>
      <c r="L344" s="136"/>
      <c r="M344" s="136"/>
      <c r="N344" s="136"/>
      <c r="O344" s="136"/>
      <c r="P344" s="136"/>
      <c r="Q344" s="136"/>
      <c r="R344" s="136"/>
      <c r="S344" s="136"/>
      <c r="T344" s="136"/>
      <c r="U344" s="136"/>
      <c r="V344" s="136"/>
      <c r="W344" s="136"/>
      <c r="X344" s="25"/>
      <c r="Y344" s="13"/>
      <c r="AA344" s="115"/>
      <c r="AB344" s="115"/>
      <c r="AC344" s="115"/>
      <c r="AD344" s="115"/>
      <c r="AE344" s="115"/>
      <c r="AF344" s="115"/>
      <c r="AG344" s="115"/>
      <c r="AH344" s="115"/>
      <c r="AI344" s="115"/>
      <c r="AJ344" s="115"/>
      <c r="AK344" s="115"/>
      <c r="AL344" s="115"/>
      <c r="AM344" s="115"/>
      <c r="AN344" s="127"/>
      <c r="AO344" s="29"/>
      <c r="AY344" s="25"/>
      <c r="AZ344" s="13"/>
      <c r="BE344" s="116"/>
      <c r="BF344" s="123"/>
      <c r="BG344" s="123"/>
      <c r="BH344" s="123"/>
      <c r="BM344" s="115"/>
      <c r="BN344" s="115"/>
      <c r="BO344" s="115"/>
      <c r="BP344" s="115"/>
      <c r="BQ344" s="115"/>
      <c r="BR344" s="115"/>
      <c r="BS344" s="115"/>
      <c r="BT344" s="115"/>
      <c r="BU344" s="115"/>
      <c r="BV344" s="115"/>
      <c r="BW344" s="25"/>
      <c r="BX344" s="13"/>
      <c r="CA344" s="114"/>
    </row>
    <row r="345" spans="1:79" ht="20.100000000000001" customHeight="1" x14ac:dyDescent="0.4">
      <c r="A345" s="117"/>
      <c r="B345" s="123"/>
      <c r="C345" s="123"/>
      <c r="D345" s="123"/>
      <c r="F345" s="117"/>
      <c r="G345" s="135"/>
      <c r="H345" s="136"/>
      <c r="I345" s="136"/>
      <c r="J345" s="136"/>
      <c r="K345" s="136"/>
      <c r="L345" s="136"/>
      <c r="M345" s="136"/>
      <c r="N345" s="136"/>
      <c r="O345" s="136"/>
      <c r="P345" s="136"/>
      <c r="Q345" s="136"/>
      <c r="R345" s="136"/>
      <c r="S345" s="136"/>
      <c r="T345" s="136"/>
      <c r="U345" s="136"/>
      <c r="V345" s="136"/>
      <c r="W345" s="136"/>
      <c r="X345" s="25"/>
      <c r="Y345" s="13"/>
      <c r="AA345" s="115"/>
      <c r="AB345" s="115"/>
      <c r="AC345" s="115"/>
      <c r="AD345" s="115"/>
      <c r="AE345" s="115"/>
      <c r="AF345" s="115"/>
      <c r="AG345" s="115"/>
      <c r="AH345" s="115"/>
      <c r="AI345" s="115"/>
      <c r="AJ345" s="115"/>
      <c r="AK345" s="115"/>
      <c r="AL345" s="115"/>
      <c r="AM345" s="115"/>
      <c r="AN345" s="127"/>
      <c r="AO345" s="29"/>
      <c r="AY345" s="25"/>
      <c r="AZ345" s="13"/>
      <c r="BE345" s="116"/>
      <c r="BF345" s="123"/>
      <c r="BG345" s="123"/>
      <c r="BH345" s="123"/>
      <c r="BM345" s="115"/>
      <c r="BN345" s="115"/>
      <c r="BO345" s="115"/>
      <c r="BP345" s="115"/>
      <c r="BQ345" s="115"/>
      <c r="BR345" s="115"/>
      <c r="BS345" s="115"/>
      <c r="BT345" s="115"/>
      <c r="BU345" s="115"/>
      <c r="BV345" s="115"/>
      <c r="BW345" s="25"/>
      <c r="BX345" s="13"/>
      <c r="CA345" s="114"/>
    </row>
    <row r="346" spans="1:79" ht="20.100000000000001" customHeight="1" x14ac:dyDescent="0.4">
      <c r="A346" s="117"/>
      <c r="B346" s="123"/>
      <c r="C346" s="123"/>
      <c r="D346" s="123"/>
      <c r="F346" s="117"/>
      <c r="G346" s="135"/>
      <c r="H346" s="136"/>
      <c r="I346" s="136"/>
      <c r="J346" s="136"/>
      <c r="K346" s="136"/>
      <c r="L346" s="136"/>
      <c r="M346" s="136"/>
      <c r="N346" s="136"/>
      <c r="O346" s="136"/>
      <c r="P346" s="136"/>
      <c r="Q346" s="136"/>
      <c r="R346" s="136"/>
      <c r="S346" s="136"/>
      <c r="T346" s="136"/>
      <c r="U346" s="136"/>
      <c r="V346" s="136"/>
      <c r="W346" s="136"/>
      <c r="X346" s="13"/>
      <c r="Y346" s="13"/>
      <c r="AA346" s="115"/>
      <c r="AB346" s="115"/>
      <c r="AC346" s="115"/>
      <c r="AD346" s="115"/>
      <c r="AE346" s="115"/>
      <c r="AF346" s="115"/>
      <c r="AG346" s="115"/>
      <c r="AH346" s="115"/>
      <c r="AI346" s="115"/>
      <c r="AJ346" s="115"/>
      <c r="AK346" s="115"/>
      <c r="AL346" s="115"/>
      <c r="AM346" s="115"/>
      <c r="AN346" s="127"/>
      <c r="AO346" s="29"/>
      <c r="AY346" s="25"/>
      <c r="AZ346" s="13"/>
      <c r="BE346" s="116"/>
      <c r="BF346" s="123"/>
      <c r="BG346" s="123"/>
      <c r="BH346" s="123"/>
      <c r="BM346" s="115"/>
      <c r="BN346" s="115"/>
      <c r="BO346" s="115"/>
      <c r="BP346" s="115"/>
      <c r="BQ346" s="115"/>
      <c r="BR346" s="115"/>
      <c r="BS346" s="115"/>
      <c r="BT346" s="115"/>
      <c r="BU346" s="115"/>
      <c r="BV346" s="115"/>
      <c r="BW346" s="25"/>
      <c r="BX346" s="13"/>
      <c r="CA346" s="114"/>
    </row>
    <row r="347" spans="1:79" ht="20.100000000000001" customHeight="1" x14ac:dyDescent="0.4">
      <c r="A347" s="117"/>
      <c r="B347" s="123"/>
      <c r="C347" s="123"/>
      <c r="D347" s="123"/>
      <c r="F347" s="117"/>
      <c r="G347" s="135"/>
      <c r="H347" s="136"/>
      <c r="I347" s="136"/>
      <c r="J347" s="136"/>
      <c r="K347" s="136"/>
      <c r="L347" s="136"/>
      <c r="M347" s="136"/>
      <c r="N347" s="136"/>
      <c r="O347" s="136"/>
      <c r="P347" s="136"/>
      <c r="Q347" s="136"/>
      <c r="R347" s="136"/>
      <c r="S347" s="136"/>
      <c r="T347" s="136"/>
      <c r="U347" s="136"/>
      <c r="V347" s="136"/>
      <c r="W347" s="136"/>
      <c r="X347" s="25"/>
      <c r="Y347" s="13"/>
      <c r="AA347" s="115"/>
      <c r="AB347" s="115"/>
      <c r="AC347" s="115"/>
      <c r="AD347" s="115"/>
      <c r="AE347" s="115"/>
      <c r="AF347" s="115"/>
      <c r="AG347" s="115"/>
      <c r="AH347" s="115"/>
      <c r="AI347" s="115"/>
      <c r="AJ347" s="115"/>
      <c r="AK347" s="115"/>
      <c r="AL347" s="115"/>
      <c r="AM347" s="115"/>
      <c r="AN347" s="127"/>
      <c r="AO347" s="29"/>
      <c r="AY347" s="25"/>
      <c r="AZ347" s="13"/>
      <c r="BE347" s="116"/>
      <c r="BF347" s="123"/>
      <c r="BG347" s="123"/>
      <c r="BH347" s="123"/>
      <c r="BM347" s="115"/>
      <c r="BN347" s="115"/>
      <c r="BO347" s="115"/>
      <c r="BP347" s="115"/>
      <c r="BQ347" s="115"/>
      <c r="BR347" s="115"/>
      <c r="BS347" s="115"/>
      <c r="BT347" s="115"/>
      <c r="BU347" s="115"/>
      <c r="BV347" s="115"/>
      <c r="BW347" s="25"/>
      <c r="BX347" s="13"/>
      <c r="CA347" s="114"/>
    </row>
    <row r="348" spans="1:79" ht="20.100000000000001" customHeight="1" x14ac:dyDescent="0.4">
      <c r="A348" s="117"/>
      <c r="B348" s="123"/>
      <c r="C348" s="123"/>
      <c r="D348" s="123"/>
      <c r="F348" s="117"/>
      <c r="G348" s="135"/>
      <c r="H348" s="136"/>
      <c r="I348" s="136"/>
      <c r="J348" s="136"/>
      <c r="K348" s="136"/>
      <c r="L348" s="136"/>
      <c r="M348" s="136"/>
      <c r="N348" s="136"/>
      <c r="O348" s="136"/>
      <c r="P348" s="136"/>
      <c r="Q348" s="136"/>
      <c r="R348" s="136"/>
      <c r="S348" s="136"/>
      <c r="T348" s="136"/>
      <c r="U348" s="136"/>
      <c r="V348" s="136"/>
      <c r="W348" s="136"/>
      <c r="X348" s="13"/>
      <c r="Y348" s="13"/>
      <c r="AA348" s="115"/>
      <c r="AB348" s="115"/>
      <c r="AC348" s="115"/>
      <c r="AD348" s="115"/>
      <c r="AE348" s="115"/>
      <c r="AF348" s="115"/>
      <c r="AG348" s="115"/>
      <c r="AH348" s="115"/>
      <c r="AI348" s="115"/>
      <c r="AJ348" s="115"/>
      <c r="AK348" s="115"/>
      <c r="AL348" s="115"/>
      <c r="AM348" s="115"/>
      <c r="AN348" s="127"/>
      <c r="AO348" s="29"/>
      <c r="AY348" s="25"/>
      <c r="AZ348" s="13"/>
      <c r="BE348" s="116"/>
      <c r="BF348" s="123"/>
      <c r="BG348" s="123"/>
      <c r="BH348" s="123"/>
      <c r="BM348" s="115"/>
      <c r="BN348" s="115"/>
      <c r="BO348" s="115"/>
      <c r="BP348" s="115"/>
      <c r="BQ348" s="115"/>
      <c r="BR348" s="115"/>
      <c r="BS348" s="115"/>
      <c r="BT348" s="115"/>
      <c r="BU348" s="115"/>
      <c r="BV348" s="115"/>
      <c r="BW348" s="25"/>
      <c r="BX348" s="13"/>
      <c r="CA348" s="114"/>
    </row>
    <row r="349" spans="1:79" ht="20.100000000000001" customHeight="1" x14ac:dyDescent="0.4">
      <c r="A349" s="117"/>
      <c r="B349" s="123"/>
      <c r="C349" s="123"/>
      <c r="D349" s="123"/>
      <c r="F349" s="117"/>
      <c r="G349" s="135"/>
      <c r="H349" s="136"/>
      <c r="I349" s="136"/>
      <c r="J349" s="136"/>
      <c r="K349" s="136"/>
      <c r="L349" s="136"/>
      <c r="M349" s="136"/>
      <c r="N349" s="136"/>
      <c r="O349" s="136"/>
      <c r="P349" s="136"/>
      <c r="Q349" s="136"/>
      <c r="R349" s="136"/>
      <c r="S349" s="136"/>
      <c r="T349" s="136"/>
      <c r="U349" s="136"/>
      <c r="V349" s="136"/>
      <c r="W349" s="136"/>
      <c r="X349" s="25"/>
      <c r="Y349" s="13"/>
      <c r="AA349" s="115"/>
      <c r="AB349" s="115"/>
      <c r="AC349" s="115"/>
      <c r="AD349" s="115"/>
      <c r="AE349" s="115"/>
      <c r="AF349" s="115"/>
      <c r="AG349" s="115"/>
      <c r="AH349" s="115"/>
      <c r="AI349" s="115"/>
      <c r="AJ349" s="115"/>
      <c r="AK349" s="115"/>
      <c r="AL349" s="115"/>
      <c r="AM349" s="115"/>
      <c r="AN349" s="127"/>
      <c r="AO349" s="29"/>
      <c r="AY349" s="25"/>
      <c r="AZ349" s="13"/>
      <c r="BE349" s="116"/>
      <c r="BF349" s="123"/>
      <c r="BG349" s="123"/>
      <c r="BH349" s="123"/>
      <c r="BM349" s="115"/>
      <c r="BN349" s="115"/>
      <c r="BO349" s="115"/>
      <c r="BP349" s="115"/>
      <c r="BQ349" s="115"/>
      <c r="BR349" s="115"/>
      <c r="BS349" s="115"/>
      <c r="BT349" s="115"/>
      <c r="BU349" s="115"/>
      <c r="BV349" s="115"/>
      <c r="BW349" s="25"/>
      <c r="BX349" s="13"/>
      <c r="CA349" s="114"/>
    </row>
    <row r="350" spans="1:79" ht="20.100000000000001" customHeight="1" x14ac:dyDescent="0.4">
      <c r="A350" s="117"/>
      <c r="B350" s="123"/>
      <c r="C350" s="123"/>
      <c r="D350" s="123"/>
      <c r="F350" s="117"/>
      <c r="G350" s="135"/>
      <c r="H350" s="136"/>
      <c r="I350" s="136"/>
      <c r="J350" s="136"/>
      <c r="K350" s="136"/>
      <c r="L350" s="136"/>
      <c r="M350" s="136"/>
      <c r="N350" s="136"/>
      <c r="O350" s="136"/>
      <c r="P350" s="136"/>
      <c r="Q350" s="136"/>
      <c r="R350" s="136"/>
      <c r="S350" s="136"/>
      <c r="T350" s="136"/>
      <c r="U350" s="136"/>
      <c r="V350" s="136"/>
      <c r="W350" s="136"/>
      <c r="X350" s="13"/>
      <c r="Y350" s="13"/>
      <c r="AA350" s="115"/>
      <c r="AB350" s="115"/>
      <c r="AC350" s="115"/>
      <c r="AD350" s="115"/>
      <c r="AE350" s="115"/>
      <c r="AF350" s="115"/>
      <c r="AG350" s="115"/>
      <c r="AH350" s="115"/>
      <c r="AI350" s="115"/>
      <c r="AJ350" s="115"/>
      <c r="AK350" s="115"/>
      <c r="AL350" s="115"/>
      <c r="AM350" s="115"/>
      <c r="AN350" s="127"/>
      <c r="AO350" s="29"/>
      <c r="AY350" s="25"/>
      <c r="AZ350" s="13"/>
      <c r="BE350" s="116"/>
      <c r="BF350" s="123"/>
      <c r="BG350" s="123"/>
      <c r="BH350" s="123"/>
      <c r="BM350" s="115"/>
      <c r="BN350" s="115"/>
      <c r="BO350" s="115"/>
      <c r="BP350" s="115"/>
      <c r="BQ350" s="115"/>
      <c r="BR350" s="115"/>
      <c r="BS350" s="115"/>
      <c r="BT350" s="115"/>
      <c r="BU350" s="115"/>
      <c r="BV350" s="115"/>
      <c r="BW350" s="25"/>
      <c r="BX350" s="13"/>
      <c r="CA350" s="114"/>
    </row>
    <row r="351" spans="1:79" ht="20.100000000000001" customHeight="1" x14ac:dyDescent="0.4">
      <c r="A351" s="117"/>
      <c r="B351" s="123"/>
      <c r="C351" s="123"/>
      <c r="D351" s="123"/>
      <c r="F351" s="117"/>
      <c r="G351" s="135"/>
      <c r="H351" s="136"/>
      <c r="I351" s="136"/>
      <c r="J351" s="136"/>
      <c r="K351" s="136"/>
      <c r="L351" s="136"/>
      <c r="M351" s="136"/>
      <c r="N351" s="136"/>
      <c r="O351" s="136"/>
      <c r="P351" s="136"/>
      <c r="Q351" s="136"/>
      <c r="R351" s="136"/>
      <c r="S351" s="136"/>
      <c r="T351" s="136"/>
      <c r="U351" s="136"/>
      <c r="V351" s="136"/>
      <c r="W351" s="136"/>
      <c r="X351" s="25"/>
      <c r="Y351" s="13"/>
      <c r="AA351" s="115"/>
      <c r="AB351" s="115"/>
      <c r="AC351" s="115"/>
      <c r="AD351" s="115"/>
      <c r="AE351" s="115"/>
      <c r="AF351" s="115"/>
      <c r="AG351" s="115"/>
      <c r="AH351" s="115"/>
      <c r="AI351" s="115"/>
      <c r="AJ351" s="115"/>
      <c r="AK351" s="115"/>
      <c r="AL351" s="115"/>
      <c r="AM351" s="115"/>
      <c r="AN351" s="127"/>
      <c r="AO351" s="29"/>
      <c r="AY351" s="25"/>
      <c r="AZ351" s="13"/>
      <c r="BE351" s="116"/>
      <c r="BF351" s="123"/>
      <c r="BG351" s="123"/>
      <c r="BH351" s="123"/>
      <c r="BM351" s="115"/>
      <c r="BN351" s="115"/>
      <c r="BO351" s="115"/>
      <c r="BP351" s="115"/>
      <c r="BQ351" s="115"/>
      <c r="BR351" s="115"/>
      <c r="BS351" s="115"/>
      <c r="BT351" s="115"/>
      <c r="BU351" s="115"/>
      <c r="BV351" s="115"/>
      <c r="BW351" s="25"/>
      <c r="BX351" s="13"/>
      <c r="CA351" s="114"/>
    </row>
    <row r="352" spans="1:79" ht="20.100000000000001" customHeight="1" x14ac:dyDescent="0.4">
      <c r="A352" s="117"/>
      <c r="B352" s="123"/>
      <c r="C352" s="123"/>
      <c r="D352" s="123"/>
      <c r="F352" s="117"/>
      <c r="G352" s="135"/>
      <c r="H352" s="136"/>
      <c r="I352" s="136"/>
      <c r="J352" s="136"/>
      <c r="K352" s="136"/>
      <c r="L352" s="136"/>
      <c r="M352" s="136"/>
      <c r="N352" s="136"/>
      <c r="O352" s="136"/>
      <c r="P352" s="136"/>
      <c r="Q352" s="136"/>
      <c r="R352" s="136"/>
      <c r="S352" s="136"/>
      <c r="T352" s="136"/>
      <c r="U352" s="136"/>
      <c r="V352" s="136"/>
      <c r="W352" s="136"/>
      <c r="X352" s="25"/>
      <c r="Y352" s="13"/>
      <c r="AA352" s="115"/>
      <c r="AB352" s="115"/>
      <c r="AC352" s="115"/>
      <c r="AD352" s="115"/>
      <c r="AE352" s="115"/>
      <c r="AF352" s="115"/>
      <c r="AG352" s="115"/>
      <c r="AH352" s="115"/>
      <c r="AI352" s="115"/>
      <c r="AJ352" s="115"/>
      <c r="AK352" s="115"/>
      <c r="AL352" s="115"/>
      <c r="AM352" s="115"/>
      <c r="AN352" s="127"/>
      <c r="AO352" s="29"/>
      <c r="AY352" s="25"/>
      <c r="AZ352" s="13"/>
      <c r="BE352" s="116"/>
      <c r="BF352" s="123"/>
      <c r="BG352" s="123"/>
      <c r="BH352" s="123"/>
      <c r="BM352" s="115"/>
      <c r="BN352" s="115"/>
      <c r="BO352" s="115"/>
      <c r="BP352" s="115"/>
      <c r="BQ352" s="115"/>
      <c r="BR352" s="115"/>
      <c r="BS352" s="115"/>
      <c r="BT352" s="115"/>
      <c r="BU352" s="115"/>
      <c r="BV352" s="115"/>
      <c r="BW352" s="25"/>
      <c r="BX352" s="13"/>
      <c r="CA352" s="114"/>
    </row>
    <row r="353" spans="1:79" ht="20.100000000000001" customHeight="1" x14ac:dyDescent="0.4">
      <c r="A353" s="117"/>
      <c r="B353" s="123"/>
      <c r="C353" s="123"/>
      <c r="D353" s="123"/>
      <c r="F353" s="117"/>
      <c r="G353" s="135"/>
      <c r="H353" s="136"/>
      <c r="I353" s="136"/>
      <c r="J353" s="136"/>
      <c r="K353" s="136"/>
      <c r="L353" s="136"/>
      <c r="M353" s="136"/>
      <c r="N353" s="136"/>
      <c r="O353" s="136"/>
      <c r="P353" s="136"/>
      <c r="Q353" s="136"/>
      <c r="R353" s="136"/>
      <c r="S353" s="136"/>
      <c r="T353" s="136"/>
      <c r="U353" s="136"/>
      <c r="V353" s="136"/>
      <c r="W353" s="136"/>
      <c r="X353" s="26"/>
      <c r="Y353" s="15"/>
      <c r="AN353" s="127"/>
      <c r="AO353" s="29"/>
      <c r="AY353" s="25"/>
      <c r="AZ353" s="13"/>
      <c r="BE353" s="116"/>
      <c r="BF353" s="123"/>
      <c r="BG353" s="123"/>
      <c r="BH353" s="123"/>
      <c r="BM353" s="115"/>
      <c r="BN353" s="115"/>
      <c r="BO353" s="115"/>
      <c r="BP353" s="115"/>
      <c r="BQ353" s="115"/>
      <c r="BR353" s="115"/>
      <c r="BS353" s="115"/>
      <c r="BT353" s="115"/>
      <c r="BU353" s="115"/>
      <c r="BV353" s="115"/>
      <c r="BW353" s="25"/>
      <c r="BX353" s="13"/>
      <c r="CA353" s="114"/>
    </row>
    <row r="354" spans="1:79" ht="20.100000000000001" customHeight="1" x14ac:dyDescent="0.4">
      <c r="A354" s="117"/>
      <c r="B354" s="123"/>
      <c r="C354" s="123"/>
      <c r="D354" s="123"/>
      <c r="F354" s="117"/>
      <c r="G354" s="135"/>
      <c r="H354" s="136"/>
      <c r="I354" s="136"/>
      <c r="J354" s="136"/>
      <c r="K354" s="136"/>
      <c r="L354" s="136"/>
      <c r="M354" s="136"/>
      <c r="N354" s="136"/>
      <c r="O354" s="136"/>
      <c r="P354" s="136"/>
      <c r="Q354" s="136"/>
      <c r="R354" s="136"/>
      <c r="S354" s="136"/>
      <c r="T354" s="136"/>
      <c r="U354" s="136"/>
      <c r="V354" s="136"/>
      <c r="W354" s="136"/>
      <c r="X354" s="17"/>
      <c r="Y354" s="15"/>
      <c r="AN354" s="127"/>
      <c r="AO354" s="29"/>
      <c r="AY354" s="25"/>
      <c r="AZ354" s="13"/>
      <c r="BE354" s="116"/>
      <c r="BF354" s="123"/>
      <c r="BG354" s="123"/>
      <c r="BH354" s="123"/>
      <c r="BM354" s="115"/>
      <c r="BN354" s="115"/>
      <c r="BO354" s="115"/>
      <c r="BP354" s="115"/>
      <c r="BQ354" s="115"/>
      <c r="BR354" s="115"/>
      <c r="BS354" s="115"/>
      <c r="BT354" s="115"/>
      <c r="BU354" s="115"/>
      <c r="BV354" s="115"/>
      <c r="BW354" s="25"/>
      <c r="BX354" s="13"/>
      <c r="CA354" s="114"/>
    </row>
    <row r="355" spans="1:79" ht="20.100000000000001" customHeight="1" x14ac:dyDescent="0.4">
      <c r="A355" s="117"/>
      <c r="B355" s="123"/>
      <c r="C355" s="123"/>
      <c r="D355" s="123"/>
      <c r="F355" s="117"/>
      <c r="G355" s="135"/>
      <c r="H355" s="136"/>
      <c r="I355" s="136"/>
      <c r="J355" s="136"/>
      <c r="K355" s="136"/>
      <c r="L355" s="136"/>
      <c r="M355" s="136"/>
      <c r="N355" s="136"/>
      <c r="O355" s="136"/>
      <c r="P355" s="136"/>
      <c r="Q355" s="136"/>
      <c r="R355" s="136"/>
      <c r="S355" s="136"/>
      <c r="T355" s="136"/>
      <c r="U355" s="136"/>
      <c r="V355" s="136"/>
      <c r="W355" s="136"/>
      <c r="X355" s="26"/>
      <c r="Y355" s="15"/>
      <c r="AJ355" s="115"/>
      <c r="AK355" s="115"/>
      <c r="AL355" s="115"/>
      <c r="AM355" s="115"/>
      <c r="AN355" s="127"/>
      <c r="AO355" s="29"/>
      <c r="AY355" s="25"/>
      <c r="AZ355" s="13"/>
      <c r="BE355" s="116"/>
      <c r="BF355" s="123"/>
      <c r="BG355" s="123"/>
      <c r="BH355" s="123"/>
      <c r="BM355" s="115"/>
      <c r="BN355" s="115"/>
      <c r="BO355" s="115"/>
      <c r="BP355" s="115"/>
      <c r="BQ355" s="115"/>
      <c r="BR355" s="115"/>
      <c r="BS355" s="115"/>
      <c r="BT355" s="115"/>
      <c r="BU355" s="115"/>
      <c r="BV355" s="115"/>
      <c r="BW355" s="25"/>
      <c r="BX355" s="13"/>
      <c r="CA355" s="114"/>
    </row>
    <row r="356" spans="1:79" ht="20.100000000000001" customHeight="1" x14ac:dyDescent="0.4">
      <c r="A356" s="117"/>
      <c r="B356" s="123"/>
      <c r="C356" s="123"/>
      <c r="D356" s="123"/>
      <c r="F356" s="117"/>
      <c r="G356" s="135"/>
      <c r="H356" s="136"/>
      <c r="I356" s="136"/>
      <c r="J356" s="136"/>
      <c r="K356" s="136"/>
      <c r="L356" s="136"/>
      <c r="M356" s="136"/>
      <c r="N356" s="140"/>
      <c r="O356" s="140"/>
      <c r="P356" s="140"/>
      <c r="Q356" s="140"/>
      <c r="R356" s="140"/>
      <c r="S356" s="140"/>
      <c r="T356" s="140"/>
      <c r="U356" s="140"/>
      <c r="V356" s="140"/>
      <c r="W356" s="140"/>
      <c r="X356" s="30"/>
      <c r="Y356" s="15"/>
      <c r="AJ356" s="115"/>
      <c r="AK356" s="115"/>
      <c r="AL356" s="115"/>
      <c r="AM356" s="115"/>
      <c r="AN356" s="127"/>
      <c r="AO356" s="29"/>
      <c r="AY356" s="25"/>
      <c r="AZ356" s="13"/>
      <c r="BE356" s="116"/>
      <c r="BF356" s="123"/>
      <c r="BG356" s="123"/>
      <c r="BH356" s="123"/>
      <c r="BM356" s="115"/>
      <c r="BN356" s="115"/>
      <c r="BO356" s="115"/>
      <c r="BP356" s="115"/>
      <c r="BQ356" s="115"/>
      <c r="BR356" s="115"/>
      <c r="BS356" s="115"/>
      <c r="BT356" s="115"/>
      <c r="BU356" s="115"/>
      <c r="BV356" s="115"/>
      <c r="BW356" s="25"/>
      <c r="BX356" s="13"/>
      <c r="CA356" s="114"/>
    </row>
    <row r="357" spans="1:79" ht="20.100000000000001" customHeight="1" x14ac:dyDescent="0.4">
      <c r="A357" s="117"/>
      <c r="B357" s="123"/>
      <c r="C357" s="123"/>
      <c r="D357" s="123"/>
      <c r="F357" s="117"/>
      <c r="G357" s="135"/>
      <c r="H357" s="136"/>
      <c r="I357" s="136"/>
      <c r="J357" s="136"/>
      <c r="K357" s="136"/>
      <c r="L357" s="136"/>
      <c r="M357" s="136"/>
      <c r="N357" s="140"/>
      <c r="O357" s="140"/>
      <c r="P357" s="140"/>
      <c r="Q357" s="140"/>
      <c r="R357" s="140"/>
      <c r="S357" s="140"/>
      <c r="T357" s="140"/>
      <c r="U357" s="140"/>
      <c r="V357" s="140"/>
      <c r="W357" s="140"/>
      <c r="X357" s="141"/>
      <c r="Y357" s="13"/>
      <c r="AJ357" s="115"/>
      <c r="AK357" s="115"/>
      <c r="AL357" s="115"/>
      <c r="AM357" s="115"/>
      <c r="AN357" s="127"/>
      <c r="AO357" s="29"/>
      <c r="AY357" s="25"/>
      <c r="AZ357" s="13"/>
      <c r="BE357" s="116"/>
      <c r="BF357" s="123"/>
      <c r="BG357" s="123"/>
      <c r="BH357" s="123"/>
      <c r="BM357" s="115"/>
      <c r="BN357" s="115"/>
      <c r="BO357" s="115"/>
      <c r="BP357" s="115"/>
      <c r="BQ357" s="115"/>
      <c r="BR357" s="115"/>
      <c r="BS357" s="115"/>
      <c r="BT357" s="115"/>
      <c r="BU357" s="115"/>
      <c r="BV357" s="115"/>
      <c r="BW357" s="25"/>
      <c r="BX357" s="13"/>
      <c r="CA357" s="114"/>
    </row>
    <row r="358" spans="1:79" ht="20.100000000000001" customHeight="1" x14ac:dyDescent="0.4">
      <c r="A358" s="117"/>
      <c r="B358" s="123"/>
      <c r="C358" s="123"/>
      <c r="D358" s="123"/>
      <c r="F358" s="117"/>
      <c r="G358" s="135"/>
      <c r="H358" s="136"/>
      <c r="I358" s="136"/>
      <c r="J358" s="136"/>
      <c r="K358" s="136"/>
      <c r="L358" s="136"/>
      <c r="M358" s="136"/>
      <c r="N358" s="140"/>
      <c r="O358" s="140"/>
      <c r="P358" s="140"/>
      <c r="Q358" s="140"/>
      <c r="R358" s="140"/>
      <c r="S358" s="140"/>
      <c r="T358" s="140"/>
      <c r="U358" s="140"/>
      <c r="V358" s="140"/>
      <c r="W358" s="140"/>
      <c r="X358" s="141"/>
      <c r="Y358" s="13"/>
      <c r="AJ358" s="115"/>
      <c r="AK358" s="115"/>
      <c r="AL358" s="115"/>
      <c r="AM358" s="115"/>
      <c r="AN358" s="127"/>
      <c r="AO358" s="29"/>
      <c r="AY358" s="25"/>
      <c r="AZ358" s="13"/>
      <c r="BE358" s="116"/>
      <c r="BF358" s="123"/>
      <c r="BG358" s="123"/>
      <c r="BH358" s="123"/>
      <c r="BM358" s="115"/>
      <c r="BN358" s="115"/>
      <c r="BO358" s="115"/>
      <c r="BP358" s="115"/>
      <c r="BQ358" s="115"/>
      <c r="BR358" s="115"/>
      <c r="BS358" s="115"/>
      <c r="BT358" s="115"/>
      <c r="BU358" s="115"/>
      <c r="BV358" s="115"/>
      <c r="BW358" s="25"/>
      <c r="BX358" s="13"/>
      <c r="CA358" s="114"/>
    </row>
    <row r="359" spans="1:79" ht="20.100000000000001" customHeight="1" x14ac:dyDescent="0.4">
      <c r="A359" s="117"/>
      <c r="B359" s="123"/>
      <c r="C359" s="123"/>
      <c r="D359" s="123"/>
      <c r="F359" s="117"/>
      <c r="G359" s="135"/>
      <c r="H359" s="136"/>
      <c r="I359" s="136"/>
      <c r="J359" s="136"/>
      <c r="K359" s="136"/>
      <c r="L359" s="136"/>
      <c r="M359" s="136"/>
      <c r="N359" s="136"/>
      <c r="O359" s="136"/>
      <c r="P359" s="136"/>
      <c r="Q359" s="136"/>
      <c r="R359" s="136"/>
      <c r="S359" s="136"/>
      <c r="T359" s="136"/>
      <c r="U359" s="136"/>
      <c r="V359" s="136"/>
      <c r="W359" s="136"/>
      <c r="X359" s="25"/>
      <c r="Y359" s="13"/>
      <c r="AJ359" s="115"/>
      <c r="AK359" s="115"/>
      <c r="AL359" s="115"/>
      <c r="AM359" s="115"/>
      <c r="AN359" s="127"/>
      <c r="AO359" s="29"/>
      <c r="AY359" s="25"/>
      <c r="AZ359" s="13"/>
      <c r="BE359" s="116"/>
      <c r="BF359" s="123"/>
      <c r="BG359" s="123"/>
      <c r="BH359" s="123"/>
      <c r="BM359" s="115"/>
      <c r="BN359" s="115"/>
      <c r="BO359" s="115"/>
      <c r="BP359" s="115"/>
      <c r="BQ359" s="115"/>
      <c r="BR359" s="115"/>
      <c r="BS359" s="115"/>
      <c r="BT359" s="115"/>
      <c r="BU359" s="115"/>
      <c r="BV359" s="115"/>
      <c r="BW359" s="25"/>
      <c r="BX359" s="13"/>
      <c r="CA359" s="114"/>
    </row>
    <row r="360" spans="1:79" ht="20.100000000000001" customHeight="1" x14ac:dyDescent="0.4">
      <c r="A360" s="117"/>
      <c r="B360" s="123"/>
      <c r="C360" s="123"/>
      <c r="D360" s="123"/>
      <c r="F360" s="117"/>
      <c r="G360" s="135"/>
      <c r="H360" s="136"/>
      <c r="I360" s="136"/>
      <c r="J360" s="136"/>
      <c r="K360" s="136"/>
      <c r="L360" s="136"/>
      <c r="M360" s="136"/>
      <c r="N360" s="136"/>
      <c r="O360" s="136"/>
      <c r="P360" s="136"/>
      <c r="Q360" s="136"/>
      <c r="R360" s="136"/>
      <c r="S360" s="136"/>
      <c r="T360" s="136"/>
      <c r="U360" s="136"/>
      <c r="V360" s="136"/>
      <c r="W360" s="136"/>
      <c r="X360" s="25"/>
      <c r="Y360" s="13"/>
      <c r="AJ360" s="115"/>
      <c r="AK360" s="115"/>
      <c r="AL360" s="115"/>
      <c r="AM360" s="115"/>
      <c r="AN360" s="127"/>
      <c r="AO360" s="29"/>
      <c r="AY360" s="25"/>
      <c r="AZ360" s="13"/>
      <c r="BE360" s="116"/>
      <c r="BF360" s="123"/>
      <c r="BG360" s="123"/>
      <c r="BH360" s="123"/>
      <c r="BM360" s="115"/>
      <c r="BN360" s="115"/>
      <c r="BO360" s="115"/>
      <c r="BP360" s="115"/>
      <c r="BQ360" s="115"/>
      <c r="BR360" s="115"/>
      <c r="BS360" s="115"/>
      <c r="BT360" s="115"/>
      <c r="BU360" s="115"/>
      <c r="BV360" s="115"/>
      <c r="BW360" s="25"/>
      <c r="BX360" s="13"/>
      <c r="CA360" s="114"/>
    </row>
    <row r="361" spans="1:79" ht="20.100000000000001" customHeight="1" x14ac:dyDescent="0.4">
      <c r="A361" s="117"/>
      <c r="B361" s="123"/>
      <c r="C361" s="123"/>
      <c r="D361" s="123"/>
      <c r="F361" s="117"/>
      <c r="G361" s="135"/>
      <c r="H361" s="136"/>
      <c r="I361" s="136"/>
      <c r="J361" s="136"/>
      <c r="K361" s="136"/>
      <c r="L361" s="136"/>
      <c r="M361" s="136"/>
      <c r="N361" s="136"/>
      <c r="O361" s="136"/>
      <c r="P361" s="136"/>
      <c r="Q361" s="136"/>
      <c r="R361" s="136"/>
      <c r="S361" s="136"/>
      <c r="T361" s="136"/>
      <c r="U361" s="136"/>
      <c r="V361" s="136"/>
      <c r="W361" s="136"/>
      <c r="X361" s="25"/>
      <c r="Y361" s="13"/>
      <c r="AF361" s="115"/>
      <c r="AG361" s="115"/>
      <c r="AH361" s="115"/>
      <c r="AI361" s="115"/>
      <c r="AJ361" s="115"/>
      <c r="AK361" s="115"/>
      <c r="AL361" s="115"/>
      <c r="AM361" s="115"/>
      <c r="AN361" s="127"/>
      <c r="AO361" s="29"/>
      <c r="AY361" s="25"/>
      <c r="AZ361" s="13"/>
      <c r="BE361" s="116"/>
      <c r="BF361" s="123"/>
      <c r="BG361" s="123"/>
      <c r="BH361" s="123"/>
      <c r="BM361" s="115"/>
      <c r="BN361" s="115"/>
      <c r="BO361" s="115"/>
      <c r="BP361" s="115"/>
      <c r="BQ361" s="115"/>
      <c r="BR361" s="115"/>
      <c r="BS361" s="115"/>
      <c r="BT361" s="115"/>
      <c r="BU361" s="115"/>
      <c r="BV361" s="115"/>
      <c r="BW361" s="25"/>
      <c r="BX361" s="13"/>
      <c r="CA361" s="114"/>
    </row>
    <row r="362" spans="1:79" ht="20.100000000000001" customHeight="1" x14ac:dyDescent="0.4">
      <c r="A362" s="117"/>
      <c r="B362" s="123"/>
      <c r="C362" s="123"/>
      <c r="D362" s="123"/>
      <c r="F362" s="117"/>
      <c r="G362" s="135"/>
      <c r="H362" s="136"/>
      <c r="I362" s="136"/>
      <c r="J362" s="136"/>
      <c r="K362" s="136"/>
      <c r="L362" s="136"/>
      <c r="M362" s="136"/>
      <c r="N362" s="136"/>
      <c r="O362" s="136"/>
      <c r="P362" s="136"/>
      <c r="Q362" s="136"/>
      <c r="R362" s="136"/>
      <c r="S362" s="136"/>
      <c r="T362" s="136"/>
      <c r="U362" s="136"/>
      <c r="V362" s="136"/>
      <c r="W362" s="136"/>
      <c r="X362" s="25"/>
      <c r="Y362" s="13"/>
      <c r="AF362" s="115"/>
      <c r="AG362" s="115"/>
      <c r="AH362" s="115"/>
      <c r="AI362" s="115"/>
      <c r="AJ362" s="115"/>
      <c r="AK362" s="115"/>
      <c r="AL362" s="115"/>
      <c r="AM362" s="115"/>
      <c r="AN362" s="29"/>
      <c r="AO362" s="29"/>
      <c r="AY362" s="25"/>
      <c r="AZ362" s="13"/>
      <c r="BE362" s="116"/>
      <c r="BF362" s="123"/>
      <c r="BG362" s="123"/>
      <c r="BH362" s="123"/>
      <c r="BM362" s="115"/>
      <c r="BN362" s="115"/>
      <c r="BO362" s="115"/>
      <c r="BP362" s="115"/>
      <c r="BQ362" s="115"/>
      <c r="BR362" s="115"/>
      <c r="BS362" s="115"/>
      <c r="BT362" s="115"/>
      <c r="BU362" s="115"/>
      <c r="BV362" s="115"/>
      <c r="BW362" s="25"/>
      <c r="BX362" s="13"/>
      <c r="CA362" s="114"/>
    </row>
    <row r="363" spans="1:79" ht="20.100000000000001" customHeight="1" x14ac:dyDescent="0.4">
      <c r="A363" s="117"/>
      <c r="B363" s="123"/>
      <c r="C363" s="123"/>
      <c r="D363" s="123"/>
      <c r="F363" s="117"/>
      <c r="G363" s="135"/>
      <c r="H363" s="136"/>
      <c r="I363" s="136"/>
      <c r="J363" s="136"/>
      <c r="K363" s="136"/>
      <c r="L363" s="136"/>
      <c r="M363" s="136"/>
      <c r="N363" s="136"/>
      <c r="O363" s="136"/>
      <c r="P363" s="136"/>
      <c r="Q363" s="136"/>
      <c r="R363" s="136"/>
      <c r="S363" s="136"/>
      <c r="T363" s="136"/>
      <c r="U363" s="136"/>
      <c r="V363" s="136"/>
      <c r="W363" s="136"/>
      <c r="X363" s="13"/>
      <c r="Y363" s="13"/>
      <c r="AF363" s="115"/>
      <c r="AG363" s="115"/>
      <c r="AH363" s="115"/>
      <c r="AI363" s="115"/>
      <c r="AJ363" s="115"/>
      <c r="AK363" s="115"/>
      <c r="AL363" s="115"/>
      <c r="AM363" s="115"/>
      <c r="AN363" s="29"/>
      <c r="AO363" s="29"/>
      <c r="AY363" s="25"/>
      <c r="AZ363" s="13"/>
      <c r="BE363" s="116"/>
      <c r="BF363" s="123"/>
      <c r="BG363" s="123"/>
      <c r="BH363" s="123"/>
      <c r="BM363" s="115"/>
      <c r="BN363" s="115"/>
      <c r="BO363" s="115"/>
      <c r="BP363" s="115"/>
      <c r="BQ363" s="115"/>
      <c r="BR363" s="115"/>
      <c r="BS363" s="115"/>
      <c r="BT363" s="115"/>
      <c r="BU363" s="115"/>
      <c r="BV363" s="115"/>
      <c r="BW363" s="25"/>
      <c r="BX363" s="13"/>
      <c r="CA363" s="114"/>
    </row>
    <row r="364" spans="1:79" ht="20.100000000000001" customHeight="1" x14ac:dyDescent="0.4">
      <c r="A364" s="117"/>
      <c r="B364" s="123"/>
      <c r="C364" s="123"/>
      <c r="D364" s="123"/>
      <c r="F364" s="117"/>
      <c r="G364" s="135"/>
      <c r="H364" s="136"/>
      <c r="I364" s="136"/>
      <c r="J364" s="136"/>
      <c r="K364" s="136"/>
      <c r="L364" s="136"/>
      <c r="M364" s="136"/>
      <c r="N364" s="136"/>
      <c r="O364" s="136"/>
      <c r="P364" s="136"/>
      <c r="Q364" s="136"/>
      <c r="R364" s="136"/>
      <c r="S364" s="136"/>
      <c r="T364" s="136"/>
      <c r="U364" s="136"/>
      <c r="V364" s="136"/>
      <c r="W364" s="136"/>
      <c r="X364" s="25"/>
      <c r="Y364" s="13"/>
      <c r="AF364" s="115"/>
      <c r="AG364" s="115"/>
      <c r="AH364" s="115"/>
      <c r="AI364" s="115"/>
      <c r="AJ364" s="115"/>
      <c r="AK364" s="115"/>
      <c r="AL364" s="115"/>
      <c r="AM364" s="115"/>
      <c r="AN364" s="127"/>
      <c r="AO364" s="29"/>
      <c r="AY364" s="25"/>
      <c r="AZ364" s="13"/>
      <c r="BE364" s="116"/>
      <c r="BF364" s="123"/>
      <c r="BG364" s="123"/>
      <c r="BH364" s="123"/>
      <c r="BM364" s="115"/>
      <c r="BN364" s="115"/>
      <c r="BO364" s="115"/>
      <c r="BP364" s="115"/>
      <c r="BQ364" s="115"/>
      <c r="BR364" s="115"/>
      <c r="BS364" s="115"/>
      <c r="BT364" s="115"/>
      <c r="BU364" s="115"/>
      <c r="BV364" s="115"/>
      <c r="BW364" s="25"/>
      <c r="BX364" s="13"/>
      <c r="CA364" s="114"/>
    </row>
    <row r="365" spans="1:79" ht="20.100000000000001" customHeight="1" x14ac:dyDescent="0.4">
      <c r="A365" s="117"/>
      <c r="B365" s="123"/>
      <c r="C365" s="123"/>
      <c r="D365" s="123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26"/>
      <c r="Y365" s="13"/>
      <c r="AF365" s="115"/>
      <c r="AG365" s="115"/>
      <c r="AH365" s="115"/>
      <c r="AI365" s="115"/>
      <c r="AJ365" s="115"/>
      <c r="AK365" s="115"/>
      <c r="AL365" s="115"/>
      <c r="AM365" s="115"/>
      <c r="AN365" s="127"/>
      <c r="AO365" s="29"/>
      <c r="AY365" s="25"/>
      <c r="AZ365" s="13"/>
      <c r="BE365" s="116"/>
      <c r="BF365" s="123"/>
      <c r="BG365" s="123"/>
      <c r="BH365" s="123"/>
      <c r="BM365" s="115"/>
      <c r="BN365" s="115"/>
      <c r="BO365" s="115"/>
      <c r="BP365" s="115"/>
      <c r="BQ365" s="115"/>
      <c r="BR365" s="115"/>
      <c r="BS365" s="115"/>
      <c r="BT365" s="115"/>
      <c r="BU365" s="115"/>
      <c r="BV365" s="115"/>
      <c r="BW365" s="25"/>
      <c r="BX365" s="13"/>
      <c r="CA365" s="114"/>
    </row>
    <row r="366" spans="1:79" ht="20.100000000000001" customHeight="1" x14ac:dyDescent="0.4">
      <c r="A366" s="117"/>
      <c r="B366" s="123"/>
      <c r="C366" s="123"/>
      <c r="D366" s="123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26"/>
      <c r="Y366" s="13"/>
      <c r="AF366" s="115"/>
      <c r="AG366" s="115"/>
      <c r="AH366" s="115"/>
      <c r="AI366" s="115"/>
      <c r="AJ366" s="115"/>
      <c r="AK366" s="115"/>
      <c r="AL366" s="115"/>
      <c r="AM366" s="115"/>
      <c r="AN366" s="127"/>
      <c r="AO366" s="29"/>
      <c r="AY366" s="25"/>
      <c r="AZ366" s="13"/>
      <c r="BE366" s="116"/>
      <c r="BF366" s="123"/>
      <c r="BG366" s="123"/>
      <c r="BH366" s="123"/>
      <c r="BM366" s="115"/>
      <c r="BN366" s="115"/>
      <c r="BO366" s="115"/>
      <c r="BP366" s="115"/>
      <c r="BQ366" s="115"/>
      <c r="BR366" s="115"/>
      <c r="BS366" s="115"/>
      <c r="BT366" s="115"/>
      <c r="BU366" s="115"/>
      <c r="BV366" s="115"/>
      <c r="BW366" s="25"/>
      <c r="BX366" s="13"/>
      <c r="CA366" s="114"/>
    </row>
    <row r="367" spans="1:79" ht="20.100000000000001" customHeight="1" x14ac:dyDescent="0.4">
      <c r="A367" s="117"/>
      <c r="B367" s="123"/>
      <c r="C367" s="123"/>
      <c r="D367" s="123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26"/>
      <c r="Y367" s="13"/>
      <c r="AF367" s="115"/>
      <c r="AG367" s="115"/>
      <c r="AH367" s="115"/>
      <c r="AI367" s="115"/>
      <c r="AJ367" s="115"/>
      <c r="AK367" s="115"/>
      <c r="AL367" s="115"/>
      <c r="AM367" s="115"/>
      <c r="AN367" s="127"/>
      <c r="AO367" s="29"/>
      <c r="AY367" s="25"/>
      <c r="AZ367" s="13"/>
      <c r="BE367" s="116"/>
      <c r="BF367" s="123"/>
      <c r="BG367" s="123"/>
      <c r="BH367" s="123"/>
      <c r="BM367" s="115"/>
      <c r="BN367" s="115"/>
      <c r="BO367" s="115"/>
      <c r="BP367" s="115"/>
      <c r="BQ367" s="115"/>
      <c r="BR367" s="115"/>
      <c r="BS367" s="115"/>
      <c r="BT367" s="115"/>
      <c r="BU367" s="115"/>
      <c r="BV367" s="115"/>
      <c r="BW367" s="25"/>
      <c r="BX367" s="13"/>
      <c r="CA367" s="114"/>
    </row>
    <row r="368" spans="1:79" ht="20.100000000000001" customHeight="1" x14ac:dyDescent="0.4">
      <c r="A368" s="117"/>
      <c r="B368" s="123"/>
      <c r="C368" s="123"/>
      <c r="D368" s="123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26"/>
      <c r="Y368" s="13"/>
      <c r="AF368" s="115"/>
      <c r="AG368" s="115"/>
      <c r="AH368" s="115"/>
      <c r="AI368" s="115"/>
      <c r="AJ368" s="115"/>
      <c r="AK368" s="115"/>
      <c r="AL368" s="115"/>
      <c r="AM368" s="115"/>
      <c r="AN368" s="127"/>
      <c r="AO368" s="29"/>
      <c r="AY368" s="25"/>
      <c r="AZ368" s="13"/>
      <c r="BE368" s="116"/>
      <c r="BF368" s="123"/>
      <c r="BG368" s="123"/>
      <c r="BH368" s="123"/>
      <c r="BM368" s="115"/>
      <c r="BN368" s="115"/>
      <c r="BO368" s="115"/>
      <c r="BP368" s="115"/>
      <c r="BQ368" s="115"/>
      <c r="BR368" s="115"/>
      <c r="BS368" s="115"/>
      <c r="BT368" s="115"/>
      <c r="BU368" s="115"/>
      <c r="BV368" s="115"/>
      <c r="BW368" s="25"/>
      <c r="BX368" s="13"/>
      <c r="CA368" s="114"/>
    </row>
    <row r="369" spans="1:79" ht="20.100000000000001" customHeight="1" x14ac:dyDescent="0.4">
      <c r="A369" s="117"/>
      <c r="B369" s="123"/>
      <c r="C369" s="123"/>
      <c r="D369" s="123"/>
      <c r="X369" s="26"/>
      <c r="Y369" s="13"/>
      <c r="AE369" s="115"/>
      <c r="AF369" s="115"/>
      <c r="AG369" s="115"/>
      <c r="AH369" s="115"/>
      <c r="AI369" s="115"/>
      <c r="AJ369" s="115"/>
      <c r="AK369" s="115"/>
      <c r="AL369" s="115"/>
      <c r="AM369" s="115"/>
      <c r="AN369" s="127"/>
      <c r="AO369" s="29"/>
      <c r="AY369" s="25"/>
      <c r="AZ369" s="13"/>
      <c r="BE369" s="116"/>
      <c r="BF369" s="123"/>
      <c r="BG369" s="123"/>
      <c r="BH369" s="123"/>
      <c r="BM369" s="115"/>
      <c r="BN369" s="115"/>
      <c r="BO369" s="115"/>
      <c r="BP369" s="115"/>
      <c r="BQ369" s="115"/>
      <c r="BR369" s="115"/>
      <c r="BS369" s="115"/>
      <c r="BT369" s="115"/>
      <c r="BU369" s="115"/>
      <c r="BV369" s="115"/>
      <c r="BW369" s="25"/>
      <c r="BX369" s="13"/>
      <c r="CA369" s="114"/>
    </row>
    <row r="370" spans="1:79" ht="20.100000000000001" customHeight="1" x14ac:dyDescent="0.4">
      <c r="A370" s="117"/>
      <c r="B370" s="123"/>
      <c r="C370" s="123"/>
      <c r="D370" s="123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26"/>
      <c r="Y370" s="13"/>
      <c r="AE370" s="115"/>
      <c r="AF370" s="115"/>
      <c r="AG370" s="115"/>
      <c r="AH370" s="115"/>
      <c r="AI370" s="115"/>
      <c r="AJ370" s="115"/>
      <c r="AK370" s="115"/>
      <c r="AL370" s="115"/>
      <c r="AM370" s="115"/>
      <c r="AN370" s="127"/>
      <c r="AO370" s="29"/>
      <c r="AY370" s="25"/>
      <c r="AZ370" s="13"/>
      <c r="BE370" s="116"/>
      <c r="BF370" s="123"/>
      <c r="BG370" s="123"/>
      <c r="BH370" s="123"/>
      <c r="BM370" s="115"/>
      <c r="BN370" s="115"/>
      <c r="BO370" s="115"/>
      <c r="BP370" s="115"/>
      <c r="BQ370" s="115"/>
      <c r="BR370" s="115"/>
      <c r="BS370" s="115"/>
      <c r="BT370" s="115"/>
      <c r="BU370" s="115"/>
      <c r="BV370" s="115"/>
      <c r="BW370" s="25"/>
      <c r="BX370" s="13"/>
      <c r="CA370" s="114"/>
    </row>
    <row r="371" spans="1:79" ht="20.100000000000001" customHeight="1" x14ac:dyDescent="0.4">
      <c r="A371" s="117"/>
      <c r="B371" s="123"/>
      <c r="C371" s="123"/>
      <c r="D371" s="123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26"/>
      <c r="Y371" s="13"/>
      <c r="AE371" s="115"/>
      <c r="AF371" s="115"/>
      <c r="AG371" s="115"/>
      <c r="AH371" s="115"/>
      <c r="AI371" s="115"/>
      <c r="AJ371" s="115"/>
      <c r="AK371" s="115"/>
      <c r="AL371" s="115"/>
      <c r="AM371" s="115"/>
      <c r="AN371" s="127"/>
      <c r="AO371" s="29"/>
      <c r="AY371" s="25"/>
      <c r="AZ371" s="13"/>
      <c r="BE371" s="116"/>
      <c r="BF371" s="123"/>
      <c r="BG371" s="123"/>
      <c r="BH371" s="123"/>
      <c r="BM371" s="115"/>
      <c r="BN371" s="115"/>
      <c r="BO371" s="115"/>
      <c r="BP371" s="115"/>
      <c r="BQ371" s="115"/>
      <c r="BR371" s="115"/>
      <c r="BS371" s="115"/>
      <c r="BT371" s="115"/>
      <c r="BU371" s="115"/>
      <c r="BV371" s="115"/>
      <c r="BW371" s="25"/>
      <c r="BX371" s="13"/>
      <c r="CA371" s="114"/>
    </row>
    <row r="372" spans="1:79" ht="20.100000000000001" customHeight="1" x14ac:dyDescent="0.4">
      <c r="A372" s="117"/>
      <c r="B372" s="123"/>
      <c r="C372" s="123"/>
      <c r="D372" s="123"/>
      <c r="X372" s="26"/>
      <c r="Y372" s="13"/>
      <c r="AE372" s="115"/>
      <c r="AF372" s="115"/>
      <c r="AG372" s="115"/>
      <c r="AH372" s="115"/>
      <c r="AI372" s="115"/>
      <c r="AJ372" s="115"/>
      <c r="AK372" s="115"/>
      <c r="AL372" s="115"/>
      <c r="AM372" s="115"/>
      <c r="AN372" s="127"/>
      <c r="AO372" s="29"/>
      <c r="AY372" s="25"/>
      <c r="AZ372" s="13"/>
      <c r="BE372" s="116"/>
      <c r="BF372" s="123"/>
      <c r="BG372" s="123"/>
      <c r="BH372" s="123"/>
      <c r="BM372" s="115"/>
      <c r="BN372" s="115"/>
      <c r="BO372" s="115"/>
      <c r="BP372" s="115"/>
      <c r="BQ372" s="115"/>
      <c r="BR372" s="115"/>
      <c r="BS372" s="115"/>
      <c r="BT372" s="115"/>
      <c r="BU372" s="115"/>
      <c r="BV372" s="115"/>
      <c r="BW372" s="25"/>
      <c r="BX372" s="13"/>
      <c r="CA372" s="114"/>
    </row>
    <row r="373" spans="1:79" ht="20.100000000000001" customHeight="1" x14ac:dyDescent="0.4">
      <c r="A373" s="117"/>
      <c r="B373" s="123"/>
      <c r="C373" s="123"/>
      <c r="D373" s="123"/>
      <c r="X373" s="26"/>
      <c r="Y373" s="13"/>
      <c r="AE373" s="115"/>
      <c r="AF373" s="115"/>
      <c r="AG373" s="115"/>
      <c r="AH373" s="115"/>
      <c r="AI373" s="115"/>
      <c r="AJ373" s="115"/>
      <c r="AK373" s="115"/>
      <c r="AL373" s="115"/>
      <c r="AM373" s="115"/>
      <c r="AN373" s="127"/>
      <c r="AO373" s="134"/>
      <c r="AY373" s="25"/>
      <c r="AZ373" s="13"/>
      <c r="BE373" s="116"/>
      <c r="BF373" s="123"/>
      <c r="BG373" s="123"/>
      <c r="BH373" s="123"/>
      <c r="BM373" s="115"/>
      <c r="BN373" s="115"/>
      <c r="BO373" s="115"/>
      <c r="BP373" s="115"/>
      <c r="BQ373" s="115"/>
      <c r="BR373" s="115"/>
      <c r="BS373" s="115"/>
      <c r="BT373" s="115"/>
      <c r="BU373" s="115"/>
      <c r="BV373" s="115"/>
      <c r="BW373" s="25"/>
      <c r="BX373" s="13"/>
      <c r="CA373" s="114"/>
    </row>
    <row r="374" spans="1:79" ht="20.100000000000001" customHeight="1" x14ac:dyDescent="0.4">
      <c r="A374" s="117"/>
      <c r="B374" s="123"/>
      <c r="C374" s="123"/>
      <c r="D374" s="123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26"/>
      <c r="Y374" s="13"/>
      <c r="AE374" s="115"/>
      <c r="AF374" s="115"/>
      <c r="AG374" s="115"/>
      <c r="AH374" s="115"/>
      <c r="AI374" s="115"/>
      <c r="AJ374" s="115"/>
      <c r="AK374" s="115"/>
      <c r="AL374" s="115"/>
      <c r="AM374" s="115"/>
      <c r="AN374" s="127"/>
      <c r="AO374" s="134"/>
      <c r="AY374" s="25"/>
      <c r="AZ374" s="13"/>
      <c r="BE374" s="116"/>
      <c r="BF374" s="123"/>
      <c r="BG374" s="123"/>
      <c r="BH374" s="123"/>
      <c r="BM374" s="115"/>
      <c r="BN374" s="115"/>
      <c r="BO374" s="115"/>
      <c r="BP374" s="115"/>
      <c r="BQ374" s="115"/>
      <c r="BR374" s="115"/>
      <c r="BS374" s="115"/>
      <c r="BT374" s="115"/>
      <c r="BU374" s="115"/>
      <c r="BV374" s="115"/>
      <c r="BW374" s="25"/>
      <c r="BX374" s="13"/>
      <c r="CA374" s="114"/>
    </row>
    <row r="375" spans="1:79" ht="20.100000000000001" customHeight="1" x14ac:dyDescent="0.4">
      <c r="A375" s="117"/>
      <c r="B375" s="123"/>
      <c r="C375" s="123"/>
      <c r="D375" s="123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7"/>
      <c r="Y375" s="13"/>
      <c r="AE375" s="115"/>
      <c r="AF375" s="115"/>
      <c r="AG375" s="115"/>
      <c r="AH375" s="115"/>
      <c r="AI375" s="115"/>
      <c r="AJ375" s="115"/>
      <c r="AK375" s="115"/>
      <c r="AL375" s="115"/>
      <c r="AM375" s="115"/>
      <c r="AN375" s="127"/>
      <c r="AO375" s="134"/>
      <c r="AY375" s="25"/>
      <c r="AZ375" s="13"/>
      <c r="BE375" s="116"/>
      <c r="BF375" s="123"/>
      <c r="BG375" s="123"/>
      <c r="BH375" s="123"/>
      <c r="BM375" s="115"/>
      <c r="BN375" s="115"/>
      <c r="BO375" s="115"/>
      <c r="BP375" s="115"/>
      <c r="BQ375" s="115"/>
      <c r="BR375" s="115"/>
      <c r="BS375" s="115"/>
      <c r="BT375" s="115"/>
      <c r="BU375" s="115"/>
      <c r="BV375" s="115"/>
      <c r="BW375" s="25"/>
      <c r="BX375" s="13"/>
      <c r="CA375" s="114"/>
    </row>
    <row r="376" spans="1:79" ht="20.100000000000001" customHeight="1" x14ac:dyDescent="0.4">
      <c r="A376" s="117"/>
      <c r="B376" s="123"/>
      <c r="C376" s="123"/>
      <c r="D376" s="123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26"/>
      <c r="Y376" s="13"/>
      <c r="AE376" s="115"/>
      <c r="AF376" s="115"/>
      <c r="AG376" s="115"/>
      <c r="AH376" s="115"/>
      <c r="AI376" s="115"/>
      <c r="AJ376" s="115"/>
      <c r="AK376" s="115"/>
      <c r="AL376" s="115"/>
      <c r="AM376" s="115"/>
      <c r="AN376" s="127"/>
      <c r="AO376" s="134"/>
      <c r="AY376" s="25"/>
      <c r="AZ376" s="13"/>
      <c r="BE376" s="116"/>
      <c r="BF376" s="123"/>
      <c r="BG376" s="123"/>
      <c r="BH376" s="123"/>
      <c r="BM376" s="115"/>
      <c r="BN376" s="115"/>
      <c r="BO376" s="115"/>
      <c r="BP376" s="115"/>
      <c r="BQ376" s="115"/>
      <c r="BR376" s="115"/>
      <c r="BS376" s="115"/>
      <c r="BT376" s="115"/>
      <c r="BU376" s="115"/>
      <c r="BV376" s="115"/>
      <c r="BW376" s="25"/>
      <c r="BX376" s="13"/>
      <c r="CA376" s="114"/>
    </row>
    <row r="377" spans="1:79" ht="20.100000000000001" customHeight="1" x14ac:dyDescent="0.4">
      <c r="A377" s="117"/>
      <c r="B377" s="123"/>
      <c r="C377" s="123"/>
      <c r="D377" s="123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26"/>
      <c r="Y377" s="13"/>
      <c r="AE377" s="115"/>
      <c r="AF377" s="115"/>
      <c r="AG377" s="115"/>
      <c r="AH377" s="115"/>
      <c r="AI377" s="115"/>
      <c r="AJ377" s="115"/>
      <c r="AK377" s="115"/>
      <c r="AL377" s="115"/>
      <c r="AM377" s="115"/>
      <c r="AN377" s="127"/>
      <c r="AO377" s="134"/>
      <c r="AY377" s="25"/>
      <c r="AZ377" s="13"/>
      <c r="BE377" s="116"/>
      <c r="BF377" s="123"/>
      <c r="BG377" s="123"/>
      <c r="BH377" s="123"/>
      <c r="BM377" s="115"/>
      <c r="BN377" s="115"/>
      <c r="BO377" s="115"/>
      <c r="BP377" s="115"/>
      <c r="BQ377" s="115"/>
      <c r="BR377" s="115"/>
      <c r="BS377" s="115"/>
      <c r="BT377" s="115"/>
      <c r="BU377" s="115"/>
      <c r="BV377" s="115"/>
      <c r="BW377" s="25"/>
      <c r="BX377" s="13"/>
      <c r="CA377" s="114"/>
    </row>
    <row r="378" spans="1:79" ht="20.100000000000001" customHeight="1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26"/>
      <c r="Y378" s="13"/>
      <c r="AE378" s="115"/>
      <c r="AF378" s="115"/>
      <c r="AG378" s="115"/>
      <c r="AH378" s="115"/>
      <c r="AI378" s="115"/>
      <c r="AJ378" s="115"/>
      <c r="AK378" s="115"/>
      <c r="AL378" s="115"/>
      <c r="AM378" s="115"/>
      <c r="AN378" s="127"/>
      <c r="AO378" s="134"/>
      <c r="AY378" s="25"/>
      <c r="AZ378" s="13"/>
      <c r="BE378" s="116"/>
      <c r="BF378" s="123"/>
      <c r="BG378" s="123"/>
      <c r="BH378" s="123"/>
      <c r="BM378" s="115"/>
      <c r="BN378" s="115"/>
      <c r="BO378" s="115"/>
      <c r="BP378" s="115"/>
      <c r="BQ378" s="115"/>
      <c r="BR378" s="115"/>
      <c r="BS378" s="115"/>
      <c r="BT378" s="115"/>
      <c r="BU378" s="115"/>
      <c r="BV378" s="115"/>
      <c r="BW378" s="25"/>
      <c r="BX378" s="13"/>
      <c r="CA378" s="114"/>
    </row>
    <row r="379" spans="1:79" ht="20.100000000000001" customHeight="1" x14ac:dyDescent="0.4">
      <c r="A379" s="117"/>
      <c r="B379" s="123"/>
      <c r="C379" s="123"/>
      <c r="D379" s="123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26"/>
      <c r="Y379" s="13"/>
      <c r="AE379" s="115"/>
      <c r="AF379" s="115"/>
      <c r="AG379" s="115"/>
      <c r="AH379" s="115"/>
      <c r="AI379" s="115"/>
      <c r="AJ379" s="115"/>
      <c r="AK379" s="115"/>
      <c r="AL379" s="115"/>
      <c r="AM379" s="115"/>
      <c r="AN379" s="127"/>
      <c r="AO379" s="134"/>
      <c r="AY379" s="25"/>
      <c r="AZ379" s="13"/>
      <c r="BE379" s="116"/>
      <c r="BF379" s="123"/>
      <c r="BG379" s="123"/>
      <c r="BH379" s="123"/>
      <c r="BM379" s="115"/>
      <c r="BN379" s="115"/>
      <c r="BO379" s="115"/>
      <c r="BP379" s="115"/>
      <c r="BQ379" s="115"/>
      <c r="BR379" s="115"/>
      <c r="BS379" s="115"/>
      <c r="BT379" s="115"/>
      <c r="BU379" s="115"/>
      <c r="BV379" s="115"/>
      <c r="BW379" s="25"/>
      <c r="BX379" s="13"/>
      <c r="CA379" s="114"/>
    </row>
    <row r="380" spans="1:79" ht="20.100000000000001" customHeight="1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26"/>
      <c r="Y380" s="13"/>
      <c r="AE380" s="115"/>
      <c r="AF380" s="115"/>
      <c r="AG380" s="115"/>
      <c r="AH380" s="115"/>
      <c r="AI380" s="115"/>
      <c r="AJ380" s="115"/>
      <c r="AK380" s="115"/>
      <c r="AL380" s="115"/>
      <c r="AM380" s="115"/>
      <c r="AN380" s="127"/>
      <c r="AO380" s="134"/>
      <c r="AY380" s="25"/>
      <c r="AZ380" s="13"/>
      <c r="BE380" s="116"/>
      <c r="BF380" s="123"/>
      <c r="BG380" s="123"/>
      <c r="BH380" s="123"/>
      <c r="BM380" s="115"/>
      <c r="BN380" s="115"/>
      <c r="BO380" s="115"/>
      <c r="BP380" s="115"/>
      <c r="BQ380" s="115"/>
      <c r="BR380" s="115"/>
      <c r="BS380" s="115"/>
      <c r="BT380" s="115"/>
      <c r="BU380" s="115"/>
      <c r="BV380" s="115"/>
      <c r="BW380" s="25"/>
      <c r="BX380" s="13"/>
      <c r="CA380" s="114"/>
    </row>
    <row r="381" spans="1:79" ht="20.100000000000001" customHeight="1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7"/>
      <c r="Y381" s="13"/>
      <c r="AE381" s="115"/>
      <c r="AF381" s="115"/>
      <c r="AG381" s="115"/>
      <c r="AH381" s="115"/>
      <c r="AI381" s="115"/>
      <c r="AJ381" s="115"/>
      <c r="AK381" s="115"/>
      <c r="AL381" s="115"/>
      <c r="AM381" s="115"/>
      <c r="AN381" s="127"/>
      <c r="AO381" s="134"/>
      <c r="AY381" s="25"/>
      <c r="AZ381" s="13"/>
      <c r="BE381" s="116"/>
      <c r="BF381" s="123"/>
      <c r="BG381" s="123"/>
      <c r="BH381" s="123"/>
      <c r="BM381" s="115"/>
      <c r="BN381" s="115"/>
      <c r="BO381" s="115"/>
      <c r="BP381" s="115"/>
      <c r="BQ381" s="115"/>
      <c r="BR381" s="115"/>
      <c r="BS381" s="115"/>
      <c r="BT381" s="115"/>
      <c r="BU381" s="115"/>
      <c r="BV381" s="115"/>
      <c r="BW381" s="25"/>
      <c r="BX381" s="13"/>
      <c r="CA381" s="114"/>
    </row>
    <row r="382" spans="1:79" ht="20.100000000000001" customHeight="1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26"/>
      <c r="Y382" s="13"/>
      <c r="AE382" s="115"/>
      <c r="AF382" s="115"/>
      <c r="AG382" s="115"/>
      <c r="AH382" s="115"/>
      <c r="AI382" s="115"/>
      <c r="AJ382" s="115"/>
      <c r="AK382" s="115"/>
      <c r="AL382" s="115"/>
      <c r="AM382" s="115"/>
      <c r="AN382" s="127"/>
      <c r="AO382" s="134"/>
      <c r="AY382" s="25"/>
      <c r="AZ382" s="13"/>
      <c r="BE382" s="116"/>
      <c r="BF382" s="123"/>
      <c r="BG382" s="123"/>
      <c r="BH382" s="123"/>
      <c r="BM382" s="115"/>
      <c r="BN382" s="115"/>
      <c r="BO382" s="115"/>
      <c r="BP382" s="115"/>
      <c r="BQ382" s="115"/>
      <c r="BR382" s="115"/>
      <c r="BS382" s="115"/>
      <c r="BT382" s="115"/>
      <c r="BU382" s="115"/>
      <c r="BV382" s="115"/>
      <c r="BW382" s="25"/>
      <c r="BX382" s="13"/>
      <c r="CA382" s="114"/>
    </row>
    <row r="383" spans="1:79" ht="20.100000000000001" customHeight="1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26"/>
      <c r="Y383" s="13"/>
      <c r="AE383" s="115"/>
      <c r="AF383" s="115"/>
      <c r="AG383" s="115"/>
      <c r="AH383" s="115"/>
      <c r="AI383" s="115"/>
      <c r="AJ383" s="115"/>
      <c r="AK383" s="115"/>
      <c r="AL383" s="115"/>
      <c r="AM383" s="115"/>
      <c r="AN383" s="127"/>
      <c r="AO383" s="134"/>
      <c r="AY383" s="25"/>
      <c r="AZ383" s="13"/>
      <c r="BE383" s="116"/>
      <c r="BF383" s="123"/>
      <c r="BG383" s="123"/>
      <c r="BH383" s="123"/>
      <c r="BM383" s="115"/>
      <c r="BN383" s="115"/>
      <c r="BO383" s="115"/>
      <c r="BP383" s="115"/>
      <c r="BQ383" s="115"/>
      <c r="BR383" s="115"/>
      <c r="BS383" s="115"/>
      <c r="BT383" s="115"/>
      <c r="BU383" s="115"/>
      <c r="BV383" s="115"/>
      <c r="BW383" s="25"/>
      <c r="BX383" s="13"/>
      <c r="CA383" s="114"/>
    </row>
    <row r="384" spans="1:79" ht="20.100000000000001" customHeight="1" x14ac:dyDescent="0.4">
      <c r="A384" s="117"/>
      <c r="B384" s="123"/>
      <c r="C384" s="123"/>
      <c r="D384" s="123"/>
      <c r="X384" s="26"/>
      <c r="Y384" s="13"/>
      <c r="AE384" s="115"/>
      <c r="AF384" s="115"/>
      <c r="AG384" s="115"/>
      <c r="AH384" s="115"/>
      <c r="AI384" s="115"/>
      <c r="AJ384" s="115"/>
      <c r="AK384" s="115"/>
      <c r="AL384" s="115"/>
      <c r="AM384" s="115"/>
      <c r="AN384" s="127"/>
      <c r="AO384" s="29"/>
      <c r="AY384" s="25"/>
      <c r="AZ384" s="13"/>
      <c r="BE384" s="116"/>
      <c r="BF384" s="123"/>
      <c r="BG384" s="123"/>
      <c r="BH384" s="123"/>
      <c r="BM384" s="115"/>
      <c r="BN384" s="115"/>
      <c r="BO384" s="115"/>
      <c r="BP384" s="115"/>
      <c r="BQ384" s="115"/>
      <c r="BR384" s="115"/>
      <c r="BS384" s="115"/>
      <c r="BT384" s="115"/>
      <c r="BU384" s="115"/>
      <c r="BV384" s="115"/>
      <c r="BW384" s="25"/>
      <c r="BX384" s="13"/>
      <c r="CA384" s="114"/>
    </row>
    <row r="385" spans="1:79" ht="20.100000000000001" customHeight="1" x14ac:dyDescent="0.4">
      <c r="A385" s="117"/>
      <c r="B385" s="123"/>
      <c r="C385" s="123"/>
      <c r="D385" s="123"/>
      <c r="X385" s="26"/>
      <c r="Y385" s="13"/>
      <c r="AE385" s="115"/>
      <c r="AF385" s="115"/>
      <c r="AG385" s="115"/>
      <c r="AH385" s="115"/>
      <c r="AI385" s="115"/>
      <c r="AJ385" s="115"/>
      <c r="AK385" s="115"/>
      <c r="AL385" s="115"/>
      <c r="AM385" s="115"/>
      <c r="AN385" s="29"/>
      <c r="AO385" s="29"/>
      <c r="AY385" s="25"/>
      <c r="AZ385" s="13"/>
      <c r="BE385" s="116"/>
      <c r="BF385" s="123"/>
      <c r="BG385" s="123"/>
      <c r="BH385" s="123"/>
      <c r="BM385" s="115"/>
      <c r="BN385" s="115"/>
      <c r="BO385" s="115"/>
      <c r="BP385" s="115"/>
      <c r="BQ385" s="115"/>
      <c r="BR385" s="115"/>
      <c r="BS385" s="115"/>
      <c r="BT385" s="115"/>
      <c r="BU385" s="115"/>
      <c r="BV385" s="115"/>
      <c r="BW385" s="25"/>
      <c r="BX385" s="13"/>
      <c r="CA385" s="114"/>
    </row>
    <row r="386" spans="1:79" ht="20.100000000000001" customHeight="1" x14ac:dyDescent="0.4">
      <c r="A386" s="117"/>
      <c r="B386" s="123"/>
      <c r="C386" s="123"/>
      <c r="D386" s="123"/>
      <c r="X386" s="26"/>
      <c r="Y386" s="13"/>
      <c r="AD386" s="115"/>
      <c r="AE386" s="115"/>
      <c r="AF386" s="115"/>
      <c r="AG386" s="115"/>
      <c r="AH386" s="115"/>
      <c r="AI386" s="115"/>
      <c r="AJ386" s="115"/>
      <c r="AK386" s="115"/>
      <c r="AL386" s="115"/>
      <c r="AM386" s="115"/>
      <c r="AN386" s="127"/>
      <c r="AO386" s="29"/>
      <c r="AY386" s="25"/>
      <c r="AZ386" s="13"/>
      <c r="BE386" s="116"/>
      <c r="BF386" s="123"/>
      <c r="BG386" s="123"/>
      <c r="BH386" s="123"/>
      <c r="BM386" s="115"/>
      <c r="BN386" s="115"/>
      <c r="BO386" s="115"/>
      <c r="BP386" s="115"/>
      <c r="BQ386" s="115"/>
      <c r="BR386" s="115"/>
      <c r="BS386" s="115"/>
      <c r="BT386" s="115"/>
      <c r="BU386" s="115"/>
      <c r="BV386" s="115"/>
      <c r="BW386" s="25"/>
      <c r="BX386" s="13"/>
      <c r="CA386" s="114"/>
    </row>
    <row r="387" spans="1:79" ht="20.100000000000001" customHeight="1" x14ac:dyDescent="0.4">
      <c r="A387" s="117"/>
      <c r="B387" s="123"/>
      <c r="C387" s="123"/>
      <c r="D387" s="123"/>
      <c r="X387" s="26"/>
      <c r="Y387" s="13"/>
      <c r="AD387" s="115"/>
      <c r="AE387" s="115"/>
      <c r="AF387" s="115"/>
      <c r="AG387" s="115"/>
      <c r="AH387" s="115"/>
      <c r="AI387" s="115"/>
      <c r="AJ387" s="115"/>
      <c r="AK387" s="115"/>
      <c r="AL387" s="115"/>
      <c r="AM387" s="115"/>
      <c r="AN387" s="127"/>
      <c r="AO387" s="29"/>
      <c r="AY387" s="25"/>
      <c r="AZ387" s="13"/>
      <c r="BE387" s="116"/>
      <c r="BF387" s="123"/>
      <c r="BG387" s="123"/>
      <c r="BH387" s="123"/>
      <c r="BM387" s="115"/>
      <c r="BN387" s="115"/>
      <c r="BO387" s="115"/>
      <c r="BP387" s="115"/>
      <c r="BQ387" s="115"/>
      <c r="BR387" s="115"/>
      <c r="BS387" s="115"/>
      <c r="BT387" s="115"/>
      <c r="BU387" s="115"/>
      <c r="BV387" s="115"/>
      <c r="BW387" s="25"/>
      <c r="BX387" s="13"/>
      <c r="CA387" s="114"/>
    </row>
    <row r="388" spans="1:79" ht="20.100000000000001" customHeight="1" x14ac:dyDescent="0.4">
      <c r="A388" s="117"/>
      <c r="B388" s="123"/>
      <c r="C388" s="123"/>
      <c r="D388" s="123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7"/>
      <c r="Y388" s="13"/>
      <c r="AD388" s="115"/>
      <c r="AE388" s="115"/>
      <c r="AF388" s="115"/>
      <c r="AG388" s="115"/>
      <c r="AH388" s="115"/>
      <c r="AI388" s="115"/>
      <c r="AJ388" s="115"/>
      <c r="AK388" s="115"/>
      <c r="AL388" s="115"/>
      <c r="AM388" s="115"/>
      <c r="AN388" s="127"/>
      <c r="AO388" s="29"/>
      <c r="AY388" s="25"/>
      <c r="AZ388" s="13"/>
      <c r="BE388" s="116"/>
      <c r="BF388" s="123"/>
      <c r="BG388" s="123"/>
      <c r="BH388" s="123"/>
      <c r="BM388" s="115"/>
      <c r="BN388" s="115"/>
      <c r="BO388" s="115"/>
      <c r="BP388" s="115"/>
      <c r="BQ388" s="115"/>
      <c r="BR388" s="115"/>
      <c r="BS388" s="115"/>
      <c r="BT388" s="115"/>
      <c r="BU388" s="115"/>
      <c r="BV388" s="115"/>
      <c r="BW388" s="25"/>
      <c r="BX388" s="13"/>
      <c r="CA388" s="114"/>
    </row>
    <row r="389" spans="1:79" ht="20.100000000000001" customHeight="1" x14ac:dyDescent="0.4">
      <c r="A389" s="117"/>
      <c r="B389" s="123"/>
      <c r="C389" s="123"/>
      <c r="D389" s="123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26"/>
      <c r="Y389" s="13"/>
      <c r="AD389" s="115"/>
      <c r="AE389" s="115"/>
      <c r="AF389" s="115"/>
      <c r="AG389" s="115"/>
      <c r="AH389" s="115"/>
      <c r="AI389" s="115"/>
      <c r="AJ389" s="115"/>
      <c r="AK389" s="115"/>
      <c r="AL389" s="115"/>
      <c r="AM389" s="115"/>
      <c r="AN389" s="127"/>
      <c r="AO389" s="29"/>
      <c r="AY389" s="25"/>
      <c r="AZ389" s="13"/>
      <c r="BE389" s="116"/>
      <c r="BF389" s="123"/>
      <c r="BG389" s="123"/>
      <c r="BH389" s="123"/>
      <c r="BM389" s="115"/>
      <c r="BN389" s="115"/>
      <c r="BO389" s="115"/>
      <c r="BP389" s="115"/>
      <c r="BQ389" s="115"/>
      <c r="BR389" s="115"/>
      <c r="BS389" s="115"/>
      <c r="BT389" s="115"/>
      <c r="BU389" s="115"/>
      <c r="BV389" s="115"/>
      <c r="BW389" s="25"/>
      <c r="BX389" s="13"/>
      <c r="CA389" s="114"/>
    </row>
    <row r="390" spans="1:79" ht="20.100000000000001" customHeight="1" x14ac:dyDescent="0.4">
      <c r="A390" s="117"/>
      <c r="B390" s="123"/>
      <c r="C390" s="123"/>
      <c r="D390" s="123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26"/>
      <c r="Y390" s="13"/>
      <c r="AD390" s="115"/>
      <c r="AE390" s="115"/>
      <c r="AF390" s="115"/>
      <c r="AG390" s="115"/>
      <c r="AH390" s="115"/>
      <c r="AI390" s="115"/>
      <c r="AJ390" s="115"/>
      <c r="AK390" s="115"/>
      <c r="AL390" s="115"/>
      <c r="AM390" s="115"/>
      <c r="AN390" s="127"/>
      <c r="AO390" s="29"/>
      <c r="AY390" s="25"/>
      <c r="AZ390" s="13"/>
      <c r="BE390" s="116"/>
      <c r="BF390" s="123"/>
      <c r="BG390" s="123"/>
      <c r="BH390" s="123"/>
      <c r="BM390" s="115"/>
      <c r="BN390" s="115"/>
      <c r="BO390" s="115"/>
      <c r="BP390" s="115"/>
      <c r="BQ390" s="115"/>
      <c r="BR390" s="115"/>
      <c r="BS390" s="115"/>
      <c r="BT390" s="115"/>
      <c r="BU390" s="115"/>
      <c r="BV390" s="115"/>
      <c r="BW390" s="25"/>
      <c r="BX390" s="13"/>
      <c r="CA390" s="114"/>
    </row>
    <row r="391" spans="1:79" ht="20.100000000000001" customHeight="1" x14ac:dyDescent="0.4">
      <c r="A391" s="117"/>
      <c r="B391" s="123"/>
      <c r="C391" s="123"/>
      <c r="D391" s="123"/>
      <c r="X391" s="26"/>
      <c r="Y391" s="133"/>
      <c r="AD391" s="115"/>
      <c r="AE391" s="115"/>
      <c r="AF391" s="115"/>
      <c r="AG391" s="115"/>
      <c r="AH391" s="115"/>
      <c r="AI391" s="115"/>
      <c r="AJ391" s="115"/>
      <c r="AK391" s="115"/>
      <c r="AL391" s="115"/>
      <c r="AM391" s="115"/>
      <c r="AN391" s="127"/>
      <c r="AO391" s="29"/>
      <c r="AY391" s="25"/>
      <c r="AZ391" s="13"/>
      <c r="BE391" s="116"/>
      <c r="BF391" s="123"/>
      <c r="BG391" s="123"/>
      <c r="BH391" s="123"/>
      <c r="BM391" s="115"/>
      <c r="BN391" s="115"/>
      <c r="BO391" s="115"/>
      <c r="BP391" s="115"/>
      <c r="BQ391" s="115"/>
      <c r="BR391" s="115"/>
      <c r="BS391" s="115"/>
      <c r="BT391" s="115"/>
      <c r="BU391" s="115"/>
      <c r="BV391" s="115"/>
      <c r="BW391" s="25"/>
      <c r="BX391" s="13"/>
      <c r="CA391" s="114"/>
    </row>
    <row r="392" spans="1:79" ht="20.100000000000001" customHeight="1" x14ac:dyDescent="0.4">
      <c r="A392" s="117"/>
      <c r="B392" s="123"/>
      <c r="C392" s="123"/>
      <c r="D392" s="123"/>
      <c r="X392" s="26"/>
      <c r="Y392" s="13"/>
      <c r="AD392" s="115"/>
      <c r="AE392" s="115"/>
      <c r="AF392" s="115"/>
      <c r="AG392" s="115"/>
      <c r="AH392" s="115"/>
      <c r="AI392" s="115"/>
      <c r="AJ392" s="115"/>
      <c r="AK392" s="115"/>
      <c r="AL392" s="115"/>
      <c r="AM392" s="115"/>
      <c r="AN392" s="127"/>
      <c r="AO392" s="29"/>
      <c r="AY392" s="25"/>
      <c r="AZ392" s="13"/>
      <c r="BE392" s="116"/>
      <c r="BF392" s="123"/>
      <c r="BG392" s="123"/>
      <c r="BH392" s="123"/>
      <c r="BM392" s="115"/>
      <c r="BN392" s="115"/>
      <c r="BO392" s="115"/>
      <c r="BP392" s="115"/>
      <c r="BQ392" s="115"/>
      <c r="BR392" s="115"/>
      <c r="BS392" s="115"/>
      <c r="BT392" s="115"/>
      <c r="BU392" s="115"/>
      <c r="BV392" s="115"/>
      <c r="BW392" s="25"/>
      <c r="BX392" s="13"/>
      <c r="CA392" s="114"/>
    </row>
    <row r="393" spans="1:79" ht="20.100000000000001" customHeight="1" x14ac:dyDescent="0.4">
      <c r="A393" s="117"/>
      <c r="B393" s="123"/>
      <c r="C393" s="123"/>
      <c r="D393" s="123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26"/>
      <c r="Y393" s="13"/>
      <c r="AD393" s="115"/>
      <c r="AE393" s="115"/>
      <c r="AF393" s="115"/>
      <c r="AG393" s="115"/>
      <c r="AH393" s="115"/>
      <c r="AI393" s="115"/>
      <c r="AJ393" s="115"/>
      <c r="AK393" s="115"/>
      <c r="AL393" s="115"/>
      <c r="AM393" s="115"/>
      <c r="AN393" s="127"/>
      <c r="AO393" s="29"/>
      <c r="AY393" s="25"/>
      <c r="AZ393" s="13"/>
      <c r="BE393" s="116"/>
      <c r="BF393" s="123"/>
      <c r="BG393" s="123"/>
      <c r="BH393" s="123"/>
      <c r="BM393" s="115"/>
      <c r="BN393" s="115"/>
      <c r="BO393" s="115"/>
      <c r="BP393" s="115"/>
      <c r="BQ393" s="115"/>
      <c r="BR393" s="115"/>
      <c r="BS393" s="115"/>
      <c r="BT393" s="115"/>
      <c r="BU393" s="115"/>
      <c r="BV393" s="115"/>
      <c r="BW393" s="25"/>
      <c r="BX393" s="13"/>
      <c r="CA393" s="114"/>
    </row>
    <row r="394" spans="1:79" ht="20.100000000000001" customHeight="1" x14ac:dyDescent="0.4">
      <c r="A394" s="117"/>
      <c r="B394" s="123"/>
      <c r="C394" s="123"/>
      <c r="D394" s="123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7"/>
      <c r="Y394" s="13"/>
      <c r="AD394" s="115"/>
      <c r="AE394" s="115"/>
      <c r="AF394" s="115"/>
      <c r="AG394" s="115"/>
      <c r="AH394" s="115"/>
      <c r="AI394" s="115"/>
      <c r="AJ394" s="115"/>
      <c r="AK394" s="115"/>
      <c r="AL394" s="115"/>
      <c r="AM394" s="115"/>
      <c r="AN394" s="127"/>
      <c r="AO394" s="29"/>
      <c r="AY394" s="25"/>
      <c r="AZ394" s="13"/>
      <c r="BE394" s="116"/>
      <c r="BF394" s="123"/>
      <c r="BG394" s="123"/>
      <c r="BH394" s="123"/>
      <c r="BM394" s="115"/>
      <c r="BN394" s="115"/>
      <c r="BO394" s="115"/>
      <c r="BP394" s="115"/>
      <c r="BQ394" s="115"/>
      <c r="BR394" s="115"/>
      <c r="BS394" s="115"/>
      <c r="BT394" s="115"/>
      <c r="BU394" s="115"/>
      <c r="BV394" s="115"/>
      <c r="BW394" s="25"/>
      <c r="BX394" s="13"/>
      <c r="CA394" s="114"/>
    </row>
    <row r="395" spans="1:79" ht="20.100000000000001" customHeight="1" x14ac:dyDescent="0.4">
      <c r="A395" s="117"/>
      <c r="B395" s="123"/>
      <c r="C395" s="123"/>
      <c r="D395" s="123"/>
      <c r="X395" s="26"/>
      <c r="Y395" s="13"/>
      <c r="AD395" s="115"/>
      <c r="AE395" s="115"/>
      <c r="AF395" s="115"/>
      <c r="AG395" s="115"/>
      <c r="AH395" s="115"/>
      <c r="AI395" s="115"/>
      <c r="AJ395" s="115"/>
      <c r="AK395" s="115"/>
      <c r="AL395" s="115"/>
      <c r="AM395" s="115"/>
      <c r="AN395" s="127"/>
      <c r="AO395" s="29"/>
      <c r="AY395" s="25"/>
      <c r="AZ395" s="13"/>
      <c r="BE395" s="116"/>
      <c r="BF395" s="123"/>
      <c r="BG395" s="123"/>
      <c r="BH395" s="123"/>
      <c r="BM395" s="115"/>
      <c r="BN395" s="115"/>
      <c r="BO395" s="115"/>
      <c r="BP395" s="115"/>
      <c r="BQ395" s="115"/>
      <c r="BR395" s="115"/>
      <c r="BS395" s="115"/>
      <c r="BT395" s="115"/>
      <c r="BU395" s="115"/>
      <c r="BV395" s="115"/>
      <c r="BW395" s="25"/>
      <c r="BX395" s="13"/>
      <c r="CA395" s="114"/>
    </row>
    <row r="396" spans="1:79" ht="20.100000000000001" customHeight="1" x14ac:dyDescent="0.4">
      <c r="A396" s="117"/>
      <c r="B396" s="123"/>
      <c r="C396" s="123"/>
      <c r="D396" s="123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7"/>
      <c r="Y396" s="13"/>
      <c r="AD396" s="115"/>
      <c r="AE396" s="115"/>
      <c r="AF396" s="115"/>
      <c r="AG396" s="115"/>
      <c r="AH396" s="115"/>
      <c r="AI396" s="115"/>
      <c r="AJ396" s="115"/>
      <c r="AK396" s="115"/>
      <c r="AL396" s="115"/>
      <c r="AM396" s="115"/>
      <c r="AN396" s="127"/>
      <c r="AO396" s="29"/>
      <c r="AY396" s="25"/>
      <c r="AZ396" s="13"/>
      <c r="BE396" s="116"/>
      <c r="BF396" s="123"/>
      <c r="BG396" s="123"/>
      <c r="BH396" s="123"/>
      <c r="BM396" s="115"/>
      <c r="BN396" s="115"/>
      <c r="BO396" s="115"/>
      <c r="BP396" s="115"/>
      <c r="BQ396" s="115"/>
      <c r="BR396" s="115"/>
      <c r="BS396" s="115"/>
      <c r="BT396" s="115"/>
      <c r="BU396" s="115"/>
      <c r="BV396" s="115"/>
      <c r="BW396" s="25"/>
      <c r="BX396" s="13"/>
      <c r="CA396" s="114"/>
    </row>
    <row r="397" spans="1:79" ht="20.100000000000001" customHeight="1" x14ac:dyDescent="0.4">
      <c r="A397" s="117"/>
      <c r="B397" s="123"/>
      <c r="C397" s="123"/>
      <c r="D397" s="123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26"/>
      <c r="Y397" s="13"/>
      <c r="AD397" s="115"/>
      <c r="AE397" s="115"/>
      <c r="AF397" s="115"/>
      <c r="AG397" s="115"/>
      <c r="AH397" s="115"/>
      <c r="AI397" s="115"/>
      <c r="AJ397" s="115"/>
      <c r="AK397" s="115"/>
      <c r="AL397" s="115"/>
      <c r="AM397" s="115"/>
      <c r="AN397" s="127"/>
      <c r="AO397" s="29"/>
      <c r="AY397" s="25"/>
      <c r="AZ397" s="13"/>
      <c r="BE397" s="116"/>
      <c r="BF397" s="123"/>
      <c r="BG397" s="123"/>
      <c r="BH397" s="123"/>
      <c r="BM397" s="115"/>
      <c r="BN397" s="115"/>
      <c r="BO397" s="115"/>
      <c r="BP397" s="115"/>
      <c r="BQ397" s="115"/>
      <c r="BR397" s="115"/>
      <c r="BS397" s="115"/>
      <c r="BT397" s="115"/>
      <c r="BU397" s="115"/>
      <c r="BV397" s="115"/>
      <c r="BW397" s="25"/>
      <c r="BX397" s="13"/>
      <c r="CA397" s="114"/>
    </row>
    <row r="398" spans="1:79" ht="20.100000000000001" customHeight="1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26"/>
      <c r="Y398" s="13"/>
      <c r="AD398" s="115"/>
      <c r="AE398" s="115"/>
      <c r="AF398" s="115"/>
      <c r="AG398" s="115"/>
      <c r="AH398" s="115"/>
      <c r="AI398" s="115"/>
      <c r="AJ398" s="115"/>
      <c r="AK398" s="115"/>
      <c r="AL398" s="115"/>
      <c r="AM398" s="115"/>
      <c r="AN398" s="127"/>
      <c r="AO398" s="29"/>
      <c r="AY398" s="25"/>
      <c r="AZ398" s="13"/>
      <c r="BE398" s="116"/>
      <c r="BF398" s="123"/>
      <c r="BG398" s="123"/>
      <c r="BH398" s="123"/>
      <c r="BM398" s="115"/>
      <c r="BN398" s="115"/>
      <c r="BO398" s="115"/>
      <c r="BP398" s="115"/>
      <c r="BQ398" s="115"/>
      <c r="BR398" s="115"/>
      <c r="BS398" s="115"/>
      <c r="BT398" s="115"/>
      <c r="BU398" s="115"/>
      <c r="BV398" s="115"/>
      <c r="BW398" s="25"/>
      <c r="BX398" s="13"/>
      <c r="CA398" s="114"/>
    </row>
    <row r="399" spans="1:79" ht="20.100000000000001" customHeight="1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7"/>
      <c r="Y399" s="13"/>
      <c r="AD399" s="115"/>
      <c r="AE399" s="115"/>
      <c r="AF399" s="115"/>
      <c r="AG399" s="115"/>
      <c r="AH399" s="115"/>
      <c r="AI399" s="115"/>
      <c r="AJ399" s="115"/>
      <c r="AK399" s="115"/>
      <c r="AL399" s="115"/>
      <c r="AM399" s="115"/>
      <c r="AN399" s="127"/>
      <c r="AO399" s="29"/>
      <c r="AY399" s="25"/>
      <c r="AZ399" s="13"/>
      <c r="BE399" s="116"/>
      <c r="BF399" s="123"/>
      <c r="BG399" s="123"/>
      <c r="BH399" s="123"/>
      <c r="BM399" s="115"/>
      <c r="BN399" s="115"/>
      <c r="BO399" s="115"/>
      <c r="BP399" s="115"/>
      <c r="BQ399" s="115"/>
      <c r="BR399" s="115"/>
      <c r="BS399" s="115"/>
      <c r="BT399" s="115"/>
      <c r="BU399" s="115"/>
      <c r="BV399" s="115"/>
      <c r="BW399" s="25"/>
      <c r="BX399" s="13"/>
      <c r="CA399" s="114"/>
    </row>
    <row r="400" spans="1:79" ht="20.100000000000001" customHeight="1" x14ac:dyDescent="0.4">
      <c r="A400" s="117"/>
      <c r="B400" s="123"/>
      <c r="C400" s="123"/>
      <c r="D400" s="123"/>
      <c r="X400" s="26"/>
      <c r="Y400" s="133"/>
      <c r="AD400" s="115"/>
      <c r="AE400" s="115"/>
      <c r="AF400" s="115"/>
      <c r="AG400" s="115"/>
      <c r="AH400" s="115"/>
      <c r="AI400" s="115"/>
      <c r="AJ400" s="115"/>
      <c r="AK400" s="115"/>
      <c r="AL400" s="115"/>
      <c r="AM400" s="115"/>
      <c r="AN400" s="29"/>
      <c r="AO400" s="29"/>
      <c r="AY400" s="25"/>
      <c r="AZ400" s="13"/>
      <c r="BE400" s="116"/>
      <c r="BF400" s="123"/>
      <c r="BG400" s="123"/>
      <c r="BH400" s="123"/>
      <c r="BM400" s="115"/>
      <c r="BN400" s="115"/>
      <c r="BO400" s="115"/>
      <c r="BP400" s="115"/>
      <c r="BQ400" s="115"/>
      <c r="BR400" s="115"/>
      <c r="BS400" s="115"/>
      <c r="BT400" s="115"/>
      <c r="BU400" s="115"/>
      <c r="BV400" s="115"/>
      <c r="BW400" s="25"/>
      <c r="BX400" s="13"/>
      <c r="CA400" s="114"/>
    </row>
    <row r="401" spans="1:79" ht="20.100000000000001" customHeight="1" x14ac:dyDescent="0.4">
      <c r="A401" s="117"/>
      <c r="B401" s="123"/>
      <c r="C401" s="123"/>
      <c r="D401" s="123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7"/>
      <c r="Y401" s="13"/>
      <c r="AD401" s="115"/>
      <c r="AE401" s="115"/>
      <c r="AF401" s="115"/>
      <c r="AG401" s="115"/>
      <c r="AH401" s="115"/>
      <c r="AI401" s="115"/>
      <c r="AJ401" s="115"/>
      <c r="AK401" s="115"/>
      <c r="AL401" s="115"/>
      <c r="AM401" s="115"/>
      <c r="AN401" s="29"/>
      <c r="AO401" s="29"/>
      <c r="AY401" s="25"/>
      <c r="AZ401" s="13"/>
      <c r="BE401" s="116"/>
      <c r="BF401" s="123"/>
      <c r="BG401" s="123"/>
      <c r="BH401" s="123"/>
      <c r="BM401" s="115"/>
      <c r="BN401" s="115"/>
      <c r="BO401" s="115"/>
      <c r="BP401" s="115"/>
      <c r="BQ401" s="115"/>
      <c r="BR401" s="115"/>
      <c r="BS401" s="115"/>
      <c r="BT401" s="115"/>
      <c r="BU401" s="115"/>
      <c r="BV401" s="115"/>
      <c r="BW401" s="25"/>
      <c r="BX401" s="13"/>
      <c r="CA401" s="114"/>
    </row>
    <row r="402" spans="1:79" ht="20.100000000000001" customHeight="1" x14ac:dyDescent="0.4">
      <c r="A402" s="117"/>
      <c r="B402" s="123"/>
      <c r="C402" s="123"/>
      <c r="D402" s="123"/>
      <c r="X402" s="26"/>
      <c r="Y402" s="15"/>
      <c r="AD402" s="115"/>
      <c r="AE402" s="115"/>
      <c r="AF402" s="115"/>
      <c r="AG402" s="115"/>
      <c r="AH402" s="115"/>
      <c r="AI402" s="115"/>
      <c r="AJ402" s="115"/>
      <c r="AK402" s="115"/>
      <c r="AL402" s="115"/>
      <c r="AM402" s="115"/>
      <c r="AN402" s="127"/>
      <c r="AO402" s="29"/>
      <c r="AY402" s="25"/>
      <c r="AZ402" s="13"/>
      <c r="BE402" s="116"/>
      <c r="BF402" s="123"/>
      <c r="BG402" s="123"/>
      <c r="BH402" s="123"/>
      <c r="BM402" s="115"/>
      <c r="BN402" s="115"/>
      <c r="BO402" s="115"/>
      <c r="BP402" s="115"/>
      <c r="BQ402" s="115"/>
      <c r="BR402" s="115"/>
      <c r="BS402" s="115"/>
      <c r="BT402" s="115"/>
      <c r="BU402" s="115"/>
      <c r="BV402" s="115"/>
      <c r="BW402" s="25"/>
      <c r="BX402" s="13"/>
      <c r="CA402" s="114"/>
    </row>
    <row r="403" spans="1:79" ht="20.100000000000001" customHeight="1" x14ac:dyDescent="0.4">
      <c r="A403" s="117"/>
      <c r="B403" s="123"/>
      <c r="C403" s="123"/>
      <c r="D403" s="123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26"/>
      <c r="Y403" s="15"/>
      <c r="AD403" s="115"/>
      <c r="AE403" s="115"/>
      <c r="AF403" s="115"/>
      <c r="AG403" s="115"/>
      <c r="AH403" s="115"/>
      <c r="AI403" s="115"/>
      <c r="AJ403" s="115"/>
      <c r="AK403" s="115"/>
      <c r="AL403" s="115"/>
      <c r="AM403" s="115"/>
      <c r="AN403" s="127"/>
      <c r="AO403" s="29"/>
      <c r="AY403" s="25"/>
      <c r="AZ403" s="13"/>
      <c r="BE403" s="116"/>
      <c r="BF403" s="123"/>
      <c r="BG403" s="123"/>
      <c r="BH403" s="123"/>
      <c r="BM403" s="115"/>
      <c r="BN403" s="115"/>
      <c r="BO403" s="115"/>
      <c r="BP403" s="115"/>
      <c r="BQ403" s="115"/>
      <c r="BR403" s="115"/>
      <c r="BS403" s="115"/>
      <c r="BT403" s="115"/>
      <c r="BU403" s="115"/>
      <c r="BV403" s="115"/>
      <c r="BW403" s="25"/>
      <c r="BX403" s="13"/>
      <c r="CA403" s="114"/>
    </row>
    <row r="404" spans="1:79" ht="20.100000000000001" customHeight="1" x14ac:dyDescent="0.4">
      <c r="A404" s="117"/>
      <c r="B404" s="123"/>
      <c r="C404" s="123"/>
      <c r="D404" s="123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7"/>
      <c r="Y404" s="15"/>
      <c r="AD404" s="115"/>
      <c r="AE404" s="115"/>
      <c r="AF404" s="115"/>
      <c r="AG404" s="115"/>
      <c r="AH404" s="115"/>
      <c r="AI404" s="115"/>
      <c r="AJ404" s="115"/>
      <c r="AK404" s="115"/>
      <c r="AL404" s="115"/>
      <c r="AM404" s="115"/>
      <c r="AN404" s="127"/>
      <c r="AO404" s="29"/>
      <c r="AY404" s="25"/>
      <c r="AZ404" s="13"/>
      <c r="BE404" s="116"/>
      <c r="BF404" s="123"/>
      <c r="BG404" s="123"/>
      <c r="BH404" s="123"/>
      <c r="BM404" s="115"/>
      <c r="BN404" s="115"/>
      <c r="BO404" s="115"/>
      <c r="BP404" s="115"/>
      <c r="BQ404" s="115"/>
      <c r="BR404" s="115"/>
      <c r="BS404" s="115"/>
      <c r="BT404" s="115"/>
      <c r="BU404" s="115"/>
      <c r="BV404" s="115"/>
      <c r="BW404" s="25"/>
      <c r="BX404" s="13"/>
      <c r="CA404" s="114"/>
    </row>
    <row r="405" spans="1:79" ht="20.100000000000001" customHeight="1" x14ac:dyDescent="0.4">
      <c r="A405" s="117"/>
      <c r="B405" s="123"/>
      <c r="C405" s="123"/>
      <c r="D405" s="123"/>
      <c r="X405" s="26"/>
      <c r="Y405" s="15"/>
      <c r="AC405" s="115"/>
      <c r="AD405" s="115"/>
      <c r="AE405" s="115"/>
      <c r="AF405" s="115"/>
      <c r="AG405" s="115"/>
      <c r="AH405" s="115"/>
      <c r="AI405" s="115"/>
      <c r="AJ405" s="115"/>
      <c r="AK405" s="115"/>
      <c r="AL405" s="115"/>
      <c r="AM405" s="115"/>
      <c r="AN405" s="127"/>
      <c r="AO405" s="29"/>
      <c r="AY405" s="25"/>
      <c r="AZ405" s="13"/>
      <c r="BE405" s="116"/>
      <c r="BF405" s="123"/>
      <c r="BG405" s="123"/>
      <c r="BH405" s="123"/>
      <c r="BM405" s="115"/>
      <c r="BN405" s="115"/>
      <c r="BO405" s="115"/>
      <c r="BP405" s="115"/>
      <c r="BQ405" s="115"/>
      <c r="BR405" s="115"/>
      <c r="BS405" s="115"/>
      <c r="BT405" s="115"/>
      <c r="BU405" s="115"/>
      <c r="BV405" s="115"/>
      <c r="BW405" s="25"/>
      <c r="BX405" s="13"/>
      <c r="CA405" s="114"/>
    </row>
    <row r="406" spans="1:79" ht="20.100000000000001" customHeight="1" x14ac:dyDescent="0.4">
      <c r="A406" s="117"/>
      <c r="B406" s="123"/>
      <c r="C406" s="123"/>
      <c r="D406" s="123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26"/>
      <c r="Y406" s="15"/>
      <c r="AC406" s="115"/>
      <c r="AD406" s="115"/>
      <c r="AE406" s="115"/>
      <c r="AF406" s="115"/>
      <c r="AG406" s="115"/>
      <c r="AH406" s="115"/>
      <c r="AI406" s="115"/>
      <c r="AJ406" s="115"/>
      <c r="AK406" s="115"/>
      <c r="AL406" s="115"/>
      <c r="AM406" s="115"/>
      <c r="AN406" s="127"/>
      <c r="AO406" s="29"/>
      <c r="AY406" s="25"/>
      <c r="AZ406" s="13"/>
      <c r="BE406" s="116"/>
      <c r="BF406" s="123"/>
      <c r="BG406" s="123"/>
      <c r="BH406" s="123"/>
      <c r="BM406" s="115"/>
      <c r="BN406" s="115"/>
      <c r="BO406" s="115"/>
      <c r="BP406" s="115"/>
      <c r="BQ406" s="115"/>
      <c r="BR406" s="115"/>
      <c r="BS406" s="115"/>
      <c r="BT406" s="115"/>
      <c r="BU406" s="115"/>
      <c r="BV406" s="115"/>
      <c r="BW406" s="25"/>
      <c r="BX406" s="13"/>
      <c r="CA406" s="114"/>
    </row>
    <row r="407" spans="1:79" ht="20.100000000000001" customHeight="1" x14ac:dyDescent="0.4">
      <c r="A407" s="117"/>
      <c r="B407" s="123"/>
      <c r="C407" s="123"/>
      <c r="D407" s="123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20"/>
      <c r="Y407" s="13"/>
      <c r="AC407" s="115"/>
      <c r="AD407" s="115"/>
      <c r="AE407" s="115"/>
      <c r="AF407" s="115"/>
      <c r="AG407" s="115"/>
      <c r="AH407" s="115"/>
      <c r="AI407" s="115"/>
      <c r="AJ407" s="115"/>
      <c r="AK407" s="115"/>
      <c r="AL407" s="115"/>
      <c r="AM407" s="115"/>
      <c r="AN407" s="127"/>
      <c r="AO407" s="29"/>
      <c r="AY407" s="25"/>
      <c r="AZ407" s="13"/>
      <c r="BE407" s="116"/>
      <c r="BF407" s="123"/>
      <c r="BG407" s="123"/>
      <c r="BH407" s="123"/>
      <c r="BM407" s="115"/>
      <c r="BN407" s="115"/>
      <c r="BO407" s="115"/>
      <c r="BP407" s="115"/>
      <c r="BQ407" s="115"/>
      <c r="BR407" s="115"/>
      <c r="BS407" s="115"/>
      <c r="BT407" s="115"/>
      <c r="BU407" s="115"/>
      <c r="BV407" s="115"/>
      <c r="BW407" s="25"/>
      <c r="BX407" s="13"/>
      <c r="CA407" s="114"/>
    </row>
    <row r="408" spans="1:79" ht="20.100000000000001" customHeight="1" x14ac:dyDescent="0.4">
      <c r="A408" s="117"/>
      <c r="B408" s="123"/>
      <c r="C408" s="123"/>
      <c r="D408" s="123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20"/>
      <c r="Y408" s="13"/>
      <c r="AC408" s="115"/>
      <c r="AD408" s="115"/>
      <c r="AE408" s="115"/>
      <c r="AF408" s="115"/>
      <c r="AG408" s="115"/>
      <c r="AH408" s="115"/>
      <c r="AI408" s="115"/>
      <c r="AJ408" s="115"/>
      <c r="AK408" s="115"/>
      <c r="AL408" s="115"/>
      <c r="AM408" s="115"/>
      <c r="AN408" s="127"/>
      <c r="AO408" s="29"/>
      <c r="AY408" s="25"/>
      <c r="AZ408" s="13"/>
      <c r="BE408" s="116"/>
      <c r="BF408" s="123"/>
      <c r="BG408" s="123"/>
      <c r="BH408" s="123"/>
      <c r="BM408" s="115"/>
      <c r="BN408" s="115"/>
      <c r="BO408" s="115"/>
      <c r="BP408" s="115"/>
      <c r="BQ408" s="115"/>
      <c r="BR408" s="115"/>
      <c r="BS408" s="115"/>
      <c r="BT408" s="115"/>
      <c r="BU408" s="115"/>
      <c r="BV408" s="115"/>
      <c r="BW408" s="25"/>
      <c r="BX408" s="13"/>
      <c r="CA408" s="114"/>
    </row>
    <row r="409" spans="1:79" ht="20.100000000000001" customHeight="1" x14ac:dyDescent="0.4">
      <c r="A409" s="117"/>
      <c r="B409" s="123"/>
      <c r="C409" s="123"/>
      <c r="D409" s="123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25"/>
      <c r="Y409" s="13"/>
      <c r="AC409" s="115"/>
      <c r="AD409" s="115"/>
      <c r="AE409" s="115"/>
      <c r="AF409" s="115"/>
      <c r="AG409" s="115"/>
      <c r="AH409" s="115"/>
      <c r="AI409" s="115"/>
      <c r="AJ409" s="115"/>
      <c r="AK409" s="115"/>
      <c r="AL409" s="115"/>
      <c r="AM409" s="115"/>
      <c r="AN409" s="127"/>
      <c r="AO409" s="29"/>
      <c r="AY409" s="25"/>
      <c r="AZ409" s="13"/>
      <c r="BE409" s="116"/>
      <c r="BF409" s="123"/>
      <c r="BG409" s="123"/>
      <c r="BH409" s="123"/>
      <c r="BM409" s="115"/>
      <c r="BN409" s="115"/>
      <c r="BO409" s="115"/>
      <c r="BP409" s="115"/>
      <c r="BQ409" s="115"/>
      <c r="BR409" s="115"/>
      <c r="BS409" s="115"/>
      <c r="BT409" s="115"/>
      <c r="BU409" s="115"/>
      <c r="BV409" s="115"/>
      <c r="BW409" s="25"/>
      <c r="BX409" s="13"/>
      <c r="CA409" s="114"/>
    </row>
    <row r="410" spans="1:79" ht="20.100000000000001" customHeight="1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25"/>
      <c r="Y410" s="13"/>
      <c r="AC410" s="115"/>
      <c r="AD410" s="115"/>
      <c r="AE410" s="115"/>
      <c r="AF410" s="115"/>
      <c r="AG410" s="115"/>
      <c r="AH410" s="115"/>
      <c r="AI410" s="115"/>
      <c r="AJ410" s="115"/>
      <c r="AK410" s="115"/>
      <c r="AL410" s="115"/>
      <c r="AM410" s="115"/>
      <c r="AN410" s="127"/>
      <c r="AO410" s="29"/>
      <c r="AY410" s="25"/>
      <c r="AZ410" s="13"/>
      <c r="BE410" s="116"/>
      <c r="BF410" s="123"/>
      <c r="BG410" s="123"/>
      <c r="BH410" s="123"/>
      <c r="BM410" s="115"/>
      <c r="BN410" s="115"/>
      <c r="BO410" s="115"/>
      <c r="BP410" s="115"/>
      <c r="BQ410" s="115"/>
      <c r="BR410" s="115"/>
      <c r="BS410" s="115"/>
      <c r="BT410" s="115"/>
      <c r="BU410" s="115"/>
      <c r="BV410" s="115"/>
      <c r="BW410" s="25"/>
      <c r="BX410" s="13"/>
      <c r="CA410" s="114"/>
    </row>
    <row r="411" spans="1:79" ht="20.100000000000001" customHeight="1" x14ac:dyDescent="0.4">
      <c r="A411" s="117"/>
      <c r="B411" s="123"/>
      <c r="C411" s="123"/>
      <c r="D411" s="123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3"/>
      <c r="Y411" s="13"/>
      <c r="AC411" s="115"/>
      <c r="AD411" s="115"/>
      <c r="AE411" s="115"/>
      <c r="AF411" s="115"/>
      <c r="AG411" s="115"/>
      <c r="AH411" s="115"/>
      <c r="AI411" s="115"/>
      <c r="AJ411" s="115"/>
      <c r="AK411" s="115"/>
      <c r="AL411" s="115"/>
      <c r="AM411" s="115"/>
      <c r="AN411" s="127"/>
      <c r="AO411" s="29"/>
      <c r="AY411" s="25"/>
      <c r="AZ411" s="13"/>
      <c r="BE411" s="116"/>
      <c r="BF411" s="123"/>
      <c r="BG411" s="123"/>
      <c r="BH411" s="123"/>
      <c r="BM411" s="115"/>
      <c r="BN411" s="115"/>
      <c r="BO411" s="115"/>
      <c r="BP411" s="115"/>
      <c r="BQ411" s="115"/>
      <c r="BR411" s="115"/>
      <c r="BS411" s="115"/>
      <c r="BT411" s="115"/>
      <c r="BU411" s="115"/>
      <c r="BV411" s="115"/>
      <c r="BW411" s="25"/>
      <c r="BX411" s="13"/>
      <c r="CA411" s="114"/>
    </row>
    <row r="412" spans="1:79" ht="20.100000000000001" customHeight="1" x14ac:dyDescent="0.4">
      <c r="A412" s="117"/>
      <c r="B412" s="123"/>
      <c r="C412" s="123"/>
      <c r="D412" s="123"/>
      <c r="X412" s="25"/>
      <c r="Y412" s="13"/>
      <c r="AC412" s="115"/>
      <c r="AD412" s="115"/>
      <c r="AE412" s="115"/>
      <c r="AF412" s="115"/>
      <c r="AG412" s="115"/>
      <c r="AH412" s="115"/>
      <c r="AI412" s="115"/>
      <c r="AJ412" s="115"/>
      <c r="AK412" s="115"/>
      <c r="AL412" s="115"/>
      <c r="AM412" s="115"/>
      <c r="AN412" s="127"/>
      <c r="AO412" s="29"/>
      <c r="AY412" s="25"/>
      <c r="AZ412" s="13"/>
      <c r="BE412" s="116"/>
      <c r="BF412" s="123"/>
      <c r="BG412" s="123"/>
      <c r="BH412" s="123"/>
      <c r="BM412" s="115"/>
      <c r="BN412" s="115"/>
      <c r="BO412" s="115"/>
      <c r="BP412" s="115"/>
      <c r="BQ412" s="115"/>
      <c r="BR412" s="115"/>
      <c r="BS412" s="115"/>
      <c r="BT412" s="115"/>
      <c r="BU412" s="115"/>
      <c r="BV412" s="115"/>
      <c r="BW412" s="25"/>
      <c r="BX412" s="13"/>
      <c r="CA412" s="114"/>
    </row>
    <row r="413" spans="1:79" ht="20.100000000000001" customHeight="1" x14ac:dyDescent="0.4">
      <c r="A413" s="117"/>
      <c r="B413" s="123"/>
      <c r="C413" s="123"/>
      <c r="D413" s="123"/>
      <c r="X413" s="25"/>
      <c r="Y413" s="13"/>
      <c r="AC413" s="115"/>
      <c r="AD413" s="115"/>
      <c r="AE413" s="115"/>
      <c r="AF413" s="115"/>
      <c r="AG413" s="115"/>
      <c r="AH413" s="115"/>
      <c r="AI413" s="115"/>
      <c r="AJ413" s="115"/>
      <c r="AK413" s="115"/>
      <c r="AL413" s="115"/>
      <c r="AM413" s="115"/>
      <c r="AN413" s="127"/>
      <c r="AO413" s="29"/>
      <c r="AY413" s="25"/>
      <c r="AZ413" s="13"/>
      <c r="BE413" s="116"/>
      <c r="BF413" s="123"/>
      <c r="BG413" s="123"/>
      <c r="BH413" s="123"/>
      <c r="BM413" s="115"/>
      <c r="BN413" s="115"/>
      <c r="BO413" s="115"/>
      <c r="BP413" s="115"/>
      <c r="BQ413" s="115"/>
      <c r="BR413" s="115"/>
      <c r="BS413" s="115"/>
      <c r="BT413" s="115"/>
      <c r="BU413" s="115"/>
      <c r="BV413" s="115"/>
      <c r="BW413" s="25"/>
      <c r="BX413" s="13"/>
      <c r="CA413" s="114"/>
    </row>
    <row r="414" spans="1:79" ht="20.100000000000001" customHeight="1" x14ac:dyDescent="0.4">
      <c r="A414" s="117"/>
      <c r="B414" s="123"/>
      <c r="C414" s="123"/>
      <c r="D414" s="123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25"/>
      <c r="Y414" s="13"/>
      <c r="AC414" s="115"/>
      <c r="AD414" s="115"/>
      <c r="AE414" s="115"/>
      <c r="AF414" s="115"/>
      <c r="AG414" s="115"/>
      <c r="AH414" s="115"/>
      <c r="AI414" s="115"/>
      <c r="AJ414" s="115"/>
      <c r="AK414" s="115"/>
      <c r="AL414" s="115"/>
      <c r="AM414" s="115"/>
      <c r="AN414" s="127"/>
      <c r="AO414" s="29"/>
      <c r="AY414" s="25"/>
      <c r="AZ414" s="13"/>
      <c r="BE414" s="116"/>
      <c r="BF414" s="123"/>
      <c r="BG414" s="123"/>
      <c r="BH414" s="123"/>
      <c r="BM414" s="115"/>
      <c r="BN414" s="115"/>
      <c r="BO414" s="115"/>
      <c r="BP414" s="115"/>
      <c r="BQ414" s="115"/>
      <c r="BR414" s="115"/>
      <c r="BS414" s="115"/>
      <c r="BT414" s="115"/>
      <c r="BU414" s="115"/>
      <c r="BV414" s="115"/>
      <c r="BW414" s="25"/>
      <c r="BX414" s="13"/>
      <c r="CA414" s="114"/>
    </row>
    <row r="415" spans="1:79" ht="20.100000000000001" customHeight="1" x14ac:dyDescent="0.4">
      <c r="A415" s="117"/>
      <c r="B415" s="123"/>
      <c r="C415" s="123"/>
      <c r="D415" s="123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3"/>
      <c r="Y415" s="13"/>
      <c r="AC415" s="115"/>
      <c r="AD415" s="115"/>
      <c r="AE415" s="115"/>
      <c r="AF415" s="115"/>
      <c r="AG415" s="115"/>
      <c r="AH415" s="115"/>
      <c r="AI415" s="115"/>
      <c r="AJ415" s="115"/>
      <c r="AK415" s="115"/>
      <c r="AL415" s="115"/>
      <c r="AM415" s="115"/>
      <c r="AN415" s="127"/>
      <c r="AO415" s="29"/>
      <c r="AY415" s="25"/>
      <c r="AZ415" s="13"/>
      <c r="BE415" s="116"/>
      <c r="BF415" s="123"/>
      <c r="BG415" s="123"/>
      <c r="BH415" s="123"/>
      <c r="BM415" s="115"/>
      <c r="BN415" s="115"/>
      <c r="BO415" s="115"/>
      <c r="BP415" s="115"/>
      <c r="BQ415" s="115"/>
      <c r="BR415" s="115"/>
      <c r="BS415" s="115"/>
      <c r="BT415" s="115"/>
      <c r="BU415" s="115"/>
      <c r="BV415" s="115"/>
      <c r="BW415" s="25"/>
      <c r="BX415" s="13"/>
      <c r="CA415" s="114"/>
    </row>
    <row r="416" spans="1:79" ht="20.100000000000001" customHeight="1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25"/>
      <c r="Y416" s="13"/>
      <c r="AC416" s="115"/>
      <c r="AD416" s="115"/>
      <c r="AE416" s="115"/>
      <c r="AF416" s="115"/>
      <c r="AG416" s="115"/>
      <c r="AH416" s="115"/>
      <c r="AI416" s="115"/>
      <c r="AJ416" s="115"/>
      <c r="AK416" s="115"/>
      <c r="AL416" s="115"/>
      <c r="AM416" s="115"/>
      <c r="AN416" s="127"/>
      <c r="AO416" s="29"/>
      <c r="AY416" s="25"/>
      <c r="AZ416" s="13"/>
      <c r="BE416" s="116"/>
      <c r="BF416" s="123"/>
      <c r="BG416" s="123"/>
      <c r="BH416" s="123"/>
      <c r="BM416" s="115"/>
      <c r="BN416" s="115"/>
      <c r="BO416" s="115"/>
      <c r="BP416" s="115"/>
      <c r="BQ416" s="115"/>
      <c r="BR416" s="115"/>
      <c r="BS416" s="115"/>
      <c r="BT416" s="115"/>
      <c r="BU416" s="115"/>
      <c r="BV416" s="115"/>
      <c r="BW416" s="25"/>
      <c r="BX416" s="13"/>
      <c r="CA416" s="114"/>
    </row>
    <row r="417" spans="1:79" ht="20.100000000000001" customHeight="1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3"/>
      <c r="Y417" s="13"/>
      <c r="AC417" s="115"/>
      <c r="AD417" s="115"/>
      <c r="AE417" s="115"/>
      <c r="AF417" s="115"/>
      <c r="AG417" s="115"/>
      <c r="AH417" s="115"/>
      <c r="AI417" s="115"/>
      <c r="AJ417" s="115"/>
      <c r="AK417" s="115"/>
      <c r="AL417" s="115"/>
      <c r="AM417" s="115"/>
      <c r="AN417" s="127"/>
      <c r="AO417" s="29"/>
      <c r="AY417" s="25"/>
      <c r="AZ417" s="13"/>
      <c r="BE417" s="116"/>
      <c r="BF417" s="123"/>
      <c r="BG417" s="123"/>
      <c r="BH417" s="123"/>
      <c r="BM417" s="115"/>
      <c r="BN417" s="115"/>
      <c r="BO417" s="115"/>
      <c r="BP417" s="115"/>
      <c r="BQ417" s="115"/>
      <c r="BR417" s="115"/>
      <c r="BS417" s="115"/>
      <c r="BT417" s="115"/>
      <c r="BU417" s="115"/>
      <c r="BV417" s="115"/>
      <c r="BW417" s="25"/>
      <c r="BX417" s="13"/>
      <c r="CA417" s="114"/>
    </row>
    <row r="418" spans="1:79" ht="20.100000000000001" customHeight="1" x14ac:dyDescent="0.4">
      <c r="A418" s="117"/>
      <c r="B418" s="123"/>
      <c r="C418" s="123"/>
      <c r="D418" s="123"/>
      <c r="X418" s="25"/>
      <c r="Y418" s="13"/>
      <c r="AC418" s="115"/>
      <c r="AD418" s="115"/>
      <c r="AE418" s="115"/>
      <c r="AF418" s="115"/>
      <c r="AG418" s="115"/>
      <c r="AH418" s="115"/>
      <c r="AI418" s="115"/>
      <c r="AJ418" s="115"/>
      <c r="AK418" s="115"/>
      <c r="AL418" s="115"/>
      <c r="AM418" s="115"/>
      <c r="AN418" s="127"/>
      <c r="AO418" s="29"/>
      <c r="AY418" s="25"/>
      <c r="AZ418" s="13"/>
      <c r="BE418" s="116"/>
      <c r="BF418" s="123"/>
      <c r="BG418" s="123"/>
      <c r="BH418" s="123"/>
      <c r="BM418" s="115"/>
      <c r="BN418" s="115"/>
      <c r="BO418" s="115"/>
      <c r="BP418" s="115"/>
      <c r="BQ418" s="115"/>
      <c r="BR418" s="115"/>
      <c r="BS418" s="115"/>
      <c r="BT418" s="115"/>
      <c r="BU418" s="115"/>
      <c r="BV418" s="115"/>
      <c r="BW418" s="25"/>
      <c r="BX418" s="13"/>
      <c r="CA418" s="114"/>
    </row>
    <row r="419" spans="1:79" ht="20.100000000000001" customHeight="1" x14ac:dyDescent="0.4">
      <c r="A419" s="117"/>
      <c r="B419" s="123"/>
      <c r="C419" s="123"/>
      <c r="D419" s="123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3"/>
      <c r="Y419" s="13"/>
      <c r="AC419" s="115"/>
      <c r="AD419" s="115"/>
      <c r="AE419" s="115"/>
      <c r="AF419" s="115"/>
      <c r="AG419" s="115"/>
      <c r="AH419" s="115"/>
      <c r="AI419" s="115"/>
      <c r="AJ419" s="115"/>
      <c r="AK419" s="115"/>
      <c r="AL419" s="115"/>
      <c r="AM419" s="115"/>
      <c r="AN419" s="127"/>
      <c r="AO419" s="29"/>
      <c r="AY419" s="25"/>
      <c r="AZ419" s="13"/>
      <c r="BE419" s="116"/>
      <c r="BF419" s="123"/>
      <c r="BG419" s="123"/>
      <c r="BH419" s="123"/>
      <c r="BM419" s="115"/>
      <c r="BN419" s="115"/>
      <c r="BO419" s="115"/>
      <c r="BP419" s="115"/>
      <c r="BQ419" s="115"/>
      <c r="BR419" s="115"/>
      <c r="BS419" s="115"/>
      <c r="BT419" s="115"/>
      <c r="BU419" s="115"/>
      <c r="BV419" s="115"/>
      <c r="BW419" s="25"/>
      <c r="BX419" s="13"/>
      <c r="CA419" s="114"/>
    </row>
    <row r="420" spans="1:79" ht="20.100000000000001" customHeight="1" x14ac:dyDescent="0.4">
      <c r="A420" s="117"/>
      <c r="B420" s="123"/>
      <c r="C420" s="123"/>
      <c r="D420" s="123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3"/>
      <c r="Y420" s="13"/>
      <c r="AC420" s="115"/>
      <c r="AD420" s="115"/>
      <c r="AE420" s="115"/>
      <c r="AF420" s="115"/>
      <c r="AG420" s="115"/>
      <c r="AH420" s="115"/>
      <c r="AI420" s="115"/>
      <c r="AJ420" s="115"/>
      <c r="AK420" s="115"/>
      <c r="AL420" s="115"/>
      <c r="AM420" s="115"/>
      <c r="AN420" s="127"/>
      <c r="AO420" s="29"/>
      <c r="AY420" s="25"/>
      <c r="AZ420" s="13"/>
      <c r="BE420" s="116"/>
      <c r="BF420" s="123"/>
      <c r="BG420" s="123"/>
      <c r="BH420" s="123"/>
      <c r="BM420" s="115"/>
      <c r="BN420" s="115"/>
      <c r="BO420" s="115"/>
      <c r="BP420" s="115"/>
      <c r="BQ420" s="115"/>
      <c r="BR420" s="115"/>
      <c r="BS420" s="115"/>
      <c r="BT420" s="115"/>
      <c r="BU420" s="115"/>
      <c r="BV420" s="115"/>
      <c r="BW420" s="25"/>
      <c r="BX420" s="13"/>
      <c r="CA420" s="114"/>
    </row>
    <row r="421" spans="1:79" ht="20.100000000000001" customHeight="1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25"/>
      <c r="Y421" s="15"/>
      <c r="AC421" s="115"/>
      <c r="AD421" s="115"/>
      <c r="AE421" s="115"/>
      <c r="AF421" s="115"/>
      <c r="AG421" s="115"/>
      <c r="AH421" s="115"/>
      <c r="AI421" s="115"/>
      <c r="AJ421" s="115"/>
      <c r="AK421" s="115"/>
      <c r="AL421" s="115"/>
      <c r="AM421" s="115"/>
      <c r="AN421" s="127"/>
      <c r="AO421" s="29"/>
      <c r="AY421" s="25"/>
      <c r="AZ421" s="13"/>
      <c r="BE421" s="116"/>
      <c r="BF421" s="123"/>
      <c r="BG421" s="123"/>
      <c r="BH421" s="123"/>
      <c r="BM421" s="115"/>
      <c r="BN421" s="115"/>
      <c r="BO421" s="115"/>
      <c r="BP421" s="115"/>
      <c r="BQ421" s="115"/>
      <c r="BR421" s="115"/>
      <c r="BS421" s="115"/>
      <c r="BT421" s="115"/>
      <c r="BU421" s="115"/>
      <c r="BV421" s="115"/>
      <c r="BW421" s="25"/>
      <c r="BX421" s="13"/>
      <c r="CA421" s="114"/>
    </row>
    <row r="422" spans="1:79" ht="20.100000000000001" customHeight="1" x14ac:dyDescent="0.4">
      <c r="A422" s="117"/>
      <c r="B422" s="123"/>
      <c r="C422" s="123"/>
      <c r="D422" s="123"/>
      <c r="X422" s="25"/>
      <c r="Y422" s="15"/>
      <c r="AC422" s="115"/>
      <c r="AD422" s="115"/>
      <c r="AE422" s="115"/>
      <c r="AF422" s="115"/>
      <c r="AG422" s="115"/>
      <c r="AH422" s="115"/>
      <c r="AI422" s="115"/>
      <c r="AJ422" s="115"/>
      <c r="AK422" s="115"/>
      <c r="AL422" s="115"/>
      <c r="AM422" s="115"/>
      <c r="AN422" s="127"/>
      <c r="AO422" s="29"/>
      <c r="AY422" s="25"/>
      <c r="AZ422" s="13"/>
      <c r="BE422" s="116"/>
      <c r="BF422" s="123"/>
      <c r="BG422" s="123"/>
      <c r="BH422" s="123"/>
      <c r="BM422" s="115"/>
      <c r="BN422" s="115"/>
      <c r="BO422" s="115"/>
      <c r="BP422" s="115"/>
      <c r="BQ422" s="115"/>
      <c r="BR422" s="115"/>
      <c r="BS422" s="115"/>
      <c r="BT422" s="115"/>
      <c r="BU422" s="115"/>
      <c r="BV422" s="115"/>
      <c r="BW422" s="25"/>
      <c r="BX422" s="13"/>
      <c r="CA422" s="114"/>
    </row>
    <row r="423" spans="1:79" ht="20.100000000000001" customHeight="1" x14ac:dyDescent="0.4">
      <c r="A423" s="117"/>
      <c r="B423" s="123"/>
      <c r="C423" s="123"/>
      <c r="D423" s="123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25"/>
      <c r="Y423" s="13"/>
      <c r="AC423" s="115"/>
      <c r="AD423" s="115"/>
      <c r="AE423" s="115"/>
      <c r="AF423" s="115"/>
      <c r="AG423" s="115"/>
      <c r="AH423" s="115"/>
      <c r="AI423" s="115"/>
      <c r="AJ423" s="115"/>
      <c r="AK423" s="115"/>
      <c r="AL423" s="115"/>
      <c r="AM423" s="115"/>
      <c r="AN423" s="127"/>
      <c r="AO423" s="29"/>
      <c r="AY423" s="25"/>
      <c r="AZ423" s="13"/>
      <c r="BE423" s="116"/>
      <c r="BF423" s="123"/>
      <c r="BG423" s="123"/>
      <c r="BH423" s="123"/>
      <c r="BM423" s="115"/>
      <c r="BN423" s="115"/>
      <c r="BO423" s="115"/>
      <c r="BP423" s="115"/>
      <c r="BQ423" s="115"/>
      <c r="BR423" s="115"/>
      <c r="BS423" s="115"/>
      <c r="BT423" s="115"/>
      <c r="BU423" s="115"/>
      <c r="BV423" s="115"/>
      <c r="BW423" s="25"/>
      <c r="BX423" s="13"/>
      <c r="CA423" s="114"/>
    </row>
    <row r="424" spans="1:79" ht="20.100000000000001" customHeight="1" x14ac:dyDescent="0.4">
      <c r="A424" s="117"/>
      <c r="B424" s="123"/>
      <c r="C424" s="123"/>
      <c r="D424" s="123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25"/>
      <c r="Y424" s="13"/>
      <c r="AC424" s="115"/>
      <c r="AD424" s="115"/>
      <c r="AE424" s="115"/>
      <c r="AF424" s="115"/>
      <c r="AG424" s="115"/>
      <c r="AH424" s="115"/>
      <c r="AI424" s="115"/>
      <c r="AJ424" s="115"/>
      <c r="AK424" s="115"/>
      <c r="AL424" s="115"/>
      <c r="AM424" s="115"/>
      <c r="AN424" s="127"/>
      <c r="AO424" s="29"/>
      <c r="AY424" s="25"/>
      <c r="AZ424" s="13"/>
      <c r="BE424" s="116"/>
      <c r="BF424" s="123"/>
      <c r="BG424" s="123"/>
      <c r="BH424" s="123"/>
      <c r="BM424" s="115"/>
      <c r="BN424" s="115"/>
      <c r="BO424" s="115"/>
      <c r="BP424" s="115"/>
      <c r="BQ424" s="115"/>
      <c r="BR424" s="115"/>
      <c r="BS424" s="115"/>
      <c r="BT424" s="115"/>
      <c r="BU424" s="115"/>
      <c r="BV424" s="115"/>
      <c r="BW424" s="25"/>
      <c r="BX424" s="13"/>
      <c r="CA424" s="114"/>
    </row>
    <row r="425" spans="1:79" ht="20.100000000000001" customHeight="1" x14ac:dyDescent="0.4">
      <c r="A425" s="117"/>
      <c r="B425" s="123"/>
      <c r="C425" s="123"/>
      <c r="D425" s="123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25"/>
      <c r="Y425" s="13"/>
      <c r="AC425" s="115"/>
      <c r="AD425" s="115"/>
      <c r="AE425" s="115"/>
      <c r="AF425" s="115"/>
      <c r="AG425" s="115"/>
      <c r="AH425" s="115"/>
      <c r="AI425" s="115"/>
      <c r="AJ425" s="115"/>
      <c r="AK425" s="115"/>
      <c r="AL425" s="115"/>
      <c r="AM425" s="115"/>
      <c r="AN425" s="127"/>
      <c r="AO425" s="29"/>
      <c r="AY425" s="25"/>
      <c r="AZ425" s="13"/>
      <c r="BE425" s="116"/>
      <c r="BF425" s="123"/>
      <c r="BG425" s="123"/>
      <c r="BH425" s="123"/>
      <c r="BM425" s="115"/>
      <c r="BN425" s="115"/>
      <c r="BO425" s="115"/>
      <c r="BP425" s="115"/>
      <c r="BQ425" s="115"/>
      <c r="BR425" s="115"/>
      <c r="BS425" s="115"/>
      <c r="BT425" s="115"/>
      <c r="BU425" s="115"/>
      <c r="BV425" s="115"/>
      <c r="BW425" s="25"/>
      <c r="BX425" s="13"/>
      <c r="CA425" s="114"/>
    </row>
    <row r="426" spans="1:79" ht="20.100000000000001" customHeight="1" x14ac:dyDescent="0.4">
      <c r="A426" s="117"/>
      <c r="B426" s="123"/>
      <c r="C426" s="123"/>
      <c r="D426" s="123"/>
      <c r="X426" s="25"/>
      <c r="Y426" s="13"/>
      <c r="AC426" s="115"/>
      <c r="AD426" s="115"/>
      <c r="AE426" s="115"/>
      <c r="AF426" s="115"/>
      <c r="AG426" s="115"/>
      <c r="AH426" s="115"/>
      <c r="AI426" s="115"/>
      <c r="AJ426" s="115"/>
      <c r="AK426" s="115"/>
      <c r="AL426" s="115"/>
      <c r="AM426" s="115"/>
      <c r="AN426" s="127"/>
      <c r="AO426" s="29"/>
      <c r="AY426" s="25"/>
      <c r="AZ426" s="13"/>
      <c r="BE426" s="116"/>
      <c r="BF426" s="123"/>
      <c r="BG426" s="123"/>
      <c r="BH426" s="123"/>
      <c r="BM426" s="115"/>
      <c r="BN426" s="115"/>
      <c r="BO426" s="115"/>
      <c r="BP426" s="115"/>
      <c r="BQ426" s="115"/>
      <c r="BR426" s="115"/>
      <c r="BS426" s="115"/>
      <c r="BT426" s="115"/>
      <c r="BU426" s="115"/>
      <c r="BV426" s="115"/>
      <c r="BW426" s="25"/>
      <c r="BX426" s="13"/>
      <c r="CA426" s="114"/>
    </row>
    <row r="427" spans="1:79" ht="20.100000000000001" customHeight="1" x14ac:dyDescent="0.4">
      <c r="A427" s="117"/>
      <c r="B427" s="123"/>
      <c r="C427" s="123"/>
      <c r="D427" s="123"/>
      <c r="X427" s="25"/>
      <c r="Y427" s="13"/>
      <c r="AC427" s="115"/>
      <c r="AD427" s="115"/>
      <c r="AE427" s="115"/>
      <c r="AF427" s="115"/>
      <c r="AG427" s="115"/>
      <c r="AH427" s="115"/>
      <c r="AI427" s="115"/>
      <c r="AJ427" s="115"/>
      <c r="AK427" s="115"/>
      <c r="AL427" s="115"/>
      <c r="AM427" s="115"/>
      <c r="AN427" s="29"/>
      <c r="AO427" s="29"/>
      <c r="AY427" s="25"/>
      <c r="AZ427" s="13"/>
      <c r="BE427" s="116"/>
      <c r="BF427" s="123"/>
      <c r="BG427" s="123"/>
      <c r="BH427" s="123"/>
      <c r="BM427" s="115"/>
      <c r="BN427" s="115"/>
      <c r="BO427" s="115"/>
      <c r="BP427" s="115"/>
      <c r="BQ427" s="115"/>
      <c r="BR427" s="115"/>
      <c r="BS427" s="115"/>
      <c r="BT427" s="115"/>
      <c r="BU427" s="115"/>
      <c r="BV427" s="115"/>
      <c r="BW427" s="25"/>
      <c r="BX427" s="13"/>
      <c r="CA427" s="114"/>
    </row>
    <row r="428" spans="1:79" ht="20.100000000000001" customHeight="1" x14ac:dyDescent="0.4">
      <c r="A428" s="117"/>
      <c r="B428" s="123"/>
      <c r="C428" s="123"/>
      <c r="D428" s="123"/>
      <c r="X428" s="25"/>
      <c r="Y428" s="13"/>
      <c r="AC428" s="115"/>
      <c r="AD428" s="115"/>
      <c r="AE428" s="115"/>
      <c r="AF428" s="115"/>
      <c r="AG428" s="115"/>
      <c r="AH428" s="115"/>
      <c r="AI428" s="115"/>
      <c r="AJ428" s="115"/>
      <c r="AK428" s="115"/>
      <c r="AL428" s="115"/>
      <c r="AM428" s="115"/>
      <c r="AN428" s="127"/>
      <c r="AO428" s="29"/>
      <c r="AY428" s="25"/>
      <c r="AZ428" s="13"/>
      <c r="BE428" s="116"/>
      <c r="BF428" s="123"/>
      <c r="BG428" s="123"/>
      <c r="BH428" s="123"/>
      <c r="BM428" s="115"/>
      <c r="BN428" s="115"/>
      <c r="BO428" s="115"/>
      <c r="BP428" s="115"/>
      <c r="BQ428" s="115"/>
      <c r="BR428" s="115"/>
      <c r="BS428" s="115"/>
      <c r="BT428" s="115"/>
      <c r="BU428" s="115"/>
      <c r="BV428" s="115"/>
      <c r="BW428" s="25"/>
      <c r="BX428" s="13"/>
      <c r="CA428" s="114"/>
    </row>
    <row r="429" spans="1:79" ht="20.100000000000001" customHeight="1" x14ac:dyDescent="0.4">
      <c r="A429" s="117"/>
      <c r="B429" s="123"/>
      <c r="C429" s="123"/>
      <c r="D429" s="123"/>
      <c r="X429" s="25"/>
      <c r="Y429" s="13"/>
      <c r="AC429" s="115"/>
      <c r="AD429" s="115"/>
      <c r="AE429" s="115"/>
      <c r="AF429" s="115"/>
      <c r="AG429" s="115"/>
      <c r="AH429" s="115"/>
      <c r="AI429" s="115"/>
      <c r="AJ429" s="115"/>
      <c r="AK429" s="115"/>
      <c r="AL429" s="115"/>
      <c r="AM429" s="115"/>
      <c r="AN429" s="127"/>
      <c r="AO429" s="29"/>
      <c r="AY429" s="25"/>
      <c r="AZ429" s="13"/>
      <c r="BE429" s="116"/>
      <c r="BF429" s="123"/>
      <c r="BG429" s="123"/>
      <c r="BH429" s="123"/>
      <c r="BM429" s="115"/>
      <c r="BN429" s="115"/>
      <c r="BO429" s="115"/>
      <c r="BP429" s="115"/>
      <c r="BQ429" s="115"/>
      <c r="BR429" s="115"/>
      <c r="BS429" s="115"/>
      <c r="BT429" s="115"/>
      <c r="BU429" s="115"/>
      <c r="BV429" s="115"/>
      <c r="BW429" s="25"/>
      <c r="BX429" s="13"/>
      <c r="CA429" s="114"/>
    </row>
    <row r="430" spans="1:79" ht="20.100000000000001" customHeight="1" x14ac:dyDescent="0.4">
      <c r="A430" s="117"/>
      <c r="B430" s="123"/>
      <c r="C430" s="123"/>
      <c r="D430" s="123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25"/>
      <c r="Y430" s="13"/>
      <c r="AC430" s="115"/>
      <c r="AD430" s="115"/>
      <c r="AE430" s="115"/>
      <c r="AF430" s="115"/>
      <c r="AG430" s="115"/>
      <c r="AH430" s="115"/>
      <c r="AI430" s="115"/>
      <c r="AJ430" s="115"/>
      <c r="AK430" s="115"/>
      <c r="AL430" s="115"/>
      <c r="AM430" s="115"/>
      <c r="AN430" s="127"/>
      <c r="AO430" s="29"/>
      <c r="AY430" s="25"/>
      <c r="AZ430" s="13"/>
      <c r="BE430" s="116"/>
      <c r="BF430" s="123"/>
      <c r="BG430" s="123"/>
      <c r="BH430" s="123"/>
      <c r="BM430" s="115"/>
      <c r="BN430" s="115"/>
      <c r="BO430" s="115"/>
      <c r="BP430" s="115"/>
      <c r="BQ430" s="115"/>
      <c r="BR430" s="115"/>
      <c r="BS430" s="115"/>
      <c r="BT430" s="115"/>
      <c r="BU430" s="115"/>
      <c r="BV430" s="115"/>
      <c r="BW430" s="25"/>
      <c r="BX430" s="13"/>
      <c r="CA430" s="114"/>
    </row>
    <row r="431" spans="1:79" ht="20.100000000000001" customHeight="1" x14ac:dyDescent="0.4">
      <c r="A431" s="117"/>
      <c r="B431" s="123"/>
      <c r="C431" s="123"/>
      <c r="D431" s="123"/>
      <c r="X431" s="25"/>
      <c r="Y431" s="13"/>
      <c r="AC431" s="115"/>
      <c r="AD431" s="115"/>
      <c r="AE431" s="115"/>
      <c r="AF431" s="115"/>
      <c r="AG431" s="115"/>
      <c r="AH431" s="115"/>
      <c r="AI431" s="115"/>
      <c r="AJ431" s="115"/>
      <c r="AK431" s="115"/>
      <c r="AL431" s="115"/>
      <c r="AM431" s="115"/>
      <c r="AN431" s="127"/>
      <c r="AO431" s="29"/>
      <c r="AY431" s="25"/>
      <c r="AZ431" s="13"/>
      <c r="BE431" s="116"/>
      <c r="BF431" s="123"/>
      <c r="BG431" s="123"/>
      <c r="BH431" s="123"/>
      <c r="BM431" s="115"/>
      <c r="BN431" s="115"/>
      <c r="BO431" s="115"/>
      <c r="BP431" s="115"/>
      <c r="BQ431" s="115"/>
      <c r="BR431" s="115"/>
      <c r="BS431" s="115"/>
      <c r="BT431" s="115"/>
      <c r="BU431" s="115"/>
      <c r="BV431" s="115"/>
      <c r="BW431" s="25"/>
      <c r="BX431" s="13"/>
      <c r="CA431" s="114"/>
    </row>
    <row r="432" spans="1:79" ht="20.100000000000001" customHeight="1" x14ac:dyDescent="0.4">
      <c r="A432" s="117"/>
      <c r="B432" s="123"/>
      <c r="C432" s="123"/>
      <c r="D432" s="123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3"/>
      <c r="Y432" s="13"/>
      <c r="AC432" s="115"/>
      <c r="AD432" s="115"/>
      <c r="AE432" s="115"/>
      <c r="AF432" s="115"/>
      <c r="AG432" s="115"/>
      <c r="AH432" s="115"/>
      <c r="AI432" s="115"/>
      <c r="AJ432" s="115"/>
      <c r="AK432" s="115"/>
      <c r="AL432" s="115"/>
      <c r="AM432" s="115"/>
      <c r="AN432" s="127"/>
      <c r="AO432" s="29"/>
      <c r="AY432" s="25"/>
      <c r="AZ432" s="13"/>
      <c r="BE432" s="116"/>
      <c r="BF432" s="123"/>
      <c r="BG432" s="123"/>
      <c r="BH432" s="123"/>
      <c r="BM432" s="115"/>
      <c r="BN432" s="115"/>
      <c r="BO432" s="115"/>
      <c r="BP432" s="115"/>
      <c r="BQ432" s="115"/>
      <c r="BR432" s="115"/>
      <c r="BS432" s="115"/>
      <c r="BT432" s="115"/>
      <c r="BU432" s="115"/>
      <c r="BV432" s="115"/>
      <c r="BW432" s="25"/>
      <c r="BX432" s="13"/>
      <c r="CA432" s="114"/>
    </row>
    <row r="433" spans="1:79" ht="20.100000000000001" customHeight="1" x14ac:dyDescent="0.4">
      <c r="A433" s="117"/>
      <c r="B433" s="123"/>
      <c r="C433" s="123"/>
      <c r="D433" s="123"/>
      <c r="X433" s="25"/>
      <c r="Y433" s="13"/>
      <c r="AC433" s="115"/>
      <c r="AD433" s="115"/>
      <c r="AE433" s="115"/>
      <c r="AF433" s="115"/>
      <c r="AG433" s="115"/>
      <c r="AH433" s="115"/>
      <c r="AI433" s="115"/>
      <c r="AJ433" s="115"/>
      <c r="AK433" s="115"/>
      <c r="AL433" s="115"/>
      <c r="AM433" s="115"/>
      <c r="AN433" s="127"/>
      <c r="AO433" s="29"/>
      <c r="AY433" s="25"/>
      <c r="AZ433" s="13"/>
      <c r="BE433" s="116"/>
      <c r="BF433" s="123"/>
      <c r="BG433" s="123"/>
      <c r="BH433" s="123"/>
      <c r="BM433" s="115"/>
      <c r="BN433" s="115"/>
      <c r="BO433" s="115"/>
      <c r="BP433" s="115"/>
      <c r="BQ433" s="115"/>
      <c r="BR433" s="115"/>
      <c r="BS433" s="115"/>
      <c r="BT433" s="115"/>
      <c r="BU433" s="115"/>
      <c r="BV433" s="115"/>
      <c r="BW433" s="25"/>
      <c r="BX433" s="13"/>
      <c r="CA433" s="114"/>
    </row>
    <row r="434" spans="1:79" ht="20.100000000000001" customHeight="1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25"/>
      <c r="Y434" s="13"/>
      <c r="AC434" s="115"/>
      <c r="AD434" s="115"/>
      <c r="AE434" s="115"/>
      <c r="AF434" s="115"/>
      <c r="AG434" s="115"/>
      <c r="AH434" s="115"/>
      <c r="AI434" s="115"/>
      <c r="AJ434" s="115"/>
      <c r="AK434" s="115"/>
      <c r="AL434" s="115"/>
      <c r="AM434" s="115"/>
      <c r="AN434" s="127"/>
      <c r="AO434" s="29"/>
      <c r="AY434" s="25"/>
      <c r="AZ434" s="13"/>
      <c r="BE434" s="116"/>
      <c r="BF434" s="123"/>
      <c r="BG434" s="123"/>
      <c r="BH434" s="123"/>
      <c r="BM434" s="115"/>
      <c r="BN434" s="115"/>
      <c r="BO434" s="115"/>
      <c r="BP434" s="115"/>
      <c r="BQ434" s="115"/>
      <c r="BR434" s="115"/>
      <c r="BS434" s="115"/>
      <c r="BT434" s="115"/>
      <c r="BU434" s="115"/>
      <c r="BV434" s="115"/>
      <c r="BW434" s="25"/>
      <c r="BX434" s="13"/>
      <c r="CA434" s="114"/>
    </row>
    <row r="435" spans="1:79" ht="20.100000000000001" customHeight="1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25"/>
      <c r="Y435" s="13"/>
      <c r="AC435" s="115"/>
      <c r="AD435" s="115"/>
      <c r="AE435" s="115"/>
      <c r="AF435" s="115"/>
      <c r="AG435" s="115"/>
      <c r="AH435" s="115"/>
      <c r="AI435" s="115"/>
      <c r="AJ435" s="115"/>
      <c r="AK435" s="115"/>
      <c r="AL435" s="115"/>
      <c r="AM435" s="115"/>
      <c r="AN435" s="127"/>
      <c r="AO435" s="29"/>
      <c r="AY435" s="25"/>
      <c r="AZ435" s="13"/>
      <c r="BE435" s="116"/>
      <c r="BF435" s="123"/>
      <c r="BG435" s="123"/>
      <c r="BH435" s="123"/>
      <c r="BM435" s="115"/>
      <c r="BN435" s="115"/>
      <c r="BO435" s="115"/>
      <c r="BP435" s="115"/>
      <c r="BQ435" s="115"/>
      <c r="BR435" s="115"/>
      <c r="BS435" s="115"/>
      <c r="BT435" s="115"/>
      <c r="BU435" s="115"/>
      <c r="BV435" s="115"/>
      <c r="BW435" s="25"/>
      <c r="BX435" s="13"/>
      <c r="CA435" s="114"/>
    </row>
    <row r="436" spans="1:79" ht="20.100000000000001" customHeight="1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3"/>
      <c r="Y436" s="13"/>
      <c r="AC436" s="115"/>
      <c r="AD436" s="115"/>
      <c r="AE436" s="115"/>
      <c r="AF436" s="115"/>
      <c r="AG436" s="115"/>
      <c r="AH436" s="115"/>
      <c r="AI436" s="115"/>
      <c r="AJ436" s="115"/>
      <c r="AK436" s="115"/>
      <c r="AL436" s="115"/>
      <c r="AM436" s="115"/>
      <c r="AN436" s="127"/>
      <c r="AO436" s="29"/>
      <c r="AY436" s="25"/>
      <c r="AZ436" s="13"/>
      <c r="BE436" s="116"/>
      <c r="BF436" s="123"/>
      <c r="BG436" s="123"/>
      <c r="BH436" s="123"/>
      <c r="BM436" s="115"/>
      <c r="BN436" s="115"/>
      <c r="BO436" s="115"/>
      <c r="BP436" s="115"/>
      <c r="BQ436" s="115"/>
      <c r="BR436" s="115"/>
      <c r="BS436" s="115"/>
      <c r="BT436" s="115"/>
      <c r="BU436" s="115"/>
      <c r="BV436" s="115"/>
      <c r="BW436" s="25"/>
      <c r="BX436" s="13"/>
      <c r="CA436" s="114"/>
    </row>
    <row r="437" spans="1:79" ht="20.100000000000001" customHeight="1" x14ac:dyDescent="0.4">
      <c r="A437" s="117"/>
      <c r="B437" s="123"/>
      <c r="C437" s="123"/>
      <c r="D437" s="123"/>
      <c r="X437" s="25"/>
      <c r="Y437" s="13"/>
      <c r="AN437" s="127"/>
      <c r="AO437" s="29"/>
      <c r="AY437" s="25"/>
      <c r="AZ437" s="13"/>
      <c r="BE437" s="116"/>
      <c r="BF437" s="123"/>
      <c r="BG437" s="123"/>
      <c r="BH437" s="123"/>
      <c r="BM437" s="115"/>
      <c r="BN437" s="115"/>
      <c r="BO437" s="115"/>
      <c r="BP437" s="115"/>
      <c r="BQ437" s="115"/>
      <c r="BR437" s="115"/>
      <c r="BS437" s="115"/>
      <c r="BT437" s="115"/>
      <c r="BU437" s="115"/>
      <c r="BV437" s="115"/>
      <c r="BW437" s="25"/>
      <c r="BX437" s="13"/>
      <c r="CA437" s="114"/>
    </row>
    <row r="438" spans="1:79" ht="20.100000000000001" customHeight="1" x14ac:dyDescent="0.4">
      <c r="A438" s="117"/>
      <c r="B438" s="123"/>
      <c r="C438" s="123"/>
      <c r="D438" s="123"/>
      <c r="X438" s="25"/>
      <c r="Y438" s="13"/>
      <c r="AL438" s="115"/>
      <c r="AM438" s="115"/>
      <c r="AN438" s="127"/>
      <c r="AO438" s="29"/>
      <c r="AY438" s="25"/>
      <c r="AZ438" s="13"/>
      <c r="BE438" s="116"/>
      <c r="BF438" s="123"/>
      <c r="BG438" s="123"/>
      <c r="BH438" s="123"/>
      <c r="BM438" s="115"/>
      <c r="BN438" s="115"/>
      <c r="BO438" s="115"/>
      <c r="BP438" s="115"/>
      <c r="BQ438" s="115"/>
      <c r="BR438" s="115"/>
      <c r="BS438" s="115"/>
      <c r="BT438" s="115"/>
      <c r="BU438" s="115"/>
      <c r="BV438" s="115"/>
      <c r="BW438" s="25"/>
      <c r="BX438" s="13"/>
      <c r="CA438" s="114"/>
    </row>
    <row r="439" spans="1:79" ht="20.100000000000001" customHeight="1" x14ac:dyDescent="0.4">
      <c r="A439" s="117"/>
      <c r="B439" s="123"/>
      <c r="C439" s="123"/>
      <c r="D439" s="123"/>
      <c r="X439" s="25"/>
      <c r="Y439" s="13"/>
      <c r="AG439" s="115"/>
      <c r="AH439" s="115"/>
      <c r="AI439" s="115"/>
      <c r="AJ439" s="115"/>
      <c r="AK439" s="115"/>
      <c r="AL439" s="115"/>
      <c r="AM439" s="115"/>
      <c r="AN439" s="127"/>
      <c r="AO439" s="29"/>
      <c r="AY439" s="25"/>
      <c r="AZ439" s="13"/>
      <c r="BE439" s="116"/>
      <c r="BF439" s="123"/>
      <c r="BG439" s="123"/>
      <c r="BH439" s="123"/>
      <c r="BM439" s="115"/>
      <c r="BN439" s="115"/>
      <c r="BO439" s="115"/>
      <c r="BP439" s="115"/>
      <c r="BQ439" s="115"/>
      <c r="BR439" s="115"/>
      <c r="BS439" s="115"/>
      <c r="BT439" s="115"/>
      <c r="BU439" s="115"/>
      <c r="BV439" s="115"/>
      <c r="BW439" s="25"/>
      <c r="BX439" s="13"/>
      <c r="CA439" s="114"/>
    </row>
    <row r="440" spans="1:79" ht="20.100000000000001" customHeight="1" x14ac:dyDescent="0.4">
      <c r="A440" s="117"/>
      <c r="B440" s="123"/>
      <c r="C440" s="123"/>
      <c r="D440" s="123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3"/>
      <c r="Y440" s="13"/>
      <c r="AG440" s="115"/>
      <c r="AH440" s="115"/>
      <c r="AI440" s="115"/>
      <c r="AJ440" s="115"/>
      <c r="AK440" s="115"/>
      <c r="AL440" s="115"/>
      <c r="AM440" s="115"/>
      <c r="AN440" s="127"/>
      <c r="AO440" s="29"/>
      <c r="AY440" s="25"/>
      <c r="AZ440" s="13"/>
      <c r="BE440" s="116"/>
      <c r="BF440" s="123"/>
      <c r="BG440" s="123"/>
      <c r="BH440" s="123"/>
      <c r="BM440" s="115"/>
      <c r="BN440" s="115"/>
      <c r="BO440" s="115"/>
      <c r="BP440" s="115"/>
      <c r="BQ440" s="115"/>
      <c r="BR440" s="115"/>
      <c r="BS440" s="115"/>
      <c r="BT440" s="115"/>
      <c r="BU440" s="115"/>
      <c r="BV440" s="115"/>
      <c r="BW440" s="25"/>
      <c r="BX440" s="13"/>
      <c r="CA440" s="114"/>
    </row>
    <row r="441" spans="1:79" ht="20.100000000000001" customHeight="1" x14ac:dyDescent="0.4">
      <c r="A441" s="117"/>
      <c r="B441" s="123"/>
      <c r="C441" s="123"/>
      <c r="D441" s="123"/>
      <c r="X441" s="25"/>
      <c r="Y441" s="13"/>
      <c r="AE441" s="115"/>
      <c r="AF441" s="115"/>
      <c r="AG441" s="115"/>
      <c r="AH441" s="115"/>
      <c r="AI441" s="115"/>
      <c r="AJ441" s="115"/>
      <c r="AK441" s="115"/>
      <c r="AL441" s="115"/>
      <c r="AM441" s="115"/>
      <c r="AN441" s="127"/>
      <c r="AO441" s="29"/>
      <c r="AY441" s="25"/>
      <c r="AZ441" s="13"/>
      <c r="BE441" s="116"/>
      <c r="BF441" s="123"/>
      <c r="BG441" s="123"/>
      <c r="BH441" s="123"/>
      <c r="BM441" s="115"/>
      <c r="BN441" s="115"/>
      <c r="BO441" s="115"/>
      <c r="BP441" s="115"/>
      <c r="BQ441" s="115"/>
      <c r="BR441" s="115"/>
      <c r="BS441" s="115"/>
      <c r="BT441" s="115"/>
      <c r="BU441" s="115"/>
      <c r="BV441" s="115"/>
      <c r="BW441" s="25"/>
      <c r="BX441" s="13"/>
      <c r="CA441" s="114"/>
    </row>
    <row r="442" spans="1:79" ht="20.100000000000001" customHeight="1" x14ac:dyDescent="0.4">
      <c r="A442" s="117"/>
      <c r="B442" s="123"/>
      <c r="C442" s="123"/>
      <c r="D442" s="123"/>
      <c r="X442" s="25"/>
      <c r="Y442" s="13"/>
      <c r="AE442" s="115"/>
      <c r="AF442" s="115"/>
      <c r="AG442" s="115"/>
      <c r="AH442" s="115"/>
      <c r="AI442" s="115"/>
      <c r="AJ442" s="115"/>
      <c r="AK442" s="115"/>
      <c r="AL442" s="115"/>
      <c r="AM442" s="115"/>
      <c r="AN442" s="127"/>
      <c r="AO442" s="29"/>
      <c r="AY442" s="25"/>
      <c r="AZ442" s="13"/>
      <c r="BE442" s="116"/>
      <c r="BF442" s="123"/>
      <c r="BG442" s="123"/>
      <c r="BH442" s="123"/>
      <c r="BM442" s="115"/>
      <c r="BN442" s="115"/>
      <c r="BO442" s="115"/>
      <c r="BP442" s="115"/>
      <c r="BQ442" s="115"/>
      <c r="BR442" s="115"/>
      <c r="BS442" s="115"/>
      <c r="BT442" s="115"/>
      <c r="BU442" s="115"/>
      <c r="BV442" s="115"/>
      <c r="BW442" s="25"/>
      <c r="BX442" s="13"/>
      <c r="CA442" s="114"/>
    </row>
    <row r="443" spans="1:79" ht="20.100000000000001" customHeight="1" x14ac:dyDescent="0.4">
      <c r="A443" s="117"/>
      <c r="B443" s="123"/>
      <c r="C443" s="123"/>
      <c r="D443" s="123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3"/>
      <c r="Y443" s="13"/>
      <c r="AE443" s="115"/>
      <c r="AF443" s="115"/>
      <c r="AG443" s="115"/>
      <c r="AH443" s="115"/>
      <c r="AI443" s="115"/>
      <c r="AJ443" s="115"/>
      <c r="AK443" s="115"/>
      <c r="AL443" s="115"/>
      <c r="AM443" s="115"/>
      <c r="AN443" s="127"/>
      <c r="AO443" s="29"/>
      <c r="AY443" s="25"/>
      <c r="AZ443" s="13"/>
      <c r="BE443" s="116"/>
      <c r="BF443" s="123"/>
      <c r="BG443" s="123"/>
      <c r="BH443" s="123"/>
      <c r="BM443" s="115"/>
      <c r="BN443" s="115"/>
      <c r="BO443" s="115"/>
      <c r="BP443" s="115"/>
      <c r="BQ443" s="115"/>
      <c r="BR443" s="115"/>
      <c r="BS443" s="115"/>
      <c r="BT443" s="115"/>
      <c r="BU443" s="115"/>
      <c r="BV443" s="115"/>
      <c r="BW443" s="25"/>
      <c r="BX443" s="13"/>
      <c r="CA443" s="114"/>
    </row>
    <row r="444" spans="1:79" ht="20.100000000000001" customHeight="1" x14ac:dyDescent="0.4">
      <c r="A444" s="117"/>
      <c r="B444" s="123"/>
      <c r="C444" s="123"/>
      <c r="D444" s="123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3"/>
      <c r="Y444" s="13"/>
      <c r="AE444" s="115"/>
      <c r="AF444" s="115"/>
      <c r="AG444" s="115"/>
      <c r="AH444" s="115"/>
      <c r="AI444" s="115"/>
      <c r="AJ444" s="115"/>
      <c r="AK444" s="115"/>
      <c r="AL444" s="115"/>
      <c r="AM444" s="115"/>
      <c r="AN444" s="127"/>
      <c r="AO444" s="29"/>
      <c r="AY444" s="25"/>
      <c r="AZ444" s="13"/>
      <c r="BE444" s="116"/>
      <c r="BF444" s="123"/>
      <c r="BG444" s="123"/>
      <c r="BH444" s="123"/>
      <c r="BM444" s="115"/>
      <c r="BN444" s="115"/>
      <c r="BO444" s="115"/>
      <c r="BP444" s="115"/>
      <c r="BQ444" s="115"/>
      <c r="BR444" s="115"/>
      <c r="BS444" s="115"/>
      <c r="BT444" s="115"/>
      <c r="BU444" s="115"/>
      <c r="BV444" s="115"/>
      <c r="BW444" s="25"/>
      <c r="BX444" s="13"/>
      <c r="CA444" s="114"/>
    </row>
    <row r="445" spans="1:79" ht="20.100000000000001" customHeight="1" x14ac:dyDescent="0.4">
      <c r="A445" s="117"/>
      <c r="B445" s="123"/>
      <c r="C445" s="123"/>
      <c r="D445" s="123"/>
      <c r="X445" s="25"/>
      <c r="Y445" s="13"/>
      <c r="AE445" s="115"/>
      <c r="AF445" s="115"/>
      <c r="AG445" s="115"/>
      <c r="AH445" s="115"/>
      <c r="AI445" s="115"/>
      <c r="AJ445" s="115"/>
      <c r="AK445" s="115"/>
      <c r="AL445" s="115"/>
      <c r="AM445" s="115"/>
      <c r="AN445" s="127"/>
      <c r="AO445" s="29"/>
      <c r="AY445" s="25"/>
      <c r="AZ445" s="13"/>
      <c r="BE445" s="116"/>
      <c r="BF445" s="123"/>
      <c r="BG445" s="123"/>
      <c r="BH445" s="123"/>
      <c r="BM445" s="115"/>
      <c r="BN445" s="115"/>
      <c r="BO445" s="115"/>
      <c r="BP445" s="115"/>
      <c r="BQ445" s="115"/>
      <c r="BR445" s="115"/>
      <c r="BS445" s="115"/>
      <c r="BT445" s="115"/>
      <c r="BU445" s="115"/>
      <c r="BV445" s="115"/>
      <c r="BW445" s="25"/>
      <c r="BX445" s="13"/>
      <c r="CA445" s="114"/>
    </row>
    <row r="446" spans="1:79" ht="20.100000000000001" customHeight="1" x14ac:dyDescent="0.4">
      <c r="A446" s="117"/>
      <c r="B446" s="123"/>
      <c r="C446" s="123"/>
      <c r="D446" s="123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3"/>
      <c r="Y446" s="13"/>
      <c r="AE446" s="115"/>
      <c r="AF446" s="115"/>
      <c r="AG446" s="115"/>
      <c r="AH446" s="115"/>
      <c r="AI446" s="115"/>
      <c r="AJ446" s="115"/>
      <c r="AK446" s="115"/>
      <c r="AL446" s="115"/>
      <c r="AM446" s="115"/>
      <c r="AN446" s="127"/>
      <c r="AO446" s="29"/>
      <c r="AY446" s="25"/>
      <c r="AZ446" s="13"/>
      <c r="BE446" s="116"/>
      <c r="BF446" s="123"/>
      <c r="BG446" s="123"/>
      <c r="BH446" s="123"/>
      <c r="BM446" s="115"/>
      <c r="BN446" s="115"/>
      <c r="BO446" s="115"/>
      <c r="BP446" s="115"/>
      <c r="BQ446" s="115"/>
      <c r="BR446" s="115"/>
      <c r="BS446" s="115"/>
      <c r="BT446" s="115"/>
      <c r="BU446" s="115"/>
      <c r="BV446" s="115"/>
      <c r="BW446" s="25"/>
      <c r="BX446" s="13"/>
      <c r="CA446" s="114"/>
    </row>
    <row r="447" spans="1:79" ht="20.100000000000001" customHeight="1" x14ac:dyDescent="0.4">
      <c r="A447" s="117"/>
      <c r="B447" s="123"/>
      <c r="C447" s="123"/>
      <c r="D447" s="123"/>
      <c r="X447" s="25"/>
      <c r="Y447" s="13"/>
      <c r="AE447" s="115"/>
      <c r="AF447" s="115"/>
      <c r="AG447" s="115"/>
      <c r="AH447" s="115"/>
      <c r="AI447" s="115"/>
      <c r="AJ447" s="115"/>
      <c r="AK447" s="115"/>
      <c r="AL447" s="115"/>
      <c r="AM447" s="115"/>
      <c r="AN447" s="127"/>
      <c r="AO447" s="29"/>
      <c r="AY447" s="25"/>
      <c r="AZ447" s="13"/>
      <c r="BE447" s="116"/>
      <c r="BF447" s="123"/>
      <c r="BG447" s="123"/>
      <c r="BH447" s="123"/>
      <c r="BM447" s="115"/>
      <c r="BN447" s="115"/>
      <c r="BO447" s="115"/>
      <c r="BP447" s="115"/>
      <c r="BQ447" s="115"/>
      <c r="BR447" s="115"/>
      <c r="BS447" s="115"/>
      <c r="BT447" s="115"/>
      <c r="BU447" s="115"/>
      <c r="BV447" s="115"/>
      <c r="BW447" s="25"/>
      <c r="BX447" s="13"/>
      <c r="CA447" s="114"/>
    </row>
    <row r="448" spans="1:79" ht="20.100000000000001" customHeight="1" x14ac:dyDescent="0.4">
      <c r="A448" s="117"/>
      <c r="B448" s="123"/>
      <c r="C448" s="123"/>
      <c r="D448" s="123"/>
      <c r="X448" s="25"/>
      <c r="Y448" s="13"/>
      <c r="AC448" s="115"/>
      <c r="AD448" s="115"/>
      <c r="AE448" s="115"/>
      <c r="AF448" s="115"/>
      <c r="AG448" s="115"/>
      <c r="AH448" s="115"/>
      <c r="AI448" s="115"/>
      <c r="AJ448" s="115"/>
      <c r="AK448" s="115"/>
      <c r="AL448" s="115"/>
      <c r="AM448" s="115"/>
      <c r="AN448" s="127"/>
      <c r="AO448" s="29"/>
      <c r="AY448" s="25"/>
      <c r="AZ448" s="13"/>
      <c r="BE448" s="116"/>
      <c r="BF448" s="123"/>
      <c r="BG448" s="123"/>
      <c r="BH448" s="123"/>
      <c r="BM448" s="115"/>
      <c r="BN448" s="115"/>
      <c r="BO448" s="115"/>
      <c r="BP448" s="115"/>
      <c r="BQ448" s="115"/>
      <c r="BR448" s="115"/>
      <c r="BS448" s="115"/>
      <c r="BT448" s="115"/>
      <c r="BU448" s="115"/>
      <c r="BV448" s="115"/>
      <c r="BW448" s="25"/>
      <c r="BX448" s="13"/>
      <c r="CA448" s="114"/>
    </row>
    <row r="449" spans="1:79" ht="20.100000000000001" customHeight="1" x14ac:dyDescent="0.4">
      <c r="A449" s="117"/>
      <c r="B449" s="123"/>
      <c r="C449" s="123"/>
      <c r="D449" s="123"/>
      <c r="X449" s="25"/>
      <c r="Y449" s="13"/>
      <c r="AC449" s="115"/>
      <c r="AD449" s="115"/>
      <c r="AE449" s="115"/>
      <c r="AF449" s="115"/>
      <c r="AG449" s="115"/>
      <c r="AH449" s="115"/>
      <c r="AI449" s="115"/>
      <c r="AJ449" s="115"/>
      <c r="AK449" s="115"/>
      <c r="AL449" s="115"/>
      <c r="AM449" s="115"/>
      <c r="AN449" s="29"/>
      <c r="AO449" s="29"/>
      <c r="AY449" s="25"/>
      <c r="AZ449" s="13"/>
      <c r="BE449" s="116"/>
      <c r="BF449" s="123"/>
      <c r="BG449" s="123"/>
      <c r="BH449" s="123"/>
      <c r="BM449" s="115"/>
      <c r="BN449" s="115"/>
      <c r="BO449" s="115"/>
      <c r="BP449" s="115"/>
      <c r="BQ449" s="115"/>
      <c r="BR449" s="115"/>
      <c r="BS449" s="115"/>
      <c r="BT449" s="115"/>
      <c r="BU449" s="115"/>
      <c r="BV449" s="115"/>
      <c r="BW449" s="25"/>
      <c r="BX449" s="13"/>
      <c r="CA449" s="114"/>
    </row>
    <row r="450" spans="1:79" ht="20.100000000000001" customHeight="1" x14ac:dyDescent="0.4">
      <c r="A450" s="117"/>
      <c r="B450" s="123"/>
      <c r="C450" s="123"/>
      <c r="D450" s="123"/>
      <c r="X450" s="25"/>
      <c r="Y450" s="13"/>
      <c r="AC450" s="115"/>
      <c r="AD450" s="115"/>
      <c r="AE450" s="115"/>
      <c r="AF450" s="115"/>
      <c r="AG450" s="115"/>
      <c r="AH450" s="115"/>
      <c r="AI450" s="115"/>
      <c r="AJ450" s="115"/>
      <c r="AK450" s="115"/>
      <c r="AL450" s="115"/>
      <c r="AM450" s="115"/>
      <c r="AN450" s="127"/>
      <c r="AO450" s="29"/>
      <c r="AY450" s="25"/>
      <c r="AZ450" s="13"/>
      <c r="BE450" s="116"/>
      <c r="BF450" s="123"/>
      <c r="BG450" s="123"/>
      <c r="BH450" s="123"/>
      <c r="BM450" s="115"/>
      <c r="BN450" s="115"/>
      <c r="BO450" s="115"/>
      <c r="BP450" s="115"/>
      <c r="BQ450" s="115"/>
      <c r="BR450" s="115"/>
      <c r="BS450" s="115"/>
      <c r="BT450" s="115"/>
      <c r="BU450" s="115"/>
      <c r="BV450" s="115"/>
      <c r="BW450" s="25"/>
      <c r="BX450" s="13"/>
      <c r="CA450" s="114"/>
    </row>
    <row r="451" spans="1:79" ht="20.100000000000001" customHeight="1" x14ac:dyDescent="0.4">
      <c r="A451" s="117"/>
      <c r="B451" s="123"/>
      <c r="C451" s="123"/>
      <c r="D451" s="123"/>
      <c r="X451" s="25"/>
      <c r="Y451" s="13"/>
      <c r="AC451" s="115"/>
      <c r="AD451" s="115"/>
      <c r="AE451" s="115"/>
      <c r="AF451" s="115"/>
      <c r="AG451" s="115"/>
      <c r="AH451" s="115"/>
      <c r="AI451" s="115"/>
      <c r="AJ451" s="115"/>
      <c r="AK451" s="115"/>
      <c r="AL451" s="115"/>
      <c r="AM451" s="115"/>
      <c r="AN451" s="29"/>
      <c r="AO451" s="29"/>
      <c r="AY451" s="25"/>
      <c r="AZ451" s="13"/>
      <c r="BE451" s="116"/>
      <c r="BF451" s="123"/>
      <c r="BG451" s="123"/>
      <c r="BH451" s="123"/>
      <c r="BM451" s="115"/>
      <c r="BN451" s="115"/>
      <c r="BO451" s="115"/>
      <c r="BP451" s="115"/>
      <c r="BQ451" s="115"/>
      <c r="BR451" s="115"/>
      <c r="BS451" s="115"/>
      <c r="BT451" s="115"/>
      <c r="BU451" s="115"/>
      <c r="BV451" s="115"/>
      <c r="BW451" s="25"/>
      <c r="BX451" s="13"/>
      <c r="CA451" s="114"/>
    </row>
    <row r="452" spans="1:79" ht="20.100000000000001" customHeight="1" x14ac:dyDescent="0.4">
      <c r="A452" s="117"/>
      <c r="B452" s="123"/>
      <c r="C452" s="123"/>
      <c r="D452" s="123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3"/>
      <c r="Y452" s="13"/>
      <c r="AC452" s="115"/>
      <c r="AD452" s="115"/>
      <c r="AE452" s="115"/>
      <c r="AF452" s="115"/>
      <c r="AG452" s="115"/>
      <c r="AH452" s="115"/>
      <c r="AI452" s="115"/>
      <c r="AJ452" s="115"/>
      <c r="AK452" s="115"/>
      <c r="AL452" s="115"/>
      <c r="AM452" s="115"/>
      <c r="AN452" s="29"/>
      <c r="AO452" s="29"/>
      <c r="AY452" s="25"/>
      <c r="AZ452" s="13"/>
      <c r="BE452" s="116"/>
      <c r="BF452" s="123"/>
      <c r="BG452" s="123"/>
      <c r="BH452" s="123"/>
      <c r="BM452" s="115"/>
      <c r="BN452" s="115"/>
      <c r="BO452" s="115"/>
      <c r="BP452" s="115"/>
      <c r="BQ452" s="115"/>
      <c r="BR452" s="115"/>
      <c r="BS452" s="115"/>
      <c r="BT452" s="115"/>
      <c r="BU452" s="115"/>
      <c r="BV452" s="115"/>
      <c r="BW452" s="25"/>
      <c r="BX452" s="13"/>
      <c r="CA452" s="114"/>
    </row>
    <row r="453" spans="1:79" ht="20.100000000000001" customHeight="1" x14ac:dyDescent="0.4">
      <c r="A453" s="117"/>
      <c r="B453" s="123"/>
      <c r="C453" s="123"/>
      <c r="D453" s="123"/>
      <c r="X453" s="25"/>
      <c r="Y453" s="13"/>
      <c r="AC453" s="115"/>
      <c r="AD453" s="115"/>
      <c r="AE453" s="115"/>
      <c r="AF453" s="115"/>
      <c r="AG453" s="115"/>
      <c r="AH453" s="115"/>
      <c r="AI453" s="115"/>
      <c r="AJ453" s="115"/>
      <c r="AK453" s="115"/>
      <c r="AL453" s="115"/>
      <c r="AM453" s="115"/>
      <c r="AN453" s="127"/>
      <c r="AO453" s="29"/>
      <c r="AY453" s="25"/>
      <c r="AZ453" s="13"/>
      <c r="BE453" s="116"/>
      <c r="BF453" s="123"/>
      <c r="BG453" s="123"/>
      <c r="BH453" s="123"/>
      <c r="BM453" s="115"/>
      <c r="BN453" s="115"/>
      <c r="BO453" s="115"/>
      <c r="BP453" s="115"/>
      <c r="BQ453" s="115"/>
      <c r="BR453" s="115"/>
      <c r="BS453" s="115"/>
      <c r="BT453" s="115"/>
      <c r="BU453" s="115"/>
      <c r="BV453" s="115"/>
      <c r="BW453" s="25"/>
      <c r="BX453" s="13"/>
      <c r="CA453" s="114"/>
    </row>
    <row r="454" spans="1:79" ht="20.100000000000001" customHeight="1" x14ac:dyDescent="0.4">
      <c r="A454" s="117"/>
      <c r="B454" s="123"/>
      <c r="C454" s="123"/>
      <c r="D454" s="123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3"/>
      <c r="Y454" s="13"/>
      <c r="AC454" s="115"/>
      <c r="AD454" s="115"/>
      <c r="AE454" s="115"/>
      <c r="AF454" s="115"/>
      <c r="AG454" s="115"/>
      <c r="AH454" s="115"/>
      <c r="AI454" s="115"/>
      <c r="AJ454" s="115"/>
      <c r="AK454" s="115"/>
      <c r="AL454" s="115"/>
      <c r="AM454" s="115"/>
      <c r="AN454" s="127"/>
      <c r="AO454" s="29"/>
      <c r="AY454" s="25"/>
      <c r="AZ454" s="13"/>
      <c r="BE454" s="116"/>
      <c r="BF454" s="123"/>
      <c r="BG454" s="123"/>
      <c r="BH454" s="123"/>
      <c r="BM454" s="115"/>
      <c r="BN454" s="115"/>
      <c r="BO454" s="115"/>
      <c r="BP454" s="115"/>
      <c r="BQ454" s="115"/>
      <c r="BR454" s="115"/>
      <c r="BS454" s="115"/>
      <c r="BT454" s="115"/>
      <c r="BU454" s="115"/>
      <c r="BV454" s="115"/>
      <c r="BW454" s="25"/>
      <c r="BX454" s="13"/>
      <c r="CA454" s="114"/>
    </row>
    <row r="455" spans="1:79" ht="20.100000000000001" customHeight="1" x14ac:dyDescent="0.4">
      <c r="A455" s="117"/>
      <c r="B455" s="123"/>
      <c r="C455" s="123"/>
      <c r="D455" s="123"/>
      <c r="X455" s="25"/>
      <c r="Y455" s="13"/>
      <c r="AC455" s="115"/>
      <c r="AD455" s="115"/>
      <c r="AE455" s="115"/>
      <c r="AF455" s="115"/>
      <c r="AG455" s="115"/>
      <c r="AH455" s="115"/>
      <c r="AI455" s="115"/>
      <c r="AJ455" s="115"/>
      <c r="AK455" s="115"/>
      <c r="AL455" s="115"/>
      <c r="AM455" s="115"/>
      <c r="AN455" s="29"/>
      <c r="AO455" s="29"/>
      <c r="AY455" s="25"/>
      <c r="AZ455" s="13"/>
      <c r="BE455" s="116"/>
      <c r="BF455" s="123"/>
      <c r="BG455" s="123"/>
      <c r="BH455" s="123"/>
      <c r="BM455" s="115"/>
      <c r="BN455" s="115"/>
      <c r="BO455" s="115"/>
      <c r="BP455" s="115"/>
      <c r="BQ455" s="115"/>
      <c r="BR455" s="115"/>
      <c r="BS455" s="115"/>
      <c r="BT455" s="115"/>
      <c r="BU455" s="115"/>
      <c r="BV455" s="115"/>
      <c r="BW455" s="25"/>
      <c r="BX455" s="13"/>
      <c r="CA455" s="114"/>
    </row>
    <row r="456" spans="1:79" ht="20.100000000000001" customHeight="1" x14ac:dyDescent="0.4">
      <c r="A456" s="117"/>
      <c r="B456" s="123"/>
      <c r="C456" s="123"/>
      <c r="D456" s="123"/>
      <c r="X456" s="25"/>
      <c r="Y456" s="13"/>
      <c r="AC456" s="115"/>
      <c r="AD456" s="115"/>
      <c r="AE456" s="115"/>
      <c r="AF456" s="115"/>
      <c r="AG456" s="115"/>
      <c r="AH456" s="115"/>
      <c r="AI456" s="115"/>
      <c r="AJ456" s="115"/>
      <c r="AK456" s="115"/>
      <c r="AL456" s="115"/>
      <c r="AM456" s="115"/>
      <c r="AN456" s="127"/>
      <c r="AO456" s="29"/>
      <c r="AY456" s="25"/>
      <c r="AZ456" s="13"/>
      <c r="BE456" s="116"/>
      <c r="BF456" s="123"/>
      <c r="BG456" s="123"/>
      <c r="BH456" s="123"/>
      <c r="BM456" s="115"/>
      <c r="BN456" s="115"/>
      <c r="BO456" s="115"/>
      <c r="BP456" s="115"/>
      <c r="BQ456" s="115"/>
      <c r="BR456" s="115"/>
      <c r="BS456" s="115"/>
      <c r="BT456" s="115"/>
      <c r="BU456" s="115"/>
      <c r="BV456" s="115"/>
      <c r="BW456" s="25"/>
      <c r="BX456" s="13"/>
      <c r="CA456" s="114"/>
    </row>
    <row r="457" spans="1:79" ht="20.100000000000001" customHeight="1" x14ac:dyDescent="0.4">
      <c r="A457" s="117"/>
      <c r="B457" s="123"/>
      <c r="C457" s="123"/>
      <c r="D457" s="123"/>
      <c r="X457" s="25"/>
      <c r="Y457" s="13"/>
      <c r="AC457" s="115"/>
      <c r="AD457" s="115"/>
      <c r="AE457" s="115"/>
      <c r="AF457" s="115"/>
      <c r="AG457" s="115"/>
      <c r="AH457" s="115"/>
      <c r="AI457" s="115"/>
      <c r="AJ457" s="115"/>
      <c r="AK457" s="115"/>
      <c r="AL457" s="115"/>
      <c r="AM457" s="115"/>
      <c r="AN457" s="29"/>
      <c r="AO457" s="29"/>
      <c r="AY457" s="25"/>
      <c r="AZ457" s="13"/>
      <c r="BE457" s="116"/>
      <c r="BF457" s="123"/>
      <c r="BG457" s="123"/>
      <c r="BH457" s="123"/>
      <c r="BM457" s="115"/>
      <c r="BN457" s="115"/>
      <c r="BO457" s="115"/>
      <c r="BP457" s="115"/>
      <c r="BQ457" s="115"/>
      <c r="BR457" s="115"/>
      <c r="BS457" s="115"/>
      <c r="BT457" s="115"/>
      <c r="BU457" s="115"/>
      <c r="BV457" s="115"/>
      <c r="BW457" s="25"/>
      <c r="BX457" s="13"/>
      <c r="CA457" s="114"/>
    </row>
    <row r="458" spans="1:79" ht="20.100000000000001" customHeight="1" x14ac:dyDescent="0.4">
      <c r="A458" s="117"/>
      <c r="B458" s="123"/>
      <c r="C458" s="123"/>
      <c r="D458" s="123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3"/>
      <c r="Y458" s="13"/>
      <c r="AC458" s="115"/>
      <c r="AD458" s="115"/>
      <c r="AE458" s="115"/>
      <c r="AF458" s="115"/>
      <c r="AG458" s="115"/>
      <c r="AH458" s="115"/>
      <c r="AI458" s="115"/>
      <c r="AJ458" s="115"/>
      <c r="AK458" s="115"/>
      <c r="AL458" s="115"/>
      <c r="AM458" s="115"/>
      <c r="AN458" s="29"/>
      <c r="AO458" s="29"/>
      <c r="AY458" s="25"/>
      <c r="AZ458" s="13"/>
      <c r="BE458" s="116"/>
      <c r="BF458" s="123"/>
      <c r="BG458" s="123"/>
      <c r="BH458" s="123"/>
      <c r="BM458" s="115"/>
      <c r="BN458" s="115"/>
      <c r="BO458" s="115"/>
      <c r="BP458" s="115"/>
      <c r="BQ458" s="115"/>
      <c r="BR458" s="115"/>
      <c r="BS458" s="115"/>
      <c r="BT458" s="115"/>
      <c r="BU458" s="115"/>
      <c r="BV458" s="115"/>
      <c r="BW458" s="25"/>
      <c r="BX458" s="13"/>
      <c r="CA458" s="114"/>
    </row>
    <row r="459" spans="1:79" ht="20.100000000000001" customHeight="1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25"/>
      <c r="Y459" s="13"/>
      <c r="AC459" s="115"/>
      <c r="AD459" s="115"/>
      <c r="AE459" s="115"/>
      <c r="AF459" s="115"/>
      <c r="AG459" s="115"/>
      <c r="AH459" s="115"/>
      <c r="AI459" s="115"/>
      <c r="AJ459" s="115"/>
      <c r="AK459" s="115"/>
      <c r="AL459" s="115"/>
      <c r="AM459" s="115"/>
      <c r="AN459" s="29"/>
      <c r="AO459" s="29"/>
      <c r="AY459" s="25"/>
      <c r="AZ459" s="13"/>
      <c r="BE459" s="116"/>
      <c r="BF459" s="123"/>
      <c r="BG459" s="123"/>
      <c r="BH459" s="123"/>
      <c r="BM459" s="115"/>
      <c r="BN459" s="115"/>
      <c r="BO459" s="115"/>
      <c r="BP459" s="115"/>
      <c r="BQ459" s="115"/>
      <c r="BR459" s="115"/>
      <c r="BS459" s="115"/>
      <c r="BT459" s="115"/>
      <c r="BU459" s="115"/>
      <c r="BV459" s="115"/>
      <c r="BW459" s="25"/>
      <c r="BX459" s="13"/>
      <c r="CA459" s="114"/>
    </row>
    <row r="460" spans="1:79" ht="20.100000000000001" customHeight="1" x14ac:dyDescent="0.4">
      <c r="A460" s="117"/>
      <c r="B460" s="123"/>
      <c r="C460" s="123"/>
      <c r="D460" s="123"/>
      <c r="X460" s="25"/>
      <c r="Y460" s="133"/>
      <c r="AC460" s="115"/>
      <c r="AD460" s="115"/>
      <c r="AE460" s="115"/>
      <c r="AF460" s="115"/>
      <c r="AG460" s="115"/>
      <c r="AH460" s="115"/>
      <c r="AI460" s="115"/>
      <c r="AJ460" s="115"/>
      <c r="AK460" s="115"/>
      <c r="AL460" s="115"/>
      <c r="AM460" s="115"/>
      <c r="AN460" s="127"/>
      <c r="AO460" s="29"/>
      <c r="AY460" s="25"/>
      <c r="AZ460" s="13"/>
      <c r="BE460" s="116"/>
      <c r="BF460" s="123"/>
      <c r="BG460" s="123"/>
      <c r="BH460" s="123"/>
      <c r="BM460" s="115"/>
      <c r="BN460" s="115"/>
      <c r="BO460" s="115"/>
      <c r="BP460" s="115"/>
      <c r="BQ460" s="115"/>
      <c r="BR460" s="115"/>
      <c r="BS460" s="115"/>
      <c r="BT460" s="115"/>
      <c r="BU460" s="115"/>
      <c r="BV460" s="115"/>
      <c r="BW460" s="25"/>
      <c r="BX460" s="13"/>
      <c r="CA460" s="114"/>
    </row>
    <row r="461" spans="1:79" ht="20.100000000000001" customHeight="1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25"/>
      <c r="Y461" s="13"/>
      <c r="AC461" s="115"/>
      <c r="AD461" s="115"/>
      <c r="AE461" s="115"/>
      <c r="AF461" s="115"/>
      <c r="AG461" s="115"/>
      <c r="AH461" s="115"/>
      <c r="AI461" s="115"/>
      <c r="AJ461" s="115"/>
      <c r="AK461" s="115"/>
      <c r="AL461" s="115"/>
      <c r="AM461" s="115"/>
      <c r="AN461" s="127"/>
      <c r="AO461" s="29"/>
      <c r="AY461" s="25"/>
      <c r="AZ461" s="13"/>
      <c r="BE461" s="116"/>
      <c r="BF461" s="123"/>
      <c r="BG461" s="123"/>
      <c r="BH461" s="123"/>
      <c r="BM461" s="115"/>
      <c r="BN461" s="115"/>
      <c r="BO461" s="115"/>
      <c r="BP461" s="115"/>
      <c r="BQ461" s="115"/>
      <c r="BR461" s="115"/>
      <c r="BS461" s="115"/>
      <c r="BT461" s="115"/>
      <c r="BU461" s="115"/>
      <c r="BV461" s="115"/>
      <c r="BW461" s="25"/>
      <c r="BX461" s="13"/>
      <c r="CA461" s="114"/>
    </row>
    <row r="462" spans="1:79" ht="20.100000000000001" customHeight="1" x14ac:dyDescent="0.4">
      <c r="A462" s="117"/>
      <c r="B462" s="123"/>
      <c r="C462" s="123"/>
      <c r="D462" s="123"/>
      <c r="X462" s="25"/>
      <c r="Y462" s="13"/>
      <c r="AC462" s="115"/>
      <c r="AD462" s="115"/>
      <c r="AE462" s="115"/>
      <c r="AF462" s="115"/>
      <c r="AG462" s="115"/>
      <c r="AH462" s="115"/>
      <c r="AI462" s="115"/>
      <c r="AJ462" s="115"/>
      <c r="AK462" s="115"/>
      <c r="AL462" s="115"/>
      <c r="AM462" s="115"/>
      <c r="AN462" s="127"/>
      <c r="AO462" s="29"/>
      <c r="AY462" s="25"/>
      <c r="AZ462" s="13"/>
      <c r="BE462" s="116"/>
      <c r="BF462" s="123"/>
      <c r="BG462" s="123"/>
      <c r="BH462" s="123"/>
      <c r="BM462" s="115"/>
      <c r="BN462" s="115"/>
      <c r="BO462" s="115"/>
      <c r="BP462" s="115"/>
      <c r="BQ462" s="115"/>
      <c r="BR462" s="115"/>
      <c r="BS462" s="115"/>
      <c r="BT462" s="115"/>
      <c r="BU462" s="115"/>
      <c r="BV462" s="115"/>
      <c r="BW462" s="25"/>
      <c r="BX462" s="13"/>
      <c r="CA462" s="114"/>
    </row>
    <row r="463" spans="1:79" ht="20.100000000000001" customHeight="1" x14ac:dyDescent="0.4">
      <c r="A463" s="117"/>
      <c r="B463" s="123"/>
      <c r="C463" s="123"/>
      <c r="D463" s="123"/>
      <c r="X463" s="25"/>
      <c r="Y463" s="13"/>
      <c r="AC463" s="115"/>
      <c r="AD463" s="115"/>
      <c r="AE463" s="115"/>
      <c r="AF463" s="115"/>
      <c r="AG463" s="115"/>
      <c r="AH463" s="115"/>
      <c r="AI463" s="115"/>
      <c r="AJ463" s="115"/>
      <c r="AK463" s="115"/>
      <c r="AL463" s="115"/>
      <c r="AM463" s="115"/>
      <c r="AN463" s="29"/>
      <c r="AO463" s="29"/>
      <c r="AY463" s="25"/>
      <c r="AZ463" s="13"/>
      <c r="BE463" s="116"/>
      <c r="BF463" s="123"/>
      <c r="BG463" s="123"/>
      <c r="BH463" s="123"/>
      <c r="BM463" s="115"/>
      <c r="BN463" s="115"/>
      <c r="BO463" s="115"/>
      <c r="BP463" s="115"/>
      <c r="BQ463" s="115"/>
      <c r="BR463" s="115"/>
      <c r="BS463" s="115"/>
      <c r="BT463" s="115"/>
      <c r="BU463" s="115"/>
      <c r="BV463" s="115"/>
      <c r="BW463" s="25"/>
      <c r="BX463" s="13"/>
      <c r="CA463" s="114"/>
    </row>
    <row r="464" spans="1:79" ht="20.100000000000001" customHeight="1" x14ac:dyDescent="0.4">
      <c r="A464" s="117"/>
      <c r="B464" s="123"/>
      <c r="C464" s="123"/>
      <c r="D464" s="123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3"/>
      <c r="Y464" s="13"/>
      <c r="AC464" s="115"/>
      <c r="AD464" s="115"/>
      <c r="AE464" s="115"/>
      <c r="AF464" s="115"/>
      <c r="AG464" s="115"/>
      <c r="AH464" s="115"/>
      <c r="AI464" s="115"/>
      <c r="AJ464" s="115"/>
      <c r="AK464" s="115"/>
      <c r="AL464" s="115"/>
      <c r="AM464" s="115"/>
      <c r="AN464" s="29"/>
      <c r="AO464" s="29"/>
      <c r="AY464" s="25"/>
      <c r="AZ464" s="13"/>
      <c r="BE464" s="116"/>
      <c r="BF464" s="123"/>
      <c r="BG464" s="123"/>
      <c r="BH464" s="123"/>
      <c r="BM464" s="115"/>
      <c r="BN464" s="115"/>
      <c r="BO464" s="115"/>
      <c r="BP464" s="115"/>
      <c r="BQ464" s="115"/>
      <c r="BR464" s="115"/>
      <c r="BS464" s="115"/>
      <c r="BT464" s="115"/>
      <c r="BU464" s="115"/>
      <c r="BV464" s="115"/>
      <c r="BW464" s="25"/>
      <c r="BX464" s="13"/>
      <c r="CA464" s="114"/>
    </row>
    <row r="465" spans="1:79" ht="20.100000000000001" customHeight="1" x14ac:dyDescent="0.4">
      <c r="A465" s="117"/>
      <c r="B465" s="123"/>
      <c r="C465" s="123"/>
      <c r="D465" s="123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3"/>
      <c r="Y465" s="13"/>
      <c r="AC465" s="115"/>
      <c r="AD465" s="115"/>
      <c r="AE465" s="115"/>
      <c r="AF465" s="115"/>
      <c r="AG465" s="115"/>
      <c r="AH465" s="115"/>
      <c r="AI465" s="115"/>
      <c r="AJ465" s="115"/>
      <c r="AK465" s="115"/>
      <c r="AL465" s="115"/>
      <c r="AM465" s="115"/>
      <c r="AN465" s="29"/>
      <c r="AO465" s="29"/>
      <c r="AY465" s="25"/>
      <c r="AZ465" s="13"/>
      <c r="BE465" s="116"/>
      <c r="BF465" s="123"/>
      <c r="BG465" s="123"/>
      <c r="BH465" s="123"/>
      <c r="BM465" s="115"/>
      <c r="BN465" s="115"/>
      <c r="BO465" s="115"/>
      <c r="BP465" s="115"/>
      <c r="BQ465" s="115"/>
      <c r="BR465" s="115"/>
      <c r="BS465" s="115"/>
      <c r="BT465" s="115"/>
      <c r="BU465" s="115"/>
      <c r="BV465" s="115"/>
      <c r="BW465" s="25"/>
      <c r="BX465" s="13"/>
      <c r="CA465" s="114"/>
    </row>
    <row r="466" spans="1:79" ht="20.100000000000001" customHeight="1" x14ac:dyDescent="0.4">
      <c r="A466" s="117"/>
      <c r="B466" s="123"/>
      <c r="C466" s="123"/>
      <c r="D466" s="123"/>
      <c r="X466" s="25"/>
      <c r="Y466" s="13"/>
      <c r="AB466" s="115"/>
      <c r="AC466" s="115"/>
      <c r="AD466" s="115"/>
      <c r="AE466" s="115"/>
      <c r="AF466" s="115"/>
      <c r="AG466" s="115"/>
      <c r="AH466" s="115"/>
      <c r="AI466" s="115"/>
      <c r="AJ466" s="115"/>
      <c r="AK466" s="115"/>
      <c r="AL466" s="115"/>
      <c r="AM466" s="115"/>
      <c r="AN466" s="127"/>
      <c r="AO466" s="29"/>
      <c r="AY466" s="25"/>
      <c r="AZ466" s="13"/>
      <c r="BE466" s="116"/>
      <c r="BF466" s="123"/>
      <c r="BG466" s="123"/>
      <c r="BH466" s="123"/>
      <c r="BM466" s="115"/>
      <c r="BN466" s="115"/>
      <c r="BO466" s="115"/>
      <c r="BP466" s="115"/>
      <c r="BQ466" s="115"/>
      <c r="BR466" s="115"/>
      <c r="BS466" s="115"/>
      <c r="BT466" s="115"/>
      <c r="BU466" s="115"/>
      <c r="BV466" s="115"/>
      <c r="BW466" s="25"/>
      <c r="BX466" s="13"/>
      <c r="CA466" s="114"/>
    </row>
    <row r="467" spans="1:79" ht="20.100000000000001" customHeight="1" x14ac:dyDescent="0.4">
      <c r="A467" s="117"/>
      <c r="B467" s="123"/>
      <c r="C467" s="123"/>
      <c r="D467" s="123"/>
      <c r="X467" s="25"/>
      <c r="Y467" s="13"/>
      <c r="AB467" s="115"/>
      <c r="AC467" s="115"/>
      <c r="AD467" s="115"/>
      <c r="AE467" s="115"/>
      <c r="AF467" s="115"/>
      <c r="AG467" s="115"/>
      <c r="AH467" s="115"/>
      <c r="AI467" s="115"/>
      <c r="AJ467" s="115"/>
      <c r="AK467" s="115"/>
      <c r="AL467" s="115"/>
      <c r="AM467" s="115"/>
      <c r="AN467" s="127"/>
      <c r="AO467" s="29"/>
      <c r="AY467" s="25"/>
      <c r="AZ467" s="13"/>
      <c r="BE467" s="116"/>
      <c r="BF467" s="123"/>
      <c r="BG467" s="123"/>
      <c r="BH467" s="123"/>
      <c r="BM467" s="115"/>
      <c r="BN467" s="115"/>
      <c r="BO467" s="115"/>
      <c r="BP467" s="115"/>
      <c r="BQ467" s="115"/>
      <c r="BR467" s="115"/>
      <c r="BS467" s="115"/>
      <c r="BT467" s="115"/>
      <c r="BU467" s="115"/>
      <c r="BV467" s="115"/>
      <c r="BW467" s="25"/>
      <c r="BX467" s="13"/>
      <c r="CA467" s="114"/>
    </row>
    <row r="468" spans="1:79" ht="20.100000000000001" customHeight="1" x14ac:dyDescent="0.4">
      <c r="A468" s="117"/>
      <c r="B468" s="123"/>
      <c r="C468" s="123"/>
      <c r="D468" s="123"/>
      <c r="X468" s="25"/>
      <c r="Y468" s="13"/>
      <c r="AB468" s="115"/>
      <c r="AC468" s="115"/>
      <c r="AD468" s="115"/>
      <c r="AE468" s="115"/>
      <c r="AF468" s="115"/>
      <c r="AG468" s="115"/>
      <c r="AH468" s="115"/>
      <c r="AI468" s="115"/>
      <c r="AJ468" s="115"/>
      <c r="AK468" s="115"/>
      <c r="AL468" s="115"/>
      <c r="AM468" s="115"/>
      <c r="AN468" s="29"/>
      <c r="AO468" s="29"/>
      <c r="AY468" s="25"/>
      <c r="AZ468" s="13"/>
      <c r="BE468" s="116"/>
      <c r="BF468" s="123"/>
      <c r="BG468" s="123"/>
      <c r="BH468" s="123"/>
      <c r="BM468" s="115"/>
      <c r="BN468" s="115"/>
      <c r="BO468" s="115"/>
      <c r="BP468" s="115"/>
      <c r="BQ468" s="115"/>
      <c r="BR468" s="115"/>
      <c r="BS468" s="115"/>
      <c r="BT468" s="115"/>
      <c r="BU468" s="115"/>
      <c r="BV468" s="115"/>
      <c r="BW468" s="25"/>
      <c r="BX468" s="13"/>
      <c r="CA468" s="114"/>
    </row>
    <row r="469" spans="1:79" ht="20.100000000000001" customHeight="1" x14ac:dyDescent="0.4">
      <c r="A469" s="117"/>
      <c r="B469" s="123"/>
      <c r="C469" s="123"/>
      <c r="D469" s="123"/>
      <c r="X469" s="25"/>
      <c r="Y469" s="13"/>
      <c r="AB469" s="115"/>
      <c r="AC469" s="115"/>
      <c r="AD469" s="115"/>
      <c r="AE469" s="115"/>
      <c r="AF469" s="115"/>
      <c r="AG469" s="115"/>
      <c r="AH469" s="115"/>
      <c r="AI469" s="115"/>
      <c r="AJ469" s="115"/>
      <c r="AK469" s="115"/>
      <c r="AL469" s="115"/>
      <c r="AM469" s="115"/>
      <c r="AN469" s="127"/>
      <c r="AO469" s="29"/>
      <c r="AY469" s="25"/>
      <c r="AZ469" s="13"/>
      <c r="BE469" s="116"/>
      <c r="BF469" s="123"/>
      <c r="BG469" s="123"/>
      <c r="BH469" s="123"/>
      <c r="BM469" s="115"/>
      <c r="BN469" s="115"/>
      <c r="BO469" s="115"/>
      <c r="BP469" s="115"/>
      <c r="BQ469" s="115"/>
      <c r="BR469" s="115"/>
      <c r="BS469" s="115"/>
      <c r="BT469" s="115"/>
      <c r="BU469" s="115"/>
      <c r="BV469" s="115"/>
      <c r="BW469" s="25"/>
      <c r="BX469" s="13"/>
      <c r="CA469" s="114"/>
    </row>
    <row r="470" spans="1:79" ht="20.100000000000001" customHeight="1" x14ac:dyDescent="0.4">
      <c r="A470" s="117"/>
      <c r="B470" s="123"/>
      <c r="C470" s="123"/>
      <c r="D470" s="123"/>
      <c r="X470" s="25"/>
      <c r="Y470" s="13"/>
      <c r="AB470" s="115"/>
      <c r="AC470" s="115"/>
      <c r="AD470" s="115"/>
      <c r="AE470" s="115"/>
      <c r="AF470" s="115"/>
      <c r="AG470" s="115"/>
      <c r="AH470" s="115"/>
      <c r="AI470" s="115"/>
      <c r="AJ470" s="115"/>
      <c r="AK470" s="115"/>
      <c r="AL470" s="115"/>
      <c r="AM470" s="115"/>
      <c r="AN470" s="127"/>
      <c r="AO470" s="29"/>
      <c r="AY470" s="25"/>
      <c r="AZ470" s="13"/>
      <c r="BE470" s="116"/>
      <c r="BF470" s="123"/>
      <c r="BG470" s="123"/>
      <c r="BH470" s="123"/>
      <c r="BM470" s="115"/>
      <c r="BN470" s="115"/>
      <c r="BO470" s="115"/>
      <c r="BP470" s="115"/>
      <c r="BQ470" s="115"/>
      <c r="BR470" s="115"/>
      <c r="BS470" s="115"/>
      <c r="BT470" s="115"/>
      <c r="BU470" s="115"/>
      <c r="BV470" s="115"/>
      <c r="BW470" s="25"/>
      <c r="BX470" s="13"/>
      <c r="CA470" s="114"/>
    </row>
    <row r="471" spans="1:79" ht="20.100000000000001" customHeight="1" x14ac:dyDescent="0.4">
      <c r="A471" s="117"/>
      <c r="B471" s="123"/>
      <c r="C471" s="123"/>
      <c r="D471" s="123"/>
      <c r="X471" s="25"/>
      <c r="Y471" s="13"/>
      <c r="AB471" s="115"/>
      <c r="AC471" s="115"/>
      <c r="AD471" s="115"/>
      <c r="AE471" s="115"/>
      <c r="AF471" s="115"/>
      <c r="AG471" s="115"/>
      <c r="AH471" s="115"/>
      <c r="AI471" s="115"/>
      <c r="AJ471" s="115"/>
      <c r="AK471" s="115"/>
      <c r="AL471" s="115"/>
      <c r="AM471" s="115"/>
      <c r="AN471" s="127"/>
      <c r="AO471" s="29"/>
      <c r="AY471" s="25"/>
      <c r="AZ471" s="13"/>
      <c r="BE471" s="116"/>
      <c r="BF471" s="123"/>
      <c r="BG471" s="123"/>
      <c r="BH471" s="123"/>
      <c r="BM471" s="115"/>
      <c r="BN471" s="115"/>
      <c r="BO471" s="115"/>
      <c r="BP471" s="115"/>
      <c r="BQ471" s="115"/>
      <c r="BR471" s="115"/>
      <c r="BS471" s="115"/>
      <c r="BT471" s="115"/>
      <c r="BU471" s="115"/>
      <c r="BV471" s="115"/>
      <c r="BW471" s="25"/>
      <c r="BX471" s="13"/>
      <c r="CA471" s="114"/>
    </row>
    <row r="472" spans="1:79" ht="20.100000000000001" customHeight="1" x14ac:dyDescent="0.4">
      <c r="A472" s="117"/>
      <c r="B472" s="123"/>
      <c r="C472" s="123"/>
      <c r="D472" s="123"/>
      <c r="X472" s="25"/>
      <c r="Y472" s="133"/>
      <c r="AB472" s="115"/>
      <c r="AC472" s="115"/>
      <c r="AD472" s="115"/>
      <c r="AE472" s="115"/>
      <c r="AF472" s="115"/>
      <c r="AG472" s="115"/>
      <c r="AH472" s="115"/>
      <c r="AI472" s="115"/>
      <c r="AJ472" s="115"/>
      <c r="AK472" s="115"/>
      <c r="AL472" s="115"/>
      <c r="AM472" s="115"/>
      <c r="AN472" s="29"/>
      <c r="AO472" s="29"/>
      <c r="AY472" s="25"/>
      <c r="AZ472" s="13"/>
      <c r="BE472" s="116"/>
      <c r="BF472" s="123"/>
      <c r="BG472" s="123"/>
      <c r="BH472" s="123"/>
      <c r="BM472" s="115"/>
      <c r="BN472" s="115"/>
      <c r="BO472" s="115"/>
      <c r="BP472" s="115"/>
      <c r="BQ472" s="115"/>
      <c r="BR472" s="115"/>
      <c r="BS472" s="115"/>
      <c r="BT472" s="115"/>
      <c r="BU472" s="115"/>
      <c r="BV472" s="115"/>
      <c r="BW472" s="25"/>
      <c r="BX472" s="13"/>
      <c r="CA472" s="114"/>
    </row>
    <row r="473" spans="1:79" ht="20.100000000000001" customHeight="1" x14ac:dyDescent="0.4">
      <c r="A473" s="117"/>
      <c r="B473" s="123"/>
      <c r="C473" s="123"/>
      <c r="D473" s="123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26"/>
      <c r="Y473" s="13"/>
      <c r="AB473" s="115"/>
      <c r="AC473" s="115"/>
      <c r="AD473" s="115"/>
      <c r="AE473" s="115"/>
      <c r="AF473" s="115"/>
      <c r="AG473" s="115"/>
      <c r="AH473" s="115"/>
      <c r="AI473" s="115"/>
      <c r="AJ473" s="115"/>
      <c r="AK473" s="115"/>
      <c r="AL473" s="115"/>
      <c r="AM473" s="115"/>
      <c r="AN473" s="29"/>
      <c r="AO473" s="29"/>
      <c r="AY473" s="25"/>
      <c r="AZ473" s="13"/>
      <c r="BE473" s="116"/>
      <c r="BF473" s="123"/>
      <c r="BG473" s="123"/>
      <c r="BH473" s="123"/>
      <c r="BM473" s="115"/>
      <c r="BN473" s="115"/>
      <c r="BO473" s="115"/>
      <c r="BP473" s="115"/>
      <c r="BQ473" s="115"/>
      <c r="BR473" s="115"/>
      <c r="BS473" s="115"/>
      <c r="BT473" s="115"/>
      <c r="BU473" s="115"/>
      <c r="BV473" s="115"/>
      <c r="BW473" s="25"/>
      <c r="BX473" s="13"/>
      <c r="CA473" s="114"/>
    </row>
    <row r="474" spans="1:79" ht="20.100000000000001" customHeight="1" x14ac:dyDescent="0.4">
      <c r="A474" s="117"/>
      <c r="B474" s="123"/>
      <c r="C474" s="123"/>
      <c r="D474" s="123"/>
      <c r="X474" s="26"/>
      <c r="Y474" s="13"/>
      <c r="AB474" s="115"/>
      <c r="AC474" s="115"/>
      <c r="AD474" s="115"/>
      <c r="AE474" s="115"/>
      <c r="AF474" s="115"/>
      <c r="AG474" s="115"/>
      <c r="AH474" s="115"/>
      <c r="AI474" s="115"/>
      <c r="AJ474" s="115"/>
      <c r="AK474" s="115"/>
      <c r="AL474" s="115"/>
      <c r="AM474" s="115"/>
      <c r="AN474" s="127"/>
      <c r="AO474" s="29"/>
      <c r="AY474" s="25"/>
      <c r="AZ474" s="13"/>
      <c r="BE474" s="116"/>
      <c r="BF474" s="123"/>
      <c r="BG474" s="123"/>
      <c r="BH474" s="123"/>
      <c r="BM474" s="115"/>
      <c r="BN474" s="115"/>
      <c r="BO474" s="115"/>
      <c r="BP474" s="115"/>
      <c r="BQ474" s="115"/>
      <c r="BR474" s="115"/>
      <c r="BS474" s="115"/>
      <c r="BT474" s="115"/>
      <c r="BU474" s="115"/>
      <c r="BV474" s="115"/>
      <c r="BW474" s="25"/>
      <c r="BX474" s="13"/>
      <c r="CA474" s="114"/>
    </row>
    <row r="475" spans="1:79" ht="20.100000000000001" customHeight="1" x14ac:dyDescent="0.4">
      <c r="A475" s="117"/>
      <c r="B475" s="123"/>
      <c r="C475" s="123"/>
      <c r="D475" s="123"/>
      <c r="X475" s="26"/>
      <c r="Y475" s="13"/>
      <c r="AB475" s="115"/>
      <c r="AC475" s="115"/>
      <c r="AD475" s="115"/>
      <c r="AE475" s="115"/>
      <c r="AF475" s="115"/>
      <c r="AG475" s="115"/>
      <c r="AH475" s="115"/>
      <c r="AI475" s="115"/>
      <c r="AJ475" s="115"/>
      <c r="AK475" s="115"/>
      <c r="AL475" s="115"/>
      <c r="AM475" s="115"/>
      <c r="AN475" s="29"/>
      <c r="AO475" s="29"/>
      <c r="AY475" s="25"/>
      <c r="AZ475" s="13"/>
      <c r="BE475" s="116"/>
      <c r="BF475" s="123"/>
      <c r="BG475" s="123"/>
      <c r="BH475" s="123"/>
      <c r="BM475" s="115"/>
      <c r="BN475" s="115"/>
      <c r="BO475" s="115"/>
      <c r="BP475" s="115"/>
      <c r="BQ475" s="115"/>
      <c r="BR475" s="115"/>
      <c r="BS475" s="115"/>
      <c r="BT475" s="115"/>
      <c r="BU475" s="115"/>
      <c r="BV475" s="115"/>
      <c r="BW475" s="25"/>
      <c r="BX475" s="13"/>
      <c r="CA475" s="114"/>
    </row>
    <row r="476" spans="1:79" ht="20.100000000000001" customHeight="1" x14ac:dyDescent="0.4">
      <c r="A476" s="117"/>
      <c r="B476" s="123"/>
      <c r="C476" s="123"/>
      <c r="D476" s="123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26"/>
      <c r="Y476" s="13"/>
      <c r="AB476" s="115"/>
      <c r="AC476" s="115"/>
      <c r="AD476" s="115"/>
      <c r="AE476" s="115"/>
      <c r="AF476" s="115"/>
      <c r="AG476" s="115"/>
      <c r="AH476" s="115"/>
      <c r="AI476" s="115"/>
      <c r="AJ476" s="115"/>
      <c r="AK476" s="115"/>
      <c r="AL476" s="115"/>
      <c r="AM476" s="115"/>
      <c r="AN476" s="29"/>
      <c r="AO476" s="29"/>
      <c r="AY476" s="25"/>
      <c r="AZ476" s="13"/>
      <c r="BE476" s="116"/>
      <c r="BF476" s="123"/>
      <c r="BG476" s="123"/>
      <c r="BH476" s="123"/>
      <c r="BM476" s="115"/>
      <c r="BN476" s="115"/>
      <c r="BO476" s="115"/>
      <c r="BP476" s="115"/>
      <c r="BQ476" s="115"/>
      <c r="BR476" s="115"/>
      <c r="BS476" s="115"/>
      <c r="BT476" s="115"/>
      <c r="BU476" s="115"/>
      <c r="BV476" s="115"/>
      <c r="BW476" s="25"/>
      <c r="BX476" s="13"/>
      <c r="CA476" s="114"/>
    </row>
    <row r="477" spans="1:79" ht="20.100000000000001" customHeight="1" x14ac:dyDescent="0.4">
      <c r="A477" s="117"/>
      <c r="B477" s="123"/>
      <c r="C477" s="123"/>
      <c r="D477" s="123"/>
      <c r="X477" s="26"/>
      <c r="Y477" s="13"/>
      <c r="AB477" s="115"/>
      <c r="AC477" s="115"/>
      <c r="AD477" s="115"/>
      <c r="AE477" s="115"/>
      <c r="AF477" s="115"/>
      <c r="AG477" s="115"/>
      <c r="AH477" s="115"/>
      <c r="AI477" s="115"/>
      <c r="AJ477" s="115"/>
      <c r="AK477" s="115"/>
      <c r="AL477" s="115"/>
      <c r="AM477" s="115"/>
      <c r="AN477" s="127"/>
      <c r="AO477" s="29"/>
      <c r="AY477" s="25"/>
      <c r="AZ477" s="13"/>
      <c r="BE477" s="116"/>
      <c r="BF477" s="123"/>
      <c r="BG477" s="123"/>
      <c r="BH477" s="123"/>
      <c r="BM477" s="115"/>
      <c r="BN477" s="115"/>
      <c r="BO477" s="115"/>
      <c r="BP477" s="115"/>
      <c r="BQ477" s="115"/>
      <c r="BR477" s="115"/>
      <c r="BS477" s="115"/>
      <c r="BT477" s="115"/>
      <c r="BU477" s="115"/>
      <c r="BV477" s="115"/>
      <c r="BW477" s="25"/>
      <c r="BX477" s="13"/>
      <c r="CA477" s="114"/>
    </row>
    <row r="478" spans="1:79" ht="20.100000000000001" customHeight="1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7"/>
      <c r="Y478" s="13"/>
      <c r="AB478" s="115"/>
      <c r="AC478" s="115"/>
      <c r="AD478" s="115"/>
      <c r="AE478" s="115"/>
      <c r="AF478" s="115"/>
      <c r="AG478" s="115"/>
      <c r="AH478" s="115"/>
      <c r="AI478" s="115"/>
      <c r="AJ478" s="115"/>
      <c r="AK478" s="115"/>
      <c r="AL478" s="115"/>
      <c r="AM478" s="115"/>
      <c r="AN478" s="127"/>
      <c r="AO478" s="29"/>
      <c r="AY478" s="25"/>
      <c r="AZ478" s="13"/>
      <c r="BE478" s="116"/>
      <c r="BF478" s="123"/>
      <c r="BG478" s="123"/>
      <c r="BH478" s="123"/>
      <c r="BM478" s="115"/>
      <c r="BN478" s="115"/>
      <c r="BO478" s="115"/>
      <c r="BP478" s="115"/>
      <c r="BQ478" s="115"/>
      <c r="BR478" s="115"/>
      <c r="BS478" s="115"/>
      <c r="BT478" s="115"/>
      <c r="BU478" s="115"/>
      <c r="BV478" s="115"/>
      <c r="BW478" s="25"/>
      <c r="BX478" s="13"/>
      <c r="CA478" s="114"/>
    </row>
    <row r="479" spans="1:79" ht="20.100000000000001" customHeight="1" x14ac:dyDescent="0.4">
      <c r="A479" s="117"/>
      <c r="B479" s="123"/>
      <c r="C479" s="123"/>
      <c r="D479" s="123"/>
      <c r="X479" s="26"/>
      <c r="Y479" s="13"/>
      <c r="AB479" s="115"/>
      <c r="AC479" s="115"/>
      <c r="AD479" s="115"/>
      <c r="AE479" s="115"/>
      <c r="AF479" s="115"/>
      <c r="AG479" s="115"/>
      <c r="AH479" s="115"/>
      <c r="AI479" s="115"/>
      <c r="AJ479" s="115"/>
      <c r="AK479" s="115"/>
      <c r="AL479" s="115"/>
      <c r="AM479" s="115"/>
      <c r="AN479" s="29"/>
      <c r="AO479" s="29"/>
      <c r="AY479" s="25"/>
      <c r="AZ479" s="13"/>
      <c r="BE479" s="116"/>
      <c r="BF479" s="123"/>
      <c r="BG479" s="123"/>
      <c r="BH479" s="123"/>
      <c r="BM479" s="115"/>
      <c r="BN479" s="115"/>
      <c r="BO479" s="115"/>
      <c r="BP479" s="115"/>
      <c r="BQ479" s="115"/>
      <c r="BR479" s="115"/>
      <c r="BS479" s="115"/>
      <c r="BT479" s="115"/>
      <c r="BU479" s="115"/>
      <c r="BV479" s="115"/>
      <c r="BW479" s="25"/>
      <c r="BX479" s="13"/>
      <c r="CA479" s="114"/>
    </row>
    <row r="480" spans="1:79" ht="20.100000000000001" customHeight="1" x14ac:dyDescent="0.4">
      <c r="A480" s="117"/>
      <c r="B480" s="123"/>
      <c r="C480" s="123"/>
      <c r="D480" s="123"/>
      <c r="X480" s="26"/>
      <c r="Y480" s="13"/>
      <c r="AB480" s="115"/>
      <c r="AC480" s="115"/>
      <c r="AD480" s="115"/>
      <c r="AE480" s="115"/>
      <c r="AF480" s="115"/>
      <c r="AG480" s="115"/>
      <c r="AH480" s="115"/>
      <c r="AI480" s="115"/>
      <c r="AJ480" s="115"/>
      <c r="AK480" s="115"/>
      <c r="AL480" s="115"/>
      <c r="AM480" s="115"/>
      <c r="AN480" s="127"/>
      <c r="AO480" s="29"/>
      <c r="AY480" s="25"/>
      <c r="AZ480" s="13"/>
      <c r="BE480" s="116"/>
      <c r="BF480" s="123"/>
      <c r="BG480" s="123"/>
      <c r="BH480" s="123"/>
      <c r="BM480" s="115"/>
      <c r="BN480" s="115"/>
      <c r="BO480" s="115"/>
      <c r="BP480" s="115"/>
      <c r="BQ480" s="115"/>
      <c r="BR480" s="115"/>
      <c r="BS480" s="115"/>
      <c r="BT480" s="115"/>
      <c r="BU480" s="115"/>
      <c r="BV480" s="115"/>
      <c r="BW480" s="25"/>
      <c r="BX480" s="13"/>
      <c r="CA480" s="114"/>
    </row>
    <row r="481" spans="1:79" ht="20.100000000000001" customHeight="1" x14ac:dyDescent="0.4">
      <c r="A481" s="117"/>
      <c r="B481" s="123"/>
      <c r="C481" s="123"/>
      <c r="D481" s="123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7"/>
      <c r="Y481" s="13"/>
      <c r="AB481" s="115"/>
      <c r="AC481" s="115"/>
      <c r="AD481" s="115"/>
      <c r="AE481" s="115"/>
      <c r="AF481" s="115"/>
      <c r="AG481" s="115"/>
      <c r="AH481" s="115"/>
      <c r="AI481" s="115"/>
      <c r="AJ481" s="115"/>
      <c r="AK481" s="115"/>
      <c r="AL481" s="115"/>
      <c r="AM481" s="115"/>
      <c r="AN481" s="127"/>
      <c r="AO481" s="29"/>
      <c r="AY481" s="25"/>
      <c r="AZ481" s="13"/>
      <c r="BE481" s="116"/>
      <c r="BF481" s="123"/>
      <c r="BG481" s="123"/>
      <c r="BH481" s="123"/>
      <c r="BM481" s="115"/>
      <c r="BN481" s="115"/>
      <c r="BO481" s="115"/>
      <c r="BP481" s="115"/>
      <c r="BQ481" s="115"/>
      <c r="BR481" s="115"/>
      <c r="BS481" s="115"/>
      <c r="BT481" s="115"/>
      <c r="BU481" s="115"/>
      <c r="BV481" s="115"/>
      <c r="BW481" s="25"/>
      <c r="BX481" s="13"/>
      <c r="CA481" s="114"/>
    </row>
    <row r="482" spans="1:79" ht="20.100000000000001" customHeight="1" x14ac:dyDescent="0.4">
      <c r="A482" s="117"/>
      <c r="B482" s="123"/>
      <c r="C482" s="123"/>
      <c r="D482" s="123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26"/>
      <c r="Y482" s="13"/>
      <c r="AB482" s="115"/>
      <c r="AC482" s="115"/>
      <c r="AD482" s="115"/>
      <c r="AE482" s="115"/>
      <c r="AF482" s="115"/>
      <c r="AG482" s="115"/>
      <c r="AH482" s="115"/>
      <c r="AI482" s="115"/>
      <c r="AJ482" s="115"/>
      <c r="AK482" s="115"/>
      <c r="AL482" s="115"/>
      <c r="AM482" s="115"/>
      <c r="AN482" s="127"/>
      <c r="AO482" s="29"/>
      <c r="AY482" s="25"/>
      <c r="AZ482" s="13"/>
      <c r="BE482" s="116"/>
      <c r="BF482" s="123"/>
      <c r="BG482" s="123"/>
      <c r="BH482" s="123"/>
      <c r="BM482" s="115"/>
      <c r="BN482" s="115"/>
      <c r="BO482" s="115"/>
      <c r="BP482" s="115"/>
      <c r="BQ482" s="115"/>
      <c r="BR482" s="115"/>
      <c r="BS482" s="115"/>
      <c r="BT482" s="115"/>
      <c r="BU482" s="115"/>
      <c r="BV482" s="115"/>
      <c r="BW482" s="25"/>
      <c r="BX482" s="13"/>
      <c r="CA482" s="114"/>
    </row>
    <row r="483" spans="1:79" ht="20.100000000000001" customHeight="1" x14ac:dyDescent="0.4">
      <c r="A483" s="117"/>
      <c r="B483" s="123"/>
      <c r="C483" s="123"/>
      <c r="D483" s="123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7"/>
      <c r="Y483" s="13"/>
      <c r="AB483" s="115"/>
      <c r="AC483" s="115"/>
      <c r="AD483" s="115"/>
      <c r="AE483" s="115"/>
      <c r="AF483" s="115"/>
      <c r="AG483" s="115"/>
      <c r="AH483" s="115"/>
      <c r="AI483" s="115"/>
      <c r="AJ483" s="115"/>
      <c r="AK483" s="115"/>
      <c r="AL483" s="115"/>
      <c r="AM483" s="115"/>
      <c r="AN483" s="127"/>
      <c r="AO483" s="29"/>
      <c r="AY483" s="25"/>
      <c r="AZ483" s="13"/>
      <c r="BE483" s="116"/>
      <c r="BF483" s="123"/>
      <c r="BG483" s="123"/>
      <c r="BH483" s="123"/>
      <c r="BM483" s="115"/>
      <c r="BN483" s="115"/>
      <c r="BO483" s="115"/>
      <c r="BP483" s="115"/>
      <c r="BQ483" s="115"/>
      <c r="BR483" s="115"/>
      <c r="BS483" s="115"/>
      <c r="BT483" s="115"/>
      <c r="BU483" s="115"/>
      <c r="BV483" s="115"/>
      <c r="BW483" s="25"/>
      <c r="BX483" s="13"/>
      <c r="CA483" s="114"/>
    </row>
    <row r="484" spans="1:79" ht="20.100000000000001" customHeight="1" x14ac:dyDescent="0.4">
      <c r="A484" s="117"/>
      <c r="B484" s="123"/>
      <c r="C484" s="123"/>
      <c r="D484" s="123"/>
      <c r="X484" s="26"/>
      <c r="Y484" s="13"/>
      <c r="AB484" s="115"/>
      <c r="AC484" s="115"/>
      <c r="AD484" s="115"/>
      <c r="AE484" s="115"/>
      <c r="AF484" s="115"/>
      <c r="AG484" s="115"/>
      <c r="AH484" s="115"/>
      <c r="AI484" s="115"/>
      <c r="AJ484" s="115"/>
      <c r="AK484" s="115"/>
      <c r="AL484" s="115"/>
      <c r="AM484" s="115"/>
      <c r="AN484" s="29"/>
      <c r="AO484" s="29"/>
      <c r="AY484" s="25"/>
      <c r="AZ484" s="13"/>
      <c r="BE484" s="116"/>
      <c r="BF484" s="123"/>
      <c r="BG484" s="123"/>
      <c r="BH484" s="123"/>
      <c r="BM484" s="115"/>
      <c r="BN484" s="115"/>
      <c r="BO484" s="115"/>
      <c r="BP484" s="115"/>
      <c r="BQ484" s="115"/>
      <c r="BR484" s="115"/>
      <c r="BS484" s="115"/>
      <c r="BT484" s="115"/>
      <c r="BU484" s="115"/>
      <c r="BV484" s="115"/>
      <c r="BW484" s="25"/>
      <c r="BX484" s="13"/>
      <c r="CA484" s="114"/>
    </row>
    <row r="485" spans="1:79" ht="20.100000000000001" customHeight="1" x14ac:dyDescent="0.4">
      <c r="A485" s="117"/>
      <c r="B485" s="123"/>
      <c r="C485" s="123"/>
      <c r="D485" s="123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7"/>
      <c r="Y485" s="13"/>
      <c r="AB485" s="115"/>
      <c r="AC485" s="115"/>
      <c r="AD485" s="115"/>
      <c r="AE485" s="115"/>
      <c r="AF485" s="115"/>
      <c r="AG485" s="115"/>
      <c r="AH485" s="115"/>
      <c r="AI485" s="115"/>
      <c r="AJ485" s="115"/>
      <c r="AK485" s="115"/>
      <c r="AL485" s="115"/>
      <c r="AM485" s="115"/>
      <c r="AN485" s="29"/>
      <c r="AO485" s="29"/>
      <c r="AY485" s="25"/>
      <c r="AZ485" s="13"/>
      <c r="BE485" s="116"/>
      <c r="BF485" s="123"/>
      <c r="BG485" s="123"/>
      <c r="BH485" s="123"/>
      <c r="BM485" s="115"/>
      <c r="BN485" s="115"/>
      <c r="BO485" s="115"/>
      <c r="BP485" s="115"/>
      <c r="BQ485" s="115"/>
      <c r="BR485" s="115"/>
      <c r="BS485" s="115"/>
      <c r="BT485" s="115"/>
      <c r="BU485" s="115"/>
      <c r="BV485" s="115"/>
      <c r="BW485" s="25"/>
      <c r="BX485" s="13"/>
      <c r="CA485" s="114"/>
    </row>
    <row r="486" spans="1:79" ht="20.100000000000001" customHeight="1" x14ac:dyDescent="0.4">
      <c r="A486" s="117"/>
      <c r="B486" s="123"/>
      <c r="C486" s="123"/>
      <c r="D486" s="123"/>
      <c r="X486" s="26"/>
      <c r="Y486" s="13"/>
      <c r="AB486" s="115"/>
      <c r="AC486" s="115"/>
      <c r="AD486" s="115"/>
      <c r="AE486" s="115"/>
      <c r="AF486" s="115"/>
      <c r="AG486" s="115"/>
      <c r="AH486" s="115"/>
      <c r="AI486" s="115"/>
      <c r="AJ486" s="115"/>
      <c r="AK486" s="115"/>
      <c r="AL486" s="115"/>
      <c r="AM486" s="115"/>
      <c r="AN486" s="29"/>
      <c r="AO486" s="29"/>
      <c r="AY486" s="25"/>
      <c r="AZ486" s="13"/>
      <c r="BE486" s="116"/>
      <c r="BF486" s="123"/>
      <c r="BG486" s="123"/>
      <c r="BH486" s="123"/>
      <c r="BM486" s="115"/>
      <c r="BN486" s="115"/>
      <c r="BO486" s="115"/>
      <c r="BP486" s="115"/>
      <c r="BQ486" s="115"/>
      <c r="BR486" s="115"/>
      <c r="BS486" s="115"/>
      <c r="BT486" s="115"/>
      <c r="BU486" s="115"/>
      <c r="BV486" s="115"/>
      <c r="BW486" s="25"/>
      <c r="BX486" s="13"/>
      <c r="CA486" s="114"/>
    </row>
    <row r="487" spans="1:79" ht="20.100000000000001" customHeight="1" x14ac:dyDescent="0.4">
      <c r="A487" s="117"/>
      <c r="B487" s="123"/>
      <c r="C487" s="123"/>
      <c r="D487" s="123"/>
      <c r="X487" s="26"/>
      <c r="Y487" s="13"/>
      <c r="AB487" s="115"/>
      <c r="AC487" s="115"/>
      <c r="AD487" s="115"/>
      <c r="AE487" s="115"/>
      <c r="AF487" s="115"/>
      <c r="AG487" s="115"/>
      <c r="AH487" s="115"/>
      <c r="AI487" s="115"/>
      <c r="AJ487" s="115"/>
      <c r="AK487" s="115"/>
      <c r="AL487" s="115"/>
      <c r="AM487" s="115"/>
      <c r="AN487" s="127"/>
      <c r="AO487" s="29"/>
      <c r="AY487" s="25"/>
      <c r="AZ487" s="13"/>
      <c r="BE487" s="116"/>
      <c r="BF487" s="123"/>
      <c r="BG487" s="123"/>
      <c r="BH487" s="123"/>
      <c r="BM487" s="115"/>
      <c r="BN487" s="115"/>
      <c r="BO487" s="115"/>
      <c r="BP487" s="115"/>
      <c r="BQ487" s="115"/>
      <c r="BR487" s="115"/>
      <c r="BS487" s="115"/>
      <c r="BT487" s="115"/>
      <c r="BU487" s="115"/>
      <c r="BV487" s="115"/>
      <c r="BW487" s="25"/>
      <c r="BX487" s="13"/>
      <c r="CA487" s="114"/>
    </row>
    <row r="488" spans="1:79" ht="20.100000000000001" customHeight="1" x14ac:dyDescent="0.4">
      <c r="A488" s="117"/>
      <c r="B488" s="123"/>
      <c r="C488" s="123"/>
      <c r="D488" s="123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20"/>
      <c r="Y488" s="13"/>
      <c r="AB488" s="115"/>
      <c r="AC488" s="115"/>
      <c r="AD488" s="115"/>
      <c r="AE488" s="115"/>
      <c r="AF488" s="115"/>
      <c r="AG488" s="115"/>
      <c r="AH488" s="115"/>
      <c r="AI488" s="115"/>
      <c r="AJ488" s="115"/>
      <c r="AK488" s="115"/>
      <c r="AL488" s="115"/>
      <c r="AM488" s="115"/>
      <c r="AN488" s="127"/>
      <c r="AO488" s="29"/>
      <c r="AY488" s="25"/>
      <c r="AZ488" s="13"/>
      <c r="BE488" s="116"/>
      <c r="BF488" s="123"/>
      <c r="BG488" s="123"/>
      <c r="BH488" s="123"/>
      <c r="BM488" s="115"/>
      <c r="BN488" s="115"/>
      <c r="BO488" s="115"/>
      <c r="BP488" s="115"/>
      <c r="BQ488" s="115"/>
      <c r="BR488" s="115"/>
      <c r="BS488" s="115"/>
      <c r="BT488" s="115"/>
      <c r="BU488" s="115"/>
      <c r="BV488" s="115"/>
      <c r="BW488" s="25"/>
      <c r="BX488" s="13"/>
      <c r="CA488" s="114"/>
    </row>
    <row r="489" spans="1:79" ht="20.100000000000001" customHeight="1" x14ac:dyDescent="0.4">
      <c r="A489" s="117"/>
      <c r="B489" s="123"/>
      <c r="C489" s="123"/>
      <c r="D489" s="123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20"/>
      <c r="Y489" s="13"/>
      <c r="AB489" s="115"/>
      <c r="AC489" s="115"/>
      <c r="AD489" s="115"/>
      <c r="AE489" s="115"/>
      <c r="AF489" s="115"/>
      <c r="AG489" s="115"/>
      <c r="AH489" s="115"/>
      <c r="AI489" s="115"/>
      <c r="AJ489" s="115"/>
      <c r="AK489" s="115"/>
      <c r="AL489" s="115"/>
      <c r="AM489" s="115"/>
      <c r="AN489" s="127"/>
      <c r="AO489" s="29"/>
      <c r="AY489" s="25"/>
      <c r="AZ489" s="13"/>
      <c r="BE489" s="116"/>
      <c r="BF489" s="123"/>
      <c r="BG489" s="123"/>
      <c r="BH489" s="123"/>
      <c r="BM489" s="115"/>
      <c r="BN489" s="115"/>
      <c r="BO489" s="115"/>
      <c r="BP489" s="115"/>
      <c r="BQ489" s="115"/>
      <c r="BR489" s="115"/>
      <c r="BS489" s="115"/>
      <c r="BT489" s="115"/>
      <c r="BU489" s="115"/>
      <c r="BV489" s="115"/>
      <c r="BW489" s="25"/>
      <c r="BX489" s="13"/>
      <c r="CA489" s="114"/>
    </row>
    <row r="490" spans="1:79" ht="20.100000000000001" customHeight="1" x14ac:dyDescent="0.4">
      <c r="A490" s="117"/>
      <c r="B490" s="123"/>
      <c r="C490" s="123"/>
      <c r="D490" s="123"/>
      <c r="X490" s="25"/>
      <c r="Y490" s="13"/>
      <c r="AB490" s="115"/>
      <c r="AC490" s="115"/>
      <c r="AD490" s="115"/>
      <c r="AE490" s="115"/>
      <c r="AF490" s="115"/>
      <c r="AG490" s="115"/>
      <c r="AH490" s="115"/>
      <c r="AI490" s="115"/>
      <c r="AJ490" s="115"/>
      <c r="AK490" s="115"/>
      <c r="AL490" s="115"/>
      <c r="AM490" s="115"/>
      <c r="AN490" s="127"/>
      <c r="AO490" s="29"/>
      <c r="AY490" s="25"/>
      <c r="AZ490" s="13"/>
      <c r="BE490" s="116"/>
      <c r="BF490" s="123"/>
      <c r="BG490" s="123"/>
      <c r="BH490" s="123"/>
      <c r="BM490" s="115"/>
      <c r="BN490" s="115"/>
      <c r="BO490" s="115"/>
      <c r="BP490" s="115"/>
      <c r="BQ490" s="115"/>
      <c r="BR490" s="115"/>
      <c r="BS490" s="115"/>
      <c r="BT490" s="115"/>
      <c r="BU490" s="115"/>
      <c r="BV490" s="115"/>
      <c r="BW490" s="25"/>
      <c r="BX490" s="13"/>
      <c r="CA490" s="114"/>
    </row>
    <row r="491" spans="1:79" ht="20.100000000000001" customHeight="1" x14ac:dyDescent="0.4">
      <c r="A491" s="117"/>
      <c r="B491" s="123"/>
      <c r="C491" s="123"/>
      <c r="D491" s="123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3"/>
      <c r="Y491" s="13"/>
      <c r="AB491" s="115"/>
      <c r="AC491" s="115"/>
      <c r="AD491" s="115"/>
      <c r="AE491" s="115"/>
      <c r="AF491" s="115"/>
      <c r="AG491" s="115"/>
      <c r="AH491" s="115"/>
      <c r="AI491" s="115"/>
      <c r="AJ491" s="115"/>
      <c r="AK491" s="115"/>
      <c r="AL491" s="115"/>
      <c r="AM491" s="115"/>
      <c r="AN491" s="127"/>
      <c r="AO491" s="29"/>
      <c r="AY491" s="25"/>
      <c r="AZ491" s="13"/>
      <c r="BE491" s="116"/>
      <c r="BF491" s="123"/>
      <c r="BG491" s="123"/>
      <c r="BH491" s="123"/>
      <c r="BM491" s="115"/>
      <c r="BN491" s="115"/>
      <c r="BO491" s="115"/>
      <c r="BP491" s="115"/>
      <c r="BQ491" s="115"/>
      <c r="BR491" s="115"/>
      <c r="BS491" s="115"/>
      <c r="BT491" s="115"/>
      <c r="BU491" s="115"/>
      <c r="BV491" s="115"/>
      <c r="BW491" s="25"/>
      <c r="BX491" s="13"/>
      <c r="CA491" s="114"/>
    </row>
    <row r="492" spans="1:79" ht="20.100000000000001" customHeight="1" x14ac:dyDescent="0.4">
      <c r="A492" s="117"/>
      <c r="B492" s="123"/>
      <c r="C492" s="123"/>
      <c r="D492" s="123"/>
      <c r="X492" s="25"/>
      <c r="Y492" s="13"/>
      <c r="AB492" s="115"/>
      <c r="AC492" s="115"/>
      <c r="AD492" s="115"/>
      <c r="AE492" s="115"/>
      <c r="AF492" s="115"/>
      <c r="AG492" s="115"/>
      <c r="AH492" s="115"/>
      <c r="AI492" s="115"/>
      <c r="AJ492" s="115"/>
      <c r="AK492" s="115"/>
      <c r="AL492" s="115"/>
      <c r="AM492" s="115"/>
      <c r="AN492" s="127"/>
      <c r="AO492" s="29"/>
      <c r="AY492" s="25"/>
      <c r="AZ492" s="13"/>
      <c r="BE492" s="116"/>
      <c r="BF492" s="123"/>
      <c r="BG492" s="123"/>
      <c r="BH492" s="123"/>
      <c r="BM492" s="115"/>
      <c r="BN492" s="115"/>
      <c r="BO492" s="115"/>
      <c r="BP492" s="115"/>
      <c r="BQ492" s="115"/>
      <c r="BR492" s="115"/>
      <c r="BS492" s="115"/>
      <c r="BT492" s="115"/>
      <c r="BU492" s="115"/>
      <c r="BV492" s="115"/>
      <c r="BW492" s="25"/>
      <c r="BX492" s="13"/>
      <c r="CA492" s="114"/>
    </row>
    <row r="493" spans="1:79" ht="20.100000000000001" customHeight="1" x14ac:dyDescent="0.4">
      <c r="A493" s="117"/>
      <c r="B493" s="123"/>
      <c r="C493" s="123"/>
      <c r="D493" s="123"/>
      <c r="X493" s="26"/>
      <c r="Y493" s="15"/>
      <c r="AB493" s="115"/>
      <c r="AC493" s="115"/>
      <c r="AD493" s="115"/>
      <c r="AE493" s="115"/>
      <c r="AF493" s="115"/>
      <c r="AG493" s="115"/>
      <c r="AH493" s="115"/>
      <c r="AI493" s="115"/>
      <c r="AJ493" s="115"/>
      <c r="AK493" s="115"/>
      <c r="AL493" s="115"/>
      <c r="AM493" s="115"/>
      <c r="AN493" s="127"/>
      <c r="AO493" s="29"/>
      <c r="AY493" s="25"/>
      <c r="AZ493" s="13"/>
      <c r="BE493" s="116"/>
      <c r="BF493" s="123"/>
      <c r="BG493" s="123"/>
      <c r="BH493" s="123"/>
      <c r="BM493" s="115"/>
      <c r="BN493" s="115"/>
      <c r="BO493" s="115"/>
      <c r="BP493" s="115"/>
      <c r="BQ493" s="115"/>
      <c r="BR493" s="115"/>
      <c r="BS493" s="115"/>
      <c r="BT493" s="115"/>
      <c r="BU493" s="115"/>
      <c r="BV493" s="115"/>
      <c r="BW493" s="25"/>
      <c r="BX493" s="13"/>
      <c r="CA493" s="114"/>
    </row>
    <row r="494" spans="1:79" ht="20.100000000000001" customHeight="1" x14ac:dyDescent="0.4">
      <c r="A494" s="117"/>
      <c r="B494" s="123"/>
      <c r="C494" s="123"/>
      <c r="D494" s="123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25"/>
      <c r="Y494" s="13"/>
      <c r="AN494" s="127"/>
      <c r="AO494" s="29"/>
      <c r="AY494" s="25"/>
      <c r="AZ494" s="13"/>
      <c r="BE494" s="116"/>
      <c r="BF494" s="123"/>
      <c r="BG494" s="123"/>
      <c r="BH494" s="123"/>
      <c r="BM494" s="115"/>
      <c r="BN494" s="115"/>
      <c r="BO494" s="115"/>
      <c r="BP494" s="115"/>
      <c r="BQ494" s="115"/>
      <c r="BR494" s="115"/>
      <c r="BS494" s="115"/>
      <c r="BT494" s="115"/>
      <c r="BU494" s="115"/>
      <c r="BV494" s="115"/>
      <c r="BW494" s="25"/>
      <c r="BX494" s="13"/>
      <c r="CA494" s="114"/>
    </row>
    <row r="495" spans="1:79" ht="20.100000000000001" customHeight="1" x14ac:dyDescent="0.4">
      <c r="A495" s="117"/>
      <c r="B495" s="123"/>
      <c r="C495" s="123"/>
      <c r="D495" s="123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25"/>
      <c r="Y495" s="13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  <c r="AK495" s="115"/>
      <c r="AL495" s="115"/>
      <c r="AM495" s="115"/>
      <c r="AN495" s="127"/>
      <c r="AO495" s="29"/>
      <c r="AY495" s="25"/>
      <c r="AZ495" s="13"/>
      <c r="BE495" s="116"/>
      <c r="BF495" s="123"/>
      <c r="BG495" s="123"/>
      <c r="BH495" s="123"/>
      <c r="BM495" s="115"/>
      <c r="BN495" s="115"/>
      <c r="BO495" s="115"/>
      <c r="BP495" s="115"/>
      <c r="BQ495" s="115"/>
      <c r="BR495" s="115"/>
      <c r="BS495" s="115"/>
      <c r="BT495" s="115"/>
      <c r="BU495" s="115"/>
      <c r="BV495" s="115"/>
      <c r="BW495" s="25"/>
      <c r="BX495" s="13"/>
      <c r="CA495" s="114"/>
    </row>
    <row r="496" spans="1:79" ht="20.100000000000001" customHeight="1" x14ac:dyDescent="0.4">
      <c r="A496" s="117"/>
      <c r="B496" s="123"/>
      <c r="C496" s="123"/>
      <c r="D496" s="123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25"/>
      <c r="Y496" s="13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  <c r="AK496" s="115"/>
      <c r="AL496" s="115"/>
      <c r="AM496" s="115"/>
      <c r="AN496" s="29"/>
      <c r="AO496" s="29"/>
      <c r="AY496" s="25"/>
      <c r="AZ496" s="13"/>
      <c r="BE496" s="116"/>
      <c r="BF496" s="123"/>
      <c r="BG496" s="123"/>
      <c r="BH496" s="123"/>
      <c r="BM496" s="115"/>
      <c r="BN496" s="115"/>
      <c r="BO496" s="115"/>
      <c r="BP496" s="115"/>
      <c r="BQ496" s="115"/>
      <c r="BR496" s="115"/>
      <c r="BS496" s="115"/>
      <c r="BT496" s="115"/>
      <c r="BU496" s="115"/>
      <c r="BV496" s="115"/>
      <c r="BW496" s="25"/>
      <c r="BX496" s="13"/>
      <c r="CA496" s="114"/>
    </row>
    <row r="497" spans="1:79" ht="20.100000000000001" customHeight="1" x14ac:dyDescent="0.4">
      <c r="A497" s="117"/>
      <c r="B497" s="123"/>
      <c r="C497" s="123"/>
      <c r="D497" s="123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25"/>
      <c r="Y497" s="13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  <c r="AK497" s="115"/>
      <c r="AL497" s="115"/>
      <c r="AM497" s="115"/>
      <c r="AN497" s="127"/>
      <c r="AO497" s="29"/>
      <c r="AY497" s="25"/>
      <c r="AZ497" s="13"/>
      <c r="BE497" s="116"/>
      <c r="BF497" s="123"/>
      <c r="BG497" s="123"/>
      <c r="BH497" s="123"/>
      <c r="BM497" s="115"/>
      <c r="BN497" s="115"/>
      <c r="BO497" s="115"/>
      <c r="BP497" s="115"/>
      <c r="BQ497" s="115"/>
      <c r="BR497" s="115"/>
      <c r="BS497" s="115"/>
      <c r="BT497" s="115"/>
      <c r="BU497" s="115"/>
      <c r="BV497" s="115"/>
      <c r="BW497" s="25"/>
      <c r="BX497" s="13"/>
      <c r="CA497" s="114"/>
    </row>
    <row r="498" spans="1:79" ht="20.100000000000001" customHeight="1" x14ac:dyDescent="0.4">
      <c r="A498" s="117"/>
      <c r="B498" s="123"/>
      <c r="C498" s="123"/>
      <c r="D498" s="123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26"/>
      <c r="Y498" s="13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  <c r="AK498" s="115"/>
      <c r="AL498" s="115"/>
      <c r="AM498" s="115"/>
      <c r="AN498" s="127"/>
      <c r="AO498" s="29"/>
      <c r="AY498" s="25"/>
      <c r="AZ498" s="13"/>
      <c r="BE498" s="116"/>
      <c r="BF498" s="123"/>
      <c r="BG498" s="123"/>
      <c r="BH498" s="123"/>
      <c r="BM498" s="115"/>
      <c r="BN498" s="115"/>
      <c r="BO498" s="115"/>
      <c r="BP498" s="115"/>
      <c r="BQ498" s="115"/>
      <c r="BR498" s="115"/>
      <c r="BS498" s="115"/>
      <c r="BT498" s="115"/>
      <c r="BU498" s="115"/>
      <c r="BV498" s="115"/>
      <c r="BW498" s="25"/>
      <c r="BX498" s="13"/>
      <c r="CA498" s="114"/>
    </row>
    <row r="499" spans="1:79" ht="20.100000000000001" customHeight="1" x14ac:dyDescent="0.4">
      <c r="A499" s="117"/>
      <c r="B499" s="123"/>
      <c r="C499" s="123"/>
      <c r="D499" s="123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26"/>
      <c r="Y499" s="13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  <c r="AK499" s="115"/>
      <c r="AL499" s="115"/>
      <c r="AM499" s="115"/>
      <c r="AN499" s="127"/>
      <c r="AO499" s="29"/>
      <c r="AY499" s="25"/>
      <c r="AZ499" s="13"/>
      <c r="BE499" s="116"/>
      <c r="BF499" s="123"/>
      <c r="BG499" s="123"/>
      <c r="BH499" s="123"/>
      <c r="BM499" s="115"/>
      <c r="BN499" s="115"/>
      <c r="BO499" s="115"/>
      <c r="BP499" s="115"/>
      <c r="BQ499" s="115"/>
      <c r="BR499" s="115"/>
      <c r="BS499" s="115"/>
      <c r="BT499" s="115"/>
      <c r="BU499" s="115"/>
      <c r="BV499" s="115"/>
      <c r="BW499" s="25"/>
      <c r="BX499" s="13"/>
      <c r="CA499" s="114"/>
    </row>
    <row r="500" spans="1:79" ht="20.100000000000001" customHeight="1" x14ac:dyDescent="0.4">
      <c r="A500" s="117"/>
      <c r="B500" s="123"/>
      <c r="C500" s="123"/>
      <c r="D500" s="123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7"/>
      <c r="Y500" s="13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  <c r="AK500" s="115"/>
      <c r="AL500" s="115"/>
      <c r="AM500" s="115"/>
      <c r="AN500" s="127"/>
      <c r="AO500" s="29"/>
      <c r="AY500" s="25"/>
      <c r="AZ500" s="13"/>
      <c r="BE500" s="116"/>
      <c r="BF500" s="123"/>
      <c r="BG500" s="123"/>
      <c r="BH500" s="123"/>
      <c r="BM500" s="115"/>
      <c r="BN500" s="115"/>
      <c r="BO500" s="115"/>
      <c r="BP500" s="115"/>
      <c r="BQ500" s="115"/>
      <c r="BR500" s="115"/>
      <c r="BS500" s="115"/>
      <c r="BT500" s="115"/>
      <c r="BU500" s="115"/>
      <c r="BV500" s="115"/>
      <c r="BW500" s="25"/>
      <c r="BX500" s="13"/>
      <c r="CA500" s="114"/>
    </row>
    <row r="501" spans="1:79" ht="20.100000000000001" customHeight="1" x14ac:dyDescent="0.4">
      <c r="A501" s="117"/>
      <c r="B501" s="123"/>
      <c r="C501" s="123"/>
      <c r="D501" s="123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26"/>
      <c r="Y501" s="13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  <c r="AK501" s="115"/>
      <c r="AL501" s="115"/>
      <c r="AM501" s="115"/>
      <c r="AN501" s="127"/>
      <c r="AO501" s="29"/>
      <c r="AY501" s="25"/>
      <c r="AZ501" s="13"/>
      <c r="BE501" s="116"/>
      <c r="BF501" s="123"/>
      <c r="BG501" s="123"/>
      <c r="BH501" s="123"/>
      <c r="BM501" s="115"/>
      <c r="BN501" s="115"/>
      <c r="BO501" s="115"/>
      <c r="BP501" s="115"/>
      <c r="BQ501" s="115"/>
      <c r="BR501" s="115"/>
      <c r="BS501" s="115"/>
      <c r="BT501" s="115"/>
      <c r="BU501" s="115"/>
      <c r="BV501" s="115"/>
      <c r="BW501" s="25"/>
      <c r="BX501" s="13"/>
      <c r="CA501" s="114"/>
    </row>
    <row r="502" spans="1:79" ht="20.100000000000001" customHeight="1" x14ac:dyDescent="0.4">
      <c r="A502" s="117"/>
      <c r="B502" s="123"/>
      <c r="C502" s="123"/>
      <c r="D502" s="123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26"/>
      <c r="Y502" s="13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  <c r="AK502" s="115"/>
      <c r="AL502" s="115"/>
      <c r="AM502" s="115"/>
      <c r="AN502" s="127"/>
      <c r="AO502" s="29"/>
      <c r="AY502" s="25"/>
      <c r="AZ502" s="13"/>
      <c r="BE502" s="116"/>
      <c r="BF502" s="123"/>
      <c r="BG502" s="123"/>
      <c r="BH502" s="123"/>
      <c r="BM502" s="115"/>
      <c r="BN502" s="115"/>
      <c r="BO502" s="115"/>
      <c r="BP502" s="115"/>
      <c r="BQ502" s="115"/>
      <c r="BR502" s="115"/>
      <c r="BS502" s="115"/>
      <c r="BT502" s="115"/>
      <c r="BU502" s="115"/>
      <c r="BV502" s="115"/>
      <c r="BW502" s="25"/>
      <c r="BX502" s="13"/>
      <c r="CA502" s="114"/>
    </row>
    <row r="503" spans="1:79" ht="20.100000000000001" customHeight="1" x14ac:dyDescent="0.4">
      <c r="A503" s="117"/>
      <c r="B503" s="123"/>
      <c r="C503" s="123"/>
      <c r="D503" s="123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7"/>
      <c r="Y503" s="13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  <c r="AK503" s="115"/>
      <c r="AL503" s="115"/>
      <c r="AM503" s="115"/>
      <c r="AN503" s="127"/>
      <c r="AO503" s="29"/>
      <c r="AY503" s="25"/>
      <c r="AZ503" s="13"/>
      <c r="BE503" s="116"/>
      <c r="BF503" s="123"/>
      <c r="BG503" s="123"/>
      <c r="BH503" s="123"/>
      <c r="BM503" s="115"/>
      <c r="BN503" s="115"/>
      <c r="BO503" s="115"/>
      <c r="BP503" s="115"/>
      <c r="BQ503" s="115"/>
      <c r="BR503" s="115"/>
      <c r="BS503" s="115"/>
      <c r="BT503" s="115"/>
      <c r="BU503" s="115"/>
      <c r="BV503" s="115"/>
      <c r="BW503" s="25"/>
      <c r="BX503" s="13"/>
      <c r="CA503" s="114"/>
    </row>
    <row r="504" spans="1:79" ht="20.100000000000001" customHeight="1" x14ac:dyDescent="0.4">
      <c r="A504" s="117"/>
      <c r="B504" s="123"/>
      <c r="C504" s="123"/>
      <c r="D504" s="123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26"/>
      <c r="Y504" s="13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  <c r="AK504" s="115"/>
      <c r="AL504" s="115"/>
      <c r="AM504" s="115"/>
      <c r="AN504" s="127"/>
      <c r="AO504" s="134"/>
      <c r="AY504" s="25"/>
      <c r="AZ504" s="13"/>
      <c r="BE504" s="116"/>
      <c r="BF504" s="123"/>
      <c r="BG504" s="123"/>
      <c r="BH504" s="123"/>
      <c r="BM504" s="115"/>
      <c r="BN504" s="115"/>
      <c r="BO504" s="115"/>
      <c r="BP504" s="115"/>
      <c r="BQ504" s="115"/>
      <c r="BR504" s="115"/>
      <c r="BS504" s="115"/>
      <c r="BT504" s="115"/>
      <c r="BU504" s="115"/>
      <c r="BV504" s="115"/>
      <c r="BW504" s="25"/>
      <c r="BX504" s="13"/>
      <c r="CA504" s="114"/>
    </row>
    <row r="505" spans="1:79" ht="20.100000000000001" customHeight="1" x14ac:dyDescent="0.4">
      <c r="A505" s="117"/>
      <c r="B505" s="123"/>
      <c r="C505" s="123"/>
      <c r="D505" s="123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26"/>
      <c r="Y505" s="13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  <c r="AK505" s="115"/>
      <c r="AL505" s="115"/>
      <c r="AM505" s="115"/>
      <c r="AN505" s="127"/>
      <c r="AO505" s="29"/>
      <c r="AY505" s="25"/>
      <c r="AZ505" s="13"/>
      <c r="BE505" s="116"/>
      <c r="BF505" s="123"/>
      <c r="BG505" s="123"/>
      <c r="BH505" s="123"/>
      <c r="BM505" s="115"/>
      <c r="BN505" s="115"/>
      <c r="BO505" s="115"/>
      <c r="BP505" s="115"/>
      <c r="BQ505" s="115"/>
      <c r="BR505" s="115"/>
      <c r="BS505" s="115"/>
      <c r="BT505" s="115"/>
      <c r="BU505" s="115"/>
      <c r="BV505" s="115"/>
      <c r="BW505" s="25"/>
      <c r="BX505" s="13"/>
      <c r="CA505" s="114"/>
    </row>
    <row r="506" spans="1:79" ht="20.100000000000001" customHeight="1" x14ac:dyDescent="0.4">
      <c r="A506" s="117"/>
      <c r="B506" s="123"/>
      <c r="C506" s="123"/>
      <c r="D506" s="123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26"/>
      <c r="Y506" s="13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  <c r="AK506" s="115"/>
      <c r="AL506" s="115"/>
      <c r="AM506" s="115"/>
      <c r="AN506" s="127"/>
      <c r="AO506" s="29"/>
      <c r="AY506" s="25"/>
      <c r="AZ506" s="13"/>
      <c r="BE506" s="116"/>
      <c r="BF506" s="123"/>
      <c r="BG506" s="123"/>
      <c r="BH506" s="123"/>
      <c r="BM506" s="115"/>
      <c r="BN506" s="115"/>
      <c r="BO506" s="115"/>
      <c r="BP506" s="115"/>
      <c r="BQ506" s="115"/>
      <c r="BR506" s="115"/>
      <c r="BS506" s="115"/>
      <c r="BT506" s="115"/>
      <c r="BU506" s="115"/>
      <c r="BV506" s="115"/>
      <c r="BW506" s="25"/>
      <c r="BX506" s="13"/>
      <c r="CA506" s="114"/>
    </row>
    <row r="507" spans="1:79" ht="20.100000000000001" customHeight="1" x14ac:dyDescent="0.4">
      <c r="A507" s="117"/>
      <c r="B507" s="123"/>
      <c r="C507" s="123"/>
      <c r="D507" s="123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26"/>
      <c r="Y507" s="13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  <c r="AK507" s="115"/>
      <c r="AL507" s="115"/>
      <c r="AM507" s="115"/>
      <c r="AN507" s="127"/>
      <c r="AO507" s="29"/>
      <c r="AY507" s="25"/>
      <c r="AZ507" s="13"/>
      <c r="BE507" s="116"/>
      <c r="BF507" s="123"/>
      <c r="BG507" s="123"/>
      <c r="BH507" s="123"/>
      <c r="BM507" s="115"/>
      <c r="BN507" s="115"/>
      <c r="BO507" s="115"/>
      <c r="BP507" s="115"/>
      <c r="BQ507" s="115"/>
      <c r="BR507" s="115"/>
      <c r="BS507" s="115"/>
      <c r="BT507" s="115"/>
      <c r="BU507" s="115"/>
      <c r="BV507" s="115"/>
      <c r="BW507" s="25"/>
      <c r="BX507" s="13"/>
      <c r="CA507" s="114"/>
    </row>
    <row r="508" spans="1:79" ht="20.100000000000001" customHeight="1" x14ac:dyDescent="0.4">
      <c r="A508" s="117"/>
      <c r="B508" s="123"/>
      <c r="C508" s="123"/>
      <c r="D508" s="123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26"/>
      <c r="Y508" s="13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  <c r="AK508" s="115"/>
      <c r="AL508" s="115"/>
      <c r="AM508" s="115"/>
      <c r="AN508" s="127"/>
      <c r="AO508" s="29"/>
      <c r="AY508" s="25"/>
      <c r="AZ508" s="13"/>
      <c r="BE508" s="116"/>
      <c r="BF508" s="123"/>
      <c r="BG508" s="123"/>
      <c r="BH508" s="123"/>
      <c r="BM508" s="115"/>
      <c r="BN508" s="115"/>
      <c r="BO508" s="115"/>
      <c r="BP508" s="115"/>
      <c r="BQ508" s="115"/>
      <c r="BR508" s="115"/>
      <c r="BS508" s="115"/>
      <c r="BT508" s="115"/>
      <c r="BU508" s="115"/>
      <c r="BV508" s="115"/>
      <c r="BW508" s="25"/>
      <c r="BX508" s="13"/>
      <c r="CA508" s="114"/>
    </row>
    <row r="509" spans="1:79" ht="20.100000000000001" customHeight="1" x14ac:dyDescent="0.4">
      <c r="A509" s="117"/>
      <c r="B509" s="123"/>
      <c r="C509" s="123"/>
      <c r="D509" s="123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26"/>
      <c r="Y509" s="13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  <c r="AK509" s="115"/>
      <c r="AL509" s="115"/>
      <c r="AM509" s="115"/>
      <c r="AN509" s="127"/>
      <c r="AO509" s="29"/>
      <c r="AY509" s="25"/>
      <c r="AZ509" s="13"/>
      <c r="BE509" s="116"/>
      <c r="BF509" s="123"/>
      <c r="BG509" s="123"/>
      <c r="BH509" s="123"/>
      <c r="BM509" s="115"/>
      <c r="BN509" s="115"/>
      <c r="BO509" s="115"/>
      <c r="BP509" s="115"/>
      <c r="BQ509" s="115"/>
      <c r="BR509" s="115"/>
      <c r="BS509" s="115"/>
      <c r="BT509" s="115"/>
      <c r="BU509" s="115"/>
      <c r="BV509" s="115"/>
      <c r="BW509" s="25"/>
      <c r="BX509" s="13"/>
      <c r="CA509" s="114"/>
    </row>
    <row r="510" spans="1:79" ht="20.100000000000001" customHeight="1" x14ac:dyDescent="0.4">
      <c r="A510" s="117"/>
      <c r="B510" s="123"/>
      <c r="C510" s="123"/>
      <c r="D510" s="123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26"/>
      <c r="Y510" s="13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  <c r="AK510" s="115"/>
      <c r="AL510" s="115"/>
      <c r="AM510" s="115"/>
      <c r="AN510" s="127"/>
      <c r="AO510" s="29"/>
      <c r="AY510" s="25"/>
      <c r="AZ510" s="13"/>
      <c r="BE510" s="116"/>
      <c r="BF510" s="123"/>
      <c r="BG510" s="123"/>
      <c r="BH510" s="123"/>
      <c r="BM510" s="115"/>
      <c r="BN510" s="115"/>
      <c r="BO510" s="115"/>
      <c r="BP510" s="115"/>
      <c r="BQ510" s="115"/>
      <c r="BR510" s="115"/>
      <c r="BS510" s="115"/>
      <c r="BT510" s="115"/>
      <c r="BU510" s="115"/>
      <c r="BV510" s="115"/>
      <c r="BW510" s="25"/>
      <c r="BX510" s="13"/>
      <c r="CA510" s="114"/>
    </row>
    <row r="511" spans="1:79" ht="20.100000000000001" customHeight="1" x14ac:dyDescent="0.4">
      <c r="A511" s="117"/>
      <c r="B511" s="123"/>
      <c r="C511" s="123"/>
      <c r="D511" s="123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7"/>
      <c r="Y511" s="13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  <c r="AK511" s="115"/>
      <c r="AL511" s="115"/>
      <c r="AM511" s="115"/>
      <c r="AN511" s="127"/>
      <c r="AO511" s="29"/>
      <c r="AY511" s="25"/>
      <c r="AZ511" s="13"/>
      <c r="BE511" s="116"/>
      <c r="BF511" s="123"/>
      <c r="BG511" s="123"/>
      <c r="BH511" s="123"/>
      <c r="BM511" s="115"/>
      <c r="BN511" s="115"/>
      <c r="BO511" s="115"/>
      <c r="BP511" s="115"/>
      <c r="BQ511" s="115"/>
      <c r="BR511" s="115"/>
      <c r="BS511" s="115"/>
      <c r="BT511" s="115"/>
      <c r="BU511" s="115"/>
      <c r="BV511" s="115"/>
      <c r="BW511" s="25"/>
      <c r="BX511" s="13"/>
      <c r="CA511" s="114"/>
    </row>
    <row r="512" spans="1:79" ht="20.100000000000001" customHeight="1" x14ac:dyDescent="0.4">
      <c r="A512" s="117"/>
      <c r="B512" s="123"/>
      <c r="C512" s="123"/>
      <c r="D512" s="123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26"/>
      <c r="Y512" s="13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  <c r="AK512" s="115"/>
      <c r="AL512" s="115"/>
      <c r="AM512" s="115"/>
      <c r="AN512" s="127"/>
      <c r="AO512" s="29"/>
      <c r="AY512" s="25"/>
      <c r="AZ512" s="13"/>
      <c r="BE512" s="116"/>
      <c r="BF512" s="123"/>
      <c r="BG512" s="123"/>
      <c r="BH512" s="123"/>
      <c r="BM512" s="115"/>
      <c r="BN512" s="115"/>
      <c r="BO512" s="115"/>
      <c r="BP512" s="115"/>
      <c r="BQ512" s="115"/>
      <c r="BR512" s="115"/>
      <c r="BS512" s="115"/>
      <c r="BT512" s="115"/>
      <c r="BU512" s="115"/>
      <c r="BV512" s="115"/>
      <c r="BW512" s="25"/>
      <c r="BX512" s="13"/>
      <c r="CA512" s="114"/>
    </row>
    <row r="513" spans="1:79" ht="20.100000000000001" customHeight="1" x14ac:dyDescent="0.4">
      <c r="A513" s="117"/>
      <c r="B513" s="123"/>
      <c r="C513" s="123"/>
      <c r="D513" s="123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26"/>
      <c r="Y513" s="13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  <c r="AK513" s="115"/>
      <c r="AL513" s="115"/>
      <c r="AM513" s="115"/>
      <c r="AN513" s="127"/>
      <c r="AO513" s="29"/>
      <c r="AY513" s="25"/>
      <c r="AZ513" s="13"/>
      <c r="BE513" s="116"/>
      <c r="BF513" s="123"/>
      <c r="BG513" s="123"/>
      <c r="BH513" s="123"/>
      <c r="BM513" s="115"/>
      <c r="BN513" s="115"/>
      <c r="BO513" s="115"/>
      <c r="BP513" s="115"/>
      <c r="BQ513" s="115"/>
      <c r="BR513" s="115"/>
      <c r="BS513" s="115"/>
      <c r="BT513" s="115"/>
      <c r="BU513" s="115"/>
      <c r="BV513" s="115"/>
      <c r="BW513" s="25"/>
      <c r="BX513" s="13"/>
      <c r="CA513" s="114"/>
    </row>
    <row r="514" spans="1:79" ht="20.100000000000001" customHeight="1" x14ac:dyDescent="0.4">
      <c r="A514" s="117"/>
      <c r="B514" s="123"/>
      <c r="C514" s="123"/>
      <c r="D514" s="123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7"/>
      <c r="Y514" s="13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  <c r="AK514" s="115"/>
      <c r="AL514" s="115"/>
      <c r="AM514" s="115"/>
      <c r="AN514" s="127"/>
      <c r="AO514" s="29"/>
      <c r="AY514" s="25"/>
      <c r="AZ514" s="13"/>
      <c r="BE514" s="116"/>
      <c r="BF514" s="123"/>
      <c r="BG514" s="123"/>
      <c r="BH514" s="123"/>
      <c r="BM514" s="115"/>
      <c r="BN514" s="115"/>
      <c r="BO514" s="115"/>
      <c r="BP514" s="115"/>
      <c r="BQ514" s="115"/>
      <c r="BR514" s="115"/>
      <c r="BS514" s="115"/>
      <c r="BT514" s="115"/>
      <c r="BU514" s="115"/>
      <c r="BV514" s="115"/>
      <c r="BW514" s="25"/>
      <c r="BX514" s="13"/>
      <c r="CA514" s="114"/>
    </row>
    <row r="515" spans="1:79" ht="20.100000000000001" customHeight="1" x14ac:dyDescent="0.4">
      <c r="A515" s="117"/>
      <c r="B515" s="123"/>
      <c r="C515" s="123"/>
      <c r="D515" s="123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26"/>
      <c r="Y515" s="13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  <c r="AK515" s="115"/>
      <c r="AL515" s="115"/>
      <c r="AM515" s="115"/>
      <c r="AN515" s="127"/>
      <c r="AO515" s="134"/>
      <c r="AY515" s="25"/>
      <c r="AZ515" s="13"/>
      <c r="BE515" s="116"/>
      <c r="BF515" s="123"/>
      <c r="BG515" s="123"/>
      <c r="BH515" s="123"/>
      <c r="BM515" s="115"/>
      <c r="BN515" s="115"/>
      <c r="BO515" s="115"/>
      <c r="BP515" s="115"/>
      <c r="BQ515" s="115"/>
      <c r="BR515" s="115"/>
      <c r="BS515" s="115"/>
      <c r="BT515" s="115"/>
      <c r="BU515" s="115"/>
      <c r="BV515" s="115"/>
      <c r="BW515" s="25"/>
      <c r="BX515" s="13"/>
      <c r="CA515" s="114"/>
    </row>
    <row r="516" spans="1:79" ht="20.100000000000001" customHeight="1" x14ac:dyDescent="0.4">
      <c r="A516" s="117"/>
      <c r="B516" s="123"/>
      <c r="C516" s="123"/>
      <c r="D516" s="123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26"/>
      <c r="Y516" s="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  <c r="AK516" s="115"/>
      <c r="AL516" s="115"/>
      <c r="AM516" s="115"/>
      <c r="AN516" s="127"/>
      <c r="AO516" s="29"/>
      <c r="AY516" s="25"/>
      <c r="AZ516" s="13"/>
      <c r="BE516" s="116"/>
      <c r="BF516" s="123"/>
      <c r="BG516" s="123"/>
      <c r="BH516" s="123"/>
      <c r="BM516" s="115"/>
      <c r="BN516" s="115"/>
      <c r="BO516" s="115"/>
      <c r="BP516" s="115"/>
      <c r="BQ516" s="115"/>
      <c r="BR516" s="115"/>
      <c r="BS516" s="115"/>
      <c r="BT516" s="115"/>
      <c r="BU516" s="115"/>
      <c r="BV516" s="115"/>
      <c r="BW516" s="25"/>
      <c r="BX516" s="13"/>
      <c r="CA516" s="114"/>
    </row>
    <row r="517" spans="1:79" ht="20.100000000000001" customHeight="1" x14ac:dyDescent="0.4">
      <c r="A517" s="117"/>
      <c r="B517" s="123"/>
      <c r="C517" s="123"/>
      <c r="D517" s="123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26"/>
      <c r="Y517" s="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  <c r="AK517" s="115"/>
      <c r="AL517" s="115"/>
      <c r="AM517" s="115"/>
      <c r="AN517" s="127"/>
      <c r="AO517" s="29"/>
      <c r="AY517" s="25"/>
      <c r="AZ517" s="13"/>
      <c r="BE517" s="116"/>
      <c r="BF517" s="123"/>
      <c r="BG517" s="123"/>
      <c r="BH517" s="123"/>
      <c r="BM517" s="115"/>
      <c r="BN517" s="115"/>
      <c r="BO517" s="115"/>
      <c r="BP517" s="115"/>
      <c r="BQ517" s="115"/>
      <c r="BR517" s="115"/>
      <c r="BS517" s="115"/>
      <c r="BT517" s="115"/>
      <c r="BU517" s="115"/>
      <c r="BV517" s="115"/>
      <c r="BW517" s="25"/>
      <c r="BX517" s="13"/>
      <c r="CA517" s="114"/>
    </row>
    <row r="518" spans="1:79" ht="20.100000000000001" customHeight="1" x14ac:dyDescent="0.4">
      <c r="A518" s="117"/>
      <c r="B518" s="123"/>
      <c r="C518" s="123"/>
      <c r="D518" s="123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26"/>
      <c r="Y518" s="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  <c r="AK518" s="115"/>
      <c r="AL518" s="115"/>
      <c r="AM518" s="115"/>
      <c r="AN518" s="127"/>
      <c r="AO518" s="29"/>
      <c r="AY518" s="25"/>
      <c r="AZ518" s="13"/>
      <c r="BE518" s="116"/>
      <c r="BF518" s="123"/>
      <c r="BG518" s="123"/>
      <c r="BH518" s="123"/>
      <c r="BM518" s="115"/>
      <c r="BN518" s="115"/>
      <c r="BO518" s="115"/>
      <c r="BP518" s="115"/>
      <c r="BQ518" s="115"/>
      <c r="BR518" s="115"/>
      <c r="BS518" s="115"/>
      <c r="BT518" s="115"/>
      <c r="BU518" s="115"/>
      <c r="BV518" s="115"/>
      <c r="BW518" s="25"/>
      <c r="BX518" s="13"/>
      <c r="CA518" s="114"/>
    </row>
    <row r="519" spans="1:79" ht="20.100000000000001" customHeight="1" x14ac:dyDescent="0.4">
      <c r="A519" s="117"/>
      <c r="B519" s="123"/>
      <c r="C519" s="123"/>
      <c r="D519" s="123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26"/>
      <c r="Y519" s="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  <c r="AK519" s="115"/>
      <c r="AL519" s="115"/>
      <c r="AM519" s="115"/>
      <c r="AN519" s="29"/>
      <c r="AO519" s="29"/>
      <c r="AY519" s="25"/>
      <c r="AZ519" s="13"/>
      <c r="BE519" s="116"/>
      <c r="BF519" s="123"/>
      <c r="BG519" s="123"/>
      <c r="BH519" s="123"/>
      <c r="BM519" s="115"/>
      <c r="BN519" s="115"/>
      <c r="BO519" s="115"/>
      <c r="BP519" s="115"/>
      <c r="BQ519" s="115"/>
      <c r="BR519" s="115"/>
      <c r="BS519" s="115"/>
      <c r="BT519" s="115"/>
      <c r="BU519" s="115"/>
      <c r="BV519" s="115"/>
      <c r="BW519" s="25"/>
      <c r="BX519" s="13"/>
      <c r="CA519" s="114"/>
    </row>
    <row r="520" spans="1:79" ht="20.100000000000001" customHeight="1" x14ac:dyDescent="0.4">
      <c r="A520" s="117"/>
      <c r="B520" s="123"/>
      <c r="C520" s="123"/>
      <c r="D520" s="123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26"/>
      <c r="Y520" s="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  <c r="AK520" s="115"/>
      <c r="AL520" s="115"/>
      <c r="AM520" s="115"/>
      <c r="AN520" s="127"/>
      <c r="AO520" s="29"/>
      <c r="AY520" s="25"/>
      <c r="AZ520" s="13"/>
      <c r="BE520" s="116"/>
      <c r="BF520" s="123"/>
      <c r="BG520" s="123"/>
      <c r="BH520" s="123"/>
      <c r="BM520" s="115"/>
      <c r="BN520" s="115"/>
      <c r="BO520" s="115"/>
      <c r="BP520" s="115"/>
      <c r="BQ520" s="115"/>
      <c r="BR520" s="115"/>
      <c r="BS520" s="115"/>
      <c r="BT520" s="115"/>
      <c r="BU520" s="115"/>
      <c r="BV520" s="115"/>
      <c r="BW520" s="25"/>
      <c r="BX520" s="13"/>
      <c r="CA520" s="114"/>
    </row>
    <row r="521" spans="1:79" ht="20.100000000000001" customHeight="1" x14ac:dyDescent="0.4">
      <c r="A521" s="117"/>
      <c r="B521" s="123"/>
      <c r="C521" s="123"/>
      <c r="D521" s="123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26"/>
      <c r="Y521" s="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  <c r="AK521" s="115"/>
      <c r="AL521" s="115"/>
      <c r="AM521" s="115"/>
      <c r="AN521" s="127"/>
      <c r="AO521" s="29"/>
      <c r="AY521" s="25"/>
      <c r="AZ521" s="13"/>
      <c r="BE521" s="116"/>
      <c r="BF521" s="123"/>
      <c r="BG521" s="123"/>
      <c r="BH521" s="123"/>
      <c r="BM521" s="115"/>
      <c r="BN521" s="115"/>
      <c r="BO521" s="115"/>
      <c r="BP521" s="115"/>
      <c r="BQ521" s="115"/>
      <c r="BR521" s="115"/>
      <c r="BS521" s="115"/>
      <c r="BT521" s="115"/>
      <c r="BU521" s="115"/>
      <c r="BV521" s="115"/>
      <c r="BW521" s="25"/>
      <c r="BX521" s="13"/>
      <c r="CA521" s="114"/>
    </row>
    <row r="522" spans="1:79" ht="20.100000000000001" customHeight="1" x14ac:dyDescent="0.4">
      <c r="A522" s="117"/>
      <c r="B522" s="123"/>
      <c r="C522" s="123"/>
      <c r="D522" s="123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26"/>
      <c r="Y522" s="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  <c r="AK522" s="115"/>
      <c r="AL522" s="115"/>
      <c r="AM522" s="115"/>
      <c r="AN522" s="127"/>
      <c r="AO522" s="29"/>
      <c r="AY522" s="25"/>
      <c r="AZ522" s="13"/>
      <c r="BE522" s="116"/>
      <c r="BF522" s="123"/>
      <c r="BG522" s="123"/>
      <c r="BH522" s="123"/>
      <c r="BM522" s="115"/>
      <c r="BN522" s="115"/>
      <c r="BO522" s="115"/>
      <c r="BP522" s="115"/>
      <c r="BQ522" s="115"/>
      <c r="BR522" s="115"/>
      <c r="BS522" s="115"/>
      <c r="BT522" s="115"/>
      <c r="BU522" s="115"/>
      <c r="BV522" s="115"/>
      <c r="BW522" s="25"/>
      <c r="BX522" s="13"/>
      <c r="CA522" s="114"/>
    </row>
    <row r="523" spans="1:79" ht="20.100000000000001" customHeight="1" x14ac:dyDescent="0.4">
      <c r="A523" s="117"/>
      <c r="B523" s="123"/>
      <c r="C523" s="123"/>
      <c r="D523" s="123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26"/>
      <c r="Y523" s="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  <c r="AK523" s="115"/>
      <c r="AL523" s="115"/>
      <c r="AM523" s="115"/>
      <c r="AN523" s="127"/>
      <c r="AO523" s="29"/>
      <c r="AY523" s="25"/>
      <c r="AZ523" s="13"/>
      <c r="BE523" s="116"/>
      <c r="BF523" s="123"/>
      <c r="BG523" s="123"/>
      <c r="BH523" s="123"/>
      <c r="BM523" s="115"/>
      <c r="BN523" s="115"/>
      <c r="BO523" s="115"/>
      <c r="BP523" s="115"/>
      <c r="BQ523" s="115"/>
      <c r="BR523" s="115"/>
      <c r="BS523" s="115"/>
      <c r="BT523" s="115"/>
      <c r="BU523" s="115"/>
      <c r="BV523" s="115"/>
      <c r="BW523" s="25"/>
      <c r="BX523" s="13"/>
      <c r="CA523" s="114"/>
    </row>
    <row r="524" spans="1:79" ht="20.100000000000001" customHeight="1" x14ac:dyDescent="0.4">
      <c r="A524" s="117"/>
      <c r="B524" s="123"/>
      <c r="C524" s="123"/>
      <c r="D524" s="123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26"/>
      <c r="Y524" s="13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  <c r="AK524" s="115"/>
      <c r="AL524" s="115"/>
      <c r="AM524" s="115"/>
      <c r="AN524" s="29"/>
      <c r="AO524" s="29"/>
      <c r="AY524" s="25"/>
      <c r="AZ524" s="13"/>
      <c r="BE524" s="116"/>
      <c r="BF524" s="123"/>
      <c r="BG524" s="123"/>
      <c r="BH524" s="123"/>
      <c r="BM524" s="115"/>
      <c r="BN524" s="115"/>
      <c r="BO524" s="115"/>
      <c r="BP524" s="115"/>
      <c r="BQ524" s="115"/>
      <c r="BR524" s="115"/>
      <c r="BS524" s="115"/>
      <c r="BT524" s="115"/>
      <c r="BU524" s="115"/>
      <c r="BV524" s="115"/>
      <c r="BW524" s="25"/>
      <c r="BX524" s="13"/>
      <c r="CA524" s="114"/>
    </row>
    <row r="525" spans="1:79" ht="20.100000000000001" customHeight="1" x14ac:dyDescent="0.4">
      <c r="A525" s="117"/>
      <c r="B525" s="123"/>
      <c r="C525" s="123"/>
      <c r="D525" s="123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26"/>
      <c r="Y525" s="13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  <c r="AK525" s="115"/>
      <c r="AL525" s="115"/>
      <c r="AM525" s="115"/>
      <c r="AN525" s="127"/>
      <c r="AO525" s="29"/>
      <c r="AY525" s="25"/>
      <c r="AZ525" s="13"/>
      <c r="BE525" s="116"/>
      <c r="BF525" s="123"/>
      <c r="BG525" s="123"/>
      <c r="BH525" s="123"/>
      <c r="BM525" s="115"/>
      <c r="BN525" s="115"/>
      <c r="BO525" s="115"/>
      <c r="BP525" s="115"/>
      <c r="BQ525" s="115"/>
      <c r="BR525" s="115"/>
      <c r="BS525" s="115"/>
      <c r="BT525" s="115"/>
      <c r="BU525" s="115"/>
      <c r="BV525" s="115"/>
      <c r="BW525" s="25"/>
      <c r="BX525" s="13"/>
      <c r="CA525" s="114"/>
    </row>
    <row r="526" spans="1:79" ht="20.100000000000001" customHeight="1" x14ac:dyDescent="0.4">
      <c r="A526" s="117"/>
      <c r="B526" s="123"/>
      <c r="C526" s="123"/>
      <c r="D526" s="123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26"/>
      <c r="Y526" s="13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  <c r="AK526" s="115"/>
      <c r="AL526" s="115"/>
      <c r="AM526" s="115"/>
      <c r="AN526" s="127"/>
      <c r="AO526" s="29"/>
      <c r="AY526" s="25"/>
      <c r="AZ526" s="13"/>
      <c r="BE526" s="116"/>
      <c r="BF526" s="123"/>
      <c r="BG526" s="123"/>
      <c r="BH526" s="123"/>
      <c r="BM526" s="115"/>
      <c r="BN526" s="115"/>
      <c r="BO526" s="115"/>
      <c r="BP526" s="115"/>
      <c r="BQ526" s="115"/>
      <c r="BR526" s="115"/>
      <c r="BS526" s="115"/>
      <c r="BT526" s="115"/>
      <c r="BU526" s="115"/>
      <c r="BV526" s="115"/>
      <c r="BW526" s="25"/>
      <c r="BX526" s="13"/>
      <c r="CA526" s="114"/>
    </row>
    <row r="527" spans="1:79" ht="20.100000000000001" customHeight="1" x14ac:dyDescent="0.4">
      <c r="A527" s="117"/>
      <c r="B527" s="123"/>
      <c r="C527" s="123"/>
      <c r="D527" s="123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26"/>
      <c r="Y527" s="13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  <c r="AK527" s="115"/>
      <c r="AL527" s="115"/>
      <c r="AM527" s="115"/>
      <c r="AN527" s="127"/>
      <c r="AO527" s="29"/>
      <c r="AY527" s="25"/>
      <c r="AZ527" s="13"/>
      <c r="BE527" s="116"/>
      <c r="BF527" s="123"/>
      <c r="BG527" s="123"/>
      <c r="BH527" s="123"/>
      <c r="BM527" s="115"/>
      <c r="BN527" s="115"/>
      <c r="BO527" s="115"/>
      <c r="BP527" s="115"/>
      <c r="BQ527" s="115"/>
      <c r="BR527" s="115"/>
      <c r="BS527" s="115"/>
      <c r="BT527" s="115"/>
      <c r="BU527" s="115"/>
      <c r="BV527" s="115"/>
      <c r="BW527" s="25"/>
      <c r="BX527" s="13"/>
      <c r="CA527" s="114"/>
    </row>
    <row r="528" spans="1:79" ht="20.100000000000001" customHeight="1" x14ac:dyDescent="0.4">
      <c r="A528" s="117"/>
      <c r="B528" s="123"/>
      <c r="C528" s="123"/>
      <c r="D528" s="123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26"/>
      <c r="Y528" s="13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  <c r="AK528" s="115"/>
      <c r="AL528" s="115"/>
      <c r="AM528" s="115"/>
      <c r="AN528" s="127"/>
      <c r="AO528" s="29"/>
      <c r="AY528" s="25"/>
      <c r="AZ528" s="13"/>
      <c r="BE528" s="116"/>
      <c r="BF528" s="123"/>
      <c r="BG528" s="123"/>
      <c r="BH528" s="123"/>
      <c r="BM528" s="115"/>
      <c r="BN528" s="115"/>
      <c r="BO528" s="115"/>
      <c r="BP528" s="115"/>
      <c r="BQ528" s="115"/>
      <c r="BR528" s="115"/>
      <c r="BS528" s="115"/>
      <c r="BT528" s="115"/>
      <c r="BU528" s="115"/>
      <c r="BV528" s="115"/>
      <c r="BW528" s="25"/>
      <c r="BX528" s="13"/>
      <c r="CA528" s="114"/>
    </row>
    <row r="529" spans="1:79" ht="20.100000000000001" customHeight="1" x14ac:dyDescent="0.4">
      <c r="A529" s="117"/>
      <c r="B529" s="123"/>
      <c r="C529" s="123"/>
      <c r="D529" s="123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7"/>
      <c r="Y529" s="13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  <c r="AK529" s="115"/>
      <c r="AL529" s="115"/>
      <c r="AM529" s="115"/>
      <c r="AN529" s="127"/>
      <c r="AO529" s="29"/>
      <c r="AY529" s="25"/>
      <c r="AZ529" s="13"/>
      <c r="BE529" s="116"/>
      <c r="BF529" s="123"/>
      <c r="BG529" s="123"/>
      <c r="BH529" s="123"/>
      <c r="BM529" s="115"/>
      <c r="BN529" s="115"/>
      <c r="BO529" s="115"/>
      <c r="BP529" s="115"/>
      <c r="BQ529" s="115"/>
      <c r="BR529" s="115"/>
      <c r="BS529" s="115"/>
      <c r="BT529" s="115"/>
      <c r="BU529" s="115"/>
      <c r="BV529" s="115"/>
      <c r="BW529" s="25"/>
      <c r="BX529" s="13"/>
      <c r="CA529" s="114"/>
    </row>
    <row r="530" spans="1:79" ht="20.100000000000001" customHeight="1" x14ac:dyDescent="0.4">
      <c r="A530" s="117"/>
      <c r="B530" s="123"/>
      <c r="C530" s="123"/>
      <c r="D530" s="123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26"/>
      <c r="Y530" s="13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  <c r="AK530" s="115"/>
      <c r="AL530" s="115"/>
      <c r="AM530" s="115"/>
      <c r="AN530" s="127"/>
      <c r="AO530" s="29"/>
      <c r="AY530" s="25"/>
      <c r="AZ530" s="13"/>
      <c r="BE530" s="116"/>
      <c r="BF530" s="123"/>
      <c r="BG530" s="123"/>
      <c r="BH530" s="123"/>
      <c r="BM530" s="115"/>
      <c r="BN530" s="115"/>
      <c r="BO530" s="115"/>
      <c r="BP530" s="115"/>
      <c r="BQ530" s="115"/>
      <c r="BR530" s="115"/>
      <c r="BS530" s="115"/>
      <c r="BT530" s="115"/>
      <c r="BU530" s="115"/>
      <c r="BV530" s="115"/>
      <c r="BW530" s="25"/>
      <c r="BX530" s="13"/>
      <c r="CA530" s="114"/>
    </row>
    <row r="531" spans="1:79" ht="20.100000000000001" customHeight="1" x14ac:dyDescent="0.4">
      <c r="A531" s="117"/>
      <c r="B531" s="123"/>
      <c r="C531" s="123"/>
      <c r="D531" s="123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26"/>
      <c r="Y531" s="13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  <c r="AK531" s="115"/>
      <c r="AL531" s="115"/>
      <c r="AM531" s="115"/>
      <c r="AN531" s="127"/>
      <c r="AO531" s="29"/>
      <c r="AY531" s="25"/>
      <c r="AZ531" s="13"/>
      <c r="BE531" s="116"/>
      <c r="BF531" s="123"/>
      <c r="BG531" s="123"/>
      <c r="BH531" s="123"/>
      <c r="BM531" s="115"/>
      <c r="BN531" s="115"/>
      <c r="BO531" s="115"/>
      <c r="BP531" s="115"/>
      <c r="BQ531" s="115"/>
      <c r="BR531" s="115"/>
      <c r="BS531" s="115"/>
      <c r="BT531" s="115"/>
      <c r="BU531" s="115"/>
      <c r="BV531" s="115"/>
      <c r="BW531" s="25"/>
      <c r="BX531" s="13"/>
      <c r="CA531" s="114"/>
    </row>
    <row r="532" spans="1:79" ht="20.100000000000001" customHeight="1" x14ac:dyDescent="0.4">
      <c r="A532" s="117"/>
      <c r="B532" s="123"/>
      <c r="C532" s="123"/>
      <c r="D532" s="123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26"/>
      <c r="Y532" s="13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  <c r="AK532" s="115"/>
      <c r="AL532" s="115"/>
      <c r="AM532" s="115"/>
      <c r="AN532" s="29"/>
      <c r="AO532" s="29"/>
      <c r="AY532" s="25"/>
      <c r="AZ532" s="13"/>
      <c r="BE532" s="116"/>
      <c r="BF532" s="123"/>
      <c r="BG532" s="123"/>
      <c r="BH532" s="123"/>
      <c r="BM532" s="115"/>
      <c r="BN532" s="115"/>
      <c r="BO532" s="115"/>
      <c r="BP532" s="115"/>
      <c r="BQ532" s="115"/>
      <c r="BR532" s="115"/>
      <c r="BS532" s="115"/>
      <c r="BT532" s="115"/>
      <c r="BU532" s="115"/>
      <c r="BV532" s="115"/>
      <c r="BW532" s="25"/>
      <c r="BX532" s="13"/>
      <c r="CA532" s="114"/>
    </row>
    <row r="533" spans="1:79" ht="20.100000000000001" customHeight="1" x14ac:dyDescent="0.4">
      <c r="A533" s="117"/>
      <c r="B533" s="123"/>
      <c r="C533" s="123"/>
      <c r="D533" s="123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26"/>
      <c r="Y533" s="13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  <c r="AK533" s="115"/>
      <c r="AL533" s="115"/>
      <c r="AM533" s="115"/>
      <c r="AN533" s="127"/>
      <c r="AO533" s="29"/>
      <c r="AY533" s="25"/>
      <c r="AZ533" s="13"/>
      <c r="BE533" s="116"/>
      <c r="BF533" s="123"/>
      <c r="BG533" s="123"/>
      <c r="BH533" s="123"/>
      <c r="BM533" s="115"/>
      <c r="BN533" s="115"/>
      <c r="BO533" s="115"/>
      <c r="BP533" s="115"/>
      <c r="BQ533" s="115"/>
      <c r="BR533" s="115"/>
      <c r="BS533" s="115"/>
      <c r="BT533" s="115"/>
      <c r="BU533" s="115"/>
      <c r="BV533" s="115"/>
      <c r="BW533" s="25"/>
      <c r="BX533" s="13"/>
      <c r="CA533" s="114"/>
    </row>
    <row r="534" spans="1:79" ht="20.100000000000001" customHeight="1" x14ac:dyDescent="0.4">
      <c r="A534" s="117"/>
      <c r="B534" s="123"/>
      <c r="C534" s="123"/>
      <c r="D534" s="123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26"/>
      <c r="Y534" s="13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  <c r="AK534" s="115"/>
      <c r="AL534" s="115"/>
      <c r="AM534" s="115"/>
      <c r="AN534" s="127"/>
      <c r="AO534" s="29"/>
      <c r="AY534" s="25"/>
      <c r="AZ534" s="13"/>
      <c r="BE534" s="116"/>
      <c r="BF534" s="123"/>
      <c r="BG534" s="123"/>
      <c r="BH534" s="123"/>
      <c r="BM534" s="115"/>
      <c r="BN534" s="115"/>
      <c r="BO534" s="115"/>
      <c r="BP534" s="115"/>
      <c r="BQ534" s="115"/>
      <c r="BR534" s="115"/>
      <c r="BS534" s="115"/>
      <c r="BT534" s="115"/>
      <c r="BU534" s="115"/>
      <c r="BV534" s="115"/>
      <c r="BW534" s="25"/>
      <c r="BX534" s="13"/>
      <c r="CA534" s="114"/>
    </row>
    <row r="535" spans="1:79" ht="20.100000000000001" customHeight="1" x14ac:dyDescent="0.4">
      <c r="A535" s="117"/>
      <c r="B535" s="123"/>
      <c r="C535" s="123"/>
      <c r="D535" s="123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26"/>
      <c r="Y535" s="13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  <c r="AK535" s="115"/>
      <c r="AL535" s="115"/>
      <c r="AM535" s="115"/>
      <c r="AN535" s="127"/>
      <c r="AO535" s="29"/>
      <c r="AY535" s="25"/>
      <c r="AZ535" s="13"/>
      <c r="BE535" s="116"/>
      <c r="BF535" s="123"/>
      <c r="BG535" s="123"/>
      <c r="BH535" s="123"/>
      <c r="BM535" s="115"/>
      <c r="BN535" s="115"/>
      <c r="BO535" s="115"/>
      <c r="BP535" s="115"/>
      <c r="BQ535" s="115"/>
      <c r="BR535" s="115"/>
      <c r="BS535" s="115"/>
      <c r="BT535" s="115"/>
      <c r="BU535" s="115"/>
      <c r="BV535" s="115"/>
      <c r="BW535" s="25"/>
      <c r="BX535" s="13"/>
      <c r="CA535" s="114"/>
    </row>
    <row r="536" spans="1:79" ht="20.100000000000001" customHeight="1" x14ac:dyDescent="0.4">
      <c r="A536" s="117"/>
      <c r="B536" s="123"/>
      <c r="C536" s="123"/>
      <c r="D536" s="123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7"/>
      <c r="Y536" s="13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  <c r="AK536" s="115"/>
      <c r="AL536" s="115"/>
      <c r="AM536" s="115"/>
      <c r="AN536" s="127"/>
      <c r="AO536" s="29"/>
      <c r="AY536" s="25"/>
      <c r="AZ536" s="13"/>
      <c r="BE536" s="116"/>
      <c r="BF536" s="123"/>
      <c r="BG536" s="123"/>
      <c r="BH536" s="123"/>
      <c r="BM536" s="115"/>
      <c r="BN536" s="115"/>
      <c r="BO536" s="115"/>
      <c r="BP536" s="115"/>
      <c r="BQ536" s="115"/>
      <c r="BR536" s="115"/>
      <c r="BS536" s="115"/>
      <c r="BT536" s="115"/>
      <c r="BU536" s="115"/>
      <c r="BV536" s="115"/>
      <c r="BW536" s="25"/>
      <c r="BX536" s="13"/>
      <c r="CA536" s="114"/>
    </row>
    <row r="537" spans="1:79" ht="20.100000000000001" customHeight="1" x14ac:dyDescent="0.4">
      <c r="A537" s="117"/>
      <c r="B537" s="123"/>
      <c r="C537" s="123"/>
      <c r="D537" s="123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26"/>
      <c r="Y537" s="13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  <c r="AK537" s="115"/>
      <c r="AL537" s="115"/>
      <c r="AM537" s="115"/>
      <c r="AN537" s="29"/>
      <c r="AO537" s="29"/>
      <c r="AY537" s="25"/>
      <c r="AZ537" s="13"/>
      <c r="BE537" s="116"/>
      <c r="BF537" s="123"/>
      <c r="BG537" s="123"/>
      <c r="BH537" s="123"/>
      <c r="BM537" s="115"/>
      <c r="BN537" s="115"/>
      <c r="BO537" s="115"/>
      <c r="BP537" s="115"/>
      <c r="BQ537" s="115"/>
      <c r="BR537" s="115"/>
      <c r="BS537" s="115"/>
      <c r="BT537" s="115"/>
      <c r="BU537" s="115"/>
      <c r="BV537" s="115"/>
      <c r="BW537" s="25"/>
      <c r="BX537" s="13"/>
      <c r="CA537" s="114"/>
    </row>
    <row r="538" spans="1:79" ht="20.100000000000001" customHeight="1" x14ac:dyDescent="0.4">
      <c r="A538" s="117"/>
      <c r="B538" s="123"/>
      <c r="C538" s="123"/>
      <c r="D538" s="123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7"/>
      <c r="Y538" s="13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  <c r="AK538" s="115"/>
      <c r="AL538" s="115"/>
      <c r="AM538" s="115"/>
      <c r="AN538" s="29"/>
      <c r="AO538" s="29"/>
      <c r="AY538" s="25"/>
      <c r="AZ538" s="13"/>
      <c r="BE538" s="116"/>
      <c r="BF538" s="123"/>
      <c r="BG538" s="123"/>
      <c r="BH538" s="123"/>
      <c r="BM538" s="115"/>
      <c r="BN538" s="115"/>
      <c r="BO538" s="115"/>
      <c r="BP538" s="115"/>
      <c r="BQ538" s="115"/>
      <c r="BR538" s="115"/>
      <c r="BS538" s="115"/>
      <c r="BT538" s="115"/>
      <c r="BU538" s="115"/>
      <c r="BV538" s="115"/>
      <c r="BW538" s="25"/>
      <c r="BX538" s="13"/>
      <c r="CA538" s="114"/>
    </row>
    <row r="539" spans="1:79" ht="20.100000000000001" customHeight="1" x14ac:dyDescent="0.4">
      <c r="A539" s="117"/>
      <c r="B539" s="123"/>
      <c r="C539" s="123"/>
      <c r="D539" s="123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26"/>
      <c r="Y539" s="13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  <c r="AK539" s="115"/>
      <c r="AL539" s="115"/>
      <c r="AM539" s="115"/>
      <c r="AN539" s="127"/>
      <c r="AO539" s="29"/>
      <c r="AY539" s="25"/>
      <c r="AZ539" s="13"/>
      <c r="BE539" s="116"/>
      <c r="BF539" s="123"/>
      <c r="BG539" s="123"/>
      <c r="BH539" s="123"/>
      <c r="BM539" s="115"/>
      <c r="BN539" s="115"/>
      <c r="BO539" s="115"/>
      <c r="BP539" s="115"/>
      <c r="BQ539" s="115"/>
      <c r="BR539" s="115"/>
      <c r="BS539" s="115"/>
      <c r="BT539" s="115"/>
      <c r="BU539" s="115"/>
      <c r="BV539" s="115"/>
      <c r="BW539" s="25"/>
      <c r="BX539" s="13"/>
      <c r="CA539" s="114"/>
    </row>
    <row r="540" spans="1:79" ht="20.100000000000001" customHeight="1" x14ac:dyDescent="0.4">
      <c r="A540" s="117"/>
      <c r="B540" s="123"/>
      <c r="C540" s="123"/>
      <c r="D540" s="123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7"/>
      <c r="Y540" s="13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  <c r="AK540" s="115"/>
      <c r="AL540" s="115"/>
      <c r="AM540" s="115"/>
      <c r="AN540" s="127"/>
      <c r="AO540" s="29"/>
      <c r="AY540" s="25"/>
      <c r="AZ540" s="13"/>
      <c r="BE540" s="116"/>
      <c r="BF540" s="123"/>
      <c r="BG540" s="123"/>
      <c r="BH540" s="123"/>
      <c r="BM540" s="115"/>
      <c r="BN540" s="115"/>
      <c r="BO540" s="115"/>
      <c r="BP540" s="115"/>
      <c r="BQ540" s="115"/>
      <c r="BR540" s="115"/>
      <c r="BS540" s="115"/>
      <c r="BT540" s="115"/>
      <c r="BU540" s="115"/>
      <c r="BV540" s="115"/>
      <c r="BW540" s="25"/>
      <c r="BX540" s="13"/>
      <c r="CA540" s="114"/>
    </row>
    <row r="541" spans="1:79" ht="20.100000000000001" customHeight="1" x14ac:dyDescent="0.4">
      <c r="A541" s="117"/>
      <c r="B541" s="123"/>
      <c r="C541" s="123"/>
      <c r="D541" s="123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26"/>
      <c r="Y541" s="13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  <c r="AK541" s="115"/>
      <c r="AL541" s="115"/>
      <c r="AM541" s="115"/>
      <c r="AN541" s="127"/>
      <c r="AO541" s="29"/>
      <c r="AY541" s="25"/>
      <c r="AZ541" s="13"/>
      <c r="BE541" s="116"/>
      <c r="BF541" s="123"/>
      <c r="BG541" s="123"/>
      <c r="BH541" s="123"/>
      <c r="BM541" s="115"/>
      <c r="BN541" s="115"/>
      <c r="BO541" s="115"/>
      <c r="BP541" s="115"/>
      <c r="BQ541" s="115"/>
      <c r="BR541" s="115"/>
      <c r="BS541" s="115"/>
      <c r="BT541" s="115"/>
      <c r="BU541" s="115"/>
      <c r="BV541" s="115"/>
      <c r="BW541" s="25"/>
      <c r="BX541" s="13"/>
      <c r="CA541" s="114"/>
    </row>
    <row r="542" spans="1:79" ht="20.100000000000001" customHeight="1" x14ac:dyDescent="0.4">
      <c r="A542" s="117"/>
      <c r="B542" s="123"/>
      <c r="C542" s="123"/>
      <c r="D542" s="123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7"/>
      <c r="Y542" s="13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  <c r="AK542" s="115"/>
      <c r="AL542" s="115"/>
      <c r="AM542" s="115"/>
      <c r="AN542" s="127"/>
      <c r="AO542" s="29"/>
      <c r="AY542" s="25"/>
      <c r="AZ542" s="13"/>
      <c r="BE542" s="116"/>
      <c r="BF542" s="123"/>
      <c r="BG542" s="123"/>
      <c r="BH542" s="123"/>
      <c r="BM542" s="115"/>
      <c r="BN542" s="115"/>
      <c r="BO542" s="115"/>
      <c r="BP542" s="115"/>
      <c r="BQ542" s="115"/>
      <c r="BR542" s="115"/>
      <c r="BS542" s="115"/>
      <c r="BT542" s="115"/>
      <c r="BU542" s="115"/>
      <c r="BV542" s="115"/>
      <c r="BW542" s="25"/>
      <c r="BX542" s="13"/>
      <c r="CA542" s="114"/>
    </row>
    <row r="543" spans="1:79" ht="20.100000000000001" customHeight="1" x14ac:dyDescent="0.4">
      <c r="A543" s="117"/>
      <c r="B543" s="123"/>
      <c r="C543" s="123"/>
      <c r="D543" s="123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26"/>
      <c r="Y543" s="13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  <c r="AK543" s="115"/>
      <c r="AL543" s="115"/>
      <c r="AM543" s="115"/>
      <c r="AN543" s="127"/>
      <c r="AO543" s="29"/>
      <c r="AY543" s="25"/>
      <c r="AZ543" s="13"/>
      <c r="BE543" s="116"/>
      <c r="BF543" s="123"/>
      <c r="BG543" s="123"/>
      <c r="BH543" s="123"/>
      <c r="BM543" s="115"/>
      <c r="BN543" s="115"/>
      <c r="BO543" s="115"/>
      <c r="BP543" s="115"/>
      <c r="BQ543" s="115"/>
      <c r="BR543" s="115"/>
      <c r="BS543" s="115"/>
      <c r="BT543" s="115"/>
      <c r="BU543" s="115"/>
      <c r="BV543" s="115"/>
      <c r="BW543" s="25"/>
      <c r="BX543" s="13"/>
      <c r="CA543" s="114"/>
    </row>
    <row r="544" spans="1:79" ht="20.100000000000001" customHeight="1" x14ac:dyDescent="0.4">
      <c r="A544" s="117"/>
      <c r="B544" s="123"/>
      <c r="C544" s="123"/>
      <c r="D544" s="123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26"/>
      <c r="Y544" s="133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  <c r="AK544" s="115"/>
      <c r="AL544" s="115"/>
      <c r="AM544" s="115"/>
      <c r="AN544" s="29"/>
      <c r="AO544" s="29"/>
      <c r="AY544" s="25"/>
      <c r="AZ544" s="13"/>
      <c r="BE544" s="116"/>
      <c r="BF544" s="123"/>
      <c r="BG544" s="123"/>
      <c r="BH544" s="123"/>
      <c r="BM544" s="115"/>
      <c r="BN544" s="115"/>
      <c r="BO544" s="115"/>
      <c r="BP544" s="115"/>
      <c r="BQ544" s="115"/>
      <c r="BR544" s="115"/>
      <c r="BS544" s="115"/>
      <c r="BT544" s="115"/>
      <c r="BU544" s="115"/>
      <c r="BV544" s="115"/>
      <c r="BW544" s="25"/>
      <c r="BX544" s="13"/>
      <c r="CA544" s="114"/>
    </row>
    <row r="545" spans="1:79" ht="20.100000000000001" customHeight="1" x14ac:dyDescent="0.4">
      <c r="A545" s="117"/>
      <c r="B545" s="123"/>
      <c r="C545" s="123"/>
      <c r="D545" s="123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7"/>
      <c r="Y545" s="13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  <c r="AK545" s="115"/>
      <c r="AL545" s="115"/>
      <c r="AM545" s="115"/>
      <c r="AN545" s="29"/>
      <c r="AO545" s="29"/>
      <c r="AY545" s="25"/>
      <c r="AZ545" s="13"/>
      <c r="BE545" s="116"/>
      <c r="BF545" s="123"/>
      <c r="BG545" s="123"/>
      <c r="BH545" s="123"/>
      <c r="BM545" s="115"/>
      <c r="BN545" s="115"/>
      <c r="BO545" s="115"/>
      <c r="BP545" s="115"/>
      <c r="BQ545" s="115"/>
      <c r="BR545" s="115"/>
      <c r="BS545" s="115"/>
      <c r="BT545" s="115"/>
      <c r="BU545" s="115"/>
      <c r="BV545" s="115"/>
      <c r="BW545" s="25"/>
      <c r="BX545" s="13"/>
      <c r="CA545" s="114"/>
    </row>
    <row r="546" spans="1:79" ht="20.100000000000001" customHeight="1" x14ac:dyDescent="0.4">
      <c r="A546" s="117"/>
      <c r="B546" s="123"/>
      <c r="C546" s="123"/>
      <c r="D546" s="123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26"/>
      <c r="Y546" s="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  <c r="AK546" s="115"/>
      <c r="AL546" s="115"/>
      <c r="AM546" s="115"/>
      <c r="AN546" s="127"/>
      <c r="AO546" s="29"/>
      <c r="AY546" s="25"/>
      <c r="AZ546" s="13"/>
      <c r="BE546" s="116"/>
      <c r="BF546" s="123"/>
      <c r="BG546" s="123"/>
      <c r="BH546" s="123"/>
      <c r="BM546" s="115"/>
      <c r="BN546" s="115"/>
      <c r="BO546" s="115"/>
      <c r="BP546" s="115"/>
      <c r="BQ546" s="115"/>
      <c r="BR546" s="115"/>
      <c r="BS546" s="115"/>
      <c r="BT546" s="115"/>
      <c r="BU546" s="115"/>
      <c r="BV546" s="115"/>
      <c r="BW546" s="25"/>
      <c r="BX546" s="13"/>
      <c r="CA546" s="114"/>
    </row>
    <row r="547" spans="1:79" ht="20.100000000000001" customHeight="1" x14ac:dyDescent="0.4">
      <c r="A547" s="117"/>
      <c r="B547" s="123"/>
      <c r="C547" s="123"/>
      <c r="D547" s="123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19"/>
      <c r="Y547" s="119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  <c r="AK547" s="115"/>
      <c r="AL547" s="115"/>
      <c r="AM547" s="115"/>
      <c r="AN547" s="127"/>
      <c r="AO547" s="29"/>
      <c r="AY547" s="25"/>
      <c r="AZ547" s="13"/>
      <c r="BE547" s="116"/>
      <c r="BF547" s="123"/>
      <c r="BG547" s="123"/>
      <c r="BH547" s="123"/>
      <c r="BM547" s="115"/>
      <c r="BN547" s="115"/>
      <c r="BO547" s="115"/>
      <c r="BP547" s="115"/>
      <c r="BQ547" s="115"/>
      <c r="BR547" s="115"/>
      <c r="BS547" s="115"/>
      <c r="BT547" s="115"/>
      <c r="BU547" s="115"/>
      <c r="BV547" s="115"/>
      <c r="BW547" s="25"/>
      <c r="BX547" s="13"/>
      <c r="CA547" s="114"/>
    </row>
    <row r="548" spans="1:79" ht="20.100000000000001" customHeight="1" x14ac:dyDescent="0.4">
      <c r="A548" s="117"/>
      <c r="B548" s="123"/>
      <c r="C548" s="123"/>
      <c r="D548" s="123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19"/>
      <c r="Y548" s="119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  <c r="AK548" s="115"/>
      <c r="AL548" s="115"/>
      <c r="AM548" s="115"/>
      <c r="AN548" s="127"/>
      <c r="AO548" s="29"/>
      <c r="AY548" s="25"/>
      <c r="AZ548" s="13"/>
      <c r="BE548" s="116"/>
      <c r="BF548" s="123"/>
      <c r="BG548" s="123"/>
      <c r="BH548" s="123"/>
      <c r="BM548" s="115"/>
      <c r="BN548" s="115"/>
      <c r="BO548" s="115"/>
      <c r="BP548" s="115"/>
      <c r="BQ548" s="115"/>
      <c r="BR548" s="115"/>
      <c r="BS548" s="115"/>
      <c r="BT548" s="115"/>
      <c r="BU548" s="115"/>
      <c r="BV548" s="115"/>
      <c r="BW548" s="25"/>
      <c r="BX548" s="13"/>
      <c r="CA548" s="114"/>
    </row>
    <row r="549" spans="1:79" ht="20.100000000000001" customHeight="1" x14ac:dyDescent="0.4">
      <c r="A549" s="117"/>
      <c r="B549" s="123"/>
      <c r="C549" s="123"/>
      <c r="D549" s="123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  <c r="AK549" s="115"/>
      <c r="AL549" s="115"/>
      <c r="AM549" s="115"/>
      <c r="AN549" s="127"/>
      <c r="AO549" s="29"/>
      <c r="AY549" s="25"/>
      <c r="AZ549" s="13"/>
      <c r="BE549" s="116"/>
      <c r="BF549" s="123"/>
      <c r="BG549" s="123"/>
      <c r="BH549" s="123"/>
      <c r="BM549" s="115"/>
      <c r="BN549" s="115"/>
      <c r="BO549" s="115"/>
      <c r="BP549" s="115"/>
      <c r="BQ549" s="115"/>
      <c r="BR549" s="115"/>
      <c r="BS549" s="115"/>
      <c r="BT549" s="115"/>
      <c r="BU549" s="115"/>
      <c r="BV549" s="115"/>
      <c r="BW549" s="25"/>
      <c r="BX549" s="13"/>
      <c r="CA549" s="114"/>
    </row>
    <row r="550" spans="1:79" ht="20.100000000000001" customHeight="1" x14ac:dyDescent="0.4">
      <c r="A550" s="117"/>
      <c r="B550" s="123"/>
      <c r="C550" s="123"/>
      <c r="D550" s="123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  <c r="AK550" s="115"/>
      <c r="AL550" s="115"/>
      <c r="AM550" s="115"/>
      <c r="AN550" s="127"/>
      <c r="AO550" s="29"/>
      <c r="AY550" s="25"/>
      <c r="AZ550" s="13"/>
      <c r="BE550" s="116"/>
      <c r="BF550" s="123"/>
      <c r="BG550" s="123"/>
      <c r="BH550" s="123"/>
      <c r="BM550" s="115"/>
      <c r="BN550" s="115"/>
      <c r="BO550" s="115"/>
      <c r="BP550" s="115"/>
      <c r="BQ550" s="115"/>
      <c r="BR550" s="115"/>
      <c r="BS550" s="115"/>
      <c r="BT550" s="115"/>
      <c r="BU550" s="115"/>
      <c r="BV550" s="115"/>
      <c r="BW550" s="25"/>
      <c r="BX550" s="13"/>
      <c r="CA550" s="114"/>
    </row>
    <row r="551" spans="1:79" ht="20.100000000000001" customHeight="1" x14ac:dyDescent="0.4">
      <c r="A551" s="117"/>
      <c r="B551" s="123"/>
      <c r="C551" s="123"/>
      <c r="D551" s="123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  <c r="AK551" s="115"/>
      <c r="AL551" s="115"/>
      <c r="AM551" s="115"/>
      <c r="AN551" s="127"/>
      <c r="AO551" s="29"/>
      <c r="AY551" s="25"/>
      <c r="AZ551" s="13"/>
      <c r="BE551" s="116"/>
      <c r="BF551" s="123"/>
      <c r="BG551" s="123"/>
      <c r="BH551" s="123"/>
      <c r="BM551" s="115"/>
      <c r="BN551" s="115"/>
      <c r="BO551" s="115"/>
      <c r="BP551" s="115"/>
      <c r="BQ551" s="115"/>
      <c r="BR551" s="115"/>
      <c r="BS551" s="115"/>
      <c r="BT551" s="115"/>
      <c r="BU551" s="115"/>
      <c r="BV551" s="115"/>
      <c r="BW551" s="25"/>
      <c r="BX551" s="13"/>
      <c r="CA551" s="114"/>
    </row>
    <row r="552" spans="1:79" ht="20.100000000000001" customHeight="1" x14ac:dyDescent="0.4">
      <c r="A552" s="117"/>
      <c r="B552" s="123"/>
      <c r="C552" s="123"/>
      <c r="D552" s="123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  <c r="AK552" s="115"/>
      <c r="AL552" s="115"/>
      <c r="AM552" s="115"/>
      <c r="AN552" s="29"/>
      <c r="AO552" s="29"/>
      <c r="AY552" s="25"/>
      <c r="AZ552" s="13"/>
      <c r="BE552" s="116"/>
      <c r="BF552" s="123"/>
      <c r="BG552" s="123"/>
      <c r="BH552" s="123"/>
      <c r="BM552" s="115"/>
      <c r="BN552" s="115"/>
      <c r="BO552" s="115"/>
      <c r="BP552" s="115"/>
      <c r="BQ552" s="115"/>
      <c r="BR552" s="115"/>
      <c r="BS552" s="115"/>
      <c r="BT552" s="115"/>
      <c r="BU552" s="115"/>
      <c r="BV552" s="115"/>
      <c r="BW552" s="25"/>
      <c r="BX552" s="13"/>
      <c r="CA552" s="114"/>
    </row>
    <row r="553" spans="1:79" ht="20.100000000000001" customHeight="1" x14ac:dyDescent="0.4">
      <c r="A553" s="117"/>
      <c r="B553" s="123"/>
      <c r="C553" s="123"/>
      <c r="D553" s="123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AN553" s="127"/>
      <c r="AO553" s="29"/>
      <c r="AU553" s="115"/>
      <c r="AV553" s="115"/>
      <c r="AW553" s="115"/>
      <c r="AX553" s="115"/>
      <c r="AY553" s="25">
        <v>45669</v>
      </c>
      <c r="AZ553" s="13" t="s">
        <v>147</v>
      </c>
      <c r="BE553" s="116"/>
      <c r="BF553" s="123"/>
      <c r="BG553" s="123"/>
      <c r="BH553" s="123"/>
      <c r="BM553" s="115"/>
      <c r="BN553" s="115"/>
      <c r="BO553" s="115"/>
      <c r="BP553" s="115"/>
      <c r="BQ553" s="115"/>
      <c r="BR553" s="115"/>
      <c r="BS553" s="115"/>
      <c r="BT553" s="115"/>
      <c r="BU553" s="115"/>
      <c r="BV553" s="115"/>
      <c r="BW553" s="25"/>
      <c r="BX553" s="13"/>
      <c r="CA553" s="114"/>
    </row>
    <row r="554" spans="1:79" ht="20.100000000000001" customHeight="1" x14ac:dyDescent="0.4">
      <c r="A554" s="117"/>
      <c r="B554" s="123"/>
      <c r="C554" s="123"/>
      <c r="D554" s="123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AL554" s="115"/>
      <c r="AM554" s="115"/>
      <c r="AN554" s="29"/>
      <c r="AO554" s="29"/>
      <c r="AU554" s="115"/>
      <c r="AV554" s="115"/>
      <c r="AW554" s="115"/>
      <c r="AX554" s="115"/>
      <c r="AY554" s="25"/>
      <c r="AZ554" s="13"/>
      <c r="BE554" s="116"/>
      <c r="BF554" s="123"/>
      <c r="BG554" s="123"/>
      <c r="BH554" s="123"/>
      <c r="BM554" s="115"/>
      <c r="BN554" s="115"/>
      <c r="BO554" s="115"/>
      <c r="BP554" s="115"/>
      <c r="BQ554" s="115"/>
      <c r="BR554" s="115"/>
      <c r="BS554" s="115"/>
      <c r="BT554" s="115"/>
      <c r="BU554" s="115"/>
      <c r="BV554" s="115"/>
      <c r="BW554" s="25"/>
      <c r="BX554" s="13"/>
      <c r="CA554" s="114"/>
    </row>
    <row r="555" spans="1:79" ht="20.100000000000001" customHeight="1" x14ac:dyDescent="0.4">
      <c r="A555" s="117"/>
      <c r="B555" s="123"/>
      <c r="C555" s="123"/>
      <c r="D555" s="123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AE555" s="115"/>
      <c r="AF555" s="115"/>
      <c r="AG555" s="115"/>
      <c r="AH555" s="115"/>
      <c r="AI555" s="115"/>
      <c r="AJ555" s="115"/>
      <c r="AK555" s="115"/>
      <c r="AL555" s="115"/>
      <c r="AM555" s="115"/>
      <c r="AN555" s="127"/>
      <c r="AO555" s="29"/>
      <c r="AU555" s="115"/>
      <c r="AV555" s="115"/>
      <c r="AW555" s="115"/>
      <c r="AX555" s="115"/>
      <c r="AY555" s="25"/>
      <c r="AZ555" s="13"/>
      <c r="BE555" s="116"/>
      <c r="BF555" s="123"/>
      <c r="BG555" s="123"/>
      <c r="BH555" s="123"/>
      <c r="BM555" s="115"/>
      <c r="BN555" s="115"/>
      <c r="BO555" s="115"/>
      <c r="BP555" s="115"/>
      <c r="BQ555" s="115"/>
      <c r="BR555" s="115"/>
      <c r="BS555" s="115"/>
      <c r="BT555" s="115"/>
      <c r="BU555" s="115"/>
      <c r="BV555" s="115"/>
      <c r="BW555" s="25"/>
      <c r="BX555" s="13"/>
      <c r="CA555" s="114"/>
    </row>
    <row r="556" spans="1:79" ht="20.100000000000001" customHeight="1" x14ac:dyDescent="0.4">
      <c r="A556" s="117"/>
      <c r="B556" s="123"/>
      <c r="C556" s="123"/>
      <c r="D556" s="123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AN556" s="127"/>
      <c r="AO556" s="29"/>
      <c r="AU556" s="115"/>
      <c r="AV556" s="115"/>
      <c r="AW556" s="115"/>
      <c r="AX556" s="115"/>
      <c r="AY556" s="25"/>
      <c r="AZ556" s="13"/>
      <c r="BE556" s="116"/>
      <c r="BF556" s="123"/>
      <c r="BG556" s="123"/>
      <c r="BH556" s="123"/>
      <c r="BM556" s="115"/>
      <c r="BN556" s="115"/>
      <c r="BO556" s="115"/>
      <c r="BP556" s="115"/>
      <c r="BQ556" s="115"/>
      <c r="BR556" s="115"/>
      <c r="BS556" s="115"/>
      <c r="BT556" s="115"/>
      <c r="BU556" s="115"/>
      <c r="BV556" s="115"/>
      <c r="BW556" s="25"/>
      <c r="BX556" s="13"/>
      <c r="CA556" s="114"/>
    </row>
    <row r="557" spans="1:79" ht="20.100000000000001" customHeight="1" x14ac:dyDescent="0.4">
      <c r="A557" s="117"/>
      <c r="B557" s="123"/>
      <c r="C557" s="123"/>
      <c r="D557" s="123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AL557" s="115"/>
      <c r="AM557" s="115"/>
      <c r="AN557" s="29"/>
      <c r="AO557" s="29"/>
      <c r="AU557" s="115"/>
      <c r="AV557" s="115"/>
      <c r="AW557" s="115"/>
      <c r="AX557" s="115"/>
      <c r="AY557" s="25"/>
      <c r="AZ557" s="13"/>
      <c r="BE557" s="116"/>
      <c r="BF557" s="123"/>
      <c r="BG557" s="123"/>
      <c r="BH557" s="123"/>
      <c r="BM557" s="115"/>
      <c r="BN557" s="115"/>
      <c r="BO557" s="115"/>
      <c r="BP557" s="115"/>
      <c r="BQ557" s="115"/>
      <c r="BR557" s="115"/>
      <c r="BS557" s="115"/>
      <c r="BT557" s="115"/>
      <c r="BU557" s="115"/>
      <c r="BV557" s="115"/>
      <c r="BW557" s="25"/>
      <c r="BX557" s="13"/>
      <c r="CA557" s="114"/>
    </row>
    <row r="558" spans="1:79" ht="20.100000000000001" customHeight="1" x14ac:dyDescent="0.4">
      <c r="A558" s="117"/>
      <c r="B558" s="123"/>
      <c r="C558" s="123"/>
      <c r="D558" s="123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  <c r="AK558" s="115"/>
      <c r="AL558" s="115"/>
      <c r="AM558" s="115"/>
      <c r="AN558" s="127"/>
      <c r="AO558" s="29"/>
      <c r="AU558" s="115"/>
      <c r="AV558" s="115"/>
      <c r="AW558" s="115"/>
      <c r="AX558" s="115"/>
      <c r="AY558" s="25"/>
      <c r="AZ558" s="13"/>
      <c r="BE558" s="116"/>
      <c r="BF558" s="123"/>
      <c r="BG558" s="123"/>
      <c r="BH558" s="123"/>
      <c r="BM558" s="115"/>
      <c r="BN558" s="115"/>
      <c r="BO558" s="115"/>
      <c r="BP558" s="115"/>
      <c r="BQ558" s="115"/>
      <c r="BR558" s="115"/>
      <c r="BS558" s="115"/>
      <c r="BT558" s="115"/>
      <c r="BU558" s="115"/>
      <c r="BV558" s="115"/>
      <c r="BW558" s="25"/>
      <c r="BX558" s="13"/>
      <c r="CA558" s="114"/>
    </row>
    <row r="559" spans="1:79" ht="20.100000000000001" customHeight="1" x14ac:dyDescent="0.4">
      <c r="A559" s="117"/>
      <c r="B559" s="123"/>
      <c r="C559" s="123"/>
      <c r="D559" s="123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  <c r="AK559" s="115"/>
      <c r="AL559" s="115"/>
      <c r="AM559" s="115"/>
      <c r="AN559" s="127"/>
      <c r="AO559" s="29"/>
      <c r="AU559" s="115"/>
      <c r="AV559" s="115"/>
      <c r="AW559" s="115"/>
      <c r="AX559" s="115"/>
      <c r="AY559" s="25"/>
      <c r="AZ559" s="13"/>
      <c r="BE559" s="116"/>
      <c r="BF559" s="123"/>
      <c r="BG559" s="123"/>
      <c r="BH559" s="123"/>
      <c r="BM559" s="115"/>
      <c r="BN559" s="115"/>
      <c r="BO559" s="115"/>
      <c r="BP559" s="115"/>
      <c r="BQ559" s="115"/>
      <c r="BR559" s="115"/>
      <c r="BS559" s="115"/>
      <c r="BT559" s="115"/>
      <c r="BU559" s="115"/>
      <c r="BV559" s="115"/>
      <c r="BW559" s="25"/>
      <c r="BX559" s="13"/>
      <c r="CA559" s="114"/>
    </row>
    <row r="560" spans="1:79" ht="20.100000000000001" customHeight="1" x14ac:dyDescent="0.4">
      <c r="A560" s="117"/>
      <c r="B560" s="123"/>
      <c r="C560" s="123"/>
      <c r="D560" s="123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  <c r="AK560" s="115"/>
      <c r="AL560" s="115"/>
      <c r="AM560" s="115"/>
      <c r="AN560" s="127"/>
      <c r="AO560" s="29"/>
      <c r="AU560" s="115"/>
      <c r="AV560" s="115"/>
      <c r="AW560" s="115"/>
      <c r="AX560" s="115"/>
      <c r="AY560" s="25"/>
      <c r="AZ560" s="13"/>
      <c r="BE560" s="116"/>
      <c r="BF560" s="123"/>
      <c r="BG560" s="123"/>
      <c r="BH560" s="123"/>
      <c r="BM560" s="115"/>
      <c r="BN560" s="115"/>
      <c r="BO560" s="115"/>
      <c r="BP560" s="115"/>
      <c r="BQ560" s="115"/>
      <c r="BR560" s="115"/>
      <c r="BS560" s="115"/>
      <c r="BT560" s="115"/>
      <c r="BU560" s="115"/>
      <c r="BV560" s="115"/>
      <c r="BW560" s="25"/>
      <c r="BX560" s="13"/>
      <c r="CA560" s="114"/>
    </row>
    <row r="561" spans="1:79" ht="20.100000000000001" customHeight="1" x14ac:dyDescent="0.4">
      <c r="A561" s="117"/>
      <c r="B561" s="123"/>
      <c r="C561" s="123"/>
      <c r="D561" s="123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  <c r="AK561" s="115"/>
      <c r="AL561" s="115"/>
      <c r="AM561" s="115"/>
      <c r="AN561" s="127"/>
      <c r="AO561" s="29"/>
      <c r="AU561" s="115"/>
      <c r="AV561" s="115"/>
      <c r="AW561" s="115"/>
      <c r="AX561" s="115"/>
      <c r="AY561" s="25"/>
      <c r="AZ561" s="13"/>
      <c r="BE561" s="116"/>
      <c r="BF561" s="123"/>
      <c r="BG561" s="123"/>
      <c r="BH561" s="123"/>
      <c r="BM561" s="115"/>
      <c r="BN561" s="115"/>
      <c r="BO561" s="115"/>
      <c r="BP561" s="115"/>
      <c r="BQ561" s="115"/>
      <c r="BR561" s="115"/>
      <c r="BS561" s="115"/>
      <c r="BT561" s="115"/>
      <c r="BU561" s="115"/>
      <c r="BV561" s="115"/>
      <c r="BW561" s="25"/>
      <c r="BX561" s="13"/>
      <c r="CA561" s="114"/>
    </row>
    <row r="562" spans="1:79" ht="20.100000000000001" customHeight="1" x14ac:dyDescent="0.4">
      <c r="A562" s="117"/>
      <c r="B562" s="123"/>
      <c r="C562" s="123"/>
      <c r="D562" s="123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  <c r="AK562" s="115"/>
      <c r="AL562" s="115"/>
      <c r="AM562" s="115"/>
      <c r="AN562" s="127"/>
      <c r="AO562" s="29"/>
      <c r="AU562" s="115"/>
      <c r="AV562" s="115"/>
      <c r="AW562" s="115"/>
      <c r="AX562" s="115"/>
      <c r="AY562" s="25"/>
      <c r="AZ562" s="13"/>
      <c r="BE562" s="116"/>
      <c r="BF562" s="123"/>
      <c r="BG562" s="123"/>
      <c r="BH562" s="123"/>
      <c r="BM562" s="115"/>
      <c r="BN562" s="115"/>
      <c r="BO562" s="115"/>
      <c r="BP562" s="115"/>
      <c r="BQ562" s="115"/>
      <c r="BR562" s="115"/>
      <c r="BS562" s="115"/>
      <c r="BT562" s="115"/>
      <c r="BU562" s="115"/>
      <c r="BV562" s="115"/>
      <c r="BW562" s="25"/>
      <c r="BX562" s="13"/>
      <c r="CA562" s="114"/>
    </row>
    <row r="563" spans="1:79" ht="20.100000000000001" customHeight="1" x14ac:dyDescent="0.4">
      <c r="A563" s="117"/>
      <c r="B563" s="123"/>
      <c r="C563" s="123"/>
      <c r="D563" s="123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  <c r="AK563" s="115"/>
      <c r="AL563" s="115"/>
      <c r="AM563" s="115"/>
      <c r="AN563" s="29"/>
      <c r="AO563" s="29"/>
      <c r="AU563" s="115"/>
      <c r="AV563" s="115"/>
      <c r="AW563" s="115"/>
      <c r="AX563" s="115"/>
      <c r="AY563" s="25"/>
      <c r="AZ563" s="13"/>
      <c r="BE563" s="116"/>
      <c r="BF563" s="123"/>
      <c r="BG563" s="123"/>
      <c r="BH563" s="123"/>
      <c r="BM563" s="115"/>
      <c r="BN563" s="115"/>
      <c r="BO563" s="115"/>
      <c r="BP563" s="115"/>
      <c r="BQ563" s="115"/>
      <c r="BR563" s="115"/>
      <c r="BS563" s="115"/>
      <c r="BT563" s="115"/>
      <c r="BU563" s="115"/>
      <c r="BV563" s="115"/>
      <c r="BW563" s="25"/>
      <c r="BX563" s="13"/>
      <c r="CA563" s="114"/>
    </row>
    <row r="564" spans="1:79" ht="20.100000000000001" customHeight="1" x14ac:dyDescent="0.4">
      <c r="A564" s="117"/>
      <c r="B564" s="123"/>
      <c r="C564" s="123"/>
      <c r="D564" s="123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  <c r="AK564" s="115"/>
      <c r="AL564" s="115"/>
      <c r="AM564" s="115"/>
      <c r="AN564" s="127"/>
      <c r="AO564" s="29"/>
      <c r="AU564" s="115"/>
      <c r="AV564" s="115"/>
      <c r="AW564" s="115"/>
      <c r="AX564" s="115"/>
      <c r="AY564" s="25"/>
      <c r="AZ564" s="13"/>
      <c r="BE564" s="116"/>
      <c r="BF564" s="123"/>
      <c r="BG564" s="123"/>
      <c r="BH564" s="123"/>
      <c r="BM564" s="115"/>
      <c r="BN564" s="115"/>
      <c r="BO564" s="115"/>
      <c r="BP564" s="115"/>
      <c r="BQ564" s="115"/>
      <c r="BR564" s="115"/>
      <c r="BS564" s="115"/>
      <c r="BT564" s="115"/>
      <c r="BU564" s="115"/>
      <c r="BV564" s="115"/>
      <c r="BW564" s="25"/>
      <c r="BX564" s="13"/>
      <c r="CA564" s="114"/>
    </row>
    <row r="565" spans="1:79" ht="20.100000000000001" customHeight="1" x14ac:dyDescent="0.4">
      <c r="A565" s="117"/>
      <c r="B565" s="123"/>
      <c r="C565" s="123"/>
      <c r="D565" s="123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  <c r="AK565" s="115"/>
      <c r="AL565" s="115"/>
      <c r="AM565" s="115"/>
      <c r="AN565" s="127"/>
      <c r="AO565" s="29"/>
      <c r="AU565" s="115"/>
      <c r="AV565" s="115"/>
      <c r="AW565" s="115"/>
      <c r="AX565" s="115"/>
      <c r="AY565" s="25"/>
      <c r="AZ565" s="13"/>
      <c r="BE565" s="116"/>
      <c r="BF565" s="123"/>
      <c r="BG565" s="123"/>
      <c r="BH565" s="123"/>
      <c r="BM565" s="115"/>
      <c r="BN565" s="115"/>
      <c r="BO565" s="115"/>
      <c r="BP565" s="115"/>
      <c r="BQ565" s="115"/>
      <c r="BR565" s="115"/>
      <c r="BS565" s="115"/>
      <c r="BT565" s="115"/>
      <c r="BU565" s="115"/>
      <c r="BV565" s="115"/>
      <c r="BW565" s="25"/>
      <c r="BX565" s="13"/>
      <c r="CA565" s="114"/>
    </row>
    <row r="566" spans="1:79" ht="20.100000000000001" customHeight="1" x14ac:dyDescent="0.4">
      <c r="A566" s="117"/>
      <c r="B566" s="123"/>
      <c r="C566" s="123"/>
      <c r="D566" s="123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  <c r="AK566" s="115"/>
      <c r="AL566" s="115"/>
      <c r="AM566" s="115"/>
      <c r="AN566" s="127"/>
      <c r="AO566" s="29"/>
      <c r="AU566" s="115"/>
      <c r="AV566" s="115"/>
      <c r="AW566" s="115"/>
      <c r="AX566" s="115"/>
      <c r="AY566" s="25"/>
      <c r="AZ566" s="13"/>
      <c r="BE566" s="116"/>
      <c r="BF566" s="123"/>
      <c r="BG566" s="123"/>
      <c r="BH566" s="123"/>
      <c r="BM566" s="115"/>
      <c r="BN566" s="115"/>
      <c r="BO566" s="115"/>
      <c r="BP566" s="115"/>
      <c r="BQ566" s="115"/>
      <c r="BR566" s="115"/>
      <c r="BS566" s="115"/>
      <c r="BT566" s="115"/>
      <c r="BU566" s="115"/>
      <c r="BV566" s="115"/>
      <c r="BW566" s="25"/>
      <c r="BX566" s="13"/>
      <c r="CA566" s="114"/>
    </row>
    <row r="567" spans="1:79" ht="20.100000000000001" customHeight="1" x14ac:dyDescent="0.4">
      <c r="A567" s="117"/>
      <c r="B567" s="123"/>
      <c r="C567" s="123"/>
      <c r="D567" s="123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  <c r="AK567" s="115"/>
      <c r="AL567" s="115"/>
      <c r="AM567" s="115"/>
      <c r="AN567" s="127"/>
      <c r="AO567" s="29"/>
      <c r="AU567" s="115"/>
      <c r="AV567" s="115"/>
      <c r="AW567" s="115"/>
      <c r="AX567" s="115"/>
      <c r="AY567" s="25"/>
      <c r="AZ567" s="13"/>
      <c r="BE567" s="116"/>
      <c r="BF567" s="123"/>
      <c r="BG567" s="123"/>
      <c r="BH567" s="123"/>
      <c r="BM567" s="115"/>
      <c r="BN567" s="115"/>
      <c r="BO567" s="115"/>
      <c r="BP567" s="115"/>
      <c r="BQ567" s="115"/>
      <c r="BR567" s="115"/>
      <c r="BS567" s="115"/>
      <c r="BT567" s="115"/>
      <c r="BU567" s="115"/>
      <c r="BV567" s="115"/>
      <c r="BW567" s="25"/>
      <c r="BX567" s="13"/>
      <c r="CA567" s="114"/>
    </row>
    <row r="568" spans="1:79" ht="20.100000000000001" customHeight="1" x14ac:dyDescent="0.4">
      <c r="A568" s="117"/>
      <c r="B568" s="123"/>
      <c r="C568" s="123"/>
      <c r="D568" s="123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  <c r="AK568" s="115"/>
      <c r="AL568" s="115"/>
      <c r="AM568" s="115"/>
      <c r="AN568" s="127"/>
      <c r="AO568" s="29"/>
      <c r="AU568" s="115"/>
      <c r="AV568" s="115"/>
      <c r="AW568" s="115"/>
      <c r="AX568" s="115"/>
      <c r="AY568" s="25"/>
      <c r="AZ568" s="13"/>
      <c r="BE568" s="116"/>
      <c r="BF568" s="123"/>
      <c r="BG568" s="123"/>
      <c r="BH568" s="123"/>
      <c r="BM568" s="115"/>
      <c r="BN568" s="115"/>
      <c r="BO568" s="115"/>
      <c r="BP568" s="115"/>
      <c r="BQ568" s="115"/>
      <c r="BR568" s="115"/>
      <c r="BS568" s="115"/>
      <c r="BT568" s="115"/>
      <c r="BU568" s="115"/>
      <c r="BV568" s="115"/>
      <c r="BW568" s="25"/>
      <c r="BX568" s="13"/>
      <c r="CA568" s="114"/>
    </row>
    <row r="569" spans="1:79" ht="20.100000000000001" customHeight="1" x14ac:dyDescent="0.4">
      <c r="A569" s="117"/>
      <c r="B569" s="123"/>
      <c r="C569" s="123"/>
      <c r="D569" s="123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  <c r="AK569" s="115"/>
      <c r="AL569" s="115"/>
      <c r="AM569" s="115"/>
      <c r="AN569" s="127"/>
      <c r="AO569" s="29"/>
      <c r="AU569" s="115"/>
      <c r="AV569" s="115"/>
      <c r="AW569" s="115"/>
      <c r="AX569" s="115"/>
      <c r="AY569" s="25"/>
      <c r="AZ569" s="13"/>
      <c r="BE569" s="116"/>
      <c r="BF569" s="123"/>
      <c r="BG569" s="123"/>
      <c r="BH569" s="123"/>
      <c r="BM569" s="115"/>
      <c r="BN569" s="115"/>
      <c r="BO569" s="115"/>
      <c r="BP569" s="115"/>
      <c r="BQ569" s="115"/>
      <c r="BR569" s="115"/>
      <c r="BS569" s="115"/>
      <c r="BT569" s="115"/>
      <c r="BU569" s="115"/>
      <c r="BV569" s="115"/>
      <c r="BW569" s="25"/>
      <c r="BX569" s="13"/>
      <c r="CA569" s="114"/>
    </row>
    <row r="570" spans="1:79" ht="20.100000000000001" customHeight="1" x14ac:dyDescent="0.4">
      <c r="A570" s="117"/>
      <c r="B570" s="123"/>
      <c r="C570" s="123"/>
      <c r="D570" s="123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  <c r="AK570" s="115"/>
      <c r="AL570" s="115"/>
      <c r="AM570" s="115"/>
      <c r="AN570" s="127"/>
      <c r="AO570" s="29"/>
      <c r="AU570" s="115"/>
      <c r="AV570" s="115"/>
      <c r="AW570" s="115"/>
      <c r="AX570" s="115"/>
      <c r="AY570" s="25"/>
      <c r="AZ570" s="13"/>
      <c r="BE570" s="116"/>
      <c r="BF570" s="123"/>
      <c r="BG570" s="123"/>
      <c r="BH570" s="123"/>
      <c r="BM570" s="115"/>
      <c r="BN570" s="115"/>
      <c r="BO570" s="115"/>
      <c r="BP570" s="115"/>
      <c r="BQ570" s="115"/>
      <c r="BR570" s="115"/>
      <c r="BS570" s="115"/>
      <c r="BT570" s="115"/>
      <c r="BU570" s="115"/>
      <c r="BV570" s="115"/>
      <c r="BW570" s="25"/>
      <c r="BX570" s="13"/>
      <c r="CA570" s="114"/>
    </row>
    <row r="571" spans="1:79" ht="20.100000000000001" customHeight="1" x14ac:dyDescent="0.4">
      <c r="A571" s="117"/>
      <c r="B571" s="123"/>
      <c r="C571" s="123"/>
      <c r="D571" s="123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  <c r="AK571" s="115"/>
      <c r="AL571" s="115"/>
      <c r="AM571" s="115"/>
      <c r="AN571" s="127"/>
      <c r="AO571" s="29"/>
      <c r="AU571" s="115"/>
      <c r="AV571" s="115"/>
      <c r="AW571" s="115"/>
      <c r="AX571" s="115"/>
      <c r="AY571" s="25"/>
      <c r="AZ571" s="13"/>
      <c r="BE571" s="116"/>
      <c r="BF571" s="123"/>
      <c r="BG571" s="123"/>
      <c r="BH571" s="123"/>
      <c r="BM571" s="115"/>
      <c r="BN571" s="115"/>
      <c r="BO571" s="115"/>
      <c r="BP571" s="115"/>
      <c r="BQ571" s="115"/>
      <c r="BR571" s="115"/>
      <c r="BS571" s="115"/>
      <c r="BT571" s="115"/>
      <c r="BU571" s="115"/>
      <c r="BV571" s="115"/>
      <c r="BW571" s="25"/>
      <c r="BX571" s="13"/>
      <c r="CA571" s="114"/>
    </row>
    <row r="572" spans="1:79" ht="20.100000000000001" customHeight="1" x14ac:dyDescent="0.4">
      <c r="A572" s="117"/>
      <c r="B572" s="123"/>
      <c r="C572" s="123"/>
      <c r="D572" s="123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  <c r="AK572" s="115"/>
      <c r="AL572" s="115"/>
      <c r="AM572" s="115"/>
      <c r="AN572" s="127"/>
      <c r="AO572" s="29"/>
      <c r="AU572" s="115"/>
      <c r="AV572" s="115"/>
      <c r="AW572" s="115"/>
      <c r="AX572" s="115"/>
      <c r="AY572" s="25"/>
      <c r="AZ572" s="13"/>
      <c r="BE572" s="116"/>
      <c r="BF572" s="123"/>
      <c r="BG572" s="123"/>
      <c r="BH572" s="123"/>
      <c r="BM572" s="115"/>
      <c r="BN572" s="115"/>
      <c r="BO572" s="115"/>
      <c r="BP572" s="115"/>
      <c r="BQ572" s="115"/>
      <c r="BR572" s="115"/>
      <c r="BS572" s="115"/>
      <c r="BT572" s="115"/>
      <c r="BU572" s="115"/>
      <c r="BV572" s="115"/>
      <c r="BW572" s="25"/>
      <c r="BX572" s="13"/>
      <c r="CA572" s="114"/>
    </row>
    <row r="573" spans="1:79" ht="20.100000000000001" customHeight="1" x14ac:dyDescent="0.4">
      <c r="A573" s="117"/>
      <c r="B573" s="123"/>
      <c r="C573" s="123"/>
      <c r="D573" s="123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  <c r="AK573" s="115"/>
      <c r="AL573" s="115"/>
      <c r="AM573" s="115"/>
      <c r="AN573" s="127"/>
      <c r="AO573" s="29"/>
      <c r="AU573" s="115"/>
      <c r="AV573" s="115"/>
      <c r="AW573" s="115"/>
      <c r="AX573" s="115"/>
      <c r="AY573" s="25"/>
      <c r="AZ573" s="13"/>
      <c r="BE573" s="116"/>
      <c r="BF573" s="123"/>
      <c r="BG573" s="123"/>
      <c r="BH573" s="123"/>
      <c r="BM573" s="115"/>
      <c r="BN573" s="115"/>
      <c r="BO573" s="115"/>
      <c r="BP573" s="115"/>
      <c r="BQ573" s="115"/>
      <c r="BR573" s="115"/>
      <c r="BS573" s="115"/>
      <c r="BT573" s="115"/>
      <c r="BU573" s="115"/>
      <c r="BV573" s="115"/>
      <c r="BW573" s="25"/>
      <c r="BX573" s="13"/>
      <c r="CA573" s="114"/>
    </row>
    <row r="574" spans="1:79" ht="20.100000000000001" customHeight="1" x14ac:dyDescent="0.4">
      <c r="A574" s="117"/>
      <c r="B574" s="123"/>
      <c r="C574" s="123"/>
      <c r="D574" s="123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  <c r="AK574" s="115"/>
      <c r="AL574" s="115"/>
      <c r="AM574" s="115"/>
      <c r="AN574" s="127"/>
      <c r="AO574" s="29"/>
      <c r="AU574" s="115"/>
      <c r="AV574" s="115"/>
      <c r="AW574" s="115"/>
      <c r="AX574" s="115"/>
      <c r="AY574" s="25"/>
      <c r="AZ574" s="13"/>
      <c r="BE574" s="116"/>
      <c r="BF574" s="123"/>
      <c r="BG574" s="123"/>
      <c r="BH574" s="123"/>
      <c r="BM574" s="115"/>
      <c r="BN574" s="115"/>
      <c r="BO574" s="115"/>
      <c r="BP574" s="115"/>
      <c r="BQ574" s="115"/>
      <c r="BR574" s="115"/>
      <c r="BS574" s="115"/>
      <c r="BT574" s="115"/>
      <c r="BU574" s="115"/>
      <c r="BV574" s="115"/>
      <c r="BW574" s="25"/>
      <c r="BX574" s="13"/>
      <c r="CA574" s="114"/>
    </row>
    <row r="575" spans="1:79" ht="20.100000000000001" customHeight="1" x14ac:dyDescent="0.4">
      <c r="A575" s="117"/>
      <c r="B575" s="123"/>
      <c r="C575" s="123"/>
      <c r="D575" s="123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  <c r="AK575" s="115"/>
      <c r="AL575" s="115"/>
      <c r="AM575" s="115"/>
      <c r="AN575" s="29"/>
      <c r="AO575" s="29"/>
      <c r="AU575" s="115"/>
      <c r="AV575" s="115"/>
      <c r="AW575" s="115"/>
      <c r="AX575" s="115"/>
      <c r="AY575" s="25"/>
      <c r="AZ575" s="13"/>
      <c r="BE575" s="116"/>
      <c r="BF575" s="123"/>
      <c r="BG575" s="123"/>
      <c r="BH575" s="123"/>
      <c r="BM575" s="115"/>
      <c r="BN575" s="115"/>
      <c r="BO575" s="115"/>
      <c r="BP575" s="115"/>
      <c r="BQ575" s="115"/>
      <c r="BR575" s="115"/>
      <c r="BS575" s="115"/>
      <c r="BT575" s="115"/>
      <c r="BU575" s="115"/>
      <c r="BV575" s="115"/>
      <c r="BW575" s="25"/>
      <c r="BX575" s="13"/>
      <c r="CA575" s="114"/>
    </row>
    <row r="576" spans="1:79" ht="20.100000000000001" customHeight="1" x14ac:dyDescent="0.4">
      <c r="A576" s="117"/>
      <c r="B576" s="123"/>
      <c r="C576" s="123"/>
      <c r="D576" s="123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  <c r="AK576" s="115"/>
      <c r="AL576" s="115"/>
      <c r="AM576" s="115"/>
      <c r="AN576" s="127"/>
      <c r="AO576" s="29"/>
      <c r="AU576" s="115"/>
      <c r="AV576" s="115"/>
      <c r="AW576" s="115"/>
      <c r="AX576" s="115"/>
      <c r="AY576" s="25"/>
      <c r="AZ576" s="13"/>
      <c r="BE576" s="116"/>
      <c r="BF576" s="123"/>
      <c r="BG576" s="123"/>
      <c r="BH576" s="123"/>
      <c r="BM576" s="115"/>
      <c r="BN576" s="115"/>
      <c r="BO576" s="115"/>
      <c r="BP576" s="115"/>
      <c r="BQ576" s="115"/>
      <c r="BR576" s="115"/>
      <c r="BS576" s="115"/>
      <c r="BT576" s="115"/>
      <c r="BU576" s="115"/>
      <c r="BV576" s="115"/>
      <c r="BW576" s="25"/>
      <c r="BX576" s="13"/>
      <c r="CA576" s="114"/>
    </row>
    <row r="577" spans="1:79" ht="20.100000000000001" customHeight="1" x14ac:dyDescent="0.4">
      <c r="A577" s="117"/>
      <c r="B577" s="123"/>
      <c r="C577" s="123"/>
      <c r="D577" s="123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  <c r="AK577" s="115"/>
      <c r="AL577" s="115"/>
      <c r="AM577" s="115"/>
      <c r="AN577" s="127"/>
      <c r="AO577" s="29"/>
      <c r="AU577" s="115"/>
      <c r="AV577" s="115"/>
      <c r="AW577" s="115"/>
      <c r="AX577" s="115"/>
      <c r="AY577" s="25"/>
      <c r="AZ577" s="13"/>
      <c r="BE577" s="116"/>
      <c r="BF577" s="123"/>
      <c r="BG577" s="123"/>
      <c r="BH577" s="123"/>
      <c r="BM577" s="115"/>
      <c r="BN577" s="115"/>
      <c r="BO577" s="115"/>
      <c r="BP577" s="115"/>
      <c r="BQ577" s="115"/>
      <c r="BR577" s="115"/>
      <c r="BS577" s="115"/>
      <c r="BT577" s="115"/>
      <c r="BU577" s="115"/>
      <c r="BV577" s="115"/>
      <c r="BW577" s="25"/>
      <c r="BX577" s="13"/>
      <c r="CA577" s="114"/>
    </row>
    <row r="578" spans="1:79" ht="20.100000000000001" customHeight="1" x14ac:dyDescent="0.4">
      <c r="A578" s="117"/>
      <c r="B578" s="123"/>
      <c r="C578" s="123"/>
      <c r="D578" s="123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  <c r="AK578" s="115"/>
      <c r="AL578" s="115"/>
      <c r="AM578" s="115"/>
      <c r="AN578" s="29"/>
      <c r="AO578" s="29"/>
      <c r="AU578" s="115"/>
      <c r="AV578" s="115"/>
      <c r="AW578" s="115"/>
      <c r="AX578" s="115"/>
      <c r="AY578" s="25"/>
      <c r="AZ578" s="13"/>
      <c r="BE578" s="116"/>
      <c r="BF578" s="123"/>
      <c r="BG578" s="123"/>
      <c r="BH578" s="123"/>
      <c r="BM578" s="115"/>
      <c r="BN578" s="115"/>
      <c r="BO578" s="115"/>
      <c r="BP578" s="115"/>
      <c r="BQ578" s="115"/>
      <c r="BR578" s="115"/>
      <c r="BS578" s="115"/>
      <c r="BT578" s="115"/>
      <c r="BU578" s="115"/>
      <c r="BV578" s="115"/>
      <c r="BW578" s="25"/>
      <c r="BX578" s="13"/>
      <c r="CA578" s="114"/>
    </row>
    <row r="579" spans="1:79" ht="20.100000000000001" customHeight="1" x14ac:dyDescent="0.4">
      <c r="A579" s="117"/>
      <c r="B579" s="123"/>
      <c r="C579" s="123"/>
      <c r="D579" s="123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  <c r="AK579" s="115"/>
      <c r="AL579" s="115"/>
      <c r="AM579" s="115"/>
      <c r="AN579" s="127"/>
      <c r="AO579" s="29"/>
      <c r="AU579" s="115"/>
      <c r="AV579" s="115"/>
      <c r="AW579" s="115"/>
      <c r="AX579" s="115"/>
      <c r="AY579" s="25"/>
      <c r="AZ579" s="13"/>
      <c r="BE579" s="116"/>
      <c r="BF579" s="123"/>
      <c r="BG579" s="123"/>
      <c r="BH579" s="123"/>
      <c r="BM579" s="115"/>
      <c r="BN579" s="115"/>
      <c r="BO579" s="115"/>
      <c r="BP579" s="115"/>
      <c r="BQ579" s="115"/>
      <c r="BR579" s="115"/>
      <c r="BS579" s="115"/>
      <c r="BT579" s="115"/>
      <c r="BU579" s="115"/>
      <c r="BV579" s="115"/>
      <c r="BW579" s="25"/>
      <c r="BX579" s="13"/>
      <c r="CA579" s="114"/>
    </row>
    <row r="580" spans="1:79" ht="20.100000000000001" customHeight="1" x14ac:dyDescent="0.4">
      <c r="A580" s="117"/>
      <c r="B580" s="123"/>
      <c r="C580" s="123"/>
      <c r="D580" s="123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  <c r="AK580" s="115"/>
      <c r="AL580" s="115"/>
      <c r="AM580" s="115"/>
      <c r="AN580" s="127"/>
      <c r="AO580" s="29"/>
      <c r="AU580" s="115"/>
      <c r="AV580" s="115"/>
      <c r="AW580" s="115"/>
      <c r="AX580" s="115"/>
      <c r="AY580" s="25"/>
      <c r="AZ580" s="13"/>
      <c r="BE580" s="116"/>
      <c r="BF580" s="123"/>
      <c r="BG580" s="123"/>
      <c r="BH580" s="123"/>
      <c r="BM580" s="115"/>
      <c r="BN580" s="115"/>
      <c r="BO580" s="115"/>
      <c r="BP580" s="115"/>
      <c r="BQ580" s="115"/>
      <c r="BR580" s="115"/>
      <c r="BS580" s="115"/>
      <c r="BT580" s="115"/>
      <c r="BU580" s="115"/>
      <c r="BV580" s="115"/>
      <c r="BW580" s="25"/>
      <c r="BX580" s="13"/>
      <c r="CA580" s="114"/>
    </row>
    <row r="581" spans="1:79" ht="20.100000000000001" customHeight="1" x14ac:dyDescent="0.4">
      <c r="A581" s="117"/>
      <c r="B581" s="123"/>
      <c r="C581" s="123"/>
      <c r="D581" s="123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AN581" s="127"/>
      <c r="AO581" s="29"/>
      <c r="AU581" s="115"/>
      <c r="AV581" s="115"/>
      <c r="AW581" s="115"/>
      <c r="AX581" s="115"/>
      <c r="AY581" s="25">
        <v>45671</v>
      </c>
      <c r="AZ581" s="13" t="s">
        <v>146</v>
      </c>
      <c r="BE581" s="116"/>
      <c r="BF581" s="123"/>
      <c r="BG581" s="123"/>
      <c r="BH581" s="123"/>
      <c r="BM581" s="115"/>
      <c r="BN581" s="115"/>
      <c r="BO581" s="115"/>
      <c r="BP581" s="115"/>
      <c r="BQ581" s="115"/>
      <c r="BR581" s="115"/>
      <c r="BS581" s="115"/>
      <c r="BT581" s="115"/>
      <c r="BU581" s="115"/>
      <c r="BV581" s="115"/>
      <c r="BW581" s="25"/>
      <c r="BX581" s="13"/>
      <c r="CA581" s="114"/>
    </row>
    <row r="582" spans="1:79" ht="20.100000000000001" customHeight="1" x14ac:dyDescent="0.4">
      <c r="A582" s="117"/>
      <c r="B582" s="123"/>
      <c r="C582" s="123"/>
      <c r="D582" s="123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  <c r="AK582" s="115"/>
      <c r="AL582" s="115"/>
      <c r="AM582" s="115"/>
      <c r="AN582" s="127"/>
      <c r="AO582" s="29"/>
      <c r="AU582" s="115"/>
      <c r="AV582" s="115"/>
      <c r="AW582" s="115"/>
      <c r="AX582" s="115"/>
      <c r="AY582" s="25"/>
      <c r="AZ582" s="13"/>
      <c r="BE582" s="116"/>
      <c r="BF582" s="123"/>
      <c r="BG582" s="123"/>
      <c r="BH582" s="123"/>
      <c r="BM582" s="115"/>
      <c r="BN582" s="115"/>
      <c r="BO582" s="115"/>
      <c r="BP582" s="115"/>
      <c r="BQ582" s="115"/>
      <c r="BR582" s="115"/>
      <c r="BS582" s="115"/>
      <c r="BT582" s="115"/>
      <c r="BU582" s="115"/>
      <c r="BV582" s="115"/>
      <c r="BW582" s="25"/>
      <c r="BX582" s="13"/>
      <c r="CA582" s="114"/>
    </row>
    <row r="583" spans="1:79" ht="20.100000000000001" customHeight="1" x14ac:dyDescent="0.4">
      <c r="A583" s="117"/>
      <c r="B583" s="123"/>
      <c r="C583" s="123"/>
      <c r="D583" s="123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  <c r="AK583" s="115"/>
      <c r="AL583" s="115"/>
      <c r="AM583" s="115"/>
      <c r="AN583" s="29"/>
      <c r="AO583" s="29"/>
      <c r="AU583" s="115"/>
      <c r="AV583" s="115"/>
      <c r="AW583" s="115"/>
      <c r="AX583" s="115"/>
      <c r="AY583" s="25"/>
      <c r="AZ583" s="13"/>
      <c r="BE583" s="116"/>
      <c r="BF583" s="123"/>
      <c r="BG583" s="123"/>
      <c r="BH583" s="123"/>
      <c r="BM583" s="115"/>
      <c r="BN583" s="115"/>
      <c r="BO583" s="115"/>
      <c r="BP583" s="115"/>
      <c r="BQ583" s="115"/>
      <c r="BR583" s="115"/>
      <c r="BS583" s="115"/>
      <c r="BT583" s="115"/>
      <c r="BU583" s="115"/>
      <c r="BV583" s="115"/>
      <c r="BW583" s="25"/>
      <c r="BX583" s="13"/>
      <c r="CA583" s="114"/>
    </row>
    <row r="584" spans="1:79" ht="20.100000000000001" customHeight="1" x14ac:dyDescent="0.4">
      <c r="A584" s="117"/>
      <c r="B584" s="123"/>
      <c r="C584" s="123"/>
      <c r="D584" s="123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  <c r="AK584" s="115"/>
      <c r="AL584" s="115"/>
      <c r="AM584" s="115"/>
      <c r="AN584" s="127"/>
      <c r="AO584" s="29"/>
      <c r="AU584" s="115"/>
      <c r="AV584" s="115"/>
      <c r="AW584" s="115"/>
      <c r="AX584" s="115"/>
      <c r="AY584" s="25"/>
      <c r="AZ584" s="13"/>
      <c r="BE584" s="116"/>
      <c r="BF584" s="123"/>
      <c r="BG584" s="123"/>
      <c r="BH584" s="123"/>
      <c r="BM584" s="115"/>
      <c r="BN584" s="115"/>
      <c r="BO584" s="115"/>
      <c r="BP584" s="115"/>
      <c r="BQ584" s="115"/>
      <c r="BR584" s="115"/>
      <c r="BS584" s="115"/>
      <c r="BT584" s="115"/>
      <c r="BU584" s="115"/>
      <c r="BV584" s="115"/>
      <c r="BW584" s="25"/>
      <c r="BX584" s="13"/>
      <c r="CA584" s="114"/>
    </row>
    <row r="585" spans="1:79" ht="20.100000000000001" customHeight="1" x14ac:dyDescent="0.4">
      <c r="A585" s="117"/>
      <c r="B585" s="123"/>
      <c r="C585" s="123"/>
      <c r="D585" s="123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  <c r="AK585" s="115"/>
      <c r="AL585" s="115"/>
      <c r="AM585" s="115"/>
      <c r="AN585" s="29"/>
      <c r="AO585" s="29"/>
      <c r="AU585" s="115"/>
      <c r="AV585" s="115"/>
      <c r="AW585" s="115"/>
      <c r="AX585" s="115"/>
      <c r="AY585" s="25"/>
      <c r="AZ585" s="13"/>
      <c r="BE585" s="116"/>
      <c r="BF585" s="123"/>
      <c r="BG585" s="123"/>
      <c r="BH585" s="123"/>
      <c r="BM585" s="115"/>
      <c r="BN585" s="115"/>
      <c r="BO585" s="115"/>
      <c r="BP585" s="115"/>
      <c r="BQ585" s="115"/>
      <c r="BR585" s="115"/>
      <c r="BS585" s="115"/>
      <c r="BT585" s="115"/>
      <c r="BU585" s="115"/>
      <c r="BV585" s="115"/>
      <c r="BW585" s="25"/>
      <c r="BX585" s="13"/>
      <c r="CA585" s="114"/>
    </row>
    <row r="586" spans="1:79" ht="20.100000000000001" customHeight="1" x14ac:dyDescent="0.4">
      <c r="A586" s="117"/>
      <c r="B586" s="123"/>
      <c r="C586" s="123"/>
      <c r="D586" s="123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AN586" s="127"/>
      <c r="AO586" s="29"/>
      <c r="AS586" s="115"/>
      <c r="AT586" s="115"/>
      <c r="AU586" s="115"/>
      <c r="AV586" s="115"/>
      <c r="AW586" s="115"/>
      <c r="AX586" s="115"/>
      <c r="AY586" s="25">
        <v>45671</v>
      </c>
      <c r="AZ586" s="13" t="s">
        <v>148</v>
      </c>
      <c r="BE586" s="116"/>
      <c r="BF586" s="123"/>
      <c r="BG586" s="123"/>
      <c r="BH586" s="123"/>
      <c r="BM586" s="115"/>
      <c r="BN586" s="115"/>
      <c r="BO586" s="115"/>
      <c r="BP586" s="115"/>
      <c r="BQ586" s="115"/>
      <c r="BR586" s="115"/>
      <c r="BS586" s="115"/>
      <c r="BT586" s="115"/>
      <c r="BU586" s="115"/>
      <c r="BV586" s="115"/>
      <c r="BW586" s="25"/>
      <c r="BX586" s="13"/>
      <c r="CA586" s="114"/>
    </row>
    <row r="587" spans="1:79" ht="20.100000000000001" customHeight="1" x14ac:dyDescent="0.4">
      <c r="A587" s="117"/>
      <c r="B587" s="123"/>
      <c r="C587" s="123"/>
      <c r="D587" s="123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AL587" s="115"/>
      <c r="AM587" s="115"/>
      <c r="AN587" s="29"/>
      <c r="AO587" s="29"/>
      <c r="AS587" s="115"/>
      <c r="AT587" s="115"/>
      <c r="AU587" s="115"/>
      <c r="AV587" s="115"/>
      <c r="AW587" s="115"/>
      <c r="AX587" s="115"/>
      <c r="AY587" s="25"/>
      <c r="AZ587" s="13"/>
      <c r="BE587" s="116"/>
      <c r="BF587" s="123"/>
      <c r="BG587" s="123"/>
      <c r="BH587" s="123"/>
      <c r="BM587" s="115"/>
      <c r="BN587" s="115"/>
      <c r="BO587" s="115"/>
      <c r="BP587" s="115"/>
      <c r="BQ587" s="115"/>
      <c r="BR587" s="115"/>
      <c r="BS587" s="115"/>
      <c r="BT587" s="115"/>
      <c r="BU587" s="115"/>
      <c r="BV587" s="115"/>
      <c r="BW587" s="25"/>
      <c r="BX587" s="13"/>
      <c r="CA587" s="114"/>
    </row>
    <row r="588" spans="1:79" ht="20.100000000000001" customHeight="1" x14ac:dyDescent="0.4">
      <c r="A588" s="117"/>
      <c r="B588" s="123"/>
      <c r="C588" s="123"/>
      <c r="D588" s="123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AH588" s="115"/>
      <c r="AI588" s="115"/>
      <c r="AJ588" s="115"/>
      <c r="AK588" s="115"/>
      <c r="AL588" s="115"/>
      <c r="AM588" s="115"/>
      <c r="AN588" s="127"/>
      <c r="AO588" s="29"/>
      <c r="AS588" s="115"/>
      <c r="AT588" s="115"/>
      <c r="AU588" s="115"/>
      <c r="AV588" s="115"/>
      <c r="AW588" s="115"/>
      <c r="AX588" s="115"/>
      <c r="AY588" s="25"/>
      <c r="AZ588" s="13"/>
      <c r="BE588" s="116"/>
      <c r="BF588" s="123"/>
      <c r="BG588" s="123"/>
      <c r="BH588" s="123"/>
      <c r="BM588" s="115"/>
      <c r="BN588" s="115"/>
      <c r="BO588" s="115"/>
      <c r="BP588" s="115"/>
      <c r="BQ588" s="115"/>
      <c r="BR588" s="115"/>
      <c r="BS588" s="115"/>
      <c r="BT588" s="115"/>
      <c r="BU588" s="115"/>
      <c r="BV588" s="115"/>
      <c r="BW588" s="25"/>
      <c r="BX588" s="13"/>
      <c r="CA588" s="114"/>
    </row>
    <row r="589" spans="1:79" ht="20.100000000000001" customHeight="1" x14ac:dyDescent="0.4">
      <c r="A589" s="117"/>
      <c r="B589" s="123"/>
      <c r="C589" s="123"/>
      <c r="D589" s="123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AH589" s="115"/>
      <c r="AI589" s="115"/>
      <c r="AJ589" s="115"/>
      <c r="AK589" s="115"/>
      <c r="AL589" s="115"/>
      <c r="AM589" s="115"/>
      <c r="AN589" s="29"/>
      <c r="AO589" s="29"/>
      <c r="AS589" s="115"/>
      <c r="AT589" s="115"/>
      <c r="AU589" s="115"/>
      <c r="AV589" s="115"/>
      <c r="AW589" s="115"/>
      <c r="AX589" s="115"/>
      <c r="AY589" s="25"/>
      <c r="AZ589" s="13"/>
      <c r="BE589" s="116"/>
      <c r="BF589" s="123"/>
      <c r="BG589" s="123"/>
      <c r="BH589" s="123"/>
      <c r="BM589" s="115"/>
      <c r="BN589" s="115"/>
      <c r="BO589" s="115"/>
      <c r="BP589" s="115"/>
      <c r="BQ589" s="115"/>
      <c r="BR589" s="115"/>
      <c r="BS589" s="115"/>
      <c r="BT589" s="115"/>
      <c r="BU589" s="115"/>
      <c r="BV589" s="115"/>
      <c r="BW589" s="25"/>
      <c r="BX589" s="13"/>
      <c r="CA589" s="114"/>
    </row>
    <row r="590" spans="1:79" ht="20.100000000000001" customHeight="1" x14ac:dyDescent="0.4">
      <c r="A590" s="117"/>
      <c r="B590" s="123"/>
      <c r="C590" s="123"/>
      <c r="D590" s="123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AH590" s="115"/>
      <c r="AI590" s="115"/>
      <c r="AJ590" s="115"/>
      <c r="AK590" s="115"/>
      <c r="AL590" s="115"/>
      <c r="AM590" s="115"/>
      <c r="AN590" s="29"/>
      <c r="AO590" s="29"/>
      <c r="AS590" s="115"/>
      <c r="AT590" s="115"/>
      <c r="AU590" s="115"/>
      <c r="AV590" s="115"/>
      <c r="AW590" s="115"/>
      <c r="AX590" s="115"/>
      <c r="AY590" s="25"/>
      <c r="AZ590" s="13"/>
      <c r="BE590" s="116"/>
      <c r="BF590" s="123"/>
      <c r="BG590" s="123"/>
      <c r="BH590" s="123"/>
      <c r="BM590" s="115"/>
      <c r="BN590" s="115"/>
      <c r="BO590" s="115"/>
      <c r="BP590" s="115"/>
      <c r="BQ590" s="115"/>
      <c r="BR590" s="115"/>
      <c r="BS590" s="115"/>
      <c r="BT590" s="115"/>
      <c r="BU590" s="115"/>
      <c r="BV590" s="115"/>
      <c r="BW590" s="25"/>
      <c r="BX590" s="13"/>
      <c r="CA590" s="114"/>
    </row>
    <row r="591" spans="1:79" ht="20.100000000000001" customHeight="1" x14ac:dyDescent="0.4">
      <c r="A591" s="117"/>
      <c r="B591" s="123"/>
      <c r="C591" s="123"/>
      <c r="D591" s="123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AG591" s="115"/>
      <c r="AH591" s="115"/>
      <c r="AI591" s="115"/>
      <c r="AJ591" s="115"/>
      <c r="AK591" s="115"/>
      <c r="AL591" s="115"/>
      <c r="AM591" s="115"/>
      <c r="AN591" s="127"/>
      <c r="AO591" s="29"/>
      <c r="AS591" s="115"/>
      <c r="AT591" s="115"/>
      <c r="AU591" s="115"/>
      <c r="AV591" s="115"/>
      <c r="AW591" s="115"/>
      <c r="AX591" s="115"/>
      <c r="AY591" s="25"/>
      <c r="AZ591" s="13"/>
      <c r="BE591" s="116"/>
      <c r="BF591" s="123"/>
      <c r="BG591" s="123"/>
      <c r="BH591" s="123"/>
      <c r="BM591" s="115"/>
      <c r="BN591" s="115"/>
      <c r="BO591" s="115"/>
      <c r="BP591" s="115"/>
      <c r="BQ591" s="115"/>
      <c r="BR591" s="115"/>
      <c r="BS591" s="115"/>
      <c r="BT591" s="115"/>
      <c r="BU591" s="115"/>
      <c r="BV591" s="115"/>
      <c r="BW591" s="25"/>
      <c r="BX591" s="13"/>
      <c r="CA591" s="114"/>
    </row>
    <row r="592" spans="1:79" ht="20.100000000000001" customHeight="1" x14ac:dyDescent="0.4">
      <c r="A592" s="117"/>
      <c r="B592" s="123"/>
      <c r="C592" s="123"/>
      <c r="D592" s="123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AG592" s="115"/>
      <c r="AH592" s="115"/>
      <c r="AI592" s="115"/>
      <c r="AJ592" s="115"/>
      <c r="AK592" s="115"/>
      <c r="AL592" s="115"/>
      <c r="AM592" s="115"/>
      <c r="AN592" s="127"/>
      <c r="AO592" s="29"/>
      <c r="AS592" s="115"/>
      <c r="AT592" s="115"/>
      <c r="AU592" s="115"/>
      <c r="AV592" s="115"/>
      <c r="AW592" s="115"/>
      <c r="AX592" s="115"/>
      <c r="AY592" s="25"/>
      <c r="AZ592" s="13"/>
      <c r="BE592" s="116"/>
      <c r="BF592" s="123"/>
      <c r="BG592" s="123"/>
      <c r="BH592" s="123"/>
      <c r="BM592" s="115"/>
      <c r="BN592" s="115"/>
      <c r="BO592" s="115"/>
      <c r="BP592" s="115"/>
      <c r="BQ592" s="115"/>
      <c r="BR592" s="115"/>
      <c r="BS592" s="115"/>
      <c r="BT592" s="115"/>
      <c r="BU592" s="115"/>
      <c r="BV592" s="115"/>
      <c r="BW592" s="25"/>
      <c r="BX592" s="13"/>
      <c r="CA592" s="114"/>
    </row>
    <row r="593" spans="1:79" ht="20.100000000000001" customHeight="1" x14ac:dyDescent="0.4">
      <c r="A593" s="117"/>
      <c r="B593" s="123"/>
      <c r="C593" s="123"/>
      <c r="D593" s="123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AG593" s="115"/>
      <c r="AH593" s="115"/>
      <c r="AI593" s="115"/>
      <c r="AJ593" s="115"/>
      <c r="AK593" s="115"/>
      <c r="AL593" s="115"/>
      <c r="AM593" s="115"/>
      <c r="AN593" s="127"/>
      <c r="AO593" s="29"/>
      <c r="AS593" s="115"/>
      <c r="AT593" s="115"/>
      <c r="AU593" s="115"/>
      <c r="AV593" s="115"/>
      <c r="AW593" s="115"/>
      <c r="AX593" s="115"/>
      <c r="AY593" s="25"/>
      <c r="AZ593" s="13"/>
      <c r="BE593" s="116"/>
      <c r="BF593" s="123"/>
      <c r="BG593" s="123"/>
      <c r="BH593" s="123"/>
      <c r="BM593" s="115"/>
      <c r="BN593" s="115"/>
      <c r="BO593" s="115"/>
      <c r="BP593" s="115"/>
      <c r="BQ593" s="115"/>
      <c r="BR593" s="115"/>
      <c r="BS593" s="115"/>
      <c r="BT593" s="115"/>
      <c r="BU593" s="115"/>
      <c r="BV593" s="115"/>
      <c r="BW593" s="25"/>
      <c r="BX593" s="13"/>
      <c r="CA593" s="114"/>
    </row>
    <row r="594" spans="1:79" ht="20.100000000000001" customHeight="1" x14ac:dyDescent="0.4">
      <c r="A594" s="117"/>
      <c r="B594" s="123"/>
      <c r="C594" s="123"/>
      <c r="D594" s="123"/>
      <c r="AN594" s="127"/>
      <c r="AO594" s="29"/>
      <c r="AS594" s="115"/>
      <c r="AT594" s="115"/>
      <c r="AU594" s="115"/>
      <c r="AV594" s="115"/>
      <c r="AW594" s="115"/>
      <c r="AX594" s="115"/>
      <c r="AY594" s="25"/>
      <c r="AZ594" s="13"/>
      <c r="BE594" s="116"/>
      <c r="BF594" s="123"/>
      <c r="BG594" s="123"/>
      <c r="BH594" s="123"/>
      <c r="BM594" s="115"/>
      <c r="BN594" s="115"/>
      <c r="BO594" s="115"/>
      <c r="BP594" s="115"/>
      <c r="BQ594" s="115"/>
      <c r="BR594" s="115"/>
      <c r="BS594" s="115"/>
      <c r="BT594" s="115"/>
      <c r="BU594" s="115"/>
      <c r="BV594" s="115"/>
      <c r="BW594" s="25"/>
      <c r="BX594" s="13"/>
      <c r="CA594" s="114"/>
    </row>
    <row r="595" spans="1:79" ht="20.100000000000001" customHeight="1" x14ac:dyDescent="0.4">
      <c r="A595" s="117"/>
      <c r="B595" s="123"/>
      <c r="C595" s="123"/>
      <c r="D595" s="123"/>
      <c r="AE595" s="115"/>
      <c r="AF595" s="115"/>
      <c r="AG595" s="115"/>
      <c r="AH595" s="115"/>
      <c r="AI595" s="115"/>
      <c r="AJ595" s="115"/>
      <c r="AK595" s="115"/>
      <c r="AL595" s="115"/>
      <c r="AM595" s="115"/>
      <c r="AN595" s="127"/>
      <c r="AO595" s="29"/>
      <c r="AS595" s="115"/>
      <c r="AT595" s="115"/>
      <c r="AU595" s="115"/>
      <c r="AV595" s="115"/>
      <c r="AW595" s="115"/>
      <c r="AX595" s="115"/>
      <c r="AY595" s="25"/>
      <c r="AZ595" s="13"/>
      <c r="BE595" s="116"/>
      <c r="BF595" s="123"/>
      <c r="BG595" s="123"/>
      <c r="BH595" s="123"/>
      <c r="BM595" s="115"/>
      <c r="BN595" s="115"/>
      <c r="BO595" s="115"/>
      <c r="BP595" s="115"/>
      <c r="BQ595" s="115"/>
      <c r="BR595" s="115"/>
      <c r="BS595" s="115"/>
      <c r="BT595" s="115"/>
      <c r="BU595" s="115"/>
      <c r="BV595" s="115"/>
      <c r="BW595" s="25"/>
      <c r="BX595" s="13"/>
      <c r="CA595" s="114"/>
    </row>
    <row r="596" spans="1:79" ht="20.100000000000001" customHeight="1" x14ac:dyDescent="0.4">
      <c r="A596" s="117"/>
      <c r="B596" s="123"/>
      <c r="C596" s="123"/>
      <c r="D596" s="123"/>
      <c r="AE596" s="115"/>
      <c r="AF596" s="115"/>
      <c r="AG596" s="115"/>
      <c r="AH596" s="115"/>
      <c r="AI596" s="115"/>
      <c r="AJ596" s="115"/>
      <c r="AK596" s="115"/>
      <c r="AL596" s="115"/>
      <c r="AM596" s="115"/>
      <c r="AN596" s="127"/>
      <c r="AO596" s="29"/>
      <c r="AS596" s="115"/>
      <c r="AT596" s="115"/>
      <c r="AU596" s="115"/>
      <c r="AV596" s="115"/>
      <c r="AW596" s="115"/>
      <c r="AX596" s="115"/>
      <c r="AY596" s="25"/>
      <c r="AZ596" s="13"/>
      <c r="BE596" s="116"/>
      <c r="BF596" s="123"/>
      <c r="BG596" s="123"/>
      <c r="BH596" s="123"/>
      <c r="BM596" s="115"/>
      <c r="BN596" s="115"/>
      <c r="BO596" s="115"/>
      <c r="BP596" s="115"/>
      <c r="BQ596" s="115"/>
      <c r="BR596" s="115"/>
      <c r="BS596" s="115"/>
      <c r="BT596" s="115"/>
      <c r="BU596" s="115"/>
      <c r="BV596" s="115"/>
      <c r="BW596" s="25"/>
      <c r="BX596" s="13"/>
      <c r="CA596" s="114"/>
    </row>
    <row r="597" spans="1:79" ht="20.100000000000001" customHeight="1" x14ac:dyDescent="0.4">
      <c r="A597" s="117"/>
      <c r="B597" s="123"/>
      <c r="C597" s="123"/>
      <c r="D597" s="123"/>
      <c r="AE597" s="115"/>
      <c r="AF597" s="115"/>
      <c r="AG597" s="115"/>
      <c r="AH597" s="115"/>
      <c r="AI597" s="115"/>
      <c r="AJ597" s="115"/>
      <c r="AK597" s="115"/>
      <c r="AL597" s="115"/>
      <c r="AM597" s="115"/>
      <c r="AN597" s="127"/>
      <c r="AO597" s="29"/>
      <c r="AS597" s="115"/>
      <c r="AT597" s="115"/>
      <c r="AU597" s="115"/>
      <c r="AV597" s="115"/>
      <c r="AW597" s="115"/>
      <c r="AX597" s="115"/>
      <c r="AY597" s="25"/>
      <c r="AZ597" s="13"/>
      <c r="BE597" s="116"/>
      <c r="BF597" s="123"/>
      <c r="BG597" s="123"/>
      <c r="BH597" s="123"/>
      <c r="BM597" s="115"/>
      <c r="BN597" s="115"/>
      <c r="BO597" s="115"/>
      <c r="BP597" s="115"/>
      <c r="BQ597" s="115"/>
      <c r="BR597" s="115"/>
      <c r="BS597" s="115"/>
      <c r="BT597" s="115"/>
      <c r="BU597" s="115"/>
      <c r="BV597" s="115"/>
      <c r="BW597" s="25"/>
      <c r="BX597" s="13"/>
      <c r="CA597" s="114"/>
    </row>
    <row r="598" spans="1:79" ht="20.100000000000001" customHeight="1" x14ac:dyDescent="0.4">
      <c r="A598" s="117"/>
      <c r="B598" s="123"/>
      <c r="C598" s="123"/>
      <c r="D598" s="123"/>
      <c r="AE598" s="115"/>
      <c r="AF598" s="115"/>
      <c r="AG598" s="115"/>
      <c r="AH598" s="115"/>
      <c r="AI598" s="115"/>
      <c r="AJ598" s="115"/>
      <c r="AK598" s="115"/>
      <c r="AL598" s="115"/>
      <c r="AM598" s="115"/>
      <c r="AN598" s="29"/>
      <c r="AO598" s="29"/>
      <c r="AS598" s="115"/>
      <c r="AT598" s="115"/>
      <c r="AU598" s="115"/>
      <c r="AV598" s="115"/>
      <c r="AW598" s="115"/>
      <c r="AX598" s="115"/>
      <c r="AY598" s="25"/>
      <c r="AZ598" s="13"/>
      <c r="BE598" s="116"/>
      <c r="BF598" s="123"/>
      <c r="BG598" s="123"/>
      <c r="BH598" s="123"/>
      <c r="BM598" s="115"/>
      <c r="BN598" s="115"/>
      <c r="BO598" s="115"/>
      <c r="BP598" s="115"/>
      <c r="BQ598" s="115"/>
      <c r="BR598" s="115"/>
      <c r="BS598" s="115"/>
      <c r="BT598" s="115"/>
      <c r="BU598" s="115"/>
      <c r="BV598" s="115"/>
      <c r="BW598" s="25"/>
      <c r="BX598" s="13"/>
      <c r="CA598" s="114"/>
    </row>
    <row r="599" spans="1:79" ht="20.100000000000001" customHeight="1" x14ac:dyDescent="0.4">
      <c r="A599" s="117"/>
      <c r="B599" s="123"/>
      <c r="C599" s="123"/>
      <c r="D599" s="123"/>
      <c r="AE599" s="115"/>
      <c r="AF599" s="115"/>
      <c r="AG599" s="115"/>
      <c r="AH599" s="115"/>
      <c r="AI599" s="115"/>
      <c r="AJ599" s="115"/>
      <c r="AK599" s="115"/>
      <c r="AL599" s="115"/>
      <c r="AM599" s="115"/>
      <c r="AN599" s="127"/>
      <c r="AO599" s="29"/>
      <c r="AS599" s="115"/>
      <c r="AT599" s="115"/>
      <c r="AU599" s="115"/>
      <c r="AV599" s="115"/>
      <c r="AW599" s="115"/>
      <c r="AX599" s="115"/>
      <c r="AY599" s="25"/>
      <c r="AZ599" s="13"/>
      <c r="BE599" s="116"/>
      <c r="BF599" s="123"/>
      <c r="BG599" s="123"/>
      <c r="BH599" s="123"/>
      <c r="BM599" s="115"/>
      <c r="BN599" s="115"/>
      <c r="BO599" s="115"/>
      <c r="BP599" s="115"/>
      <c r="BQ599" s="115"/>
      <c r="BR599" s="115"/>
      <c r="BS599" s="115"/>
      <c r="BT599" s="115"/>
      <c r="BU599" s="115"/>
      <c r="BV599" s="115"/>
      <c r="BW599" s="25"/>
      <c r="BX599" s="13"/>
      <c r="CA599" s="114"/>
    </row>
    <row r="600" spans="1:79" ht="20.100000000000001" customHeight="1" x14ac:dyDescent="0.4">
      <c r="A600" s="117"/>
      <c r="B600" s="123"/>
      <c r="C600" s="123"/>
      <c r="D600" s="123"/>
      <c r="AE600" s="115"/>
      <c r="AF600" s="115"/>
      <c r="AG600" s="115"/>
      <c r="AH600" s="115"/>
      <c r="AI600" s="115"/>
      <c r="AJ600" s="115"/>
      <c r="AK600" s="115"/>
      <c r="AL600" s="115"/>
      <c r="AM600" s="115"/>
      <c r="AN600" s="127"/>
      <c r="AO600" s="29"/>
      <c r="AS600" s="115"/>
      <c r="AT600" s="115"/>
      <c r="AU600" s="115"/>
      <c r="AV600" s="115"/>
      <c r="AW600" s="115"/>
      <c r="AX600" s="115"/>
      <c r="AY600" s="25"/>
      <c r="AZ600" s="13"/>
      <c r="BE600" s="116"/>
      <c r="BF600" s="123"/>
      <c r="BG600" s="123"/>
      <c r="BH600" s="123"/>
      <c r="BM600" s="115"/>
      <c r="BN600" s="115"/>
      <c r="BO600" s="115"/>
      <c r="BP600" s="115"/>
      <c r="BQ600" s="115"/>
      <c r="BR600" s="115"/>
      <c r="BS600" s="115"/>
      <c r="BT600" s="115"/>
      <c r="BU600" s="115"/>
      <c r="BV600" s="115"/>
      <c r="BW600" s="25"/>
      <c r="BX600" s="13"/>
      <c r="CA600" s="114"/>
    </row>
    <row r="601" spans="1:79" ht="20.100000000000001" customHeight="1" x14ac:dyDescent="0.4">
      <c r="A601" s="117"/>
      <c r="B601" s="123"/>
      <c r="C601" s="123"/>
      <c r="D601" s="123"/>
      <c r="AN601" s="127"/>
      <c r="AO601" s="29"/>
      <c r="AS601" s="115"/>
      <c r="AT601" s="115"/>
      <c r="AU601" s="115"/>
      <c r="AV601" s="115"/>
      <c r="AW601" s="115"/>
      <c r="AX601" s="115"/>
      <c r="AY601" s="25"/>
      <c r="AZ601" s="13"/>
      <c r="BE601" s="116"/>
      <c r="BF601" s="123"/>
      <c r="BG601" s="123"/>
      <c r="BH601" s="123"/>
      <c r="BM601" s="115"/>
      <c r="BN601" s="115"/>
      <c r="BO601" s="115"/>
      <c r="BP601" s="115"/>
      <c r="BQ601" s="115"/>
      <c r="BR601" s="115"/>
      <c r="BS601" s="115"/>
      <c r="BT601" s="115"/>
      <c r="BU601" s="115"/>
      <c r="BV601" s="115"/>
      <c r="BW601" s="25"/>
      <c r="BX601" s="13"/>
      <c r="CA601" s="114"/>
    </row>
    <row r="602" spans="1:79" ht="20.100000000000001" customHeight="1" x14ac:dyDescent="0.4">
      <c r="A602" s="117"/>
      <c r="B602" s="123"/>
      <c r="C602" s="123"/>
      <c r="D602" s="123"/>
      <c r="AJ602" s="115"/>
      <c r="AK602" s="115"/>
      <c r="AL602" s="115"/>
      <c r="AM602" s="115"/>
      <c r="AN602" s="127"/>
      <c r="AO602" s="29"/>
      <c r="AS602" s="115"/>
      <c r="AT602" s="115"/>
      <c r="AU602" s="115"/>
      <c r="AV602" s="115"/>
      <c r="AW602" s="115"/>
      <c r="AX602" s="115"/>
      <c r="AY602" s="25"/>
      <c r="AZ602" s="13"/>
      <c r="BE602" s="116"/>
      <c r="BF602" s="123"/>
      <c r="BG602" s="123"/>
      <c r="BH602" s="123"/>
      <c r="BM602" s="115"/>
      <c r="BN602" s="115"/>
      <c r="BO602" s="115"/>
      <c r="BP602" s="115"/>
      <c r="BQ602" s="115"/>
      <c r="BR602" s="115"/>
      <c r="BS602" s="115"/>
      <c r="BT602" s="115"/>
      <c r="BU602" s="115"/>
      <c r="BV602" s="115"/>
      <c r="BW602" s="25"/>
      <c r="BX602" s="13"/>
      <c r="CA602" s="114"/>
    </row>
    <row r="603" spans="1:79" ht="20.100000000000001" customHeight="1" x14ac:dyDescent="0.4">
      <c r="A603" s="117"/>
      <c r="B603" s="123"/>
      <c r="C603" s="123"/>
      <c r="D603" s="123"/>
      <c r="AD603" s="115"/>
      <c r="AE603" s="115"/>
      <c r="AF603" s="115"/>
      <c r="AG603" s="115"/>
      <c r="AH603" s="115"/>
      <c r="AI603" s="115"/>
      <c r="AJ603" s="115"/>
      <c r="AK603" s="115"/>
      <c r="AL603" s="115"/>
      <c r="AM603" s="115"/>
      <c r="AN603" s="127"/>
      <c r="AO603" s="29"/>
      <c r="AS603" s="115"/>
      <c r="AT603" s="115"/>
      <c r="AU603" s="115"/>
      <c r="AV603" s="115"/>
      <c r="AW603" s="115"/>
      <c r="AX603" s="115"/>
      <c r="AY603" s="25"/>
      <c r="AZ603" s="13"/>
      <c r="BE603" s="116"/>
      <c r="BF603" s="123"/>
      <c r="BG603" s="123"/>
      <c r="BH603" s="123"/>
      <c r="BM603" s="115"/>
      <c r="BN603" s="115"/>
      <c r="BO603" s="115"/>
      <c r="BP603" s="115"/>
      <c r="BQ603" s="115"/>
      <c r="BR603" s="115"/>
      <c r="BS603" s="115"/>
      <c r="BT603" s="115"/>
      <c r="BU603" s="115"/>
      <c r="BV603" s="115"/>
      <c r="BW603" s="25"/>
      <c r="BX603" s="13"/>
      <c r="CA603" s="114"/>
    </row>
    <row r="604" spans="1:79" ht="20.100000000000001" customHeight="1" x14ac:dyDescent="0.4">
      <c r="A604" s="117"/>
      <c r="B604" s="123"/>
      <c r="C604" s="123"/>
      <c r="D604" s="123"/>
      <c r="AD604" s="115"/>
      <c r="AE604" s="115"/>
      <c r="AF604" s="115"/>
      <c r="AG604" s="115"/>
      <c r="AH604" s="115"/>
      <c r="AI604" s="115"/>
      <c r="AJ604" s="115"/>
      <c r="AK604" s="115"/>
      <c r="AL604" s="115"/>
      <c r="AM604" s="115"/>
      <c r="AN604" s="127"/>
      <c r="AO604" s="29"/>
      <c r="AS604" s="115"/>
      <c r="AT604" s="115"/>
      <c r="AU604" s="115"/>
      <c r="AV604" s="115"/>
      <c r="AW604" s="115"/>
      <c r="AX604" s="115"/>
      <c r="AY604" s="25"/>
      <c r="AZ604" s="13"/>
      <c r="BE604" s="116"/>
      <c r="BF604" s="123"/>
      <c r="BG604" s="123"/>
      <c r="BH604" s="123"/>
      <c r="BM604" s="115"/>
      <c r="BN604" s="115"/>
      <c r="BO604" s="115"/>
      <c r="BP604" s="115"/>
      <c r="BQ604" s="115"/>
      <c r="BR604" s="115"/>
      <c r="BS604" s="115"/>
      <c r="BT604" s="115"/>
      <c r="BU604" s="115"/>
      <c r="BV604" s="115"/>
      <c r="BW604" s="25"/>
      <c r="BX604" s="13"/>
      <c r="CA604" s="114"/>
    </row>
    <row r="605" spans="1:79" ht="20.100000000000001" customHeight="1" x14ac:dyDescent="0.4">
      <c r="A605" s="117"/>
      <c r="B605" s="123"/>
      <c r="C605" s="123"/>
      <c r="D605" s="123"/>
      <c r="AD605" s="115"/>
      <c r="AE605" s="115"/>
      <c r="AF605" s="115"/>
      <c r="AG605" s="115"/>
      <c r="AH605" s="115"/>
      <c r="AI605" s="115"/>
      <c r="AJ605" s="115"/>
      <c r="AK605" s="115"/>
      <c r="AL605" s="115"/>
      <c r="AM605" s="115"/>
      <c r="AN605" s="127"/>
      <c r="AO605" s="29"/>
      <c r="AS605" s="115"/>
      <c r="AT605" s="115"/>
      <c r="AU605" s="115"/>
      <c r="AV605" s="115"/>
      <c r="AW605" s="115"/>
      <c r="AX605" s="115"/>
      <c r="AY605" s="25"/>
      <c r="AZ605" s="13"/>
      <c r="BE605" s="116"/>
      <c r="BF605" s="123"/>
      <c r="BG605" s="123"/>
      <c r="BH605" s="123"/>
      <c r="BM605" s="115"/>
      <c r="BN605" s="115"/>
      <c r="BO605" s="115"/>
      <c r="BP605" s="115"/>
      <c r="BQ605" s="115"/>
      <c r="BR605" s="115"/>
      <c r="BS605" s="115"/>
      <c r="BT605" s="115"/>
      <c r="BU605" s="115"/>
      <c r="BV605" s="115"/>
      <c r="BW605" s="25"/>
      <c r="BX605" s="13"/>
      <c r="CA605" s="114"/>
    </row>
    <row r="606" spans="1:79" ht="20.100000000000001" customHeight="1" x14ac:dyDescent="0.4">
      <c r="A606" s="117"/>
      <c r="B606" s="123"/>
      <c r="C606" s="123"/>
      <c r="D606" s="123"/>
      <c r="AD606" s="115"/>
      <c r="AE606" s="115"/>
      <c r="AF606" s="115"/>
      <c r="AG606" s="115"/>
      <c r="AH606" s="115"/>
      <c r="AI606" s="115"/>
      <c r="AJ606" s="115"/>
      <c r="AK606" s="115"/>
      <c r="AL606" s="115"/>
      <c r="AM606" s="115"/>
      <c r="AN606" s="127"/>
      <c r="AO606" s="29"/>
      <c r="AS606" s="115"/>
      <c r="AT606" s="115"/>
      <c r="AU606" s="115"/>
      <c r="AV606" s="115"/>
      <c r="AW606" s="115"/>
      <c r="AX606" s="115"/>
      <c r="AY606" s="25"/>
      <c r="AZ606" s="13"/>
      <c r="BE606" s="116"/>
      <c r="BF606" s="123"/>
      <c r="BG606" s="123"/>
      <c r="BH606" s="123"/>
      <c r="BM606" s="115"/>
      <c r="BN606" s="115"/>
      <c r="BO606" s="115"/>
      <c r="BP606" s="115"/>
      <c r="BQ606" s="115"/>
      <c r="BR606" s="115"/>
      <c r="BS606" s="115"/>
      <c r="BT606" s="115"/>
      <c r="BU606" s="115"/>
      <c r="BV606" s="115"/>
      <c r="BW606" s="25"/>
      <c r="BX606" s="13"/>
      <c r="CA606" s="114"/>
    </row>
    <row r="607" spans="1:79" ht="20.100000000000001" customHeight="1" x14ac:dyDescent="0.4">
      <c r="A607" s="117"/>
      <c r="B607" s="123"/>
      <c r="C607" s="123"/>
      <c r="D607" s="123"/>
      <c r="AN607" s="127"/>
      <c r="AO607" s="29"/>
      <c r="AS607" s="115"/>
      <c r="AT607" s="115"/>
      <c r="AU607" s="115"/>
      <c r="AV607" s="115"/>
      <c r="AW607" s="115"/>
      <c r="AX607" s="115"/>
      <c r="AY607" s="25"/>
      <c r="AZ607" s="13"/>
      <c r="BE607" s="116"/>
      <c r="BF607" s="123"/>
      <c r="BG607" s="123"/>
      <c r="BH607" s="123"/>
      <c r="BM607" s="115"/>
      <c r="BN607" s="115"/>
      <c r="BO607" s="115"/>
      <c r="BP607" s="115"/>
      <c r="BQ607" s="115"/>
      <c r="BR607" s="115"/>
      <c r="BS607" s="115"/>
      <c r="BT607" s="115"/>
      <c r="BU607" s="115"/>
      <c r="BV607" s="115"/>
      <c r="BW607" s="25"/>
      <c r="BX607" s="13"/>
      <c r="CA607" s="114"/>
    </row>
    <row r="608" spans="1:79" ht="20.100000000000001" customHeight="1" x14ac:dyDescent="0.4">
      <c r="A608" s="117"/>
      <c r="B608" s="123"/>
      <c r="C608" s="123"/>
      <c r="D608" s="123"/>
      <c r="AJ608" s="115"/>
      <c r="AK608" s="115"/>
      <c r="AL608" s="115"/>
      <c r="AM608" s="115"/>
      <c r="AN608" s="127"/>
      <c r="AO608" s="29"/>
      <c r="AS608" s="115"/>
      <c r="AT608" s="115"/>
      <c r="AU608" s="115"/>
      <c r="AV608" s="115"/>
      <c r="AW608" s="115"/>
      <c r="AX608" s="115"/>
      <c r="AY608" s="25"/>
      <c r="AZ608" s="13"/>
      <c r="BE608" s="116"/>
      <c r="BF608" s="123"/>
      <c r="BG608" s="123"/>
      <c r="BH608" s="123"/>
      <c r="BM608" s="115"/>
      <c r="BN608" s="115"/>
      <c r="BO608" s="115"/>
      <c r="BP608" s="115"/>
      <c r="BQ608" s="115"/>
      <c r="BR608" s="115"/>
      <c r="BS608" s="115"/>
      <c r="BT608" s="115"/>
      <c r="BU608" s="115"/>
      <c r="BV608" s="115"/>
      <c r="BW608" s="25"/>
      <c r="BX608" s="13"/>
      <c r="CA608" s="114"/>
    </row>
    <row r="609" spans="1:79" ht="20.100000000000001" customHeight="1" x14ac:dyDescent="0.4">
      <c r="A609" s="117"/>
      <c r="B609" s="123"/>
      <c r="C609" s="123"/>
      <c r="D609" s="123"/>
      <c r="AJ609" s="115"/>
      <c r="AK609" s="115"/>
      <c r="AL609" s="115"/>
      <c r="AM609" s="115"/>
      <c r="AN609" s="29"/>
      <c r="AO609" s="29"/>
      <c r="AS609" s="115"/>
      <c r="AT609" s="115"/>
      <c r="AU609" s="115"/>
      <c r="AV609" s="115"/>
      <c r="AW609" s="115"/>
      <c r="AX609" s="115"/>
      <c r="AY609" s="25"/>
      <c r="AZ609" s="13"/>
      <c r="BE609" s="116"/>
      <c r="BF609" s="123"/>
      <c r="BG609" s="123"/>
      <c r="BH609" s="123"/>
      <c r="BM609" s="115"/>
      <c r="BN609" s="115"/>
      <c r="BO609" s="115"/>
      <c r="BP609" s="115"/>
      <c r="BQ609" s="115"/>
      <c r="BR609" s="115"/>
      <c r="BS609" s="115"/>
      <c r="BT609" s="115"/>
      <c r="BU609" s="115"/>
      <c r="BV609" s="115"/>
      <c r="BW609" s="25"/>
      <c r="BX609" s="13"/>
      <c r="CA609" s="114"/>
    </row>
    <row r="610" spans="1:79" ht="20.100000000000001" customHeight="1" x14ac:dyDescent="0.4">
      <c r="A610" s="117"/>
      <c r="B610" s="123"/>
      <c r="C610" s="123"/>
      <c r="D610" s="123"/>
      <c r="AJ610" s="115"/>
      <c r="AK610" s="115"/>
      <c r="AL610" s="115"/>
      <c r="AM610" s="115"/>
      <c r="AN610" s="127"/>
      <c r="AO610" s="29"/>
      <c r="AS610" s="115"/>
      <c r="AT610" s="115"/>
      <c r="AU610" s="115"/>
      <c r="AV610" s="115"/>
      <c r="AW610" s="115"/>
      <c r="AX610" s="115"/>
      <c r="AY610" s="25"/>
      <c r="AZ610" s="13"/>
      <c r="BE610" s="116"/>
      <c r="BF610" s="123"/>
      <c r="BG610" s="123"/>
      <c r="BH610" s="123"/>
      <c r="BM610" s="115"/>
      <c r="BN610" s="115"/>
      <c r="BO610" s="115"/>
      <c r="BP610" s="115"/>
      <c r="BQ610" s="115"/>
      <c r="BR610" s="115"/>
      <c r="BS610" s="115"/>
      <c r="BT610" s="115"/>
      <c r="BU610" s="115"/>
      <c r="BV610" s="115"/>
      <c r="BW610" s="25"/>
      <c r="BX610" s="13"/>
      <c r="CA610" s="114"/>
    </row>
    <row r="611" spans="1:79" ht="20.100000000000001" customHeight="1" x14ac:dyDescent="0.4">
      <c r="A611" s="117"/>
      <c r="B611" s="123"/>
      <c r="C611" s="123"/>
      <c r="D611" s="123"/>
      <c r="AJ611" s="115"/>
      <c r="AK611" s="115"/>
      <c r="AL611" s="115"/>
      <c r="AM611" s="115"/>
      <c r="AN611" s="29"/>
      <c r="AO611" s="29"/>
      <c r="AS611" s="115"/>
      <c r="AT611" s="115"/>
      <c r="AU611" s="115"/>
      <c r="AV611" s="115"/>
      <c r="AW611" s="115"/>
      <c r="AX611" s="115"/>
      <c r="AY611" s="25"/>
      <c r="AZ611" s="13"/>
      <c r="BE611" s="116"/>
      <c r="BF611" s="123"/>
      <c r="BG611" s="123"/>
      <c r="BH611" s="123"/>
      <c r="BM611" s="115"/>
      <c r="BN611" s="115"/>
      <c r="BO611" s="115"/>
      <c r="BP611" s="115"/>
      <c r="BQ611" s="115"/>
      <c r="BR611" s="115"/>
      <c r="BS611" s="115"/>
      <c r="BT611" s="115"/>
      <c r="BU611" s="115"/>
      <c r="BV611" s="115"/>
      <c r="BW611" s="25"/>
      <c r="BX611" s="13"/>
      <c r="CA611" s="114"/>
    </row>
    <row r="612" spans="1:79" ht="20.100000000000001" customHeight="1" x14ac:dyDescent="0.4">
      <c r="A612" s="117"/>
      <c r="B612" s="123"/>
      <c r="C612" s="123"/>
      <c r="D612" s="123"/>
      <c r="AB612" s="115"/>
      <c r="AC612" s="115"/>
      <c r="AD612" s="115"/>
      <c r="AE612" s="115"/>
      <c r="AF612" s="115"/>
      <c r="AG612" s="115"/>
      <c r="AH612" s="115"/>
      <c r="AI612" s="115"/>
      <c r="AJ612" s="115"/>
      <c r="AK612" s="115"/>
      <c r="AL612" s="115"/>
      <c r="AM612" s="115"/>
      <c r="AN612" s="127"/>
      <c r="AO612" s="29"/>
      <c r="AS612" s="115"/>
      <c r="AT612" s="115"/>
      <c r="AU612" s="115"/>
      <c r="AV612" s="115"/>
      <c r="AW612" s="115"/>
      <c r="AX612" s="115"/>
      <c r="AY612" s="25"/>
      <c r="AZ612" s="13"/>
      <c r="BE612" s="116"/>
      <c r="BF612" s="123"/>
      <c r="BG612" s="123"/>
      <c r="BH612" s="123"/>
      <c r="BM612" s="115"/>
      <c r="BN612" s="115"/>
      <c r="BO612" s="115"/>
      <c r="BP612" s="115"/>
      <c r="BQ612" s="115"/>
      <c r="BR612" s="115"/>
      <c r="BS612" s="115"/>
      <c r="BT612" s="115"/>
      <c r="BU612" s="115"/>
      <c r="BV612" s="115"/>
      <c r="BW612" s="25"/>
      <c r="BX612" s="13"/>
      <c r="CA612" s="114"/>
    </row>
    <row r="613" spans="1:79" ht="20.100000000000001" customHeight="1" x14ac:dyDescent="0.4">
      <c r="A613" s="117"/>
      <c r="B613" s="123"/>
      <c r="C613" s="123"/>
      <c r="D613" s="123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  <c r="AK613" s="115"/>
      <c r="AL613" s="115"/>
      <c r="AM613" s="115"/>
      <c r="AN613" s="127"/>
      <c r="AO613" s="29"/>
      <c r="AS613" s="115"/>
      <c r="AT613" s="115"/>
      <c r="AU613" s="115"/>
      <c r="AV613" s="115"/>
      <c r="AW613" s="115"/>
      <c r="AX613" s="115"/>
      <c r="AY613" s="25"/>
      <c r="AZ613" s="13"/>
      <c r="BE613" s="116"/>
      <c r="BF613" s="123"/>
      <c r="BG613" s="123"/>
      <c r="BH613" s="123"/>
      <c r="BM613" s="115"/>
      <c r="BN613" s="115"/>
      <c r="BO613" s="115"/>
      <c r="BP613" s="115"/>
      <c r="BQ613" s="115"/>
      <c r="BR613" s="115"/>
      <c r="BS613" s="115"/>
      <c r="BT613" s="115"/>
      <c r="BU613" s="115"/>
      <c r="BV613" s="115"/>
      <c r="BW613" s="25"/>
      <c r="BX613" s="13"/>
      <c r="CA613" s="114"/>
    </row>
    <row r="614" spans="1:79" ht="20.100000000000001" customHeight="1" x14ac:dyDescent="0.4">
      <c r="A614" s="117"/>
      <c r="B614" s="123"/>
      <c r="C614" s="123"/>
      <c r="D614" s="123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  <c r="AK614" s="115"/>
      <c r="AL614" s="115"/>
      <c r="AM614" s="115"/>
      <c r="AN614" s="127"/>
      <c r="AO614" s="29"/>
      <c r="AS614" s="115"/>
      <c r="AT614" s="115"/>
      <c r="AU614" s="115"/>
      <c r="AV614" s="115"/>
      <c r="AW614" s="115"/>
      <c r="AX614" s="115"/>
      <c r="AY614" s="25"/>
      <c r="AZ614" s="13"/>
      <c r="BE614" s="116"/>
      <c r="BF614" s="123"/>
      <c r="BG614" s="123"/>
      <c r="BH614" s="123"/>
      <c r="BM614" s="115"/>
      <c r="BN614" s="115"/>
      <c r="BO614" s="115"/>
      <c r="BP614" s="115"/>
      <c r="BQ614" s="115"/>
      <c r="BR614" s="115"/>
      <c r="BS614" s="115"/>
      <c r="BT614" s="115"/>
      <c r="BU614" s="115"/>
      <c r="BV614" s="115"/>
      <c r="BW614" s="25"/>
      <c r="BX614" s="13"/>
      <c r="CA614" s="114"/>
    </row>
    <row r="615" spans="1:79" ht="20.100000000000001" customHeight="1" x14ac:dyDescent="0.4">
      <c r="A615" s="117"/>
      <c r="B615" s="123"/>
      <c r="C615" s="123"/>
      <c r="D615" s="123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  <c r="AK615" s="115"/>
      <c r="AL615" s="115"/>
      <c r="AM615" s="115"/>
      <c r="AN615" s="127"/>
      <c r="AO615" s="29"/>
      <c r="AS615" s="115"/>
      <c r="AT615" s="115"/>
      <c r="AU615" s="115"/>
      <c r="AV615" s="115"/>
      <c r="AW615" s="115"/>
      <c r="AX615" s="115"/>
      <c r="AY615" s="25"/>
      <c r="AZ615" s="13"/>
      <c r="BE615" s="116"/>
      <c r="BF615" s="123"/>
      <c r="BG615" s="123"/>
      <c r="BH615" s="123"/>
      <c r="BM615" s="115"/>
      <c r="BN615" s="115"/>
      <c r="BO615" s="115"/>
      <c r="BP615" s="115"/>
      <c r="BQ615" s="115"/>
      <c r="BR615" s="115"/>
      <c r="BS615" s="115"/>
      <c r="BT615" s="115"/>
      <c r="BU615" s="115"/>
      <c r="BV615" s="115"/>
      <c r="BW615" s="25"/>
      <c r="BX615" s="13"/>
      <c r="CA615" s="114"/>
    </row>
    <row r="616" spans="1:79" ht="20.100000000000001" customHeight="1" x14ac:dyDescent="0.4">
      <c r="A616" s="117"/>
      <c r="B616" s="123"/>
      <c r="C616" s="123"/>
      <c r="D616" s="123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  <c r="AK616" s="115"/>
      <c r="AL616" s="115"/>
      <c r="AM616" s="115"/>
      <c r="AN616" s="29"/>
      <c r="AO616" s="29"/>
      <c r="AS616" s="115"/>
      <c r="AT616" s="115"/>
      <c r="AU616" s="115"/>
      <c r="AV616" s="115"/>
      <c r="AW616" s="115"/>
      <c r="AX616" s="115"/>
      <c r="AY616" s="25"/>
      <c r="AZ616" s="13"/>
      <c r="BE616" s="116"/>
      <c r="BF616" s="123"/>
      <c r="BG616" s="123"/>
      <c r="BH616" s="123"/>
      <c r="BM616" s="115"/>
      <c r="BN616" s="115"/>
      <c r="BO616" s="115"/>
      <c r="BP616" s="115"/>
      <c r="BQ616" s="115"/>
      <c r="BR616" s="115"/>
      <c r="BS616" s="115"/>
      <c r="BT616" s="115"/>
      <c r="BU616" s="115"/>
      <c r="BV616" s="115"/>
      <c r="BW616" s="25"/>
      <c r="BX616" s="13"/>
      <c r="CA616" s="114"/>
    </row>
    <row r="617" spans="1:79" ht="20.100000000000001" customHeight="1" x14ac:dyDescent="0.4">
      <c r="A617" s="117"/>
      <c r="B617" s="123"/>
      <c r="C617" s="123"/>
      <c r="D617" s="123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  <c r="AK617" s="115"/>
      <c r="AL617" s="115"/>
      <c r="AM617" s="115"/>
      <c r="AN617" s="127"/>
      <c r="AO617" s="29"/>
      <c r="AS617" s="115"/>
      <c r="AT617" s="115"/>
      <c r="AU617" s="115"/>
      <c r="AV617" s="115"/>
      <c r="AW617" s="115"/>
      <c r="AX617" s="115"/>
      <c r="AY617" s="25"/>
      <c r="AZ617" s="13"/>
      <c r="BE617" s="116"/>
      <c r="BF617" s="123"/>
      <c r="BG617" s="123"/>
      <c r="BH617" s="123"/>
      <c r="BM617" s="115"/>
      <c r="BN617" s="115"/>
      <c r="BO617" s="115"/>
      <c r="BP617" s="115"/>
      <c r="BQ617" s="115"/>
      <c r="BR617" s="115"/>
      <c r="BS617" s="115"/>
      <c r="BT617" s="115"/>
      <c r="BU617" s="115"/>
      <c r="BV617" s="115"/>
      <c r="BW617" s="25"/>
      <c r="BX617" s="13"/>
      <c r="CA617" s="114"/>
    </row>
    <row r="618" spans="1:79" ht="20.100000000000001" customHeight="1" x14ac:dyDescent="0.4">
      <c r="A618" s="117"/>
      <c r="B618" s="123"/>
      <c r="C618" s="123"/>
      <c r="D618" s="123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  <c r="AK618" s="115"/>
      <c r="AL618" s="115"/>
      <c r="AM618" s="115"/>
      <c r="AN618" s="127"/>
      <c r="AO618" s="29"/>
      <c r="AS618" s="115"/>
      <c r="AT618" s="115"/>
      <c r="AU618" s="115"/>
      <c r="AV618" s="115"/>
      <c r="AW618" s="115"/>
      <c r="AX618" s="115"/>
      <c r="AY618" s="25"/>
      <c r="AZ618" s="13"/>
      <c r="BE618" s="116"/>
      <c r="BF618" s="123"/>
      <c r="BG618" s="123"/>
      <c r="BH618" s="123"/>
      <c r="BM618" s="115"/>
      <c r="BN618" s="115"/>
      <c r="BO618" s="115"/>
      <c r="BP618" s="115"/>
      <c r="BQ618" s="115"/>
      <c r="BR618" s="115"/>
      <c r="BS618" s="115"/>
      <c r="BT618" s="115"/>
      <c r="BU618" s="115"/>
      <c r="BV618" s="115"/>
      <c r="BW618" s="25"/>
      <c r="BX618" s="13"/>
      <c r="CA618" s="114"/>
    </row>
    <row r="619" spans="1:79" ht="20.100000000000001" customHeight="1" x14ac:dyDescent="0.4">
      <c r="A619" s="117"/>
      <c r="B619" s="123"/>
      <c r="C619" s="123"/>
      <c r="D619" s="123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  <c r="AK619" s="115"/>
      <c r="AL619" s="115"/>
      <c r="AM619" s="115"/>
      <c r="AN619" s="29"/>
      <c r="AO619" s="29"/>
      <c r="AS619" s="115"/>
      <c r="AT619" s="115"/>
      <c r="AU619" s="115"/>
      <c r="AV619" s="115"/>
      <c r="AW619" s="115"/>
      <c r="AX619" s="115"/>
      <c r="AY619" s="25"/>
      <c r="AZ619" s="13"/>
      <c r="BE619" s="116"/>
      <c r="BF619" s="123"/>
      <c r="BG619" s="123"/>
      <c r="BH619" s="123"/>
      <c r="BM619" s="115"/>
      <c r="BN619" s="115"/>
      <c r="BO619" s="115"/>
      <c r="BP619" s="115"/>
      <c r="BQ619" s="115"/>
      <c r="BR619" s="115"/>
      <c r="BS619" s="115"/>
      <c r="BT619" s="115"/>
      <c r="BU619" s="115"/>
      <c r="BV619" s="115"/>
      <c r="BW619" s="25"/>
      <c r="BX619" s="13"/>
      <c r="CA619" s="114"/>
    </row>
    <row r="620" spans="1:79" ht="20.100000000000001" customHeight="1" x14ac:dyDescent="0.4">
      <c r="A620" s="117"/>
      <c r="B620" s="123"/>
      <c r="C620" s="123"/>
      <c r="D620" s="123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  <c r="AK620" s="115"/>
      <c r="AL620" s="115"/>
      <c r="AM620" s="115"/>
      <c r="AN620" s="127"/>
      <c r="AO620" s="29"/>
      <c r="AS620" s="115"/>
      <c r="AT620" s="115"/>
      <c r="AU620" s="115"/>
      <c r="AV620" s="115"/>
      <c r="AW620" s="115"/>
      <c r="AX620" s="115"/>
      <c r="AY620" s="25"/>
      <c r="AZ620" s="13"/>
      <c r="BE620" s="116"/>
      <c r="BF620" s="123"/>
      <c r="BG620" s="123"/>
      <c r="BH620" s="123"/>
      <c r="BM620" s="115"/>
      <c r="BN620" s="115"/>
      <c r="BO620" s="115"/>
      <c r="BP620" s="115"/>
      <c r="BQ620" s="115"/>
      <c r="BR620" s="115"/>
      <c r="BS620" s="115"/>
      <c r="BT620" s="115"/>
      <c r="BU620" s="115"/>
      <c r="BV620" s="115"/>
      <c r="BW620" s="25"/>
      <c r="BX620" s="13"/>
      <c r="CA620" s="114"/>
    </row>
    <row r="621" spans="1:79" ht="20.100000000000001" customHeight="1" x14ac:dyDescent="0.4">
      <c r="A621" s="117"/>
      <c r="B621" s="123"/>
      <c r="C621" s="123"/>
      <c r="D621" s="123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  <c r="AK621" s="115"/>
      <c r="AL621" s="115"/>
      <c r="AM621" s="115"/>
      <c r="AN621" s="29"/>
      <c r="AO621" s="29"/>
      <c r="AS621" s="115"/>
      <c r="AT621" s="115"/>
      <c r="AU621" s="115"/>
      <c r="AV621" s="115"/>
      <c r="AW621" s="115"/>
      <c r="AX621" s="115"/>
      <c r="AY621" s="25"/>
      <c r="AZ621" s="13"/>
      <c r="BE621" s="116"/>
      <c r="BF621" s="123"/>
      <c r="BG621" s="123"/>
      <c r="BH621" s="123"/>
      <c r="BM621" s="115"/>
      <c r="BN621" s="115"/>
      <c r="BO621" s="115"/>
      <c r="BP621" s="115"/>
      <c r="BQ621" s="115"/>
      <c r="BR621" s="115"/>
      <c r="BS621" s="115"/>
      <c r="BT621" s="115"/>
      <c r="BU621" s="115"/>
      <c r="BV621" s="115"/>
      <c r="BW621" s="25"/>
      <c r="BX621" s="13"/>
      <c r="CA621" s="114"/>
    </row>
    <row r="622" spans="1:79" ht="20.100000000000001" customHeight="1" x14ac:dyDescent="0.4">
      <c r="A622" s="117"/>
      <c r="B622" s="123"/>
      <c r="C622" s="123"/>
      <c r="D622" s="123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  <c r="AK622" s="115"/>
      <c r="AL622" s="115"/>
      <c r="AM622" s="115"/>
      <c r="AN622" s="29"/>
      <c r="AO622" s="29"/>
      <c r="AS622" s="115"/>
      <c r="AT622" s="115"/>
      <c r="AU622" s="115"/>
      <c r="AV622" s="115"/>
      <c r="AW622" s="115"/>
      <c r="AX622" s="115"/>
      <c r="AY622" s="25"/>
      <c r="AZ622" s="13"/>
      <c r="BE622" s="116"/>
      <c r="BF622" s="123"/>
      <c r="BG622" s="123"/>
      <c r="BH622" s="123"/>
      <c r="BM622" s="115"/>
      <c r="BN622" s="115"/>
      <c r="BO622" s="115"/>
      <c r="BP622" s="115"/>
      <c r="BQ622" s="115"/>
      <c r="BR622" s="115"/>
      <c r="BS622" s="115"/>
      <c r="BT622" s="115"/>
      <c r="BU622" s="115"/>
      <c r="BV622" s="115"/>
      <c r="BW622" s="25"/>
      <c r="BX622" s="13"/>
      <c r="CA622" s="114"/>
    </row>
    <row r="623" spans="1:79" ht="20.100000000000001" customHeight="1" x14ac:dyDescent="0.4">
      <c r="A623" s="117"/>
      <c r="B623" s="123"/>
      <c r="C623" s="123"/>
      <c r="D623" s="123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  <c r="AK623" s="115"/>
      <c r="AL623" s="115"/>
      <c r="AM623" s="115"/>
      <c r="AN623" s="127"/>
      <c r="AO623" s="29"/>
      <c r="AS623" s="115"/>
      <c r="AT623" s="115"/>
      <c r="AU623" s="115"/>
      <c r="AV623" s="115"/>
      <c r="AW623" s="115"/>
      <c r="AX623" s="115"/>
      <c r="AY623" s="25"/>
      <c r="AZ623" s="13"/>
      <c r="BE623" s="116"/>
      <c r="BF623" s="123"/>
      <c r="BG623" s="123"/>
      <c r="BH623" s="123"/>
      <c r="BM623" s="115"/>
      <c r="BN623" s="115"/>
      <c r="BO623" s="115"/>
      <c r="BP623" s="115"/>
      <c r="BQ623" s="115"/>
      <c r="BR623" s="115"/>
      <c r="BS623" s="115"/>
      <c r="BT623" s="115"/>
      <c r="BU623" s="115"/>
      <c r="BV623" s="115"/>
      <c r="BW623" s="25"/>
      <c r="BX623" s="13"/>
      <c r="CA623" s="114"/>
    </row>
    <row r="624" spans="1:79" ht="20.100000000000001" customHeight="1" x14ac:dyDescent="0.4">
      <c r="A624" s="117"/>
      <c r="B624" s="123"/>
      <c r="C624" s="123"/>
      <c r="D624" s="123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  <c r="AK624" s="115"/>
      <c r="AL624" s="115"/>
      <c r="AM624" s="115"/>
      <c r="AN624" s="29"/>
      <c r="AO624" s="29"/>
      <c r="AS624" s="115"/>
      <c r="AT624" s="115"/>
      <c r="AU624" s="115"/>
      <c r="AV624" s="115"/>
      <c r="AW624" s="115"/>
      <c r="AX624" s="115"/>
      <c r="AY624" s="25"/>
      <c r="AZ624" s="13"/>
      <c r="BE624" s="116"/>
      <c r="BF624" s="123"/>
      <c r="BG624" s="123"/>
      <c r="BH624" s="123"/>
      <c r="BM624" s="115"/>
      <c r="BN624" s="115"/>
      <c r="BO624" s="115"/>
      <c r="BP624" s="115"/>
      <c r="BQ624" s="115"/>
      <c r="BR624" s="115"/>
      <c r="BS624" s="115"/>
      <c r="BT624" s="115"/>
      <c r="BU624" s="115"/>
      <c r="BV624" s="115"/>
      <c r="BW624" s="25"/>
      <c r="BX624" s="13"/>
      <c r="CA624" s="114"/>
    </row>
    <row r="625" spans="1:79" ht="20.100000000000001" customHeight="1" x14ac:dyDescent="0.4">
      <c r="A625" s="117"/>
      <c r="B625" s="123"/>
      <c r="C625" s="123"/>
      <c r="D625" s="123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  <c r="AK625" s="115"/>
      <c r="AL625" s="115"/>
      <c r="AM625" s="115"/>
      <c r="AN625" s="127"/>
      <c r="AO625" s="29"/>
      <c r="AS625" s="115"/>
      <c r="AT625" s="115"/>
      <c r="AU625" s="115"/>
      <c r="AV625" s="115"/>
      <c r="AW625" s="115"/>
      <c r="AX625" s="115"/>
      <c r="AY625" s="25"/>
      <c r="AZ625" s="13"/>
      <c r="BE625" s="116"/>
      <c r="BF625" s="123"/>
      <c r="BG625" s="123"/>
      <c r="BH625" s="123"/>
      <c r="BM625" s="115"/>
      <c r="BN625" s="115"/>
      <c r="BO625" s="115"/>
      <c r="BP625" s="115"/>
      <c r="BQ625" s="115"/>
      <c r="BR625" s="115"/>
      <c r="BS625" s="115"/>
      <c r="BT625" s="115"/>
      <c r="BU625" s="115"/>
      <c r="BV625" s="115"/>
      <c r="BW625" s="25"/>
      <c r="BX625" s="13"/>
      <c r="CA625" s="114"/>
    </row>
    <row r="626" spans="1:79" ht="20.100000000000001" customHeight="1" x14ac:dyDescent="0.4">
      <c r="A626" s="117"/>
      <c r="B626" s="123"/>
      <c r="C626" s="123"/>
      <c r="D626" s="123"/>
      <c r="AN626" s="127"/>
      <c r="AO626" s="127"/>
      <c r="AS626" s="115"/>
      <c r="AT626" s="115"/>
      <c r="AU626" s="115"/>
      <c r="AV626" s="115"/>
      <c r="AW626" s="115"/>
      <c r="AX626" s="115"/>
      <c r="AY626" s="25">
        <v>45672</v>
      </c>
      <c r="AZ626" s="13" t="s">
        <v>146</v>
      </c>
      <c r="BE626" s="116"/>
      <c r="BF626" s="123"/>
      <c r="BG626" s="123"/>
      <c r="BH626" s="123"/>
      <c r="BM626" s="115"/>
      <c r="BN626" s="115"/>
      <c r="BO626" s="115"/>
      <c r="BP626" s="115"/>
      <c r="BQ626" s="115"/>
      <c r="BR626" s="115"/>
      <c r="BS626" s="115"/>
      <c r="BT626" s="115"/>
      <c r="BU626" s="115"/>
      <c r="BV626" s="115"/>
      <c r="BW626" s="25"/>
      <c r="BX626" s="13"/>
      <c r="CA626" s="114"/>
    </row>
    <row r="627" spans="1:79" ht="20.100000000000001" customHeight="1" x14ac:dyDescent="0.4">
      <c r="A627" s="117"/>
      <c r="B627" s="123"/>
      <c r="C627" s="123"/>
      <c r="D627" s="123"/>
      <c r="AI627" s="115"/>
      <c r="AJ627" s="115"/>
      <c r="AK627" s="115"/>
      <c r="AL627" s="115"/>
      <c r="AM627" s="115"/>
      <c r="AN627" s="29"/>
      <c r="AO627" s="29"/>
      <c r="AS627" s="115"/>
      <c r="AT627" s="115"/>
      <c r="AU627" s="115"/>
      <c r="AV627" s="115"/>
      <c r="AW627" s="115"/>
      <c r="AX627" s="115"/>
      <c r="AY627" s="25"/>
      <c r="AZ627" s="13"/>
      <c r="BE627" s="116"/>
      <c r="BF627" s="123"/>
      <c r="BG627" s="123"/>
      <c r="BH627" s="123"/>
      <c r="BM627" s="115"/>
      <c r="BN627" s="115"/>
      <c r="BO627" s="115"/>
      <c r="BP627" s="115"/>
      <c r="BQ627" s="115"/>
      <c r="BR627" s="115"/>
      <c r="BS627" s="115"/>
      <c r="BT627" s="115"/>
      <c r="BU627" s="115"/>
      <c r="BV627" s="115"/>
      <c r="BW627" s="25"/>
      <c r="BX627" s="13"/>
      <c r="CA627" s="114"/>
    </row>
    <row r="628" spans="1:79" ht="20.100000000000001" customHeight="1" x14ac:dyDescent="0.4">
      <c r="A628" s="117"/>
      <c r="B628" s="123"/>
      <c r="C628" s="123"/>
      <c r="D628" s="123"/>
      <c r="AF628" s="115"/>
      <c r="AG628" s="115"/>
      <c r="AH628" s="115"/>
      <c r="AI628" s="115"/>
      <c r="AJ628" s="115"/>
      <c r="AK628" s="115"/>
      <c r="AL628" s="115"/>
      <c r="AM628" s="115"/>
      <c r="AN628" s="127"/>
      <c r="AO628" s="29"/>
      <c r="AS628" s="115"/>
      <c r="AT628" s="115"/>
      <c r="AU628" s="115"/>
      <c r="AV628" s="115"/>
      <c r="AW628" s="115"/>
      <c r="AX628" s="115"/>
      <c r="AY628" s="25"/>
      <c r="AZ628" s="13"/>
      <c r="BE628" s="116"/>
      <c r="BF628" s="123"/>
      <c r="BG628" s="123"/>
      <c r="BH628" s="123"/>
      <c r="BM628" s="115"/>
      <c r="BN628" s="115"/>
      <c r="BO628" s="115"/>
      <c r="BP628" s="115"/>
      <c r="BQ628" s="115"/>
      <c r="BR628" s="115"/>
      <c r="BS628" s="115"/>
      <c r="BT628" s="115"/>
      <c r="BU628" s="115"/>
      <c r="BV628" s="115"/>
      <c r="BW628" s="25"/>
      <c r="BX628" s="13"/>
      <c r="CA628" s="114"/>
    </row>
    <row r="629" spans="1:79" ht="20.100000000000001" customHeight="1" x14ac:dyDescent="0.4">
      <c r="A629" s="117"/>
      <c r="B629" s="123"/>
      <c r="C629" s="123"/>
      <c r="D629" s="123"/>
      <c r="AF629" s="115"/>
      <c r="AG629" s="115"/>
      <c r="AH629" s="115"/>
      <c r="AI629" s="115"/>
      <c r="AJ629" s="115"/>
      <c r="AK629" s="115"/>
      <c r="AL629" s="115"/>
      <c r="AM629" s="115"/>
      <c r="AN629" s="29"/>
      <c r="AO629" s="29"/>
      <c r="AS629" s="115"/>
      <c r="AT629" s="115"/>
      <c r="AU629" s="115"/>
      <c r="AV629" s="115"/>
      <c r="AW629" s="115"/>
      <c r="AX629" s="115"/>
      <c r="AY629" s="25"/>
      <c r="AZ629" s="13"/>
      <c r="BE629" s="116"/>
      <c r="BF629" s="123"/>
      <c r="BG629" s="123"/>
      <c r="BH629" s="123"/>
      <c r="BM629" s="115"/>
      <c r="BN629" s="115"/>
      <c r="BO629" s="115"/>
      <c r="BP629" s="115"/>
      <c r="BQ629" s="115"/>
      <c r="BR629" s="115"/>
      <c r="BS629" s="115"/>
      <c r="BT629" s="115"/>
      <c r="BU629" s="115"/>
      <c r="BV629" s="115"/>
      <c r="BW629" s="25"/>
      <c r="BX629" s="13"/>
      <c r="CA629" s="114"/>
    </row>
    <row r="630" spans="1:79" ht="20.100000000000001" customHeight="1" x14ac:dyDescent="0.4">
      <c r="A630" s="117"/>
      <c r="B630" s="123"/>
      <c r="C630" s="123"/>
      <c r="D630" s="123"/>
      <c r="AE630" s="115"/>
      <c r="AF630" s="115"/>
      <c r="AG630" s="115"/>
      <c r="AH630" s="115"/>
      <c r="AI630" s="115"/>
      <c r="AJ630" s="115"/>
      <c r="AK630" s="115"/>
      <c r="AL630" s="115"/>
      <c r="AM630" s="115"/>
      <c r="AN630" s="127"/>
      <c r="AO630" s="29"/>
      <c r="AS630" s="115"/>
      <c r="AT630" s="115"/>
      <c r="AU630" s="115"/>
      <c r="AV630" s="115"/>
      <c r="AW630" s="115"/>
      <c r="AX630" s="115"/>
      <c r="AY630" s="25"/>
      <c r="AZ630" s="13"/>
      <c r="BE630" s="116"/>
      <c r="BF630" s="123"/>
      <c r="BG630" s="123"/>
      <c r="BH630" s="123"/>
      <c r="BM630" s="115"/>
      <c r="BN630" s="115"/>
      <c r="BO630" s="115"/>
      <c r="BP630" s="115"/>
      <c r="BQ630" s="115"/>
      <c r="BR630" s="115"/>
      <c r="BS630" s="115"/>
      <c r="BT630" s="115"/>
      <c r="BU630" s="115"/>
      <c r="BV630" s="115"/>
      <c r="BW630" s="25"/>
      <c r="BX630" s="13"/>
      <c r="CA630" s="114"/>
    </row>
    <row r="631" spans="1:79" ht="20.100000000000001" customHeight="1" x14ac:dyDescent="0.4">
      <c r="A631" s="117"/>
      <c r="B631" s="123"/>
      <c r="C631" s="123"/>
      <c r="D631" s="123"/>
      <c r="AN631" s="127"/>
      <c r="AO631" s="29"/>
      <c r="AS631" s="115"/>
      <c r="AT631" s="115"/>
      <c r="AU631" s="115"/>
      <c r="AV631" s="115"/>
      <c r="AW631" s="115"/>
      <c r="AX631" s="115"/>
      <c r="AY631" s="25">
        <v>45672</v>
      </c>
      <c r="AZ631" s="13" t="s">
        <v>146</v>
      </c>
      <c r="BE631" s="116"/>
      <c r="BF631" s="123"/>
      <c r="BG631" s="123"/>
      <c r="BH631" s="123"/>
      <c r="BM631" s="115"/>
      <c r="BN631" s="115"/>
      <c r="BO631" s="115"/>
      <c r="BP631" s="115"/>
      <c r="BQ631" s="115"/>
      <c r="BR631" s="115"/>
      <c r="BS631" s="115"/>
      <c r="BT631" s="115"/>
      <c r="BU631" s="115"/>
      <c r="BV631" s="115"/>
      <c r="BW631" s="25"/>
      <c r="BX631" s="13"/>
      <c r="CA631" s="114"/>
    </row>
    <row r="632" spans="1:79" ht="20.100000000000001" customHeight="1" x14ac:dyDescent="0.4">
      <c r="A632" s="117"/>
      <c r="B632" s="123"/>
      <c r="C632" s="123"/>
      <c r="D632" s="123"/>
      <c r="AN632" s="127"/>
      <c r="AO632" s="29"/>
      <c r="AS632" s="115"/>
      <c r="AT632" s="115"/>
      <c r="AU632" s="115"/>
      <c r="AV632" s="115"/>
      <c r="AW632" s="115"/>
      <c r="AX632" s="115"/>
      <c r="AY632" s="25"/>
      <c r="AZ632" s="13"/>
      <c r="BE632" s="116"/>
      <c r="BF632" s="123"/>
      <c r="BG632" s="123"/>
      <c r="BH632" s="123"/>
      <c r="BM632" s="115"/>
      <c r="BN632" s="115"/>
      <c r="BO632" s="115"/>
      <c r="BP632" s="115"/>
      <c r="BQ632" s="115"/>
      <c r="BR632" s="115"/>
      <c r="BS632" s="115"/>
      <c r="BT632" s="115"/>
      <c r="BU632" s="115"/>
      <c r="BV632" s="115"/>
      <c r="BW632" s="25"/>
      <c r="BX632" s="13"/>
      <c r="CA632" s="114"/>
    </row>
    <row r="633" spans="1:79" ht="20.100000000000001" customHeight="1" x14ac:dyDescent="0.4">
      <c r="A633" s="117"/>
      <c r="B633" s="123"/>
      <c r="C633" s="123"/>
      <c r="D633" s="123"/>
      <c r="AI633" s="115"/>
      <c r="AJ633" s="115"/>
      <c r="AK633" s="115"/>
      <c r="AL633" s="115"/>
      <c r="AM633" s="115"/>
      <c r="AN633" s="29"/>
      <c r="AO633" s="29"/>
      <c r="AS633" s="115"/>
      <c r="AT633" s="115"/>
      <c r="AU633" s="115"/>
      <c r="AV633" s="115"/>
      <c r="AW633" s="115"/>
      <c r="AX633" s="115"/>
      <c r="AY633" s="25"/>
      <c r="AZ633" s="13"/>
      <c r="BE633" s="116"/>
      <c r="BF633" s="123"/>
      <c r="BG633" s="123"/>
      <c r="BH633" s="123"/>
      <c r="BM633" s="115"/>
      <c r="BN633" s="115"/>
      <c r="BO633" s="115"/>
      <c r="BP633" s="115"/>
      <c r="BQ633" s="115"/>
      <c r="BR633" s="115"/>
      <c r="BS633" s="115"/>
      <c r="BT633" s="115"/>
      <c r="BU633" s="115"/>
      <c r="BV633" s="115"/>
      <c r="BW633" s="25"/>
      <c r="BX633" s="13"/>
      <c r="CA633" s="114"/>
    </row>
    <row r="634" spans="1:79" ht="20.100000000000001" customHeight="1" x14ac:dyDescent="0.4">
      <c r="A634" s="117"/>
      <c r="B634" s="123"/>
      <c r="C634" s="123"/>
      <c r="D634" s="123"/>
      <c r="AN634" s="127"/>
      <c r="AO634" s="29"/>
      <c r="AS634" s="115"/>
      <c r="AT634" s="115"/>
      <c r="AU634" s="115"/>
      <c r="AV634" s="115"/>
      <c r="AW634" s="115"/>
      <c r="AX634" s="115"/>
      <c r="AY634" s="25">
        <v>45672</v>
      </c>
      <c r="AZ634" s="25" t="s">
        <v>147</v>
      </c>
      <c r="BE634" s="116"/>
      <c r="BF634" s="123"/>
      <c r="BG634" s="123"/>
      <c r="BH634" s="123"/>
      <c r="BM634" s="115"/>
      <c r="BN634" s="115"/>
      <c r="BO634" s="115"/>
      <c r="BP634" s="115"/>
      <c r="BQ634" s="115"/>
      <c r="BR634" s="115"/>
      <c r="BS634" s="115"/>
      <c r="BT634" s="115"/>
      <c r="BU634" s="115"/>
      <c r="BV634" s="115"/>
      <c r="BW634" s="25"/>
      <c r="BX634" s="13"/>
      <c r="CA634" s="114"/>
    </row>
    <row r="635" spans="1:79" ht="20.100000000000001" customHeight="1" x14ac:dyDescent="0.4">
      <c r="A635" s="117"/>
      <c r="B635" s="123"/>
      <c r="C635" s="123"/>
      <c r="D635" s="123"/>
      <c r="AN635" s="127"/>
      <c r="AO635" s="29"/>
      <c r="AS635" s="115"/>
      <c r="AT635" s="115"/>
      <c r="AU635" s="115"/>
      <c r="AV635" s="115"/>
      <c r="AW635" s="115"/>
      <c r="AX635" s="115"/>
      <c r="AY635" s="25"/>
      <c r="AZ635" s="25"/>
      <c r="BE635" s="116"/>
      <c r="BF635" s="123"/>
      <c r="BG635" s="123"/>
      <c r="BH635" s="123"/>
      <c r="BM635" s="115"/>
      <c r="BN635" s="115"/>
      <c r="BO635" s="115"/>
      <c r="BP635" s="115"/>
      <c r="BQ635" s="115"/>
      <c r="BR635" s="115"/>
      <c r="BS635" s="115"/>
      <c r="BT635" s="115"/>
      <c r="BU635" s="115"/>
      <c r="BV635" s="115"/>
      <c r="BW635" s="25"/>
      <c r="BX635" s="13"/>
      <c r="CA635" s="114"/>
    </row>
    <row r="636" spans="1:79" ht="20.100000000000001" customHeight="1" x14ac:dyDescent="0.4">
      <c r="A636" s="117"/>
      <c r="B636" s="123"/>
      <c r="C636" s="123"/>
      <c r="D636" s="123"/>
      <c r="AI636" s="115"/>
      <c r="AJ636" s="115"/>
      <c r="AK636" s="115"/>
      <c r="AL636" s="115"/>
      <c r="AM636" s="115"/>
      <c r="AN636" s="29"/>
      <c r="AO636" s="29"/>
      <c r="AS636" s="115"/>
      <c r="AT636" s="115"/>
      <c r="AU636" s="115"/>
      <c r="AV636" s="115"/>
      <c r="AW636" s="115"/>
      <c r="AX636" s="115"/>
      <c r="AY636" s="25"/>
      <c r="AZ636" s="25"/>
      <c r="BE636" s="116"/>
      <c r="BF636" s="123"/>
      <c r="BG636" s="123"/>
      <c r="BH636" s="123"/>
      <c r="BM636" s="115"/>
      <c r="BN636" s="115"/>
      <c r="BO636" s="115"/>
      <c r="BP636" s="115"/>
      <c r="BQ636" s="115"/>
      <c r="BR636" s="115"/>
      <c r="BS636" s="115"/>
      <c r="BT636" s="115"/>
      <c r="BU636" s="115"/>
      <c r="BV636" s="115"/>
      <c r="BW636" s="25"/>
      <c r="BX636" s="13"/>
      <c r="CA636" s="114"/>
    </row>
    <row r="637" spans="1:79" ht="20.100000000000001" customHeight="1" x14ac:dyDescent="0.4">
      <c r="A637" s="117"/>
      <c r="B637" s="123"/>
      <c r="C637" s="123"/>
      <c r="D637" s="123"/>
      <c r="AI637" s="115"/>
      <c r="AJ637" s="115"/>
      <c r="AK637" s="115"/>
      <c r="AL637" s="115"/>
      <c r="AM637" s="115"/>
      <c r="AN637" s="29"/>
      <c r="AO637" s="29"/>
      <c r="AS637" s="115"/>
      <c r="AT637" s="115"/>
      <c r="AU637" s="115"/>
      <c r="AV637" s="115"/>
      <c r="AW637" s="115"/>
      <c r="AX637" s="115"/>
      <c r="AY637" s="25"/>
      <c r="AZ637" s="25"/>
      <c r="BE637" s="116"/>
      <c r="BF637" s="123"/>
      <c r="BG637" s="123"/>
      <c r="BH637" s="123"/>
      <c r="BM637" s="115"/>
      <c r="BN637" s="115"/>
      <c r="BO637" s="115"/>
      <c r="BP637" s="115"/>
      <c r="BQ637" s="115"/>
      <c r="BR637" s="115"/>
      <c r="BS637" s="115"/>
      <c r="BT637" s="115"/>
      <c r="BU637" s="115"/>
      <c r="BV637" s="115"/>
      <c r="BW637" s="25"/>
      <c r="BX637" s="13"/>
      <c r="CA637" s="114"/>
    </row>
    <row r="638" spans="1:79" ht="20.100000000000001" customHeight="1" x14ac:dyDescent="0.4">
      <c r="A638" s="117"/>
      <c r="B638" s="123"/>
      <c r="C638" s="123"/>
      <c r="D638" s="123"/>
      <c r="AF638" s="115"/>
      <c r="AG638" s="115"/>
      <c r="AH638" s="115"/>
      <c r="AI638" s="115"/>
      <c r="AJ638" s="115"/>
      <c r="AK638" s="115"/>
      <c r="AL638" s="115"/>
      <c r="AM638" s="115"/>
      <c r="AN638" s="127"/>
      <c r="AO638" s="29"/>
      <c r="AS638" s="115"/>
      <c r="AT638" s="115"/>
      <c r="AU638" s="115"/>
      <c r="AV638" s="115"/>
      <c r="AW638" s="115"/>
      <c r="AX638" s="115"/>
      <c r="AY638" s="25"/>
      <c r="AZ638" s="25"/>
      <c r="BE638" s="116"/>
      <c r="BF638" s="123"/>
      <c r="BG638" s="123"/>
      <c r="BH638" s="123"/>
      <c r="BM638" s="115"/>
      <c r="BN638" s="115"/>
      <c r="BO638" s="115"/>
      <c r="BP638" s="115"/>
      <c r="BQ638" s="115"/>
      <c r="BR638" s="115"/>
      <c r="BS638" s="115"/>
      <c r="BT638" s="115"/>
      <c r="BU638" s="115"/>
      <c r="BV638" s="115"/>
      <c r="BW638" s="25"/>
      <c r="BX638" s="13"/>
      <c r="CA638" s="114"/>
    </row>
    <row r="639" spans="1:79" ht="20.100000000000001" customHeight="1" x14ac:dyDescent="0.4">
      <c r="A639" s="117"/>
      <c r="B639" s="123"/>
      <c r="C639" s="123"/>
      <c r="D639" s="123"/>
      <c r="AF639" s="115"/>
      <c r="AG639" s="115"/>
      <c r="AH639" s="115"/>
      <c r="AI639" s="115"/>
      <c r="AJ639" s="115"/>
      <c r="AK639" s="115"/>
      <c r="AL639" s="115"/>
      <c r="AM639" s="115"/>
      <c r="AN639" s="29"/>
      <c r="AO639" s="29"/>
      <c r="AS639" s="115"/>
      <c r="AT639" s="115"/>
      <c r="AU639" s="115"/>
      <c r="AV639" s="115"/>
      <c r="AW639" s="115"/>
      <c r="AX639" s="115"/>
      <c r="AY639" s="25"/>
      <c r="AZ639" s="25"/>
      <c r="BE639" s="116"/>
      <c r="BF639" s="123"/>
      <c r="BG639" s="123"/>
      <c r="BH639" s="123"/>
      <c r="BM639" s="115"/>
      <c r="BN639" s="115"/>
      <c r="BO639" s="115"/>
      <c r="BP639" s="115"/>
      <c r="BQ639" s="115"/>
      <c r="BR639" s="115"/>
      <c r="BS639" s="115"/>
      <c r="BT639" s="115"/>
      <c r="BU639" s="115"/>
      <c r="BV639" s="115"/>
      <c r="BW639" s="25"/>
      <c r="BX639" s="13"/>
      <c r="CA639" s="114"/>
    </row>
    <row r="640" spans="1:79" ht="20.100000000000001" customHeight="1" x14ac:dyDescent="0.4">
      <c r="A640" s="117"/>
      <c r="B640" s="123"/>
      <c r="C640" s="123"/>
      <c r="D640" s="123"/>
      <c r="AE640" s="115"/>
      <c r="AF640" s="115"/>
      <c r="AG640" s="115"/>
      <c r="AH640" s="115"/>
      <c r="AI640" s="115"/>
      <c r="AJ640" s="115"/>
      <c r="AK640" s="115"/>
      <c r="AL640" s="115"/>
      <c r="AM640" s="115"/>
      <c r="AN640" s="127"/>
      <c r="AO640" s="29"/>
      <c r="AS640" s="115"/>
      <c r="AT640" s="115"/>
      <c r="AU640" s="115"/>
      <c r="AV640" s="115"/>
      <c r="AW640" s="115"/>
      <c r="AX640" s="115"/>
      <c r="AY640" s="25"/>
      <c r="AZ640" s="25"/>
      <c r="BE640" s="116"/>
      <c r="BF640" s="123"/>
      <c r="BG640" s="123"/>
      <c r="BH640" s="123"/>
      <c r="BM640" s="115"/>
      <c r="BN640" s="115"/>
      <c r="BO640" s="115"/>
      <c r="BP640" s="115"/>
      <c r="BQ640" s="115"/>
      <c r="BR640" s="115"/>
      <c r="BS640" s="115"/>
      <c r="BT640" s="115"/>
      <c r="BU640" s="115"/>
      <c r="BV640" s="115"/>
      <c r="BW640" s="25"/>
      <c r="BX640" s="13"/>
      <c r="CA640" s="114"/>
    </row>
    <row r="641" spans="1:79" ht="20.100000000000001" customHeight="1" x14ac:dyDescent="0.4">
      <c r="A641" s="117"/>
      <c r="B641" s="123"/>
      <c r="C641" s="123"/>
      <c r="D641" s="123"/>
      <c r="AN641" s="127"/>
      <c r="AO641" s="29"/>
      <c r="AS641" s="115"/>
      <c r="AT641" s="115"/>
      <c r="AU641" s="115"/>
      <c r="AV641" s="115"/>
      <c r="AW641" s="115"/>
      <c r="AX641" s="115"/>
      <c r="AY641" s="25">
        <v>45673</v>
      </c>
      <c r="AZ641" s="13" t="s">
        <v>147</v>
      </c>
      <c r="BE641" s="116"/>
      <c r="BF641" s="123"/>
      <c r="BG641" s="123"/>
      <c r="BH641" s="123"/>
      <c r="BM641" s="115"/>
      <c r="BN641" s="115"/>
      <c r="BO641" s="115"/>
      <c r="BP641" s="115"/>
      <c r="BQ641" s="115"/>
      <c r="BR641" s="115"/>
      <c r="BS641" s="115"/>
      <c r="BT641" s="115"/>
      <c r="BU641" s="115"/>
      <c r="BV641" s="115"/>
      <c r="BW641" s="25"/>
      <c r="BX641" s="13"/>
      <c r="CA641" s="114"/>
    </row>
    <row r="642" spans="1:79" ht="20.100000000000001" customHeight="1" x14ac:dyDescent="0.4">
      <c r="A642" s="117"/>
      <c r="B642" s="123"/>
      <c r="C642" s="123"/>
      <c r="D642" s="123"/>
      <c r="AG642" s="115"/>
      <c r="AH642" s="115"/>
      <c r="AI642" s="115"/>
      <c r="AJ642" s="115"/>
      <c r="AK642" s="115"/>
      <c r="AL642" s="115"/>
      <c r="AM642" s="115"/>
      <c r="AN642" s="127"/>
      <c r="AO642" s="29"/>
      <c r="AS642" s="115"/>
      <c r="AT642" s="115"/>
      <c r="AU642" s="115"/>
      <c r="AV642" s="115"/>
      <c r="AW642" s="115"/>
      <c r="AX642" s="115"/>
      <c r="AY642" s="25"/>
      <c r="AZ642" s="13"/>
      <c r="BE642" s="116"/>
      <c r="BF642" s="123"/>
      <c r="BG642" s="123"/>
      <c r="BH642" s="123"/>
      <c r="BM642" s="115"/>
      <c r="BN642" s="115"/>
      <c r="BO642" s="115"/>
      <c r="BP642" s="115"/>
      <c r="BQ642" s="115"/>
      <c r="BR642" s="115"/>
      <c r="BS642" s="115"/>
      <c r="BT642" s="115"/>
      <c r="BU642" s="115"/>
      <c r="BV642" s="115"/>
      <c r="BW642" s="25"/>
      <c r="BX642" s="13"/>
      <c r="CA642" s="114"/>
    </row>
    <row r="643" spans="1:79" ht="20.100000000000001" customHeight="1" x14ac:dyDescent="0.4">
      <c r="A643" s="117"/>
      <c r="B643" s="123"/>
      <c r="C643" s="123"/>
      <c r="D643" s="123"/>
      <c r="AC643" s="115"/>
      <c r="AD643" s="115"/>
      <c r="AE643" s="115"/>
      <c r="AF643" s="115"/>
      <c r="AG643" s="115"/>
      <c r="AH643" s="115"/>
      <c r="AI643" s="115"/>
      <c r="AJ643" s="115"/>
      <c r="AK643" s="115"/>
      <c r="AL643" s="115"/>
      <c r="AM643" s="115"/>
      <c r="AN643" s="127"/>
      <c r="AO643" s="29"/>
      <c r="AS643" s="115"/>
      <c r="AT643" s="115"/>
      <c r="AU643" s="115"/>
      <c r="AV643" s="115"/>
      <c r="AW643" s="115"/>
      <c r="AX643" s="115"/>
      <c r="AY643" s="25"/>
      <c r="AZ643" s="13"/>
      <c r="BE643" s="116"/>
      <c r="BF643" s="123"/>
      <c r="BG643" s="123"/>
      <c r="BH643" s="123"/>
      <c r="BM643" s="115"/>
      <c r="BN643" s="115"/>
      <c r="BO643" s="115"/>
      <c r="BP643" s="115"/>
      <c r="BQ643" s="115"/>
      <c r="BR643" s="115"/>
      <c r="BS643" s="115"/>
      <c r="BT643" s="115"/>
      <c r="BU643" s="115"/>
      <c r="BV643" s="115"/>
      <c r="BW643" s="25"/>
      <c r="BX643" s="13"/>
      <c r="CA643" s="114"/>
    </row>
    <row r="644" spans="1:79" ht="20.100000000000001" customHeight="1" x14ac:dyDescent="0.4">
      <c r="A644" s="117"/>
      <c r="B644" s="123"/>
      <c r="C644" s="123"/>
      <c r="D644" s="123"/>
      <c r="AC644" s="115"/>
      <c r="AD644" s="115"/>
      <c r="AE644" s="115"/>
      <c r="AF644" s="115"/>
      <c r="AG644" s="115"/>
      <c r="AH644" s="115"/>
      <c r="AI644" s="115"/>
      <c r="AJ644" s="115"/>
      <c r="AK644" s="115"/>
      <c r="AL644" s="115"/>
      <c r="AM644" s="115"/>
      <c r="AN644" s="29"/>
      <c r="AO644" s="29"/>
      <c r="AS644" s="115"/>
      <c r="AT644" s="115"/>
      <c r="AU644" s="115"/>
      <c r="AV644" s="115"/>
      <c r="AW644" s="115"/>
      <c r="AX644" s="115"/>
      <c r="AY644" s="25"/>
      <c r="AZ644" s="13"/>
      <c r="BE644" s="116"/>
      <c r="BF644" s="123"/>
      <c r="BG644" s="123"/>
      <c r="BH644" s="123"/>
      <c r="BM644" s="115"/>
      <c r="BN644" s="115"/>
      <c r="BO644" s="115"/>
      <c r="BP644" s="115"/>
      <c r="BQ644" s="115"/>
      <c r="BR644" s="115"/>
      <c r="BS644" s="115"/>
      <c r="BT644" s="115"/>
      <c r="BU644" s="115"/>
      <c r="BV644" s="115"/>
      <c r="BW644" s="25"/>
      <c r="BX644" s="13"/>
      <c r="CA644" s="114"/>
    </row>
    <row r="645" spans="1:79" ht="20.100000000000001" customHeight="1" x14ac:dyDescent="0.4">
      <c r="A645" s="117"/>
      <c r="B645" s="123"/>
      <c r="C645" s="123"/>
      <c r="D645" s="123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  <c r="AK645" s="115"/>
      <c r="AL645" s="115"/>
      <c r="AM645" s="115"/>
      <c r="AN645" s="127"/>
      <c r="AO645" s="29"/>
      <c r="AS645" s="115"/>
      <c r="AT645" s="115"/>
      <c r="AU645" s="115"/>
      <c r="AV645" s="115"/>
      <c r="AW645" s="115"/>
      <c r="AX645" s="115"/>
      <c r="AY645" s="25"/>
      <c r="AZ645" s="13"/>
      <c r="BE645" s="116"/>
      <c r="BF645" s="123"/>
      <c r="BG645" s="123"/>
      <c r="BH645" s="123"/>
      <c r="BM645" s="115"/>
      <c r="BN645" s="115"/>
      <c r="BO645" s="115"/>
      <c r="BP645" s="115"/>
      <c r="BQ645" s="115"/>
      <c r="BR645" s="115"/>
      <c r="BS645" s="115"/>
      <c r="BT645" s="115"/>
      <c r="BU645" s="115"/>
      <c r="BV645" s="115"/>
      <c r="BW645" s="25"/>
      <c r="BX645" s="13"/>
      <c r="CA645" s="114"/>
    </row>
    <row r="646" spans="1:79" ht="20.100000000000001" customHeight="1" x14ac:dyDescent="0.4">
      <c r="A646" s="117"/>
      <c r="B646" s="123"/>
      <c r="C646" s="123"/>
      <c r="D646" s="123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  <c r="AK646" s="115"/>
      <c r="AL646" s="115"/>
      <c r="AM646" s="115"/>
      <c r="AN646" s="29"/>
      <c r="AO646" s="29"/>
      <c r="AS646" s="115"/>
      <c r="AT646" s="115"/>
      <c r="AU646" s="115"/>
      <c r="AV646" s="115"/>
      <c r="AW646" s="115"/>
      <c r="AX646" s="115"/>
      <c r="AY646" s="25"/>
      <c r="AZ646" s="13"/>
      <c r="BE646" s="116"/>
      <c r="BF646" s="123"/>
      <c r="BG646" s="123"/>
      <c r="BH646" s="123"/>
      <c r="BM646" s="115"/>
      <c r="BN646" s="115"/>
      <c r="BO646" s="115"/>
      <c r="BP646" s="115"/>
      <c r="BQ646" s="115"/>
      <c r="BR646" s="115"/>
      <c r="BS646" s="115"/>
      <c r="BT646" s="115"/>
      <c r="BU646" s="115"/>
      <c r="BV646" s="115"/>
      <c r="BW646" s="25"/>
      <c r="BX646" s="13"/>
      <c r="CA646" s="114"/>
    </row>
    <row r="647" spans="1:79" ht="20.100000000000001" customHeight="1" x14ac:dyDescent="0.4">
      <c r="A647" s="117"/>
      <c r="B647" s="123"/>
      <c r="C647" s="123"/>
      <c r="D647" s="123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  <c r="AK647" s="115"/>
      <c r="AL647" s="115"/>
      <c r="AM647" s="115"/>
      <c r="AN647" s="127"/>
      <c r="AO647" s="29"/>
      <c r="AS647" s="115"/>
      <c r="AT647" s="115"/>
      <c r="AU647" s="115"/>
      <c r="AV647" s="115"/>
      <c r="AW647" s="115"/>
      <c r="AX647" s="115"/>
      <c r="AY647" s="25"/>
      <c r="AZ647" s="13"/>
      <c r="BE647" s="116"/>
      <c r="BF647" s="123"/>
      <c r="BG647" s="123"/>
      <c r="BH647" s="123"/>
      <c r="BM647" s="115"/>
      <c r="BN647" s="115"/>
      <c r="BO647" s="115"/>
      <c r="BP647" s="115"/>
      <c r="BQ647" s="115"/>
      <c r="BR647" s="115"/>
      <c r="BS647" s="115"/>
      <c r="BT647" s="115"/>
      <c r="BU647" s="115"/>
      <c r="BV647" s="115"/>
      <c r="BW647" s="25"/>
      <c r="BX647" s="13"/>
      <c r="CA647" s="114"/>
    </row>
    <row r="648" spans="1:79" ht="20.100000000000001" customHeight="1" x14ac:dyDescent="0.4">
      <c r="A648" s="117"/>
      <c r="B648" s="123"/>
      <c r="C648" s="123"/>
      <c r="D648" s="123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  <c r="AK648" s="115"/>
      <c r="AL648" s="115"/>
      <c r="AM648" s="115"/>
      <c r="AN648" s="29"/>
      <c r="AO648" s="29"/>
      <c r="AS648" s="115"/>
      <c r="AT648" s="115"/>
      <c r="AU648" s="115"/>
      <c r="AV648" s="115"/>
      <c r="AW648" s="115"/>
      <c r="AX648" s="115"/>
      <c r="AY648" s="25"/>
      <c r="AZ648" s="13"/>
      <c r="BE648" s="116"/>
      <c r="BF648" s="123"/>
      <c r="BG648" s="123"/>
      <c r="BH648" s="123"/>
      <c r="BM648" s="115"/>
      <c r="BN648" s="115"/>
      <c r="BO648" s="115"/>
      <c r="BP648" s="115"/>
      <c r="BQ648" s="115"/>
      <c r="BR648" s="115"/>
      <c r="BS648" s="115"/>
      <c r="BT648" s="115"/>
      <c r="BU648" s="115"/>
      <c r="BV648" s="115"/>
      <c r="BW648" s="25"/>
      <c r="BX648" s="13"/>
      <c r="CA648" s="114"/>
    </row>
    <row r="649" spans="1:79" ht="20.100000000000001" customHeight="1" x14ac:dyDescent="0.4">
      <c r="A649" s="117"/>
      <c r="B649" s="123"/>
      <c r="C649" s="123"/>
      <c r="D649" s="123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  <c r="AK649" s="115"/>
      <c r="AL649" s="115"/>
      <c r="AM649" s="115"/>
      <c r="AN649" s="127"/>
      <c r="AO649" s="127"/>
      <c r="AS649" s="115"/>
      <c r="AT649" s="115"/>
      <c r="AU649" s="115"/>
      <c r="AV649" s="115"/>
      <c r="AW649" s="115"/>
      <c r="AX649" s="115"/>
      <c r="AY649" s="25"/>
      <c r="AZ649" s="13"/>
      <c r="BE649" s="116"/>
      <c r="BF649" s="123"/>
      <c r="BG649" s="123"/>
      <c r="BH649" s="123"/>
      <c r="BM649" s="115"/>
      <c r="BN649" s="115"/>
      <c r="BO649" s="115"/>
      <c r="BP649" s="115"/>
      <c r="BQ649" s="115"/>
      <c r="BR649" s="115"/>
      <c r="BS649" s="115"/>
      <c r="BT649" s="115"/>
      <c r="BU649" s="115"/>
      <c r="BV649" s="115"/>
      <c r="BW649" s="25"/>
      <c r="BX649" s="13"/>
      <c r="CA649" s="114"/>
    </row>
    <row r="650" spans="1:79" ht="20.100000000000001" customHeight="1" x14ac:dyDescent="0.4">
      <c r="A650" s="117"/>
      <c r="B650" s="123"/>
      <c r="C650" s="123"/>
      <c r="D650" s="123"/>
      <c r="AN650" s="127"/>
      <c r="AO650" s="127"/>
      <c r="AS650" s="115"/>
      <c r="AT650" s="115"/>
      <c r="AU650" s="115"/>
      <c r="AV650" s="115"/>
      <c r="AW650" s="115"/>
      <c r="AX650" s="115"/>
      <c r="AY650" s="25">
        <v>45673</v>
      </c>
      <c r="AZ650" s="13" t="s">
        <v>147</v>
      </c>
      <c r="BE650" s="116"/>
      <c r="BF650" s="123"/>
      <c r="BG650" s="123"/>
      <c r="BH650" s="123"/>
      <c r="BM650" s="115"/>
      <c r="BN650" s="115"/>
      <c r="BO650" s="115"/>
      <c r="BP650" s="115"/>
      <c r="BQ650" s="115"/>
      <c r="BR650" s="115"/>
      <c r="BS650" s="115"/>
      <c r="BT650" s="115"/>
      <c r="BU650" s="115"/>
      <c r="BV650" s="115"/>
      <c r="BW650" s="25"/>
      <c r="BX650" s="13"/>
      <c r="CA650" s="114"/>
    </row>
    <row r="651" spans="1:79" ht="20.100000000000001" customHeight="1" x14ac:dyDescent="0.4">
      <c r="A651" s="117"/>
      <c r="B651" s="123"/>
      <c r="C651" s="123"/>
      <c r="D651" s="123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  <c r="AK651" s="115"/>
      <c r="AL651" s="115"/>
      <c r="AM651" s="115"/>
      <c r="AN651" s="127"/>
      <c r="AO651" s="29"/>
      <c r="AS651" s="115"/>
      <c r="AT651" s="115"/>
      <c r="AU651" s="115"/>
      <c r="AV651" s="115"/>
      <c r="AW651" s="115"/>
      <c r="AX651" s="115"/>
      <c r="AY651" s="25"/>
      <c r="AZ651" s="13"/>
      <c r="BE651" s="116"/>
      <c r="BF651" s="123"/>
      <c r="BG651" s="123"/>
      <c r="BH651" s="123"/>
      <c r="BM651" s="115"/>
      <c r="BN651" s="115"/>
      <c r="BO651" s="115"/>
      <c r="BP651" s="115"/>
      <c r="BQ651" s="115"/>
      <c r="BR651" s="115"/>
      <c r="BS651" s="115"/>
      <c r="BT651" s="115"/>
      <c r="BU651" s="115"/>
      <c r="BV651" s="115"/>
      <c r="BW651" s="25"/>
      <c r="BX651" s="13"/>
      <c r="CA651" s="114"/>
    </row>
    <row r="652" spans="1:79" ht="20.100000000000001" customHeight="1" x14ac:dyDescent="0.4">
      <c r="A652" s="117"/>
      <c r="B652" s="123"/>
      <c r="C652" s="123"/>
      <c r="D652" s="123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  <c r="AK652" s="115"/>
      <c r="AL652" s="115"/>
      <c r="AM652" s="115"/>
      <c r="AN652" s="127"/>
      <c r="AO652" s="29"/>
      <c r="AS652" s="115"/>
      <c r="AT652" s="115"/>
      <c r="AU652" s="115"/>
      <c r="AV652" s="115"/>
      <c r="AW652" s="115"/>
      <c r="AX652" s="115"/>
      <c r="AY652" s="25"/>
      <c r="AZ652" s="13"/>
      <c r="BE652" s="116"/>
      <c r="BF652" s="123"/>
      <c r="BG652" s="123"/>
      <c r="BH652" s="123"/>
      <c r="BM652" s="115"/>
      <c r="BN652" s="115"/>
      <c r="BO652" s="115"/>
      <c r="BP652" s="115"/>
      <c r="BQ652" s="115"/>
      <c r="BR652" s="115"/>
      <c r="BS652" s="115"/>
      <c r="BT652" s="115"/>
      <c r="BU652" s="115"/>
      <c r="BV652" s="115"/>
      <c r="BW652" s="25"/>
      <c r="BX652" s="13"/>
      <c r="CA652" s="114"/>
    </row>
    <row r="653" spans="1:79" ht="20.100000000000001" customHeight="1" x14ac:dyDescent="0.4">
      <c r="A653" s="117"/>
      <c r="B653" s="123"/>
      <c r="C653" s="123"/>
      <c r="D653" s="123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  <c r="AK653" s="115"/>
      <c r="AL653" s="115"/>
      <c r="AM653" s="115"/>
      <c r="AN653" s="127"/>
      <c r="AO653" s="29"/>
      <c r="AS653" s="115"/>
      <c r="AT653" s="115"/>
      <c r="AU653" s="115"/>
      <c r="AV653" s="115"/>
      <c r="AW653" s="115"/>
      <c r="AX653" s="115"/>
      <c r="AY653" s="25"/>
      <c r="AZ653" s="13"/>
      <c r="BE653" s="116"/>
      <c r="BF653" s="123"/>
      <c r="BG653" s="123"/>
      <c r="BH653" s="123"/>
      <c r="BM653" s="115"/>
      <c r="BN653" s="115"/>
      <c r="BO653" s="115"/>
      <c r="BP653" s="115"/>
      <c r="BQ653" s="115"/>
      <c r="BR653" s="115"/>
      <c r="BS653" s="115"/>
      <c r="BT653" s="115"/>
      <c r="BU653" s="115"/>
      <c r="BV653" s="115"/>
      <c r="BW653" s="25"/>
      <c r="BX653" s="13"/>
      <c r="CA653" s="114"/>
    </row>
    <row r="654" spans="1:79" ht="20.100000000000001" customHeight="1" x14ac:dyDescent="0.4">
      <c r="A654" s="117"/>
      <c r="B654" s="123"/>
      <c r="C654" s="123"/>
      <c r="D654" s="123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  <c r="AK654" s="115"/>
      <c r="AL654" s="115"/>
      <c r="AM654" s="115"/>
      <c r="AN654" s="127"/>
      <c r="AO654" s="29"/>
      <c r="AS654" s="115"/>
      <c r="AT654" s="115"/>
      <c r="AU654" s="115"/>
      <c r="AV654" s="115"/>
      <c r="AW654" s="115"/>
      <c r="AX654" s="115"/>
      <c r="AY654" s="25"/>
      <c r="AZ654" s="13"/>
      <c r="BE654" s="116"/>
      <c r="BF654" s="123"/>
      <c r="BG654" s="123"/>
      <c r="BH654" s="123"/>
      <c r="BM654" s="115"/>
      <c r="BN654" s="115"/>
      <c r="BO654" s="115"/>
      <c r="BP654" s="115"/>
      <c r="BQ654" s="115"/>
      <c r="BR654" s="115"/>
      <c r="BS654" s="115"/>
      <c r="BT654" s="115"/>
      <c r="BU654" s="115"/>
      <c r="BV654" s="115"/>
      <c r="BW654" s="25"/>
      <c r="BX654" s="13"/>
      <c r="CA654" s="114"/>
    </row>
    <row r="655" spans="1:79" ht="20.100000000000001" customHeight="1" x14ac:dyDescent="0.4">
      <c r="A655" s="117"/>
      <c r="B655" s="123"/>
      <c r="C655" s="123"/>
      <c r="D655" s="123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  <c r="AK655" s="115"/>
      <c r="AL655" s="115"/>
      <c r="AM655" s="115"/>
      <c r="AN655" s="29"/>
      <c r="AO655" s="29"/>
      <c r="AS655" s="115"/>
      <c r="AT655" s="115"/>
      <c r="AU655" s="115"/>
      <c r="AV655" s="115"/>
      <c r="AW655" s="115"/>
      <c r="AX655" s="115"/>
      <c r="AY655" s="25"/>
      <c r="AZ655" s="13"/>
      <c r="BE655" s="116"/>
      <c r="BF655" s="123"/>
      <c r="BG655" s="123"/>
      <c r="BH655" s="123"/>
      <c r="BM655" s="115"/>
      <c r="BN655" s="115"/>
      <c r="BO655" s="115"/>
      <c r="BP655" s="115"/>
      <c r="BQ655" s="115"/>
      <c r="BR655" s="115"/>
      <c r="BS655" s="115"/>
      <c r="BT655" s="115"/>
      <c r="BU655" s="115"/>
      <c r="BV655" s="115"/>
      <c r="BW655" s="25"/>
      <c r="BX655" s="13"/>
      <c r="CA655" s="114"/>
    </row>
    <row r="656" spans="1:79" ht="20.100000000000001" customHeight="1" x14ac:dyDescent="0.4">
      <c r="A656" s="117"/>
      <c r="B656" s="123"/>
      <c r="C656" s="123"/>
      <c r="D656" s="123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  <c r="AK656" s="115"/>
      <c r="AL656" s="115"/>
      <c r="AM656" s="115"/>
      <c r="AN656" s="29"/>
      <c r="AO656" s="29"/>
      <c r="AS656" s="115"/>
      <c r="AT656" s="115"/>
      <c r="AU656" s="115"/>
      <c r="AV656" s="115"/>
      <c r="AW656" s="115"/>
      <c r="AX656" s="115"/>
      <c r="AY656" s="25"/>
      <c r="AZ656" s="13"/>
      <c r="BE656" s="116"/>
      <c r="BF656" s="123"/>
      <c r="BG656" s="123"/>
      <c r="BH656" s="123"/>
      <c r="BM656" s="115"/>
      <c r="BN656" s="115"/>
      <c r="BO656" s="115"/>
      <c r="BP656" s="115"/>
      <c r="BQ656" s="115"/>
      <c r="BR656" s="115"/>
      <c r="BS656" s="115"/>
      <c r="BT656" s="115"/>
      <c r="BU656" s="115"/>
      <c r="BV656" s="115"/>
      <c r="BW656" s="25"/>
      <c r="BX656" s="13"/>
      <c r="CA656" s="114"/>
    </row>
    <row r="657" spans="1:79" ht="20.100000000000001" customHeight="1" x14ac:dyDescent="0.4">
      <c r="A657" s="117"/>
      <c r="B657" s="123"/>
      <c r="C657" s="123"/>
      <c r="D657" s="123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  <c r="AK657" s="115"/>
      <c r="AL657" s="115"/>
      <c r="AM657" s="115"/>
      <c r="AN657" s="127"/>
      <c r="AO657" s="29"/>
      <c r="AS657" s="115"/>
      <c r="AT657" s="115"/>
      <c r="AU657" s="115"/>
      <c r="AV657" s="115"/>
      <c r="AW657" s="115"/>
      <c r="AX657" s="115"/>
      <c r="AY657" s="25"/>
      <c r="AZ657" s="13"/>
      <c r="BE657" s="116"/>
      <c r="BF657" s="123"/>
      <c r="BG657" s="123"/>
      <c r="BH657" s="123"/>
      <c r="BM657" s="115"/>
      <c r="BN657" s="115"/>
      <c r="BO657" s="115"/>
      <c r="BP657" s="115"/>
      <c r="BQ657" s="115"/>
      <c r="BR657" s="115"/>
      <c r="BS657" s="115"/>
      <c r="BT657" s="115"/>
      <c r="BU657" s="115"/>
      <c r="BV657" s="115"/>
      <c r="BW657" s="25"/>
      <c r="BX657" s="13"/>
      <c r="CA657" s="114"/>
    </row>
    <row r="658" spans="1:79" ht="20.100000000000001" customHeight="1" x14ac:dyDescent="0.4">
      <c r="A658" s="117"/>
      <c r="B658" s="123"/>
      <c r="C658" s="123"/>
      <c r="D658" s="123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  <c r="AK658" s="115"/>
      <c r="AL658" s="115"/>
      <c r="AM658" s="115"/>
      <c r="AN658" s="127"/>
      <c r="AO658" s="29"/>
      <c r="AS658" s="115"/>
      <c r="AT658" s="115"/>
      <c r="AU658" s="115"/>
      <c r="AV658" s="115"/>
      <c r="AW658" s="115"/>
      <c r="AX658" s="115"/>
      <c r="AY658" s="25"/>
      <c r="AZ658" s="13"/>
      <c r="BE658" s="116"/>
      <c r="BF658" s="123"/>
      <c r="BG658" s="123"/>
      <c r="BH658" s="123"/>
      <c r="BM658" s="115"/>
      <c r="BN658" s="115"/>
      <c r="BO658" s="115"/>
      <c r="BP658" s="115"/>
      <c r="BQ658" s="115"/>
      <c r="BR658" s="115"/>
      <c r="BS658" s="115"/>
      <c r="BT658" s="115"/>
      <c r="BU658" s="115"/>
      <c r="BV658" s="115"/>
      <c r="BW658" s="25"/>
      <c r="BX658" s="13"/>
      <c r="CA658" s="114"/>
    </row>
    <row r="659" spans="1:79" ht="20.100000000000001" customHeight="1" x14ac:dyDescent="0.4">
      <c r="A659" s="117"/>
      <c r="B659" s="123"/>
      <c r="C659" s="123"/>
      <c r="D659" s="123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  <c r="AK659" s="115"/>
      <c r="AL659" s="115"/>
      <c r="AM659" s="115"/>
      <c r="AN659" s="127"/>
      <c r="AO659" s="29"/>
      <c r="AS659" s="115"/>
      <c r="AT659" s="115"/>
      <c r="AU659" s="115"/>
      <c r="AV659" s="115"/>
      <c r="AW659" s="115"/>
      <c r="AX659" s="115"/>
      <c r="AY659" s="25"/>
      <c r="AZ659" s="13"/>
      <c r="BE659" s="116"/>
      <c r="BF659" s="123"/>
      <c r="BG659" s="123"/>
      <c r="BH659" s="123"/>
      <c r="BM659" s="115"/>
      <c r="BN659" s="115"/>
      <c r="BO659" s="115"/>
      <c r="BP659" s="115"/>
      <c r="BQ659" s="115"/>
      <c r="BR659" s="115"/>
      <c r="BS659" s="115"/>
      <c r="BT659" s="115"/>
      <c r="BU659" s="115"/>
      <c r="BV659" s="115"/>
      <c r="BW659" s="25"/>
      <c r="BX659" s="13"/>
      <c r="CA659" s="114"/>
    </row>
    <row r="660" spans="1:79" ht="20.100000000000001" customHeight="1" x14ac:dyDescent="0.4">
      <c r="A660" s="117"/>
      <c r="B660" s="123"/>
      <c r="C660" s="123"/>
      <c r="D660" s="123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  <c r="AK660" s="115"/>
      <c r="AL660" s="115"/>
      <c r="AM660" s="115"/>
      <c r="AN660" s="127"/>
      <c r="AO660" s="29"/>
      <c r="AS660" s="115"/>
      <c r="AT660" s="115"/>
      <c r="AU660" s="115"/>
      <c r="AV660" s="115"/>
      <c r="AW660" s="115"/>
      <c r="AX660" s="115"/>
      <c r="AY660" s="25"/>
      <c r="AZ660" s="13"/>
      <c r="BE660" s="116"/>
      <c r="BF660" s="123"/>
      <c r="BG660" s="123"/>
      <c r="BH660" s="123"/>
      <c r="BM660" s="115"/>
      <c r="BN660" s="115"/>
      <c r="BO660" s="115"/>
      <c r="BP660" s="115"/>
      <c r="BQ660" s="115"/>
      <c r="BR660" s="115"/>
      <c r="BS660" s="115"/>
      <c r="BT660" s="115"/>
      <c r="BU660" s="115"/>
      <c r="BV660" s="115"/>
      <c r="BW660" s="25"/>
      <c r="BX660" s="13"/>
      <c r="CA660" s="114"/>
    </row>
    <row r="661" spans="1:79" ht="20.100000000000001" customHeight="1" x14ac:dyDescent="0.4">
      <c r="A661" s="117"/>
      <c r="B661" s="123"/>
      <c r="C661" s="123"/>
      <c r="D661" s="123"/>
      <c r="AN661" s="127"/>
      <c r="AO661" s="29"/>
      <c r="AQ661" s="115"/>
      <c r="AR661" s="115"/>
      <c r="AS661" s="115"/>
      <c r="AT661" s="115"/>
      <c r="AU661" s="115"/>
      <c r="AV661" s="115"/>
      <c r="AW661" s="115"/>
      <c r="AX661" s="115"/>
      <c r="AY661" s="25">
        <v>45673</v>
      </c>
      <c r="AZ661" s="13" t="s">
        <v>148</v>
      </c>
      <c r="BE661" s="116"/>
      <c r="BF661" s="123"/>
      <c r="BG661" s="123"/>
      <c r="BH661" s="123"/>
      <c r="BM661" s="115"/>
      <c r="BN661" s="115"/>
      <c r="BO661" s="115"/>
      <c r="BP661" s="115"/>
      <c r="BQ661" s="115"/>
      <c r="BR661" s="115"/>
      <c r="BS661" s="115"/>
      <c r="BT661" s="115"/>
      <c r="BU661" s="115"/>
      <c r="BV661" s="115"/>
      <c r="BW661" s="25"/>
      <c r="BX661" s="13"/>
      <c r="CA661" s="114"/>
    </row>
    <row r="662" spans="1:79" ht="20.100000000000001" customHeight="1" x14ac:dyDescent="0.4">
      <c r="A662" s="117"/>
      <c r="B662" s="123"/>
      <c r="C662" s="123"/>
      <c r="D662" s="123"/>
      <c r="AG662" s="115"/>
      <c r="AH662" s="115"/>
      <c r="AI662" s="115"/>
      <c r="AJ662" s="115"/>
      <c r="AK662" s="115"/>
      <c r="AL662" s="115"/>
      <c r="AM662" s="115"/>
      <c r="AN662" s="29"/>
      <c r="AO662" s="29"/>
      <c r="AQ662" s="115"/>
      <c r="AR662" s="115"/>
      <c r="AS662" s="115"/>
      <c r="AT662" s="115"/>
      <c r="AU662" s="115"/>
      <c r="AV662" s="115"/>
      <c r="AW662" s="115"/>
      <c r="AX662" s="115"/>
      <c r="AY662" s="25"/>
      <c r="AZ662" s="13"/>
      <c r="BE662" s="116"/>
      <c r="BF662" s="123"/>
      <c r="BG662" s="123"/>
      <c r="BH662" s="123"/>
      <c r="BM662" s="115"/>
      <c r="BN662" s="115"/>
      <c r="BO662" s="115"/>
      <c r="BP662" s="115"/>
      <c r="BQ662" s="115"/>
      <c r="BR662" s="115"/>
      <c r="BS662" s="115"/>
      <c r="BT662" s="115"/>
      <c r="BU662" s="115"/>
      <c r="BV662" s="115"/>
      <c r="BW662" s="25"/>
      <c r="BX662" s="13"/>
      <c r="CA662" s="114"/>
    </row>
    <row r="663" spans="1:79" ht="20.100000000000001" customHeight="1" x14ac:dyDescent="0.4">
      <c r="A663" s="117"/>
      <c r="B663" s="123"/>
      <c r="C663" s="123"/>
      <c r="D663" s="123"/>
      <c r="AB663" s="115"/>
      <c r="AC663" s="115"/>
      <c r="AD663" s="115"/>
      <c r="AE663" s="115"/>
      <c r="AF663" s="115"/>
      <c r="AG663" s="115"/>
      <c r="AH663" s="115"/>
      <c r="AI663" s="115"/>
      <c r="AJ663" s="115"/>
      <c r="AK663" s="115"/>
      <c r="AL663" s="115"/>
      <c r="AM663" s="115"/>
      <c r="AN663" s="127"/>
      <c r="AO663" s="29"/>
      <c r="AQ663" s="115"/>
      <c r="AR663" s="115"/>
      <c r="AS663" s="115"/>
      <c r="AT663" s="115"/>
      <c r="AU663" s="115"/>
      <c r="AV663" s="115"/>
      <c r="AW663" s="115"/>
      <c r="AX663" s="115"/>
      <c r="AY663" s="25"/>
      <c r="AZ663" s="13"/>
      <c r="BE663" s="116"/>
      <c r="BF663" s="123"/>
      <c r="BG663" s="123"/>
      <c r="BH663" s="123"/>
      <c r="BM663" s="115"/>
      <c r="BN663" s="115"/>
      <c r="BO663" s="115"/>
      <c r="BP663" s="115"/>
      <c r="BQ663" s="115"/>
      <c r="BR663" s="115"/>
      <c r="BS663" s="115"/>
      <c r="BT663" s="115"/>
      <c r="BU663" s="115"/>
      <c r="BV663" s="115"/>
      <c r="BW663" s="25"/>
      <c r="BX663" s="13"/>
      <c r="CA663" s="114"/>
    </row>
    <row r="664" spans="1:79" ht="20.100000000000001" customHeight="1" x14ac:dyDescent="0.4">
      <c r="A664" s="117"/>
      <c r="B664" s="123"/>
      <c r="C664" s="123"/>
      <c r="D664" s="123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  <c r="AK664" s="115"/>
      <c r="AL664" s="115"/>
      <c r="AM664" s="115"/>
      <c r="AN664" s="127"/>
      <c r="AO664" s="29"/>
      <c r="AQ664" s="115"/>
      <c r="AR664" s="115"/>
      <c r="AS664" s="115"/>
      <c r="AT664" s="115"/>
      <c r="AU664" s="115"/>
      <c r="AV664" s="115"/>
      <c r="AW664" s="115"/>
      <c r="AX664" s="115"/>
      <c r="AY664" s="25"/>
      <c r="AZ664" s="13"/>
      <c r="BE664" s="116"/>
      <c r="BF664" s="123"/>
      <c r="BG664" s="123"/>
      <c r="BH664" s="123"/>
      <c r="BM664" s="115"/>
      <c r="BN664" s="115"/>
      <c r="BO664" s="115"/>
      <c r="BP664" s="115"/>
      <c r="BQ664" s="115"/>
      <c r="BR664" s="115"/>
      <c r="BS664" s="115"/>
      <c r="BT664" s="115"/>
      <c r="BU664" s="115"/>
      <c r="BV664" s="115"/>
      <c r="BW664" s="25"/>
      <c r="BX664" s="13"/>
      <c r="CA664" s="114"/>
    </row>
    <row r="665" spans="1:79" ht="20.100000000000001" customHeight="1" x14ac:dyDescent="0.4">
      <c r="A665" s="117"/>
      <c r="B665" s="123"/>
      <c r="C665" s="123"/>
      <c r="D665" s="123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  <c r="AK665" s="115"/>
      <c r="AL665" s="115"/>
      <c r="AM665" s="115"/>
      <c r="AN665" s="127"/>
      <c r="AO665" s="29"/>
      <c r="AQ665" s="115"/>
      <c r="AR665" s="115"/>
      <c r="AS665" s="115"/>
      <c r="AT665" s="115"/>
      <c r="AU665" s="115"/>
      <c r="AV665" s="115"/>
      <c r="AW665" s="115"/>
      <c r="AX665" s="115"/>
      <c r="AY665" s="25"/>
      <c r="AZ665" s="13"/>
      <c r="BE665" s="116"/>
      <c r="BF665" s="123"/>
      <c r="BG665" s="123"/>
      <c r="BH665" s="123"/>
      <c r="BM665" s="115"/>
      <c r="BN665" s="115"/>
      <c r="BO665" s="115"/>
      <c r="BP665" s="115"/>
      <c r="BQ665" s="115"/>
      <c r="BR665" s="115"/>
      <c r="BS665" s="115"/>
      <c r="BT665" s="115"/>
      <c r="BU665" s="115"/>
      <c r="BV665" s="115"/>
      <c r="BW665" s="25"/>
      <c r="BX665" s="13"/>
      <c r="CA665" s="114"/>
    </row>
    <row r="666" spans="1:79" ht="20.100000000000001" customHeight="1" x14ac:dyDescent="0.4">
      <c r="A666" s="117"/>
      <c r="B666" s="123"/>
      <c r="C666" s="123"/>
      <c r="D666" s="123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  <c r="AK666" s="115"/>
      <c r="AL666" s="115"/>
      <c r="AM666" s="115"/>
      <c r="AN666" s="127"/>
      <c r="AO666" s="29"/>
      <c r="AQ666" s="115"/>
      <c r="AR666" s="115"/>
      <c r="AS666" s="115"/>
      <c r="AT666" s="115"/>
      <c r="AU666" s="115"/>
      <c r="AV666" s="115"/>
      <c r="AW666" s="115"/>
      <c r="AX666" s="115"/>
      <c r="AY666" s="25"/>
      <c r="AZ666" s="13"/>
      <c r="BE666" s="116"/>
      <c r="BF666" s="123"/>
      <c r="BG666" s="123"/>
      <c r="BH666" s="123"/>
      <c r="BM666" s="115"/>
      <c r="BN666" s="115"/>
      <c r="BO666" s="115"/>
      <c r="BP666" s="115"/>
      <c r="BQ666" s="115"/>
      <c r="BR666" s="115"/>
      <c r="BS666" s="115"/>
      <c r="BT666" s="115"/>
      <c r="BU666" s="115"/>
      <c r="BV666" s="115"/>
      <c r="BW666" s="25"/>
      <c r="BX666" s="13"/>
      <c r="CA666" s="114"/>
    </row>
    <row r="667" spans="1:79" ht="20.100000000000001" customHeight="1" x14ac:dyDescent="0.4">
      <c r="A667" s="117"/>
      <c r="B667" s="123"/>
      <c r="C667" s="123"/>
      <c r="D667" s="123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  <c r="AK667" s="115"/>
      <c r="AL667" s="115"/>
      <c r="AM667" s="115"/>
      <c r="AN667" s="29"/>
      <c r="AO667" s="29"/>
      <c r="AQ667" s="115"/>
      <c r="AR667" s="115"/>
      <c r="AS667" s="115"/>
      <c r="AT667" s="115"/>
      <c r="AU667" s="115"/>
      <c r="AV667" s="115"/>
      <c r="AW667" s="115"/>
      <c r="AX667" s="115"/>
      <c r="AY667" s="25"/>
      <c r="AZ667" s="13"/>
      <c r="BE667" s="116"/>
      <c r="BF667" s="123"/>
      <c r="BG667" s="123"/>
      <c r="BH667" s="123"/>
      <c r="BM667" s="115"/>
      <c r="BN667" s="115"/>
      <c r="BO667" s="115"/>
      <c r="BP667" s="115"/>
      <c r="BQ667" s="115"/>
      <c r="BR667" s="115"/>
      <c r="BS667" s="115"/>
      <c r="BT667" s="115"/>
      <c r="BU667" s="115"/>
      <c r="BV667" s="115"/>
      <c r="BW667" s="25"/>
      <c r="BX667" s="13"/>
      <c r="CA667" s="114"/>
    </row>
    <row r="668" spans="1:79" ht="20.100000000000001" customHeight="1" x14ac:dyDescent="0.4">
      <c r="A668" s="117"/>
      <c r="B668" s="123"/>
      <c r="C668" s="123"/>
      <c r="D668" s="123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  <c r="AK668" s="115"/>
      <c r="AL668" s="115"/>
      <c r="AM668" s="115"/>
      <c r="AN668" s="127"/>
      <c r="AO668" s="29"/>
      <c r="AQ668" s="115"/>
      <c r="AR668" s="115"/>
      <c r="AS668" s="115"/>
      <c r="AT668" s="115"/>
      <c r="AU668" s="115"/>
      <c r="AV668" s="115"/>
      <c r="AW668" s="115"/>
      <c r="AX668" s="115"/>
      <c r="AY668" s="25"/>
      <c r="AZ668" s="13"/>
      <c r="BE668" s="116"/>
      <c r="BF668" s="123"/>
      <c r="BG668" s="123"/>
      <c r="BH668" s="123"/>
      <c r="BM668" s="115"/>
      <c r="BN668" s="115"/>
      <c r="BO668" s="115"/>
      <c r="BP668" s="115"/>
      <c r="BQ668" s="115"/>
      <c r="BR668" s="115"/>
      <c r="BS668" s="115"/>
      <c r="BT668" s="115"/>
      <c r="BU668" s="115"/>
      <c r="BV668" s="115"/>
      <c r="BW668" s="25"/>
      <c r="BX668" s="13"/>
      <c r="CA668" s="114"/>
    </row>
    <row r="669" spans="1:79" ht="20.100000000000001" customHeight="1" x14ac:dyDescent="0.4">
      <c r="A669" s="117"/>
      <c r="B669" s="123"/>
      <c r="C669" s="123"/>
      <c r="D669" s="123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  <c r="AK669" s="115"/>
      <c r="AL669" s="115"/>
      <c r="AM669" s="115"/>
      <c r="AN669" s="127"/>
      <c r="AO669" s="29"/>
      <c r="AQ669" s="115"/>
      <c r="AR669" s="115"/>
      <c r="AS669" s="115"/>
      <c r="AT669" s="115"/>
      <c r="AU669" s="115"/>
      <c r="AV669" s="115"/>
      <c r="AW669" s="115"/>
      <c r="AX669" s="115"/>
      <c r="AY669" s="25"/>
      <c r="AZ669" s="13"/>
      <c r="BE669" s="116"/>
      <c r="BF669" s="123"/>
      <c r="BG669" s="123"/>
      <c r="BH669" s="123"/>
      <c r="BM669" s="115"/>
      <c r="BN669" s="115"/>
      <c r="BO669" s="115"/>
      <c r="BP669" s="115"/>
      <c r="BQ669" s="115"/>
      <c r="BR669" s="115"/>
      <c r="BS669" s="115"/>
      <c r="BT669" s="115"/>
      <c r="BU669" s="115"/>
      <c r="BV669" s="115"/>
      <c r="BW669" s="25"/>
      <c r="BX669" s="13"/>
      <c r="CA669" s="114"/>
    </row>
    <row r="670" spans="1:79" ht="20.100000000000001" customHeight="1" x14ac:dyDescent="0.4">
      <c r="A670" s="117"/>
      <c r="B670" s="123"/>
      <c r="C670" s="123"/>
      <c r="D670" s="123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  <c r="AK670" s="115"/>
      <c r="AL670" s="115"/>
      <c r="AM670" s="115"/>
      <c r="AN670" s="127"/>
      <c r="AO670" s="29"/>
      <c r="AQ670" s="115"/>
      <c r="AR670" s="115"/>
      <c r="AS670" s="115"/>
      <c r="AT670" s="115"/>
      <c r="AU670" s="115"/>
      <c r="AV670" s="115"/>
      <c r="AW670" s="115"/>
      <c r="AX670" s="115"/>
      <c r="AY670" s="25"/>
      <c r="AZ670" s="13"/>
      <c r="BE670" s="116"/>
      <c r="BF670" s="123"/>
      <c r="BG670" s="123"/>
      <c r="BH670" s="123"/>
      <c r="BM670" s="115"/>
      <c r="BN670" s="115"/>
      <c r="BO670" s="115"/>
      <c r="BP670" s="115"/>
      <c r="BQ670" s="115"/>
      <c r="BR670" s="115"/>
      <c r="BS670" s="115"/>
      <c r="BT670" s="115"/>
      <c r="BU670" s="115"/>
      <c r="BV670" s="115"/>
      <c r="BW670" s="25"/>
      <c r="BX670" s="13"/>
      <c r="CA670" s="114"/>
    </row>
    <row r="671" spans="1:79" ht="20.100000000000001" customHeight="1" x14ac:dyDescent="0.4">
      <c r="A671" s="117"/>
      <c r="B671" s="123"/>
      <c r="C671" s="123"/>
      <c r="D671" s="123"/>
      <c r="AN671" s="127"/>
      <c r="AO671" s="29"/>
      <c r="AQ671" s="115"/>
      <c r="AR671" s="115"/>
      <c r="AS671" s="115"/>
      <c r="AT671" s="115"/>
      <c r="AU671" s="115"/>
      <c r="AV671" s="115"/>
      <c r="AW671" s="115"/>
      <c r="AX671" s="115"/>
      <c r="AY671" s="25">
        <v>45673</v>
      </c>
      <c r="AZ671" s="13" t="s">
        <v>147</v>
      </c>
      <c r="BE671" s="116"/>
      <c r="BF671" s="123"/>
      <c r="BG671" s="123"/>
      <c r="BH671" s="123"/>
      <c r="BM671" s="115"/>
      <c r="BN671" s="115"/>
      <c r="BO671" s="115"/>
      <c r="BP671" s="115"/>
      <c r="BQ671" s="115"/>
      <c r="BR671" s="115"/>
      <c r="BS671" s="115"/>
      <c r="BT671" s="115"/>
      <c r="BU671" s="115"/>
      <c r="BV671" s="115"/>
      <c r="BW671" s="25"/>
      <c r="BX671" s="13"/>
      <c r="CA671" s="114"/>
    </row>
    <row r="672" spans="1:79" ht="20.100000000000001" customHeight="1" x14ac:dyDescent="0.4">
      <c r="A672" s="117"/>
      <c r="B672" s="123"/>
      <c r="C672" s="123"/>
      <c r="D672" s="123"/>
      <c r="AG672" s="115"/>
      <c r="AH672" s="115"/>
      <c r="AI672" s="115"/>
      <c r="AJ672" s="115"/>
      <c r="AK672" s="115"/>
      <c r="AL672" s="115"/>
      <c r="AM672" s="115"/>
      <c r="AN672" s="29"/>
      <c r="AO672" s="29"/>
      <c r="AQ672" s="115"/>
      <c r="AR672" s="115"/>
      <c r="AS672" s="115"/>
      <c r="AT672" s="115"/>
      <c r="AU672" s="115"/>
      <c r="AV672" s="115"/>
      <c r="AW672" s="115"/>
      <c r="AX672" s="115"/>
      <c r="AY672" s="25"/>
      <c r="AZ672" s="13"/>
      <c r="BE672" s="116"/>
      <c r="BF672" s="123"/>
      <c r="BG672" s="123"/>
      <c r="BH672" s="123"/>
      <c r="BM672" s="115"/>
      <c r="BN672" s="115"/>
      <c r="BO672" s="115"/>
      <c r="BP672" s="115"/>
      <c r="BQ672" s="115"/>
      <c r="BR672" s="115"/>
      <c r="BS672" s="115"/>
      <c r="BT672" s="115"/>
      <c r="BU672" s="115"/>
      <c r="BV672" s="115"/>
      <c r="BW672" s="25"/>
      <c r="BX672" s="13"/>
      <c r="CA672" s="114"/>
    </row>
    <row r="673" spans="1:79" ht="20.100000000000001" customHeight="1" x14ac:dyDescent="0.4">
      <c r="A673" s="117"/>
      <c r="B673" s="123"/>
      <c r="C673" s="123"/>
      <c r="D673" s="123"/>
      <c r="AN673" s="127"/>
      <c r="AO673" s="29"/>
      <c r="AQ673" s="115"/>
      <c r="AR673" s="115"/>
      <c r="AS673" s="115"/>
      <c r="AT673" s="115"/>
      <c r="AU673" s="115"/>
      <c r="AV673" s="115"/>
      <c r="AW673" s="115"/>
      <c r="AX673" s="115"/>
      <c r="AY673" s="25"/>
      <c r="AZ673" s="13"/>
      <c r="BE673" s="116"/>
      <c r="BF673" s="123"/>
      <c r="BG673" s="123"/>
      <c r="BH673" s="123"/>
      <c r="BM673" s="115"/>
      <c r="BN673" s="115"/>
      <c r="BO673" s="115"/>
      <c r="BP673" s="115"/>
      <c r="BQ673" s="115"/>
      <c r="BR673" s="115"/>
      <c r="BS673" s="115"/>
      <c r="BT673" s="115"/>
      <c r="BU673" s="115"/>
      <c r="BV673" s="115"/>
      <c r="BW673" s="25"/>
      <c r="BX673" s="13"/>
      <c r="CA673" s="114"/>
    </row>
    <row r="674" spans="1:79" ht="20.100000000000001" customHeight="1" x14ac:dyDescent="0.4">
      <c r="A674" s="117"/>
      <c r="B674" s="123"/>
      <c r="C674" s="123"/>
      <c r="D674" s="123"/>
      <c r="AG674" s="115"/>
      <c r="AH674" s="115"/>
      <c r="AI674" s="115"/>
      <c r="AJ674" s="115"/>
      <c r="AK674" s="115"/>
      <c r="AL674" s="115"/>
      <c r="AM674" s="115"/>
      <c r="AN674" s="29"/>
      <c r="AO674" s="29"/>
      <c r="AQ674" s="115"/>
      <c r="AR674" s="115"/>
      <c r="AS674" s="115"/>
      <c r="AT674" s="115"/>
      <c r="AU674" s="115"/>
      <c r="AV674" s="115"/>
      <c r="AW674" s="115"/>
      <c r="AX674" s="115"/>
      <c r="AY674" s="25"/>
      <c r="AZ674" s="13"/>
      <c r="BE674" s="116"/>
      <c r="BF674" s="123"/>
      <c r="BG674" s="123"/>
      <c r="BH674" s="123"/>
      <c r="BM674" s="115"/>
      <c r="BN674" s="115"/>
      <c r="BO674" s="115"/>
      <c r="BP674" s="115"/>
      <c r="BQ674" s="115"/>
      <c r="BR674" s="115"/>
      <c r="BS674" s="115"/>
      <c r="BT674" s="115"/>
      <c r="BU674" s="115"/>
      <c r="BV674" s="115"/>
      <c r="BW674" s="25"/>
      <c r="BX674" s="13"/>
      <c r="CA674" s="114"/>
    </row>
    <row r="675" spans="1:79" ht="20.100000000000001" customHeight="1" x14ac:dyDescent="0.4">
      <c r="A675" s="117"/>
      <c r="B675" s="123"/>
      <c r="C675" s="123"/>
      <c r="D675" s="123"/>
      <c r="AB675" s="115"/>
      <c r="AC675" s="115"/>
      <c r="AD675" s="115"/>
      <c r="AE675" s="115"/>
      <c r="AF675" s="115"/>
      <c r="AG675" s="115"/>
      <c r="AH675" s="115"/>
      <c r="AI675" s="115"/>
      <c r="AJ675" s="115"/>
      <c r="AK675" s="115"/>
      <c r="AL675" s="115"/>
      <c r="AM675" s="115"/>
      <c r="AN675" s="127"/>
      <c r="AO675" s="29"/>
      <c r="AQ675" s="115"/>
      <c r="AR675" s="115"/>
      <c r="AS675" s="115"/>
      <c r="AT675" s="115"/>
      <c r="AU675" s="115"/>
      <c r="AV675" s="115"/>
      <c r="AW675" s="115"/>
      <c r="AX675" s="115"/>
      <c r="AY675" s="25"/>
      <c r="AZ675" s="13"/>
      <c r="BE675" s="116"/>
      <c r="BF675" s="123"/>
      <c r="BG675" s="123"/>
      <c r="BH675" s="123"/>
      <c r="BM675" s="115"/>
      <c r="BN675" s="115"/>
      <c r="BO675" s="115"/>
      <c r="BP675" s="115"/>
      <c r="BQ675" s="115"/>
      <c r="BR675" s="115"/>
      <c r="BS675" s="115"/>
      <c r="BT675" s="115"/>
      <c r="BU675" s="115"/>
      <c r="BV675" s="115"/>
      <c r="BW675" s="25"/>
      <c r="BX675" s="13"/>
      <c r="CA675" s="114"/>
    </row>
    <row r="676" spans="1:79" ht="20.100000000000001" customHeight="1" x14ac:dyDescent="0.4">
      <c r="A676" s="117"/>
      <c r="B676" s="123"/>
      <c r="C676" s="123"/>
      <c r="D676" s="123"/>
      <c r="AB676" s="115"/>
      <c r="AC676" s="115"/>
      <c r="AD676" s="115"/>
      <c r="AE676" s="115"/>
      <c r="AF676" s="115"/>
      <c r="AG676" s="115"/>
      <c r="AH676" s="115"/>
      <c r="AI676" s="115"/>
      <c r="AJ676" s="115"/>
      <c r="AK676" s="115"/>
      <c r="AL676" s="115"/>
      <c r="AM676" s="115"/>
      <c r="AN676" s="29"/>
      <c r="AO676" s="29"/>
      <c r="AQ676" s="115"/>
      <c r="AR676" s="115"/>
      <c r="AS676" s="115"/>
      <c r="AT676" s="115"/>
      <c r="AU676" s="115"/>
      <c r="AV676" s="115"/>
      <c r="AW676" s="115"/>
      <c r="AX676" s="115"/>
      <c r="AY676" s="25"/>
      <c r="AZ676" s="13"/>
      <c r="BE676" s="116"/>
      <c r="BF676" s="123"/>
      <c r="BG676" s="123"/>
      <c r="BH676" s="123"/>
      <c r="BM676" s="115"/>
      <c r="BN676" s="115"/>
      <c r="BO676" s="115"/>
      <c r="BP676" s="115"/>
      <c r="BQ676" s="115"/>
      <c r="BR676" s="115"/>
      <c r="BS676" s="115"/>
      <c r="BT676" s="115"/>
      <c r="BU676" s="115"/>
      <c r="BV676" s="115"/>
      <c r="BW676" s="25"/>
      <c r="BX676" s="13"/>
      <c r="CA676" s="114"/>
    </row>
    <row r="677" spans="1:79" ht="20.100000000000001" customHeight="1" x14ac:dyDescent="0.4">
      <c r="A677" s="117"/>
      <c r="B677" s="123"/>
      <c r="C677" s="123"/>
      <c r="D677" s="123"/>
      <c r="AB677" s="115"/>
      <c r="AC677" s="115"/>
      <c r="AD677" s="115"/>
      <c r="AE677" s="115"/>
      <c r="AF677" s="115"/>
      <c r="AG677" s="115"/>
      <c r="AH677" s="115"/>
      <c r="AI677" s="115"/>
      <c r="AJ677" s="115"/>
      <c r="AK677" s="115"/>
      <c r="AL677" s="115"/>
      <c r="AM677" s="115"/>
      <c r="AN677" s="29"/>
      <c r="AO677" s="29"/>
      <c r="AQ677" s="115"/>
      <c r="AR677" s="115"/>
      <c r="AS677" s="115"/>
      <c r="AT677" s="115"/>
      <c r="AU677" s="115"/>
      <c r="AV677" s="115"/>
      <c r="AW677" s="115"/>
      <c r="AX677" s="115"/>
      <c r="AY677" s="25"/>
      <c r="AZ677" s="13"/>
      <c r="BE677" s="116"/>
      <c r="BF677" s="123"/>
      <c r="BG677" s="123"/>
      <c r="BH677" s="123"/>
      <c r="BM677" s="115"/>
      <c r="BN677" s="115"/>
      <c r="BO677" s="115"/>
      <c r="BP677" s="115"/>
      <c r="BQ677" s="115"/>
      <c r="BR677" s="115"/>
      <c r="BS677" s="115"/>
      <c r="BT677" s="115"/>
      <c r="BU677" s="115"/>
      <c r="BV677" s="115"/>
      <c r="BW677" s="25"/>
      <c r="BX677" s="13"/>
      <c r="CA677" s="114"/>
    </row>
    <row r="678" spans="1:79" ht="20.100000000000001" customHeight="1" x14ac:dyDescent="0.4">
      <c r="A678" s="117"/>
      <c r="B678" s="123"/>
      <c r="C678" s="123"/>
      <c r="D678" s="123"/>
      <c r="AB678" s="115"/>
      <c r="AC678" s="115"/>
      <c r="AD678" s="115"/>
      <c r="AE678" s="115"/>
      <c r="AF678" s="115"/>
      <c r="AG678" s="115"/>
      <c r="AH678" s="115"/>
      <c r="AI678" s="115"/>
      <c r="AJ678" s="115"/>
      <c r="AK678" s="115"/>
      <c r="AL678" s="115"/>
      <c r="AM678" s="115"/>
      <c r="AN678" s="29"/>
      <c r="AO678" s="29"/>
      <c r="AQ678" s="115"/>
      <c r="AR678" s="115"/>
      <c r="AS678" s="115"/>
      <c r="AT678" s="115"/>
      <c r="AU678" s="115"/>
      <c r="AV678" s="115"/>
      <c r="AW678" s="115"/>
      <c r="AX678" s="115"/>
      <c r="AY678" s="25"/>
      <c r="AZ678" s="13"/>
      <c r="BE678" s="116"/>
      <c r="BF678" s="123"/>
      <c r="BG678" s="123"/>
      <c r="BH678" s="123"/>
      <c r="BM678" s="115"/>
      <c r="BN678" s="115"/>
      <c r="BO678" s="115"/>
      <c r="BP678" s="115"/>
      <c r="BQ678" s="115"/>
      <c r="BR678" s="115"/>
      <c r="BS678" s="115"/>
      <c r="BT678" s="115"/>
      <c r="BU678" s="115"/>
      <c r="BV678" s="115"/>
      <c r="BW678" s="25"/>
      <c r="BX678" s="13"/>
      <c r="CA678" s="114"/>
    </row>
    <row r="679" spans="1:79" ht="20.100000000000001" customHeight="1" x14ac:dyDescent="0.4">
      <c r="A679" s="117"/>
      <c r="B679" s="123"/>
      <c r="C679" s="123"/>
      <c r="D679" s="123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  <c r="AK679" s="115"/>
      <c r="AL679" s="115"/>
      <c r="AM679" s="115"/>
      <c r="AN679" s="127"/>
      <c r="AO679" s="29"/>
      <c r="AQ679" s="115"/>
      <c r="AR679" s="115"/>
      <c r="AS679" s="115"/>
      <c r="AT679" s="115"/>
      <c r="AU679" s="115"/>
      <c r="AV679" s="115"/>
      <c r="AW679" s="115"/>
      <c r="AX679" s="115"/>
      <c r="AY679" s="25"/>
      <c r="AZ679" s="13"/>
      <c r="BE679" s="116"/>
      <c r="BF679" s="123"/>
      <c r="BG679" s="123"/>
      <c r="BH679" s="123"/>
      <c r="BM679" s="115"/>
      <c r="BN679" s="115"/>
      <c r="BO679" s="115"/>
      <c r="BP679" s="115"/>
      <c r="BQ679" s="115"/>
      <c r="BR679" s="115"/>
      <c r="BS679" s="115"/>
      <c r="BT679" s="115"/>
      <c r="BU679" s="115"/>
      <c r="BV679" s="115"/>
      <c r="BW679" s="25"/>
      <c r="BX679" s="13"/>
      <c r="CA679" s="114"/>
    </row>
    <row r="680" spans="1:79" ht="20.100000000000001" customHeight="1" x14ac:dyDescent="0.4">
      <c r="A680" s="117"/>
      <c r="B680" s="123"/>
      <c r="C680" s="123"/>
      <c r="D680" s="123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  <c r="AK680" s="115"/>
      <c r="AL680" s="115"/>
      <c r="AM680" s="115"/>
      <c r="AN680" s="29"/>
      <c r="AO680" s="29"/>
      <c r="AQ680" s="115"/>
      <c r="AR680" s="115"/>
      <c r="AS680" s="115"/>
      <c r="AT680" s="115"/>
      <c r="AU680" s="115"/>
      <c r="AV680" s="115"/>
      <c r="AW680" s="115"/>
      <c r="AX680" s="115"/>
      <c r="AY680" s="25"/>
      <c r="AZ680" s="13"/>
      <c r="BE680" s="116"/>
      <c r="BF680" s="123"/>
      <c r="BG680" s="123"/>
      <c r="BH680" s="123"/>
      <c r="BM680" s="115"/>
      <c r="BN680" s="115"/>
      <c r="BO680" s="115"/>
      <c r="BP680" s="115"/>
      <c r="BQ680" s="115"/>
      <c r="BR680" s="115"/>
      <c r="BS680" s="115"/>
      <c r="BT680" s="115"/>
      <c r="BU680" s="115"/>
      <c r="BV680" s="115"/>
      <c r="BW680" s="25"/>
      <c r="BX680" s="13"/>
      <c r="CA680" s="114"/>
    </row>
    <row r="681" spans="1:79" ht="20.100000000000001" customHeight="1" x14ac:dyDescent="0.4">
      <c r="A681" s="117"/>
      <c r="B681" s="123"/>
      <c r="C681" s="123"/>
      <c r="D681" s="123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  <c r="AK681" s="115"/>
      <c r="AL681" s="115"/>
      <c r="AM681" s="115"/>
      <c r="AN681" s="127"/>
      <c r="AO681" s="29"/>
      <c r="AQ681" s="115"/>
      <c r="AR681" s="115"/>
      <c r="AS681" s="115"/>
      <c r="AT681" s="115"/>
      <c r="AU681" s="115"/>
      <c r="AV681" s="115"/>
      <c r="AW681" s="115"/>
      <c r="AX681" s="115"/>
      <c r="AY681" s="25"/>
      <c r="AZ681" s="13"/>
      <c r="BE681" s="116"/>
      <c r="BF681" s="123"/>
      <c r="BG681" s="123"/>
      <c r="BH681" s="123"/>
      <c r="BM681" s="115"/>
      <c r="BN681" s="115"/>
      <c r="BO681" s="115"/>
      <c r="BP681" s="115"/>
      <c r="BQ681" s="115"/>
      <c r="BR681" s="115"/>
      <c r="BS681" s="115"/>
      <c r="BT681" s="115"/>
      <c r="BU681" s="115"/>
      <c r="BV681" s="115"/>
      <c r="BW681" s="25"/>
      <c r="BX681" s="13"/>
      <c r="CA681" s="114"/>
    </row>
    <row r="682" spans="1:79" ht="20.100000000000001" customHeight="1" x14ac:dyDescent="0.4">
      <c r="A682" s="117"/>
      <c r="B682" s="123"/>
      <c r="C682" s="123"/>
      <c r="D682" s="123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  <c r="AK682" s="115"/>
      <c r="AL682" s="115"/>
      <c r="AM682" s="115"/>
      <c r="AN682" s="127"/>
      <c r="AO682" s="29"/>
      <c r="AQ682" s="115"/>
      <c r="AR682" s="115"/>
      <c r="AS682" s="115"/>
      <c r="AT682" s="115"/>
      <c r="AU682" s="115"/>
      <c r="AV682" s="115"/>
      <c r="AW682" s="115"/>
      <c r="AX682" s="115"/>
      <c r="AY682" s="25"/>
      <c r="AZ682" s="13"/>
      <c r="BE682" s="116"/>
      <c r="BF682" s="123"/>
      <c r="BG682" s="123"/>
      <c r="BH682" s="123"/>
      <c r="BM682" s="115"/>
      <c r="BN682" s="115"/>
      <c r="BO682" s="115"/>
      <c r="BP682" s="115"/>
      <c r="BQ682" s="115"/>
      <c r="BR682" s="115"/>
      <c r="BS682" s="115"/>
      <c r="BT682" s="115"/>
      <c r="BU682" s="115"/>
      <c r="BV682" s="115"/>
      <c r="BW682" s="25"/>
      <c r="BX682" s="13"/>
      <c r="CA682" s="114"/>
    </row>
    <row r="683" spans="1:79" ht="20.100000000000001" customHeight="1" x14ac:dyDescent="0.4">
      <c r="A683" s="117"/>
      <c r="B683" s="123"/>
      <c r="C683" s="123"/>
      <c r="D683" s="123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  <c r="AK683" s="115"/>
      <c r="AL683" s="115"/>
      <c r="AM683" s="115"/>
      <c r="AN683" s="127"/>
      <c r="AO683" s="29"/>
      <c r="AQ683" s="115"/>
      <c r="AR683" s="115"/>
      <c r="AS683" s="115"/>
      <c r="AT683" s="115"/>
      <c r="AU683" s="115"/>
      <c r="AV683" s="115"/>
      <c r="AW683" s="115"/>
      <c r="AX683" s="115"/>
      <c r="AY683" s="25"/>
      <c r="AZ683" s="13"/>
      <c r="BE683" s="116"/>
      <c r="BF683" s="123"/>
      <c r="BG683" s="123"/>
      <c r="BH683" s="123"/>
      <c r="BM683" s="115"/>
      <c r="BN683" s="115"/>
      <c r="BO683" s="115"/>
      <c r="BP683" s="115"/>
      <c r="BQ683" s="115"/>
      <c r="BR683" s="115"/>
      <c r="BS683" s="115"/>
      <c r="BT683" s="115"/>
      <c r="BU683" s="115"/>
      <c r="BV683" s="115"/>
      <c r="BW683" s="25"/>
      <c r="BX683" s="13"/>
      <c r="CA683" s="114"/>
    </row>
    <row r="684" spans="1:79" ht="20.100000000000001" customHeight="1" x14ac:dyDescent="0.4">
      <c r="A684" s="117"/>
      <c r="B684" s="123"/>
      <c r="C684" s="123"/>
      <c r="D684" s="123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  <c r="AK684" s="115"/>
      <c r="AL684" s="115"/>
      <c r="AM684" s="115"/>
      <c r="AN684" s="127"/>
      <c r="AO684" s="29"/>
      <c r="AQ684" s="115"/>
      <c r="AR684" s="115"/>
      <c r="AS684" s="115"/>
      <c r="AT684" s="115"/>
      <c r="AU684" s="115"/>
      <c r="AV684" s="115"/>
      <c r="AW684" s="115"/>
      <c r="AX684" s="115"/>
      <c r="AY684" s="25"/>
      <c r="AZ684" s="13"/>
      <c r="BE684" s="116"/>
      <c r="BF684" s="123"/>
      <c r="BG684" s="123"/>
      <c r="BH684" s="123"/>
      <c r="BM684" s="115"/>
      <c r="BN684" s="115"/>
      <c r="BO684" s="115"/>
      <c r="BP684" s="115"/>
      <c r="BQ684" s="115"/>
      <c r="BR684" s="115"/>
      <c r="BS684" s="115"/>
      <c r="BT684" s="115"/>
      <c r="BU684" s="115"/>
      <c r="BV684" s="115"/>
      <c r="BW684" s="25"/>
      <c r="BX684" s="13"/>
      <c r="CA684" s="114"/>
    </row>
    <row r="685" spans="1:79" ht="20.100000000000001" customHeight="1" x14ac:dyDescent="0.4">
      <c r="A685" s="117"/>
      <c r="B685" s="123"/>
      <c r="C685" s="123"/>
      <c r="D685" s="123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  <c r="AK685" s="115"/>
      <c r="AL685" s="115"/>
      <c r="AM685" s="115"/>
      <c r="AN685" s="127"/>
      <c r="AO685" s="29"/>
      <c r="AQ685" s="115"/>
      <c r="AR685" s="115"/>
      <c r="AS685" s="115"/>
      <c r="AT685" s="115"/>
      <c r="AU685" s="115"/>
      <c r="AV685" s="115"/>
      <c r="AW685" s="115"/>
      <c r="AX685" s="115"/>
      <c r="AY685" s="25"/>
      <c r="AZ685" s="13"/>
      <c r="BE685" s="116"/>
      <c r="BF685" s="123"/>
      <c r="BG685" s="123"/>
      <c r="BH685" s="123"/>
      <c r="BM685" s="115"/>
      <c r="BN685" s="115"/>
      <c r="BO685" s="115"/>
      <c r="BP685" s="115"/>
      <c r="BQ685" s="115"/>
      <c r="BR685" s="115"/>
      <c r="BS685" s="115"/>
      <c r="BT685" s="115"/>
      <c r="BU685" s="115"/>
      <c r="BV685" s="115"/>
      <c r="BW685" s="25"/>
      <c r="BX685" s="13"/>
      <c r="CA685" s="114"/>
    </row>
    <row r="686" spans="1:79" ht="20.100000000000001" customHeight="1" x14ac:dyDescent="0.4">
      <c r="A686" s="117"/>
      <c r="B686" s="123"/>
      <c r="C686" s="123"/>
      <c r="D686" s="123"/>
      <c r="AN686" s="127"/>
      <c r="AO686" s="29"/>
      <c r="AQ686" s="115"/>
      <c r="AR686" s="115"/>
      <c r="AS686" s="115"/>
      <c r="AT686" s="115"/>
      <c r="AU686" s="115"/>
      <c r="AV686" s="115"/>
      <c r="AW686" s="115"/>
      <c r="AX686" s="115"/>
      <c r="AY686" s="25">
        <v>45673</v>
      </c>
      <c r="AZ686" s="13" t="s">
        <v>147</v>
      </c>
      <c r="BE686" s="116"/>
      <c r="BF686" s="123"/>
      <c r="BG686" s="123"/>
      <c r="BH686" s="123"/>
      <c r="BM686" s="115"/>
      <c r="BN686" s="115"/>
      <c r="BO686" s="115"/>
      <c r="BP686" s="115"/>
      <c r="BQ686" s="115"/>
      <c r="BR686" s="115"/>
      <c r="BS686" s="115"/>
      <c r="BT686" s="115"/>
      <c r="BU686" s="115"/>
      <c r="BV686" s="115"/>
      <c r="BW686" s="25"/>
      <c r="BX686" s="13"/>
      <c r="CA686" s="114"/>
    </row>
    <row r="687" spans="1:79" ht="20.100000000000001" customHeight="1" x14ac:dyDescent="0.4">
      <c r="A687" s="117"/>
      <c r="B687" s="123"/>
      <c r="C687" s="123"/>
      <c r="D687" s="123"/>
      <c r="AN687" s="127"/>
      <c r="AO687" s="29"/>
      <c r="AQ687" s="115"/>
      <c r="AR687" s="115"/>
      <c r="AS687" s="115"/>
      <c r="AT687" s="115"/>
      <c r="AU687" s="115"/>
      <c r="AV687" s="115"/>
      <c r="AW687" s="115"/>
      <c r="AX687" s="115"/>
      <c r="AY687" s="25">
        <v>45673</v>
      </c>
      <c r="AZ687" s="13" t="s">
        <v>147</v>
      </c>
      <c r="BE687" s="116"/>
      <c r="BF687" s="123"/>
      <c r="BG687" s="123"/>
      <c r="BH687" s="123"/>
      <c r="BM687" s="115"/>
      <c r="BN687" s="115"/>
      <c r="BO687" s="115"/>
      <c r="BP687" s="115"/>
      <c r="BQ687" s="115"/>
      <c r="BR687" s="115"/>
      <c r="BS687" s="115"/>
      <c r="BT687" s="115"/>
      <c r="BU687" s="115"/>
      <c r="BV687" s="115"/>
      <c r="BW687" s="25"/>
      <c r="BX687" s="13"/>
      <c r="CA687" s="114"/>
    </row>
    <row r="688" spans="1:79" ht="20.100000000000001" customHeight="1" x14ac:dyDescent="0.4">
      <c r="A688" s="117"/>
      <c r="B688" s="123"/>
      <c r="C688" s="123"/>
      <c r="D688" s="123"/>
      <c r="AN688" s="127"/>
      <c r="AO688" s="29"/>
      <c r="AQ688" s="115"/>
      <c r="AR688" s="115"/>
      <c r="AS688" s="115"/>
      <c r="AT688" s="115"/>
      <c r="AU688" s="115"/>
      <c r="AV688" s="115"/>
      <c r="AW688" s="115"/>
      <c r="AX688" s="115"/>
      <c r="AY688" s="25">
        <v>45675</v>
      </c>
      <c r="AZ688" s="13" t="s">
        <v>147</v>
      </c>
      <c r="BE688" s="116"/>
      <c r="BF688" s="123"/>
      <c r="BG688" s="123"/>
      <c r="BH688" s="123"/>
      <c r="BM688" s="115"/>
      <c r="BN688" s="115"/>
      <c r="BO688" s="115"/>
      <c r="BP688" s="115"/>
      <c r="BQ688" s="115"/>
      <c r="BR688" s="115"/>
      <c r="BS688" s="115"/>
      <c r="BT688" s="115"/>
      <c r="BU688" s="115"/>
      <c r="BV688" s="115"/>
      <c r="BW688" s="25"/>
      <c r="BX688" s="13"/>
      <c r="CA688" s="114"/>
    </row>
    <row r="689" spans="1:79" ht="20.100000000000001" customHeight="1" x14ac:dyDescent="0.4">
      <c r="A689" s="117"/>
      <c r="B689" s="123"/>
      <c r="C689" s="123"/>
      <c r="D689" s="123"/>
      <c r="AN689" s="127"/>
      <c r="AO689" s="29"/>
      <c r="AQ689" s="115"/>
      <c r="AR689" s="115"/>
      <c r="AS689" s="115"/>
      <c r="AT689" s="115"/>
      <c r="AU689" s="115"/>
      <c r="AV689" s="115"/>
      <c r="AW689" s="115"/>
      <c r="AX689" s="115"/>
      <c r="AY689" s="25"/>
      <c r="AZ689" s="13"/>
      <c r="BE689" s="116"/>
      <c r="BF689" s="123"/>
      <c r="BG689" s="123"/>
      <c r="BH689" s="123"/>
      <c r="BM689" s="115"/>
      <c r="BN689" s="115"/>
      <c r="BO689" s="115"/>
      <c r="BP689" s="115"/>
      <c r="BQ689" s="115"/>
      <c r="BR689" s="115"/>
      <c r="BS689" s="115"/>
      <c r="BT689" s="115"/>
      <c r="BU689" s="115"/>
      <c r="BV689" s="115"/>
      <c r="BW689" s="25"/>
      <c r="BX689" s="13"/>
      <c r="CA689" s="114"/>
    </row>
    <row r="690" spans="1:79" ht="20.100000000000001" customHeight="1" x14ac:dyDescent="0.4">
      <c r="A690" s="117"/>
      <c r="B690" s="123"/>
      <c r="C690" s="123"/>
      <c r="D690" s="123"/>
      <c r="AE690" s="115"/>
      <c r="AF690" s="115"/>
      <c r="AG690" s="115"/>
      <c r="AH690" s="115"/>
      <c r="AI690" s="115"/>
      <c r="AJ690" s="115"/>
      <c r="AK690" s="115"/>
      <c r="AL690" s="115"/>
      <c r="AM690" s="115"/>
      <c r="AN690" s="127"/>
      <c r="AO690" s="29"/>
      <c r="AQ690" s="115"/>
      <c r="AR690" s="115"/>
      <c r="AS690" s="115"/>
      <c r="AT690" s="115"/>
      <c r="AU690" s="115"/>
      <c r="AV690" s="115"/>
      <c r="AW690" s="115"/>
      <c r="AX690" s="115"/>
      <c r="AY690" s="25"/>
      <c r="AZ690" s="13"/>
      <c r="BE690" s="116"/>
      <c r="BF690" s="123"/>
      <c r="BG690" s="123"/>
      <c r="BH690" s="123"/>
      <c r="BM690" s="115"/>
      <c r="BN690" s="115"/>
      <c r="BO690" s="115"/>
      <c r="BP690" s="115"/>
      <c r="BQ690" s="115"/>
      <c r="BR690" s="115"/>
      <c r="BS690" s="115"/>
      <c r="BT690" s="115"/>
      <c r="BU690" s="115"/>
      <c r="BV690" s="115"/>
      <c r="BW690" s="25"/>
      <c r="BX690" s="13"/>
      <c r="CA690" s="114"/>
    </row>
    <row r="691" spans="1:79" ht="20.100000000000001" customHeight="1" x14ac:dyDescent="0.4">
      <c r="A691" s="117"/>
      <c r="B691" s="123"/>
      <c r="C691" s="123"/>
      <c r="D691" s="123"/>
      <c r="AN691" s="127"/>
      <c r="AO691" s="29"/>
      <c r="AQ691" s="115"/>
      <c r="AR691" s="115"/>
      <c r="AS691" s="115"/>
      <c r="AT691" s="115"/>
      <c r="AU691" s="115"/>
      <c r="AV691" s="115"/>
      <c r="AW691" s="115"/>
      <c r="AX691" s="115"/>
      <c r="AY691" s="25">
        <v>45675</v>
      </c>
      <c r="AZ691" s="15" t="s">
        <v>147</v>
      </c>
      <c r="BE691" s="116"/>
      <c r="BF691" s="123"/>
      <c r="BG691" s="123"/>
      <c r="BH691" s="123"/>
      <c r="BM691" s="115"/>
      <c r="BN691" s="115"/>
      <c r="BO691" s="115"/>
      <c r="BP691" s="115"/>
      <c r="BQ691" s="115"/>
      <c r="BR691" s="115"/>
      <c r="BS691" s="115"/>
      <c r="BT691" s="115"/>
      <c r="BU691" s="115"/>
      <c r="BV691" s="115"/>
      <c r="BW691" s="25"/>
      <c r="BX691" s="13"/>
      <c r="CA691" s="114"/>
    </row>
    <row r="692" spans="1:79" ht="20.100000000000001" customHeight="1" x14ac:dyDescent="0.4">
      <c r="A692" s="117"/>
      <c r="B692" s="123"/>
      <c r="C692" s="123"/>
      <c r="D692" s="123"/>
      <c r="AN692" s="127"/>
      <c r="AO692" s="29"/>
      <c r="AQ692" s="115"/>
      <c r="AR692" s="115"/>
      <c r="AS692" s="115"/>
      <c r="AT692" s="115"/>
      <c r="AU692" s="115"/>
      <c r="AV692" s="115"/>
      <c r="AW692" s="115"/>
      <c r="AX692" s="115"/>
      <c r="AY692" s="25"/>
      <c r="AZ692" s="13"/>
      <c r="BE692" s="116"/>
      <c r="BF692" s="123"/>
      <c r="BG692" s="123"/>
      <c r="BH692" s="123"/>
      <c r="BM692" s="115"/>
      <c r="BN692" s="115"/>
      <c r="BO692" s="115"/>
      <c r="BP692" s="115"/>
      <c r="BQ692" s="115"/>
      <c r="BR692" s="115"/>
      <c r="BS692" s="115"/>
      <c r="BT692" s="115"/>
      <c r="BU692" s="115"/>
      <c r="BV692" s="115"/>
      <c r="BW692" s="25"/>
      <c r="BX692" s="13"/>
      <c r="CA692" s="114"/>
    </row>
    <row r="693" spans="1:79" ht="20.100000000000001" customHeight="1" x14ac:dyDescent="0.4">
      <c r="A693" s="117"/>
      <c r="B693" s="123"/>
      <c r="C693" s="123"/>
      <c r="D693" s="123"/>
      <c r="AN693" s="127"/>
      <c r="AO693" s="29"/>
      <c r="AQ693" s="115"/>
      <c r="AR693" s="115"/>
      <c r="AS693" s="115"/>
      <c r="AT693" s="115"/>
      <c r="AU693" s="115"/>
      <c r="AV693" s="115"/>
      <c r="AW693" s="115"/>
      <c r="AX693" s="115"/>
      <c r="AY693" s="25">
        <v>45675</v>
      </c>
      <c r="AZ693" s="13" t="s">
        <v>147</v>
      </c>
      <c r="BE693" s="116"/>
      <c r="BF693" s="123"/>
      <c r="BG693" s="123"/>
      <c r="BH693" s="123"/>
      <c r="BM693" s="115"/>
      <c r="BN693" s="115"/>
      <c r="BO693" s="115"/>
      <c r="BP693" s="115"/>
      <c r="BQ693" s="115"/>
      <c r="BR693" s="115"/>
      <c r="BS693" s="115"/>
      <c r="BT693" s="115"/>
      <c r="BU693" s="115"/>
      <c r="BV693" s="115"/>
      <c r="BW693" s="25"/>
      <c r="BX693" s="13"/>
      <c r="CA693" s="114"/>
    </row>
    <row r="694" spans="1:79" ht="20.100000000000001" customHeight="1" x14ac:dyDescent="0.4">
      <c r="A694" s="117"/>
      <c r="B694" s="123"/>
      <c r="C694" s="123"/>
      <c r="D694" s="123"/>
      <c r="AB694" s="115"/>
      <c r="AC694" s="115"/>
      <c r="AD694" s="115"/>
      <c r="AE694" s="115"/>
      <c r="AF694" s="115"/>
      <c r="AG694" s="115"/>
      <c r="AH694" s="115"/>
      <c r="AI694" s="115"/>
      <c r="AJ694" s="115"/>
      <c r="AK694" s="115"/>
      <c r="AL694" s="115"/>
      <c r="AM694" s="115"/>
      <c r="AN694" s="127"/>
      <c r="AO694" s="29"/>
      <c r="AQ694" s="115"/>
      <c r="AR694" s="115"/>
      <c r="AS694" s="115"/>
      <c r="AT694" s="115"/>
      <c r="AU694" s="115"/>
      <c r="AV694" s="115"/>
      <c r="AW694" s="115"/>
      <c r="AX694" s="115"/>
      <c r="AY694" s="25"/>
      <c r="AZ694" s="13"/>
      <c r="BE694" s="116"/>
      <c r="BF694" s="123"/>
      <c r="BG694" s="123"/>
      <c r="BH694" s="123"/>
      <c r="BM694" s="115"/>
      <c r="BN694" s="115"/>
      <c r="BO694" s="115"/>
      <c r="BP694" s="115"/>
      <c r="BQ694" s="115"/>
      <c r="BR694" s="115"/>
      <c r="BS694" s="115"/>
      <c r="BT694" s="115"/>
      <c r="BU694" s="115"/>
      <c r="BV694" s="115"/>
      <c r="BW694" s="25"/>
      <c r="BX694" s="13"/>
      <c r="CA694" s="114"/>
    </row>
    <row r="695" spans="1:79" ht="20.100000000000001" customHeight="1" x14ac:dyDescent="0.4">
      <c r="A695" s="117"/>
      <c r="B695" s="123"/>
      <c r="C695" s="123"/>
      <c r="D695" s="123"/>
      <c r="AN695" s="127"/>
      <c r="AO695" s="29"/>
      <c r="AQ695" s="115"/>
      <c r="AR695" s="115"/>
      <c r="AS695" s="115"/>
      <c r="AT695" s="115"/>
      <c r="AU695" s="115"/>
      <c r="AV695" s="115"/>
      <c r="AW695" s="115"/>
      <c r="AX695" s="115"/>
      <c r="AY695" s="25"/>
      <c r="AZ695" s="13"/>
      <c r="BE695" s="116"/>
      <c r="BF695" s="123"/>
      <c r="BG695" s="123"/>
      <c r="BH695" s="123"/>
      <c r="BM695" s="115"/>
      <c r="BN695" s="115"/>
      <c r="BO695" s="115"/>
      <c r="BP695" s="115"/>
      <c r="BQ695" s="115"/>
      <c r="BR695" s="115"/>
      <c r="BS695" s="115"/>
      <c r="BT695" s="115"/>
      <c r="BU695" s="115"/>
      <c r="BV695" s="115"/>
      <c r="BW695" s="25"/>
      <c r="BX695" s="13"/>
      <c r="CA695" s="114"/>
    </row>
    <row r="696" spans="1:79" ht="20.100000000000001" customHeight="1" x14ac:dyDescent="0.4">
      <c r="A696" s="117"/>
      <c r="B696" s="123"/>
      <c r="C696" s="123"/>
      <c r="D696" s="123"/>
      <c r="AD696" s="115"/>
      <c r="AE696" s="115"/>
      <c r="AF696" s="115"/>
      <c r="AG696" s="115"/>
      <c r="AH696" s="115"/>
      <c r="AI696" s="115"/>
      <c r="AJ696" s="115"/>
      <c r="AK696" s="115"/>
      <c r="AL696" s="115"/>
      <c r="AM696" s="115"/>
      <c r="AN696" s="127"/>
      <c r="AO696" s="29"/>
      <c r="AQ696" s="115"/>
      <c r="AR696" s="115"/>
      <c r="AS696" s="115"/>
      <c r="AT696" s="115"/>
      <c r="AU696" s="115"/>
      <c r="AV696" s="115"/>
      <c r="AW696" s="115"/>
      <c r="AX696" s="115"/>
      <c r="AY696" s="25"/>
      <c r="AZ696" s="13"/>
      <c r="BE696" s="116"/>
      <c r="BF696" s="123"/>
      <c r="BG696" s="123"/>
      <c r="BH696" s="123"/>
      <c r="BM696" s="115"/>
      <c r="BN696" s="115"/>
      <c r="BO696" s="115"/>
      <c r="BP696" s="115"/>
      <c r="BQ696" s="115"/>
      <c r="BR696" s="115"/>
      <c r="BS696" s="115"/>
      <c r="BT696" s="115"/>
      <c r="BU696" s="115"/>
      <c r="BV696" s="115"/>
      <c r="BW696" s="25"/>
      <c r="BX696" s="13"/>
      <c r="CA696" s="114"/>
    </row>
    <row r="697" spans="1:79" ht="20.100000000000001" customHeight="1" x14ac:dyDescent="0.4">
      <c r="A697" s="117"/>
      <c r="B697" s="123"/>
      <c r="C697" s="123"/>
      <c r="D697" s="123"/>
      <c r="AD697" s="115"/>
      <c r="AE697" s="115"/>
      <c r="AF697" s="115"/>
      <c r="AG697" s="115"/>
      <c r="AH697" s="115"/>
      <c r="AI697" s="115"/>
      <c r="AJ697" s="115"/>
      <c r="AK697" s="115"/>
      <c r="AL697" s="115"/>
      <c r="AM697" s="115"/>
      <c r="AN697" s="29"/>
      <c r="AO697" s="29"/>
      <c r="AQ697" s="115"/>
      <c r="AR697" s="115"/>
      <c r="AS697" s="115"/>
      <c r="AT697" s="115"/>
      <c r="AU697" s="115"/>
      <c r="AV697" s="115"/>
      <c r="AW697" s="115"/>
      <c r="AX697" s="115"/>
      <c r="AY697" s="25"/>
      <c r="AZ697" s="13"/>
      <c r="BE697" s="116"/>
      <c r="BF697" s="123"/>
      <c r="BG697" s="123"/>
      <c r="BH697" s="123"/>
      <c r="BM697" s="115"/>
      <c r="BN697" s="115"/>
      <c r="BO697" s="115"/>
      <c r="BP697" s="115"/>
      <c r="BQ697" s="115"/>
      <c r="BR697" s="115"/>
      <c r="BS697" s="115"/>
      <c r="BT697" s="115"/>
      <c r="BU697" s="115"/>
      <c r="BV697" s="115"/>
      <c r="BW697" s="25"/>
      <c r="BX697" s="13"/>
      <c r="CA697" s="114"/>
    </row>
    <row r="698" spans="1:79" ht="20.100000000000001" customHeight="1" x14ac:dyDescent="0.4">
      <c r="A698" s="117"/>
      <c r="B698" s="123"/>
      <c r="C698" s="123"/>
      <c r="D698" s="123"/>
      <c r="AC698" s="115"/>
      <c r="AD698" s="115"/>
      <c r="AE698" s="115"/>
      <c r="AF698" s="115"/>
      <c r="AG698" s="115"/>
      <c r="AH698" s="115"/>
      <c r="AI698" s="115"/>
      <c r="AJ698" s="115"/>
      <c r="AK698" s="115"/>
      <c r="AL698" s="115"/>
      <c r="AM698" s="115"/>
      <c r="AN698" s="127"/>
      <c r="AO698" s="127"/>
      <c r="AQ698" s="115"/>
      <c r="AR698" s="115"/>
      <c r="AS698" s="115"/>
      <c r="AT698" s="115"/>
      <c r="AU698" s="115"/>
      <c r="AV698" s="115"/>
      <c r="AW698" s="115"/>
      <c r="AX698" s="115"/>
      <c r="AY698" s="25"/>
      <c r="AZ698" s="13"/>
      <c r="BE698" s="116"/>
      <c r="BF698" s="123"/>
      <c r="BG698" s="123"/>
      <c r="BH698" s="123"/>
      <c r="BM698" s="115"/>
      <c r="BN698" s="115"/>
      <c r="BO698" s="115"/>
      <c r="BP698" s="115"/>
      <c r="BQ698" s="115"/>
      <c r="BR698" s="115"/>
      <c r="BS698" s="115"/>
      <c r="BT698" s="115"/>
      <c r="BU698" s="115"/>
      <c r="BV698" s="115"/>
      <c r="BW698" s="25"/>
      <c r="BX698" s="13"/>
      <c r="CA698" s="114"/>
    </row>
    <row r="699" spans="1:79" ht="20.100000000000001" customHeight="1" x14ac:dyDescent="0.4">
      <c r="A699" s="117"/>
      <c r="B699" s="123"/>
      <c r="C699" s="123"/>
      <c r="D699" s="123"/>
      <c r="AN699" s="127"/>
      <c r="AO699" s="127"/>
      <c r="AQ699" s="115"/>
      <c r="AR699" s="115"/>
      <c r="AS699" s="115"/>
      <c r="AT699" s="115"/>
      <c r="AU699" s="115"/>
      <c r="AV699" s="115"/>
      <c r="AW699" s="115"/>
      <c r="AX699" s="115"/>
      <c r="AY699" s="25"/>
      <c r="AZ699" s="13"/>
      <c r="BE699" s="116"/>
      <c r="BF699" s="123"/>
      <c r="BG699" s="123"/>
      <c r="BH699" s="123"/>
      <c r="BM699" s="115"/>
      <c r="BN699" s="115"/>
      <c r="BO699" s="115"/>
      <c r="BP699" s="115"/>
      <c r="BQ699" s="115"/>
      <c r="BR699" s="115"/>
      <c r="BS699" s="115"/>
      <c r="BT699" s="115"/>
      <c r="BU699" s="115"/>
      <c r="BV699" s="115"/>
      <c r="BW699" s="25"/>
      <c r="BX699" s="13"/>
      <c r="CA699" s="114"/>
    </row>
    <row r="700" spans="1:79" ht="20.100000000000001" customHeight="1" x14ac:dyDescent="0.4">
      <c r="A700" s="117"/>
      <c r="B700" s="123"/>
      <c r="C700" s="123"/>
      <c r="D700" s="123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  <c r="AK700" s="115"/>
      <c r="AL700" s="115"/>
      <c r="AM700" s="115"/>
      <c r="AN700" s="127"/>
      <c r="AO700" s="127"/>
      <c r="AQ700" s="115"/>
      <c r="AR700" s="115"/>
      <c r="AS700" s="115"/>
      <c r="AT700" s="115"/>
      <c r="AU700" s="115"/>
      <c r="AV700" s="115"/>
      <c r="AW700" s="115"/>
      <c r="AX700" s="115"/>
      <c r="AY700" s="25"/>
      <c r="AZ700" s="13"/>
      <c r="BE700" s="116"/>
      <c r="BF700" s="123"/>
      <c r="BG700" s="123"/>
      <c r="BH700" s="123"/>
      <c r="BM700" s="115"/>
      <c r="BN700" s="115"/>
      <c r="BO700" s="115"/>
      <c r="BP700" s="115"/>
      <c r="BQ700" s="115"/>
      <c r="BR700" s="115"/>
      <c r="BS700" s="115"/>
      <c r="BT700" s="115"/>
      <c r="BU700" s="115"/>
      <c r="BV700" s="115"/>
      <c r="BW700" s="25"/>
      <c r="BX700" s="13"/>
      <c r="CA700" s="114"/>
    </row>
    <row r="701" spans="1:79" ht="20.100000000000001" customHeight="1" x14ac:dyDescent="0.4">
      <c r="A701" s="117"/>
      <c r="B701" s="123"/>
      <c r="C701" s="123"/>
      <c r="D701" s="123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  <c r="AK701" s="115"/>
      <c r="AL701" s="115"/>
      <c r="AM701" s="115"/>
      <c r="AN701" s="127"/>
      <c r="AO701" s="29"/>
      <c r="AQ701" s="115"/>
      <c r="AR701" s="115"/>
      <c r="AS701" s="115"/>
      <c r="AT701" s="115"/>
      <c r="AU701" s="115"/>
      <c r="AV701" s="115"/>
      <c r="AW701" s="115"/>
      <c r="AX701" s="115"/>
      <c r="AY701" s="25"/>
      <c r="AZ701" s="13"/>
      <c r="BE701" s="116"/>
      <c r="BF701" s="123"/>
      <c r="BG701" s="123"/>
      <c r="BH701" s="123"/>
      <c r="BM701" s="115"/>
      <c r="BN701" s="115"/>
      <c r="BO701" s="115"/>
      <c r="BP701" s="115"/>
      <c r="BQ701" s="115"/>
      <c r="BR701" s="115"/>
      <c r="BS701" s="115"/>
      <c r="BT701" s="115"/>
      <c r="BU701" s="115"/>
      <c r="BV701" s="115"/>
      <c r="BW701" s="25"/>
      <c r="BX701" s="13"/>
      <c r="CA701" s="114"/>
    </row>
    <row r="702" spans="1:79" ht="20.100000000000001" customHeight="1" x14ac:dyDescent="0.4">
      <c r="A702" s="117"/>
      <c r="B702" s="123"/>
      <c r="C702" s="123"/>
      <c r="D702" s="123"/>
      <c r="AN702" s="127"/>
      <c r="AO702" s="29"/>
      <c r="AP702" s="115"/>
      <c r="AQ702" s="115"/>
      <c r="AR702" s="115"/>
      <c r="AS702" s="115"/>
      <c r="AT702" s="115"/>
      <c r="AU702" s="115"/>
      <c r="AV702" s="115"/>
      <c r="AW702" s="115"/>
      <c r="AX702" s="115"/>
      <c r="AY702" s="25">
        <v>45675</v>
      </c>
      <c r="AZ702" s="13" t="s">
        <v>146</v>
      </c>
      <c r="BE702" s="116"/>
      <c r="BF702" s="123"/>
      <c r="BG702" s="123"/>
      <c r="BH702" s="123"/>
      <c r="BM702" s="115"/>
      <c r="BN702" s="115"/>
      <c r="BO702" s="115"/>
      <c r="BP702" s="115"/>
      <c r="BQ702" s="115"/>
      <c r="BR702" s="115"/>
      <c r="BS702" s="115"/>
      <c r="BT702" s="115"/>
      <c r="BU702" s="115"/>
      <c r="BV702" s="115"/>
      <c r="BW702" s="25"/>
      <c r="BX702" s="13"/>
      <c r="CA702" s="114"/>
    </row>
    <row r="703" spans="1:79" ht="20.100000000000001" customHeight="1" x14ac:dyDescent="0.4">
      <c r="A703" s="117"/>
      <c r="B703" s="123"/>
      <c r="C703" s="123"/>
      <c r="D703" s="123"/>
      <c r="AF703" s="115"/>
      <c r="AG703" s="115"/>
      <c r="AH703" s="115"/>
      <c r="AI703" s="115"/>
      <c r="AJ703" s="115"/>
      <c r="AK703" s="115"/>
      <c r="AL703" s="115"/>
      <c r="AM703" s="115"/>
      <c r="AN703" s="29"/>
      <c r="AO703" s="29"/>
      <c r="AP703" s="115"/>
      <c r="AQ703" s="115"/>
      <c r="AR703" s="115"/>
      <c r="AS703" s="115"/>
      <c r="AT703" s="115"/>
      <c r="AU703" s="115"/>
      <c r="AV703" s="115"/>
      <c r="AW703" s="115"/>
      <c r="AX703" s="115"/>
      <c r="AY703" s="25"/>
      <c r="AZ703" s="13"/>
      <c r="BE703" s="116"/>
      <c r="BF703" s="123"/>
      <c r="BG703" s="123"/>
      <c r="BH703" s="123"/>
      <c r="BM703" s="115"/>
      <c r="BN703" s="115"/>
      <c r="BO703" s="115"/>
      <c r="BP703" s="115"/>
      <c r="BQ703" s="115"/>
      <c r="BR703" s="115"/>
      <c r="BS703" s="115"/>
      <c r="BT703" s="115"/>
      <c r="BU703" s="115"/>
      <c r="BV703" s="115"/>
      <c r="BW703" s="25"/>
      <c r="BX703" s="13"/>
      <c r="CA703" s="114"/>
    </row>
    <row r="704" spans="1:79" ht="20.100000000000001" customHeight="1" x14ac:dyDescent="0.4">
      <c r="A704" s="117"/>
      <c r="B704" s="123"/>
      <c r="C704" s="123"/>
      <c r="D704" s="123"/>
      <c r="AN704" s="127"/>
      <c r="AO704" s="29"/>
      <c r="AP704" s="115"/>
      <c r="AQ704" s="115"/>
      <c r="AR704" s="115"/>
      <c r="AS704" s="115"/>
      <c r="AT704" s="115"/>
      <c r="AU704" s="115"/>
      <c r="AV704" s="115"/>
      <c r="AW704" s="115"/>
      <c r="AX704" s="115"/>
      <c r="AY704" s="25">
        <v>45676</v>
      </c>
      <c r="AZ704" s="13" t="s">
        <v>148</v>
      </c>
      <c r="BE704" s="116"/>
      <c r="BF704" s="123"/>
      <c r="BG704" s="123"/>
      <c r="BH704" s="123"/>
      <c r="BM704" s="115"/>
      <c r="BN704" s="115"/>
      <c r="BO704" s="115"/>
      <c r="BP704" s="115"/>
      <c r="BQ704" s="115"/>
      <c r="BR704" s="115"/>
      <c r="BS704" s="115"/>
      <c r="BT704" s="115"/>
      <c r="BU704" s="115"/>
      <c r="BV704" s="115"/>
      <c r="BW704" s="25"/>
      <c r="BX704" s="13"/>
      <c r="CA704" s="114"/>
    </row>
    <row r="705" spans="1:79" ht="20.100000000000001" customHeight="1" x14ac:dyDescent="0.4">
      <c r="A705" s="117"/>
      <c r="B705" s="123"/>
      <c r="C705" s="123"/>
      <c r="D705" s="123"/>
      <c r="AF705" s="115"/>
      <c r="AG705" s="115"/>
      <c r="AH705" s="115"/>
      <c r="AI705" s="115"/>
      <c r="AJ705" s="115"/>
      <c r="AK705" s="115"/>
      <c r="AL705" s="115"/>
      <c r="AM705" s="115"/>
      <c r="AN705" s="29"/>
      <c r="AO705" s="29"/>
      <c r="AP705" s="115"/>
      <c r="AQ705" s="115"/>
      <c r="AR705" s="115"/>
      <c r="AS705" s="115"/>
      <c r="AT705" s="115"/>
      <c r="AU705" s="115"/>
      <c r="AV705" s="115"/>
      <c r="AW705" s="115"/>
      <c r="AX705" s="115"/>
      <c r="AY705" s="25"/>
      <c r="AZ705" s="13"/>
      <c r="BE705" s="116"/>
      <c r="BF705" s="123"/>
      <c r="BG705" s="123"/>
      <c r="BH705" s="123"/>
      <c r="BM705" s="115"/>
      <c r="BN705" s="115"/>
      <c r="BO705" s="115"/>
      <c r="BP705" s="115"/>
      <c r="BQ705" s="115"/>
      <c r="BR705" s="115"/>
      <c r="BS705" s="115"/>
      <c r="BT705" s="115"/>
      <c r="BU705" s="115"/>
      <c r="BV705" s="115"/>
      <c r="BW705" s="25"/>
      <c r="BX705" s="13"/>
      <c r="CA705" s="114"/>
    </row>
    <row r="706" spans="1:79" ht="20.100000000000001" customHeight="1" x14ac:dyDescent="0.4">
      <c r="A706" s="117"/>
      <c r="B706" s="123"/>
      <c r="C706" s="123"/>
      <c r="D706" s="123"/>
      <c r="AE706" s="115"/>
      <c r="AF706" s="115"/>
      <c r="AG706" s="115"/>
      <c r="AH706" s="115"/>
      <c r="AI706" s="115"/>
      <c r="AJ706" s="115"/>
      <c r="AK706" s="115"/>
      <c r="AL706" s="115"/>
      <c r="AM706" s="115"/>
      <c r="AN706" s="127"/>
      <c r="AO706" s="29"/>
      <c r="AP706" s="115"/>
      <c r="AQ706" s="115"/>
      <c r="AR706" s="115"/>
      <c r="AS706" s="115"/>
      <c r="AT706" s="115"/>
      <c r="AU706" s="115"/>
      <c r="AV706" s="115"/>
      <c r="AW706" s="115"/>
      <c r="AX706" s="115"/>
      <c r="AY706" s="25"/>
      <c r="AZ706" s="13"/>
      <c r="BE706" s="116"/>
      <c r="BF706" s="123"/>
      <c r="BG706" s="123"/>
      <c r="BH706" s="123"/>
      <c r="BM706" s="115"/>
      <c r="BN706" s="115"/>
      <c r="BO706" s="115"/>
      <c r="BP706" s="115"/>
      <c r="BQ706" s="115"/>
      <c r="BR706" s="115"/>
      <c r="BS706" s="115"/>
      <c r="BT706" s="115"/>
      <c r="BU706" s="115"/>
      <c r="BV706" s="115"/>
      <c r="BW706" s="25"/>
      <c r="BX706" s="13"/>
      <c r="CA706" s="114"/>
    </row>
    <row r="707" spans="1:79" ht="20.100000000000001" customHeight="1" x14ac:dyDescent="0.4">
      <c r="A707" s="117"/>
      <c r="B707" s="123"/>
      <c r="C707" s="123"/>
      <c r="D707" s="123"/>
      <c r="AE707" s="115"/>
      <c r="AF707" s="115"/>
      <c r="AG707" s="115"/>
      <c r="AH707" s="115"/>
      <c r="AI707" s="115"/>
      <c r="AJ707" s="115"/>
      <c r="AK707" s="115"/>
      <c r="AL707" s="115"/>
      <c r="AM707" s="115"/>
      <c r="AN707" s="29"/>
      <c r="AO707" s="29"/>
      <c r="AP707" s="115"/>
      <c r="AQ707" s="115"/>
      <c r="AR707" s="115"/>
      <c r="AS707" s="115"/>
      <c r="AT707" s="115"/>
      <c r="AU707" s="115"/>
      <c r="AV707" s="115"/>
      <c r="AW707" s="115"/>
      <c r="AX707" s="115"/>
      <c r="AY707" s="25"/>
      <c r="AZ707" s="13"/>
      <c r="BE707" s="116"/>
      <c r="BF707" s="123"/>
      <c r="BG707" s="123"/>
      <c r="BH707" s="123"/>
      <c r="BM707" s="115"/>
      <c r="BN707" s="115"/>
      <c r="BO707" s="115"/>
      <c r="BP707" s="115"/>
      <c r="BQ707" s="115"/>
      <c r="BR707" s="115"/>
      <c r="BS707" s="115"/>
      <c r="BT707" s="115"/>
      <c r="BU707" s="115"/>
      <c r="BV707" s="115"/>
      <c r="BW707" s="25"/>
      <c r="BX707" s="13"/>
      <c r="CA707" s="114"/>
    </row>
    <row r="708" spans="1:79" ht="20.100000000000001" customHeight="1" x14ac:dyDescent="0.4">
      <c r="A708" s="117"/>
      <c r="B708" s="123"/>
      <c r="C708" s="123"/>
      <c r="D708" s="123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  <c r="AK708" s="115"/>
      <c r="AL708" s="115"/>
      <c r="AM708" s="115"/>
      <c r="AN708" s="127"/>
      <c r="AO708" s="29"/>
      <c r="AP708" s="115"/>
      <c r="AQ708" s="115"/>
      <c r="AR708" s="115"/>
      <c r="AS708" s="115"/>
      <c r="AT708" s="115"/>
      <c r="AU708" s="115"/>
      <c r="AV708" s="115"/>
      <c r="AW708" s="115"/>
      <c r="AX708" s="115"/>
      <c r="AY708" s="25"/>
      <c r="AZ708" s="13"/>
      <c r="BE708" s="116"/>
      <c r="BF708" s="123"/>
      <c r="BG708" s="123"/>
      <c r="BH708" s="123"/>
      <c r="BM708" s="115"/>
      <c r="BN708" s="115"/>
      <c r="BO708" s="115"/>
      <c r="BP708" s="115"/>
      <c r="BQ708" s="115"/>
      <c r="BR708" s="115"/>
      <c r="BS708" s="115"/>
      <c r="BT708" s="115"/>
      <c r="BU708" s="115"/>
      <c r="BV708" s="115"/>
      <c r="BW708" s="25"/>
      <c r="BX708" s="13"/>
      <c r="CA708" s="114"/>
    </row>
    <row r="709" spans="1:79" ht="20.100000000000001" customHeight="1" x14ac:dyDescent="0.4">
      <c r="A709" s="117"/>
      <c r="B709" s="123"/>
      <c r="C709" s="123"/>
      <c r="D709" s="123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  <c r="AK709" s="115"/>
      <c r="AL709" s="115"/>
      <c r="AM709" s="115"/>
      <c r="AN709" s="127"/>
      <c r="AO709" s="29"/>
      <c r="AP709" s="115"/>
      <c r="AQ709" s="115"/>
      <c r="AR709" s="115"/>
      <c r="AS709" s="115"/>
      <c r="AT709" s="115"/>
      <c r="AU709" s="115"/>
      <c r="AV709" s="115"/>
      <c r="AW709" s="115"/>
      <c r="AX709" s="115"/>
      <c r="AY709" s="25"/>
      <c r="AZ709" s="13"/>
      <c r="BE709" s="116"/>
      <c r="BF709" s="123"/>
      <c r="BG709" s="123"/>
      <c r="BH709" s="123"/>
      <c r="BM709" s="115"/>
      <c r="BN709" s="115"/>
      <c r="BO709" s="115"/>
      <c r="BP709" s="115"/>
      <c r="BQ709" s="115"/>
      <c r="BR709" s="115"/>
      <c r="BS709" s="115"/>
      <c r="BT709" s="115"/>
      <c r="BU709" s="115"/>
      <c r="BV709" s="115"/>
      <c r="BW709" s="25"/>
      <c r="BX709" s="13"/>
      <c r="CA709" s="114"/>
    </row>
    <row r="710" spans="1:79" ht="20.100000000000001" customHeight="1" x14ac:dyDescent="0.4">
      <c r="A710" s="117"/>
      <c r="B710" s="123"/>
      <c r="C710" s="123"/>
      <c r="D710" s="123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  <c r="AK710" s="115"/>
      <c r="AL710" s="115"/>
      <c r="AM710" s="115"/>
      <c r="AN710" s="127"/>
      <c r="AO710" s="29"/>
      <c r="AP710" s="115"/>
      <c r="AQ710" s="115"/>
      <c r="AR710" s="115"/>
      <c r="AS710" s="115"/>
      <c r="AT710" s="115"/>
      <c r="AU710" s="115"/>
      <c r="AV710" s="115"/>
      <c r="AW710" s="115"/>
      <c r="AX710" s="115"/>
      <c r="AY710" s="25"/>
      <c r="AZ710" s="13"/>
      <c r="BE710" s="116"/>
      <c r="BF710" s="123"/>
      <c r="BG710" s="123"/>
      <c r="BH710" s="123"/>
      <c r="BM710" s="115"/>
      <c r="BN710" s="115"/>
      <c r="BO710" s="115"/>
      <c r="BP710" s="115"/>
      <c r="BQ710" s="115"/>
      <c r="BR710" s="115"/>
      <c r="BS710" s="115"/>
      <c r="BT710" s="115"/>
      <c r="BU710" s="115"/>
      <c r="BV710" s="115"/>
      <c r="BW710" s="25"/>
      <c r="BX710" s="13"/>
      <c r="CA710" s="114"/>
    </row>
    <row r="711" spans="1:79" ht="20.100000000000001" customHeight="1" x14ac:dyDescent="0.4">
      <c r="A711" s="117"/>
      <c r="B711" s="123"/>
      <c r="C711" s="123"/>
      <c r="D711" s="123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  <c r="AK711" s="115"/>
      <c r="AL711" s="115"/>
      <c r="AM711" s="115"/>
      <c r="AN711" s="127"/>
      <c r="AO711" s="29"/>
      <c r="AP711" s="115"/>
      <c r="AQ711" s="115"/>
      <c r="AR711" s="115"/>
      <c r="AS711" s="115"/>
      <c r="AT711" s="115"/>
      <c r="AU711" s="115"/>
      <c r="AV711" s="115"/>
      <c r="AW711" s="115"/>
      <c r="AX711" s="115"/>
      <c r="AY711" s="25"/>
      <c r="AZ711" s="13"/>
      <c r="BE711" s="116"/>
      <c r="BF711" s="123"/>
      <c r="BG711" s="123"/>
      <c r="BH711" s="123"/>
      <c r="BM711" s="115"/>
      <c r="BN711" s="115"/>
      <c r="BO711" s="115"/>
      <c r="BP711" s="115"/>
      <c r="BQ711" s="115"/>
      <c r="BR711" s="115"/>
      <c r="BS711" s="115"/>
      <c r="BT711" s="115"/>
      <c r="BU711" s="115"/>
      <c r="BV711" s="115"/>
      <c r="BW711" s="25"/>
      <c r="BX711" s="13"/>
      <c r="CA711" s="114"/>
    </row>
    <row r="712" spans="1:79" ht="20.100000000000001" customHeight="1" x14ac:dyDescent="0.4">
      <c r="A712" s="117"/>
      <c r="B712" s="123"/>
      <c r="C712" s="123"/>
      <c r="D712" s="123"/>
      <c r="AN712" s="127"/>
      <c r="AO712" s="29"/>
      <c r="AP712" s="115"/>
      <c r="AQ712" s="115"/>
      <c r="AR712" s="115"/>
      <c r="AS712" s="115"/>
      <c r="AT712" s="115"/>
      <c r="AU712" s="115"/>
      <c r="AV712" s="115"/>
      <c r="AW712" s="115"/>
      <c r="AX712" s="115"/>
      <c r="AY712" s="25">
        <v>45677</v>
      </c>
      <c r="AZ712" s="13" t="s">
        <v>146</v>
      </c>
      <c r="BE712" s="116"/>
      <c r="BF712" s="123"/>
      <c r="BG712" s="123"/>
      <c r="BH712" s="123"/>
      <c r="BM712" s="115"/>
      <c r="BN712" s="115"/>
      <c r="BO712" s="115"/>
      <c r="BP712" s="115"/>
      <c r="BQ712" s="115"/>
      <c r="BR712" s="115"/>
      <c r="BS712" s="115"/>
      <c r="BT712" s="115"/>
      <c r="BU712" s="115"/>
      <c r="BV712" s="115"/>
      <c r="BW712" s="25"/>
      <c r="BX712" s="13"/>
      <c r="CA712" s="114"/>
    </row>
    <row r="713" spans="1:79" ht="20.100000000000001" customHeight="1" x14ac:dyDescent="0.4">
      <c r="A713" s="117"/>
      <c r="B713" s="123"/>
      <c r="C713" s="123"/>
      <c r="D713" s="123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  <c r="AK713" s="115"/>
      <c r="AL713" s="115"/>
      <c r="AM713" s="115"/>
      <c r="AN713" s="127"/>
      <c r="AO713" s="29"/>
      <c r="AP713" s="115"/>
      <c r="AQ713" s="115"/>
      <c r="AR713" s="115"/>
      <c r="AS713" s="115"/>
      <c r="AT713" s="115"/>
      <c r="AU713" s="115"/>
      <c r="AV713" s="115"/>
      <c r="AW713" s="115"/>
      <c r="AX713" s="115"/>
      <c r="AY713" s="25"/>
      <c r="AZ713" s="13"/>
      <c r="BE713" s="116"/>
      <c r="BF713" s="123"/>
      <c r="BG713" s="123"/>
      <c r="BH713" s="123"/>
      <c r="BM713" s="115"/>
      <c r="BN713" s="115"/>
      <c r="BO713" s="115"/>
      <c r="BP713" s="115"/>
      <c r="BQ713" s="115"/>
      <c r="BR713" s="115"/>
      <c r="BS713" s="115"/>
      <c r="BT713" s="115"/>
      <c r="BU713" s="115"/>
      <c r="BV713" s="115"/>
      <c r="BW713" s="25"/>
      <c r="BX713" s="13"/>
      <c r="CA713" s="114"/>
    </row>
    <row r="714" spans="1:79" ht="20.100000000000001" customHeight="1" x14ac:dyDescent="0.4">
      <c r="A714" s="117"/>
      <c r="B714" s="123"/>
      <c r="C714" s="123"/>
      <c r="D714" s="123"/>
      <c r="AN714" s="127"/>
      <c r="AO714" s="29"/>
      <c r="AP714" s="115"/>
      <c r="AQ714" s="115"/>
      <c r="AR714" s="115"/>
      <c r="AS714" s="115"/>
      <c r="AT714" s="115"/>
      <c r="AU714" s="115"/>
      <c r="AV714" s="115"/>
      <c r="AW714" s="115"/>
      <c r="AX714" s="115"/>
      <c r="AY714" s="25"/>
      <c r="AZ714" s="13"/>
      <c r="BE714" s="116"/>
      <c r="BF714" s="123"/>
      <c r="BG714" s="123"/>
      <c r="BH714" s="123"/>
      <c r="BM714" s="115"/>
      <c r="BN714" s="115"/>
      <c r="BO714" s="115"/>
      <c r="BP714" s="115"/>
      <c r="BQ714" s="115"/>
      <c r="BR714" s="115"/>
      <c r="BS714" s="115"/>
      <c r="BT714" s="115"/>
      <c r="BU714" s="115"/>
      <c r="BV714" s="115"/>
      <c r="BW714" s="25"/>
      <c r="BX714" s="13"/>
      <c r="CA714" s="114"/>
    </row>
    <row r="715" spans="1:79" ht="20.100000000000001" customHeight="1" x14ac:dyDescent="0.4">
      <c r="A715" s="117"/>
      <c r="B715" s="123"/>
      <c r="C715" s="123"/>
      <c r="D715" s="123"/>
      <c r="AB715" s="115"/>
      <c r="AC715" s="115"/>
      <c r="AD715" s="115"/>
      <c r="AE715" s="115"/>
      <c r="AF715" s="115"/>
      <c r="AG715" s="115"/>
      <c r="AH715" s="115"/>
      <c r="AI715" s="115"/>
      <c r="AJ715" s="115"/>
      <c r="AK715" s="115"/>
      <c r="AL715" s="115"/>
      <c r="AM715" s="115"/>
      <c r="AN715" s="127"/>
      <c r="AO715" s="29"/>
      <c r="AP715" s="115"/>
      <c r="AQ715" s="115"/>
      <c r="AR715" s="115"/>
      <c r="AS715" s="115"/>
      <c r="AT715" s="115"/>
      <c r="AU715" s="115"/>
      <c r="AV715" s="115"/>
      <c r="AW715" s="115"/>
      <c r="AX715" s="115"/>
      <c r="AY715" s="25"/>
      <c r="AZ715" s="13"/>
      <c r="BE715" s="116"/>
      <c r="BF715" s="123"/>
      <c r="BG715" s="123"/>
      <c r="BH715" s="123"/>
      <c r="BM715" s="115"/>
      <c r="BN715" s="115"/>
      <c r="BO715" s="115"/>
      <c r="BP715" s="115"/>
      <c r="BQ715" s="115"/>
      <c r="BR715" s="115"/>
      <c r="BS715" s="115"/>
      <c r="BT715" s="115"/>
      <c r="BU715" s="115"/>
      <c r="BV715" s="115"/>
      <c r="BW715" s="25"/>
      <c r="BX715" s="13"/>
      <c r="CA715" s="114"/>
    </row>
    <row r="716" spans="1:79" ht="20.100000000000001" customHeight="1" x14ac:dyDescent="0.4">
      <c r="A716" s="117"/>
      <c r="B716" s="123"/>
      <c r="C716" s="123"/>
      <c r="D716" s="123"/>
      <c r="AB716" s="115"/>
      <c r="AC716" s="115"/>
      <c r="AD716" s="115"/>
      <c r="AE716" s="115"/>
      <c r="AF716" s="115"/>
      <c r="AG716" s="115"/>
      <c r="AH716" s="115"/>
      <c r="AI716" s="115"/>
      <c r="AJ716" s="115"/>
      <c r="AK716" s="115"/>
      <c r="AL716" s="115"/>
      <c r="AM716" s="115"/>
      <c r="AN716" s="127"/>
      <c r="AO716" s="29"/>
      <c r="AP716" s="115"/>
      <c r="AQ716" s="115"/>
      <c r="AR716" s="115"/>
      <c r="AS716" s="115"/>
      <c r="AT716" s="115"/>
      <c r="AU716" s="115"/>
      <c r="AV716" s="115"/>
      <c r="AW716" s="115"/>
      <c r="AX716" s="115"/>
      <c r="AY716" s="25"/>
      <c r="AZ716" s="13"/>
      <c r="BE716" s="116"/>
      <c r="BF716" s="123"/>
      <c r="BG716" s="123"/>
      <c r="BH716" s="123"/>
      <c r="BM716" s="115"/>
      <c r="BN716" s="115"/>
      <c r="BO716" s="115"/>
      <c r="BP716" s="115"/>
      <c r="BQ716" s="115"/>
      <c r="BR716" s="115"/>
      <c r="BS716" s="115"/>
      <c r="BT716" s="115"/>
      <c r="BU716" s="115"/>
      <c r="BV716" s="115"/>
      <c r="BW716" s="25"/>
      <c r="BX716" s="13"/>
      <c r="CA716" s="114"/>
    </row>
    <row r="717" spans="1:79" ht="20.100000000000001" customHeight="1" x14ac:dyDescent="0.4">
      <c r="A717" s="117"/>
      <c r="B717" s="123"/>
      <c r="C717" s="123"/>
      <c r="D717" s="123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  <c r="AK717" s="115"/>
      <c r="AL717" s="115"/>
      <c r="AM717" s="115"/>
      <c r="AN717" s="127"/>
      <c r="AO717" s="29"/>
      <c r="AP717" s="115"/>
      <c r="AQ717" s="115"/>
      <c r="AR717" s="115"/>
      <c r="AS717" s="115"/>
      <c r="AT717" s="115"/>
      <c r="AU717" s="115"/>
      <c r="AV717" s="115"/>
      <c r="AW717" s="115"/>
      <c r="AX717" s="115"/>
      <c r="AY717" s="25"/>
      <c r="AZ717" s="13"/>
      <c r="BE717" s="116"/>
      <c r="BF717" s="123"/>
      <c r="BG717" s="123"/>
      <c r="BH717" s="123"/>
      <c r="BM717" s="115"/>
      <c r="BN717" s="115"/>
      <c r="BO717" s="115"/>
      <c r="BP717" s="115"/>
      <c r="BQ717" s="115"/>
      <c r="BR717" s="115"/>
      <c r="BS717" s="115"/>
      <c r="BT717" s="115"/>
      <c r="BU717" s="115"/>
      <c r="BV717" s="115"/>
      <c r="BW717" s="25"/>
      <c r="BX717" s="13"/>
      <c r="CA717" s="114"/>
    </row>
    <row r="718" spans="1:79" ht="20.100000000000001" customHeight="1" x14ac:dyDescent="0.4">
      <c r="A718" s="117"/>
      <c r="B718" s="123"/>
      <c r="C718" s="123"/>
      <c r="D718" s="123"/>
      <c r="AN718" s="127"/>
      <c r="AO718" s="29"/>
      <c r="AP718" s="115"/>
      <c r="AQ718" s="115"/>
      <c r="AR718" s="115"/>
      <c r="AS718" s="115"/>
      <c r="AT718" s="115"/>
      <c r="AU718" s="115"/>
      <c r="AV718" s="115"/>
      <c r="AW718" s="115"/>
      <c r="AX718" s="115"/>
      <c r="AY718" s="25">
        <v>45677</v>
      </c>
      <c r="AZ718" s="13" t="s">
        <v>146</v>
      </c>
      <c r="BE718" s="116"/>
      <c r="BF718" s="123"/>
      <c r="BG718" s="123"/>
      <c r="BH718" s="123"/>
      <c r="BM718" s="115"/>
      <c r="BN718" s="115"/>
      <c r="BO718" s="115"/>
      <c r="BP718" s="115"/>
      <c r="BQ718" s="115"/>
      <c r="BR718" s="115"/>
      <c r="BS718" s="115"/>
      <c r="BT718" s="115"/>
      <c r="BU718" s="115"/>
      <c r="BV718" s="115"/>
      <c r="BW718" s="25"/>
      <c r="BX718" s="13"/>
      <c r="CA718" s="114"/>
    </row>
    <row r="719" spans="1:79" ht="20.100000000000001" customHeight="1" x14ac:dyDescent="0.4">
      <c r="A719" s="117"/>
      <c r="B719" s="123"/>
      <c r="C719" s="123"/>
      <c r="D719" s="123"/>
      <c r="AE719" s="115"/>
      <c r="AF719" s="115"/>
      <c r="AG719" s="115"/>
      <c r="AH719" s="115"/>
      <c r="AI719" s="115"/>
      <c r="AJ719" s="115"/>
      <c r="AK719" s="115"/>
      <c r="AL719" s="115"/>
      <c r="AM719" s="115"/>
      <c r="AN719" s="127"/>
      <c r="AO719" s="29"/>
      <c r="AP719" s="115"/>
      <c r="AQ719" s="115"/>
      <c r="AR719" s="115"/>
      <c r="AS719" s="115"/>
      <c r="AT719" s="115"/>
      <c r="AU719" s="115"/>
      <c r="AV719" s="115"/>
      <c r="AW719" s="115"/>
      <c r="AX719" s="115"/>
      <c r="AY719" s="25"/>
      <c r="AZ719" s="13"/>
      <c r="BE719" s="116"/>
      <c r="BF719" s="123"/>
      <c r="BG719" s="123"/>
      <c r="BH719" s="123"/>
      <c r="BM719" s="115"/>
      <c r="BN719" s="115"/>
      <c r="BO719" s="115"/>
      <c r="BP719" s="115"/>
      <c r="BQ719" s="115"/>
      <c r="BR719" s="115"/>
      <c r="BS719" s="115"/>
      <c r="BT719" s="115"/>
      <c r="BU719" s="115"/>
      <c r="BV719" s="115"/>
      <c r="BW719" s="25"/>
      <c r="BX719" s="13"/>
      <c r="CA719" s="114"/>
    </row>
    <row r="720" spans="1:79" ht="20.100000000000001" customHeight="1" x14ac:dyDescent="0.4">
      <c r="A720" s="117"/>
      <c r="B720" s="123"/>
      <c r="C720" s="123"/>
      <c r="D720" s="123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  <c r="AK720" s="115"/>
      <c r="AL720" s="115"/>
      <c r="AM720" s="115"/>
      <c r="AN720" s="127"/>
      <c r="AO720" s="29"/>
      <c r="AP720" s="115"/>
      <c r="AQ720" s="115"/>
      <c r="AR720" s="115"/>
      <c r="AS720" s="115"/>
      <c r="AT720" s="115"/>
      <c r="AU720" s="115"/>
      <c r="AV720" s="115"/>
      <c r="AW720" s="115"/>
      <c r="AX720" s="115"/>
      <c r="AY720" s="25"/>
      <c r="AZ720" s="13"/>
      <c r="BE720" s="116"/>
      <c r="BF720" s="123"/>
      <c r="BG720" s="123"/>
      <c r="BH720" s="123"/>
      <c r="BM720" s="115"/>
      <c r="BN720" s="115"/>
      <c r="BO720" s="115"/>
      <c r="BP720" s="115"/>
      <c r="BQ720" s="115"/>
      <c r="BR720" s="115"/>
      <c r="BS720" s="115"/>
      <c r="BT720" s="115"/>
      <c r="BU720" s="115"/>
      <c r="BV720" s="115"/>
      <c r="BW720" s="25"/>
      <c r="BX720" s="13"/>
      <c r="CA720" s="114"/>
    </row>
    <row r="721" spans="1:79" ht="20.100000000000001" customHeight="1" x14ac:dyDescent="0.4">
      <c r="A721" s="117"/>
      <c r="B721" s="123"/>
      <c r="C721" s="123"/>
      <c r="D721" s="123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  <c r="AK721" s="115"/>
      <c r="AL721" s="115"/>
      <c r="AM721" s="115"/>
      <c r="AN721" s="29"/>
      <c r="AO721" s="29"/>
      <c r="AP721" s="115"/>
      <c r="AQ721" s="115"/>
      <c r="AR721" s="115"/>
      <c r="AS721" s="115"/>
      <c r="AT721" s="115"/>
      <c r="AU721" s="115"/>
      <c r="AV721" s="115"/>
      <c r="AW721" s="115"/>
      <c r="AX721" s="115"/>
      <c r="AY721" s="25"/>
      <c r="AZ721" s="13"/>
      <c r="BE721" s="116"/>
      <c r="BF721" s="123"/>
      <c r="BG721" s="123"/>
      <c r="BH721" s="123"/>
      <c r="BM721" s="115"/>
      <c r="BN721" s="115"/>
      <c r="BO721" s="115"/>
      <c r="BP721" s="115"/>
      <c r="BQ721" s="115"/>
      <c r="BR721" s="115"/>
      <c r="BS721" s="115"/>
      <c r="BT721" s="115"/>
      <c r="BU721" s="115"/>
      <c r="BV721" s="115"/>
      <c r="BW721" s="25"/>
      <c r="BX721" s="13"/>
      <c r="CA721" s="114"/>
    </row>
    <row r="722" spans="1:79" ht="20.100000000000001" customHeight="1" x14ac:dyDescent="0.4">
      <c r="A722" s="117"/>
      <c r="B722" s="123"/>
      <c r="C722" s="123"/>
      <c r="D722" s="123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  <c r="AK722" s="115"/>
      <c r="AL722" s="115"/>
      <c r="AM722" s="115"/>
      <c r="AN722" s="127"/>
      <c r="AO722" s="29"/>
      <c r="AP722" s="115"/>
      <c r="AQ722" s="115"/>
      <c r="AR722" s="115"/>
      <c r="AS722" s="115"/>
      <c r="AT722" s="115"/>
      <c r="AU722" s="115"/>
      <c r="AV722" s="115"/>
      <c r="AW722" s="115"/>
      <c r="AX722" s="115"/>
      <c r="AY722" s="25"/>
      <c r="AZ722" s="13"/>
      <c r="BE722" s="116"/>
      <c r="BF722" s="123"/>
      <c r="BG722" s="123"/>
      <c r="BH722" s="123"/>
      <c r="BM722" s="115"/>
      <c r="BN722" s="115"/>
      <c r="BO722" s="115"/>
      <c r="BP722" s="115"/>
      <c r="BQ722" s="115"/>
      <c r="BR722" s="115"/>
      <c r="BS722" s="115"/>
      <c r="BT722" s="115"/>
      <c r="BU722" s="115"/>
      <c r="BV722" s="115"/>
      <c r="BW722" s="25"/>
      <c r="BX722" s="13"/>
      <c r="CA722" s="114"/>
    </row>
    <row r="723" spans="1:79" ht="20.100000000000001" customHeight="1" x14ac:dyDescent="0.4">
      <c r="A723" s="117"/>
      <c r="B723" s="123"/>
      <c r="C723" s="123"/>
      <c r="D723" s="123"/>
      <c r="AN723" s="127"/>
      <c r="AO723" s="29"/>
      <c r="AP723" s="115"/>
      <c r="AQ723" s="115"/>
      <c r="AR723" s="115"/>
      <c r="AS723" s="115"/>
      <c r="AT723" s="115"/>
      <c r="AU723" s="115"/>
      <c r="AV723" s="115"/>
      <c r="AW723" s="115"/>
      <c r="AX723" s="115"/>
      <c r="AY723" s="25">
        <v>45677</v>
      </c>
      <c r="AZ723" s="13" t="s">
        <v>148</v>
      </c>
      <c r="BE723" s="116"/>
      <c r="BF723" s="123"/>
      <c r="BG723" s="123"/>
      <c r="BH723" s="123"/>
      <c r="BM723" s="115"/>
      <c r="BN723" s="115"/>
      <c r="BO723" s="115"/>
      <c r="BP723" s="115"/>
      <c r="BQ723" s="115"/>
      <c r="BR723" s="115"/>
      <c r="BS723" s="115"/>
      <c r="BT723" s="115"/>
      <c r="BU723" s="115"/>
      <c r="BV723" s="115"/>
      <c r="BW723" s="25"/>
      <c r="BX723" s="13"/>
      <c r="CA723" s="114"/>
    </row>
    <row r="724" spans="1:79" ht="19.5" x14ac:dyDescent="0.4">
      <c r="A724" s="117"/>
      <c r="B724" s="123"/>
      <c r="C724" s="123"/>
      <c r="D724" s="123"/>
      <c r="AN724" s="127"/>
      <c r="AO724" s="29"/>
      <c r="AP724" s="115"/>
      <c r="AQ724" s="115"/>
      <c r="AR724" s="115"/>
      <c r="AS724" s="115"/>
      <c r="AT724" s="115"/>
      <c r="AU724" s="115"/>
      <c r="AV724" s="115"/>
      <c r="AW724" s="115"/>
      <c r="AX724" s="115"/>
      <c r="AY724" s="25"/>
      <c r="AZ724" s="13"/>
      <c r="BE724" s="116"/>
      <c r="BF724" s="123"/>
      <c r="BG724" s="123"/>
      <c r="BH724" s="123"/>
      <c r="BM724" s="115"/>
      <c r="BN724" s="115"/>
      <c r="BO724" s="115"/>
      <c r="BP724" s="115"/>
      <c r="BQ724" s="115"/>
      <c r="BR724" s="115"/>
      <c r="BS724" s="115"/>
      <c r="BT724" s="115"/>
      <c r="BU724" s="115"/>
      <c r="BV724" s="115"/>
      <c r="BW724" s="25"/>
      <c r="BX724" s="13"/>
      <c r="CA724" s="114"/>
    </row>
    <row r="725" spans="1:79" ht="19.5" x14ac:dyDescent="0.4">
      <c r="A725" s="117"/>
      <c r="B725" s="123"/>
      <c r="C725" s="123"/>
      <c r="D725" s="123"/>
      <c r="AF725" s="115"/>
      <c r="AG725" s="115"/>
      <c r="AH725" s="115"/>
      <c r="AI725" s="115"/>
      <c r="AJ725" s="115"/>
      <c r="AK725" s="115"/>
      <c r="AL725" s="115"/>
      <c r="AM725" s="115"/>
      <c r="AN725" s="29"/>
      <c r="AO725" s="29"/>
      <c r="AP725" s="115"/>
      <c r="AQ725" s="115"/>
      <c r="AR725" s="115"/>
      <c r="AS725" s="115"/>
      <c r="AT725" s="115"/>
      <c r="AU725" s="115"/>
      <c r="AV725" s="115"/>
      <c r="AW725" s="115"/>
      <c r="AX725" s="115"/>
      <c r="AY725" s="25"/>
      <c r="AZ725" s="13"/>
      <c r="BE725" s="116"/>
      <c r="BF725" s="123"/>
      <c r="BG725" s="123"/>
      <c r="BH725" s="123"/>
      <c r="BM725" s="115"/>
      <c r="BN725" s="115"/>
      <c r="BO725" s="115"/>
      <c r="BP725" s="115"/>
      <c r="BQ725" s="115"/>
      <c r="BR725" s="115"/>
      <c r="BS725" s="115"/>
      <c r="BT725" s="115"/>
      <c r="BU725" s="115"/>
      <c r="BV725" s="115"/>
      <c r="BW725" s="25"/>
      <c r="BX725" s="13"/>
      <c r="CA725" s="114"/>
    </row>
    <row r="726" spans="1:79" ht="19.5" x14ac:dyDescent="0.4">
      <c r="A726" s="117"/>
      <c r="B726" s="123"/>
      <c r="C726" s="123"/>
      <c r="D726" s="123"/>
      <c r="AD726" s="115"/>
      <c r="AE726" s="115"/>
      <c r="AF726" s="115"/>
      <c r="AG726" s="115"/>
      <c r="AH726" s="115"/>
      <c r="AI726" s="115"/>
      <c r="AJ726" s="115"/>
      <c r="AK726" s="115"/>
      <c r="AL726" s="115"/>
      <c r="AM726" s="115"/>
      <c r="AN726" s="127"/>
      <c r="AO726" s="29"/>
      <c r="AP726" s="115"/>
      <c r="AQ726" s="115"/>
      <c r="AR726" s="115"/>
      <c r="AS726" s="115"/>
      <c r="AT726" s="115"/>
      <c r="AU726" s="115"/>
      <c r="AV726" s="115"/>
      <c r="AW726" s="115"/>
      <c r="AX726" s="115"/>
      <c r="AY726" s="25"/>
      <c r="AZ726" s="13"/>
      <c r="BE726" s="116"/>
      <c r="BF726" s="123"/>
      <c r="BG726" s="123"/>
      <c r="BH726" s="123"/>
      <c r="BM726" s="115"/>
      <c r="BN726" s="115"/>
      <c r="BO726" s="115"/>
      <c r="BP726" s="115"/>
      <c r="BQ726" s="115"/>
      <c r="BR726" s="115"/>
      <c r="BS726" s="115"/>
      <c r="BT726" s="115"/>
      <c r="BU726" s="115"/>
      <c r="BV726" s="115"/>
      <c r="BW726" s="25"/>
      <c r="BX726" s="13"/>
      <c r="CA726" s="114"/>
    </row>
    <row r="727" spans="1:79" ht="19.5" x14ac:dyDescent="0.4">
      <c r="A727" s="117"/>
      <c r="B727" s="123"/>
      <c r="C727" s="123"/>
      <c r="D727" s="123"/>
      <c r="AD727" s="115"/>
      <c r="AE727" s="115"/>
      <c r="AF727" s="115"/>
      <c r="AG727" s="115"/>
      <c r="AH727" s="115"/>
      <c r="AI727" s="115"/>
      <c r="AJ727" s="115"/>
      <c r="AK727" s="115"/>
      <c r="AL727" s="115"/>
      <c r="AM727" s="115"/>
      <c r="AN727" s="29"/>
      <c r="AO727" s="29"/>
      <c r="AP727" s="115"/>
      <c r="AQ727" s="115"/>
      <c r="AR727" s="115"/>
      <c r="AS727" s="115"/>
      <c r="AT727" s="115"/>
      <c r="AU727" s="115"/>
      <c r="AV727" s="115"/>
      <c r="AW727" s="115"/>
      <c r="AX727" s="115"/>
      <c r="AY727" s="25"/>
      <c r="AZ727" s="13"/>
      <c r="BE727" s="116"/>
      <c r="BF727" s="123"/>
      <c r="BG727" s="123"/>
      <c r="BH727" s="123"/>
      <c r="BM727" s="115"/>
      <c r="BN727" s="115"/>
      <c r="BO727" s="115"/>
      <c r="BP727" s="115"/>
      <c r="BQ727" s="115"/>
      <c r="BR727" s="115"/>
      <c r="BS727" s="115"/>
      <c r="BT727" s="115"/>
      <c r="BU727" s="115"/>
      <c r="BV727" s="115"/>
      <c r="BW727" s="25"/>
      <c r="BX727" s="13"/>
      <c r="CA727" s="114"/>
    </row>
    <row r="728" spans="1:79" ht="19.5" x14ac:dyDescent="0.4">
      <c r="A728" s="117"/>
      <c r="B728" s="123"/>
      <c r="C728" s="123"/>
      <c r="D728" s="123"/>
      <c r="AB728" s="115"/>
      <c r="AC728" s="115"/>
      <c r="AD728" s="115"/>
      <c r="AE728" s="115"/>
      <c r="AF728" s="115"/>
      <c r="AG728" s="115"/>
      <c r="AH728" s="115"/>
      <c r="AI728" s="115"/>
      <c r="AJ728" s="115"/>
      <c r="AK728" s="115"/>
      <c r="AL728" s="115"/>
      <c r="AM728" s="115"/>
      <c r="AN728" s="127"/>
      <c r="AO728" s="29"/>
      <c r="AP728" s="115"/>
      <c r="AQ728" s="115"/>
      <c r="AR728" s="115"/>
      <c r="AS728" s="115"/>
      <c r="AT728" s="115"/>
      <c r="AU728" s="115"/>
      <c r="AV728" s="115"/>
      <c r="AW728" s="115"/>
      <c r="AX728" s="115"/>
      <c r="AY728" s="25"/>
      <c r="AZ728" s="13"/>
      <c r="BE728" s="116"/>
      <c r="BF728" s="123"/>
      <c r="BG728" s="123"/>
      <c r="BH728" s="123"/>
      <c r="BM728" s="115"/>
      <c r="BN728" s="115"/>
      <c r="BO728" s="115"/>
      <c r="BP728" s="115"/>
      <c r="BQ728" s="115"/>
      <c r="BR728" s="115"/>
      <c r="BS728" s="115"/>
      <c r="BT728" s="115"/>
      <c r="BU728" s="115"/>
      <c r="BV728" s="115"/>
      <c r="BW728" s="25"/>
      <c r="BX728" s="13"/>
      <c r="CA728" s="114"/>
    </row>
    <row r="729" spans="1:79" ht="19.5" x14ac:dyDescent="0.4">
      <c r="A729" s="117"/>
      <c r="B729" s="123"/>
      <c r="C729" s="123"/>
      <c r="D729" s="123"/>
      <c r="AB729" s="115"/>
      <c r="AC729" s="115"/>
      <c r="AD729" s="115"/>
      <c r="AE729" s="115"/>
      <c r="AF729" s="115"/>
      <c r="AG729" s="115"/>
      <c r="AH729" s="115"/>
      <c r="AI729" s="115"/>
      <c r="AJ729" s="115"/>
      <c r="AK729" s="115"/>
      <c r="AL729" s="115"/>
      <c r="AM729" s="115"/>
      <c r="AN729" s="29"/>
      <c r="AO729" s="29"/>
      <c r="AP729" s="115"/>
      <c r="AQ729" s="115"/>
      <c r="AR729" s="115"/>
      <c r="AS729" s="115"/>
      <c r="AT729" s="115"/>
      <c r="AU729" s="115"/>
      <c r="AV729" s="115"/>
      <c r="AW729" s="115"/>
      <c r="AX729" s="115"/>
      <c r="AY729" s="25"/>
      <c r="AZ729" s="13"/>
      <c r="BE729" s="116"/>
      <c r="BF729" s="123"/>
      <c r="BG729" s="123"/>
      <c r="BH729" s="123"/>
      <c r="BM729" s="115"/>
      <c r="BN729" s="115"/>
      <c r="BO729" s="115"/>
      <c r="BP729" s="115"/>
      <c r="BQ729" s="115"/>
      <c r="BR729" s="115"/>
      <c r="BS729" s="115"/>
      <c r="BT729" s="115"/>
      <c r="BU729" s="115"/>
      <c r="BV729" s="115"/>
      <c r="BW729" s="25"/>
      <c r="BX729" s="13"/>
      <c r="CA729" s="114"/>
    </row>
    <row r="730" spans="1:79" ht="19.5" x14ac:dyDescent="0.4">
      <c r="A730" s="117"/>
      <c r="B730" s="123"/>
      <c r="C730" s="123"/>
      <c r="D730" s="123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115"/>
      <c r="AK730" s="115"/>
      <c r="AL730" s="115"/>
      <c r="AM730" s="115"/>
      <c r="AN730" s="127"/>
      <c r="AO730" s="29"/>
      <c r="AP730" s="115"/>
      <c r="AQ730" s="115"/>
      <c r="AR730" s="115"/>
      <c r="AS730" s="115"/>
      <c r="AT730" s="115"/>
      <c r="AU730" s="115"/>
      <c r="AV730" s="115"/>
      <c r="AW730" s="115"/>
      <c r="AX730" s="115"/>
      <c r="AY730" s="25"/>
      <c r="AZ730" s="13"/>
      <c r="BE730" s="116"/>
      <c r="BF730" s="123"/>
      <c r="BG730" s="123"/>
      <c r="BH730" s="123"/>
      <c r="BM730" s="115"/>
      <c r="BN730" s="115"/>
      <c r="BO730" s="115"/>
      <c r="BP730" s="115"/>
      <c r="BQ730" s="115"/>
      <c r="BR730" s="115"/>
      <c r="BS730" s="115"/>
      <c r="BT730" s="115"/>
      <c r="BU730" s="115"/>
      <c r="BV730" s="115"/>
      <c r="BW730" s="25"/>
      <c r="BX730" s="13"/>
      <c r="CA730" s="114"/>
    </row>
    <row r="731" spans="1:79" ht="19.5" x14ac:dyDescent="0.4">
      <c r="A731" s="117"/>
      <c r="B731" s="123"/>
      <c r="C731" s="123"/>
      <c r="D731" s="123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  <c r="AK731" s="115"/>
      <c r="AL731" s="115"/>
      <c r="AM731" s="115"/>
      <c r="AN731" s="127"/>
      <c r="AO731" s="29"/>
      <c r="AP731" s="115"/>
      <c r="AQ731" s="115"/>
      <c r="AR731" s="115"/>
      <c r="AS731" s="115"/>
      <c r="AT731" s="115"/>
      <c r="AU731" s="115"/>
      <c r="AV731" s="115"/>
      <c r="AW731" s="115"/>
      <c r="AX731" s="115"/>
      <c r="AY731" s="25"/>
      <c r="AZ731" s="13"/>
      <c r="BE731" s="116"/>
      <c r="BF731" s="123"/>
      <c r="BG731" s="123"/>
      <c r="BH731" s="123"/>
      <c r="BM731" s="115"/>
      <c r="BN731" s="115"/>
      <c r="BO731" s="115"/>
      <c r="BP731" s="115"/>
      <c r="BQ731" s="115"/>
      <c r="BR731" s="115"/>
      <c r="BS731" s="115"/>
      <c r="BT731" s="115"/>
      <c r="BU731" s="115"/>
      <c r="BV731" s="115"/>
      <c r="BW731" s="25"/>
      <c r="BX731" s="13"/>
      <c r="CA731" s="114"/>
    </row>
    <row r="732" spans="1:79" ht="19.5" x14ac:dyDescent="0.4">
      <c r="A732" s="117"/>
      <c r="B732" s="123"/>
      <c r="C732" s="123"/>
      <c r="D732" s="123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  <c r="AK732" s="115"/>
      <c r="AL732" s="115"/>
      <c r="AM732" s="115"/>
      <c r="AN732" s="127"/>
      <c r="AO732" s="29"/>
      <c r="AP732" s="115"/>
      <c r="AQ732" s="115"/>
      <c r="AR732" s="115"/>
      <c r="AS732" s="115"/>
      <c r="AT732" s="115"/>
      <c r="AU732" s="115"/>
      <c r="AV732" s="115"/>
      <c r="AW732" s="115"/>
      <c r="AX732" s="115"/>
      <c r="AY732" s="25"/>
      <c r="AZ732" s="13"/>
      <c r="BE732" s="116"/>
      <c r="BF732" s="123"/>
      <c r="BG732" s="123"/>
      <c r="BH732" s="123"/>
      <c r="BM732" s="115"/>
      <c r="BN732" s="115"/>
      <c r="BO732" s="115"/>
      <c r="BP732" s="115"/>
      <c r="BQ732" s="115"/>
      <c r="BR732" s="115"/>
      <c r="BS732" s="115"/>
      <c r="BT732" s="115"/>
      <c r="BU732" s="115"/>
      <c r="BV732" s="115"/>
      <c r="BW732" s="25"/>
      <c r="BX732" s="13"/>
      <c r="CA732" s="114"/>
    </row>
    <row r="733" spans="1:79" ht="19.5" x14ac:dyDescent="0.4">
      <c r="A733" s="117"/>
      <c r="B733" s="123"/>
      <c r="C733" s="123"/>
      <c r="D733" s="123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  <c r="AK733" s="115"/>
      <c r="AL733" s="115"/>
      <c r="AM733" s="115"/>
      <c r="AN733" s="29"/>
      <c r="AO733" s="29"/>
      <c r="AP733" s="115"/>
      <c r="AQ733" s="115"/>
      <c r="AR733" s="115"/>
      <c r="AS733" s="115"/>
      <c r="AT733" s="115"/>
      <c r="AU733" s="115"/>
      <c r="AV733" s="115"/>
      <c r="AW733" s="115"/>
      <c r="AX733" s="115"/>
      <c r="AY733" s="25"/>
      <c r="AZ733" s="13"/>
      <c r="BE733" s="116"/>
      <c r="BF733" s="123"/>
      <c r="BG733" s="123"/>
      <c r="BH733" s="123"/>
      <c r="BM733" s="115"/>
      <c r="BN733" s="115"/>
      <c r="BO733" s="115"/>
      <c r="BP733" s="115"/>
      <c r="BQ733" s="115"/>
      <c r="BR733" s="115"/>
      <c r="BS733" s="115"/>
      <c r="BT733" s="115"/>
      <c r="BU733" s="115"/>
      <c r="BV733" s="115"/>
      <c r="BW733" s="25"/>
      <c r="BX733" s="13"/>
      <c r="CA733" s="114"/>
    </row>
    <row r="734" spans="1:79" ht="19.5" x14ac:dyDescent="0.4">
      <c r="A734" s="117"/>
      <c r="B734" s="123"/>
      <c r="C734" s="123"/>
      <c r="D734" s="123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15"/>
      <c r="AK734" s="115"/>
      <c r="AL734" s="115"/>
      <c r="AM734" s="115"/>
      <c r="AN734" s="127"/>
      <c r="AO734" s="29"/>
      <c r="AP734" s="115"/>
      <c r="AQ734" s="115"/>
      <c r="AR734" s="115"/>
      <c r="AS734" s="115"/>
      <c r="AT734" s="115"/>
      <c r="AU734" s="115"/>
      <c r="AV734" s="115"/>
      <c r="AW734" s="115"/>
      <c r="AX734" s="115"/>
      <c r="AY734" s="25"/>
      <c r="AZ734" s="13"/>
      <c r="BE734" s="116"/>
      <c r="BF734" s="123"/>
      <c r="BG734" s="123"/>
      <c r="BH734" s="123"/>
      <c r="BM734" s="115"/>
      <c r="BN734" s="115"/>
      <c r="BO734" s="115"/>
      <c r="BP734" s="115"/>
      <c r="BQ734" s="115"/>
      <c r="BR734" s="115"/>
      <c r="BS734" s="115"/>
      <c r="BT734" s="115"/>
      <c r="BU734" s="115"/>
      <c r="BV734" s="115"/>
      <c r="BW734" s="25"/>
      <c r="BX734" s="13"/>
      <c r="CA734" s="114"/>
    </row>
    <row r="735" spans="1:79" ht="19.5" x14ac:dyDescent="0.4">
      <c r="A735" s="117"/>
      <c r="B735" s="123"/>
      <c r="C735" s="123"/>
      <c r="D735" s="123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  <c r="AK735" s="115"/>
      <c r="AL735" s="115"/>
      <c r="AM735" s="115"/>
      <c r="AN735" s="29"/>
      <c r="AO735" s="29"/>
      <c r="AP735" s="115"/>
      <c r="AQ735" s="115"/>
      <c r="AR735" s="115"/>
      <c r="AS735" s="115"/>
      <c r="AT735" s="115"/>
      <c r="AU735" s="115"/>
      <c r="AV735" s="115"/>
      <c r="AW735" s="115"/>
      <c r="AX735" s="115"/>
      <c r="AY735" s="25"/>
      <c r="AZ735" s="13"/>
      <c r="BE735" s="116"/>
      <c r="BF735" s="123"/>
      <c r="BG735" s="123"/>
      <c r="BH735" s="123"/>
      <c r="BM735" s="115"/>
      <c r="BN735" s="115"/>
      <c r="BO735" s="115"/>
      <c r="BP735" s="115"/>
      <c r="BQ735" s="115"/>
      <c r="BR735" s="115"/>
      <c r="BS735" s="115"/>
      <c r="BT735" s="115"/>
      <c r="BU735" s="115"/>
      <c r="BV735" s="115"/>
      <c r="BW735" s="25"/>
      <c r="BX735" s="13"/>
      <c r="CA735" s="114"/>
    </row>
    <row r="736" spans="1:79" ht="19.5" x14ac:dyDescent="0.4">
      <c r="A736" s="117"/>
      <c r="B736" s="123"/>
      <c r="C736" s="123"/>
      <c r="D736" s="123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  <c r="AK736" s="115"/>
      <c r="AL736" s="115"/>
      <c r="AM736" s="115"/>
      <c r="AN736" s="127"/>
      <c r="AO736" s="29"/>
      <c r="AP736" s="115"/>
      <c r="AQ736" s="115"/>
      <c r="AR736" s="115"/>
      <c r="AS736" s="115"/>
      <c r="AT736" s="115"/>
      <c r="AU736" s="115"/>
      <c r="AV736" s="115"/>
      <c r="AW736" s="115"/>
      <c r="AX736" s="115"/>
      <c r="AY736" s="25"/>
      <c r="AZ736" s="13"/>
      <c r="BE736" s="116"/>
      <c r="BF736" s="123"/>
      <c r="BG736" s="123"/>
      <c r="BH736" s="123"/>
      <c r="BM736" s="115"/>
      <c r="BN736" s="115"/>
      <c r="BO736" s="115"/>
      <c r="BP736" s="115"/>
      <c r="BQ736" s="115"/>
      <c r="BR736" s="115"/>
      <c r="BS736" s="115"/>
      <c r="BT736" s="115"/>
      <c r="BU736" s="115"/>
      <c r="BV736" s="115"/>
      <c r="BW736" s="25"/>
      <c r="BX736" s="13"/>
      <c r="CA736" s="114"/>
    </row>
    <row r="737" spans="1:79" ht="19.5" x14ac:dyDescent="0.4">
      <c r="A737" s="117"/>
      <c r="B737" s="123"/>
      <c r="C737" s="123"/>
      <c r="D737" s="123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  <c r="AK737" s="115"/>
      <c r="AL737" s="115"/>
      <c r="AM737" s="115"/>
      <c r="AN737" s="29"/>
      <c r="AO737" s="29"/>
      <c r="AP737" s="115"/>
      <c r="AQ737" s="115"/>
      <c r="AR737" s="115"/>
      <c r="AS737" s="115"/>
      <c r="AT737" s="115"/>
      <c r="AU737" s="115"/>
      <c r="AV737" s="115"/>
      <c r="AW737" s="115"/>
      <c r="AX737" s="115"/>
      <c r="AY737" s="25"/>
      <c r="AZ737" s="13"/>
      <c r="BE737" s="116"/>
      <c r="BF737" s="123"/>
      <c r="BG737" s="123"/>
      <c r="BH737" s="123"/>
      <c r="BM737" s="115"/>
      <c r="BN737" s="115"/>
      <c r="BO737" s="115"/>
      <c r="BP737" s="115"/>
      <c r="BQ737" s="115"/>
      <c r="BR737" s="115"/>
      <c r="BS737" s="115"/>
      <c r="BT737" s="115"/>
      <c r="BU737" s="115"/>
      <c r="BV737" s="115"/>
      <c r="BW737" s="25"/>
      <c r="BX737" s="13"/>
      <c r="CA737" s="114"/>
    </row>
    <row r="738" spans="1:79" ht="19.5" x14ac:dyDescent="0.4">
      <c r="A738" s="117"/>
      <c r="B738" s="123"/>
      <c r="C738" s="123"/>
      <c r="D738" s="123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  <c r="AK738" s="115"/>
      <c r="AL738" s="115"/>
      <c r="AM738" s="115"/>
      <c r="AN738" s="29"/>
      <c r="AO738" s="29"/>
      <c r="AP738" s="115"/>
      <c r="AQ738" s="115"/>
      <c r="AR738" s="115"/>
      <c r="AS738" s="115"/>
      <c r="AT738" s="115"/>
      <c r="AU738" s="115"/>
      <c r="AV738" s="115"/>
      <c r="AW738" s="115"/>
      <c r="AX738" s="115"/>
      <c r="AY738" s="25"/>
      <c r="AZ738" s="13"/>
      <c r="BE738" s="116"/>
      <c r="BF738" s="123"/>
      <c r="BG738" s="123"/>
      <c r="BH738" s="123"/>
      <c r="BM738" s="115"/>
      <c r="BN738" s="115"/>
      <c r="BO738" s="115"/>
      <c r="BP738" s="115"/>
      <c r="BQ738" s="115"/>
      <c r="BR738" s="115"/>
      <c r="BS738" s="115"/>
      <c r="BT738" s="115"/>
      <c r="BU738" s="115"/>
      <c r="BV738" s="115"/>
      <c r="BW738" s="25"/>
      <c r="BX738" s="13"/>
      <c r="CA738" s="114"/>
    </row>
    <row r="739" spans="1:79" ht="19.5" x14ac:dyDescent="0.4">
      <c r="A739" s="117"/>
      <c r="B739" s="123"/>
      <c r="C739" s="123"/>
      <c r="D739" s="123"/>
      <c r="AN739" s="127"/>
      <c r="AO739" s="29"/>
      <c r="AP739" s="115"/>
      <c r="AQ739" s="115"/>
      <c r="AR739" s="115"/>
      <c r="AS739" s="115"/>
      <c r="AT739" s="115"/>
      <c r="AU739" s="115"/>
      <c r="AV739" s="115"/>
      <c r="AW739" s="115"/>
      <c r="AX739" s="115"/>
      <c r="AY739" s="25">
        <v>45677</v>
      </c>
      <c r="AZ739" s="13" t="s">
        <v>146</v>
      </c>
      <c r="BE739" s="116"/>
      <c r="BF739" s="123"/>
      <c r="BG739" s="123"/>
      <c r="BH739" s="123"/>
      <c r="BM739" s="115"/>
      <c r="BN739" s="115"/>
      <c r="BO739" s="115"/>
      <c r="BP739" s="115"/>
      <c r="BQ739" s="115"/>
      <c r="BR739" s="115"/>
      <c r="BS739" s="115"/>
      <c r="BT739" s="115"/>
      <c r="BU739" s="115"/>
      <c r="BV739" s="115"/>
      <c r="BW739" s="25"/>
      <c r="BX739" s="13"/>
      <c r="CA739" s="114"/>
    </row>
    <row r="740" spans="1:79" ht="19.5" x14ac:dyDescent="0.4">
      <c r="A740" s="117"/>
      <c r="B740" s="123"/>
      <c r="C740" s="123"/>
      <c r="D740" s="123"/>
      <c r="AB740" s="115"/>
      <c r="AC740" s="115"/>
      <c r="AD740" s="115"/>
      <c r="AE740" s="115"/>
      <c r="AF740" s="115"/>
      <c r="AG740" s="115"/>
      <c r="AH740" s="115"/>
      <c r="AI740" s="115"/>
      <c r="AJ740" s="115"/>
      <c r="AK740" s="115"/>
      <c r="AL740" s="115"/>
      <c r="AM740" s="115"/>
      <c r="AN740" s="127"/>
      <c r="AO740" s="29"/>
      <c r="AP740" s="115"/>
      <c r="AQ740" s="115"/>
      <c r="AR740" s="115"/>
      <c r="AS740" s="115"/>
      <c r="AT740" s="115"/>
      <c r="AU740" s="115"/>
      <c r="AV740" s="115"/>
      <c r="AW740" s="115"/>
      <c r="AX740" s="115"/>
      <c r="AY740" s="25"/>
      <c r="AZ740" s="13"/>
      <c r="BE740" s="116"/>
      <c r="BF740" s="123"/>
      <c r="BG740" s="123"/>
      <c r="BH740" s="123"/>
      <c r="BM740" s="115"/>
      <c r="BN740" s="115"/>
      <c r="BO740" s="115"/>
      <c r="BP740" s="115"/>
      <c r="BQ740" s="115"/>
      <c r="BR740" s="115"/>
      <c r="BS740" s="115"/>
      <c r="BT740" s="115"/>
      <c r="BU740" s="115"/>
      <c r="BV740" s="115"/>
      <c r="BW740" s="25"/>
      <c r="BX740" s="13"/>
      <c r="CA740" s="114"/>
    </row>
    <row r="741" spans="1:79" ht="19.5" x14ac:dyDescent="0.4">
      <c r="A741" s="117"/>
      <c r="B741" s="123"/>
      <c r="C741" s="123"/>
      <c r="D741" s="123"/>
      <c r="AN741" s="127"/>
      <c r="AO741" s="29"/>
      <c r="AP741" s="115"/>
      <c r="AQ741" s="115"/>
      <c r="AR741" s="115"/>
      <c r="AS741" s="115"/>
      <c r="AT741" s="115"/>
      <c r="AU741" s="115"/>
      <c r="AV741" s="115"/>
      <c r="AW741" s="115"/>
      <c r="AX741" s="115"/>
      <c r="AY741" s="25"/>
      <c r="AZ741" s="13"/>
      <c r="BE741" s="116"/>
      <c r="BF741" s="123"/>
      <c r="BG741" s="123"/>
      <c r="BH741" s="123"/>
      <c r="BM741" s="115"/>
      <c r="BN741" s="115"/>
      <c r="BO741" s="115"/>
      <c r="BP741" s="115"/>
      <c r="BQ741" s="115"/>
      <c r="BR741" s="115"/>
      <c r="BS741" s="115"/>
      <c r="BT741" s="115"/>
      <c r="BU741" s="115"/>
      <c r="BV741" s="115"/>
      <c r="BW741" s="25"/>
      <c r="BX741" s="13"/>
      <c r="CA741" s="114"/>
    </row>
    <row r="742" spans="1:79" ht="19.5" x14ac:dyDescent="0.4">
      <c r="A742" s="117"/>
      <c r="B742" s="123"/>
      <c r="C742" s="123"/>
      <c r="D742" s="123"/>
      <c r="AB742" s="115"/>
      <c r="AC742" s="115"/>
      <c r="AD742" s="115"/>
      <c r="AE742" s="115"/>
      <c r="AF742" s="115"/>
      <c r="AG742" s="115"/>
      <c r="AH742" s="115"/>
      <c r="AI742" s="115"/>
      <c r="AJ742" s="115"/>
      <c r="AK742" s="115"/>
      <c r="AL742" s="115"/>
      <c r="AM742" s="115"/>
      <c r="AN742" s="127"/>
      <c r="AO742" s="29"/>
      <c r="AP742" s="115"/>
      <c r="AQ742" s="115"/>
      <c r="AR742" s="115"/>
      <c r="AS742" s="115"/>
      <c r="AT742" s="115"/>
      <c r="AU742" s="115"/>
      <c r="AV742" s="115"/>
      <c r="AW742" s="115"/>
      <c r="AX742" s="115"/>
      <c r="AY742" s="25"/>
      <c r="AZ742" s="13"/>
      <c r="BE742" s="116"/>
      <c r="BF742" s="123"/>
      <c r="BG742" s="123"/>
      <c r="BH742" s="123"/>
      <c r="BM742" s="115"/>
      <c r="BN742" s="115"/>
      <c r="BO742" s="115"/>
      <c r="BP742" s="115"/>
      <c r="BQ742" s="115"/>
      <c r="BR742" s="115"/>
      <c r="BS742" s="115"/>
      <c r="BT742" s="115"/>
      <c r="BU742" s="115"/>
      <c r="BV742" s="115"/>
      <c r="BW742" s="25"/>
      <c r="BX742" s="13"/>
      <c r="CA742" s="114"/>
    </row>
    <row r="743" spans="1:79" ht="19.5" x14ac:dyDescent="0.4">
      <c r="A743" s="117"/>
      <c r="B743" s="123"/>
      <c r="C743" s="123"/>
      <c r="D743" s="123"/>
      <c r="AB743" s="115"/>
      <c r="AC743" s="115"/>
      <c r="AD743" s="115"/>
      <c r="AE743" s="115"/>
      <c r="AF743" s="115"/>
      <c r="AG743" s="115"/>
      <c r="AH743" s="115"/>
      <c r="AI743" s="115"/>
      <c r="AJ743" s="115"/>
      <c r="AK743" s="115"/>
      <c r="AL743" s="115"/>
      <c r="AM743" s="115"/>
      <c r="AN743" s="127"/>
      <c r="AO743" s="29"/>
      <c r="AP743" s="115"/>
      <c r="AQ743" s="115"/>
      <c r="AR743" s="115"/>
      <c r="AS743" s="115"/>
      <c r="AT743" s="115"/>
      <c r="AU743" s="115"/>
      <c r="AV743" s="115"/>
      <c r="AW743" s="115"/>
      <c r="AX743" s="115"/>
      <c r="AY743" s="25"/>
      <c r="AZ743" s="13"/>
      <c r="BE743" s="116"/>
      <c r="BF743" s="123"/>
      <c r="BG743" s="123"/>
      <c r="BH743" s="123"/>
      <c r="BM743" s="115"/>
      <c r="BN743" s="115"/>
      <c r="BO743" s="115"/>
      <c r="BP743" s="115"/>
      <c r="BQ743" s="115"/>
      <c r="BR743" s="115"/>
      <c r="BS743" s="115"/>
      <c r="BT743" s="115"/>
      <c r="BU743" s="115"/>
      <c r="BV743" s="115"/>
      <c r="BW743" s="25"/>
      <c r="BX743" s="13"/>
      <c r="CA743" s="114"/>
    </row>
    <row r="744" spans="1:79" ht="19.5" x14ac:dyDescent="0.4">
      <c r="A744" s="117"/>
      <c r="B744" s="123"/>
      <c r="C744" s="123"/>
      <c r="D744" s="123"/>
      <c r="AN744" s="127"/>
      <c r="AO744" s="29"/>
      <c r="AP744" s="115"/>
      <c r="AQ744" s="115"/>
      <c r="AR744" s="115"/>
      <c r="AS744" s="115"/>
      <c r="AT744" s="115"/>
      <c r="AU744" s="115"/>
      <c r="AV744" s="115"/>
      <c r="AW744" s="115"/>
      <c r="AX744" s="115"/>
      <c r="AY744" s="25"/>
      <c r="AZ744" s="13"/>
      <c r="BE744" s="116"/>
      <c r="BF744" s="123"/>
      <c r="BG744" s="123"/>
      <c r="BH744" s="123"/>
      <c r="BM744" s="115"/>
      <c r="BN744" s="115"/>
      <c r="BO744" s="115"/>
      <c r="BP744" s="115"/>
      <c r="BQ744" s="115"/>
      <c r="BR744" s="115"/>
      <c r="BS744" s="115"/>
      <c r="BT744" s="115"/>
      <c r="BU744" s="115"/>
      <c r="BV744" s="115"/>
      <c r="BW744" s="25"/>
      <c r="BX744" s="13"/>
      <c r="CA744" s="114"/>
    </row>
    <row r="745" spans="1:79" ht="19.5" x14ac:dyDescent="0.4">
      <c r="A745" s="117"/>
      <c r="B745" s="123"/>
      <c r="C745" s="123"/>
      <c r="D745" s="123"/>
      <c r="AD745" s="115"/>
      <c r="AE745" s="115"/>
      <c r="AF745" s="115"/>
      <c r="AG745" s="115"/>
      <c r="AH745" s="115"/>
      <c r="AI745" s="115"/>
      <c r="AJ745" s="115"/>
      <c r="AK745" s="115"/>
      <c r="AL745" s="115"/>
      <c r="AM745" s="115"/>
      <c r="AN745" s="127"/>
      <c r="AO745" s="29"/>
      <c r="AP745" s="115"/>
      <c r="AQ745" s="115"/>
      <c r="AR745" s="115"/>
      <c r="AS745" s="115"/>
      <c r="AT745" s="115"/>
      <c r="AU745" s="115"/>
      <c r="AV745" s="115"/>
      <c r="AW745" s="115"/>
      <c r="AX745" s="115"/>
      <c r="AY745" s="25"/>
      <c r="AZ745" s="13"/>
      <c r="BE745" s="116"/>
      <c r="BF745" s="123"/>
      <c r="BG745" s="123"/>
      <c r="BH745" s="123"/>
      <c r="BM745" s="115"/>
      <c r="BN745" s="115"/>
      <c r="BO745" s="115"/>
      <c r="BP745" s="115"/>
      <c r="BQ745" s="115"/>
      <c r="BR745" s="115"/>
      <c r="BS745" s="115"/>
      <c r="BT745" s="115"/>
      <c r="BU745" s="115"/>
      <c r="BV745" s="115"/>
      <c r="BW745" s="25"/>
      <c r="BX745" s="13"/>
      <c r="CA745" s="114"/>
    </row>
    <row r="746" spans="1:79" ht="19.5" x14ac:dyDescent="0.4">
      <c r="A746" s="117"/>
      <c r="B746" s="123"/>
      <c r="C746" s="123"/>
      <c r="D746" s="123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5"/>
      <c r="AK746" s="115"/>
      <c r="AL746" s="115"/>
      <c r="AM746" s="115"/>
      <c r="AN746" s="127"/>
      <c r="AO746" s="29"/>
      <c r="AP746" s="115"/>
      <c r="AQ746" s="115"/>
      <c r="AR746" s="115"/>
      <c r="AS746" s="115"/>
      <c r="AT746" s="115"/>
      <c r="AU746" s="115"/>
      <c r="AV746" s="115"/>
      <c r="AW746" s="115"/>
      <c r="AX746" s="115"/>
      <c r="AY746" s="25"/>
      <c r="AZ746" s="13"/>
      <c r="BE746" s="116"/>
      <c r="BF746" s="123"/>
      <c r="BG746" s="123"/>
      <c r="BH746" s="123"/>
      <c r="BM746" s="115"/>
      <c r="BN746" s="115"/>
      <c r="BO746" s="115"/>
      <c r="BP746" s="115"/>
      <c r="BQ746" s="115"/>
      <c r="BR746" s="115"/>
      <c r="BS746" s="115"/>
      <c r="BT746" s="115"/>
      <c r="BU746" s="115"/>
      <c r="BV746" s="115"/>
      <c r="BW746" s="25"/>
      <c r="BX746" s="13"/>
      <c r="CA746" s="114"/>
    </row>
    <row r="747" spans="1:79" ht="19.5" x14ac:dyDescent="0.4">
      <c r="A747" s="117"/>
      <c r="B747" s="123"/>
      <c r="C747" s="123"/>
      <c r="D747" s="123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  <c r="AK747" s="115"/>
      <c r="AL747" s="115"/>
      <c r="AM747" s="115"/>
      <c r="AN747" s="127"/>
      <c r="AO747" s="29"/>
      <c r="AP747" s="115"/>
      <c r="AQ747" s="115"/>
      <c r="AR747" s="115"/>
      <c r="AS747" s="115"/>
      <c r="AT747" s="115"/>
      <c r="AU747" s="115"/>
      <c r="AV747" s="115"/>
      <c r="AW747" s="115"/>
      <c r="AX747" s="115"/>
      <c r="AY747" s="25"/>
      <c r="AZ747" s="13"/>
      <c r="BE747" s="116"/>
      <c r="BF747" s="123"/>
      <c r="BG747" s="123"/>
      <c r="BH747" s="123"/>
      <c r="BM747" s="115"/>
      <c r="BN747" s="115"/>
      <c r="BO747" s="115"/>
      <c r="BP747" s="115"/>
      <c r="BQ747" s="115"/>
      <c r="BR747" s="115"/>
      <c r="BS747" s="115"/>
      <c r="BT747" s="115"/>
      <c r="BU747" s="115"/>
      <c r="BV747" s="115"/>
      <c r="BW747" s="25"/>
      <c r="BX747" s="13"/>
      <c r="CA747" s="114"/>
    </row>
    <row r="748" spans="1:79" ht="19.5" x14ac:dyDescent="0.4">
      <c r="A748" s="117"/>
      <c r="B748" s="123"/>
      <c r="C748" s="123"/>
      <c r="D748" s="123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  <c r="AK748" s="115"/>
      <c r="AL748" s="115"/>
      <c r="AM748" s="115"/>
      <c r="AN748" s="29"/>
      <c r="AO748" s="29"/>
      <c r="AP748" s="115"/>
      <c r="AQ748" s="115"/>
      <c r="AR748" s="115"/>
      <c r="AS748" s="115"/>
      <c r="AT748" s="115"/>
      <c r="AU748" s="115"/>
      <c r="AV748" s="115"/>
      <c r="AW748" s="115"/>
      <c r="AX748" s="115"/>
      <c r="AY748" s="25"/>
      <c r="AZ748" s="13"/>
      <c r="BE748" s="116"/>
      <c r="BF748" s="123"/>
      <c r="BG748" s="123"/>
      <c r="BH748" s="123"/>
      <c r="BM748" s="115"/>
      <c r="BN748" s="115"/>
      <c r="BO748" s="115"/>
      <c r="BP748" s="115"/>
      <c r="BQ748" s="115"/>
      <c r="BR748" s="115"/>
      <c r="BS748" s="115"/>
      <c r="BT748" s="115"/>
      <c r="BU748" s="115"/>
      <c r="BV748" s="115"/>
      <c r="BW748" s="25"/>
      <c r="BX748" s="13"/>
      <c r="CA748" s="114"/>
    </row>
    <row r="749" spans="1:79" ht="19.5" x14ac:dyDescent="0.4">
      <c r="A749" s="117"/>
      <c r="B749" s="123"/>
      <c r="C749" s="123"/>
      <c r="D749" s="123"/>
      <c r="AN749" s="127"/>
      <c r="AO749" s="29"/>
      <c r="AP749" s="115"/>
      <c r="AQ749" s="115"/>
      <c r="AR749" s="115"/>
      <c r="AS749" s="115"/>
      <c r="AT749" s="115"/>
      <c r="AU749" s="115"/>
      <c r="AV749" s="115"/>
      <c r="AW749" s="115"/>
      <c r="AX749" s="115"/>
      <c r="AY749" s="25">
        <v>45677</v>
      </c>
      <c r="AZ749" s="13" t="s">
        <v>147</v>
      </c>
      <c r="BE749" s="116"/>
      <c r="BF749" s="123"/>
      <c r="BG749" s="123"/>
      <c r="BH749" s="123"/>
      <c r="BM749" s="115"/>
      <c r="BN749" s="115"/>
      <c r="BO749" s="115"/>
      <c r="BP749" s="115"/>
      <c r="BQ749" s="115"/>
      <c r="BR749" s="115"/>
      <c r="BS749" s="115"/>
      <c r="BT749" s="115"/>
      <c r="BU749" s="115"/>
      <c r="BV749" s="115"/>
      <c r="BW749" s="25"/>
      <c r="BX749" s="13"/>
      <c r="CA749" s="114"/>
    </row>
    <row r="750" spans="1:79" ht="19.5" x14ac:dyDescent="0.4">
      <c r="A750" s="117"/>
      <c r="B750" s="123"/>
      <c r="C750" s="123"/>
      <c r="D750" s="123"/>
      <c r="AC750" s="115"/>
      <c r="AD750" s="115"/>
      <c r="AE750" s="115"/>
      <c r="AF750" s="115"/>
      <c r="AG750" s="115"/>
      <c r="AH750" s="115"/>
      <c r="AI750" s="115"/>
      <c r="AJ750" s="115"/>
      <c r="AK750" s="115"/>
      <c r="AL750" s="115"/>
      <c r="AM750" s="115"/>
      <c r="AN750" s="127"/>
      <c r="AO750" s="29"/>
      <c r="AP750" s="115"/>
      <c r="AQ750" s="115"/>
      <c r="AR750" s="115"/>
      <c r="AS750" s="115"/>
      <c r="AT750" s="115"/>
      <c r="AU750" s="115"/>
      <c r="AV750" s="115"/>
      <c r="AW750" s="115"/>
      <c r="AX750" s="115"/>
      <c r="AY750" s="25"/>
      <c r="AZ750" s="13"/>
      <c r="BE750" s="116"/>
      <c r="BF750" s="123"/>
      <c r="BG750" s="123"/>
      <c r="BH750" s="123"/>
      <c r="BM750" s="115"/>
      <c r="BN750" s="115"/>
      <c r="BO750" s="115"/>
      <c r="BP750" s="115"/>
      <c r="BQ750" s="115"/>
      <c r="BR750" s="115"/>
      <c r="BS750" s="115"/>
      <c r="BT750" s="115"/>
      <c r="BU750" s="115"/>
      <c r="BV750" s="115"/>
      <c r="BW750" s="25"/>
      <c r="BX750" s="13"/>
      <c r="CA750" s="114"/>
    </row>
    <row r="751" spans="1:79" ht="19.5" x14ac:dyDescent="0.4">
      <c r="A751" s="117"/>
      <c r="B751" s="123"/>
      <c r="C751" s="123"/>
      <c r="D751" s="123"/>
      <c r="AN751" s="127"/>
      <c r="AO751" s="29"/>
      <c r="AP751" s="115"/>
      <c r="AQ751" s="115"/>
      <c r="AR751" s="115"/>
      <c r="AS751" s="115"/>
      <c r="AT751" s="115"/>
      <c r="AU751" s="115"/>
      <c r="AV751" s="115"/>
      <c r="AW751" s="115"/>
      <c r="AX751" s="115"/>
      <c r="AY751" s="25">
        <v>45677</v>
      </c>
      <c r="AZ751" s="25" t="s">
        <v>147</v>
      </c>
      <c r="BE751" s="116"/>
      <c r="BF751" s="123"/>
      <c r="BG751" s="123"/>
      <c r="BH751" s="123"/>
      <c r="BM751" s="115"/>
      <c r="BN751" s="115"/>
      <c r="BO751" s="115"/>
      <c r="BP751" s="115"/>
      <c r="BQ751" s="115"/>
      <c r="BR751" s="115"/>
      <c r="BS751" s="115"/>
      <c r="BT751" s="115"/>
      <c r="BU751" s="115"/>
      <c r="BV751" s="115"/>
      <c r="BW751" s="25"/>
      <c r="BX751" s="13"/>
      <c r="CA751" s="114"/>
    </row>
    <row r="752" spans="1:79" ht="19.5" x14ac:dyDescent="0.4">
      <c r="A752" s="117"/>
      <c r="B752" s="123"/>
      <c r="C752" s="123"/>
      <c r="D752" s="123"/>
      <c r="AN752" s="127"/>
      <c r="AO752" s="29"/>
      <c r="AP752" s="115"/>
      <c r="AQ752" s="115"/>
      <c r="AR752" s="115"/>
      <c r="AS752" s="115"/>
      <c r="AT752" s="115"/>
      <c r="AU752" s="115"/>
      <c r="AV752" s="115"/>
      <c r="AW752" s="115"/>
      <c r="AX752" s="115"/>
      <c r="AY752" s="25"/>
      <c r="AZ752" s="25"/>
      <c r="BE752" s="116"/>
      <c r="BF752" s="123"/>
      <c r="BG752" s="123"/>
      <c r="BH752" s="123"/>
      <c r="BM752" s="115"/>
      <c r="BN752" s="115"/>
      <c r="BO752" s="115"/>
      <c r="BP752" s="115"/>
      <c r="BQ752" s="115"/>
      <c r="BR752" s="115"/>
      <c r="BS752" s="115"/>
      <c r="BT752" s="115"/>
      <c r="BU752" s="115"/>
      <c r="BV752" s="115"/>
      <c r="BW752" s="25"/>
      <c r="BX752" s="13"/>
      <c r="CA752" s="114"/>
    </row>
    <row r="753" spans="1:79" ht="19.5" x14ac:dyDescent="0.4">
      <c r="A753" s="117"/>
      <c r="B753" s="123"/>
      <c r="C753" s="123"/>
      <c r="D753" s="123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  <c r="AK753" s="115"/>
      <c r="AL753" s="115"/>
      <c r="AM753" s="115"/>
      <c r="AN753" s="127"/>
      <c r="AO753" s="29"/>
      <c r="AP753" s="115"/>
      <c r="AQ753" s="115"/>
      <c r="AR753" s="115"/>
      <c r="AS753" s="115"/>
      <c r="AT753" s="115"/>
      <c r="AU753" s="115"/>
      <c r="AV753" s="115"/>
      <c r="AW753" s="115"/>
      <c r="AX753" s="115"/>
      <c r="AY753" s="25"/>
      <c r="AZ753" s="25"/>
      <c r="BE753" s="116"/>
      <c r="BF753" s="123"/>
      <c r="BG753" s="123"/>
      <c r="BH753" s="123"/>
      <c r="BM753" s="115"/>
      <c r="BN753" s="115"/>
      <c r="BO753" s="115"/>
      <c r="BP753" s="115"/>
      <c r="BQ753" s="115"/>
      <c r="BR753" s="115"/>
      <c r="BS753" s="115"/>
      <c r="BT753" s="115"/>
      <c r="BU753" s="115"/>
      <c r="BV753" s="115"/>
      <c r="BW753" s="25"/>
      <c r="BX753" s="13"/>
      <c r="CA753" s="114"/>
    </row>
    <row r="754" spans="1:79" ht="19.5" x14ac:dyDescent="0.4">
      <c r="A754" s="117"/>
      <c r="B754" s="123"/>
      <c r="C754" s="123"/>
      <c r="D754" s="123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15"/>
      <c r="AK754" s="115"/>
      <c r="AL754" s="115"/>
      <c r="AM754" s="115"/>
      <c r="AN754" s="127"/>
      <c r="AO754" s="29"/>
      <c r="AP754" s="115"/>
      <c r="AQ754" s="115"/>
      <c r="AR754" s="115"/>
      <c r="AS754" s="115"/>
      <c r="AT754" s="115"/>
      <c r="AU754" s="115"/>
      <c r="AV754" s="115"/>
      <c r="AW754" s="115"/>
      <c r="AX754" s="115"/>
      <c r="AY754" s="25"/>
      <c r="AZ754" s="25"/>
      <c r="BE754" s="116"/>
      <c r="BF754" s="123"/>
      <c r="BG754" s="123"/>
      <c r="BH754" s="123"/>
      <c r="BM754" s="115"/>
      <c r="BN754" s="115"/>
      <c r="BO754" s="115"/>
      <c r="BP754" s="115"/>
      <c r="BQ754" s="115"/>
      <c r="BR754" s="115"/>
      <c r="BS754" s="115"/>
      <c r="BT754" s="115"/>
      <c r="BU754" s="115"/>
      <c r="BV754" s="115"/>
      <c r="BW754" s="25"/>
      <c r="BX754" s="13"/>
      <c r="CA754" s="114"/>
    </row>
    <row r="755" spans="1:79" ht="19.5" x14ac:dyDescent="0.4">
      <c r="A755" s="117"/>
      <c r="B755" s="123"/>
      <c r="C755" s="123"/>
      <c r="D755" s="123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  <c r="AK755" s="115"/>
      <c r="AL755" s="115"/>
      <c r="AM755" s="115"/>
      <c r="AN755" s="127"/>
      <c r="AO755" s="29"/>
      <c r="AP755" s="115"/>
      <c r="AQ755" s="115"/>
      <c r="AR755" s="115"/>
      <c r="AS755" s="115"/>
      <c r="AT755" s="115"/>
      <c r="AU755" s="115"/>
      <c r="AV755" s="115"/>
      <c r="AW755" s="115"/>
      <c r="AX755" s="115"/>
      <c r="AY755" s="25"/>
      <c r="AZ755" s="25"/>
      <c r="BE755" s="116"/>
      <c r="BF755" s="123"/>
      <c r="BG755" s="123"/>
      <c r="BH755" s="123"/>
      <c r="BM755" s="115"/>
      <c r="BN755" s="115"/>
      <c r="BO755" s="115"/>
      <c r="BP755" s="115"/>
      <c r="BQ755" s="115"/>
      <c r="BR755" s="115"/>
      <c r="BS755" s="115"/>
      <c r="BT755" s="115"/>
      <c r="BU755" s="115"/>
      <c r="BV755" s="115"/>
      <c r="BW755" s="25"/>
      <c r="BX755" s="13"/>
      <c r="CA755" s="114"/>
    </row>
    <row r="756" spans="1:79" ht="19.5" x14ac:dyDescent="0.4">
      <c r="A756" s="117"/>
      <c r="B756" s="123"/>
      <c r="C756" s="123"/>
      <c r="D756" s="123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  <c r="AK756" s="115"/>
      <c r="AL756" s="115"/>
      <c r="AM756" s="115"/>
      <c r="AN756" s="29"/>
      <c r="AO756" s="29"/>
      <c r="AP756" s="115"/>
      <c r="AQ756" s="115"/>
      <c r="AR756" s="115"/>
      <c r="AS756" s="115"/>
      <c r="AT756" s="115"/>
      <c r="AU756" s="115"/>
      <c r="AV756" s="115"/>
      <c r="AW756" s="115"/>
      <c r="AX756" s="115"/>
      <c r="AY756" s="25"/>
      <c r="AZ756" s="25"/>
      <c r="BE756" s="116"/>
      <c r="BF756" s="123"/>
      <c r="BG756" s="123"/>
      <c r="BH756" s="123"/>
      <c r="BM756" s="115"/>
      <c r="BN756" s="115"/>
      <c r="BO756" s="115"/>
      <c r="BP756" s="115"/>
      <c r="BQ756" s="115"/>
      <c r="BR756" s="115"/>
      <c r="BS756" s="115"/>
      <c r="BT756" s="115"/>
      <c r="BU756" s="115"/>
      <c r="BV756" s="115"/>
      <c r="BW756" s="25"/>
      <c r="BX756" s="13"/>
      <c r="CA756" s="114"/>
    </row>
    <row r="757" spans="1:79" ht="19.5" x14ac:dyDescent="0.4">
      <c r="A757" s="117"/>
      <c r="B757" s="123"/>
      <c r="C757" s="123"/>
      <c r="D757" s="123"/>
      <c r="AN757" s="127"/>
      <c r="AO757" s="29"/>
      <c r="AP757" s="115"/>
      <c r="AQ757" s="115"/>
      <c r="AR757" s="115"/>
      <c r="AS757" s="115"/>
      <c r="AT757" s="115"/>
      <c r="AU757" s="115"/>
      <c r="AV757" s="115"/>
      <c r="AW757" s="115"/>
      <c r="AX757" s="115"/>
      <c r="AY757" s="25">
        <v>45678</v>
      </c>
      <c r="AZ757" s="13" t="s">
        <v>147</v>
      </c>
      <c r="BE757" s="116"/>
      <c r="BF757" s="123"/>
      <c r="BG757" s="123"/>
      <c r="BH757" s="123"/>
      <c r="BM757" s="115"/>
      <c r="BN757" s="115"/>
      <c r="BO757" s="115"/>
      <c r="BP757" s="115"/>
      <c r="BQ757" s="115"/>
      <c r="BR757" s="115"/>
      <c r="BS757" s="115"/>
      <c r="BT757" s="115"/>
      <c r="BU757" s="115"/>
      <c r="BV757" s="115"/>
      <c r="BW757" s="25"/>
      <c r="BX757" s="13"/>
      <c r="CA757" s="114"/>
    </row>
    <row r="758" spans="1:79" ht="19.5" x14ac:dyDescent="0.4">
      <c r="A758" s="117"/>
      <c r="B758" s="123"/>
      <c r="C758" s="123"/>
      <c r="D758" s="123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  <c r="AK758" s="115"/>
      <c r="AL758" s="115"/>
      <c r="AM758" s="115"/>
      <c r="AN758" s="127"/>
      <c r="AO758" s="29"/>
      <c r="AP758" s="115"/>
      <c r="AQ758" s="115"/>
      <c r="AR758" s="115"/>
      <c r="AS758" s="115"/>
      <c r="AT758" s="115"/>
      <c r="AU758" s="115"/>
      <c r="AV758" s="115"/>
      <c r="AW758" s="115"/>
      <c r="AX758" s="115"/>
      <c r="AY758" s="25"/>
      <c r="AZ758" s="13"/>
      <c r="BE758" s="116"/>
      <c r="BF758" s="123"/>
      <c r="BG758" s="123"/>
      <c r="BH758" s="123"/>
      <c r="BM758" s="115"/>
      <c r="BN758" s="115"/>
      <c r="BO758" s="115"/>
      <c r="BP758" s="115"/>
      <c r="BQ758" s="115"/>
      <c r="BR758" s="115"/>
      <c r="BS758" s="115"/>
      <c r="BT758" s="115"/>
      <c r="BU758" s="115"/>
      <c r="BV758" s="115"/>
      <c r="BW758" s="25"/>
      <c r="BX758" s="13"/>
      <c r="CA758" s="114"/>
    </row>
    <row r="759" spans="1:79" ht="19.5" x14ac:dyDescent="0.4">
      <c r="A759" s="117"/>
      <c r="B759" s="123"/>
      <c r="C759" s="123"/>
      <c r="D759" s="123"/>
      <c r="AN759" s="127"/>
      <c r="AO759" s="29"/>
      <c r="AP759" s="115"/>
      <c r="AQ759" s="115"/>
      <c r="AR759" s="115"/>
      <c r="AS759" s="115"/>
      <c r="AT759" s="115"/>
      <c r="AU759" s="115"/>
      <c r="AV759" s="115"/>
      <c r="AW759" s="115"/>
      <c r="AX759" s="115"/>
      <c r="AY759" s="25">
        <v>45678</v>
      </c>
      <c r="AZ759" s="13" t="s">
        <v>146</v>
      </c>
      <c r="BE759" s="116"/>
      <c r="BF759" s="123"/>
      <c r="BG759" s="123"/>
      <c r="BH759" s="123"/>
      <c r="BM759" s="115"/>
      <c r="BN759" s="115"/>
      <c r="BO759" s="115"/>
      <c r="BP759" s="115"/>
      <c r="BQ759" s="115"/>
      <c r="BR759" s="115"/>
      <c r="BS759" s="115"/>
      <c r="BT759" s="115"/>
      <c r="BU759" s="115"/>
      <c r="BV759" s="115"/>
      <c r="BW759" s="25"/>
      <c r="BX759" s="13"/>
      <c r="CA759" s="114"/>
    </row>
    <row r="760" spans="1:79" ht="19.5" x14ac:dyDescent="0.4">
      <c r="A760" s="117"/>
      <c r="B760" s="123"/>
      <c r="C760" s="123"/>
      <c r="D760" s="123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  <c r="AK760" s="115"/>
      <c r="AL760" s="115"/>
      <c r="AM760" s="115"/>
      <c r="AN760" s="127"/>
      <c r="AO760" s="29"/>
      <c r="AP760" s="115"/>
      <c r="AQ760" s="115"/>
      <c r="AR760" s="115"/>
      <c r="AS760" s="115"/>
      <c r="AT760" s="115"/>
      <c r="AU760" s="115"/>
      <c r="AV760" s="115"/>
      <c r="AW760" s="115"/>
      <c r="AX760" s="115"/>
      <c r="AY760" s="25"/>
      <c r="AZ760" s="13"/>
      <c r="BE760" s="116"/>
      <c r="BF760" s="123"/>
      <c r="BG760" s="123"/>
      <c r="BH760" s="123"/>
      <c r="BM760" s="115"/>
      <c r="BN760" s="115"/>
      <c r="BO760" s="115"/>
      <c r="BP760" s="115"/>
      <c r="BQ760" s="115"/>
      <c r="BR760" s="115"/>
      <c r="BS760" s="115"/>
      <c r="BT760" s="115"/>
      <c r="BU760" s="115"/>
      <c r="BV760" s="115"/>
      <c r="BW760" s="25"/>
      <c r="BX760" s="13"/>
      <c r="CA760" s="114"/>
    </row>
    <row r="761" spans="1:79" ht="19.5" x14ac:dyDescent="0.4">
      <c r="A761" s="117"/>
      <c r="B761" s="123"/>
      <c r="C761" s="123"/>
      <c r="D761" s="123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5"/>
      <c r="AK761" s="115"/>
      <c r="AL761" s="115"/>
      <c r="AM761" s="115"/>
      <c r="AN761" s="127"/>
      <c r="AO761" s="29"/>
      <c r="AP761" s="115"/>
      <c r="AQ761" s="115"/>
      <c r="AR761" s="115"/>
      <c r="AS761" s="115"/>
      <c r="AT761" s="115"/>
      <c r="AU761" s="115"/>
      <c r="AV761" s="115"/>
      <c r="AW761" s="115"/>
      <c r="AX761" s="115"/>
      <c r="AY761" s="25"/>
      <c r="AZ761" s="13"/>
      <c r="BE761" s="116"/>
      <c r="BF761" s="123"/>
      <c r="BG761" s="123"/>
      <c r="BH761" s="123"/>
      <c r="BM761" s="115"/>
      <c r="BN761" s="115"/>
      <c r="BO761" s="115"/>
      <c r="BP761" s="115"/>
      <c r="BQ761" s="115"/>
      <c r="BR761" s="115"/>
      <c r="BS761" s="115"/>
      <c r="BT761" s="115"/>
      <c r="BU761" s="115"/>
      <c r="BV761" s="115"/>
      <c r="BW761" s="25"/>
      <c r="BX761" s="13"/>
      <c r="CA761" s="114"/>
    </row>
    <row r="762" spans="1:79" ht="19.5" x14ac:dyDescent="0.4">
      <c r="A762" s="117"/>
      <c r="B762" s="123"/>
      <c r="C762" s="123"/>
      <c r="D762" s="123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  <c r="AK762" s="115"/>
      <c r="AL762" s="115"/>
      <c r="AM762" s="115"/>
      <c r="AN762" s="127"/>
      <c r="AO762" s="29"/>
      <c r="AP762" s="115"/>
      <c r="AQ762" s="115"/>
      <c r="AR762" s="115"/>
      <c r="AS762" s="115"/>
      <c r="AT762" s="115"/>
      <c r="AU762" s="115"/>
      <c r="AV762" s="115"/>
      <c r="AW762" s="115"/>
      <c r="AX762" s="115"/>
      <c r="AY762" s="25"/>
      <c r="AZ762" s="13"/>
      <c r="BE762" s="116"/>
      <c r="BF762" s="123"/>
      <c r="BG762" s="123"/>
      <c r="BH762" s="123"/>
      <c r="BM762" s="115"/>
      <c r="BN762" s="115"/>
      <c r="BO762" s="115"/>
      <c r="BP762" s="115"/>
      <c r="BQ762" s="115"/>
      <c r="BR762" s="115"/>
      <c r="BS762" s="115"/>
      <c r="BT762" s="115"/>
      <c r="BU762" s="115"/>
      <c r="BV762" s="115"/>
      <c r="BW762" s="25"/>
      <c r="BX762" s="13"/>
      <c r="CA762" s="114"/>
    </row>
    <row r="763" spans="1:79" ht="19.5" x14ac:dyDescent="0.4">
      <c r="A763" s="117"/>
      <c r="B763" s="123"/>
      <c r="C763" s="123"/>
      <c r="D763" s="123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  <c r="AK763" s="115"/>
      <c r="AL763" s="115"/>
      <c r="AM763" s="115"/>
      <c r="AN763" s="127"/>
      <c r="AO763" s="29"/>
      <c r="AP763" s="115"/>
      <c r="AQ763" s="115"/>
      <c r="AR763" s="115"/>
      <c r="AS763" s="115"/>
      <c r="AT763" s="115"/>
      <c r="AU763" s="115"/>
      <c r="AV763" s="115"/>
      <c r="AW763" s="115"/>
      <c r="AX763" s="115"/>
      <c r="AY763" s="25"/>
      <c r="AZ763" s="13"/>
      <c r="BE763" s="116"/>
      <c r="BF763" s="123"/>
      <c r="BG763" s="123"/>
      <c r="BH763" s="123"/>
      <c r="BM763" s="115"/>
      <c r="BN763" s="115"/>
      <c r="BO763" s="115"/>
      <c r="BP763" s="115"/>
      <c r="BQ763" s="115"/>
      <c r="BR763" s="115"/>
      <c r="BS763" s="115"/>
      <c r="BT763" s="115"/>
      <c r="BU763" s="115"/>
      <c r="BV763" s="115"/>
      <c r="BW763" s="25"/>
      <c r="BX763" s="13"/>
      <c r="CA763" s="114"/>
    </row>
    <row r="764" spans="1:79" ht="19.5" x14ac:dyDescent="0.4">
      <c r="A764" s="117"/>
      <c r="B764" s="123"/>
      <c r="C764" s="123"/>
      <c r="D764" s="123"/>
      <c r="AN764" s="127"/>
      <c r="AO764" s="29"/>
      <c r="AP764" s="115"/>
      <c r="AQ764" s="115"/>
      <c r="AR764" s="115"/>
      <c r="AS764" s="115"/>
      <c r="AT764" s="115"/>
      <c r="AU764" s="115"/>
      <c r="AV764" s="115"/>
      <c r="AW764" s="115"/>
      <c r="AX764" s="115"/>
      <c r="AY764" s="25">
        <v>45678</v>
      </c>
      <c r="AZ764" s="13" t="s">
        <v>148</v>
      </c>
      <c r="BE764" s="116"/>
      <c r="BF764" s="123"/>
      <c r="BG764" s="123"/>
      <c r="BH764" s="123"/>
      <c r="BM764" s="115"/>
      <c r="BN764" s="115"/>
      <c r="BO764" s="115"/>
      <c r="BP764" s="115"/>
      <c r="BQ764" s="115"/>
      <c r="BR764" s="115"/>
      <c r="BS764" s="115"/>
      <c r="BT764" s="115"/>
      <c r="BU764" s="115"/>
      <c r="BV764" s="115"/>
      <c r="BW764" s="25"/>
      <c r="BX764" s="13"/>
      <c r="CA764" s="114"/>
    </row>
    <row r="765" spans="1:79" ht="19.5" x14ac:dyDescent="0.4">
      <c r="A765" s="117"/>
      <c r="B765" s="123"/>
      <c r="C765" s="123"/>
      <c r="D765" s="123"/>
      <c r="AB765" s="115"/>
      <c r="AC765" s="115"/>
      <c r="AD765" s="115"/>
      <c r="AE765" s="115"/>
      <c r="AF765" s="115"/>
      <c r="AG765" s="115"/>
      <c r="AH765" s="115"/>
      <c r="AI765" s="115"/>
      <c r="AJ765" s="115"/>
      <c r="AK765" s="115"/>
      <c r="AL765" s="115"/>
      <c r="AM765" s="115"/>
      <c r="AN765" s="127"/>
      <c r="AO765" s="29"/>
      <c r="AP765" s="115"/>
      <c r="AQ765" s="115"/>
      <c r="AR765" s="115"/>
      <c r="AS765" s="115"/>
      <c r="AT765" s="115"/>
      <c r="AU765" s="115"/>
      <c r="AV765" s="115"/>
      <c r="AW765" s="115"/>
      <c r="AX765" s="115"/>
      <c r="AY765" s="25"/>
      <c r="AZ765" s="13"/>
      <c r="BE765" s="116"/>
      <c r="BF765" s="123"/>
      <c r="BG765" s="123"/>
      <c r="BH765" s="123"/>
      <c r="BM765" s="115"/>
      <c r="BN765" s="115"/>
      <c r="BO765" s="115"/>
      <c r="BP765" s="115"/>
      <c r="BQ765" s="115"/>
      <c r="BR765" s="115"/>
      <c r="BS765" s="115"/>
      <c r="BT765" s="115"/>
      <c r="BU765" s="115"/>
      <c r="BV765" s="115"/>
      <c r="BW765" s="25"/>
      <c r="BX765" s="13"/>
      <c r="CA765" s="114"/>
    </row>
    <row r="766" spans="1:79" ht="19.5" x14ac:dyDescent="0.4">
      <c r="A766" s="117"/>
      <c r="B766" s="123"/>
      <c r="C766" s="123"/>
      <c r="D766" s="123"/>
      <c r="AB766" s="115"/>
      <c r="AC766" s="115"/>
      <c r="AD766" s="115"/>
      <c r="AE766" s="115"/>
      <c r="AF766" s="115"/>
      <c r="AG766" s="115"/>
      <c r="AH766" s="115"/>
      <c r="AI766" s="115"/>
      <c r="AJ766" s="115"/>
      <c r="AK766" s="115"/>
      <c r="AL766" s="115"/>
      <c r="AM766" s="115"/>
      <c r="AN766" s="29"/>
      <c r="AO766" s="29"/>
      <c r="AP766" s="115"/>
      <c r="AQ766" s="115"/>
      <c r="AR766" s="115"/>
      <c r="AS766" s="115"/>
      <c r="AT766" s="115"/>
      <c r="AU766" s="115"/>
      <c r="AV766" s="115"/>
      <c r="AW766" s="115"/>
      <c r="AX766" s="115"/>
      <c r="AY766" s="25"/>
      <c r="AZ766" s="13"/>
      <c r="BE766" s="116"/>
      <c r="BF766" s="123"/>
      <c r="BG766" s="123"/>
      <c r="BH766" s="123"/>
      <c r="BM766" s="115"/>
      <c r="BN766" s="115"/>
      <c r="BO766" s="115"/>
      <c r="BP766" s="115"/>
      <c r="BQ766" s="115"/>
      <c r="BR766" s="115"/>
      <c r="BS766" s="115"/>
      <c r="BT766" s="115"/>
      <c r="BU766" s="115"/>
      <c r="BV766" s="115"/>
      <c r="BW766" s="25"/>
      <c r="BX766" s="13"/>
      <c r="CA766" s="114"/>
    </row>
    <row r="767" spans="1:79" ht="19.5" x14ac:dyDescent="0.4">
      <c r="A767" s="117"/>
      <c r="B767" s="123"/>
      <c r="C767" s="123"/>
      <c r="D767" s="123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  <c r="AK767" s="115"/>
      <c r="AL767" s="115"/>
      <c r="AM767" s="115"/>
      <c r="AN767" s="127"/>
      <c r="AO767" s="134"/>
      <c r="AP767" s="115"/>
      <c r="AQ767" s="115"/>
      <c r="AR767" s="115"/>
      <c r="AS767" s="115"/>
      <c r="AT767" s="115"/>
      <c r="AU767" s="115"/>
      <c r="AV767" s="115"/>
      <c r="AW767" s="115"/>
      <c r="AX767" s="115"/>
      <c r="AY767" s="25"/>
      <c r="AZ767" s="13"/>
      <c r="BE767" s="116"/>
      <c r="BF767" s="123"/>
      <c r="BG767" s="123"/>
      <c r="BH767" s="123"/>
      <c r="BM767" s="115"/>
      <c r="BN767" s="115"/>
      <c r="BO767" s="115"/>
      <c r="BP767" s="115"/>
      <c r="BQ767" s="115"/>
      <c r="BR767" s="115"/>
      <c r="BS767" s="115"/>
      <c r="BT767" s="115"/>
      <c r="BU767" s="115"/>
      <c r="BV767" s="115"/>
      <c r="BW767" s="25"/>
      <c r="BX767" s="13"/>
      <c r="CA767" s="114"/>
    </row>
    <row r="768" spans="1:79" ht="19.5" x14ac:dyDescent="0.4">
      <c r="A768" s="117"/>
      <c r="B768" s="123"/>
      <c r="C768" s="123"/>
      <c r="D768" s="123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  <c r="AK768" s="115"/>
      <c r="AL768" s="115"/>
      <c r="AM768" s="115"/>
      <c r="AN768" s="127"/>
      <c r="AO768" s="29"/>
      <c r="AP768" s="115"/>
      <c r="AQ768" s="115"/>
      <c r="AR768" s="115"/>
      <c r="AS768" s="115"/>
      <c r="AT768" s="115"/>
      <c r="AU768" s="115"/>
      <c r="AV768" s="115"/>
      <c r="AW768" s="115"/>
      <c r="AX768" s="115"/>
      <c r="AY768" s="25"/>
      <c r="AZ768" s="13"/>
      <c r="BE768" s="116"/>
      <c r="BF768" s="123"/>
      <c r="BG768" s="123"/>
      <c r="BH768" s="123"/>
      <c r="BM768" s="115"/>
      <c r="BN768" s="115"/>
      <c r="BO768" s="115"/>
      <c r="BP768" s="115"/>
      <c r="BQ768" s="115"/>
      <c r="BR768" s="115"/>
      <c r="BS768" s="115"/>
      <c r="BT768" s="115"/>
      <c r="BU768" s="115"/>
      <c r="BV768" s="115"/>
      <c r="BW768" s="25"/>
      <c r="BX768" s="13"/>
      <c r="CA768" s="114"/>
    </row>
    <row r="769" spans="1:79" ht="19.5" x14ac:dyDescent="0.4">
      <c r="A769" s="117"/>
      <c r="B769" s="123"/>
      <c r="C769" s="123"/>
      <c r="D769" s="123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  <c r="AK769" s="115"/>
      <c r="AL769" s="115"/>
      <c r="AM769" s="115"/>
      <c r="AN769" s="127"/>
      <c r="AO769" s="29"/>
      <c r="AP769" s="115"/>
      <c r="AQ769" s="115"/>
      <c r="AR769" s="115"/>
      <c r="AS769" s="115"/>
      <c r="AT769" s="115"/>
      <c r="AU769" s="115"/>
      <c r="AV769" s="115"/>
      <c r="AW769" s="115"/>
      <c r="AX769" s="115"/>
      <c r="AY769" s="25"/>
      <c r="AZ769" s="13"/>
      <c r="BE769" s="116"/>
      <c r="BF769" s="123"/>
      <c r="BG769" s="123"/>
      <c r="BH769" s="123"/>
      <c r="BM769" s="115"/>
      <c r="BN769" s="115"/>
      <c r="BO769" s="115"/>
      <c r="BP769" s="115"/>
      <c r="BQ769" s="115"/>
      <c r="BR769" s="115"/>
      <c r="BS769" s="115"/>
      <c r="BT769" s="115"/>
      <c r="BU769" s="115"/>
      <c r="BV769" s="115"/>
      <c r="BW769" s="25"/>
      <c r="BX769" s="13"/>
      <c r="CA769" s="114"/>
    </row>
    <row r="770" spans="1:79" ht="19.5" x14ac:dyDescent="0.4">
      <c r="A770" s="117"/>
      <c r="B770" s="123"/>
      <c r="C770" s="123"/>
      <c r="D770" s="123"/>
      <c r="AN770" s="127"/>
      <c r="AO770" s="29"/>
      <c r="AP770" s="115"/>
      <c r="AQ770" s="115"/>
      <c r="AR770" s="115"/>
      <c r="AS770" s="115"/>
      <c r="AT770" s="115"/>
      <c r="AU770" s="115"/>
      <c r="AV770" s="115"/>
      <c r="AW770" s="115"/>
      <c r="AX770" s="115"/>
      <c r="AY770" s="25">
        <v>45678</v>
      </c>
      <c r="AZ770" s="13" t="s">
        <v>148</v>
      </c>
      <c r="BE770" s="116"/>
      <c r="BF770" s="123"/>
      <c r="BG770" s="123"/>
      <c r="BH770" s="123"/>
      <c r="BM770" s="115"/>
      <c r="BN770" s="115"/>
      <c r="BO770" s="115"/>
      <c r="BP770" s="115"/>
      <c r="BQ770" s="115"/>
      <c r="BR770" s="115"/>
      <c r="BS770" s="115"/>
      <c r="BT770" s="115"/>
      <c r="BU770" s="115"/>
      <c r="BV770" s="115"/>
      <c r="BW770" s="25"/>
      <c r="BX770" s="13"/>
      <c r="CA770" s="114"/>
    </row>
    <row r="771" spans="1:79" ht="19.5" x14ac:dyDescent="0.4">
      <c r="A771" s="117"/>
      <c r="B771" s="123"/>
      <c r="C771" s="123"/>
      <c r="D771" s="123"/>
      <c r="AN771" s="127"/>
      <c r="AO771" s="29"/>
      <c r="AP771" s="115"/>
      <c r="AQ771" s="115"/>
      <c r="AR771" s="115"/>
      <c r="AS771" s="115"/>
      <c r="AT771" s="115"/>
      <c r="AU771" s="115"/>
      <c r="AV771" s="115"/>
      <c r="AW771" s="115"/>
      <c r="AX771" s="115"/>
      <c r="AY771" s="25">
        <v>45678</v>
      </c>
      <c r="AZ771" s="13" t="s">
        <v>148</v>
      </c>
      <c r="BE771" s="116"/>
      <c r="BF771" s="123"/>
      <c r="BG771" s="123"/>
      <c r="BH771" s="123"/>
      <c r="BM771" s="115"/>
      <c r="BN771" s="115"/>
      <c r="BO771" s="115"/>
      <c r="BP771" s="115"/>
      <c r="BQ771" s="115"/>
      <c r="BR771" s="115"/>
      <c r="BS771" s="115"/>
      <c r="BT771" s="115"/>
      <c r="BU771" s="115"/>
      <c r="BV771" s="115"/>
      <c r="BW771" s="25"/>
      <c r="BX771" s="13"/>
      <c r="CA771" s="114"/>
    </row>
    <row r="772" spans="1:79" ht="19.5" x14ac:dyDescent="0.4">
      <c r="A772" s="117"/>
      <c r="B772" s="123"/>
      <c r="C772" s="123"/>
      <c r="D772" s="123"/>
      <c r="AC772" s="115"/>
      <c r="AD772" s="115"/>
      <c r="AE772" s="115"/>
      <c r="AF772" s="115"/>
      <c r="AG772" s="115"/>
      <c r="AH772" s="115"/>
      <c r="AI772" s="115"/>
      <c r="AJ772" s="115"/>
      <c r="AK772" s="115"/>
      <c r="AL772" s="115"/>
      <c r="AM772" s="115"/>
      <c r="AN772" s="127"/>
      <c r="AO772" s="29"/>
      <c r="AP772" s="115"/>
      <c r="AQ772" s="115"/>
      <c r="AR772" s="115"/>
      <c r="AS772" s="115"/>
      <c r="AT772" s="115"/>
      <c r="AU772" s="115"/>
      <c r="AV772" s="115"/>
      <c r="AW772" s="115"/>
      <c r="AX772" s="115"/>
      <c r="AY772" s="25"/>
      <c r="AZ772" s="13"/>
      <c r="BE772" s="116"/>
      <c r="BF772" s="123"/>
      <c r="BG772" s="123"/>
      <c r="BH772" s="123"/>
      <c r="BM772" s="115"/>
      <c r="BN772" s="115"/>
      <c r="BO772" s="115"/>
      <c r="BP772" s="115"/>
      <c r="BQ772" s="115"/>
      <c r="BR772" s="115"/>
      <c r="BS772" s="115"/>
      <c r="BT772" s="115"/>
      <c r="BU772" s="115"/>
      <c r="BV772" s="115"/>
      <c r="BW772" s="25"/>
      <c r="BX772" s="13"/>
      <c r="CA772" s="114"/>
    </row>
    <row r="773" spans="1:79" ht="19.5" x14ac:dyDescent="0.4">
      <c r="A773" s="117"/>
      <c r="B773" s="123"/>
      <c r="C773" s="123"/>
      <c r="D773" s="123"/>
      <c r="AC773" s="115"/>
      <c r="AD773" s="115"/>
      <c r="AE773" s="115"/>
      <c r="AF773" s="115"/>
      <c r="AG773" s="115"/>
      <c r="AH773" s="115"/>
      <c r="AI773" s="115"/>
      <c r="AJ773" s="115"/>
      <c r="AK773" s="115"/>
      <c r="AL773" s="115"/>
      <c r="AM773" s="115"/>
      <c r="AN773" s="127"/>
      <c r="AO773" s="29"/>
      <c r="AP773" s="115"/>
      <c r="AQ773" s="115"/>
      <c r="AR773" s="115"/>
      <c r="AS773" s="115"/>
      <c r="AT773" s="115"/>
      <c r="AU773" s="115"/>
      <c r="AV773" s="115"/>
      <c r="AW773" s="115"/>
      <c r="AX773" s="115"/>
      <c r="AY773" s="25"/>
      <c r="AZ773" s="13"/>
      <c r="BE773" s="116"/>
      <c r="BF773" s="123"/>
      <c r="BG773" s="123"/>
      <c r="BH773" s="123"/>
      <c r="BM773" s="115"/>
      <c r="BN773" s="115"/>
      <c r="BO773" s="115"/>
      <c r="BP773" s="115"/>
      <c r="BQ773" s="115"/>
      <c r="BR773" s="115"/>
      <c r="BS773" s="115"/>
      <c r="BT773" s="115"/>
      <c r="BU773" s="115"/>
      <c r="BV773" s="115"/>
      <c r="BW773" s="25"/>
      <c r="BX773" s="13"/>
      <c r="CA773" s="114"/>
    </row>
    <row r="774" spans="1:79" ht="19.5" x14ac:dyDescent="0.4">
      <c r="A774" s="117"/>
      <c r="B774" s="123"/>
      <c r="C774" s="123"/>
      <c r="D774" s="123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15"/>
      <c r="AK774" s="115"/>
      <c r="AL774" s="115"/>
      <c r="AM774" s="115"/>
      <c r="AN774" s="127"/>
      <c r="AO774" s="29"/>
      <c r="AP774" s="115"/>
      <c r="AQ774" s="115"/>
      <c r="AR774" s="115"/>
      <c r="AS774" s="115"/>
      <c r="AT774" s="115"/>
      <c r="AU774" s="115"/>
      <c r="AV774" s="115"/>
      <c r="AW774" s="115"/>
      <c r="AX774" s="115"/>
      <c r="AY774" s="25"/>
      <c r="AZ774" s="13"/>
      <c r="BE774" s="116"/>
      <c r="BF774" s="123"/>
      <c r="BG774" s="123"/>
      <c r="BH774" s="123"/>
      <c r="BM774" s="115"/>
      <c r="BN774" s="115"/>
      <c r="BO774" s="115"/>
      <c r="BP774" s="115"/>
      <c r="BQ774" s="115"/>
      <c r="BR774" s="115"/>
      <c r="BS774" s="115"/>
      <c r="BT774" s="115"/>
      <c r="BU774" s="115"/>
      <c r="BV774" s="115"/>
      <c r="BW774" s="25"/>
      <c r="BX774" s="13"/>
      <c r="CA774" s="114"/>
    </row>
    <row r="775" spans="1:79" ht="19.5" x14ac:dyDescent="0.4">
      <c r="A775" s="117"/>
      <c r="B775" s="123"/>
      <c r="C775" s="123"/>
      <c r="D775" s="123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  <c r="AK775" s="115"/>
      <c r="AL775" s="115"/>
      <c r="AM775" s="115"/>
      <c r="AN775" s="127"/>
      <c r="AO775" s="29"/>
      <c r="AP775" s="115"/>
      <c r="AQ775" s="115"/>
      <c r="AR775" s="115"/>
      <c r="AS775" s="115"/>
      <c r="AT775" s="115"/>
      <c r="AU775" s="115"/>
      <c r="AV775" s="115"/>
      <c r="AW775" s="115"/>
      <c r="AX775" s="115"/>
      <c r="AY775" s="25"/>
      <c r="AZ775" s="13"/>
      <c r="BE775" s="116"/>
      <c r="BF775" s="123"/>
      <c r="BG775" s="123"/>
      <c r="BH775" s="123"/>
      <c r="BM775" s="115"/>
      <c r="BN775" s="115"/>
      <c r="BO775" s="115"/>
      <c r="BP775" s="115"/>
      <c r="BQ775" s="115"/>
      <c r="BR775" s="115"/>
      <c r="BS775" s="115"/>
      <c r="BT775" s="115"/>
      <c r="BU775" s="115"/>
      <c r="BV775" s="115"/>
      <c r="BW775" s="25"/>
      <c r="BX775" s="13"/>
      <c r="CA775" s="114"/>
    </row>
    <row r="776" spans="1:79" ht="19.5" x14ac:dyDescent="0.4">
      <c r="A776" s="117"/>
      <c r="B776" s="123"/>
      <c r="C776" s="123"/>
      <c r="D776" s="123"/>
      <c r="AN776" s="127"/>
      <c r="AO776" s="29"/>
      <c r="AP776" s="115"/>
      <c r="AQ776" s="115"/>
      <c r="AR776" s="115"/>
      <c r="AS776" s="115"/>
      <c r="AT776" s="115"/>
      <c r="AU776" s="115"/>
      <c r="AV776" s="115"/>
      <c r="AW776" s="115"/>
      <c r="AX776" s="115"/>
      <c r="AY776" s="25">
        <v>45679</v>
      </c>
      <c r="AZ776" s="15" t="s">
        <v>146</v>
      </c>
      <c r="BE776" s="116"/>
      <c r="BF776" s="123"/>
      <c r="BG776" s="123"/>
      <c r="BH776" s="123"/>
      <c r="BM776" s="115"/>
      <c r="BN776" s="115"/>
      <c r="BO776" s="115"/>
      <c r="BP776" s="115"/>
      <c r="BQ776" s="115"/>
      <c r="BR776" s="115"/>
      <c r="BS776" s="115"/>
      <c r="BT776" s="115"/>
      <c r="BU776" s="115"/>
      <c r="BV776" s="115"/>
      <c r="BW776" s="25"/>
      <c r="BX776" s="13"/>
      <c r="CA776" s="114"/>
    </row>
    <row r="777" spans="1:79" ht="19.5" x14ac:dyDescent="0.4">
      <c r="A777" s="117"/>
      <c r="B777" s="123"/>
      <c r="C777" s="123"/>
      <c r="D777" s="123"/>
      <c r="AD777" s="115"/>
      <c r="AE777" s="115"/>
      <c r="AF777" s="115"/>
      <c r="AG777" s="115"/>
      <c r="AH777" s="115"/>
      <c r="AI777" s="115"/>
      <c r="AJ777" s="115"/>
      <c r="AK777" s="115"/>
      <c r="AL777" s="115"/>
      <c r="AM777" s="115"/>
      <c r="AN777" s="127"/>
      <c r="AO777" s="29"/>
      <c r="AP777" s="115"/>
      <c r="AQ777" s="115"/>
      <c r="AR777" s="115"/>
      <c r="AS777" s="115"/>
      <c r="AT777" s="115"/>
      <c r="AU777" s="115"/>
      <c r="AV777" s="115"/>
      <c r="AW777" s="115"/>
      <c r="AX777" s="115"/>
      <c r="AY777" s="25"/>
      <c r="AZ777" s="15"/>
      <c r="BE777" s="116"/>
      <c r="BF777" s="123"/>
      <c r="BG777" s="123"/>
      <c r="BH777" s="123"/>
      <c r="BM777" s="115"/>
      <c r="BN777" s="115"/>
      <c r="BO777" s="115"/>
      <c r="BP777" s="115"/>
      <c r="BQ777" s="115"/>
      <c r="BR777" s="115"/>
      <c r="BS777" s="115"/>
      <c r="BT777" s="115"/>
      <c r="BU777" s="115"/>
      <c r="BV777" s="115"/>
      <c r="BW777" s="25"/>
      <c r="BX777" s="13"/>
      <c r="CA777" s="114"/>
    </row>
    <row r="778" spans="1:79" ht="19.5" x14ac:dyDescent="0.4">
      <c r="A778" s="117"/>
      <c r="B778" s="123"/>
      <c r="C778" s="123"/>
      <c r="D778" s="123"/>
      <c r="AD778" s="115"/>
      <c r="AE778" s="115"/>
      <c r="AF778" s="115"/>
      <c r="AG778" s="115"/>
      <c r="AH778" s="115"/>
      <c r="AI778" s="115"/>
      <c r="AJ778" s="115"/>
      <c r="AK778" s="115"/>
      <c r="AL778" s="115"/>
      <c r="AM778" s="115"/>
      <c r="AN778" s="29"/>
      <c r="AO778" s="29"/>
      <c r="AP778" s="115"/>
      <c r="AQ778" s="115"/>
      <c r="AR778" s="115"/>
      <c r="AS778" s="115"/>
      <c r="AT778" s="115"/>
      <c r="AU778" s="115"/>
      <c r="AV778" s="115"/>
      <c r="AW778" s="115"/>
      <c r="AX778" s="115"/>
      <c r="AY778" s="25"/>
      <c r="AZ778" s="15"/>
      <c r="BE778" s="116"/>
      <c r="BF778" s="123"/>
      <c r="BG778" s="123"/>
      <c r="BH778" s="123"/>
      <c r="BM778" s="115"/>
      <c r="BN778" s="115"/>
      <c r="BO778" s="115"/>
      <c r="BP778" s="115"/>
      <c r="BQ778" s="115"/>
      <c r="BR778" s="115"/>
      <c r="BS778" s="115"/>
      <c r="BT778" s="115"/>
      <c r="BU778" s="115"/>
      <c r="BV778" s="115"/>
      <c r="BW778" s="25"/>
      <c r="BX778" s="13"/>
      <c r="CA778" s="114"/>
    </row>
    <row r="779" spans="1:79" ht="19.5" x14ac:dyDescent="0.4">
      <c r="A779" s="117"/>
      <c r="B779" s="123"/>
      <c r="C779" s="123"/>
      <c r="D779" s="123"/>
      <c r="AN779" s="127"/>
      <c r="AO779" s="29"/>
      <c r="AP779" s="115"/>
      <c r="AQ779" s="115"/>
      <c r="AR779" s="115"/>
      <c r="AS779" s="115"/>
      <c r="AT779" s="115"/>
      <c r="AU779" s="115"/>
      <c r="AV779" s="115"/>
      <c r="AW779" s="115"/>
      <c r="AX779" s="115"/>
      <c r="AY779" s="25"/>
      <c r="AZ779" s="15"/>
      <c r="BE779" s="116"/>
      <c r="BF779" s="123"/>
      <c r="BG779" s="123"/>
      <c r="BH779" s="123"/>
      <c r="BM779" s="115"/>
      <c r="BN779" s="115"/>
      <c r="BO779" s="115"/>
      <c r="BP779" s="115"/>
      <c r="BQ779" s="115"/>
      <c r="BR779" s="115"/>
      <c r="BS779" s="115"/>
      <c r="BT779" s="115"/>
      <c r="BU779" s="115"/>
      <c r="BV779" s="115"/>
      <c r="BW779" s="25"/>
      <c r="BX779" s="13"/>
      <c r="CA779" s="114"/>
    </row>
    <row r="780" spans="1:79" ht="19.5" x14ac:dyDescent="0.4">
      <c r="A780" s="117"/>
      <c r="B780" s="123"/>
      <c r="C780" s="123"/>
      <c r="D780" s="123"/>
      <c r="AD780" s="115"/>
      <c r="AE780" s="115"/>
      <c r="AF780" s="115"/>
      <c r="AG780" s="115"/>
      <c r="AH780" s="115"/>
      <c r="AI780" s="115"/>
      <c r="AJ780" s="115"/>
      <c r="AK780" s="115"/>
      <c r="AL780" s="115"/>
      <c r="AM780" s="115"/>
      <c r="AN780" s="127"/>
      <c r="AO780" s="29"/>
      <c r="AP780" s="115"/>
      <c r="AQ780" s="115"/>
      <c r="AR780" s="115"/>
      <c r="AS780" s="115"/>
      <c r="AT780" s="115"/>
      <c r="AU780" s="115"/>
      <c r="AV780" s="115"/>
      <c r="AW780" s="115"/>
      <c r="AX780" s="115"/>
      <c r="AY780" s="25"/>
      <c r="AZ780" s="15"/>
      <c r="BE780" s="116"/>
      <c r="BF780" s="123"/>
      <c r="BG780" s="123"/>
      <c r="BH780" s="123"/>
      <c r="BM780" s="115"/>
      <c r="BN780" s="115"/>
      <c r="BO780" s="115"/>
      <c r="BP780" s="115"/>
      <c r="BQ780" s="115"/>
      <c r="BR780" s="115"/>
      <c r="BS780" s="115"/>
      <c r="BT780" s="115"/>
      <c r="BU780" s="115"/>
      <c r="BV780" s="115"/>
      <c r="BW780" s="25"/>
      <c r="BX780" s="13"/>
      <c r="CA780" s="114"/>
    </row>
    <row r="781" spans="1:79" ht="19.5" x14ac:dyDescent="0.4">
      <c r="A781" s="117"/>
      <c r="B781" s="123"/>
      <c r="C781" s="123"/>
      <c r="D781" s="123"/>
      <c r="AD781" s="115"/>
      <c r="AE781" s="115"/>
      <c r="AF781" s="115"/>
      <c r="AG781" s="115"/>
      <c r="AH781" s="115"/>
      <c r="AI781" s="115"/>
      <c r="AJ781" s="115"/>
      <c r="AK781" s="115"/>
      <c r="AL781" s="115"/>
      <c r="AM781" s="115"/>
      <c r="AN781" s="29"/>
      <c r="AO781" s="29"/>
      <c r="AP781" s="115"/>
      <c r="AQ781" s="115"/>
      <c r="AR781" s="115"/>
      <c r="AS781" s="115"/>
      <c r="AT781" s="115"/>
      <c r="AU781" s="115"/>
      <c r="AV781" s="115"/>
      <c r="AW781" s="115"/>
      <c r="AX781" s="115"/>
      <c r="AY781" s="25"/>
      <c r="AZ781" s="15"/>
      <c r="BE781" s="116"/>
      <c r="BF781" s="123"/>
      <c r="BG781" s="123"/>
      <c r="BH781" s="123"/>
      <c r="BM781" s="115"/>
      <c r="BN781" s="115"/>
      <c r="BO781" s="115"/>
      <c r="BP781" s="115"/>
      <c r="BQ781" s="115"/>
      <c r="BR781" s="115"/>
      <c r="BS781" s="115"/>
      <c r="BT781" s="115"/>
      <c r="BU781" s="115"/>
      <c r="BV781" s="115"/>
      <c r="BW781" s="25"/>
      <c r="BX781" s="13"/>
      <c r="CA781" s="114"/>
    </row>
    <row r="782" spans="1:79" ht="19.5" x14ac:dyDescent="0.4">
      <c r="A782" s="117"/>
      <c r="B782" s="123"/>
      <c r="C782" s="123"/>
      <c r="D782" s="123"/>
      <c r="AC782" s="115"/>
      <c r="AD782" s="115"/>
      <c r="AE782" s="115"/>
      <c r="AF782" s="115"/>
      <c r="AG782" s="115"/>
      <c r="AH782" s="115"/>
      <c r="AI782" s="115"/>
      <c r="AJ782" s="115"/>
      <c r="AK782" s="115"/>
      <c r="AL782" s="115"/>
      <c r="AM782" s="115"/>
      <c r="AN782" s="127"/>
      <c r="AO782" s="29"/>
      <c r="AP782" s="115"/>
      <c r="AQ782" s="115"/>
      <c r="AR782" s="115"/>
      <c r="AS782" s="115"/>
      <c r="AT782" s="115"/>
      <c r="AU782" s="115"/>
      <c r="AV782" s="115"/>
      <c r="AW782" s="115"/>
      <c r="AX782" s="115"/>
      <c r="AY782" s="25"/>
      <c r="AZ782" s="15"/>
      <c r="BE782" s="116"/>
      <c r="BF782" s="123"/>
      <c r="BG782" s="123"/>
      <c r="BH782" s="123"/>
      <c r="BM782" s="115"/>
      <c r="BN782" s="115"/>
      <c r="BO782" s="115"/>
      <c r="BP782" s="115"/>
      <c r="BQ782" s="115"/>
      <c r="BR782" s="115"/>
      <c r="BS782" s="115"/>
      <c r="BT782" s="115"/>
      <c r="BU782" s="115"/>
      <c r="BV782" s="115"/>
      <c r="BW782" s="25"/>
      <c r="BX782" s="13"/>
      <c r="CA782" s="114"/>
    </row>
    <row r="783" spans="1:79" ht="19.5" x14ac:dyDescent="0.4">
      <c r="A783" s="117"/>
      <c r="B783" s="123"/>
      <c r="C783" s="123"/>
      <c r="D783" s="123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  <c r="AK783" s="115"/>
      <c r="AL783" s="115"/>
      <c r="AM783" s="115"/>
      <c r="AN783" s="127"/>
      <c r="AO783" s="29"/>
      <c r="AP783" s="115"/>
      <c r="AQ783" s="115"/>
      <c r="AR783" s="115"/>
      <c r="AS783" s="115"/>
      <c r="AT783" s="115"/>
      <c r="AU783" s="115"/>
      <c r="AV783" s="115"/>
      <c r="AW783" s="115"/>
      <c r="AX783" s="115"/>
      <c r="AY783" s="25"/>
      <c r="AZ783" s="15"/>
      <c r="BE783" s="116"/>
      <c r="BF783" s="123"/>
      <c r="BG783" s="123"/>
      <c r="BH783" s="123"/>
      <c r="BM783" s="115"/>
      <c r="BN783" s="115"/>
      <c r="BO783" s="115"/>
      <c r="BP783" s="115"/>
      <c r="BQ783" s="115"/>
      <c r="BR783" s="115"/>
      <c r="BS783" s="115"/>
      <c r="BT783" s="115"/>
      <c r="BU783" s="115"/>
      <c r="BV783" s="115"/>
      <c r="BW783" s="25"/>
      <c r="BX783" s="13"/>
      <c r="CA783" s="114"/>
    </row>
    <row r="784" spans="1:79" ht="19.5" x14ac:dyDescent="0.4">
      <c r="A784" s="117"/>
      <c r="B784" s="123"/>
      <c r="C784" s="123"/>
      <c r="D784" s="123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  <c r="AK784" s="115"/>
      <c r="AL784" s="115"/>
      <c r="AM784" s="115"/>
      <c r="AN784" s="127"/>
      <c r="AO784" s="29"/>
      <c r="AP784" s="115"/>
      <c r="AQ784" s="115"/>
      <c r="AR784" s="115"/>
      <c r="AS784" s="115"/>
      <c r="AT784" s="115"/>
      <c r="AU784" s="115"/>
      <c r="AV784" s="115"/>
      <c r="AW784" s="115"/>
      <c r="AX784" s="115"/>
      <c r="AY784" s="25"/>
      <c r="AZ784" s="15"/>
      <c r="BE784" s="116"/>
      <c r="BF784" s="123"/>
      <c r="BG784" s="123"/>
      <c r="BH784" s="123"/>
      <c r="BM784" s="115"/>
      <c r="BN784" s="115"/>
      <c r="BO784" s="115"/>
      <c r="BP784" s="115"/>
      <c r="BQ784" s="115"/>
      <c r="BR784" s="115"/>
      <c r="BS784" s="115"/>
      <c r="BT784" s="115"/>
      <c r="BU784" s="115"/>
      <c r="BV784" s="115"/>
      <c r="BW784" s="25"/>
      <c r="BX784" s="13"/>
      <c r="CA784" s="114"/>
    </row>
    <row r="785" spans="1:79" ht="19.5" x14ac:dyDescent="0.4">
      <c r="A785" s="117"/>
      <c r="B785" s="123"/>
      <c r="C785" s="123"/>
      <c r="D785" s="123"/>
      <c r="AN785" s="127"/>
      <c r="AO785" s="29"/>
      <c r="AP785" s="115"/>
      <c r="AQ785" s="115"/>
      <c r="AR785" s="115"/>
      <c r="AS785" s="115"/>
      <c r="AT785" s="115"/>
      <c r="AU785" s="115"/>
      <c r="AV785" s="115"/>
      <c r="AW785" s="115"/>
      <c r="AX785" s="115"/>
      <c r="AY785" s="25">
        <v>45679</v>
      </c>
      <c r="AZ785" s="15" t="s">
        <v>148</v>
      </c>
      <c r="BE785" s="116"/>
      <c r="BF785" s="123"/>
      <c r="BG785" s="123"/>
      <c r="BH785" s="123"/>
      <c r="BM785" s="115"/>
      <c r="BN785" s="115"/>
      <c r="BO785" s="115"/>
      <c r="BP785" s="115"/>
      <c r="BQ785" s="115"/>
      <c r="BR785" s="115"/>
      <c r="BS785" s="115"/>
      <c r="BT785" s="115"/>
      <c r="BU785" s="115"/>
      <c r="BV785" s="115"/>
      <c r="BW785" s="25"/>
      <c r="BX785" s="13"/>
      <c r="CA785" s="114"/>
    </row>
    <row r="786" spans="1:79" ht="19.5" x14ac:dyDescent="0.4">
      <c r="A786" s="117"/>
      <c r="B786" s="123"/>
      <c r="C786" s="123"/>
      <c r="D786" s="123"/>
      <c r="AD786" s="115"/>
      <c r="AE786" s="115"/>
      <c r="AF786" s="115"/>
      <c r="AG786" s="115"/>
      <c r="AH786" s="115"/>
      <c r="AI786" s="115"/>
      <c r="AJ786" s="115"/>
      <c r="AK786" s="115"/>
      <c r="AL786" s="115"/>
      <c r="AM786" s="115"/>
      <c r="AN786" s="127"/>
      <c r="AO786" s="29"/>
      <c r="AP786" s="115"/>
      <c r="AQ786" s="115"/>
      <c r="AR786" s="115"/>
      <c r="AS786" s="115"/>
      <c r="AT786" s="115"/>
      <c r="AU786" s="115"/>
      <c r="AV786" s="115"/>
      <c r="AW786" s="115"/>
      <c r="AX786" s="115"/>
      <c r="AY786" s="25"/>
      <c r="AZ786" s="13"/>
      <c r="BE786" s="116"/>
      <c r="BF786" s="123"/>
      <c r="BG786" s="123"/>
      <c r="BH786" s="123"/>
      <c r="BM786" s="115"/>
      <c r="BN786" s="115"/>
      <c r="BO786" s="115"/>
      <c r="BP786" s="115"/>
      <c r="BQ786" s="115"/>
      <c r="BR786" s="115"/>
      <c r="BS786" s="115"/>
      <c r="BT786" s="115"/>
      <c r="BU786" s="115"/>
      <c r="BV786" s="115"/>
      <c r="BW786" s="25"/>
      <c r="BX786" s="13"/>
      <c r="CA786" s="114"/>
    </row>
    <row r="787" spans="1:79" ht="19.5" x14ac:dyDescent="0.4">
      <c r="A787" s="117"/>
      <c r="B787" s="123"/>
      <c r="C787" s="123"/>
      <c r="D787" s="123"/>
      <c r="AC787" s="115"/>
      <c r="AD787" s="115"/>
      <c r="AE787" s="115"/>
      <c r="AF787" s="115"/>
      <c r="AG787" s="115"/>
      <c r="AH787" s="115"/>
      <c r="AI787" s="115"/>
      <c r="AJ787" s="115"/>
      <c r="AK787" s="115"/>
      <c r="AL787" s="115"/>
      <c r="AM787" s="115"/>
      <c r="AN787" s="127"/>
      <c r="AO787" s="29"/>
      <c r="AP787" s="115"/>
      <c r="AQ787" s="115"/>
      <c r="AR787" s="115"/>
      <c r="AS787" s="115"/>
      <c r="AT787" s="115"/>
      <c r="AU787" s="115"/>
      <c r="AV787" s="115"/>
      <c r="AW787" s="115"/>
      <c r="AX787" s="115"/>
      <c r="AY787" s="25"/>
      <c r="AZ787" s="13"/>
      <c r="BE787" s="116"/>
      <c r="BF787" s="123"/>
      <c r="BG787" s="123"/>
      <c r="BH787" s="123"/>
      <c r="BM787" s="115"/>
      <c r="BN787" s="115"/>
      <c r="BO787" s="115"/>
      <c r="BP787" s="115"/>
      <c r="BQ787" s="115"/>
      <c r="BR787" s="115"/>
      <c r="BS787" s="115"/>
      <c r="BT787" s="115"/>
      <c r="BU787" s="115"/>
      <c r="BV787" s="115"/>
      <c r="BW787" s="25"/>
      <c r="BX787" s="13"/>
      <c r="CA787" s="114"/>
    </row>
    <row r="788" spans="1:79" ht="19.5" x14ac:dyDescent="0.4">
      <c r="A788" s="117"/>
      <c r="B788" s="123"/>
      <c r="C788" s="123"/>
      <c r="D788" s="123"/>
      <c r="AC788" s="115"/>
      <c r="AD788" s="115"/>
      <c r="AE788" s="115"/>
      <c r="AF788" s="115"/>
      <c r="AG788" s="115"/>
      <c r="AH788" s="115"/>
      <c r="AI788" s="115"/>
      <c r="AJ788" s="115"/>
      <c r="AK788" s="115"/>
      <c r="AL788" s="115"/>
      <c r="AM788" s="115"/>
      <c r="AN788" s="127"/>
      <c r="AO788" s="29"/>
      <c r="AP788" s="115"/>
      <c r="AQ788" s="115"/>
      <c r="AR788" s="115"/>
      <c r="AS788" s="115"/>
      <c r="AT788" s="115"/>
      <c r="AU788" s="115"/>
      <c r="AV788" s="115"/>
      <c r="AW788" s="115"/>
      <c r="AX788" s="115"/>
      <c r="AY788" s="25"/>
      <c r="AZ788" s="13"/>
      <c r="BE788" s="116"/>
      <c r="BF788" s="123"/>
      <c r="BG788" s="123"/>
      <c r="BH788" s="123"/>
      <c r="BM788" s="115"/>
      <c r="BN788" s="115"/>
      <c r="BO788" s="115"/>
      <c r="BP788" s="115"/>
      <c r="BQ788" s="115"/>
      <c r="BR788" s="115"/>
      <c r="BS788" s="115"/>
      <c r="BT788" s="115"/>
      <c r="BU788" s="115"/>
      <c r="BV788" s="115"/>
      <c r="BW788" s="25"/>
      <c r="BX788" s="13"/>
      <c r="CA788" s="114"/>
    </row>
    <row r="789" spans="1:79" ht="19.5" x14ac:dyDescent="0.4">
      <c r="A789" s="117"/>
      <c r="B789" s="123"/>
      <c r="C789" s="123"/>
      <c r="D789" s="123"/>
      <c r="AC789" s="115"/>
      <c r="AD789" s="115"/>
      <c r="AE789" s="115"/>
      <c r="AF789" s="115"/>
      <c r="AG789" s="115"/>
      <c r="AH789" s="115"/>
      <c r="AI789" s="115"/>
      <c r="AJ789" s="115"/>
      <c r="AK789" s="115"/>
      <c r="AL789" s="115"/>
      <c r="AM789" s="115"/>
      <c r="AN789" s="29"/>
      <c r="AO789" s="29"/>
      <c r="AP789" s="115"/>
      <c r="AQ789" s="115"/>
      <c r="AR789" s="115"/>
      <c r="AS789" s="115"/>
      <c r="AT789" s="115"/>
      <c r="AU789" s="115"/>
      <c r="AV789" s="115"/>
      <c r="AW789" s="115"/>
      <c r="AX789" s="115"/>
      <c r="AY789" s="25"/>
      <c r="AZ789" s="13"/>
      <c r="BE789" s="116"/>
      <c r="BF789" s="123"/>
      <c r="BG789" s="123"/>
      <c r="BH789" s="123"/>
      <c r="BM789" s="115"/>
      <c r="BN789" s="115"/>
      <c r="BO789" s="115"/>
      <c r="BP789" s="115"/>
      <c r="BQ789" s="115"/>
      <c r="BR789" s="115"/>
      <c r="BS789" s="115"/>
      <c r="BT789" s="115"/>
      <c r="BU789" s="115"/>
      <c r="BV789" s="115"/>
      <c r="BW789" s="25"/>
      <c r="BX789" s="13"/>
      <c r="CA789" s="114"/>
    </row>
    <row r="790" spans="1:79" ht="19.5" x14ac:dyDescent="0.4">
      <c r="A790" s="117"/>
      <c r="B790" s="123"/>
      <c r="C790" s="123"/>
      <c r="D790" s="123"/>
      <c r="AB790" s="115"/>
      <c r="AC790" s="115"/>
      <c r="AD790" s="115"/>
      <c r="AE790" s="115"/>
      <c r="AF790" s="115"/>
      <c r="AG790" s="115"/>
      <c r="AH790" s="115"/>
      <c r="AI790" s="115"/>
      <c r="AJ790" s="115"/>
      <c r="AK790" s="115"/>
      <c r="AL790" s="115"/>
      <c r="AM790" s="115"/>
      <c r="AN790" s="127"/>
      <c r="AO790" s="29"/>
      <c r="AP790" s="115"/>
      <c r="AQ790" s="115"/>
      <c r="AR790" s="115"/>
      <c r="AS790" s="115"/>
      <c r="AT790" s="115"/>
      <c r="AU790" s="115"/>
      <c r="AV790" s="115"/>
      <c r="AW790" s="115"/>
      <c r="AX790" s="115"/>
      <c r="AY790" s="25"/>
      <c r="AZ790" s="13"/>
      <c r="BE790" s="116"/>
      <c r="BF790" s="123"/>
      <c r="BG790" s="123"/>
      <c r="BH790" s="123"/>
      <c r="BM790" s="115"/>
      <c r="BN790" s="115"/>
      <c r="BO790" s="115"/>
      <c r="BP790" s="115"/>
      <c r="BQ790" s="115"/>
      <c r="BR790" s="115"/>
      <c r="BS790" s="115"/>
      <c r="BT790" s="115"/>
      <c r="BU790" s="115"/>
      <c r="BV790" s="115"/>
      <c r="BW790" s="25"/>
      <c r="BX790" s="13"/>
      <c r="CA790" s="114"/>
    </row>
    <row r="791" spans="1:79" ht="19.5" x14ac:dyDescent="0.4">
      <c r="A791" s="117"/>
      <c r="B791" s="123"/>
      <c r="C791" s="123"/>
      <c r="D791" s="123"/>
      <c r="AB791" s="115"/>
      <c r="AC791" s="115"/>
      <c r="AD791" s="115"/>
      <c r="AE791" s="115"/>
      <c r="AF791" s="115"/>
      <c r="AG791" s="115"/>
      <c r="AH791" s="115"/>
      <c r="AI791" s="115"/>
      <c r="AJ791" s="115"/>
      <c r="AK791" s="115"/>
      <c r="AL791" s="115"/>
      <c r="AM791" s="115"/>
      <c r="AN791" s="29"/>
      <c r="AO791" s="29"/>
      <c r="AP791" s="115"/>
      <c r="AQ791" s="115"/>
      <c r="AR791" s="115"/>
      <c r="AS791" s="115"/>
      <c r="AT791" s="115"/>
      <c r="AU791" s="115"/>
      <c r="AV791" s="115"/>
      <c r="AW791" s="115"/>
      <c r="AX791" s="115"/>
      <c r="AY791" s="25"/>
      <c r="AZ791" s="13"/>
      <c r="BE791" s="116"/>
      <c r="BF791" s="123"/>
      <c r="BG791" s="123"/>
      <c r="BH791" s="123"/>
      <c r="BM791" s="115"/>
      <c r="BN791" s="115"/>
      <c r="BO791" s="115"/>
      <c r="BP791" s="115"/>
      <c r="BQ791" s="115"/>
      <c r="BR791" s="115"/>
      <c r="BS791" s="115"/>
      <c r="BT791" s="115"/>
      <c r="BU791" s="115"/>
      <c r="BV791" s="115"/>
      <c r="BW791" s="25"/>
      <c r="BX791" s="13"/>
      <c r="CA791" s="114"/>
    </row>
    <row r="792" spans="1:79" ht="19.5" x14ac:dyDescent="0.4">
      <c r="A792" s="117"/>
      <c r="B792" s="123"/>
      <c r="C792" s="123"/>
      <c r="D792" s="123"/>
      <c r="AB792" s="115"/>
      <c r="AC792" s="115"/>
      <c r="AD792" s="115"/>
      <c r="AE792" s="115"/>
      <c r="AF792" s="115"/>
      <c r="AG792" s="115"/>
      <c r="AH792" s="115"/>
      <c r="AI792" s="115"/>
      <c r="AJ792" s="115"/>
      <c r="AK792" s="115"/>
      <c r="AL792" s="115"/>
      <c r="AM792" s="115"/>
      <c r="AN792" s="127"/>
      <c r="AO792" s="29"/>
      <c r="AP792" s="115"/>
      <c r="AQ792" s="115"/>
      <c r="AR792" s="115"/>
      <c r="AS792" s="115"/>
      <c r="AT792" s="115"/>
      <c r="AU792" s="115"/>
      <c r="AV792" s="115"/>
      <c r="AW792" s="115"/>
      <c r="AX792" s="115"/>
      <c r="AY792" s="25"/>
      <c r="AZ792" s="13"/>
      <c r="BE792" s="116"/>
      <c r="BF792" s="123"/>
      <c r="BG792" s="123"/>
      <c r="BH792" s="123"/>
      <c r="BM792" s="115"/>
      <c r="BN792" s="115"/>
      <c r="BO792" s="115"/>
      <c r="BP792" s="115"/>
      <c r="BQ792" s="115"/>
      <c r="BR792" s="115"/>
      <c r="BS792" s="115"/>
      <c r="BT792" s="115"/>
      <c r="BU792" s="115"/>
      <c r="BV792" s="115"/>
      <c r="BW792" s="25"/>
      <c r="BX792" s="13"/>
      <c r="CA792" s="114"/>
    </row>
    <row r="793" spans="1:79" ht="19.5" x14ac:dyDescent="0.4">
      <c r="A793" s="117"/>
      <c r="B793" s="123"/>
      <c r="C793" s="123"/>
      <c r="D793" s="123"/>
      <c r="AB793" s="115"/>
      <c r="AC793" s="115"/>
      <c r="AD793" s="115"/>
      <c r="AE793" s="115"/>
      <c r="AF793" s="115"/>
      <c r="AG793" s="115"/>
      <c r="AH793" s="115"/>
      <c r="AI793" s="115"/>
      <c r="AJ793" s="115"/>
      <c r="AK793" s="115"/>
      <c r="AL793" s="115"/>
      <c r="AM793" s="115"/>
      <c r="AN793" s="29"/>
      <c r="AO793" s="29"/>
      <c r="AP793" s="115"/>
      <c r="AQ793" s="115"/>
      <c r="AR793" s="115"/>
      <c r="AS793" s="115"/>
      <c r="AT793" s="115"/>
      <c r="AU793" s="115"/>
      <c r="AV793" s="115"/>
      <c r="AW793" s="115"/>
      <c r="AX793" s="115"/>
      <c r="AY793" s="25"/>
      <c r="AZ793" s="13"/>
      <c r="BE793" s="116"/>
      <c r="BF793" s="123"/>
      <c r="BG793" s="123"/>
      <c r="BH793" s="123"/>
      <c r="BM793" s="115"/>
      <c r="BN793" s="115"/>
      <c r="BO793" s="115"/>
      <c r="BP793" s="115"/>
      <c r="BQ793" s="115"/>
      <c r="BR793" s="115"/>
      <c r="BS793" s="115"/>
      <c r="BT793" s="115"/>
      <c r="BU793" s="115"/>
      <c r="BV793" s="115"/>
      <c r="BW793" s="25"/>
      <c r="BX793" s="13"/>
      <c r="CA793" s="114"/>
    </row>
    <row r="794" spans="1:79" ht="19.5" x14ac:dyDescent="0.4">
      <c r="A794" s="117"/>
      <c r="B794" s="123"/>
      <c r="C794" s="123"/>
      <c r="D794" s="123"/>
      <c r="AB794" s="115"/>
      <c r="AC794" s="115"/>
      <c r="AD794" s="115"/>
      <c r="AE794" s="115"/>
      <c r="AF794" s="115"/>
      <c r="AG794" s="115"/>
      <c r="AH794" s="115"/>
      <c r="AI794" s="115"/>
      <c r="AJ794" s="115"/>
      <c r="AK794" s="115"/>
      <c r="AL794" s="115"/>
      <c r="AM794" s="115"/>
      <c r="AN794" s="127"/>
      <c r="AO794" s="29"/>
      <c r="AP794" s="115"/>
      <c r="AQ794" s="115"/>
      <c r="AR794" s="115"/>
      <c r="AS794" s="115"/>
      <c r="AT794" s="115"/>
      <c r="AU794" s="115"/>
      <c r="AV794" s="115"/>
      <c r="AW794" s="115"/>
      <c r="AX794" s="115"/>
      <c r="AY794" s="25"/>
      <c r="AZ794" s="13"/>
      <c r="BE794" s="116"/>
      <c r="BF794" s="123"/>
      <c r="BG794" s="123"/>
      <c r="BH794" s="123"/>
      <c r="BM794" s="115"/>
      <c r="BN794" s="115"/>
      <c r="BO794" s="115"/>
      <c r="BP794" s="115"/>
      <c r="BQ794" s="115"/>
      <c r="BR794" s="115"/>
      <c r="BS794" s="115"/>
      <c r="BT794" s="115"/>
      <c r="BU794" s="115"/>
      <c r="BV794" s="115"/>
      <c r="BW794" s="25"/>
      <c r="BX794" s="13"/>
      <c r="CA794" s="114"/>
    </row>
    <row r="795" spans="1:79" ht="19.5" x14ac:dyDescent="0.4">
      <c r="A795" s="117"/>
      <c r="B795" s="123"/>
      <c r="C795" s="123"/>
      <c r="D795" s="123"/>
      <c r="AN795" s="127"/>
      <c r="AO795" s="29"/>
      <c r="AP795" s="115"/>
      <c r="AQ795" s="115"/>
      <c r="AR795" s="115"/>
      <c r="AS795" s="115"/>
      <c r="AT795" s="115"/>
      <c r="AU795" s="115"/>
      <c r="AV795" s="115"/>
      <c r="AW795" s="115"/>
      <c r="AX795" s="115"/>
      <c r="AY795" s="25">
        <v>45679</v>
      </c>
      <c r="AZ795" s="13" t="s">
        <v>147</v>
      </c>
      <c r="BE795" s="116"/>
      <c r="BF795" s="123"/>
      <c r="BG795" s="123"/>
      <c r="BH795" s="123"/>
      <c r="BM795" s="115"/>
      <c r="BN795" s="115"/>
      <c r="BO795" s="115"/>
      <c r="BP795" s="115"/>
      <c r="BQ795" s="115"/>
      <c r="BR795" s="115"/>
      <c r="BS795" s="115"/>
      <c r="BT795" s="115"/>
      <c r="BU795" s="115"/>
      <c r="BV795" s="115"/>
      <c r="BW795" s="25"/>
      <c r="BX795" s="13"/>
      <c r="CA795" s="114"/>
    </row>
    <row r="796" spans="1:79" ht="19.5" x14ac:dyDescent="0.4">
      <c r="A796" s="117"/>
      <c r="B796" s="123"/>
      <c r="C796" s="123"/>
      <c r="D796" s="123"/>
      <c r="AE796" s="115"/>
      <c r="AF796" s="115"/>
      <c r="AG796" s="115"/>
      <c r="AH796" s="115"/>
      <c r="AI796" s="115"/>
      <c r="AJ796" s="115"/>
      <c r="AK796" s="115"/>
      <c r="AL796" s="115"/>
      <c r="AM796" s="115"/>
      <c r="AN796" s="29"/>
      <c r="AO796" s="29"/>
      <c r="AP796" s="115"/>
      <c r="AQ796" s="115"/>
      <c r="AR796" s="115"/>
      <c r="AS796" s="115"/>
      <c r="AT796" s="115"/>
      <c r="AU796" s="115"/>
      <c r="AV796" s="115"/>
      <c r="AW796" s="115"/>
      <c r="AX796" s="115"/>
      <c r="AY796" s="25"/>
      <c r="AZ796" s="13"/>
      <c r="BE796" s="116"/>
      <c r="BF796" s="123"/>
      <c r="BG796" s="123"/>
      <c r="BH796" s="123"/>
      <c r="BM796" s="115"/>
      <c r="BN796" s="115"/>
      <c r="BO796" s="115"/>
      <c r="BP796" s="115"/>
      <c r="BQ796" s="115"/>
      <c r="BR796" s="115"/>
      <c r="BS796" s="115"/>
      <c r="BT796" s="115"/>
      <c r="BU796" s="115"/>
      <c r="BV796" s="115"/>
      <c r="BW796" s="25"/>
      <c r="BX796" s="13"/>
      <c r="CA796" s="114"/>
    </row>
    <row r="797" spans="1:79" ht="19.5" x14ac:dyDescent="0.4">
      <c r="A797" s="117"/>
      <c r="B797" s="123"/>
      <c r="C797" s="123"/>
      <c r="D797" s="123"/>
      <c r="AB797" s="115"/>
      <c r="AC797" s="115"/>
      <c r="AD797" s="115"/>
      <c r="AE797" s="115"/>
      <c r="AF797" s="115"/>
      <c r="AG797" s="115"/>
      <c r="AH797" s="115"/>
      <c r="AI797" s="115"/>
      <c r="AJ797" s="115"/>
      <c r="AK797" s="115"/>
      <c r="AL797" s="115"/>
      <c r="AM797" s="115"/>
      <c r="AN797" s="127"/>
      <c r="AO797" s="29"/>
      <c r="AP797" s="115"/>
      <c r="AQ797" s="115"/>
      <c r="AR797" s="115"/>
      <c r="AS797" s="115"/>
      <c r="AT797" s="115"/>
      <c r="AU797" s="115"/>
      <c r="AV797" s="115"/>
      <c r="AW797" s="115"/>
      <c r="AX797" s="115"/>
      <c r="AY797" s="25"/>
      <c r="AZ797" s="13"/>
      <c r="BE797" s="116"/>
      <c r="BF797" s="123"/>
      <c r="BG797" s="123"/>
      <c r="BH797" s="123"/>
      <c r="BM797" s="115"/>
      <c r="BN797" s="115"/>
      <c r="BO797" s="115"/>
      <c r="BP797" s="115"/>
      <c r="BQ797" s="115"/>
      <c r="BR797" s="115"/>
      <c r="BS797" s="115"/>
      <c r="BT797" s="115"/>
      <c r="BU797" s="115"/>
      <c r="BV797" s="115"/>
      <c r="BW797" s="25"/>
      <c r="BX797" s="13"/>
      <c r="CA797" s="114"/>
    </row>
    <row r="798" spans="1:79" ht="19.5" x14ac:dyDescent="0.4">
      <c r="A798" s="117"/>
      <c r="B798" s="123"/>
      <c r="C798" s="123"/>
      <c r="D798" s="123"/>
      <c r="AB798" s="115"/>
      <c r="AC798" s="115"/>
      <c r="AD798" s="115"/>
      <c r="AE798" s="115"/>
      <c r="AF798" s="115"/>
      <c r="AG798" s="115"/>
      <c r="AH798" s="115"/>
      <c r="AI798" s="115"/>
      <c r="AJ798" s="115"/>
      <c r="AK798" s="115"/>
      <c r="AL798" s="115"/>
      <c r="AM798" s="115"/>
      <c r="AN798" s="127"/>
      <c r="AO798" s="29"/>
      <c r="AP798" s="115"/>
      <c r="AQ798" s="115"/>
      <c r="AR798" s="115"/>
      <c r="AS798" s="115"/>
      <c r="AT798" s="115"/>
      <c r="AU798" s="115"/>
      <c r="AV798" s="115"/>
      <c r="AW798" s="115"/>
      <c r="AX798" s="115"/>
      <c r="AY798" s="25"/>
      <c r="AZ798" s="13"/>
      <c r="BE798" s="116"/>
      <c r="BF798" s="123"/>
      <c r="BG798" s="123"/>
      <c r="BH798" s="123"/>
      <c r="BM798" s="115"/>
      <c r="BN798" s="115"/>
      <c r="BO798" s="115"/>
      <c r="BP798" s="115"/>
      <c r="BQ798" s="115"/>
      <c r="BR798" s="115"/>
      <c r="BS798" s="115"/>
      <c r="BT798" s="115"/>
      <c r="BU798" s="115"/>
      <c r="BV798" s="115"/>
      <c r="BW798" s="25"/>
      <c r="BX798" s="13"/>
      <c r="CA798" s="114"/>
    </row>
    <row r="799" spans="1:79" ht="19.5" x14ac:dyDescent="0.4">
      <c r="A799" s="117"/>
      <c r="B799" s="123"/>
      <c r="C799" s="123"/>
      <c r="D799" s="123"/>
      <c r="AB799" s="115"/>
      <c r="AC799" s="115"/>
      <c r="AD799" s="115"/>
      <c r="AE799" s="115"/>
      <c r="AF799" s="115"/>
      <c r="AG799" s="115"/>
      <c r="AH799" s="115"/>
      <c r="AI799" s="115"/>
      <c r="AJ799" s="115"/>
      <c r="AK799" s="115"/>
      <c r="AL799" s="115"/>
      <c r="AM799" s="115"/>
      <c r="AN799" s="29"/>
      <c r="AO799" s="29"/>
      <c r="AP799" s="115"/>
      <c r="AQ799" s="115"/>
      <c r="AR799" s="115"/>
      <c r="AS799" s="115"/>
      <c r="AT799" s="115"/>
      <c r="AU799" s="115"/>
      <c r="AV799" s="115"/>
      <c r="AW799" s="115"/>
      <c r="AX799" s="115"/>
      <c r="AY799" s="25"/>
      <c r="AZ799" s="13"/>
      <c r="BE799" s="116"/>
      <c r="BF799" s="123"/>
      <c r="BG799" s="123"/>
      <c r="BH799" s="123"/>
      <c r="BM799" s="115"/>
      <c r="BN799" s="115"/>
      <c r="BO799" s="115"/>
      <c r="BP799" s="115"/>
      <c r="BQ799" s="115"/>
      <c r="BR799" s="115"/>
      <c r="BS799" s="115"/>
      <c r="BT799" s="115"/>
      <c r="BU799" s="115"/>
      <c r="BV799" s="115"/>
      <c r="BW799" s="25"/>
      <c r="BX799" s="13"/>
      <c r="CA799" s="114"/>
    </row>
    <row r="800" spans="1:79" ht="19.5" x14ac:dyDescent="0.4">
      <c r="A800" s="117"/>
      <c r="B800" s="123"/>
      <c r="C800" s="123"/>
      <c r="D800" s="123"/>
      <c r="AB800" s="115"/>
      <c r="AC800" s="115"/>
      <c r="AD800" s="115"/>
      <c r="AE800" s="115"/>
      <c r="AF800" s="115"/>
      <c r="AG800" s="115"/>
      <c r="AH800" s="115"/>
      <c r="AI800" s="115"/>
      <c r="AJ800" s="115"/>
      <c r="AK800" s="115"/>
      <c r="AL800" s="115"/>
      <c r="AM800" s="115"/>
      <c r="AN800" s="29"/>
      <c r="AO800" s="29"/>
      <c r="AP800" s="115"/>
      <c r="AQ800" s="115"/>
      <c r="AR800" s="115"/>
      <c r="AS800" s="115"/>
      <c r="AT800" s="115"/>
      <c r="AU800" s="115"/>
      <c r="AV800" s="115"/>
      <c r="AW800" s="115"/>
      <c r="AX800" s="115"/>
      <c r="AY800" s="25"/>
      <c r="AZ800" s="13"/>
      <c r="BE800" s="116"/>
      <c r="BF800" s="123"/>
      <c r="BG800" s="123"/>
      <c r="BH800" s="123"/>
      <c r="BM800" s="115"/>
      <c r="BN800" s="115"/>
      <c r="BO800" s="115"/>
      <c r="BP800" s="115"/>
      <c r="BQ800" s="115"/>
      <c r="BR800" s="115"/>
      <c r="BS800" s="115"/>
      <c r="BT800" s="115"/>
      <c r="BU800" s="115"/>
      <c r="BV800" s="115"/>
      <c r="BW800" s="25"/>
      <c r="BX800" s="13"/>
      <c r="CA800" s="114"/>
    </row>
    <row r="801" spans="1:79" ht="19.5" x14ac:dyDescent="0.4">
      <c r="A801" s="117"/>
      <c r="B801" s="123"/>
      <c r="C801" s="123"/>
      <c r="D801" s="123"/>
      <c r="AB801" s="115"/>
      <c r="AC801" s="115"/>
      <c r="AD801" s="115"/>
      <c r="AE801" s="115"/>
      <c r="AF801" s="115"/>
      <c r="AG801" s="115"/>
      <c r="AH801" s="115"/>
      <c r="AI801" s="115"/>
      <c r="AJ801" s="115"/>
      <c r="AK801" s="115"/>
      <c r="AL801" s="115"/>
      <c r="AM801" s="115"/>
      <c r="AN801" s="127"/>
      <c r="AO801" s="29"/>
      <c r="AP801" s="115"/>
      <c r="AQ801" s="115"/>
      <c r="AR801" s="115"/>
      <c r="AS801" s="115"/>
      <c r="AT801" s="115"/>
      <c r="AU801" s="115"/>
      <c r="AV801" s="115"/>
      <c r="AW801" s="115"/>
      <c r="AX801" s="115"/>
      <c r="AY801" s="25"/>
      <c r="AZ801" s="13"/>
      <c r="BE801" s="116"/>
      <c r="BF801" s="123"/>
      <c r="BG801" s="123"/>
      <c r="BH801" s="123"/>
      <c r="BM801" s="115"/>
      <c r="BN801" s="115"/>
      <c r="BO801" s="115"/>
      <c r="BP801" s="115"/>
      <c r="BQ801" s="115"/>
      <c r="BR801" s="115"/>
      <c r="BS801" s="115"/>
      <c r="BT801" s="115"/>
      <c r="BU801" s="115"/>
      <c r="BV801" s="115"/>
      <c r="BW801" s="25"/>
      <c r="BX801" s="13"/>
      <c r="CA801" s="114"/>
    </row>
    <row r="802" spans="1:79" ht="19.5" x14ac:dyDescent="0.4">
      <c r="A802" s="117"/>
      <c r="B802" s="123"/>
      <c r="C802" s="123"/>
      <c r="D802" s="123"/>
      <c r="AB802" s="115"/>
      <c r="AC802" s="115"/>
      <c r="AD802" s="115"/>
      <c r="AE802" s="115"/>
      <c r="AF802" s="115"/>
      <c r="AG802" s="115"/>
      <c r="AH802" s="115"/>
      <c r="AI802" s="115"/>
      <c r="AJ802" s="115"/>
      <c r="AK802" s="115"/>
      <c r="AL802" s="115"/>
      <c r="AM802" s="115"/>
      <c r="AN802" s="29"/>
      <c r="AO802" s="29"/>
      <c r="AP802" s="115"/>
      <c r="AQ802" s="115"/>
      <c r="AR802" s="115"/>
      <c r="AS802" s="115"/>
      <c r="AT802" s="115"/>
      <c r="AU802" s="115"/>
      <c r="AV802" s="115"/>
      <c r="AW802" s="115"/>
      <c r="AX802" s="115"/>
      <c r="AY802" s="25"/>
      <c r="AZ802" s="13"/>
      <c r="BE802" s="116"/>
      <c r="BF802" s="123"/>
      <c r="BG802" s="123"/>
      <c r="BH802" s="123"/>
      <c r="BM802" s="115"/>
      <c r="BN802" s="115"/>
      <c r="BO802" s="115"/>
      <c r="BP802" s="115"/>
      <c r="BQ802" s="115"/>
      <c r="BR802" s="115"/>
      <c r="BS802" s="115"/>
      <c r="BT802" s="115"/>
      <c r="BU802" s="115"/>
      <c r="BV802" s="115"/>
      <c r="BW802" s="25"/>
      <c r="BX802" s="13"/>
      <c r="CA802" s="114"/>
    </row>
    <row r="803" spans="1:79" ht="19.5" x14ac:dyDescent="0.4">
      <c r="A803" s="117"/>
      <c r="B803" s="123"/>
      <c r="C803" s="123"/>
      <c r="D803" s="123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  <c r="AK803" s="115"/>
      <c r="AL803" s="115"/>
      <c r="AM803" s="115"/>
      <c r="AN803" s="127"/>
      <c r="AO803" s="29"/>
      <c r="AP803" s="115"/>
      <c r="AQ803" s="115"/>
      <c r="AR803" s="115"/>
      <c r="AS803" s="115"/>
      <c r="AT803" s="115"/>
      <c r="AU803" s="115"/>
      <c r="AV803" s="115"/>
      <c r="AW803" s="115"/>
      <c r="AX803" s="115"/>
      <c r="AY803" s="25"/>
      <c r="AZ803" s="13"/>
      <c r="BE803" s="116"/>
      <c r="BF803" s="123"/>
      <c r="BG803" s="123"/>
      <c r="BH803" s="123"/>
      <c r="BM803" s="115"/>
      <c r="BN803" s="115"/>
      <c r="BO803" s="115"/>
      <c r="BP803" s="115"/>
      <c r="BQ803" s="115"/>
      <c r="BR803" s="115"/>
      <c r="BS803" s="115"/>
      <c r="BT803" s="115"/>
      <c r="BU803" s="115"/>
      <c r="BV803" s="115"/>
      <c r="BW803" s="25"/>
      <c r="BX803" s="13"/>
      <c r="CA803" s="114"/>
    </row>
    <row r="804" spans="1:79" ht="19.5" x14ac:dyDescent="0.4">
      <c r="A804" s="117"/>
      <c r="B804" s="123"/>
      <c r="C804" s="123"/>
      <c r="D804" s="123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115"/>
      <c r="AJ804" s="115"/>
      <c r="AK804" s="115"/>
      <c r="AL804" s="115"/>
      <c r="AM804" s="115"/>
      <c r="AN804" s="127"/>
      <c r="AO804" s="29"/>
      <c r="AP804" s="115"/>
      <c r="AQ804" s="115"/>
      <c r="AR804" s="115"/>
      <c r="AS804" s="115"/>
      <c r="AT804" s="115"/>
      <c r="AU804" s="115"/>
      <c r="AV804" s="115"/>
      <c r="AW804" s="115"/>
      <c r="AX804" s="115"/>
      <c r="AY804" s="25"/>
      <c r="AZ804" s="13"/>
      <c r="BE804" s="116"/>
      <c r="BF804" s="123"/>
      <c r="BG804" s="123"/>
      <c r="BH804" s="123"/>
      <c r="BM804" s="115"/>
      <c r="BN804" s="115"/>
      <c r="BO804" s="115"/>
      <c r="BP804" s="115"/>
      <c r="BQ804" s="115"/>
      <c r="BR804" s="115"/>
      <c r="BS804" s="115"/>
      <c r="BT804" s="115"/>
      <c r="BU804" s="115"/>
      <c r="BV804" s="115"/>
      <c r="BW804" s="25"/>
      <c r="BX804" s="13"/>
      <c r="CA804" s="114"/>
    </row>
    <row r="805" spans="1:79" ht="19.5" x14ac:dyDescent="0.4">
      <c r="A805" s="117"/>
      <c r="B805" s="123"/>
      <c r="C805" s="123"/>
      <c r="D805" s="123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  <c r="AK805" s="115"/>
      <c r="AL805" s="115"/>
      <c r="AM805" s="115"/>
      <c r="AN805" s="127"/>
      <c r="AO805" s="29"/>
      <c r="AP805" s="115"/>
      <c r="AQ805" s="115"/>
      <c r="AR805" s="115"/>
      <c r="AS805" s="115"/>
      <c r="AT805" s="115"/>
      <c r="AU805" s="115"/>
      <c r="AV805" s="115"/>
      <c r="AW805" s="115"/>
      <c r="AX805" s="115"/>
      <c r="AY805" s="25"/>
      <c r="AZ805" s="13"/>
      <c r="BE805" s="116"/>
      <c r="BF805" s="123"/>
      <c r="BG805" s="123"/>
      <c r="BH805" s="123"/>
      <c r="BM805" s="115"/>
      <c r="BN805" s="115"/>
      <c r="BO805" s="115"/>
      <c r="BP805" s="115"/>
      <c r="BQ805" s="115"/>
      <c r="BR805" s="115"/>
      <c r="BS805" s="115"/>
      <c r="BT805" s="115"/>
      <c r="BU805" s="115"/>
      <c r="BV805" s="115"/>
      <c r="BW805" s="25"/>
      <c r="BX805" s="13"/>
      <c r="CA805" s="114"/>
    </row>
    <row r="806" spans="1:79" ht="19.5" x14ac:dyDescent="0.4">
      <c r="A806" s="117"/>
      <c r="B806" s="123"/>
      <c r="C806" s="123"/>
      <c r="D806" s="123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  <c r="AK806" s="115"/>
      <c r="AL806" s="115"/>
      <c r="AM806" s="115"/>
      <c r="AN806" s="127"/>
      <c r="AO806" s="29"/>
      <c r="AP806" s="115"/>
      <c r="AQ806" s="115"/>
      <c r="AR806" s="115"/>
      <c r="AS806" s="115"/>
      <c r="AT806" s="115"/>
      <c r="AU806" s="115"/>
      <c r="AV806" s="115"/>
      <c r="AW806" s="115"/>
      <c r="AX806" s="115"/>
      <c r="AY806" s="25"/>
      <c r="AZ806" s="13"/>
      <c r="BE806" s="116"/>
      <c r="BF806" s="123"/>
      <c r="BG806" s="123"/>
      <c r="BH806" s="123"/>
      <c r="BM806" s="115"/>
      <c r="BN806" s="115"/>
      <c r="BO806" s="115"/>
      <c r="BP806" s="115"/>
      <c r="BQ806" s="115"/>
      <c r="BR806" s="115"/>
      <c r="BS806" s="115"/>
      <c r="BT806" s="115"/>
      <c r="BU806" s="115"/>
      <c r="BV806" s="115"/>
      <c r="BW806" s="25"/>
      <c r="BX806" s="13"/>
      <c r="CA806" s="114"/>
    </row>
    <row r="807" spans="1:79" ht="19.5" x14ac:dyDescent="0.4">
      <c r="A807" s="117"/>
      <c r="B807" s="123"/>
      <c r="C807" s="123"/>
      <c r="D807" s="123"/>
      <c r="AN807" s="127"/>
      <c r="AO807" s="29"/>
      <c r="AY807" s="25">
        <v>45679</v>
      </c>
      <c r="AZ807" s="13" t="s">
        <v>147</v>
      </c>
      <c r="BE807" s="116"/>
      <c r="BF807" s="123"/>
      <c r="BG807" s="123"/>
      <c r="BH807" s="123"/>
      <c r="BM807" s="115"/>
      <c r="BN807" s="115"/>
      <c r="BO807" s="115"/>
      <c r="BP807" s="115"/>
      <c r="BQ807" s="115"/>
      <c r="BR807" s="115"/>
      <c r="BS807" s="115"/>
      <c r="BT807" s="115"/>
      <c r="BU807" s="115"/>
      <c r="BV807" s="115"/>
      <c r="BW807" s="25"/>
      <c r="BX807" s="13"/>
      <c r="CA807" s="114"/>
    </row>
    <row r="808" spans="1:79" ht="19.5" x14ac:dyDescent="0.4">
      <c r="A808" s="117"/>
      <c r="B808" s="123"/>
      <c r="C808" s="123"/>
      <c r="D808" s="123"/>
      <c r="AB808" s="115"/>
      <c r="AC808" s="115"/>
      <c r="AD808" s="115"/>
      <c r="AE808" s="115"/>
      <c r="AF808" s="115"/>
      <c r="AG808" s="115"/>
      <c r="AH808" s="115"/>
      <c r="AI808" s="115"/>
      <c r="AJ808" s="115"/>
      <c r="AK808" s="115"/>
      <c r="AL808" s="115"/>
      <c r="AM808" s="115"/>
      <c r="AN808" s="127"/>
      <c r="AO808" s="29"/>
      <c r="AY808" s="25"/>
      <c r="AZ808" s="13"/>
      <c r="BE808" s="116"/>
      <c r="BF808" s="123"/>
      <c r="BG808" s="123"/>
      <c r="BH808" s="123"/>
      <c r="BM808" s="115"/>
      <c r="BN808" s="115"/>
      <c r="BO808" s="115"/>
      <c r="BP808" s="115"/>
      <c r="BQ808" s="115"/>
      <c r="BR808" s="115"/>
      <c r="BS808" s="115"/>
      <c r="BT808" s="115"/>
      <c r="BU808" s="115"/>
      <c r="BV808" s="115"/>
      <c r="BW808" s="25"/>
      <c r="BX808" s="13"/>
      <c r="CA808" s="114"/>
    </row>
    <row r="809" spans="1:79" ht="19.5" x14ac:dyDescent="0.4">
      <c r="A809" s="117"/>
      <c r="B809" s="123"/>
      <c r="C809" s="123"/>
      <c r="D809" s="123"/>
      <c r="AN809" s="127"/>
      <c r="AO809" s="29"/>
      <c r="AY809" s="25"/>
      <c r="AZ809" s="13"/>
      <c r="BE809" s="116"/>
      <c r="BF809" s="123"/>
      <c r="BG809" s="123"/>
      <c r="BH809" s="123"/>
      <c r="BM809" s="115"/>
      <c r="BN809" s="115"/>
      <c r="BO809" s="115"/>
      <c r="BP809" s="115"/>
      <c r="BQ809" s="115"/>
      <c r="BR809" s="115"/>
      <c r="BS809" s="115"/>
      <c r="BT809" s="115"/>
      <c r="BU809" s="115"/>
      <c r="BV809" s="115"/>
      <c r="BW809" s="25"/>
      <c r="BX809" s="13"/>
      <c r="CA809" s="114"/>
    </row>
    <row r="810" spans="1:79" ht="19.5" x14ac:dyDescent="0.4">
      <c r="A810" s="117"/>
      <c r="B810" s="123"/>
      <c r="C810" s="123"/>
      <c r="D810" s="123"/>
      <c r="AB810" s="115"/>
      <c r="AC810" s="115"/>
      <c r="AD810" s="115"/>
      <c r="AE810" s="115"/>
      <c r="AF810" s="115"/>
      <c r="AG810" s="115"/>
      <c r="AH810" s="115"/>
      <c r="AI810" s="115"/>
      <c r="AJ810" s="115"/>
      <c r="AK810" s="115"/>
      <c r="AL810" s="115"/>
      <c r="AM810" s="115"/>
      <c r="AN810" s="127"/>
      <c r="AO810" s="29"/>
      <c r="AY810" s="25"/>
      <c r="AZ810" s="13"/>
      <c r="BE810" s="116"/>
      <c r="BF810" s="123"/>
      <c r="BG810" s="123"/>
      <c r="BH810" s="123"/>
      <c r="BM810" s="115"/>
      <c r="BN810" s="115"/>
      <c r="BO810" s="115"/>
      <c r="BP810" s="115"/>
      <c r="BQ810" s="115"/>
      <c r="BR810" s="115"/>
      <c r="BS810" s="115"/>
      <c r="BT810" s="115"/>
      <c r="BU810" s="115"/>
      <c r="BV810" s="115"/>
      <c r="BW810" s="25"/>
      <c r="BX810" s="13"/>
      <c r="CA810" s="114"/>
    </row>
    <row r="811" spans="1:79" ht="19.5" x14ac:dyDescent="0.4">
      <c r="A811" s="117"/>
      <c r="B811" s="123"/>
      <c r="C811" s="123"/>
      <c r="D811" s="123"/>
      <c r="AB811" s="115"/>
      <c r="AC811" s="115"/>
      <c r="AD811" s="115"/>
      <c r="AE811" s="115"/>
      <c r="AF811" s="115"/>
      <c r="AG811" s="115"/>
      <c r="AH811" s="115"/>
      <c r="AI811" s="115"/>
      <c r="AJ811" s="115"/>
      <c r="AK811" s="115"/>
      <c r="AL811" s="115"/>
      <c r="AM811" s="115"/>
      <c r="AN811" s="29"/>
      <c r="AO811" s="29"/>
      <c r="AY811" s="25"/>
      <c r="AZ811" s="13"/>
      <c r="BE811" s="116"/>
      <c r="BF811" s="123"/>
      <c r="BG811" s="123"/>
      <c r="BH811" s="123"/>
      <c r="BM811" s="115"/>
      <c r="BN811" s="115"/>
      <c r="BO811" s="115"/>
      <c r="BP811" s="115"/>
      <c r="BQ811" s="115"/>
      <c r="BR811" s="115"/>
      <c r="BS811" s="115"/>
      <c r="BT811" s="115"/>
      <c r="BU811" s="115"/>
      <c r="BV811" s="115"/>
      <c r="BW811" s="25"/>
      <c r="BX811" s="13"/>
      <c r="CA811" s="114"/>
    </row>
    <row r="812" spans="1:79" ht="19.5" x14ac:dyDescent="0.4">
      <c r="A812" s="117"/>
      <c r="B812" s="123"/>
      <c r="C812" s="123"/>
      <c r="D812" s="123"/>
      <c r="AN812" s="127"/>
      <c r="AO812" s="29"/>
      <c r="AP812" s="115"/>
      <c r="AQ812" s="115"/>
      <c r="AR812" s="115"/>
      <c r="AS812" s="115"/>
      <c r="AT812" s="115"/>
      <c r="AU812" s="115"/>
      <c r="AV812" s="115"/>
      <c r="AW812" s="115"/>
      <c r="AX812" s="115"/>
      <c r="AY812" s="25">
        <v>45679</v>
      </c>
      <c r="AZ812" s="13" t="s">
        <v>146</v>
      </c>
      <c r="BE812" s="116"/>
      <c r="BF812" s="123"/>
      <c r="BG812" s="123"/>
      <c r="BH812" s="123"/>
      <c r="BM812" s="115"/>
      <c r="BN812" s="115"/>
      <c r="BO812" s="115"/>
      <c r="BP812" s="115"/>
      <c r="BQ812" s="115"/>
      <c r="BR812" s="115"/>
      <c r="BS812" s="115"/>
      <c r="BT812" s="115"/>
      <c r="BU812" s="115"/>
      <c r="BV812" s="115"/>
      <c r="BW812" s="25"/>
      <c r="BX812" s="13"/>
      <c r="CA812" s="114"/>
    </row>
    <row r="813" spans="1:79" ht="19.5" x14ac:dyDescent="0.4">
      <c r="A813" s="117"/>
      <c r="B813" s="123"/>
      <c r="C813" s="123"/>
      <c r="D813" s="123"/>
      <c r="AB813" s="115"/>
      <c r="AC813" s="115"/>
      <c r="AD813" s="115"/>
      <c r="AE813" s="115"/>
      <c r="AF813" s="115"/>
      <c r="AG813" s="115"/>
      <c r="AH813" s="115"/>
      <c r="AI813" s="115"/>
      <c r="AJ813" s="115"/>
      <c r="AK813" s="115"/>
      <c r="AL813" s="115"/>
      <c r="AM813" s="115"/>
      <c r="AN813" s="127"/>
      <c r="AO813" s="29"/>
      <c r="AP813" s="115"/>
      <c r="AQ813" s="115"/>
      <c r="AR813" s="115"/>
      <c r="AS813" s="115"/>
      <c r="AT813" s="115"/>
      <c r="AU813" s="115"/>
      <c r="AV813" s="115"/>
      <c r="AW813" s="115"/>
      <c r="AX813" s="115"/>
      <c r="AY813" s="25"/>
      <c r="AZ813" s="13"/>
      <c r="BE813" s="116"/>
      <c r="BF813" s="123"/>
      <c r="BG813" s="123"/>
      <c r="BH813" s="123"/>
      <c r="BM813" s="115"/>
      <c r="BN813" s="115"/>
      <c r="BO813" s="115"/>
      <c r="BP813" s="115"/>
      <c r="BQ813" s="115"/>
      <c r="BR813" s="115"/>
      <c r="BS813" s="115"/>
      <c r="BT813" s="115"/>
      <c r="BU813" s="115"/>
      <c r="BV813" s="115"/>
      <c r="BW813" s="25"/>
      <c r="BX813" s="13"/>
      <c r="CA813" s="114"/>
    </row>
    <row r="814" spans="1:79" ht="19.5" x14ac:dyDescent="0.4">
      <c r="A814" s="117"/>
      <c r="B814" s="123"/>
      <c r="C814" s="123"/>
      <c r="D814" s="123"/>
      <c r="AN814" s="127"/>
      <c r="AO814" s="29"/>
      <c r="AP814" s="115"/>
      <c r="AQ814" s="115"/>
      <c r="AR814" s="115"/>
      <c r="AS814" s="115"/>
      <c r="AT814" s="115"/>
      <c r="AU814" s="115"/>
      <c r="AV814" s="115"/>
      <c r="AW814" s="115"/>
      <c r="AX814" s="115"/>
      <c r="AY814" s="25"/>
      <c r="AZ814" s="13"/>
      <c r="BE814" s="116"/>
      <c r="BF814" s="123"/>
      <c r="BG814" s="123"/>
      <c r="BH814" s="123"/>
      <c r="BM814" s="115"/>
      <c r="BN814" s="115"/>
      <c r="BO814" s="115"/>
      <c r="BP814" s="115"/>
      <c r="BQ814" s="115"/>
      <c r="BR814" s="115"/>
      <c r="BS814" s="115"/>
      <c r="BT814" s="115"/>
      <c r="BU814" s="115"/>
      <c r="BV814" s="115"/>
      <c r="BW814" s="25"/>
      <c r="BX814" s="13"/>
      <c r="CA814" s="114"/>
    </row>
    <row r="815" spans="1:79" ht="19.5" x14ac:dyDescent="0.4">
      <c r="A815" s="117"/>
      <c r="B815" s="123"/>
      <c r="C815" s="123"/>
      <c r="D815" s="123"/>
      <c r="AB815" s="115"/>
      <c r="AC815" s="115"/>
      <c r="AD815" s="115"/>
      <c r="AE815" s="115"/>
      <c r="AF815" s="115"/>
      <c r="AG815" s="115"/>
      <c r="AH815" s="115"/>
      <c r="AI815" s="115"/>
      <c r="AJ815" s="115"/>
      <c r="AK815" s="115"/>
      <c r="AL815" s="115"/>
      <c r="AM815" s="115"/>
      <c r="AN815" s="127"/>
      <c r="AO815" s="29"/>
      <c r="AP815" s="115"/>
      <c r="AQ815" s="115"/>
      <c r="AR815" s="115"/>
      <c r="AS815" s="115"/>
      <c r="AT815" s="115"/>
      <c r="AU815" s="115"/>
      <c r="AV815" s="115"/>
      <c r="AW815" s="115"/>
      <c r="AX815" s="115"/>
      <c r="AY815" s="25"/>
      <c r="AZ815" s="13"/>
      <c r="BE815" s="116"/>
      <c r="BF815" s="123"/>
      <c r="BG815" s="123"/>
      <c r="BH815" s="123"/>
      <c r="BM815" s="115"/>
      <c r="BN815" s="115"/>
      <c r="BO815" s="115"/>
      <c r="BP815" s="115"/>
      <c r="BQ815" s="115"/>
      <c r="BR815" s="115"/>
      <c r="BS815" s="115"/>
      <c r="BT815" s="115"/>
      <c r="BU815" s="115"/>
      <c r="BV815" s="115"/>
      <c r="BW815" s="25"/>
      <c r="BX815" s="13"/>
      <c r="CA815" s="114"/>
    </row>
    <row r="816" spans="1:79" ht="19.5" x14ac:dyDescent="0.4">
      <c r="A816" s="117"/>
      <c r="B816" s="123"/>
      <c r="C816" s="123"/>
      <c r="D816" s="123"/>
      <c r="AB816" s="115"/>
      <c r="AC816" s="115"/>
      <c r="AD816" s="115"/>
      <c r="AE816" s="115"/>
      <c r="AF816" s="115"/>
      <c r="AG816" s="115"/>
      <c r="AH816" s="115"/>
      <c r="AI816" s="115"/>
      <c r="AJ816" s="115"/>
      <c r="AK816" s="115"/>
      <c r="AL816" s="115"/>
      <c r="AM816" s="115"/>
      <c r="AN816" s="127"/>
      <c r="AO816" s="29"/>
      <c r="AP816" s="115"/>
      <c r="AQ816" s="115"/>
      <c r="AR816" s="115"/>
      <c r="AS816" s="115"/>
      <c r="AT816" s="115"/>
      <c r="AU816" s="115"/>
      <c r="AV816" s="115"/>
      <c r="AW816" s="115"/>
      <c r="AX816" s="115"/>
      <c r="AY816" s="25"/>
      <c r="AZ816" s="13"/>
      <c r="BE816" s="116"/>
      <c r="BF816" s="123"/>
      <c r="BG816" s="123"/>
      <c r="BH816" s="123"/>
      <c r="BM816" s="115"/>
      <c r="BN816" s="115"/>
      <c r="BO816" s="115"/>
      <c r="BP816" s="115"/>
      <c r="BQ816" s="115"/>
      <c r="BR816" s="115"/>
      <c r="BS816" s="115"/>
      <c r="BT816" s="115"/>
      <c r="BU816" s="115"/>
      <c r="BV816" s="115"/>
      <c r="BW816" s="25"/>
      <c r="BX816" s="13"/>
      <c r="CA816" s="114"/>
    </row>
    <row r="817" spans="1:79" ht="19.5" x14ac:dyDescent="0.4">
      <c r="A817" s="117"/>
      <c r="B817" s="123"/>
      <c r="C817" s="123"/>
      <c r="D817" s="123"/>
      <c r="AN817" s="127"/>
      <c r="AO817" s="29"/>
      <c r="AP817" s="115"/>
      <c r="AQ817" s="115"/>
      <c r="AR817" s="115"/>
      <c r="AS817" s="115"/>
      <c r="AT817" s="115"/>
      <c r="AU817" s="115"/>
      <c r="AV817" s="115"/>
      <c r="AW817" s="115"/>
      <c r="AX817" s="115"/>
      <c r="AY817" s="25">
        <v>45679</v>
      </c>
      <c r="AZ817" s="13" t="s">
        <v>147</v>
      </c>
      <c r="BE817" s="116"/>
      <c r="BF817" s="123"/>
      <c r="BG817" s="123"/>
      <c r="BH817" s="123"/>
      <c r="BM817" s="115"/>
      <c r="BN817" s="115"/>
      <c r="BO817" s="115"/>
      <c r="BP817" s="115"/>
      <c r="BQ817" s="115"/>
      <c r="BR817" s="115"/>
      <c r="BS817" s="115"/>
      <c r="BT817" s="115"/>
      <c r="BU817" s="115"/>
      <c r="BV817" s="115"/>
      <c r="BW817" s="25"/>
      <c r="BX817" s="13"/>
      <c r="CA817" s="114"/>
    </row>
    <row r="818" spans="1:79" ht="19.5" x14ac:dyDescent="0.4">
      <c r="A818" s="117"/>
      <c r="B818" s="123"/>
      <c r="C818" s="123"/>
      <c r="D818" s="123"/>
      <c r="AN818" s="127"/>
      <c r="AO818" s="29"/>
      <c r="AP818" s="115"/>
      <c r="AQ818" s="115"/>
      <c r="AR818" s="115"/>
      <c r="AS818" s="115"/>
      <c r="AT818" s="115"/>
      <c r="AU818" s="115"/>
      <c r="AV818" s="115"/>
      <c r="AW818" s="115"/>
      <c r="AX818" s="115"/>
      <c r="AY818" s="25">
        <v>45680</v>
      </c>
      <c r="AZ818" s="13" t="s">
        <v>148</v>
      </c>
      <c r="BE818" s="116"/>
      <c r="BF818" s="123"/>
      <c r="BG818" s="123"/>
      <c r="BH818" s="123"/>
      <c r="BM818" s="115"/>
      <c r="BN818" s="115"/>
      <c r="BO818" s="115"/>
      <c r="BP818" s="115"/>
      <c r="BQ818" s="115"/>
      <c r="BR818" s="115"/>
      <c r="BS818" s="115"/>
      <c r="BT818" s="115"/>
      <c r="BU818" s="115"/>
      <c r="BV818" s="115"/>
      <c r="BW818" s="25"/>
      <c r="BX818" s="13"/>
      <c r="CA818" s="114"/>
    </row>
    <row r="819" spans="1:79" ht="19.5" x14ac:dyDescent="0.4">
      <c r="A819" s="117"/>
      <c r="B819" s="123"/>
      <c r="C819" s="123"/>
      <c r="D819" s="123"/>
      <c r="AD819" s="115"/>
      <c r="AE819" s="115"/>
      <c r="AF819" s="115"/>
      <c r="AG819" s="115"/>
      <c r="AH819" s="115"/>
      <c r="AI819" s="115"/>
      <c r="AJ819" s="115"/>
      <c r="AK819" s="115"/>
      <c r="AL819" s="115"/>
      <c r="AM819" s="115"/>
      <c r="AN819" s="29"/>
      <c r="AO819" s="29"/>
      <c r="AP819" s="115"/>
      <c r="AQ819" s="115"/>
      <c r="AR819" s="115"/>
      <c r="AS819" s="115"/>
      <c r="AT819" s="115"/>
      <c r="AU819" s="115"/>
      <c r="AV819" s="115"/>
      <c r="AW819" s="115"/>
      <c r="AX819" s="115"/>
      <c r="AY819" s="25"/>
      <c r="AZ819" s="13"/>
      <c r="BE819" s="116"/>
      <c r="BF819" s="123"/>
      <c r="BG819" s="123"/>
      <c r="BH819" s="123"/>
      <c r="BM819" s="115"/>
      <c r="BN819" s="115"/>
      <c r="BO819" s="115"/>
      <c r="BP819" s="115"/>
      <c r="BQ819" s="115"/>
      <c r="BR819" s="115"/>
      <c r="BS819" s="115"/>
      <c r="BT819" s="115"/>
      <c r="BU819" s="115"/>
      <c r="BV819" s="115"/>
      <c r="BW819" s="25"/>
      <c r="BX819" s="13"/>
      <c r="CA819" s="114"/>
    </row>
    <row r="820" spans="1:79" ht="19.5" x14ac:dyDescent="0.4">
      <c r="A820" s="117"/>
      <c r="B820" s="123"/>
      <c r="C820" s="123"/>
      <c r="D820" s="123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15"/>
      <c r="AK820" s="115"/>
      <c r="AL820" s="115"/>
      <c r="AM820" s="115"/>
      <c r="AN820" s="127"/>
      <c r="AO820" s="29"/>
      <c r="AP820" s="115"/>
      <c r="AQ820" s="115"/>
      <c r="AR820" s="115"/>
      <c r="AS820" s="115"/>
      <c r="AT820" s="115"/>
      <c r="AU820" s="115"/>
      <c r="AV820" s="115"/>
      <c r="AW820" s="115"/>
      <c r="AX820" s="115"/>
      <c r="AY820" s="25"/>
      <c r="AZ820" s="13"/>
      <c r="BE820" s="116"/>
      <c r="BF820" s="123"/>
      <c r="BG820" s="123"/>
      <c r="BH820" s="123"/>
      <c r="BM820" s="115"/>
      <c r="BN820" s="115"/>
      <c r="BO820" s="115"/>
      <c r="BP820" s="115"/>
      <c r="BQ820" s="115"/>
      <c r="BR820" s="115"/>
      <c r="BS820" s="115"/>
      <c r="BT820" s="115"/>
      <c r="BU820" s="115"/>
      <c r="BV820" s="115"/>
      <c r="BW820" s="25"/>
      <c r="BX820" s="13"/>
      <c r="CA820" s="114"/>
    </row>
    <row r="821" spans="1:79" ht="19.5" x14ac:dyDescent="0.4">
      <c r="A821" s="117"/>
      <c r="B821" s="123"/>
      <c r="C821" s="123"/>
      <c r="D821" s="123"/>
      <c r="AN821" s="127"/>
      <c r="AO821" s="29"/>
      <c r="AP821" s="115"/>
      <c r="AQ821" s="115"/>
      <c r="AR821" s="115"/>
      <c r="AS821" s="115"/>
      <c r="AT821" s="115"/>
      <c r="AU821" s="115"/>
      <c r="AV821" s="115"/>
      <c r="AW821" s="115"/>
      <c r="AX821" s="115"/>
      <c r="AY821" s="25">
        <v>45680</v>
      </c>
      <c r="AZ821" s="13" t="s">
        <v>147</v>
      </c>
      <c r="BE821" s="116"/>
      <c r="BF821" s="123"/>
      <c r="BG821" s="123"/>
      <c r="BH821" s="123"/>
      <c r="BM821" s="115"/>
      <c r="BN821" s="115"/>
      <c r="BO821" s="115"/>
      <c r="BP821" s="115"/>
      <c r="BQ821" s="115"/>
      <c r="BR821" s="115"/>
      <c r="BS821" s="115"/>
      <c r="BT821" s="115"/>
      <c r="BU821" s="115"/>
      <c r="BV821" s="115"/>
      <c r="BW821" s="25"/>
      <c r="BX821" s="13"/>
      <c r="CA821" s="114"/>
    </row>
    <row r="822" spans="1:79" ht="19.5" x14ac:dyDescent="0.4">
      <c r="A822" s="117"/>
      <c r="B822" s="123"/>
      <c r="C822" s="123"/>
      <c r="D822" s="123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115"/>
      <c r="AK822" s="115"/>
      <c r="AL822" s="115"/>
      <c r="AM822" s="115"/>
      <c r="AN822" s="127"/>
      <c r="AO822" s="29"/>
      <c r="AP822" s="115"/>
      <c r="AQ822" s="115"/>
      <c r="AR822" s="115"/>
      <c r="AS822" s="115"/>
      <c r="AT822" s="115"/>
      <c r="AU822" s="115"/>
      <c r="AV822" s="115"/>
      <c r="AW822" s="115"/>
      <c r="AX822" s="115"/>
      <c r="AY822" s="25"/>
      <c r="AZ822" s="13"/>
      <c r="BE822" s="116"/>
      <c r="BF822" s="123"/>
      <c r="BG822" s="123"/>
      <c r="BH822" s="123"/>
      <c r="BM822" s="115"/>
      <c r="BN822" s="115"/>
      <c r="BO822" s="115"/>
      <c r="BP822" s="115"/>
      <c r="BQ822" s="115"/>
      <c r="BR822" s="115"/>
      <c r="BS822" s="115"/>
      <c r="BT822" s="115"/>
      <c r="BU822" s="115"/>
      <c r="BV822" s="115"/>
      <c r="BW822" s="25"/>
      <c r="BX822" s="13"/>
      <c r="CA822" s="114"/>
    </row>
    <row r="823" spans="1:79" ht="19.5" x14ac:dyDescent="0.4">
      <c r="A823" s="117"/>
      <c r="B823" s="123"/>
      <c r="C823" s="123"/>
      <c r="D823" s="123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  <c r="AK823" s="115"/>
      <c r="AL823" s="115"/>
      <c r="AM823" s="115"/>
      <c r="AN823" s="127"/>
      <c r="AO823" s="29"/>
      <c r="AP823" s="115"/>
      <c r="AQ823" s="115"/>
      <c r="AR823" s="115"/>
      <c r="AS823" s="115"/>
      <c r="AT823" s="115"/>
      <c r="AU823" s="115"/>
      <c r="AV823" s="115"/>
      <c r="AW823" s="115"/>
      <c r="AX823" s="115"/>
      <c r="AY823" s="25"/>
      <c r="AZ823" s="13"/>
      <c r="BE823" s="116"/>
      <c r="BF823" s="123"/>
      <c r="BG823" s="123"/>
      <c r="BH823" s="123"/>
      <c r="BM823" s="115"/>
      <c r="BN823" s="115"/>
      <c r="BO823" s="115"/>
      <c r="BP823" s="115"/>
      <c r="BQ823" s="115"/>
      <c r="BR823" s="115"/>
      <c r="BS823" s="115"/>
      <c r="BT823" s="115"/>
      <c r="BU823" s="115"/>
      <c r="BV823" s="115"/>
      <c r="BW823" s="25"/>
      <c r="BX823" s="13"/>
      <c r="CA823" s="114"/>
    </row>
    <row r="824" spans="1:79" ht="19.5" x14ac:dyDescent="0.4">
      <c r="A824" s="117"/>
      <c r="B824" s="123"/>
      <c r="C824" s="123"/>
      <c r="D824" s="123"/>
      <c r="AN824" s="127"/>
      <c r="AO824" s="29"/>
      <c r="AP824" s="115"/>
      <c r="AQ824" s="115"/>
      <c r="AR824" s="115"/>
      <c r="AS824" s="115"/>
      <c r="AT824" s="115"/>
      <c r="AU824" s="115"/>
      <c r="AV824" s="115"/>
      <c r="AW824" s="115"/>
      <c r="AX824" s="115"/>
      <c r="AY824" s="25">
        <v>45680</v>
      </c>
      <c r="AZ824" s="13" t="s">
        <v>147</v>
      </c>
      <c r="BE824" s="116"/>
      <c r="BF824" s="123"/>
      <c r="BG824" s="123"/>
      <c r="BH824" s="123"/>
      <c r="BM824" s="115"/>
      <c r="BN824" s="115"/>
      <c r="BO824" s="115"/>
      <c r="BP824" s="115"/>
      <c r="BQ824" s="115"/>
      <c r="BR824" s="115"/>
      <c r="BS824" s="115"/>
      <c r="BT824" s="115"/>
      <c r="BU824" s="115"/>
      <c r="BV824" s="115"/>
      <c r="BW824" s="25"/>
      <c r="BX824" s="13"/>
      <c r="CA824" s="114"/>
    </row>
    <row r="825" spans="1:79" ht="19.5" x14ac:dyDescent="0.4">
      <c r="A825" s="117"/>
      <c r="B825" s="123"/>
      <c r="C825" s="123"/>
      <c r="D825" s="123"/>
      <c r="AN825" s="127"/>
      <c r="AO825" s="29"/>
      <c r="AP825" s="115"/>
      <c r="AQ825" s="115"/>
      <c r="AR825" s="115"/>
      <c r="AS825" s="115"/>
      <c r="AT825" s="115"/>
      <c r="AU825" s="115"/>
      <c r="AV825" s="115"/>
      <c r="AW825" s="115"/>
      <c r="AX825" s="115"/>
      <c r="AY825" s="25"/>
      <c r="AZ825" s="13"/>
      <c r="BE825" s="116"/>
      <c r="BF825" s="123"/>
      <c r="BG825" s="123"/>
      <c r="BH825" s="123"/>
      <c r="BM825" s="115"/>
      <c r="BN825" s="115"/>
      <c r="BO825" s="115"/>
      <c r="BP825" s="115"/>
      <c r="BQ825" s="115"/>
      <c r="BR825" s="115"/>
      <c r="BS825" s="115"/>
      <c r="BT825" s="115"/>
      <c r="BU825" s="115"/>
      <c r="BV825" s="115"/>
      <c r="BW825" s="25"/>
      <c r="BX825" s="13"/>
      <c r="CA825" s="114"/>
    </row>
    <row r="826" spans="1:79" ht="19.5" x14ac:dyDescent="0.4">
      <c r="A826" s="117"/>
      <c r="B826" s="123"/>
      <c r="C826" s="123"/>
      <c r="D826" s="123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5"/>
      <c r="AK826" s="115"/>
      <c r="AL826" s="115"/>
      <c r="AM826" s="115"/>
      <c r="AN826" s="127"/>
      <c r="AO826" s="29"/>
      <c r="AP826" s="115"/>
      <c r="AQ826" s="115"/>
      <c r="AR826" s="115"/>
      <c r="AS826" s="115"/>
      <c r="AT826" s="115"/>
      <c r="AU826" s="115"/>
      <c r="AV826" s="115"/>
      <c r="AW826" s="115"/>
      <c r="AX826" s="115"/>
      <c r="AY826" s="25"/>
      <c r="AZ826" s="13"/>
      <c r="BE826" s="116"/>
      <c r="BF826" s="123"/>
      <c r="BG826" s="123"/>
      <c r="BH826" s="123"/>
      <c r="BM826" s="115"/>
      <c r="BN826" s="115"/>
      <c r="BO826" s="115"/>
      <c r="BP826" s="115"/>
      <c r="BQ826" s="115"/>
      <c r="BR826" s="115"/>
      <c r="BS826" s="115"/>
      <c r="BT826" s="115"/>
      <c r="BU826" s="115"/>
      <c r="BV826" s="115"/>
      <c r="BW826" s="25"/>
      <c r="BX826" s="13"/>
      <c r="CA826" s="114"/>
    </row>
    <row r="827" spans="1:79" ht="19.5" x14ac:dyDescent="0.4">
      <c r="A827" s="117"/>
      <c r="B827" s="123"/>
      <c r="C827" s="123"/>
      <c r="D827" s="123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  <c r="AK827" s="115"/>
      <c r="AL827" s="115"/>
      <c r="AM827" s="115"/>
      <c r="AN827" s="127"/>
      <c r="AO827" s="29"/>
      <c r="AP827" s="115"/>
      <c r="AQ827" s="115"/>
      <c r="AR827" s="115"/>
      <c r="AS827" s="115"/>
      <c r="AT827" s="115"/>
      <c r="AU827" s="115"/>
      <c r="AV827" s="115"/>
      <c r="AW827" s="115"/>
      <c r="AX827" s="115"/>
      <c r="AY827" s="25"/>
      <c r="AZ827" s="13"/>
      <c r="BE827" s="116"/>
      <c r="BF827" s="123"/>
      <c r="BG827" s="123"/>
      <c r="BH827" s="123"/>
      <c r="BM827" s="115"/>
      <c r="BN827" s="115"/>
      <c r="BO827" s="115"/>
      <c r="BP827" s="115"/>
      <c r="BQ827" s="115"/>
      <c r="BR827" s="115"/>
      <c r="BS827" s="115"/>
      <c r="BT827" s="115"/>
      <c r="BU827" s="115"/>
      <c r="BV827" s="115"/>
      <c r="BW827" s="25"/>
      <c r="BX827" s="13"/>
      <c r="CA827" s="114"/>
    </row>
    <row r="828" spans="1:79" ht="19.5" x14ac:dyDescent="0.4">
      <c r="A828" s="117"/>
      <c r="B828" s="123"/>
      <c r="C828" s="123"/>
      <c r="D828" s="123"/>
      <c r="AN828" s="127"/>
      <c r="AO828" s="29"/>
      <c r="AP828" s="115"/>
      <c r="AQ828" s="115"/>
      <c r="AR828" s="115"/>
      <c r="AS828" s="115"/>
      <c r="AT828" s="115"/>
      <c r="AU828" s="115"/>
      <c r="AV828" s="115"/>
      <c r="AW828" s="115"/>
      <c r="AX828" s="115"/>
      <c r="AY828" s="25">
        <v>45680</v>
      </c>
      <c r="AZ828" s="13" t="s">
        <v>146</v>
      </c>
      <c r="BE828" s="116"/>
      <c r="BF828" s="123"/>
      <c r="BG828" s="123"/>
      <c r="BH828" s="123"/>
      <c r="BM828" s="115"/>
      <c r="BN828" s="115"/>
      <c r="BO828" s="115"/>
      <c r="BP828" s="115"/>
      <c r="BQ828" s="115"/>
      <c r="BR828" s="115"/>
      <c r="BS828" s="115"/>
      <c r="BT828" s="115"/>
      <c r="BU828" s="115"/>
      <c r="BV828" s="115"/>
      <c r="BW828" s="25"/>
      <c r="BX828" s="13"/>
      <c r="CA828" s="114"/>
    </row>
    <row r="829" spans="1:79" ht="19.5" x14ac:dyDescent="0.4">
      <c r="A829" s="117"/>
      <c r="B829" s="123"/>
      <c r="C829" s="123"/>
      <c r="D829" s="123"/>
      <c r="AN829" s="127"/>
      <c r="AO829" s="29"/>
      <c r="AP829" s="115"/>
      <c r="AQ829" s="115"/>
      <c r="AR829" s="115"/>
      <c r="AS829" s="115"/>
      <c r="AT829" s="115"/>
      <c r="AU829" s="115"/>
      <c r="AV829" s="115"/>
      <c r="AW829" s="115"/>
      <c r="AX829" s="115"/>
      <c r="AY829" s="25">
        <v>45680</v>
      </c>
      <c r="AZ829" s="13" t="s">
        <v>146</v>
      </c>
      <c r="BE829" s="116"/>
      <c r="BF829" s="123"/>
      <c r="BG829" s="123"/>
      <c r="BH829" s="123"/>
      <c r="BM829" s="115"/>
      <c r="BN829" s="115"/>
      <c r="BO829" s="115"/>
      <c r="BP829" s="115"/>
      <c r="BQ829" s="115"/>
      <c r="BR829" s="115"/>
      <c r="BS829" s="115"/>
      <c r="BT829" s="115"/>
      <c r="BU829" s="115"/>
      <c r="BV829" s="115"/>
      <c r="BW829" s="25"/>
      <c r="BX829" s="13"/>
      <c r="CA829" s="114"/>
    </row>
    <row r="830" spans="1:79" ht="19.5" x14ac:dyDescent="0.4">
      <c r="A830" s="117"/>
      <c r="B830" s="123"/>
      <c r="C830" s="123"/>
      <c r="D830" s="123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15"/>
      <c r="AJ830" s="115"/>
      <c r="AK830" s="115"/>
      <c r="AL830" s="115"/>
      <c r="AM830" s="115"/>
      <c r="AN830" s="127"/>
      <c r="AO830" s="29"/>
      <c r="AP830" s="115"/>
      <c r="AQ830" s="115"/>
      <c r="AR830" s="115"/>
      <c r="AS830" s="115"/>
      <c r="AT830" s="115"/>
      <c r="AU830" s="115"/>
      <c r="AV830" s="115"/>
      <c r="AW830" s="115"/>
      <c r="AX830" s="115"/>
      <c r="AY830" s="25">
        <v>45680</v>
      </c>
      <c r="AZ830" s="13" t="s">
        <v>147</v>
      </c>
      <c r="BE830" s="116"/>
      <c r="BF830" s="123"/>
      <c r="BG830" s="123"/>
      <c r="BH830" s="123"/>
      <c r="BM830" s="115"/>
      <c r="BN830" s="115"/>
      <c r="BO830" s="115"/>
      <c r="BP830" s="115"/>
      <c r="BQ830" s="115"/>
      <c r="BR830" s="115"/>
      <c r="BS830" s="115"/>
      <c r="BT830" s="115"/>
      <c r="BU830" s="115"/>
      <c r="BV830" s="115"/>
      <c r="BW830" s="25"/>
      <c r="BX830" s="13"/>
      <c r="CA830" s="114"/>
    </row>
    <row r="831" spans="1:79" ht="19.5" x14ac:dyDescent="0.4">
      <c r="A831" s="117"/>
      <c r="B831" s="123"/>
      <c r="C831" s="123"/>
      <c r="D831" s="123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115"/>
      <c r="AK831" s="115"/>
      <c r="AL831" s="115"/>
      <c r="AM831" s="115"/>
      <c r="AN831" s="127"/>
      <c r="AO831" s="29"/>
      <c r="AP831" s="115"/>
      <c r="AQ831" s="115"/>
      <c r="AR831" s="115"/>
      <c r="AS831" s="115"/>
      <c r="AT831" s="115"/>
      <c r="AU831" s="115"/>
      <c r="AV831" s="115"/>
      <c r="AW831" s="115"/>
      <c r="AX831" s="115"/>
      <c r="AY831" s="25"/>
      <c r="AZ831" s="13"/>
      <c r="BE831" s="116"/>
      <c r="BF831" s="123"/>
      <c r="BG831" s="123"/>
      <c r="BH831" s="123"/>
      <c r="BM831" s="115"/>
      <c r="BN831" s="115"/>
      <c r="BO831" s="115"/>
      <c r="BP831" s="115"/>
      <c r="BQ831" s="115"/>
      <c r="BR831" s="115"/>
      <c r="BS831" s="115"/>
      <c r="BT831" s="115"/>
      <c r="BU831" s="115"/>
      <c r="BV831" s="115"/>
      <c r="BW831" s="25"/>
      <c r="BX831" s="13"/>
      <c r="CA831" s="114"/>
    </row>
    <row r="832" spans="1:79" ht="19.5" x14ac:dyDescent="0.4">
      <c r="A832" s="117"/>
      <c r="B832" s="123"/>
      <c r="C832" s="123"/>
      <c r="D832" s="123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15"/>
      <c r="AJ832" s="115"/>
      <c r="AK832" s="115"/>
      <c r="AL832" s="115"/>
      <c r="AM832" s="115"/>
      <c r="AN832" s="29"/>
      <c r="AO832" s="29"/>
      <c r="AP832" s="115"/>
      <c r="AQ832" s="115"/>
      <c r="AR832" s="115"/>
      <c r="AS832" s="115"/>
      <c r="AT832" s="115"/>
      <c r="AU832" s="115"/>
      <c r="AV832" s="115"/>
      <c r="AW832" s="115"/>
      <c r="AX832" s="115"/>
      <c r="AY832" s="25"/>
      <c r="AZ832" s="13"/>
      <c r="BE832" s="116"/>
      <c r="BF832" s="123"/>
      <c r="BG832" s="123"/>
      <c r="BH832" s="123"/>
      <c r="BM832" s="115"/>
      <c r="BN832" s="115"/>
      <c r="BO832" s="115"/>
      <c r="BP832" s="115"/>
      <c r="BQ832" s="115"/>
      <c r="BR832" s="115"/>
      <c r="BS832" s="115"/>
      <c r="BT832" s="115"/>
      <c r="BU832" s="115"/>
      <c r="BV832" s="115"/>
      <c r="BW832" s="25"/>
      <c r="BX832" s="13"/>
      <c r="CA832" s="114"/>
    </row>
    <row r="833" spans="1:79" ht="19.5" x14ac:dyDescent="0.4">
      <c r="A833" s="117"/>
      <c r="B833" s="123"/>
      <c r="C833" s="123"/>
      <c r="D833" s="123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  <c r="AJ833" s="115"/>
      <c r="AK833" s="115"/>
      <c r="AL833" s="115"/>
      <c r="AM833" s="115"/>
      <c r="AN833" s="127"/>
      <c r="AO833" s="29"/>
      <c r="AP833" s="115"/>
      <c r="AQ833" s="115"/>
      <c r="AR833" s="115"/>
      <c r="AS833" s="115"/>
      <c r="AT833" s="115"/>
      <c r="AU833" s="115"/>
      <c r="AV833" s="115"/>
      <c r="AW833" s="115"/>
      <c r="AX833" s="115"/>
      <c r="AY833" s="25"/>
      <c r="AZ833" s="13"/>
      <c r="BE833" s="116"/>
      <c r="BF833" s="123"/>
      <c r="BG833" s="123"/>
      <c r="BH833" s="123"/>
      <c r="BM833" s="115"/>
      <c r="BN833" s="115"/>
      <c r="BO833" s="115"/>
      <c r="BP833" s="115"/>
      <c r="BQ833" s="115"/>
      <c r="BR833" s="115"/>
      <c r="BS833" s="115"/>
      <c r="BT833" s="115"/>
      <c r="BU833" s="115"/>
      <c r="BV833" s="115"/>
      <c r="BW833" s="25"/>
      <c r="BX833" s="13"/>
      <c r="CA833" s="114"/>
    </row>
    <row r="834" spans="1:79" ht="19.5" x14ac:dyDescent="0.4">
      <c r="A834" s="117"/>
      <c r="B834" s="123"/>
      <c r="C834" s="123"/>
      <c r="D834" s="123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15"/>
      <c r="AK834" s="115"/>
      <c r="AL834" s="115"/>
      <c r="AM834" s="115"/>
      <c r="AN834" s="29"/>
      <c r="AO834" s="29"/>
      <c r="AP834" s="115"/>
      <c r="AQ834" s="115"/>
      <c r="AR834" s="115"/>
      <c r="AS834" s="115"/>
      <c r="AT834" s="115"/>
      <c r="AU834" s="115"/>
      <c r="AV834" s="115"/>
      <c r="AW834" s="115"/>
      <c r="AX834" s="115"/>
      <c r="AY834" s="25"/>
      <c r="AZ834" s="13"/>
      <c r="BE834" s="116"/>
      <c r="BF834" s="123"/>
      <c r="BG834" s="123"/>
      <c r="BH834" s="123"/>
      <c r="BM834" s="115"/>
      <c r="BN834" s="115"/>
      <c r="BO834" s="115"/>
      <c r="BP834" s="115"/>
      <c r="BQ834" s="115"/>
      <c r="BR834" s="115"/>
      <c r="BS834" s="115"/>
      <c r="BT834" s="115"/>
      <c r="BU834" s="115"/>
      <c r="BV834" s="115"/>
      <c r="BW834" s="25"/>
      <c r="BX834" s="13"/>
      <c r="CA834" s="114"/>
    </row>
    <row r="835" spans="1:79" ht="19.5" x14ac:dyDescent="0.4">
      <c r="A835" s="117"/>
      <c r="B835" s="123"/>
      <c r="C835" s="123"/>
      <c r="D835" s="123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  <c r="AK835" s="115"/>
      <c r="AL835" s="115"/>
      <c r="AM835" s="115"/>
      <c r="AN835" s="127"/>
      <c r="AO835" s="29"/>
      <c r="AP835" s="115"/>
      <c r="AQ835" s="115"/>
      <c r="AR835" s="115"/>
      <c r="AS835" s="115"/>
      <c r="AT835" s="115"/>
      <c r="AU835" s="115"/>
      <c r="AV835" s="115"/>
      <c r="AW835" s="115"/>
      <c r="AX835" s="115"/>
      <c r="AY835" s="25">
        <v>45680</v>
      </c>
      <c r="AZ835" s="15" t="s">
        <v>142</v>
      </c>
      <c r="BE835" s="116"/>
      <c r="BF835" s="123"/>
      <c r="BG835" s="123"/>
      <c r="BH835" s="123"/>
      <c r="BM835" s="115"/>
      <c r="BN835" s="115"/>
      <c r="BO835" s="115"/>
      <c r="BP835" s="115"/>
      <c r="BQ835" s="115"/>
      <c r="BR835" s="115"/>
      <c r="BS835" s="115"/>
      <c r="BT835" s="115"/>
      <c r="BU835" s="115"/>
      <c r="BV835" s="115"/>
      <c r="BW835" s="25"/>
      <c r="BX835" s="13"/>
      <c r="CA835" s="114"/>
    </row>
    <row r="836" spans="1:79" ht="19.5" x14ac:dyDescent="0.4">
      <c r="A836" s="117"/>
      <c r="B836" s="123"/>
      <c r="C836" s="123"/>
      <c r="D836" s="123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5"/>
      <c r="AK836" s="115"/>
      <c r="AL836" s="115"/>
      <c r="AM836" s="115"/>
      <c r="AN836" s="29"/>
      <c r="AO836" s="29"/>
      <c r="AP836" s="115"/>
      <c r="AQ836" s="115"/>
      <c r="AR836" s="115"/>
      <c r="AS836" s="115"/>
      <c r="AT836" s="115"/>
      <c r="AU836" s="115"/>
      <c r="AV836" s="115"/>
      <c r="AW836" s="115"/>
      <c r="AX836" s="115"/>
      <c r="AY836" s="25"/>
      <c r="AZ836" s="15"/>
      <c r="BE836" s="116"/>
      <c r="BF836" s="123"/>
      <c r="BG836" s="123"/>
      <c r="BH836" s="123"/>
      <c r="BM836" s="115"/>
      <c r="BN836" s="115"/>
      <c r="BO836" s="115"/>
      <c r="BP836" s="115"/>
      <c r="BQ836" s="115"/>
      <c r="BR836" s="115"/>
      <c r="BS836" s="115"/>
      <c r="BT836" s="115"/>
      <c r="BU836" s="115"/>
      <c r="BV836" s="115"/>
      <c r="BW836" s="25"/>
      <c r="BX836" s="13"/>
      <c r="CA836" s="114"/>
    </row>
    <row r="837" spans="1:79" ht="19.5" x14ac:dyDescent="0.4">
      <c r="A837" s="117"/>
      <c r="B837" s="123"/>
      <c r="C837" s="123"/>
      <c r="D837" s="123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115"/>
      <c r="AJ837" s="115"/>
      <c r="AK837" s="115"/>
      <c r="AL837" s="115"/>
      <c r="AM837" s="115"/>
      <c r="AN837" s="127"/>
      <c r="AO837" s="29"/>
      <c r="AP837" s="115"/>
      <c r="AQ837" s="115"/>
      <c r="AR837" s="115"/>
      <c r="AS837" s="115"/>
      <c r="AT837" s="115"/>
      <c r="AU837" s="115"/>
      <c r="AV837" s="115"/>
      <c r="AW837" s="115"/>
      <c r="AX837" s="115"/>
      <c r="AY837" s="25"/>
      <c r="AZ837" s="15"/>
      <c r="BE837" s="116"/>
      <c r="BF837" s="123"/>
      <c r="BG837" s="123"/>
      <c r="BH837" s="123"/>
      <c r="BM837" s="115"/>
      <c r="BN837" s="115"/>
      <c r="BO837" s="115"/>
      <c r="BP837" s="115"/>
      <c r="BQ837" s="115"/>
      <c r="BR837" s="115"/>
      <c r="BS837" s="115"/>
      <c r="BT837" s="115"/>
      <c r="BU837" s="115"/>
      <c r="BV837" s="115"/>
      <c r="BW837" s="25"/>
      <c r="BX837" s="13"/>
      <c r="CA837" s="114"/>
    </row>
    <row r="838" spans="1:79" ht="19.5" x14ac:dyDescent="0.4">
      <c r="A838" s="117"/>
      <c r="B838" s="123"/>
      <c r="C838" s="123"/>
      <c r="D838" s="123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  <c r="AK838" s="115"/>
      <c r="AL838" s="115"/>
      <c r="AM838" s="115"/>
      <c r="AN838" s="127"/>
      <c r="AO838" s="29"/>
      <c r="AP838" s="115"/>
      <c r="AQ838" s="115"/>
      <c r="AR838" s="115"/>
      <c r="AS838" s="115"/>
      <c r="AT838" s="115"/>
      <c r="AU838" s="115"/>
      <c r="AV838" s="115"/>
      <c r="AW838" s="115"/>
      <c r="AX838" s="115"/>
      <c r="AY838" s="25">
        <v>45680</v>
      </c>
      <c r="AZ838" s="15" t="s">
        <v>146</v>
      </c>
      <c r="BE838" s="116"/>
      <c r="BF838" s="123"/>
      <c r="BG838" s="123"/>
      <c r="BH838" s="123"/>
      <c r="BM838" s="115"/>
      <c r="BN838" s="115"/>
      <c r="BO838" s="115"/>
      <c r="BP838" s="115"/>
      <c r="BQ838" s="115"/>
      <c r="BR838" s="115"/>
      <c r="BS838" s="115"/>
      <c r="BT838" s="115"/>
      <c r="BU838" s="115"/>
      <c r="BV838" s="115"/>
      <c r="BW838" s="25"/>
      <c r="BX838" s="13"/>
      <c r="CA838" s="114"/>
    </row>
    <row r="839" spans="1:79" ht="19.5" x14ac:dyDescent="0.4">
      <c r="A839" s="117"/>
      <c r="B839" s="123"/>
      <c r="C839" s="123"/>
      <c r="D839" s="123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115"/>
      <c r="AK839" s="115"/>
      <c r="AL839" s="115"/>
      <c r="AM839" s="115"/>
      <c r="AN839" s="127"/>
      <c r="AO839" s="29"/>
      <c r="AP839" s="115"/>
      <c r="AQ839" s="115"/>
      <c r="AR839" s="115"/>
      <c r="AS839" s="115"/>
      <c r="AT839" s="115"/>
      <c r="AU839" s="115"/>
      <c r="AV839" s="115"/>
      <c r="AW839" s="115"/>
      <c r="AX839" s="115"/>
      <c r="AY839" s="25"/>
      <c r="AZ839" s="15"/>
      <c r="BE839" s="116"/>
      <c r="BF839" s="123"/>
      <c r="BG839" s="123"/>
      <c r="BH839" s="123"/>
      <c r="BM839" s="115"/>
      <c r="BN839" s="115"/>
      <c r="BO839" s="115"/>
      <c r="BP839" s="115"/>
      <c r="BQ839" s="115"/>
      <c r="BR839" s="115"/>
      <c r="BS839" s="115"/>
      <c r="BT839" s="115"/>
      <c r="BU839" s="115"/>
      <c r="BV839" s="115"/>
      <c r="BW839" s="25"/>
      <c r="BX839" s="13"/>
      <c r="CA839" s="114"/>
    </row>
    <row r="840" spans="1:79" ht="19.5" x14ac:dyDescent="0.4">
      <c r="A840" s="117"/>
      <c r="B840" s="123"/>
      <c r="C840" s="123"/>
      <c r="D840" s="123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115"/>
      <c r="AK840" s="115"/>
      <c r="AL840" s="115"/>
      <c r="AM840" s="115"/>
      <c r="AN840" s="127"/>
      <c r="AO840" s="29"/>
      <c r="AP840" s="115"/>
      <c r="AQ840" s="115"/>
      <c r="AR840" s="115"/>
      <c r="AS840" s="115"/>
      <c r="AT840" s="115"/>
      <c r="AU840" s="115"/>
      <c r="AV840" s="115"/>
      <c r="AW840" s="115"/>
      <c r="AX840" s="115"/>
      <c r="AY840" s="25">
        <v>45680</v>
      </c>
      <c r="AZ840" s="15" t="s">
        <v>146</v>
      </c>
      <c r="BE840" s="116"/>
      <c r="BF840" s="123"/>
      <c r="BG840" s="123"/>
      <c r="BH840" s="123"/>
      <c r="BM840" s="115"/>
      <c r="BN840" s="115"/>
      <c r="BO840" s="115"/>
      <c r="BP840" s="115"/>
      <c r="BQ840" s="115"/>
      <c r="BR840" s="115"/>
      <c r="BS840" s="115"/>
      <c r="BT840" s="115"/>
      <c r="BU840" s="115"/>
      <c r="BV840" s="115"/>
      <c r="BW840" s="25"/>
      <c r="BX840" s="13"/>
      <c r="CA840" s="114"/>
    </row>
    <row r="841" spans="1:79" ht="19.5" x14ac:dyDescent="0.4">
      <c r="A841" s="117"/>
      <c r="B841" s="123"/>
      <c r="C841" s="123"/>
      <c r="D841" s="123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115"/>
      <c r="AK841" s="115"/>
      <c r="AL841" s="115"/>
      <c r="AM841" s="115"/>
      <c r="AN841" s="127"/>
      <c r="AO841" s="29"/>
      <c r="AP841" s="115"/>
      <c r="AQ841" s="115"/>
      <c r="AR841" s="115"/>
      <c r="AS841" s="115"/>
      <c r="AT841" s="115"/>
      <c r="AU841" s="115"/>
      <c r="AV841" s="115"/>
      <c r="AW841" s="115"/>
      <c r="AX841" s="115"/>
      <c r="AY841" s="25"/>
      <c r="AZ841" s="15"/>
      <c r="BE841" s="116"/>
      <c r="BF841" s="123"/>
      <c r="BG841" s="123"/>
      <c r="BH841" s="123"/>
      <c r="BM841" s="115"/>
      <c r="BN841" s="115"/>
      <c r="BO841" s="115"/>
      <c r="BP841" s="115"/>
      <c r="BQ841" s="115"/>
      <c r="BR841" s="115"/>
      <c r="BS841" s="115"/>
      <c r="BT841" s="115"/>
      <c r="BU841" s="115"/>
      <c r="BV841" s="115"/>
      <c r="BW841" s="25"/>
      <c r="BX841" s="13"/>
      <c r="CA841" s="114"/>
    </row>
    <row r="842" spans="1:79" ht="19.5" x14ac:dyDescent="0.4">
      <c r="A842" s="117"/>
      <c r="B842" s="123"/>
      <c r="C842" s="123"/>
      <c r="D842" s="123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115"/>
      <c r="AK842" s="115"/>
      <c r="AL842" s="115"/>
      <c r="AM842" s="115"/>
      <c r="AN842" s="127"/>
      <c r="AO842" s="29"/>
      <c r="AP842" s="115"/>
      <c r="AQ842" s="115"/>
      <c r="AR842" s="115"/>
      <c r="AS842" s="115"/>
      <c r="AT842" s="115"/>
      <c r="AU842" s="115"/>
      <c r="AV842" s="115"/>
      <c r="AW842" s="115"/>
      <c r="AX842" s="115"/>
      <c r="AY842" s="25"/>
      <c r="AZ842" s="15"/>
      <c r="BE842" s="116"/>
      <c r="BF842" s="123"/>
      <c r="BG842" s="123"/>
      <c r="BH842" s="123"/>
      <c r="BM842" s="115"/>
      <c r="BN842" s="115"/>
      <c r="BO842" s="115"/>
      <c r="BP842" s="115"/>
      <c r="BQ842" s="115"/>
      <c r="BR842" s="115"/>
      <c r="BS842" s="115"/>
      <c r="BT842" s="115"/>
      <c r="BU842" s="115"/>
      <c r="BV842" s="115"/>
      <c r="BW842" s="25"/>
      <c r="BX842" s="13"/>
      <c r="CA842" s="114"/>
    </row>
    <row r="843" spans="1:79" ht="19.5" x14ac:dyDescent="0.4">
      <c r="A843" s="117"/>
      <c r="B843" s="123"/>
      <c r="C843" s="123"/>
      <c r="D843" s="123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  <c r="AK843" s="115"/>
      <c r="AL843" s="115"/>
      <c r="AM843" s="115"/>
      <c r="AN843" s="127"/>
      <c r="AO843" s="29"/>
      <c r="AP843" s="115"/>
      <c r="AQ843" s="115"/>
      <c r="AR843" s="115"/>
      <c r="AS843" s="115"/>
      <c r="AT843" s="115"/>
      <c r="AU843" s="115"/>
      <c r="AV843" s="115"/>
      <c r="AW843" s="115"/>
      <c r="AX843" s="115"/>
      <c r="AY843" s="25"/>
      <c r="AZ843" s="15"/>
      <c r="BE843" s="116"/>
      <c r="BF843" s="123"/>
      <c r="BG843" s="123"/>
      <c r="BH843" s="123"/>
      <c r="BM843" s="115"/>
      <c r="BN843" s="115"/>
      <c r="BO843" s="115"/>
      <c r="BP843" s="115"/>
      <c r="BQ843" s="115"/>
      <c r="BR843" s="115"/>
      <c r="BS843" s="115"/>
      <c r="BT843" s="115"/>
      <c r="BU843" s="115"/>
      <c r="BV843" s="115"/>
      <c r="BW843" s="25"/>
      <c r="BX843" s="13"/>
      <c r="CA843" s="114"/>
    </row>
    <row r="844" spans="1:79" ht="19.5" x14ac:dyDescent="0.4">
      <c r="A844" s="117"/>
      <c r="B844" s="123"/>
      <c r="C844" s="123"/>
      <c r="D844" s="123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15"/>
      <c r="AJ844" s="115"/>
      <c r="AK844" s="115"/>
      <c r="AL844" s="115"/>
      <c r="AM844" s="115"/>
      <c r="AN844" s="127"/>
      <c r="AO844" s="29"/>
      <c r="AP844" s="115"/>
      <c r="AQ844" s="115"/>
      <c r="AR844" s="115"/>
      <c r="AS844" s="115"/>
      <c r="AT844" s="115"/>
      <c r="AU844" s="115"/>
      <c r="AV844" s="115"/>
      <c r="AW844" s="115"/>
      <c r="AX844" s="115"/>
      <c r="AY844" s="25">
        <v>45680</v>
      </c>
      <c r="AZ844" s="15" t="s">
        <v>146</v>
      </c>
      <c r="BE844" s="116"/>
      <c r="BF844" s="123"/>
      <c r="BG844" s="123"/>
      <c r="BH844" s="123"/>
      <c r="BM844" s="115"/>
      <c r="BN844" s="115"/>
      <c r="BO844" s="115"/>
      <c r="BP844" s="115"/>
      <c r="BQ844" s="115"/>
      <c r="BR844" s="115"/>
      <c r="BS844" s="115"/>
      <c r="BT844" s="115"/>
      <c r="BU844" s="115"/>
      <c r="BV844" s="115"/>
      <c r="BW844" s="25"/>
      <c r="BX844" s="13"/>
      <c r="CA844" s="114"/>
    </row>
    <row r="845" spans="1:79" ht="19.5" x14ac:dyDescent="0.4">
      <c r="A845" s="117"/>
      <c r="B845" s="123"/>
      <c r="C845" s="123"/>
      <c r="D845" s="123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  <c r="AK845" s="115"/>
      <c r="AL845" s="115"/>
      <c r="AM845" s="115"/>
      <c r="AN845" s="127"/>
      <c r="AO845" s="29"/>
      <c r="AP845" s="115"/>
      <c r="AQ845" s="115"/>
      <c r="AR845" s="115"/>
      <c r="AS845" s="115"/>
      <c r="AT845" s="115"/>
      <c r="AU845" s="115"/>
      <c r="AV845" s="115"/>
      <c r="AW845" s="115"/>
      <c r="AX845" s="115"/>
      <c r="AY845" s="25"/>
      <c r="AZ845" s="15"/>
      <c r="BE845" s="116"/>
      <c r="BF845" s="123"/>
      <c r="BG845" s="123"/>
      <c r="BH845" s="123"/>
      <c r="BM845" s="115"/>
      <c r="BN845" s="115"/>
      <c r="BO845" s="115"/>
      <c r="BP845" s="115"/>
      <c r="BQ845" s="115"/>
      <c r="BR845" s="115"/>
      <c r="BS845" s="115"/>
      <c r="BT845" s="115"/>
      <c r="BU845" s="115"/>
      <c r="BV845" s="115"/>
      <c r="BW845" s="25"/>
      <c r="BX845" s="13"/>
      <c r="CA845" s="114"/>
    </row>
    <row r="846" spans="1:79" ht="19.5" x14ac:dyDescent="0.4">
      <c r="A846" s="117"/>
      <c r="B846" s="123"/>
      <c r="C846" s="123"/>
      <c r="D846" s="123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  <c r="AJ846" s="115"/>
      <c r="AK846" s="115"/>
      <c r="AL846" s="115"/>
      <c r="AM846" s="115"/>
      <c r="AN846" s="29"/>
      <c r="AO846" s="29"/>
      <c r="AP846" s="115"/>
      <c r="AQ846" s="115"/>
      <c r="AR846" s="115"/>
      <c r="AS846" s="115"/>
      <c r="AT846" s="115"/>
      <c r="AU846" s="115"/>
      <c r="AV846" s="115"/>
      <c r="AW846" s="115"/>
      <c r="AX846" s="115"/>
      <c r="AY846" s="25"/>
      <c r="AZ846" s="15"/>
      <c r="BE846" s="116"/>
      <c r="BF846" s="123"/>
      <c r="BG846" s="123"/>
      <c r="BH846" s="123"/>
      <c r="BM846" s="115"/>
      <c r="BN846" s="115"/>
      <c r="BO846" s="115"/>
      <c r="BP846" s="115"/>
      <c r="BQ846" s="115"/>
      <c r="BR846" s="115"/>
      <c r="BS846" s="115"/>
      <c r="BT846" s="115"/>
      <c r="BU846" s="115"/>
      <c r="BV846" s="115"/>
      <c r="BW846" s="25"/>
      <c r="BX846" s="13"/>
      <c r="CA846" s="114"/>
    </row>
    <row r="847" spans="1:79" ht="19.5" x14ac:dyDescent="0.4">
      <c r="A847" s="117"/>
      <c r="B847" s="123"/>
      <c r="C847" s="123"/>
      <c r="D847" s="123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15"/>
      <c r="AK847" s="115"/>
      <c r="AL847" s="115"/>
      <c r="AM847" s="115"/>
      <c r="AN847" s="127"/>
      <c r="AO847" s="29"/>
      <c r="AP847" s="115"/>
      <c r="AQ847" s="115"/>
      <c r="AR847" s="115"/>
      <c r="AS847" s="115"/>
      <c r="AT847" s="115"/>
      <c r="AU847" s="115"/>
      <c r="AV847" s="115"/>
      <c r="AW847" s="115"/>
      <c r="AX847" s="115"/>
      <c r="AY847" s="25">
        <v>45680</v>
      </c>
      <c r="AZ847" s="15" t="s">
        <v>147</v>
      </c>
      <c r="BE847" s="116"/>
      <c r="BF847" s="123"/>
      <c r="BG847" s="123"/>
      <c r="BH847" s="123"/>
      <c r="BM847" s="115"/>
      <c r="BN847" s="115"/>
      <c r="BO847" s="115"/>
      <c r="BP847" s="115"/>
      <c r="BQ847" s="115"/>
      <c r="BR847" s="115"/>
      <c r="BS847" s="115"/>
      <c r="BT847" s="115"/>
      <c r="BU847" s="115"/>
      <c r="BV847" s="115"/>
      <c r="BW847" s="25"/>
      <c r="BX847" s="13"/>
      <c r="CA847" s="114"/>
    </row>
    <row r="848" spans="1:79" ht="19.5" x14ac:dyDescent="0.4">
      <c r="A848" s="117"/>
      <c r="B848" s="123"/>
      <c r="C848" s="123"/>
      <c r="D848" s="123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  <c r="AK848" s="115"/>
      <c r="AL848" s="115"/>
      <c r="AM848" s="115"/>
      <c r="AN848" s="29"/>
      <c r="AO848" s="29"/>
      <c r="AP848" s="115"/>
      <c r="AQ848" s="115"/>
      <c r="AR848" s="115"/>
      <c r="AS848" s="115"/>
      <c r="AT848" s="115"/>
      <c r="AU848" s="115"/>
      <c r="AV848" s="115"/>
      <c r="AW848" s="115"/>
      <c r="AX848" s="115"/>
      <c r="AY848" s="25"/>
      <c r="AZ848" s="13"/>
      <c r="BE848" s="116"/>
      <c r="BF848" s="123"/>
      <c r="BG848" s="123"/>
      <c r="BH848" s="123"/>
      <c r="BM848" s="115"/>
      <c r="BN848" s="115"/>
      <c r="BO848" s="115"/>
      <c r="BP848" s="115"/>
      <c r="BQ848" s="115"/>
      <c r="BR848" s="115"/>
      <c r="BS848" s="115"/>
      <c r="BT848" s="115"/>
      <c r="BU848" s="115"/>
      <c r="BV848" s="115"/>
      <c r="BW848" s="25"/>
      <c r="BX848" s="13"/>
      <c r="CA848" s="114"/>
    </row>
    <row r="849" spans="1:79" ht="19.5" x14ac:dyDescent="0.4">
      <c r="A849" s="117"/>
      <c r="B849" s="123"/>
      <c r="C849" s="123"/>
      <c r="D849" s="123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  <c r="AK849" s="115"/>
      <c r="AL849" s="115"/>
      <c r="AM849" s="115"/>
      <c r="AN849" s="127"/>
      <c r="AO849" s="29"/>
      <c r="AP849" s="115"/>
      <c r="AQ849" s="115"/>
      <c r="AR849" s="115"/>
      <c r="AS849" s="115"/>
      <c r="AT849" s="115"/>
      <c r="AU849" s="115"/>
      <c r="AV849" s="115"/>
      <c r="AW849" s="115"/>
      <c r="AX849" s="115"/>
      <c r="AY849" s="25"/>
      <c r="AZ849" s="13"/>
      <c r="BE849" s="116"/>
      <c r="BF849" s="123"/>
      <c r="BG849" s="123"/>
      <c r="BH849" s="123"/>
      <c r="BM849" s="115"/>
      <c r="BN849" s="115"/>
      <c r="BO849" s="115"/>
      <c r="BP849" s="115"/>
      <c r="BQ849" s="115"/>
      <c r="BR849" s="115"/>
      <c r="BS849" s="115"/>
      <c r="BT849" s="115"/>
      <c r="BU849" s="115"/>
      <c r="BV849" s="115"/>
      <c r="BW849" s="25"/>
      <c r="BX849" s="13"/>
      <c r="CA849" s="114"/>
    </row>
    <row r="850" spans="1:79" ht="19.5" x14ac:dyDescent="0.4">
      <c r="A850" s="117"/>
      <c r="B850" s="123"/>
      <c r="C850" s="123"/>
      <c r="D850" s="123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  <c r="AK850" s="115"/>
      <c r="AL850" s="115"/>
      <c r="AM850" s="115"/>
      <c r="AN850" s="127"/>
      <c r="AO850" s="29"/>
      <c r="AP850" s="115"/>
      <c r="AQ850" s="115"/>
      <c r="AR850" s="115"/>
      <c r="AS850" s="115"/>
      <c r="AT850" s="115"/>
      <c r="AU850" s="115"/>
      <c r="AV850" s="115"/>
      <c r="AW850" s="115"/>
      <c r="AX850" s="115"/>
      <c r="AY850" s="25"/>
      <c r="AZ850" s="13"/>
      <c r="BE850" s="116"/>
      <c r="BF850" s="123"/>
      <c r="BG850" s="123"/>
      <c r="BH850" s="123"/>
      <c r="BM850" s="115"/>
      <c r="BN850" s="115"/>
      <c r="BO850" s="115"/>
      <c r="BP850" s="115"/>
      <c r="BQ850" s="115"/>
      <c r="BR850" s="115"/>
      <c r="BS850" s="115"/>
      <c r="BT850" s="115"/>
      <c r="BU850" s="115"/>
      <c r="BV850" s="115"/>
      <c r="BW850" s="25"/>
      <c r="BX850" s="13"/>
      <c r="CA850" s="114"/>
    </row>
    <row r="851" spans="1:79" ht="19.5" x14ac:dyDescent="0.4">
      <c r="A851" s="117"/>
      <c r="B851" s="123"/>
      <c r="C851" s="123"/>
      <c r="D851" s="123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  <c r="AK851" s="115"/>
      <c r="AL851" s="115"/>
      <c r="AM851" s="115"/>
      <c r="AN851" s="29"/>
      <c r="AO851" s="29"/>
      <c r="AP851" s="115"/>
      <c r="AQ851" s="115"/>
      <c r="AR851" s="115"/>
      <c r="AS851" s="115"/>
      <c r="AT851" s="115"/>
      <c r="AU851" s="115"/>
      <c r="AV851" s="115"/>
      <c r="AW851" s="115"/>
      <c r="AX851" s="115"/>
      <c r="AY851" s="25"/>
      <c r="AZ851" s="13"/>
      <c r="BE851" s="116"/>
      <c r="BF851" s="123"/>
      <c r="BG851" s="123"/>
      <c r="BH851" s="123"/>
      <c r="BM851" s="115"/>
      <c r="BN851" s="115"/>
      <c r="BO851" s="115"/>
      <c r="BP851" s="115"/>
      <c r="BQ851" s="115"/>
      <c r="BR851" s="115"/>
      <c r="BS851" s="115"/>
      <c r="BT851" s="115"/>
      <c r="BU851" s="115"/>
      <c r="BV851" s="115"/>
      <c r="BW851" s="25"/>
      <c r="BX851" s="13"/>
      <c r="CA851" s="114"/>
    </row>
    <row r="852" spans="1:79" ht="19.5" x14ac:dyDescent="0.4">
      <c r="A852" s="117"/>
      <c r="B852" s="123"/>
      <c r="C852" s="123"/>
      <c r="D852" s="123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  <c r="AJ852" s="115"/>
      <c r="AK852" s="115"/>
      <c r="AL852" s="115"/>
      <c r="AM852" s="115"/>
      <c r="AN852" s="29"/>
      <c r="AO852" s="29"/>
      <c r="AP852" s="115"/>
      <c r="AQ852" s="115"/>
      <c r="AR852" s="115"/>
      <c r="AS852" s="115"/>
      <c r="AT852" s="115"/>
      <c r="AU852" s="115"/>
      <c r="AV852" s="115"/>
      <c r="AW852" s="115"/>
      <c r="AX852" s="115"/>
      <c r="AY852" s="25"/>
      <c r="AZ852" s="13"/>
      <c r="BE852" s="116"/>
      <c r="BF852" s="123"/>
      <c r="BG852" s="123"/>
      <c r="BH852" s="123"/>
      <c r="BM852" s="115"/>
      <c r="BN852" s="115"/>
      <c r="BO852" s="115"/>
      <c r="BP852" s="115"/>
      <c r="BQ852" s="115"/>
      <c r="BR852" s="115"/>
      <c r="BS852" s="115"/>
      <c r="BT852" s="115"/>
      <c r="BU852" s="115"/>
      <c r="BV852" s="115"/>
      <c r="BW852" s="25"/>
      <c r="BX852" s="13"/>
      <c r="CA852" s="114"/>
    </row>
    <row r="853" spans="1:79" ht="19.5" x14ac:dyDescent="0.4">
      <c r="A853" s="117"/>
      <c r="B853" s="123"/>
      <c r="C853" s="123"/>
      <c r="D853" s="123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5"/>
      <c r="AJ853" s="115"/>
      <c r="AK853" s="115"/>
      <c r="AL853" s="115"/>
      <c r="AM853" s="115"/>
      <c r="AN853" s="127"/>
      <c r="AO853" s="29"/>
      <c r="AP853" s="115"/>
      <c r="AQ853" s="115"/>
      <c r="AR853" s="115"/>
      <c r="AS853" s="115"/>
      <c r="AT853" s="115"/>
      <c r="AU853" s="115"/>
      <c r="AV853" s="115"/>
      <c r="AW853" s="115"/>
      <c r="AX853" s="115"/>
      <c r="AY853" s="25"/>
      <c r="AZ853" s="13"/>
      <c r="BE853" s="116"/>
      <c r="BF853" s="123"/>
      <c r="BG853" s="123"/>
      <c r="BH853" s="123"/>
      <c r="BM853" s="115"/>
      <c r="BN853" s="115"/>
      <c r="BO853" s="115"/>
      <c r="BP853" s="115"/>
      <c r="BQ853" s="115"/>
      <c r="BR853" s="115"/>
      <c r="BS853" s="115"/>
      <c r="BT853" s="115"/>
      <c r="BU853" s="115"/>
      <c r="BV853" s="115"/>
      <c r="BW853" s="25"/>
      <c r="BX853" s="13"/>
      <c r="CA853" s="114"/>
    </row>
    <row r="854" spans="1:79" ht="19.5" x14ac:dyDescent="0.4">
      <c r="A854" s="117"/>
      <c r="B854" s="123"/>
      <c r="C854" s="123"/>
      <c r="D854" s="123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15"/>
      <c r="AK854" s="115"/>
      <c r="AL854" s="115"/>
      <c r="AM854" s="115"/>
      <c r="AN854" s="127"/>
      <c r="AO854" s="29"/>
      <c r="AP854" s="115"/>
      <c r="AQ854" s="115"/>
      <c r="AR854" s="115"/>
      <c r="AS854" s="115"/>
      <c r="AT854" s="115"/>
      <c r="AU854" s="115"/>
      <c r="AV854" s="115"/>
      <c r="AW854" s="115"/>
      <c r="AX854" s="115"/>
      <c r="AY854" s="25"/>
      <c r="AZ854" s="13"/>
      <c r="BE854" s="116"/>
      <c r="BF854" s="123"/>
      <c r="BG854" s="123"/>
      <c r="BH854" s="123"/>
      <c r="BM854" s="115"/>
      <c r="BN854" s="115"/>
      <c r="BO854" s="115"/>
      <c r="BP854" s="115"/>
      <c r="BQ854" s="115"/>
      <c r="BR854" s="115"/>
      <c r="BS854" s="115"/>
      <c r="BT854" s="115"/>
      <c r="BU854" s="115"/>
      <c r="BV854" s="115"/>
      <c r="BW854" s="25"/>
      <c r="BX854" s="13"/>
      <c r="CA854" s="114"/>
    </row>
    <row r="855" spans="1:79" ht="19.5" x14ac:dyDescent="0.4">
      <c r="A855" s="117"/>
      <c r="B855" s="123"/>
      <c r="C855" s="123"/>
      <c r="D855" s="123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  <c r="AK855" s="115"/>
      <c r="AL855" s="115"/>
      <c r="AM855" s="115"/>
      <c r="AN855" s="127"/>
      <c r="AO855" s="29"/>
      <c r="AP855" s="115"/>
      <c r="AQ855" s="115"/>
      <c r="AR855" s="115"/>
      <c r="AS855" s="115"/>
      <c r="AT855" s="115"/>
      <c r="AU855" s="115"/>
      <c r="AV855" s="115"/>
      <c r="AW855" s="115"/>
      <c r="AX855" s="115"/>
      <c r="AY855" s="25"/>
      <c r="AZ855" s="13"/>
      <c r="BE855" s="116"/>
      <c r="BF855" s="123"/>
      <c r="BG855" s="123"/>
      <c r="BH855" s="123"/>
      <c r="BM855" s="115"/>
      <c r="BN855" s="115"/>
      <c r="BO855" s="115"/>
      <c r="BP855" s="115"/>
      <c r="BQ855" s="115"/>
      <c r="BR855" s="115"/>
      <c r="BS855" s="115"/>
      <c r="BT855" s="115"/>
      <c r="BU855" s="115"/>
      <c r="BV855" s="115"/>
      <c r="BW855" s="25"/>
      <c r="BX855" s="13"/>
      <c r="CA855" s="114"/>
    </row>
    <row r="856" spans="1:79" ht="19.5" x14ac:dyDescent="0.4">
      <c r="A856" s="117"/>
      <c r="B856" s="123"/>
      <c r="C856" s="123"/>
      <c r="D856" s="123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  <c r="AK856" s="115"/>
      <c r="AL856" s="115"/>
      <c r="AM856" s="115"/>
      <c r="AN856" s="127"/>
      <c r="AO856" s="29"/>
      <c r="AP856" s="115"/>
      <c r="AQ856" s="115"/>
      <c r="AR856" s="115"/>
      <c r="AS856" s="115"/>
      <c r="AT856" s="115"/>
      <c r="AU856" s="115"/>
      <c r="AV856" s="115"/>
      <c r="AW856" s="115"/>
      <c r="AX856" s="115"/>
      <c r="AY856" s="25"/>
      <c r="AZ856" s="13"/>
      <c r="BE856" s="116"/>
      <c r="BF856" s="123"/>
      <c r="BG856" s="123"/>
      <c r="BH856" s="123"/>
      <c r="BM856" s="115"/>
      <c r="BN856" s="115"/>
      <c r="BO856" s="115"/>
      <c r="BP856" s="115"/>
      <c r="BQ856" s="115"/>
      <c r="BR856" s="115"/>
      <c r="BS856" s="115"/>
      <c r="BT856" s="115"/>
      <c r="BU856" s="115"/>
      <c r="BV856" s="115"/>
      <c r="BW856" s="25"/>
      <c r="BX856" s="13"/>
      <c r="CA856" s="114"/>
    </row>
    <row r="857" spans="1:79" ht="19.5" x14ac:dyDescent="0.4">
      <c r="A857" s="117"/>
      <c r="B857" s="123"/>
      <c r="C857" s="123"/>
      <c r="D857" s="123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  <c r="AK857" s="115"/>
      <c r="AL857" s="115"/>
      <c r="AM857" s="115"/>
      <c r="AN857" s="127"/>
      <c r="AO857" s="29"/>
      <c r="AP857" s="115"/>
      <c r="AQ857" s="115"/>
      <c r="AR857" s="115"/>
      <c r="AS857" s="115"/>
      <c r="AT857" s="115"/>
      <c r="AU857" s="115"/>
      <c r="AV857" s="115"/>
      <c r="AW857" s="115"/>
      <c r="AX857" s="115"/>
      <c r="AY857" s="25">
        <v>45680</v>
      </c>
      <c r="AZ857" s="13" t="s">
        <v>146</v>
      </c>
      <c r="BE857" s="116"/>
      <c r="BF857" s="123"/>
      <c r="BG857" s="123"/>
      <c r="BH857" s="123"/>
      <c r="BM857" s="115"/>
      <c r="BN857" s="115"/>
      <c r="BO857" s="115"/>
      <c r="BP857" s="115"/>
      <c r="BQ857" s="115"/>
      <c r="BR857" s="115"/>
      <c r="BS857" s="115"/>
      <c r="BT857" s="115"/>
      <c r="BU857" s="115"/>
      <c r="BV857" s="115"/>
      <c r="BW857" s="25"/>
      <c r="BX857" s="13"/>
      <c r="CA857" s="114"/>
    </row>
    <row r="858" spans="1:79" ht="19.5" x14ac:dyDescent="0.4">
      <c r="A858" s="117"/>
      <c r="B858" s="123"/>
      <c r="C858" s="123"/>
      <c r="D858" s="123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115"/>
      <c r="AK858" s="115"/>
      <c r="AL858" s="115"/>
      <c r="AM858" s="115"/>
      <c r="AN858" s="29"/>
      <c r="AO858" s="29"/>
      <c r="AP858" s="115"/>
      <c r="AQ858" s="115"/>
      <c r="AR858" s="115"/>
      <c r="AS858" s="115"/>
      <c r="AT858" s="115"/>
      <c r="AU858" s="115"/>
      <c r="AV858" s="115"/>
      <c r="AW858" s="115"/>
      <c r="AX858" s="115"/>
      <c r="AY858" s="25"/>
      <c r="AZ858" s="13"/>
      <c r="BE858" s="116"/>
      <c r="BF858" s="123"/>
      <c r="BG858" s="123"/>
      <c r="BH858" s="123"/>
      <c r="BM858" s="115"/>
      <c r="BN858" s="115"/>
      <c r="BO858" s="115"/>
      <c r="BP858" s="115"/>
      <c r="BQ858" s="115"/>
      <c r="BR858" s="115"/>
      <c r="BS858" s="115"/>
      <c r="BT858" s="115"/>
      <c r="BU858" s="115"/>
      <c r="BV858" s="115"/>
      <c r="BW858" s="25"/>
      <c r="BX858" s="13"/>
      <c r="CA858" s="114"/>
    </row>
    <row r="859" spans="1:79" ht="19.5" x14ac:dyDescent="0.4">
      <c r="A859" s="117"/>
      <c r="B859" s="123"/>
      <c r="C859" s="123"/>
      <c r="D859" s="123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  <c r="AK859" s="115"/>
      <c r="AL859" s="115"/>
      <c r="AM859" s="115"/>
      <c r="AN859" s="127"/>
      <c r="AO859" s="29"/>
      <c r="AP859" s="115"/>
      <c r="AQ859" s="115"/>
      <c r="AR859" s="115"/>
      <c r="AS859" s="115"/>
      <c r="AT859" s="115"/>
      <c r="AU859" s="115"/>
      <c r="AV859" s="115"/>
      <c r="AW859" s="115"/>
      <c r="AX859" s="115"/>
      <c r="AY859" s="25">
        <v>45680</v>
      </c>
      <c r="AZ859" s="13" t="s">
        <v>147</v>
      </c>
      <c r="BE859" s="116"/>
      <c r="BF859" s="123"/>
      <c r="BG859" s="123"/>
      <c r="BH859" s="123"/>
      <c r="BM859" s="115"/>
      <c r="BN859" s="115"/>
      <c r="BO859" s="115"/>
      <c r="BP859" s="115"/>
      <c r="BQ859" s="115"/>
      <c r="BR859" s="115"/>
      <c r="BS859" s="115"/>
      <c r="BT859" s="115"/>
      <c r="BU859" s="115"/>
      <c r="BV859" s="115"/>
      <c r="BW859" s="25"/>
      <c r="BX859" s="13"/>
      <c r="CA859" s="114"/>
    </row>
    <row r="860" spans="1:79" ht="19.5" x14ac:dyDescent="0.4">
      <c r="A860" s="117"/>
      <c r="B860" s="123"/>
      <c r="C860" s="123"/>
      <c r="D860" s="123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5"/>
      <c r="AK860" s="115"/>
      <c r="AL860" s="115"/>
      <c r="AM860" s="115"/>
      <c r="AN860" s="127"/>
      <c r="AO860" s="29"/>
      <c r="AP860" s="115"/>
      <c r="AQ860" s="115"/>
      <c r="AR860" s="115"/>
      <c r="AS860" s="115"/>
      <c r="AT860" s="115"/>
      <c r="AU860" s="115"/>
      <c r="AV860" s="115"/>
      <c r="AW860" s="115"/>
      <c r="AX860" s="115"/>
      <c r="AY860" s="25">
        <v>45680</v>
      </c>
      <c r="AZ860" s="13" t="s">
        <v>146</v>
      </c>
      <c r="BE860" s="116"/>
      <c r="BF860" s="123"/>
      <c r="BG860" s="123"/>
      <c r="BH860" s="123"/>
      <c r="BM860" s="115"/>
      <c r="BN860" s="115"/>
      <c r="BO860" s="115"/>
      <c r="BP860" s="115"/>
      <c r="BQ860" s="115"/>
      <c r="BR860" s="115"/>
      <c r="BS860" s="115"/>
      <c r="BT860" s="115"/>
      <c r="BU860" s="115"/>
      <c r="BV860" s="115"/>
      <c r="BW860" s="25"/>
      <c r="BX860" s="13"/>
      <c r="CA860" s="114"/>
    </row>
    <row r="861" spans="1:79" ht="19.5" x14ac:dyDescent="0.4">
      <c r="A861" s="117"/>
      <c r="B861" s="123"/>
      <c r="C861" s="123"/>
      <c r="D861" s="123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15"/>
      <c r="AK861" s="115"/>
      <c r="AL861" s="115"/>
      <c r="AM861" s="115"/>
      <c r="AN861" s="29"/>
      <c r="AO861" s="29"/>
      <c r="AP861" s="115"/>
      <c r="AQ861" s="115"/>
      <c r="AR861" s="115"/>
      <c r="AS861" s="115"/>
      <c r="AT861" s="115"/>
      <c r="AU861" s="115"/>
      <c r="AV861" s="115"/>
      <c r="AW861" s="115"/>
      <c r="AX861" s="115"/>
      <c r="AY861" s="25"/>
      <c r="AZ861" s="13"/>
      <c r="BE861" s="116"/>
      <c r="BF861" s="123"/>
      <c r="BG861" s="123"/>
      <c r="BH861" s="123"/>
      <c r="BM861" s="115"/>
      <c r="BN861" s="115"/>
      <c r="BO861" s="115"/>
      <c r="BP861" s="115"/>
      <c r="BQ861" s="115"/>
      <c r="BR861" s="115"/>
      <c r="BS861" s="115"/>
      <c r="BT861" s="115"/>
      <c r="BU861" s="115"/>
      <c r="BV861" s="115"/>
      <c r="BW861" s="25"/>
      <c r="BX861" s="13"/>
      <c r="CA861" s="114"/>
    </row>
    <row r="862" spans="1:79" ht="19.5" x14ac:dyDescent="0.4">
      <c r="A862" s="117"/>
      <c r="B862" s="123"/>
      <c r="C862" s="123"/>
      <c r="D862" s="123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  <c r="AK862" s="115"/>
      <c r="AL862" s="115"/>
      <c r="AM862" s="115"/>
      <c r="AN862" s="127"/>
      <c r="AO862" s="29"/>
      <c r="AP862" s="115"/>
      <c r="AQ862" s="115"/>
      <c r="AR862" s="115"/>
      <c r="AS862" s="115"/>
      <c r="AT862" s="115"/>
      <c r="AU862" s="115"/>
      <c r="AV862" s="115"/>
      <c r="AW862" s="115"/>
      <c r="AX862" s="115"/>
      <c r="AY862" s="25"/>
      <c r="AZ862" s="13"/>
      <c r="BE862" s="116"/>
      <c r="BF862" s="123"/>
      <c r="BG862" s="123"/>
      <c r="BH862" s="123"/>
      <c r="BM862" s="115"/>
      <c r="BN862" s="115"/>
      <c r="BO862" s="115"/>
      <c r="BP862" s="115"/>
      <c r="BQ862" s="115"/>
      <c r="BR862" s="115"/>
      <c r="BS862" s="115"/>
      <c r="BT862" s="115"/>
      <c r="BU862" s="115"/>
      <c r="BV862" s="115"/>
      <c r="BW862" s="25"/>
      <c r="BX862" s="13"/>
      <c r="CA862" s="114"/>
    </row>
    <row r="863" spans="1:79" ht="19.5" x14ac:dyDescent="0.4">
      <c r="A863" s="117"/>
      <c r="B863" s="123"/>
      <c r="C863" s="123"/>
      <c r="D863" s="123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15"/>
      <c r="AK863" s="115"/>
      <c r="AL863" s="115"/>
      <c r="AM863" s="115"/>
      <c r="AN863" s="29"/>
      <c r="AO863" s="29"/>
      <c r="AP863" s="115"/>
      <c r="AQ863" s="115"/>
      <c r="AR863" s="115"/>
      <c r="AS863" s="115"/>
      <c r="AT863" s="115"/>
      <c r="AU863" s="115"/>
      <c r="AV863" s="115"/>
      <c r="AW863" s="115"/>
      <c r="AX863" s="115"/>
      <c r="AY863" s="25"/>
      <c r="AZ863" s="13"/>
      <c r="BE863" s="116"/>
      <c r="BF863" s="123"/>
      <c r="BG863" s="123"/>
      <c r="BH863" s="123"/>
      <c r="BM863" s="115"/>
      <c r="BN863" s="115"/>
      <c r="BO863" s="115"/>
      <c r="BP863" s="115"/>
      <c r="BQ863" s="115"/>
      <c r="BR863" s="115"/>
      <c r="BS863" s="115"/>
      <c r="BT863" s="115"/>
      <c r="BU863" s="115"/>
      <c r="BV863" s="115"/>
      <c r="BW863" s="25"/>
      <c r="BX863" s="13"/>
      <c r="CA863" s="114"/>
    </row>
    <row r="864" spans="1:79" ht="19.5" x14ac:dyDescent="0.4">
      <c r="A864" s="117"/>
      <c r="B864" s="123"/>
      <c r="C864" s="123"/>
      <c r="D864" s="123"/>
      <c r="AN864" s="127"/>
      <c r="AO864" s="29"/>
      <c r="AY864" s="25">
        <v>45680</v>
      </c>
      <c r="AZ864" s="13" t="s">
        <v>146</v>
      </c>
      <c r="BE864" s="117"/>
      <c r="BF864" s="123"/>
      <c r="BG864" s="123"/>
      <c r="BH864" s="123"/>
      <c r="BM864" s="115"/>
      <c r="BN864" s="115"/>
      <c r="BO864" s="115"/>
      <c r="BP864" s="115"/>
      <c r="BQ864" s="115"/>
      <c r="BR864" s="115"/>
      <c r="BS864" s="115"/>
      <c r="BT864" s="115"/>
      <c r="BU864" s="115"/>
      <c r="BV864" s="115" t="s">
        <v>149</v>
      </c>
      <c r="BW864" s="13">
        <f>SUBTOTAL(3,BW2:BW2)</f>
        <v>1</v>
      </c>
      <c r="BX864" s="13">
        <f>SUBTOTAL(3,BX2:BX2)</f>
        <v>1</v>
      </c>
      <c r="CA864" s="114"/>
    </row>
    <row r="865" spans="1:79" ht="19.5" x14ac:dyDescent="0.4">
      <c r="A865" s="117"/>
      <c r="B865" s="123"/>
      <c r="C865" s="123"/>
      <c r="D865" s="123"/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115"/>
      <c r="AK865" s="115"/>
      <c r="AL865" s="115"/>
      <c r="AM865" s="115"/>
      <c r="AN865" s="29"/>
      <c r="AO865" s="29"/>
      <c r="AY865" s="25"/>
      <c r="AZ865" s="13"/>
      <c r="BE865" s="117"/>
      <c r="BF865" s="123"/>
      <c r="BG865" s="123"/>
      <c r="BH865" s="123"/>
      <c r="BM865" s="115"/>
      <c r="BN865" s="115"/>
      <c r="BO865" s="115"/>
      <c r="BP865" s="115"/>
      <c r="BQ865" s="115"/>
      <c r="BR865" s="115"/>
      <c r="BS865" s="115"/>
      <c r="BT865" s="115"/>
      <c r="BU865" s="115"/>
      <c r="BV865" s="115"/>
      <c r="BW865" s="13"/>
      <c r="BX865" s="13"/>
      <c r="CA865" s="114"/>
    </row>
    <row r="866" spans="1:79" ht="19.5" x14ac:dyDescent="0.4">
      <c r="A866" s="117"/>
      <c r="B866" s="123"/>
      <c r="C866" s="123"/>
      <c r="D866" s="123"/>
      <c r="AN866" s="127"/>
      <c r="AO866" s="29"/>
      <c r="AY866" s="25"/>
      <c r="AZ866" s="13"/>
      <c r="BE866" s="117"/>
      <c r="BF866" s="123"/>
      <c r="BG866" s="123"/>
      <c r="BH866" s="123"/>
      <c r="BM866" s="115"/>
      <c r="BN866" s="115"/>
      <c r="BO866" s="115"/>
      <c r="BP866" s="115"/>
      <c r="BQ866" s="115"/>
      <c r="BR866" s="115"/>
      <c r="BS866" s="115"/>
      <c r="BT866" s="115"/>
      <c r="BU866" s="115"/>
      <c r="BV866" s="115"/>
      <c r="BW866" s="13"/>
      <c r="BX866" s="13"/>
      <c r="CA866" s="114"/>
    </row>
    <row r="867" spans="1:79" ht="19.5" x14ac:dyDescent="0.4">
      <c r="A867" s="117"/>
      <c r="B867" s="123"/>
      <c r="C867" s="123"/>
      <c r="D867" s="123"/>
      <c r="AN867" s="127"/>
      <c r="AO867" s="29"/>
      <c r="AP867" s="115"/>
      <c r="AQ867" s="115"/>
      <c r="AR867" s="115"/>
      <c r="AS867" s="115"/>
      <c r="AT867" s="115"/>
      <c r="AU867" s="115"/>
      <c r="AV867" s="115"/>
      <c r="AW867" s="115"/>
      <c r="AX867" s="115"/>
      <c r="AY867" s="25">
        <v>45682</v>
      </c>
      <c r="AZ867" s="13" t="s">
        <v>147</v>
      </c>
      <c r="BE867" s="117"/>
      <c r="BF867" s="123"/>
      <c r="BG867" s="123"/>
      <c r="BH867" s="123"/>
      <c r="BM867" s="115"/>
      <c r="BN867" s="115"/>
      <c r="BO867" s="115"/>
      <c r="BP867" s="115"/>
      <c r="BQ867" s="115"/>
      <c r="BR867" s="115"/>
      <c r="BS867" s="115"/>
      <c r="BT867" s="115"/>
      <c r="BU867" s="115"/>
      <c r="BV867" s="115"/>
      <c r="BW867" s="13"/>
      <c r="BX867" s="13"/>
      <c r="CA867" s="114"/>
    </row>
    <row r="868" spans="1:79" ht="19.5" x14ac:dyDescent="0.4">
      <c r="A868" s="117"/>
      <c r="B868" s="123"/>
      <c r="C868" s="123"/>
      <c r="D868" s="123"/>
      <c r="AN868" s="127"/>
      <c r="AO868" s="29"/>
      <c r="AP868" s="115"/>
      <c r="AQ868" s="115"/>
      <c r="AR868" s="115"/>
      <c r="AS868" s="115"/>
      <c r="AT868" s="115"/>
      <c r="AU868" s="115"/>
      <c r="AV868" s="115"/>
      <c r="AW868" s="115"/>
      <c r="AX868" s="115"/>
      <c r="AY868" s="25">
        <v>45682</v>
      </c>
      <c r="AZ868" s="13" t="s">
        <v>146</v>
      </c>
      <c r="BE868" s="117"/>
      <c r="BF868" s="123"/>
      <c r="BG868" s="123"/>
      <c r="BH868" s="123"/>
      <c r="BM868" s="115"/>
      <c r="BN868" s="115"/>
      <c r="BO868" s="115"/>
      <c r="BP868" s="115"/>
      <c r="BQ868" s="115"/>
      <c r="BR868" s="115"/>
      <c r="BS868" s="115"/>
      <c r="BT868" s="115"/>
      <c r="BU868" s="115"/>
      <c r="BV868" s="115"/>
      <c r="BW868" s="13"/>
      <c r="BX868" s="13"/>
      <c r="CA868" s="114"/>
    </row>
    <row r="869" spans="1:79" ht="19.5" x14ac:dyDescent="0.4">
      <c r="A869" s="117"/>
      <c r="B869" s="123"/>
      <c r="C869" s="123"/>
      <c r="D869" s="123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15"/>
      <c r="AK869" s="115"/>
      <c r="AL869" s="115"/>
      <c r="AM869" s="115"/>
      <c r="AN869" s="127"/>
      <c r="AO869" s="29"/>
      <c r="AP869" s="115"/>
      <c r="AQ869" s="115"/>
      <c r="AR869" s="115"/>
      <c r="AS869" s="115"/>
      <c r="AT869" s="115"/>
      <c r="AU869" s="115"/>
      <c r="AV869" s="115"/>
      <c r="AW869" s="115"/>
      <c r="AX869" s="115"/>
      <c r="AY869" s="25"/>
      <c r="AZ869" s="13"/>
      <c r="BE869" s="117"/>
      <c r="BF869" s="123"/>
      <c r="BG869" s="123"/>
      <c r="BH869" s="123"/>
      <c r="BM869" s="115"/>
      <c r="BN869" s="115"/>
      <c r="BO869" s="115"/>
      <c r="BP869" s="115"/>
      <c r="BQ869" s="115"/>
      <c r="BR869" s="115"/>
      <c r="BS869" s="115"/>
      <c r="BT869" s="115"/>
      <c r="BU869" s="115"/>
      <c r="BV869" s="115"/>
      <c r="BW869" s="13"/>
      <c r="BX869" s="13"/>
      <c r="CA869" s="114"/>
    </row>
    <row r="870" spans="1:79" ht="19.5" x14ac:dyDescent="0.4">
      <c r="A870" s="117"/>
      <c r="B870" s="123"/>
      <c r="C870" s="123"/>
      <c r="D870" s="123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15"/>
      <c r="AK870" s="115"/>
      <c r="AL870" s="115"/>
      <c r="AM870" s="115"/>
      <c r="AN870" s="127"/>
      <c r="AO870" s="29"/>
      <c r="AP870" s="115"/>
      <c r="AQ870" s="115"/>
      <c r="AR870" s="115"/>
      <c r="AS870" s="115"/>
      <c r="AT870" s="115"/>
      <c r="AU870" s="115"/>
      <c r="AV870" s="115"/>
      <c r="AW870" s="115"/>
      <c r="AX870" s="115"/>
      <c r="AY870" s="25"/>
      <c r="AZ870" s="13"/>
      <c r="BE870" s="117"/>
      <c r="BF870" s="123"/>
      <c r="BG870" s="123"/>
      <c r="BH870" s="123"/>
      <c r="BM870" s="115"/>
      <c r="BN870" s="115"/>
      <c r="BO870" s="115"/>
      <c r="BP870" s="115"/>
      <c r="BQ870" s="115"/>
      <c r="BR870" s="115"/>
      <c r="BS870" s="115"/>
      <c r="BT870" s="115"/>
      <c r="BU870" s="115"/>
      <c r="BV870" s="115"/>
      <c r="BW870" s="13"/>
      <c r="BX870" s="13"/>
      <c r="CA870" s="114"/>
    </row>
    <row r="871" spans="1:79" ht="19.5" x14ac:dyDescent="0.4">
      <c r="A871" s="117"/>
      <c r="B871" s="123"/>
      <c r="C871" s="123"/>
      <c r="D871" s="123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15"/>
      <c r="AK871" s="115"/>
      <c r="AL871" s="115"/>
      <c r="AM871" s="115"/>
      <c r="AN871" s="29"/>
      <c r="AO871" s="29"/>
      <c r="AP871" s="115"/>
      <c r="AQ871" s="115"/>
      <c r="AR871" s="115"/>
      <c r="AS871" s="115"/>
      <c r="AT871" s="115"/>
      <c r="AU871" s="115"/>
      <c r="AV871" s="115"/>
      <c r="AW871" s="115"/>
      <c r="AX871" s="115"/>
      <c r="AY871" s="25"/>
      <c r="AZ871" s="13"/>
      <c r="BE871" s="117"/>
      <c r="BF871" s="123"/>
      <c r="BG871" s="123"/>
      <c r="BH871" s="123"/>
      <c r="BM871" s="115"/>
      <c r="BN871" s="115"/>
      <c r="BO871" s="115"/>
      <c r="BP871" s="115"/>
      <c r="BQ871" s="115"/>
      <c r="BR871" s="115"/>
      <c r="BS871" s="115"/>
      <c r="BT871" s="115"/>
      <c r="BU871" s="115"/>
      <c r="BV871" s="115"/>
      <c r="BW871" s="13"/>
      <c r="BX871" s="13"/>
      <c r="CA871" s="114"/>
    </row>
    <row r="872" spans="1:79" ht="19.5" x14ac:dyDescent="0.4">
      <c r="A872" s="117"/>
      <c r="B872" s="123"/>
      <c r="C872" s="123"/>
      <c r="D872" s="123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5"/>
      <c r="AJ872" s="115"/>
      <c r="AK872" s="115"/>
      <c r="AL872" s="115"/>
      <c r="AM872" s="115"/>
      <c r="AN872" s="127"/>
      <c r="AO872" s="29"/>
      <c r="AP872" s="115"/>
      <c r="AQ872" s="115"/>
      <c r="AR872" s="115"/>
      <c r="AS872" s="115"/>
      <c r="AT872" s="115"/>
      <c r="AU872" s="115"/>
      <c r="AV872" s="115"/>
      <c r="AW872" s="115"/>
      <c r="AX872" s="115"/>
      <c r="AY872" s="25"/>
      <c r="AZ872" s="13"/>
      <c r="BE872" s="117"/>
      <c r="BF872" s="123"/>
      <c r="BG872" s="123"/>
      <c r="BH872" s="123"/>
      <c r="BM872" s="115"/>
      <c r="BN872" s="115"/>
      <c r="BO872" s="115"/>
      <c r="BP872" s="115"/>
      <c r="BQ872" s="115"/>
      <c r="BR872" s="115"/>
      <c r="BS872" s="115"/>
      <c r="BT872" s="115"/>
      <c r="BU872" s="115"/>
      <c r="BV872" s="115"/>
      <c r="BW872" s="13"/>
      <c r="BX872" s="13"/>
      <c r="CA872" s="114"/>
    </row>
    <row r="873" spans="1:79" ht="19.5" x14ac:dyDescent="0.4">
      <c r="A873" s="117"/>
      <c r="B873" s="123"/>
      <c r="C873" s="123"/>
      <c r="D873" s="123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  <c r="AK873" s="115"/>
      <c r="AL873" s="115"/>
      <c r="AM873" s="115"/>
      <c r="AN873" s="29"/>
      <c r="AO873" s="29"/>
      <c r="AP873" s="115"/>
      <c r="AQ873" s="115"/>
      <c r="AR873" s="115"/>
      <c r="AS873" s="115"/>
      <c r="AT873" s="115"/>
      <c r="AU873" s="115"/>
      <c r="AV873" s="115"/>
      <c r="AW873" s="115"/>
      <c r="AX873" s="115"/>
      <c r="AY873" s="25"/>
      <c r="AZ873" s="13"/>
      <c r="BE873" s="117"/>
      <c r="BF873" s="123"/>
      <c r="BG873" s="123"/>
      <c r="BH873" s="123"/>
      <c r="BM873" s="115"/>
      <c r="BN873" s="115"/>
      <c r="BO873" s="115"/>
      <c r="BP873" s="115"/>
      <c r="BQ873" s="115"/>
      <c r="BR873" s="115"/>
      <c r="BS873" s="115"/>
      <c r="BT873" s="115"/>
      <c r="BU873" s="115"/>
      <c r="BV873" s="115"/>
      <c r="BW873" s="13"/>
      <c r="BX873" s="13"/>
      <c r="CA873" s="114"/>
    </row>
    <row r="874" spans="1:79" ht="19.5" x14ac:dyDescent="0.4">
      <c r="A874" s="117"/>
      <c r="B874" s="123"/>
      <c r="C874" s="123"/>
      <c r="D874" s="123"/>
      <c r="AN874" s="127"/>
      <c r="AO874" s="29"/>
      <c r="AP874" s="115"/>
      <c r="AQ874" s="115"/>
      <c r="AR874" s="115"/>
      <c r="AS874" s="115"/>
      <c r="AT874" s="115"/>
      <c r="AU874" s="115"/>
      <c r="AV874" s="115"/>
      <c r="AW874" s="115"/>
      <c r="AX874" s="115"/>
      <c r="AY874" s="25">
        <v>45682</v>
      </c>
      <c r="AZ874" s="13" t="s">
        <v>147</v>
      </c>
      <c r="BE874" s="117"/>
      <c r="BF874" s="123"/>
      <c r="BG874" s="123"/>
      <c r="BH874" s="123"/>
      <c r="BM874" s="115"/>
      <c r="BN874" s="115"/>
      <c r="BO874" s="115"/>
      <c r="BP874" s="115"/>
      <c r="BQ874" s="115"/>
      <c r="BR874" s="115"/>
      <c r="BS874" s="115"/>
      <c r="BT874" s="115"/>
      <c r="BU874" s="115"/>
      <c r="BV874" s="115"/>
      <c r="BW874" s="13"/>
      <c r="BX874" s="13"/>
      <c r="CA874" s="114"/>
    </row>
    <row r="875" spans="1:79" ht="19.5" x14ac:dyDescent="0.4">
      <c r="A875" s="117"/>
      <c r="B875" s="123"/>
      <c r="C875" s="123"/>
      <c r="D875" s="123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  <c r="AK875" s="115"/>
      <c r="AL875" s="115"/>
      <c r="AM875" s="115"/>
      <c r="AN875" s="29"/>
      <c r="AO875" s="29"/>
      <c r="AP875" s="115"/>
      <c r="AQ875" s="115"/>
      <c r="AR875" s="115"/>
      <c r="AS875" s="115"/>
      <c r="AT875" s="115"/>
      <c r="AU875" s="115"/>
      <c r="AV875" s="115"/>
      <c r="AW875" s="115"/>
      <c r="AX875" s="115"/>
      <c r="AY875" s="25"/>
      <c r="AZ875" s="13"/>
      <c r="BE875" s="117"/>
      <c r="BF875" s="123"/>
      <c r="BG875" s="123"/>
      <c r="BH875" s="123"/>
      <c r="BM875" s="115"/>
      <c r="BN875" s="115"/>
      <c r="BO875" s="115"/>
      <c r="BP875" s="115"/>
      <c r="BQ875" s="115"/>
      <c r="BR875" s="115"/>
      <c r="BS875" s="115"/>
      <c r="BT875" s="115"/>
      <c r="BU875" s="115"/>
      <c r="BV875" s="115"/>
      <c r="BW875" s="13"/>
      <c r="BX875" s="13"/>
      <c r="CA875" s="114"/>
    </row>
    <row r="876" spans="1:79" ht="19.5" x14ac:dyDescent="0.4">
      <c r="A876" s="117"/>
      <c r="B876" s="123"/>
      <c r="C876" s="123"/>
      <c r="D876" s="123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15"/>
      <c r="AK876" s="115"/>
      <c r="AL876" s="115"/>
      <c r="AM876" s="115"/>
      <c r="AN876" s="29"/>
      <c r="AO876" s="29"/>
      <c r="AP876" s="115"/>
      <c r="AQ876" s="115"/>
      <c r="AR876" s="115"/>
      <c r="AS876" s="115"/>
      <c r="AT876" s="115"/>
      <c r="AU876" s="115"/>
      <c r="AV876" s="115"/>
      <c r="AW876" s="115"/>
      <c r="AX876" s="115"/>
      <c r="AY876" s="25"/>
      <c r="AZ876" s="13"/>
      <c r="BE876" s="117"/>
      <c r="BF876" s="123"/>
      <c r="BG876" s="123"/>
      <c r="BH876" s="123"/>
      <c r="BM876" s="115"/>
      <c r="BN876" s="115"/>
      <c r="BO876" s="115"/>
      <c r="BP876" s="115"/>
      <c r="BQ876" s="115"/>
      <c r="BR876" s="115"/>
      <c r="BS876" s="115"/>
      <c r="BT876" s="115"/>
      <c r="BU876" s="115"/>
      <c r="BV876" s="115"/>
      <c r="BW876" s="13"/>
      <c r="BX876" s="13"/>
      <c r="CA876" s="114"/>
    </row>
    <row r="877" spans="1:79" ht="19.5" x14ac:dyDescent="0.4">
      <c r="A877" s="117"/>
      <c r="B877" s="123"/>
      <c r="C877" s="123"/>
      <c r="D877" s="123"/>
      <c r="AN877" s="128"/>
      <c r="AO877" s="29"/>
      <c r="AP877" s="115"/>
      <c r="AQ877" s="115"/>
      <c r="AR877" s="115"/>
      <c r="AS877" s="115"/>
      <c r="AT877" s="115"/>
      <c r="AU877" s="115"/>
      <c r="AV877" s="115"/>
      <c r="AW877" s="115"/>
      <c r="AX877" s="115"/>
      <c r="AY877" s="25"/>
      <c r="AZ877" s="13"/>
      <c r="BE877" s="117"/>
      <c r="BF877" s="123"/>
      <c r="BG877" s="123"/>
      <c r="BH877" s="123"/>
      <c r="BM877" s="115"/>
      <c r="BN877" s="115"/>
      <c r="BO877" s="115"/>
      <c r="BP877" s="115"/>
      <c r="BQ877" s="115"/>
      <c r="BR877" s="115"/>
      <c r="BS877" s="115"/>
      <c r="BT877" s="115"/>
      <c r="BU877" s="115"/>
      <c r="BV877" s="115"/>
      <c r="BW877" s="13"/>
      <c r="BX877" s="13"/>
      <c r="CA877" s="114"/>
    </row>
    <row r="878" spans="1:79" ht="19.5" x14ac:dyDescent="0.4">
      <c r="A878" s="117"/>
      <c r="B878" s="123"/>
      <c r="C878" s="123"/>
      <c r="D878" s="123"/>
      <c r="AN878" s="127"/>
      <c r="AO878" s="29"/>
      <c r="AP878" s="115"/>
      <c r="AQ878" s="115"/>
      <c r="AR878" s="115"/>
      <c r="AS878" s="115"/>
      <c r="AT878" s="115"/>
      <c r="AU878" s="115"/>
      <c r="AV878" s="115"/>
      <c r="AW878" s="115"/>
      <c r="AX878" s="115"/>
      <c r="AY878" s="25"/>
      <c r="AZ878" s="13"/>
      <c r="BE878" s="117"/>
      <c r="BF878" s="123"/>
      <c r="BG878" s="123"/>
      <c r="BH878" s="123"/>
      <c r="BM878" s="115"/>
      <c r="BN878" s="115"/>
      <c r="BO878" s="115"/>
      <c r="BP878" s="115"/>
      <c r="BQ878" s="115"/>
      <c r="BR878" s="115"/>
      <c r="BS878" s="115"/>
      <c r="BT878" s="115"/>
      <c r="BU878" s="115"/>
      <c r="BV878" s="115"/>
      <c r="BW878" s="13"/>
      <c r="BX878" s="13"/>
      <c r="CA878" s="114"/>
    </row>
    <row r="879" spans="1:79" ht="19.5" x14ac:dyDescent="0.4">
      <c r="A879" s="117"/>
      <c r="B879" s="123"/>
      <c r="C879" s="123"/>
      <c r="D879" s="123"/>
      <c r="AN879" s="127"/>
      <c r="AO879" s="29"/>
      <c r="AY879" s="25">
        <v>45682</v>
      </c>
      <c r="AZ879" s="15" t="s">
        <v>146</v>
      </c>
      <c r="BE879" s="117"/>
      <c r="BF879" s="123"/>
      <c r="BG879" s="123"/>
      <c r="BH879" s="123"/>
      <c r="BM879" s="115"/>
      <c r="BN879" s="115"/>
      <c r="BO879" s="115"/>
      <c r="BP879" s="115"/>
      <c r="BQ879" s="115"/>
      <c r="BR879" s="115"/>
      <c r="BS879" s="115"/>
      <c r="BT879" s="115"/>
      <c r="BU879" s="115"/>
      <c r="BV879" s="115"/>
      <c r="BW879" s="13"/>
      <c r="BX879" s="13"/>
      <c r="CA879" s="114"/>
    </row>
    <row r="880" spans="1:79" ht="19.5" x14ac:dyDescent="0.4">
      <c r="A880" s="117"/>
      <c r="B880" s="123"/>
      <c r="C880" s="123"/>
      <c r="D880" s="123"/>
      <c r="AN880" s="128"/>
      <c r="AO880" s="29"/>
      <c r="AY880" s="25"/>
      <c r="AZ880" s="15"/>
      <c r="BE880" s="117"/>
      <c r="BF880" s="123"/>
      <c r="BG880" s="123"/>
      <c r="BH880" s="123"/>
      <c r="BM880" s="115"/>
      <c r="BN880" s="115"/>
      <c r="BO880" s="115"/>
      <c r="BP880" s="115"/>
      <c r="BQ880" s="115"/>
      <c r="BR880" s="115"/>
      <c r="BS880" s="115"/>
      <c r="BT880" s="115"/>
      <c r="BU880" s="115"/>
      <c r="BV880" s="115"/>
      <c r="BW880" s="13"/>
      <c r="BX880" s="13"/>
      <c r="CA880" s="114"/>
    </row>
    <row r="881" spans="1:79" ht="19.5" x14ac:dyDescent="0.4">
      <c r="A881" s="117"/>
      <c r="B881" s="123"/>
      <c r="C881" s="123"/>
      <c r="D881" s="123"/>
      <c r="AN881" s="127"/>
      <c r="AO881" s="29"/>
      <c r="AY881" s="25"/>
      <c r="AZ881" s="15"/>
      <c r="BE881" s="117"/>
      <c r="BF881" s="123"/>
      <c r="BG881" s="123"/>
      <c r="BH881" s="123"/>
      <c r="BM881" s="115"/>
      <c r="BN881" s="115"/>
      <c r="BO881" s="115"/>
      <c r="BP881" s="115"/>
      <c r="BQ881" s="115"/>
      <c r="BR881" s="115"/>
      <c r="BS881" s="115"/>
      <c r="BT881" s="115"/>
      <c r="BU881" s="115"/>
      <c r="BV881" s="115"/>
      <c r="BW881" s="13"/>
      <c r="BX881" s="13"/>
      <c r="CA881" s="114"/>
    </row>
    <row r="882" spans="1:79" ht="19.5" x14ac:dyDescent="0.4">
      <c r="A882" s="117"/>
      <c r="B882" s="123"/>
      <c r="C882" s="123"/>
      <c r="D882" s="123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  <c r="AK882" s="115"/>
      <c r="AL882" s="115"/>
      <c r="AM882" s="115"/>
      <c r="AN882" s="127"/>
      <c r="AO882" s="29"/>
      <c r="AY882" s="25"/>
      <c r="AZ882" s="15"/>
      <c r="BE882" s="117"/>
      <c r="BF882" s="123"/>
      <c r="BG882" s="123"/>
      <c r="BH882" s="123"/>
      <c r="BM882" s="115"/>
      <c r="BN882" s="115"/>
      <c r="BO882" s="115"/>
      <c r="BP882" s="115"/>
      <c r="BQ882" s="115"/>
      <c r="BR882" s="115"/>
      <c r="BS882" s="115"/>
      <c r="BT882" s="115"/>
      <c r="BU882" s="115"/>
      <c r="BV882" s="115"/>
      <c r="BW882" s="13"/>
      <c r="BX882" s="13"/>
      <c r="CA882" s="114"/>
    </row>
    <row r="883" spans="1:79" ht="19.5" x14ac:dyDescent="0.4">
      <c r="A883" s="117"/>
      <c r="B883" s="123"/>
      <c r="C883" s="123"/>
      <c r="D883" s="123"/>
      <c r="AN883" s="127"/>
      <c r="AO883" s="29"/>
      <c r="AP883" s="115"/>
      <c r="AQ883" s="115"/>
      <c r="AR883" s="115"/>
      <c r="AS883" s="115"/>
      <c r="AT883" s="115"/>
      <c r="AU883" s="115"/>
      <c r="AV883" s="115"/>
      <c r="AW883" s="115"/>
      <c r="AX883" s="115"/>
      <c r="AY883" s="25">
        <v>45682</v>
      </c>
      <c r="AZ883" s="15" t="s">
        <v>146</v>
      </c>
      <c r="BE883" s="117"/>
      <c r="BF883" s="123"/>
      <c r="BG883" s="123"/>
      <c r="BH883" s="123"/>
      <c r="BM883" s="115"/>
      <c r="BN883" s="115"/>
      <c r="BO883" s="115"/>
      <c r="BP883" s="115"/>
      <c r="BQ883" s="115"/>
      <c r="BR883" s="115"/>
      <c r="BS883" s="115"/>
      <c r="BT883" s="115"/>
      <c r="BU883" s="115"/>
      <c r="BV883" s="115"/>
      <c r="BW883" s="13"/>
      <c r="BX883" s="13"/>
      <c r="CA883" s="114"/>
    </row>
    <row r="884" spans="1:79" ht="19.5" x14ac:dyDescent="0.4">
      <c r="A884" s="117"/>
      <c r="B884" s="123"/>
      <c r="C884" s="123"/>
      <c r="D884" s="123"/>
      <c r="AN884" s="128"/>
      <c r="AO884" s="29"/>
      <c r="AP884" s="115"/>
      <c r="AQ884" s="115"/>
      <c r="AR884" s="115"/>
      <c r="AS884" s="115"/>
      <c r="AT884" s="115"/>
      <c r="AU884" s="115"/>
      <c r="AV884" s="115"/>
      <c r="AW884" s="115"/>
      <c r="AX884" s="115"/>
      <c r="AY884" s="25"/>
      <c r="AZ884" s="15"/>
      <c r="BE884" s="117"/>
      <c r="BF884" s="123"/>
      <c r="BG884" s="123"/>
      <c r="BH884" s="123"/>
      <c r="BM884" s="115"/>
      <c r="BN884" s="115"/>
      <c r="BO884" s="115"/>
      <c r="BP884" s="115"/>
      <c r="BQ884" s="115"/>
      <c r="BR884" s="115"/>
      <c r="BS884" s="115"/>
      <c r="BT884" s="115"/>
      <c r="BU884" s="115"/>
      <c r="BV884" s="115"/>
      <c r="BW884" s="13"/>
      <c r="BX884" s="13"/>
      <c r="CA884" s="114"/>
    </row>
    <row r="885" spans="1:79" ht="19.5" x14ac:dyDescent="0.4">
      <c r="A885" s="117"/>
      <c r="B885" s="123"/>
      <c r="C885" s="123"/>
      <c r="D885" s="123"/>
      <c r="AN885" s="127"/>
      <c r="AO885" s="29"/>
      <c r="AP885" s="115"/>
      <c r="AQ885" s="115"/>
      <c r="AR885" s="115"/>
      <c r="AS885" s="115"/>
      <c r="AT885" s="115"/>
      <c r="AU885" s="115"/>
      <c r="AV885" s="115"/>
      <c r="AW885" s="115"/>
      <c r="AX885" s="115"/>
      <c r="AY885" s="25">
        <v>45682</v>
      </c>
      <c r="AZ885" s="15" t="s">
        <v>148</v>
      </c>
      <c r="BE885" s="117"/>
      <c r="BF885" s="123"/>
      <c r="BG885" s="123"/>
      <c r="BH885" s="123"/>
      <c r="BM885" s="115"/>
      <c r="BN885" s="115"/>
      <c r="BO885" s="115"/>
      <c r="BP885" s="115"/>
      <c r="BQ885" s="115"/>
      <c r="BR885" s="115"/>
      <c r="BS885" s="115"/>
      <c r="BT885" s="115"/>
      <c r="BU885" s="115"/>
      <c r="BV885" s="115"/>
      <c r="BW885" s="13"/>
      <c r="BX885" s="13"/>
      <c r="CA885" s="114"/>
    </row>
    <row r="886" spans="1:79" ht="19.5" x14ac:dyDescent="0.4">
      <c r="A886" s="117"/>
      <c r="B886" s="123"/>
      <c r="C886" s="123"/>
      <c r="D886" s="123"/>
      <c r="AN886" s="127"/>
      <c r="AO886" s="29"/>
      <c r="AP886" s="115"/>
      <c r="AQ886" s="115"/>
      <c r="AR886" s="115"/>
      <c r="AS886" s="115"/>
      <c r="AT886" s="115"/>
      <c r="AU886" s="115"/>
      <c r="AV886" s="115"/>
      <c r="AW886" s="115"/>
      <c r="AX886" s="115"/>
      <c r="AY886" s="25">
        <v>45682</v>
      </c>
      <c r="AZ886" s="15" t="s">
        <v>146</v>
      </c>
      <c r="BE886" s="117"/>
      <c r="BF886" s="123"/>
      <c r="BG886" s="123"/>
      <c r="BH886" s="123"/>
      <c r="BM886" s="115"/>
      <c r="BN886" s="115"/>
      <c r="BO886" s="115"/>
      <c r="BP886" s="115"/>
      <c r="BQ886" s="115"/>
      <c r="BR886" s="115"/>
      <c r="BS886" s="115"/>
      <c r="BT886" s="115"/>
      <c r="BU886" s="115"/>
      <c r="BV886" s="115"/>
      <c r="BW886" s="13"/>
      <c r="BX886" s="13"/>
      <c r="CA886" s="114"/>
    </row>
    <row r="887" spans="1:79" ht="19.5" x14ac:dyDescent="0.4">
      <c r="A887" s="117"/>
      <c r="B887" s="123"/>
      <c r="C887" s="123"/>
      <c r="D887" s="123"/>
      <c r="AN887" s="127"/>
      <c r="AO887" s="29"/>
      <c r="AP887" s="115"/>
      <c r="AQ887" s="115"/>
      <c r="AR887" s="115"/>
      <c r="AS887" s="115"/>
      <c r="AT887" s="115"/>
      <c r="AU887" s="115"/>
      <c r="AV887" s="115"/>
      <c r="AW887" s="115"/>
      <c r="AX887" s="115"/>
      <c r="AY887" s="25">
        <v>45682</v>
      </c>
      <c r="AZ887" s="15" t="s">
        <v>148</v>
      </c>
      <c r="BE887" s="117"/>
      <c r="BF887" s="123"/>
      <c r="BG887" s="123"/>
      <c r="BH887" s="123"/>
      <c r="BM887" s="115"/>
      <c r="BN887" s="115"/>
      <c r="BO887" s="115"/>
      <c r="BP887" s="115"/>
      <c r="BQ887" s="115"/>
      <c r="BR887" s="115"/>
      <c r="BS887" s="115"/>
      <c r="BT887" s="115"/>
      <c r="BU887" s="115"/>
      <c r="BV887" s="115"/>
      <c r="BW887" s="13"/>
      <c r="BX887" s="13"/>
      <c r="CA887" s="114"/>
    </row>
    <row r="888" spans="1:79" ht="19.5" x14ac:dyDescent="0.4">
      <c r="A888" s="117"/>
      <c r="B888" s="123"/>
      <c r="C888" s="123"/>
      <c r="D888" s="123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  <c r="AK888" s="115"/>
      <c r="AL888" s="115"/>
      <c r="AM888" s="115"/>
      <c r="AN888" s="127"/>
      <c r="AO888" s="29"/>
      <c r="AP888" s="115"/>
      <c r="AQ888" s="115"/>
      <c r="AR888" s="115"/>
      <c r="AS888" s="115"/>
      <c r="AT888" s="115"/>
      <c r="AU888" s="115"/>
      <c r="AV888" s="115"/>
      <c r="AW888" s="115"/>
      <c r="AX888" s="115"/>
      <c r="AY888" s="25"/>
      <c r="AZ888" s="15"/>
      <c r="BE888" s="117"/>
      <c r="BF888" s="123"/>
      <c r="BG888" s="123"/>
      <c r="BH888" s="123"/>
      <c r="BM888" s="115"/>
      <c r="BN888" s="115"/>
      <c r="BO888" s="115"/>
      <c r="BP888" s="115"/>
      <c r="BQ888" s="115"/>
      <c r="BR888" s="115"/>
      <c r="BS888" s="115"/>
      <c r="BT888" s="115"/>
      <c r="BU888" s="115"/>
      <c r="BV888" s="115"/>
      <c r="BW888" s="13"/>
      <c r="BX888" s="13"/>
      <c r="CA888" s="114"/>
    </row>
    <row r="889" spans="1:79" ht="19.5" x14ac:dyDescent="0.4">
      <c r="A889" s="117"/>
      <c r="B889" s="123"/>
      <c r="C889" s="123"/>
      <c r="D889" s="123"/>
      <c r="AN889" s="127"/>
      <c r="AO889" s="29"/>
      <c r="AP889" s="115"/>
      <c r="AQ889" s="115"/>
      <c r="AR889" s="115"/>
      <c r="AS889" s="115"/>
      <c r="AT889" s="115"/>
      <c r="AU889" s="115"/>
      <c r="AV889" s="115"/>
      <c r="AW889" s="115"/>
      <c r="AX889" s="115"/>
      <c r="AY889" s="25">
        <v>45682</v>
      </c>
      <c r="AZ889" s="15" t="s">
        <v>148</v>
      </c>
      <c r="BE889" s="117"/>
      <c r="BF889" s="123"/>
      <c r="BG889" s="123"/>
      <c r="BH889" s="123"/>
      <c r="BM889" s="115"/>
      <c r="BN889" s="115"/>
      <c r="BO889" s="115"/>
      <c r="BP889" s="115"/>
      <c r="BQ889" s="115"/>
      <c r="BR889" s="115"/>
      <c r="BS889" s="115"/>
      <c r="BT889" s="115"/>
      <c r="BU889" s="115"/>
      <c r="BV889" s="115"/>
      <c r="BW889" s="13"/>
      <c r="BX889" s="13"/>
      <c r="CA889" s="114"/>
    </row>
    <row r="890" spans="1:79" ht="19.5" x14ac:dyDescent="0.4">
      <c r="A890" s="117"/>
      <c r="B890" s="123"/>
      <c r="C890" s="123"/>
      <c r="D890" s="123"/>
      <c r="AN890" s="127"/>
      <c r="AO890" s="29"/>
      <c r="AP890" s="115"/>
      <c r="AQ890" s="115"/>
      <c r="AR890" s="115"/>
      <c r="AS890" s="115"/>
      <c r="AT890" s="115"/>
      <c r="AU890" s="115"/>
      <c r="AV890" s="115"/>
      <c r="AW890" s="115"/>
      <c r="AX890" s="115"/>
      <c r="AY890" s="25">
        <v>45682</v>
      </c>
      <c r="AZ890" s="105" t="s">
        <v>148</v>
      </c>
      <c r="BE890" s="117"/>
      <c r="BF890" s="123"/>
      <c r="BG890" s="123"/>
      <c r="BH890" s="123"/>
      <c r="BM890" s="115"/>
      <c r="BN890" s="115"/>
      <c r="BO890" s="115"/>
      <c r="BP890" s="115"/>
      <c r="BQ890" s="115"/>
      <c r="BR890" s="115"/>
      <c r="BS890" s="115"/>
      <c r="BT890" s="115"/>
      <c r="BU890" s="115"/>
      <c r="BV890" s="115"/>
      <c r="BW890" s="13"/>
      <c r="BX890" s="13"/>
      <c r="CA890" s="114"/>
    </row>
    <row r="891" spans="1:79" ht="19.5" x14ac:dyDescent="0.4">
      <c r="A891" s="117"/>
      <c r="B891" s="123"/>
      <c r="C891" s="123"/>
      <c r="D891" s="123"/>
      <c r="AN891" s="127"/>
      <c r="AO891" s="29"/>
      <c r="AP891" s="115"/>
      <c r="AQ891" s="115"/>
      <c r="AR891" s="115"/>
      <c r="AS891" s="115"/>
      <c r="AT891" s="115"/>
      <c r="AU891" s="115"/>
      <c r="AV891" s="115"/>
      <c r="AW891" s="115"/>
      <c r="AX891" s="115"/>
      <c r="AY891" s="25">
        <v>45682</v>
      </c>
      <c r="AZ891" s="105" t="s">
        <v>146</v>
      </c>
      <c r="BE891" s="117"/>
      <c r="BF891" s="123"/>
      <c r="BG891" s="123"/>
      <c r="BH891" s="123"/>
      <c r="BM891" s="115"/>
      <c r="BN891" s="115"/>
      <c r="BO891" s="115"/>
      <c r="BP891" s="115"/>
      <c r="BQ891" s="115"/>
      <c r="BR891" s="115"/>
      <c r="BS891" s="115"/>
      <c r="BT891" s="115"/>
      <c r="BU891" s="115"/>
      <c r="BV891" s="115"/>
      <c r="BW891" s="13"/>
      <c r="BX891" s="13"/>
      <c r="CA891" s="114"/>
    </row>
    <row r="892" spans="1:79" ht="19.5" x14ac:dyDescent="0.4">
      <c r="A892" s="117"/>
      <c r="B892" s="123"/>
      <c r="C892" s="123"/>
      <c r="D892" s="123"/>
      <c r="AN892" s="128"/>
      <c r="AO892" s="29"/>
      <c r="AP892" s="115"/>
      <c r="AQ892" s="115"/>
      <c r="AR892" s="115"/>
      <c r="AS892" s="115"/>
      <c r="AT892" s="115"/>
      <c r="AU892" s="115"/>
      <c r="AV892" s="115"/>
      <c r="AW892" s="115"/>
      <c r="AX892" s="115"/>
      <c r="AY892" s="25"/>
      <c r="AZ892" s="105"/>
      <c r="BE892" s="117"/>
      <c r="BF892" s="123"/>
      <c r="BG892" s="123"/>
      <c r="BH892" s="123"/>
      <c r="BM892" s="115"/>
      <c r="BN892" s="115"/>
      <c r="BO892" s="115"/>
      <c r="BP892" s="115"/>
      <c r="BQ892" s="115"/>
      <c r="BR892" s="115"/>
      <c r="BS892" s="115"/>
      <c r="BT892" s="115"/>
      <c r="BU892" s="115"/>
      <c r="BV892" s="115"/>
      <c r="BW892" s="13"/>
      <c r="BX892" s="13"/>
      <c r="CA892" s="114"/>
    </row>
    <row r="893" spans="1:79" ht="19.5" x14ac:dyDescent="0.4">
      <c r="A893" s="117"/>
      <c r="B893" s="123"/>
      <c r="C893" s="123"/>
      <c r="D893" s="123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5"/>
      <c r="AK893" s="115"/>
      <c r="AL893" s="115"/>
      <c r="AM893" s="115"/>
      <c r="AN893" s="127"/>
      <c r="AO893" s="29"/>
      <c r="AP893" s="115"/>
      <c r="AQ893" s="115"/>
      <c r="AR893" s="115"/>
      <c r="AS893" s="115"/>
      <c r="AT893" s="115"/>
      <c r="AU893" s="115"/>
      <c r="AV893" s="115"/>
      <c r="AW893" s="115"/>
      <c r="AX893" s="115"/>
      <c r="AY893" s="25">
        <v>45682</v>
      </c>
      <c r="AZ893" s="15" t="s">
        <v>146</v>
      </c>
      <c r="BE893" s="117"/>
      <c r="BF893" s="123"/>
      <c r="BG893" s="123"/>
      <c r="BH893" s="123"/>
      <c r="BM893" s="115"/>
      <c r="BN893" s="115"/>
      <c r="BO893" s="115"/>
      <c r="BP893" s="115"/>
      <c r="BQ893" s="115"/>
      <c r="BR893" s="115"/>
      <c r="BS893" s="115"/>
      <c r="BT893" s="115"/>
      <c r="BU893" s="115"/>
      <c r="BV893" s="115"/>
      <c r="BW893" s="13"/>
      <c r="BX893" s="13"/>
      <c r="CA893" s="114"/>
    </row>
    <row r="894" spans="1:79" ht="19.5" x14ac:dyDescent="0.4">
      <c r="A894" s="117"/>
      <c r="B894" s="123"/>
      <c r="C894" s="123"/>
      <c r="D894" s="123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  <c r="AK894" s="115"/>
      <c r="AL894" s="115"/>
      <c r="AM894" s="115"/>
      <c r="AN894" s="127"/>
      <c r="AO894" s="29"/>
      <c r="AP894" s="115"/>
      <c r="AQ894" s="115"/>
      <c r="AR894" s="115"/>
      <c r="AS894" s="115"/>
      <c r="AT894" s="115"/>
      <c r="AU894" s="115"/>
      <c r="AV894" s="115"/>
      <c r="AW894" s="115"/>
      <c r="AX894" s="115"/>
      <c r="AY894" s="25">
        <v>45683</v>
      </c>
      <c r="AZ894" s="13" t="s">
        <v>147</v>
      </c>
      <c r="BE894" s="117"/>
      <c r="BF894" s="123"/>
      <c r="BG894" s="123"/>
      <c r="BH894" s="123"/>
      <c r="BM894" s="115"/>
      <c r="BN894" s="115"/>
      <c r="BO894" s="115"/>
      <c r="BP894" s="115"/>
      <c r="BQ894" s="115"/>
      <c r="BR894" s="115"/>
      <c r="BS894" s="115"/>
      <c r="BT894" s="115"/>
      <c r="BU894" s="115"/>
      <c r="BV894" s="115"/>
      <c r="BW894" s="13"/>
      <c r="BX894" s="13"/>
      <c r="CA894" s="114"/>
    </row>
    <row r="895" spans="1:79" ht="19.5" x14ac:dyDescent="0.4">
      <c r="A895" s="117"/>
      <c r="B895" s="123"/>
      <c r="C895" s="123"/>
      <c r="D895" s="123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  <c r="AK895" s="115"/>
      <c r="AL895" s="115"/>
      <c r="AM895" s="115"/>
      <c r="AN895" s="127"/>
      <c r="AO895" s="29"/>
      <c r="AP895" s="115"/>
      <c r="AQ895" s="115"/>
      <c r="AR895" s="115"/>
      <c r="AS895" s="115"/>
      <c r="AT895" s="115"/>
      <c r="AU895" s="115"/>
      <c r="AV895" s="115"/>
      <c r="AW895" s="115"/>
      <c r="AX895" s="115"/>
      <c r="AY895" s="25">
        <v>45683</v>
      </c>
      <c r="AZ895" s="13" t="s">
        <v>147</v>
      </c>
      <c r="BE895" s="117"/>
      <c r="BF895" s="123"/>
      <c r="BG895" s="123"/>
      <c r="BH895" s="123"/>
      <c r="BM895" s="115"/>
      <c r="BN895" s="115"/>
      <c r="BO895" s="115"/>
      <c r="BP895" s="115"/>
      <c r="BQ895" s="115"/>
      <c r="BR895" s="115"/>
      <c r="BS895" s="115"/>
      <c r="BT895" s="115"/>
      <c r="BU895" s="115"/>
      <c r="BV895" s="115"/>
      <c r="BW895" s="13"/>
      <c r="BX895" s="13"/>
      <c r="CA895" s="114"/>
    </row>
    <row r="896" spans="1:79" ht="19.5" x14ac:dyDescent="0.4">
      <c r="A896" s="117"/>
      <c r="B896" s="123"/>
      <c r="C896" s="123"/>
      <c r="D896" s="123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5"/>
      <c r="AK896" s="115"/>
      <c r="AL896" s="115"/>
      <c r="AM896" s="115"/>
      <c r="AN896" s="127"/>
      <c r="AO896" s="29"/>
      <c r="AP896" s="115"/>
      <c r="AQ896" s="115"/>
      <c r="AR896" s="115"/>
      <c r="AS896" s="115"/>
      <c r="AT896" s="115"/>
      <c r="AU896" s="115"/>
      <c r="AV896" s="115"/>
      <c r="AW896" s="115"/>
      <c r="AX896" s="115"/>
      <c r="AY896" s="25"/>
      <c r="AZ896" s="13"/>
      <c r="BE896" s="117"/>
      <c r="BF896" s="123"/>
      <c r="BG896" s="123"/>
      <c r="BH896" s="123"/>
      <c r="BM896" s="115"/>
      <c r="BN896" s="115"/>
      <c r="BO896" s="115"/>
      <c r="BP896" s="115"/>
      <c r="BQ896" s="115"/>
      <c r="BR896" s="115"/>
      <c r="BS896" s="115"/>
      <c r="BT896" s="115"/>
      <c r="BU896" s="115"/>
      <c r="BV896" s="115"/>
      <c r="BW896" s="13"/>
      <c r="BX896" s="13"/>
      <c r="CA896" s="114"/>
    </row>
    <row r="897" spans="1:79" ht="19.5" x14ac:dyDescent="0.4">
      <c r="A897" s="117"/>
      <c r="B897" s="123"/>
      <c r="C897" s="123"/>
      <c r="D897" s="123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15"/>
      <c r="AK897" s="115"/>
      <c r="AL897" s="115"/>
      <c r="AM897" s="115"/>
      <c r="AN897" s="127"/>
      <c r="AO897" s="29"/>
      <c r="AP897" s="115"/>
      <c r="AQ897" s="115"/>
      <c r="AR897" s="115"/>
      <c r="AS897" s="115"/>
      <c r="AT897" s="115"/>
      <c r="AU897" s="115"/>
      <c r="AV897" s="115"/>
      <c r="AW897" s="115"/>
      <c r="AX897" s="115"/>
      <c r="AY897" s="25">
        <v>45684</v>
      </c>
      <c r="AZ897" s="13" t="s">
        <v>146</v>
      </c>
      <c r="BE897" s="117"/>
      <c r="BF897" s="123"/>
      <c r="BG897" s="123"/>
      <c r="BH897" s="123"/>
      <c r="BM897" s="115"/>
      <c r="BN897" s="115"/>
      <c r="BO897" s="115"/>
      <c r="BP897" s="115"/>
      <c r="BQ897" s="115"/>
      <c r="BR897" s="115"/>
      <c r="BS897" s="115"/>
      <c r="BT897" s="115"/>
      <c r="BU897" s="115"/>
      <c r="BV897" s="115"/>
      <c r="BW897" s="13"/>
      <c r="BX897" s="13"/>
      <c r="CA897" s="114"/>
    </row>
    <row r="898" spans="1:79" ht="19.5" x14ac:dyDescent="0.4">
      <c r="A898" s="117"/>
      <c r="B898" s="123"/>
      <c r="C898" s="123"/>
      <c r="D898" s="123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  <c r="AK898" s="115"/>
      <c r="AL898" s="115"/>
      <c r="AM898" s="115"/>
      <c r="AN898" s="127"/>
      <c r="AO898" s="29"/>
      <c r="AP898" s="115"/>
      <c r="AQ898" s="115"/>
      <c r="AR898" s="115"/>
      <c r="AS898" s="115"/>
      <c r="AT898" s="115"/>
      <c r="AU898" s="115"/>
      <c r="AV898" s="115"/>
      <c r="AW898" s="115"/>
      <c r="AX898" s="115"/>
      <c r="AY898" s="25"/>
      <c r="AZ898" s="13"/>
      <c r="BE898" s="117"/>
      <c r="BF898" s="123"/>
      <c r="BG898" s="123"/>
      <c r="BH898" s="123"/>
      <c r="BM898" s="115"/>
      <c r="BN898" s="115"/>
      <c r="BO898" s="115"/>
      <c r="BP898" s="115"/>
      <c r="BQ898" s="115"/>
      <c r="BR898" s="115"/>
      <c r="BS898" s="115"/>
      <c r="BT898" s="115"/>
      <c r="BU898" s="115"/>
      <c r="BV898" s="115"/>
      <c r="BW898" s="13"/>
      <c r="BX898" s="13"/>
      <c r="CA898" s="114"/>
    </row>
    <row r="899" spans="1:79" ht="19.5" x14ac:dyDescent="0.4">
      <c r="A899" s="117"/>
      <c r="B899" s="123"/>
      <c r="C899" s="123"/>
      <c r="D899" s="123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  <c r="AK899" s="115"/>
      <c r="AL899" s="115"/>
      <c r="AM899" s="115"/>
      <c r="AN899" s="128"/>
      <c r="AO899" s="29"/>
      <c r="AP899" s="115"/>
      <c r="AQ899" s="115"/>
      <c r="AR899" s="115"/>
      <c r="AS899" s="115"/>
      <c r="AT899" s="115"/>
      <c r="AU899" s="115"/>
      <c r="AV899" s="115"/>
      <c r="AW899" s="115"/>
      <c r="AX899" s="115"/>
      <c r="AY899" s="25"/>
      <c r="AZ899" s="13"/>
      <c r="BE899" s="117"/>
      <c r="BF899" s="123"/>
      <c r="BG899" s="123"/>
      <c r="BH899" s="123"/>
      <c r="BM899" s="115"/>
      <c r="BN899" s="115"/>
      <c r="BO899" s="115"/>
      <c r="BP899" s="115"/>
      <c r="BQ899" s="115"/>
      <c r="BR899" s="115"/>
      <c r="BS899" s="115"/>
      <c r="BT899" s="115"/>
      <c r="BU899" s="115"/>
      <c r="BV899" s="115"/>
      <c r="BW899" s="13"/>
      <c r="BX899" s="13"/>
      <c r="CA899" s="114"/>
    </row>
    <row r="900" spans="1:79" ht="19.5" x14ac:dyDescent="0.4">
      <c r="A900" s="117"/>
      <c r="B900" s="123"/>
      <c r="C900" s="123"/>
      <c r="D900" s="123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  <c r="AK900" s="115"/>
      <c r="AL900" s="115"/>
      <c r="AM900" s="115"/>
      <c r="AN900" s="127"/>
      <c r="AO900" s="29"/>
      <c r="AP900" s="115"/>
      <c r="AQ900" s="115"/>
      <c r="AR900" s="115"/>
      <c r="AS900" s="115"/>
      <c r="AT900" s="115"/>
      <c r="AU900" s="115"/>
      <c r="AV900" s="115"/>
      <c r="AW900" s="115"/>
      <c r="AX900" s="115"/>
      <c r="AY900" s="25">
        <v>45684</v>
      </c>
      <c r="AZ900" s="13" t="s">
        <v>148</v>
      </c>
      <c r="BE900" s="117"/>
      <c r="BF900" s="123"/>
      <c r="BG900" s="123"/>
      <c r="BH900" s="123"/>
      <c r="BM900" s="115"/>
      <c r="BN900" s="115"/>
      <c r="BO900" s="115"/>
      <c r="BP900" s="115"/>
      <c r="BQ900" s="115"/>
      <c r="BR900" s="115"/>
      <c r="BS900" s="115"/>
      <c r="BT900" s="115"/>
      <c r="BU900" s="115"/>
      <c r="BV900" s="115"/>
      <c r="BW900" s="13"/>
      <c r="BX900" s="13"/>
      <c r="CA900" s="114"/>
    </row>
    <row r="901" spans="1:79" ht="19.5" x14ac:dyDescent="0.4">
      <c r="A901" s="117"/>
      <c r="B901" s="123"/>
      <c r="C901" s="123"/>
      <c r="D901" s="123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15"/>
      <c r="AK901" s="115"/>
      <c r="AL901" s="115"/>
      <c r="AM901" s="115"/>
      <c r="AN901" s="127"/>
      <c r="AO901" s="29"/>
      <c r="AP901" s="115"/>
      <c r="AQ901" s="115"/>
      <c r="AR901" s="115"/>
      <c r="AS901" s="115"/>
      <c r="AT901" s="115"/>
      <c r="AU901" s="115"/>
      <c r="AV901" s="115"/>
      <c r="AW901" s="115"/>
      <c r="AX901" s="115"/>
      <c r="AY901" s="25"/>
      <c r="AZ901" s="13"/>
      <c r="BE901" s="117"/>
      <c r="BF901" s="123"/>
      <c r="BG901" s="123"/>
      <c r="BH901" s="123"/>
      <c r="BM901" s="115"/>
      <c r="BN901" s="115"/>
      <c r="BO901" s="115"/>
      <c r="BP901" s="115"/>
      <c r="BQ901" s="115"/>
      <c r="BR901" s="115"/>
      <c r="BS901" s="115"/>
      <c r="BT901" s="115"/>
      <c r="BU901" s="115"/>
      <c r="BV901" s="115"/>
      <c r="BW901" s="13"/>
      <c r="BX901" s="13"/>
      <c r="CA901" s="114"/>
    </row>
    <row r="902" spans="1:79" ht="19.5" x14ac:dyDescent="0.4">
      <c r="A902" s="117"/>
      <c r="B902" s="123"/>
      <c r="C902" s="123"/>
      <c r="D902" s="123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5"/>
      <c r="AJ902" s="115"/>
      <c r="AK902" s="115"/>
      <c r="AL902" s="115"/>
      <c r="AM902" s="115"/>
      <c r="AN902" s="127"/>
      <c r="AO902" s="29"/>
      <c r="AP902" s="115"/>
      <c r="AQ902" s="115"/>
      <c r="AR902" s="115"/>
      <c r="AS902" s="115"/>
      <c r="AT902" s="115"/>
      <c r="AU902" s="115"/>
      <c r="AV902" s="115"/>
      <c r="AW902" s="115"/>
      <c r="AX902" s="115"/>
      <c r="AY902" s="25"/>
      <c r="AZ902" s="13"/>
      <c r="BE902" s="117"/>
      <c r="BF902" s="123"/>
      <c r="BG902" s="123"/>
      <c r="BH902" s="123"/>
      <c r="BM902" s="115"/>
      <c r="BN902" s="115"/>
      <c r="BO902" s="115"/>
      <c r="BP902" s="115"/>
      <c r="BQ902" s="115"/>
      <c r="BR902" s="115"/>
      <c r="BS902" s="115"/>
      <c r="BT902" s="115"/>
      <c r="BU902" s="115"/>
      <c r="BV902" s="115"/>
      <c r="BW902" s="13"/>
      <c r="BX902" s="13"/>
      <c r="CA902" s="114"/>
    </row>
    <row r="903" spans="1:79" ht="19.5" x14ac:dyDescent="0.4">
      <c r="A903" s="117"/>
      <c r="B903" s="123"/>
      <c r="C903" s="123"/>
      <c r="D903" s="123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  <c r="AK903" s="115"/>
      <c r="AL903" s="115"/>
      <c r="AM903" s="115"/>
      <c r="AN903" s="128"/>
      <c r="AO903" s="29"/>
      <c r="AP903" s="115"/>
      <c r="AQ903" s="115"/>
      <c r="AR903" s="115"/>
      <c r="AS903" s="115"/>
      <c r="AT903" s="115"/>
      <c r="AU903" s="115"/>
      <c r="AV903" s="115"/>
      <c r="AW903" s="115"/>
      <c r="AX903" s="115"/>
      <c r="AY903" s="25"/>
      <c r="AZ903" s="13"/>
      <c r="BE903" s="117"/>
      <c r="BF903" s="123"/>
      <c r="BG903" s="123"/>
      <c r="BH903" s="123"/>
      <c r="BM903" s="115"/>
      <c r="BN903" s="115"/>
      <c r="BO903" s="115"/>
      <c r="BP903" s="115"/>
      <c r="BQ903" s="115"/>
      <c r="BR903" s="115"/>
      <c r="BS903" s="115"/>
      <c r="BT903" s="115"/>
      <c r="BU903" s="115"/>
      <c r="BV903" s="115"/>
      <c r="BW903" s="13"/>
      <c r="BX903" s="13"/>
      <c r="CA903" s="114"/>
    </row>
    <row r="904" spans="1:79" ht="19.5" x14ac:dyDescent="0.4">
      <c r="A904" s="117"/>
      <c r="B904" s="123"/>
      <c r="C904" s="123"/>
      <c r="D904" s="123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  <c r="AK904" s="115"/>
      <c r="AL904" s="115"/>
      <c r="AM904" s="115"/>
      <c r="AN904" s="127"/>
      <c r="AO904" s="127"/>
      <c r="AP904" s="115"/>
      <c r="AQ904" s="115"/>
      <c r="AR904" s="115"/>
      <c r="AS904" s="115"/>
      <c r="AT904" s="115"/>
      <c r="AU904" s="115"/>
      <c r="AV904" s="115"/>
      <c r="AW904" s="115"/>
      <c r="AX904" s="115"/>
      <c r="AY904" s="25"/>
      <c r="AZ904" s="13"/>
      <c r="BE904" s="117"/>
      <c r="BF904" s="123"/>
      <c r="BG904" s="123"/>
      <c r="BH904" s="123"/>
      <c r="BM904" s="115"/>
      <c r="BN904" s="115"/>
      <c r="BO904" s="115"/>
      <c r="BP904" s="115"/>
      <c r="BQ904" s="115"/>
      <c r="BR904" s="115"/>
      <c r="BS904" s="115"/>
      <c r="BT904" s="115"/>
      <c r="BU904" s="115"/>
      <c r="BV904" s="115"/>
      <c r="BW904" s="13"/>
      <c r="BX904" s="13"/>
      <c r="CA904" s="114"/>
    </row>
    <row r="905" spans="1:79" ht="19.5" x14ac:dyDescent="0.4">
      <c r="A905" s="117"/>
      <c r="B905" s="123"/>
      <c r="C905" s="123"/>
      <c r="D905" s="123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  <c r="AK905" s="115"/>
      <c r="AL905" s="115"/>
      <c r="AM905" s="115"/>
      <c r="AN905" s="127"/>
      <c r="AO905" s="29"/>
      <c r="AP905" s="115"/>
      <c r="AQ905" s="115"/>
      <c r="AR905" s="115"/>
      <c r="AS905" s="115"/>
      <c r="AT905" s="115"/>
      <c r="AU905" s="115"/>
      <c r="AV905" s="115"/>
      <c r="AW905" s="115"/>
      <c r="AX905" s="115"/>
      <c r="AY905" s="25"/>
      <c r="AZ905" s="13"/>
      <c r="BE905" s="117"/>
      <c r="BF905" s="123"/>
      <c r="BG905" s="123"/>
      <c r="BH905" s="123"/>
      <c r="BM905" s="115"/>
      <c r="BN905" s="115"/>
      <c r="BO905" s="115"/>
      <c r="BP905" s="115"/>
      <c r="BQ905" s="115"/>
      <c r="BR905" s="115"/>
      <c r="BS905" s="115"/>
      <c r="BT905" s="115"/>
      <c r="BU905" s="115"/>
      <c r="BV905" s="115"/>
      <c r="BW905" s="13"/>
      <c r="BX905" s="13"/>
      <c r="CA905" s="114"/>
    </row>
    <row r="906" spans="1:79" ht="19.5" x14ac:dyDescent="0.4">
      <c r="A906" s="117"/>
      <c r="B906" s="123"/>
      <c r="C906" s="123"/>
      <c r="D906" s="123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  <c r="AK906" s="115"/>
      <c r="AL906" s="115"/>
      <c r="AM906" s="115"/>
      <c r="AN906" s="127"/>
      <c r="AO906" s="29"/>
      <c r="AP906" s="115"/>
      <c r="AQ906" s="115"/>
      <c r="AR906" s="115"/>
      <c r="AS906" s="115"/>
      <c r="AT906" s="115"/>
      <c r="AU906" s="115"/>
      <c r="AV906" s="115"/>
      <c r="AW906" s="115"/>
      <c r="AX906" s="115"/>
      <c r="AY906" s="25"/>
      <c r="AZ906" s="13"/>
      <c r="BE906" s="117"/>
      <c r="BF906" s="123"/>
      <c r="BG906" s="123"/>
      <c r="BH906" s="123"/>
      <c r="BM906" s="115"/>
      <c r="BN906" s="115"/>
      <c r="BO906" s="115"/>
      <c r="BP906" s="115"/>
      <c r="BQ906" s="115"/>
      <c r="BR906" s="115"/>
      <c r="BS906" s="115"/>
      <c r="BT906" s="115"/>
      <c r="BU906" s="115"/>
      <c r="BV906" s="115"/>
      <c r="BW906" s="13"/>
      <c r="BX906" s="13"/>
      <c r="CA906" s="114"/>
    </row>
    <row r="907" spans="1:79" ht="19.5" x14ac:dyDescent="0.4">
      <c r="A907" s="117"/>
      <c r="B907" s="123"/>
      <c r="C907" s="123"/>
      <c r="D907" s="123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  <c r="AK907" s="115"/>
      <c r="AL907" s="115"/>
      <c r="AM907" s="115"/>
      <c r="AN907" s="128"/>
      <c r="AO907" s="29"/>
      <c r="AP907" s="115"/>
      <c r="AQ907" s="115"/>
      <c r="AR907" s="115"/>
      <c r="AS907" s="115"/>
      <c r="AT907" s="115"/>
      <c r="AU907" s="115"/>
      <c r="AV907" s="115"/>
      <c r="AW907" s="115"/>
      <c r="AX907" s="115"/>
      <c r="AY907" s="25"/>
      <c r="AZ907" s="13"/>
      <c r="BE907" s="117"/>
      <c r="BF907" s="123"/>
      <c r="BG907" s="123"/>
      <c r="BH907" s="123"/>
      <c r="BM907" s="115"/>
      <c r="BN907" s="115"/>
      <c r="BO907" s="115"/>
      <c r="BP907" s="115"/>
      <c r="BQ907" s="115"/>
      <c r="BR907" s="115"/>
      <c r="BS907" s="115"/>
      <c r="BT907" s="115"/>
      <c r="BU907" s="115"/>
      <c r="BV907" s="115"/>
      <c r="BW907" s="13"/>
      <c r="BX907" s="13"/>
      <c r="CA907" s="114"/>
    </row>
    <row r="908" spans="1:79" ht="19.5" x14ac:dyDescent="0.4">
      <c r="A908" s="117"/>
      <c r="B908" s="123"/>
      <c r="C908" s="123"/>
      <c r="D908" s="123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  <c r="AJ908" s="115"/>
      <c r="AK908" s="115"/>
      <c r="AL908" s="115"/>
      <c r="AM908" s="115"/>
      <c r="AN908" s="127"/>
      <c r="AO908" s="134"/>
      <c r="AP908" s="115"/>
      <c r="AQ908" s="115"/>
      <c r="AR908" s="115"/>
      <c r="AS908" s="115"/>
      <c r="AT908" s="115"/>
      <c r="AU908" s="115"/>
      <c r="AV908" s="115"/>
      <c r="AW908" s="115"/>
      <c r="AX908" s="115"/>
      <c r="AY908" s="25"/>
      <c r="AZ908" s="13"/>
      <c r="BE908" s="117"/>
      <c r="BF908" s="123"/>
      <c r="BG908" s="123"/>
      <c r="BH908" s="123"/>
      <c r="BM908" s="115"/>
      <c r="BN908" s="115"/>
      <c r="BO908" s="115"/>
      <c r="BP908" s="115"/>
      <c r="BQ908" s="115"/>
      <c r="BR908" s="115"/>
      <c r="BS908" s="115"/>
      <c r="BT908" s="115"/>
      <c r="BU908" s="115"/>
      <c r="BV908" s="115"/>
      <c r="BW908" s="13"/>
      <c r="BX908" s="13"/>
      <c r="CA908" s="114"/>
    </row>
    <row r="909" spans="1:79" ht="19.5" x14ac:dyDescent="0.4">
      <c r="A909" s="117"/>
      <c r="B909" s="123"/>
      <c r="C909" s="123"/>
      <c r="D909" s="123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15"/>
      <c r="AK909" s="115"/>
      <c r="AL909" s="115"/>
      <c r="AM909" s="115"/>
      <c r="AN909" s="127"/>
      <c r="AO909" s="29"/>
      <c r="AP909" s="115"/>
      <c r="AQ909" s="115"/>
      <c r="AR909" s="115"/>
      <c r="AS909" s="115"/>
      <c r="AT909" s="115"/>
      <c r="AU909" s="115"/>
      <c r="AV909" s="115"/>
      <c r="AW909" s="115"/>
      <c r="AX909" s="115"/>
      <c r="AY909" s="25">
        <v>45684</v>
      </c>
      <c r="AZ909" s="13" t="s">
        <v>147</v>
      </c>
      <c r="BE909" s="117"/>
      <c r="BF909" s="123"/>
      <c r="BG909" s="123"/>
      <c r="BH909" s="123"/>
      <c r="BM909" s="115"/>
      <c r="BN909" s="115"/>
      <c r="BO909" s="115"/>
      <c r="BP909" s="115"/>
      <c r="BQ909" s="115"/>
      <c r="BR909" s="115"/>
      <c r="BS909" s="115"/>
      <c r="BT909" s="115"/>
      <c r="BU909" s="115"/>
      <c r="BV909" s="115"/>
      <c r="BW909" s="13"/>
      <c r="BX909" s="13"/>
      <c r="CA909" s="114"/>
    </row>
    <row r="910" spans="1:79" ht="19.5" x14ac:dyDescent="0.4">
      <c r="A910" s="117"/>
      <c r="B910" s="123"/>
      <c r="C910" s="123"/>
      <c r="D910" s="123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115"/>
      <c r="AK910" s="115"/>
      <c r="AL910" s="115"/>
      <c r="AM910" s="115"/>
      <c r="AN910" s="128"/>
      <c r="AO910" s="29"/>
      <c r="AP910" s="115"/>
      <c r="AQ910" s="115"/>
      <c r="AR910" s="115"/>
      <c r="AS910" s="115"/>
      <c r="AT910" s="115"/>
      <c r="AU910" s="115"/>
      <c r="AV910" s="115"/>
      <c r="AW910" s="115"/>
      <c r="AX910" s="115"/>
      <c r="AY910" s="25"/>
      <c r="AZ910" s="13"/>
      <c r="BE910" s="117"/>
      <c r="BF910" s="123"/>
      <c r="BG910" s="123"/>
      <c r="BH910" s="123"/>
      <c r="BM910" s="115"/>
      <c r="BN910" s="115"/>
      <c r="BO910" s="115"/>
      <c r="BP910" s="115"/>
      <c r="BQ910" s="115"/>
      <c r="BR910" s="115"/>
      <c r="BS910" s="115"/>
      <c r="BT910" s="115"/>
      <c r="BU910" s="115"/>
      <c r="BV910" s="115"/>
      <c r="BW910" s="13"/>
      <c r="BX910" s="13"/>
      <c r="CA910" s="114"/>
    </row>
    <row r="911" spans="1:79" ht="19.5" x14ac:dyDescent="0.4">
      <c r="A911" s="117"/>
      <c r="B911" s="123"/>
      <c r="C911" s="123"/>
      <c r="D911" s="123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115"/>
      <c r="AK911" s="115"/>
      <c r="AL911" s="115"/>
      <c r="AM911" s="115"/>
      <c r="AN911" s="127"/>
      <c r="AO911" s="29"/>
      <c r="AP911" s="115"/>
      <c r="AQ911" s="115"/>
      <c r="AR911" s="115"/>
      <c r="AS911" s="115"/>
      <c r="AT911" s="115"/>
      <c r="AU911" s="115"/>
      <c r="AV911" s="115"/>
      <c r="AW911" s="115"/>
      <c r="AX911" s="115"/>
      <c r="AY911" s="25"/>
      <c r="AZ911" s="13"/>
      <c r="BE911" s="117"/>
      <c r="BF911" s="123"/>
      <c r="BG911" s="123"/>
      <c r="BH911" s="123"/>
      <c r="BM911" s="115"/>
      <c r="BN911" s="115"/>
      <c r="BO911" s="115"/>
      <c r="BP911" s="115"/>
      <c r="BQ911" s="115"/>
      <c r="BR911" s="115"/>
      <c r="BS911" s="115"/>
      <c r="BT911" s="115"/>
      <c r="BU911" s="115"/>
      <c r="BV911" s="115"/>
      <c r="BW911" s="13"/>
      <c r="BX911" s="13"/>
      <c r="CA911" s="114"/>
    </row>
    <row r="912" spans="1:79" ht="19.5" x14ac:dyDescent="0.4">
      <c r="A912" s="117"/>
      <c r="B912" s="123"/>
      <c r="C912" s="123"/>
      <c r="D912" s="123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  <c r="AK912" s="115"/>
      <c r="AL912" s="115"/>
      <c r="AM912" s="115"/>
      <c r="AN912" s="127"/>
      <c r="AO912" s="29"/>
      <c r="AP912" s="115"/>
      <c r="AQ912" s="115"/>
      <c r="AR912" s="115"/>
      <c r="AS912" s="115"/>
      <c r="AT912" s="115"/>
      <c r="AU912" s="115"/>
      <c r="AV912" s="115"/>
      <c r="AW912" s="115"/>
      <c r="AX912" s="115"/>
      <c r="AY912" s="25">
        <v>45684</v>
      </c>
      <c r="AZ912" s="13" t="s">
        <v>146</v>
      </c>
      <c r="BE912" s="117"/>
      <c r="BF912" s="123"/>
      <c r="BG912" s="123"/>
      <c r="BH912" s="123"/>
      <c r="BM912" s="115"/>
      <c r="BN912" s="115"/>
      <c r="BO912" s="115"/>
      <c r="BP912" s="115"/>
      <c r="BQ912" s="115"/>
      <c r="BR912" s="115"/>
      <c r="BS912" s="115"/>
      <c r="BT912" s="115"/>
      <c r="BU912" s="115"/>
      <c r="BV912" s="115"/>
      <c r="BW912" s="13"/>
      <c r="BX912" s="13"/>
      <c r="CA912" s="114"/>
    </row>
    <row r="913" spans="1:79" ht="19.5" x14ac:dyDescent="0.4">
      <c r="A913" s="117"/>
      <c r="B913" s="123"/>
      <c r="C913" s="123"/>
      <c r="D913" s="123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115"/>
      <c r="AK913" s="115"/>
      <c r="AL913" s="115"/>
      <c r="AM913" s="115"/>
      <c r="AN913" s="128"/>
      <c r="AO913" s="29"/>
      <c r="AP913" s="115"/>
      <c r="AQ913" s="115"/>
      <c r="AR913" s="115"/>
      <c r="AS913" s="115"/>
      <c r="AT913" s="115"/>
      <c r="AU913" s="115"/>
      <c r="AV913" s="115"/>
      <c r="AW913" s="115"/>
      <c r="AX913" s="115"/>
      <c r="AY913" s="25"/>
      <c r="AZ913" s="13"/>
      <c r="BE913" s="117"/>
      <c r="BF913" s="123"/>
      <c r="BG913" s="123"/>
      <c r="BH913" s="123"/>
      <c r="BM913" s="115"/>
      <c r="BN913" s="115"/>
      <c r="BO913" s="115"/>
      <c r="BP913" s="115"/>
      <c r="BQ913" s="115"/>
      <c r="BR913" s="115"/>
      <c r="BS913" s="115"/>
      <c r="BT913" s="115"/>
      <c r="BU913" s="115"/>
      <c r="BV913" s="115"/>
      <c r="BW913" s="13"/>
      <c r="BX913" s="13"/>
      <c r="CA913" s="114"/>
    </row>
    <row r="914" spans="1:79" ht="19.5" x14ac:dyDescent="0.4">
      <c r="A914" s="117"/>
      <c r="B914" s="123"/>
      <c r="C914" s="123"/>
      <c r="D914" s="123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15"/>
      <c r="AK914" s="115"/>
      <c r="AL914" s="115"/>
      <c r="AM914" s="115"/>
      <c r="AN914" s="127"/>
      <c r="AO914" s="29"/>
      <c r="AP914" s="115"/>
      <c r="AQ914" s="115"/>
      <c r="AR914" s="115"/>
      <c r="AS914" s="115"/>
      <c r="AT914" s="115"/>
      <c r="AU914" s="115"/>
      <c r="AV914" s="115"/>
      <c r="AW914" s="115"/>
      <c r="AX914" s="115"/>
      <c r="AY914" s="25"/>
      <c r="AZ914" s="13"/>
      <c r="BE914" s="117"/>
      <c r="BF914" s="123"/>
      <c r="BG914" s="123"/>
      <c r="BH914" s="123"/>
      <c r="BM914" s="115"/>
      <c r="BN914" s="115"/>
      <c r="BO914" s="115"/>
      <c r="BP914" s="115"/>
      <c r="BQ914" s="115"/>
      <c r="BR914" s="115"/>
      <c r="BS914" s="115"/>
      <c r="BT914" s="115"/>
      <c r="BU914" s="115"/>
      <c r="BV914" s="115"/>
      <c r="BW914" s="13"/>
      <c r="BX914" s="13"/>
      <c r="CA914" s="114"/>
    </row>
    <row r="915" spans="1:79" ht="19.5" x14ac:dyDescent="0.4">
      <c r="A915" s="117"/>
      <c r="B915" s="123"/>
      <c r="C915" s="123"/>
      <c r="D915" s="123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5"/>
      <c r="AK915" s="115"/>
      <c r="AL915" s="115"/>
      <c r="AM915" s="115"/>
      <c r="AN915" s="128"/>
      <c r="AO915" s="29"/>
      <c r="AP915" s="115"/>
      <c r="AQ915" s="115"/>
      <c r="AR915" s="115"/>
      <c r="AS915" s="115"/>
      <c r="AT915" s="115"/>
      <c r="AU915" s="115"/>
      <c r="AV915" s="115"/>
      <c r="AW915" s="115"/>
      <c r="AX915" s="115"/>
      <c r="AY915" s="25"/>
      <c r="AZ915" s="13"/>
      <c r="BE915" s="117"/>
      <c r="BF915" s="123"/>
      <c r="BG915" s="123"/>
      <c r="BH915" s="123"/>
      <c r="BM915" s="115"/>
      <c r="BN915" s="115"/>
      <c r="BO915" s="115"/>
      <c r="BP915" s="115"/>
      <c r="BQ915" s="115"/>
      <c r="BR915" s="115"/>
      <c r="BS915" s="115"/>
      <c r="BT915" s="115"/>
      <c r="BU915" s="115"/>
      <c r="BV915" s="115"/>
      <c r="BW915" s="13"/>
      <c r="BX915" s="13"/>
      <c r="CA915" s="114"/>
    </row>
    <row r="916" spans="1:79" ht="19.5" x14ac:dyDescent="0.4">
      <c r="A916" s="117"/>
      <c r="B916" s="123"/>
      <c r="C916" s="123"/>
      <c r="D916" s="123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  <c r="AK916" s="115"/>
      <c r="AL916" s="115"/>
      <c r="AM916" s="115"/>
      <c r="AN916" s="127"/>
      <c r="AO916" s="29"/>
      <c r="AP916" s="115"/>
      <c r="AQ916" s="115"/>
      <c r="AR916" s="115"/>
      <c r="AS916" s="115"/>
      <c r="AT916" s="115"/>
      <c r="AU916" s="115"/>
      <c r="AV916" s="115"/>
      <c r="AW916" s="115"/>
      <c r="AX916" s="115"/>
      <c r="AY916" s="25"/>
      <c r="AZ916" s="13"/>
      <c r="BE916" s="117"/>
      <c r="BF916" s="123"/>
      <c r="BG916" s="123"/>
      <c r="BH916" s="123"/>
      <c r="BM916" s="115"/>
      <c r="BN916" s="115"/>
      <c r="BO916" s="115"/>
      <c r="BP916" s="115"/>
      <c r="BQ916" s="115"/>
      <c r="BR916" s="115"/>
      <c r="BS916" s="115"/>
      <c r="BT916" s="115"/>
      <c r="BU916" s="115"/>
      <c r="BV916" s="115"/>
      <c r="BW916" s="13"/>
      <c r="BX916" s="13"/>
      <c r="CA916" s="114"/>
    </row>
    <row r="917" spans="1:79" ht="19.5" x14ac:dyDescent="0.4">
      <c r="A917" s="117"/>
      <c r="B917" s="123"/>
      <c r="C917" s="123"/>
      <c r="D917" s="123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  <c r="AK917" s="115"/>
      <c r="AL917" s="115"/>
      <c r="AM917" s="115"/>
      <c r="AN917" s="128"/>
      <c r="AO917" s="29"/>
      <c r="AP917" s="115"/>
      <c r="AQ917" s="115"/>
      <c r="AR917" s="115"/>
      <c r="AS917" s="115"/>
      <c r="AT917" s="115"/>
      <c r="AU917" s="115"/>
      <c r="AV917" s="115"/>
      <c r="AW917" s="115"/>
      <c r="AX917" s="115"/>
      <c r="AY917" s="25"/>
      <c r="AZ917" s="13"/>
      <c r="BE917" s="117"/>
      <c r="BF917" s="123"/>
      <c r="BG917" s="123"/>
      <c r="BH917" s="123"/>
      <c r="BM917" s="115"/>
      <c r="BN917" s="115"/>
      <c r="BO917" s="115"/>
      <c r="BP917" s="115"/>
      <c r="BQ917" s="115"/>
      <c r="BR917" s="115"/>
      <c r="BS917" s="115"/>
      <c r="BT917" s="115"/>
      <c r="BU917" s="115"/>
      <c r="BV917" s="115"/>
      <c r="BW917" s="13"/>
      <c r="BX917" s="13"/>
      <c r="CA917" s="114"/>
    </row>
    <row r="918" spans="1:79" ht="19.5" x14ac:dyDescent="0.4">
      <c r="A918" s="117"/>
      <c r="B918" s="123"/>
      <c r="C918" s="123"/>
      <c r="D918" s="123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  <c r="AK918" s="115"/>
      <c r="AL918" s="115"/>
      <c r="AM918" s="115"/>
      <c r="AN918" s="128"/>
      <c r="AO918" s="29"/>
      <c r="AP918" s="115"/>
      <c r="AQ918" s="115"/>
      <c r="AR918" s="115"/>
      <c r="AS918" s="115"/>
      <c r="AT918" s="115"/>
      <c r="AU918" s="115"/>
      <c r="AV918" s="115"/>
      <c r="AW918" s="115"/>
      <c r="AX918" s="115"/>
      <c r="AY918" s="25"/>
      <c r="AZ918" s="13"/>
      <c r="BE918" s="117"/>
      <c r="BF918" s="123"/>
      <c r="BG918" s="123"/>
      <c r="BH918" s="123"/>
      <c r="BM918" s="115"/>
      <c r="BN918" s="115"/>
      <c r="BO918" s="115"/>
      <c r="BP918" s="115"/>
      <c r="BQ918" s="115"/>
      <c r="BR918" s="115"/>
      <c r="BS918" s="115"/>
      <c r="BT918" s="115"/>
      <c r="BU918" s="115"/>
      <c r="BV918" s="115"/>
      <c r="BW918" s="13"/>
      <c r="BX918" s="13"/>
      <c r="CA918" s="114"/>
    </row>
    <row r="919" spans="1:79" ht="19.5" x14ac:dyDescent="0.4">
      <c r="A919" s="117"/>
      <c r="B919" s="123"/>
      <c r="C919" s="123"/>
      <c r="D919" s="123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  <c r="AK919" s="115"/>
      <c r="AL919" s="115"/>
      <c r="AM919" s="115"/>
      <c r="AN919" s="127"/>
      <c r="AO919" s="29"/>
      <c r="AP919" s="115"/>
      <c r="AQ919" s="115"/>
      <c r="AR919" s="115"/>
      <c r="AS919" s="115"/>
      <c r="AT919" s="115"/>
      <c r="AU919" s="115"/>
      <c r="AV919" s="115"/>
      <c r="AW919" s="115"/>
      <c r="AX919" s="115"/>
      <c r="AY919" s="25">
        <v>45684</v>
      </c>
      <c r="AZ919" s="13" t="s">
        <v>147</v>
      </c>
      <c r="BE919" s="117"/>
      <c r="BF919" s="123"/>
      <c r="BG919" s="123"/>
      <c r="BH919" s="123"/>
      <c r="BM919" s="115"/>
      <c r="BN919" s="115"/>
      <c r="BO919" s="115"/>
      <c r="BP919" s="115"/>
      <c r="BQ919" s="115"/>
      <c r="BR919" s="115"/>
      <c r="BS919" s="115"/>
      <c r="BT919" s="115"/>
      <c r="BU919" s="115"/>
      <c r="BV919" s="115"/>
      <c r="BW919" s="13"/>
      <c r="BX919" s="13"/>
      <c r="CA919" s="114"/>
    </row>
    <row r="920" spans="1:79" ht="19.5" x14ac:dyDescent="0.4">
      <c r="A920" s="117"/>
      <c r="B920" s="123"/>
      <c r="C920" s="123"/>
      <c r="D920" s="123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15"/>
      <c r="AK920" s="115"/>
      <c r="AL920" s="115"/>
      <c r="AM920" s="115"/>
      <c r="AN920" s="127"/>
      <c r="AO920" s="29"/>
      <c r="AP920" s="115"/>
      <c r="AQ920" s="115"/>
      <c r="AR920" s="115"/>
      <c r="AS920" s="115"/>
      <c r="AT920" s="115"/>
      <c r="AU920" s="115"/>
      <c r="AV920" s="115"/>
      <c r="AW920" s="115"/>
      <c r="AX920" s="115"/>
      <c r="AY920" s="25">
        <v>45684</v>
      </c>
      <c r="AZ920" s="13" t="s">
        <v>146</v>
      </c>
      <c r="BE920" s="117"/>
      <c r="BF920" s="123"/>
      <c r="BG920" s="123"/>
      <c r="BH920" s="123"/>
      <c r="BM920" s="115"/>
      <c r="BN920" s="115"/>
      <c r="BO920" s="115"/>
      <c r="BP920" s="115"/>
      <c r="BQ920" s="115"/>
      <c r="BR920" s="115"/>
      <c r="BS920" s="115"/>
      <c r="BT920" s="115"/>
      <c r="BU920" s="115"/>
      <c r="BV920" s="115"/>
      <c r="BW920" s="13"/>
      <c r="BX920" s="13"/>
      <c r="CA920" s="114"/>
    </row>
    <row r="921" spans="1:79" ht="19.5" x14ac:dyDescent="0.4">
      <c r="A921" s="117"/>
      <c r="B921" s="123"/>
      <c r="C921" s="123"/>
      <c r="D921" s="123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  <c r="AK921" s="115"/>
      <c r="AL921" s="115"/>
      <c r="AM921" s="115"/>
      <c r="AN921" s="127"/>
      <c r="AO921" s="29"/>
      <c r="AP921" s="115"/>
      <c r="AQ921" s="115"/>
      <c r="AR921" s="115"/>
      <c r="AS921" s="115"/>
      <c r="AT921" s="115"/>
      <c r="AU921" s="115"/>
      <c r="AV921" s="115"/>
      <c r="AW921" s="115"/>
      <c r="AX921" s="115"/>
      <c r="AY921" s="25">
        <v>45684</v>
      </c>
      <c r="AZ921" s="13" t="s">
        <v>146</v>
      </c>
      <c r="BE921" s="117"/>
      <c r="BF921" s="123"/>
      <c r="BG921" s="123"/>
      <c r="BH921" s="123"/>
      <c r="BM921" s="115"/>
      <c r="BN921" s="115"/>
      <c r="BO921" s="115"/>
      <c r="BP921" s="115"/>
      <c r="BQ921" s="115"/>
      <c r="BR921" s="115"/>
      <c r="BS921" s="115"/>
      <c r="BT921" s="115"/>
      <c r="BU921" s="115"/>
      <c r="BV921" s="115"/>
      <c r="BW921" s="13"/>
      <c r="BX921" s="13"/>
      <c r="CA921" s="114"/>
    </row>
    <row r="922" spans="1:79" ht="19.5" x14ac:dyDescent="0.4">
      <c r="A922" s="117"/>
      <c r="B922" s="123"/>
      <c r="C922" s="123"/>
      <c r="D922" s="123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  <c r="AK922" s="115"/>
      <c r="AL922" s="115"/>
      <c r="AM922" s="115"/>
      <c r="AN922" s="29"/>
      <c r="AO922" s="29"/>
      <c r="AP922" s="115"/>
      <c r="AQ922" s="115"/>
      <c r="AR922" s="115"/>
      <c r="AS922" s="115"/>
      <c r="AT922" s="115"/>
      <c r="AU922" s="115"/>
      <c r="AV922" s="115"/>
      <c r="AW922" s="115"/>
      <c r="AX922" s="115"/>
      <c r="AY922" s="25"/>
      <c r="AZ922" s="13"/>
      <c r="BE922" s="117"/>
      <c r="BF922" s="123"/>
      <c r="BG922" s="123"/>
      <c r="BH922" s="123"/>
      <c r="BM922" s="115"/>
      <c r="BN922" s="115"/>
      <c r="BO922" s="115"/>
      <c r="BP922" s="115"/>
      <c r="BQ922" s="115"/>
      <c r="BR922" s="115"/>
      <c r="BS922" s="115"/>
      <c r="BT922" s="115"/>
      <c r="BU922" s="115"/>
      <c r="BV922" s="115"/>
      <c r="BW922" s="13"/>
      <c r="BX922" s="13"/>
      <c r="CA922" s="114"/>
    </row>
    <row r="923" spans="1:79" ht="19.5" x14ac:dyDescent="0.4">
      <c r="A923" s="117"/>
      <c r="B923" s="123"/>
      <c r="C923" s="123"/>
      <c r="D923" s="123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  <c r="AK923" s="115"/>
      <c r="AL923" s="115"/>
      <c r="AM923" s="115"/>
      <c r="AN923" s="29"/>
      <c r="AO923" s="29"/>
      <c r="AP923" s="115"/>
      <c r="AQ923" s="115"/>
      <c r="AR923" s="115"/>
      <c r="AS923" s="115"/>
      <c r="AT923" s="115"/>
      <c r="AU923" s="115"/>
      <c r="AV923" s="115"/>
      <c r="AW923" s="115"/>
      <c r="AX923" s="115"/>
      <c r="AY923" s="25"/>
      <c r="AZ923" s="13"/>
      <c r="BE923" s="117"/>
      <c r="BF923" s="123"/>
      <c r="BG923" s="123"/>
      <c r="BH923" s="123"/>
      <c r="BM923" s="115"/>
      <c r="BN923" s="115"/>
      <c r="BO923" s="115"/>
      <c r="BP923" s="115"/>
      <c r="BQ923" s="115"/>
      <c r="BR923" s="115"/>
      <c r="BS923" s="115"/>
      <c r="BT923" s="115"/>
      <c r="BU923" s="115"/>
      <c r="BV923" s="115"/>
      <c r="BW923" s="13"/>
      <c r="BX923" s="13"/>
      <c r="CA923" s="114"/>
    </row>
    <row r="924" spans="1:79" ht="19.5" x14ac:dyDescent="0.4">
      <c r="A924" s="117"/>
      <c r="B924" s="123"/>
      <c r="C924" s="123"/>
      <c r="D924" s="123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  <c r="AK924" s="115"/>
      <c r="AL924" s="115"/>
      <c r="AM924" s="115"/>
      <c r="AN924" s="127"/>
      <c r="AO924" s="29"/>
      <c r="AP924" s="115"/>
      <c r="AQ924" s="115"/>
      <c r="AR924" s="115"/>
      <c r="AS924" s="115"/>
      <c r="AT924" s="115"/>
      <c r="AU924" s="115"/>
      <c r="AV924" s="115"/>
      <c r="AW924" s="115"/>
      <c r="AX924" s="115"/>
      <c r="AY924" s="25">
        <v>45684</v>
      </c>
      <c r="AZ924" s="13" t="s">
        <v>147</v>
      </c>
      <c r="BE924" s="117"/>
      <c r="BF924" s="123"/>
      <c r="BG924" s="123"/>
      <c r="BH924" s="123"/>
      <c r="BM924" s="115"/>
      <c r="BN924" s="115"/>
      <c r="BO924" s="115"/>
      <c r="BP924" s="115"/>
      <c r="BQ924" s="115"/>
      <c r="BR924" s="115"/>
      <c r="BS924" s="115"/>
      <c r="BT924" s="115"/>
      <c r="BU924" s="115"/>
      <c r="BV924" s="115"/>
      <c r="BW924" s="13"/>
      <c r="BX924" s="13"/>
      <c r="CA924" s="114"/>
    </row>
    <row r="925" spans="1:79" ht="19.5" x14ac:dyDescent="0.4">
      <c r="A925" s="117"/>
      <c r="B925" s="123"/>
      <c r="C925" s="123"/>
      <c r="D925" s="123"/>
      <c r="AN925" s="127"/>
      <c r="AO925" s="29"/>
      <c r="AY925" s="25">
        <v>45685</v>
      </c>
      <c r="AZ925" s="13" t="s">
        <v>146</v>
      </c>
      <c r="BE925" s="117"/>
      <c r="BF925" s="123"/>
      <c r="BG925" s="123"/>
      <c r="BH925" s="123"/>
      <c r="BM925" s="115"/>
      <c r="BN925" s="115"/>
      <c r="BO925" s="115"/>
      <c r="BP925" s="115"/>
      <c r="BQ925" s="115"/>
      <c r="BR925" s="115"/>
      <c r="BS925" s="115"/>
      <c r="BT925" s="115"/>
      <c r="BU925" s="115"/>
      <c r="BV925" s="115"/>
      <c r="BW925" s="25">
        <v>45263</v>
      </c>
      <c r="BX925" s="13" t="s">
        <v>162</v>
      </c>
      <c r="CA925" s="114"/>
    </row>
    <row r="926" spans="1:79" ht="19.5" x14ac:dyDescent="0.4">
      <c r="A926" s="117"/>
      <c r="B926" s="123"/>
      <c r="C926" s="123"/>
      <c r="D926" s="123"/>
      <c r="AN926" s="127"/>
      <c r="AO926" s="29"/>
      <c r="AV926" s="115"/>
      <c r="AW926" s="115"/>
      <c r="AX926" s="115"/>
      <c r="AY926" s="25">
        <v>45685</v>
      </c>
      <c r="AZ926" s="13" t="s">
        <v>147</v>
      </c>
      <c r="BE926" s="117"/>
      <c r="BF926" s="123"/>
      <c r="BG926" s="123"/>
      <c r="BH926" s="123"/>
      <c r="BM926" s="115"/>
      <c r="BN926" s="115"/>
      <c r="BO926" s="115"/>
      <c r="BP926" s="115"/>
      <c r="BQ926" s="115"/>
      <c r="BR926" s="115"/>
      <c r="BS926" s="115"/>
      <c r="BT926" s="115"/>
      <c r="BU926" s="115"/>
      <c r="BV926" s="115"/>
      <c r="BW926" s="25"/>
      <c r="BX926" s="13"/>
      <c r="CA926" s="114"/>
    </row>
    <row r="927" spans="1:79" ht="19.5" x14ac:dyDescent="0.4">
      <c r="A927" s="117"/>
      <c r="B927" s="123"/>
      <c r="C927" s="123"/>
      <c r="D927" s="123"/>
      <c r="AN927" s="128"/>
      <c r="AO927" s="29"/>
      <c r="AV927" s="115"/>
      <c r="AW927" s="115"/>
      <c r="AX927" s="115"/>
      <c r="AY927" s="25"/>
      <c r="AZ927" s="13"/>
      <c r="BE927" s="117"/>
      <c r="BF927" s="123"/>
      <c r="BG927" s="123"/>
      <c r="BH927" s="123"/>
      <c r="BM927" s="115"/>
      <c r="BN927" s="115"/>
      <c r="BO927" s="115"/>
      <c r="BP927" s="115"/>
      <c r="BQ927" s="115"/>
      <c r="BR927" s="115"/>
      <c r="BS927" s="115"/>
      <c r="BT927" s="115"/>
      <c r="BU927" s="115"/>
      <c r="BV927" s="115"/>
      <c r="BW927" s="25"/>
      <c r="BX927" s="13"/>
      <c r="CA927" s="114"/>
    </row>
    <row r="928" spans="1:79" ht="19.5" x14ac:dyDescent="0.4">
      <c r="A928" s="117"/>
      <c r="B928" s="123"/>
      <c r="C928" s="123"/>
      <c r="D928" s="123"/>
      <c r="AN928" s="127"/>
      <c r="AO928" s="29"/>
      <c r="AP928" s="115"/>
      <c r="AQ928" s="115"/>
      <c r="AR928" s="115"/>
      <c r="AS928" s="115"/>
      <c r="AT928" s="115"/>
      <c r="AU928" s="115"/>
      <c r="AV928" s="115"/>
      <c r="AW928" s="115"/>
      <c r="AX928" s="115"/>
      <c r="AY928" s="25">
        <v>45685</v>
      </c>
      <c r="AZ928" s="13" t="s">
        <v>147</v>
      </c>
      <c r="BE928" s="117"/>
      <c r="BF928" s="123"/>
      <c r="BG928" s="123"/>
      <c r="BH928" s="123"/>
      <c r="BM928" s="115"/>
      <c r="BN928" s="115"/>
      <c r="BO928" s="115"/>
      <c r="BP928" s="115"/>
      <c r="BQ928" s="115"/>
      <c r="BR928" s="115"/>
      <c r="BS928" s="115"/>
      <c r="BT928" s="115"/>
      <c r="BU928" s="115"/>
      <c r="BV928" s="115"/>
      <c r="BW928" s="25"/>
      <c r="BX928" s="13"/>
      <c r="CA928" s="114"/>
    </row>
    <row r="929" spans="1:79" ht="19.5" x14ac:dyDescent="0.4">
      <c r="A929" s="117"/>
      <c r="B929" s="123"/>
      <c r="C929" s="123"/>
      <c r="D929" s="123"/>
      <c r="AN929" s="127"/>
      <c r="AO929" s="29"/>
      <c r="AP929" s="115"/>
      <c r="AQ929" s="115"/>
      <c r="AR929" s="115"/>
      <c r="AS929" s="115"/>
      <c r="AT929" s="115"/>
      <c r="AU929" s="115"/>
      <c r="AV929" s="115"/>
      <c r="AW929" s="115"/>
      <c r="AX929" s="115"/>
      <c r="AY929" s="25">
        <v>45685</v>
      </c>
      <c r="AZ929" s="13" t="s">
        <v>148</v>
      </c>
      <c r="BE929" s="117"/>
      <c r="BF929" s="123"/>
      <c r="BG929" s="123"/>
      <c r="BH929" s="123"/>
      <c r="BM929" s="115"/>
      <c r="BN929" s="115"/>
      <c r="BO929" s="115"/>
      <c r="BP929" s="115"/>
      <c r="BQ929" s="115"/>
      <c r="BR929" s="115"/>
      <c r="BS929" s="115"/>
      <c r="BT929" s="115"/>
      <c r="BU929" s="115"/>
      <c r="BV929" s="115"/>
      <c r="BW929" s="25"/>
      <c r="BX929" s="13"/>
      <c r="CA929" s="114"/>
    </row>
    <row r="930" spans="1:79" ht="19.5" x14ac:dyDescent="0.4">
      <c r="A930" s="117"/>
      <c r="B930" s="123"/>
      <c r="C930" s="123"/>
      <c r="D930" s="123"/>
      <c r="AN930" s="127"/>
      <c r="AO930" s="29"/>
      <c r="AP930" s="115"/>
      <c r="AQ930" s="115"/>
      <c r="AR930" s="115"/>
      <c r="AS930" s="115"/>
      <c r="AT930" s="115"/>
      <c r="AU930" s="115"/>
      <c r="AV930" s="115"/>
      <c r="AW930" s="115"/>
      <c r="AX930" s="115"/>
      <c r="AY930" s="25">
        <v>45685</v>
      </c>
      <c r="AZ930" s="13" t="s">
        <v>148</v>
      </c>
      <c r="BE930" s="117"/>
      <c r="BF930" s="123"/>
      <c r="BG930" s="123"/>
      <c r="BH930" s="123"/>
      <c r="BM930" s="115"/>
      <c r="BN930" s="115"/>
      <c r="BO930" s="115"/>
      <c r="BP930" s="115"/>
      <c r="BQ930" s="115"/>
      <c r="BR930" s="115"/>
      <c r="BS930" s="115"/>
      <c r="BT930" s="115"/>
      <c r="BU930" s="115"/>
      <c r="BV930" s="115"/>
      <c r="BW930" s="25"/>
      <c r="BX930" s="13"/>
      <c r="CA930" s="114"/>
    </row>
    <row r="931" spans="1:79" ht="19.5" x14ac:dyDescent="0.4">
      <c r="A931" s="117"/>
      <c r="B931" s="123"/>
      <c r="C931" s="123"/>
      <c r="D931" s="123"/>
      <c r="AN931" s="128"/>
      <c r="AO931" s="29"/>
      <c r="AP931" s="115"/>
      <c r="AQ931" s="115"/>
      <c r="AR931" s="115"/>
      <c r="AS931" s="115"/>
      <c r="AT931" s="115"/>
      <c r="AU931" s="115"/>
      <c r="AV931" s="115"/>
      <c r="AW931" s="115"/>
      <c r="AX931" s="115"/>
      <c r="AY931" s="25"/>
      <c r="AZ931" s="13"/>
      <c r="BE931" s="117"/>
      <c r="BF931" s="123"/>
      <c r="BG931" s="123"/>
      <c r="BH931" s="123"/>
      <c r="BM931" s="115"/>
      <c r="BN931" s="115"/>
      <c r="BO931" s="115"/>
      <c r="BP931" s="115"/>
      <c r="BQ931" s="115"/>
      <c r="BR931" s="115"/>
      <c r="BS931" s="115"/>
      <c r="BT931" s="115"/>
      <c r="BU931" s="115"/>
      <c r="BV931" s="115"/>
      <c r="BW931" s="25"/>
      <c r="BX931" s="13"/>
      <c r="CA931" s="114"/>
    </row>
    <row r="932" spans="1:79" ht="19.5" x14ac:dyDescent="0.4">
      <c r="A932" s="117"/>
      <c r="B932" s="123"/>
      <c r="C932" s="123"/>
      <c r="D932" s="123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  <c r="AK932" s="115"/>
      <c r="AL932" s="115"/>
      <c r="AM932" s="115"/>
      <c r="AN932" s="127"/>
      <c r="AO932" s="29"/>
      <c r="AP932" s="115"/>
      <c r="AQ932" s="115"/>
      <c r="AR932" s="115"/>
      <c r="AS932" s="115"/>
      <c r="AT932" s="115"/>
      <c r="AU932" s="115"/>
      <c r="AV932" s="115"/>
      <c r="AW932" s="115"/>
      <c r="AX932" s="115"/>
      <c r="AY932" s="25"/>
      <c r="AZ932" s="13"/>
      <c r="BE932" s="117"/>
      <c r="BF932" s="123"/>
      <c r="BG932" s="123"/>
      <c r="BH932" s="123"/>
      <c r="BM932" s="115"/>
      <c r="BN932" s="115"/>
      <c r="BO932" s="115"/>
      <c r="BP932" s="115"/>
      <c r="BQ932" s="115"/>
      <c r="BR932" s="115"/>
      <c r="BS932" s="115"/>
      <c r="BT932" s="115"/>
      <c r="BU932" s="115"/>
      <c r="BV932" s="115"/>
      <c r="BW932" s="25"/>
      <c r="BX932" s="13"/>
      <c r="CA932" s="114"/>
    </row>
    <row r="933" spans="1:79" ht="19.5" x14ac:dyDescent="0.4">
      <c r="A933" s="117"/>
      <c r="B933" s="123"/>
      <c r="C933" s="123"/>
      <c r="D933" s="123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  <c r="AK933" s="115"/>
      <c r="AL933" s="115"/>
      <c r="AM933" s="115"/>
      <c r="AN933" s="128"/>
      <c r="AO933" s="29"/>
      <c r="AP933" s="115"/>
      <c r="AQ933" s="115"/>
      <c r="AR933" s="115"/>
      <c r="AS933" s="115"/>
      <c r="AT933" s="115"/>
      <c r="AU933" s="115"/>
      <c r="AV933" s="115"/>
      <c r="AW933" s="115"/>
      <c r="AX933" s="115"/>
      <c r="AY933" s="25"/>
      <c r="AZ933" s="13"/>
      <c r="BE933" s="117"/>
      <c r="BF933" s="123"/>
      <c r="BG933" s="123"/>
      <c r="BH933" s="123"/>
      <c r="BM933" s="115"/>
      <c r="BN933" s="115"/>
      <c r="BO933" s="115"/>
      <c r="BP933" s="115"/>
      <c r="BQ933" s="115"/>
      <c r="BR933" s="115"/>
      <c r="BS933" s="115"/>
      <c r="BT933" s="115"/>
      <c r="BU933" s="115"/>
      <c r="BV933" s="115"/>
      <c r="BW933" s="25"/>
      <c r="BX933" s="13"/>
      <c r="CA933" s="114"/>
    </row>
    <row r="934" spans="1:79" ht="19.5" x14ac:dyDescent="0.4">
      <c r="A934" s="117"/>
      <c r="B934" s="123"/>
      <c r="C934" s="123"/>
      <c r="D934" s="123"/>
      <c r="AN934" s="127"/>
      <c r="AO934" s="29"/>
      <c r="AP934" s="115"/>
      <c r="AQ934" s="115"/>
      <c r="AR934" s="115"/>
      <c r="AS934" s="115"/>
      <c r="AT934" s="115"/>
      <c r="AU934" s="115"/>
      <c r="AV934" s="115"/>
      <c r="AW934" s="115"/>
      <c r="AX934" s="115"/>
      <c r="AY934" s="25">
        <v>45685</v>
      </c>
      <c r="AZ934" s="13" t="s">
        <v>148</v>
      </c>
      <c r="BE934" s="117"/>
      <c r="BF934" s="123"/>
      <c r="BG934" s="123"/>
      <c r="BH934" s="123"/>
      <c r="BM934" s="115"/>
      <c r="BN934" s="115"/>
      <c r="BO934" s="115"/>
      <c r="BP934" s="115"/>
      <c r="BQ934" s="115"/>
      <c r="BR934" s="115"/>
      <c r="BS934" s="115"/>
      <c r="BT934" s="115"/>
      <c r="BU934" s="115"/>
      <c r="BV934" s="115"/>
      <c r="BW934" s="25"/>
      <c r="BX934" s="13"/>
      <c r="CA934" s="114"/>
    </row>
    <row r="935" spans="1:79" ht="19.5" x14ac:dyDescent="0.4">
      <c r="A935" s="117"/>
      <c r="B935" s="123"/>
      <c r="C935" s="123"/>
      <c r="D935" s="123"/>
      <c r="AN935" s="127"/>
      <c r="AO935" s="29"/>
      <c r="AP935" s="115"/>
      <c r="AQ935" s="115"/>
      <c r="AR935" s="115"/>
      <c r="AS935" s="115"/>
      <c r="AT935" s="115"/>
      <c r="AU935" s="115"/>
      <c r="AV935" s="115"/>
      <c r="AW935" s="115"/>
      <c r="AX935" s="115"/>
      <c r="AY935" s="25">
        <v>45685</v>
      </c>
      <c r="AZ935" s="13" t="s">
        <v>148</v>
      </c>
      <c r="BE935" s="117"/>
      <c r="BF935" s="123"/>
      <c r="BG935" s="123"/>
      <c r="BH935" s="123"/>
      <c r="BM935" s="115"/>
      <c r="BN935" s="115"/>
      <c r="BO935" s="115"/>
      <c r="BP935" s="115"/>
      <c r="BQ935" s="115"/>
      <c r="BR935" s="115"/>
      <c r="BS935" s="115"/>
      <c r="BT935" s="115"/>
      <c r="BU935" s="115"/>
      <c r="BV935" s="115"/>
      <c r="BW935" s="25"/>
      <c r="BX935" s="13"/>
      <c r="CA935" s="114"/>
    </row>
    <row r="936" spans="1:79" ht="19.5" x14ac:dyDescent="0.4">
      <c r="A936" s="117"/>
      <c r="B936" s="123"/>
      <c r="C936" s="123"/>
      <c r="D936" s="123"/>
      <c r="AN936" s="127"/>
      <c r="AO936" s="29"/>
      <c r="AP936" s="115"/>
      <c r="AQ936" s="115"/>
      <c r="AR936" s="115"/>
      <c r="AS936" s="115"/>
      <c r="AT936" s="115"/>
      <c r="AU936" s="115"/>
      <c r="AV936" s="115"/>
      <c r="AW936" s="115"/>
      <c r="AX936" s="115"/>
      <c r="AY936" s="25">
        <v>45685</v>
      </c>
      <c r="AZ936" s="13" t="s">
        <v>146</v>
      </c>
      <c r="BE936" s="117"/>
      <c r="BF936" s="123"/>
      <c r="BG936" s="123"/>
      <c r="BH936" s="123"/>
      <c r="BM936" s="115"/>
      <c r="BN936" s="115"/>
      <c r="BO936" s="115"/>
      <c r="BP936" s="115"/>
      <c r="BQ936" s="115"/>
      <c r="BR936" s="115"/>
      <c r="BS936" s="115"/>
      <c r="BT936" s="115"/>
      <c r="BU936" s="115"/>
      <c r="BV936" s="115"/>
      <c r="BW936" s="25"/>
      <c r="BX936" s="13"/>
      <c r="CA936" s="114"/>
    </row>
    <row r="937" spans="1:79" ht="19.5" x14ac:dyDescent="0.4">
      <c r="A937" s="117"/>
      <c r="B937" s="123"/>
      <c r="C937" s="123"/>
      <c r="D937" s="123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  <c r="AK937" s="115"/>
      <c r="AL937" s="115"/>
      <c r="AM937" s="115"/>
      <c r="AN937" s="127"/>
      <c r="AO937" s="29"/>
      <c r="AP937" s="115"/>
      <c r="AQ937" s="115"/>
      <c r="AR937" s="115"/>
      <c r="AS937" s="115"/>
      <c r="AT937" s="115"/>
      <c r="AU937" s="115"/>
      <c r="AV937" s="115"/>
      <c r="AW937" s="115"/>
      <c r="AX937" s="115"/>
      <c r="AY937" s="25"/>
      <c r="AZ937" s="13"/>
      <c r="BE937" s="117"/>
      <c r="BF937" s="123"/>
      <c r="BG937" s="123"/>
      <c r="BH937" s="123"/>
      <c r="BM937" s="115"/>
      <c r="BN937" s="115"/>
      <c r="BO937" s="115"/>
      <c r="BP937" s="115"/>
      <c r="BQ937" s="115"/>
      <c r="BR937" s="115"/>
      <c r="BS937" s="115"/>
      <c r="BT937" s="115"/>
      <c r="BU937" s="115"/>
      <c r="BV937" s="115"/>
      <c r="BW937" s="25"/>
      <c r="BX937" s="13"/>
      <c r="CA937" s="114"/>
    </row>
    <row r="938" spans="1:79" ht="19.5" x14ac:dyDescent="0.4">
      <c r="A938" s="117"/>
      <c r="B938" s="123"/>
      <c r="C938" s="123"/>
      <c r="D938" s="123"/>
      <c r="AN938" s="127"/>
      <c r="AO938" s="29"/>
      <c r="AY938" s="25">
        <v>45685</v>
      </c>
      <c r="AZ938" s="13" t="s">
        <v>148</v>
      </c>
      <c r="BE938" s="117"/>
      <c r="BF938" s="123"/>
      <c r="BG938" s="123"/>
      <c r="BH938" s="123"/>
      <c r="BM938" s="115"/>
      <c r="BN938" s="115"/>
      <c r="BO938" s="115"/>
      <c r="BP938" s="115"/>
      <c r="BQ938" s="115"/>
      <c r="BR938" s="115"/>
      <c r="BS938" s="115"/>
      <c r="BT938" s="115"/>
      <c r="BU938" s="115"/>
      <c r="BV938" s="115" t="s">
        <v>150</v>
      </c>
      <c r="BW938" s="13">
        <f>SUBTOTAL(3,BW925:BW925)</f>
        <v>1</v>
      </c>
      <c r="BX938" s="13">
        <f>SUBTOTAL(3,BX925:BX925)</f>
        <v>1</v>
      </c>
      <c r="CA938" s="114"/>
    </row>
    <row r="939" spans="1:79" ht="19.5" x14ac:dyDescent="0.4">
      <c r="A939" s="117"/>
      <c r="B939" s="123"/>
      <c r="C939" s="123"/>
      <c r="D939" s="123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  <c r="AK939" s="115"/>
      <c r="AL939" s="115"/>
      <c r="AM939" s="115"/>
      <c r="AN939" s="127"/>
      <c r="AO939" s="29"/>
      <c r="AY939" s="25"/>
      <c r="AZ939" s="13"/>
      <c r="BE939" s="117"/>
      <c r="BF939" s="123"/>
      <c r="BG939" s="123"/>
      <c r="BH939" s="123"/>
      <c r="BM939" s="115"/>
      <c r="BN939" s="115"/>
      <c r="BO939" s="115"/>
      <c r="BP939" s="115"/>
      <c r="BQ939" s="115"/>
      <c r="BR939" s="115"/>
      <c r="BS939" s="115"/>
      <c r="BT939" s="115"/>
      <c r="BU939" s="115"/>
      <c r="BV939" s="115"/>
      <c r="BW939" s="13"/>
      <c r="BX939" s="13"/>
      <c r="CA939" s="114"/>
    </row>
    <row r="940" spans="1:79" ht="19.5" x14ac:dyDescent="0.4">
      <c r="A940" s="117"/>
      <c r="B940" s="123"/>
      <c r="C940" s="123"/>
      <c r="D940" s="123"/>
      <c r="AN940" s="127"/>
      <c r="AO940" s="29"/>
      <c r="AP940" s="115"/>
      <c r="AQ940" s="115"/>
      <c r="AR940" s="115"/>
      <c r="AS940" s="115"/>
      <c r="AT940" s="115"/>
      <c r="AU940" s="115"/>
      <c r="AV940" s="115"/>
      <c r="AW940" s="115"/>
      <c r="AX940" s="115"/>
      <c r="AY940" s="25">
        <v>45685</v>
      </c>
      <c r="AZ940" s="15" t="s">
        <v>146</v>
      </c>
      <c r="BE940" s="117"/>
      <c r="BF940" s="123"/>
      <c r="BG940" s="123"/>
      <c r="BH940" s="123"/>
      <c r="BM940" s="115"/>
      <c r="BN940" s="115"/>
      <c r="BO940" s="115"/>
      <c r="BP940" s="115"/>
      <c r="BQ940" s="115"/>
      <c r="BR940" s="115"/>
      <c r="BS940" s="115"/>
      <c r="BT940" s="115"/>
      <c r="BU940" s="115"/>
      <c r="BV940" s="115"/>
      <c r="BW940" s="13"/>
      <c r="BX940" s="13"/>
      <c r="CA940" s="114"/>
    </row>
    <row r="941" spans="1:79" ht="19.5" x14ac:dyDescent="0.4">
      <c r="A941" s="117"/>
      <c r="B941" s="123"/>
      <c r="C941" s="123"/>
      <c r="D941" s="123"/>
      <c r="AN941" s="127"/>
      <c r="AO941" s="29"/>
      <c r="AY941" s="25">
        <v>45685</v>
      </c>
      <c r="AZ941" s="15" t="s">
        <v>146</v>
      </c>
      <c r="BE941" s="117"/>
      <c r="BF941" s="123"/>
      <c r="BG941" s="123"/>
      <c r="BH941" s="123"/>
      <c r="BM941" s="115"/>
      <c r="BN941" s="115"/>
      <c r="BO941" s="115"/>
      <c r="BP941" s="115"/>
      <c r="BQ941" s="115"/>
      <c r="BR941" s="115"/>
      <c r="BS941" s="115"/>
      <c r="BT941" s="115"/>
      <c r="BU941" s="115"/>
      <c r="BV941" s="115"/>
      <c r="BW941" s="25">
        <v>45264</v>
      </c>
      <c r="BX941" s="13" t="s">
        <v>162</v>
      </c>
      <c r="CA941" s="114"/>
    </row>
    <row r="942" spans="1:79" ht="19.5" x14ac:dyDescent="0.4">
      <c r="A942" s="117"/>
      <c r="B942" s="123"/>
      <c r="C942" s="123"/>
      <c r="D942" s="123"/>
      <c r="AN942" s="127"/>
      <c r="AO942" s="29"/>
      <c r="AU942" s="115"/>
      <c r="AV942" s="115"/>
      <c r="AW942" s="115"/>
      <c r="AX942" s="115"/>
      <c r="AY942" s="25">
        <v>45686</v>
      </c>
      <c r="AZ942" s="15" t="s">
        <v>148</v>
      </c>
      <c r="BE942" s="117"/>
      <c r="BF942" s="123"/>
      <c r="BG942" s="123"/>
      <c r="BH942" s="123"/>
      <c r="BM942" s="115"/>
      <c r="BN942" s="115"/>
      <c r="BO942" s="115"/>
      <c r="BP942" s="115"/>
      <c r="BQ942" s="115"/>
      <c r="BR942" s="115"/>
      <c r="BS942" s="115"/>
      <c r="BT942" s="115"/>
      <c r="BU942" s="115"/>
      <c r="BV942" s="115"/>
      <c r="BW942" s="25"/>
      <c r="BX942" s="13"/>
      <c r="CA942" s="114"/>
    </row>
    <row r="943" spans="1:79" ht="19.5" x14ac:dyDescent="0.4">
      <c r="A943" s="117"/>
      <c r="B943" s="123"/>
      <c r="C943" s="123"/>
      <c r="D943" s="123"/>
      <c r="AN943" s="127"/>
      <c r="AO943" s="29"/>
      <c r="AS943" s="115"/>
      <c r="AT943" s="115"/>
      <c r="AU943" s="115"/>
      <c r="AV943" s="115"/>
      <c r="AW943" s="115"/>
      <c r="AX943" s="115"/>
      <c r="AY943" s="25">
        <v>45686</v>
      </c>
      <c r="AZ943" s="15" t="s">
        <v>146</v>
      </c>
      <c r="BE943" s="117"/>
      <c r="BF943" s="123"/>
      <c r="BG943" s="123"/>
      <c r="BH943" s="123"/>
      <c r="BM943" s="115"/>
      <c r="BN943" s="115"/>
      <c r="BO943" s="115"/>
      <c r="BP943" s="115"/>
      <c r="BQ943" s="115"/>
      <c r="BR943" s="115"/>
      <c r="BS943" s="115"/>
      <c r="BT943" s="115"/>
      <c r="BU943" s="115"/>
      <c r="BV943" s="115"/>
      <c r="BW943" s="25"/>
      <c r="BX943" s="13"/>
      <c r="CA943" s="114"/>
    </row>
    <row r="944" spans="1:79" ht="19.5" x14ac:dyDescent="0.4">
      <c r="A944" s="117"/>
      <c r="B944" s="123"/>
      <c r="C944" s="123"/>
      <c r="D944" s="123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  <c r="AK944" s="115"/>
      <c r="AL944" s="115"/>
      <c r="AM944" s="115"/>
      <c r="AN944" s="127"/>
      <c r="AO944" s="29"/>
      <c r="AS944" s="115"/>
      <c r="AT944" s="115"/>
      <c r="AU944" s="115"/>
      <c r="AV944" s="115"/>
      <c r="AW944" s="115"/>
      <c r="AX944" s="115"/>
      <c r="AY944" s="25"/>
      <c r="AZ944" s="15"/>
      <c r="BE944" s="117"/>
      <c r="BF944" s="123"/>
      <c r="BG944" s="123"/>
      <c r="BH944" s="123"/>
      <c r="BM944" s="115"/>
      <c r="BN944" s="115"/>
      <c r="BO944" s="115"/>
      <c r="BP944" s="115"/>
      <c r="BQ944" s="115"/>
      <c r="BR944" s="115"/>
      <c r="BS944" s="115"/>
      <c r="BT944" s="115"/>
      <c r="BU944" s="115"/>
      <c r="BV944" s="115"/>
      <c r="BW944" s="25"/>
      <c r="BX944" s="13"/>
      <c r="CA944" s="114"/>
    </row>
    <row r="945" spans="1:79" ht="19.5" x14ac:dyDescent="0.4">
      <c r="A945" s="117"/>
      <c r="B945" s="123"/>
      <c r="C945" s="123"/>
      <c r="D945" s="123"/>
      <c r="AN945" s="127"/>
      <c r="AO945" s="29"/>
      <c r="AS945" s="115"/>
      <c r="AT945" s="115"/>
      <c r="AU945" s="115"/>
      <c r="AV945" s="115"/>
      <c r="AW945" s="115"/>
      <c r="AX945" s="115"/>
      <c r="AY945" s="25">
        <v>45686</v>
      </c>
      <c r="AZ945" s="15" t="s">
        <v>148</v>
      </c>
      <c r="BE945" s="117"/>
      <c r="BF945" s="123"/>
      <c r="BG945" s="123"/>
      <c r="BH945" s="123"/>
      <c r="BM945" s="115"/>
      <c r="BN945" s="115"/>
      <c r="BO945" s="115"/>
      <c r="BP945" s="115"/>
      <c r="BQ945" s="115"/>
      <c r="BR945" s="115"/>
      <c r="BS945" s="115"/>
      <c r="BT945" s="115"/>
      <c r="BU945" s="115"/>
      <c r="BV945" s="115"/>
      <c r="BW945" s="25"/>
      <c r="BX945" s="13"/>
      <c r="CA945" s="114"/>
    </row>
    <row r="946" spans="1:79" ht="19.5" x14ac:dyDescent="0.4">
      <c r="A946" s="117"/>
      <c r="B946" s="123"/>
      <c r="C946" s="123"/>
      <c r="D946" s="123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  <c r="AK946" s="115"/>
      <c r="AL946" s="115"/>
      <c r="AM946" s="115"/>
      <c r="AN946" s="127"/>
      <c r="AO946" s="29"/>
      <c r="AS946" s="115"/>
      <c r="AT946" s="115"/>
      <c r="AU946" s="115"/>
      <c r="AV946" s="115"/>
      <c r="AW946" s="115"/>
      <c r="AX946" s="115"/>
      <c r="AY946" s="25"/>
      <c r="AZ946" s="15"/>
      <c r="BE946" s="117"/>
      <c r="BF946" s="123"/>
      <c r="BG946" s="123"/>
      <c r="BH946" s="123"/>
      <c r="BM946" s="115"/>
      <c r="BN946" s="115"/>
      <c r="BO946" s="115"/>
      <c r="BP946" s="115"/>
      <c r="BQ946" s="115"/>
      <c r="BR946" s="115"/>
      <c r="BS946" s="115"/>
      <c r="BT946" s="115"/>
      <c r="BU946" s="115"/>
      <c r="BV946" s="115"/>
      <c r="BW946" s="25"/>
      <c r="BX946" s="13"/>
      <c r="CA946" s="114"/>
    </row>
    <row r="947" spans="1:79" ht="19.5" x14ac:dyDescent="0.4">
      <c r="A947" s="117"/>
      <c r="B947" s="123"/>
      <c r="C947" s="123"/>
      <c r="D947" s="123"/>
      <c r="AN947" s="127"/>
      <c r="AO947" s="29"/>
      <c r="AY947" s="25">
        <v>45686</v>
      </c>
      <c r="AZ947" s="15" t="s">
        <v>146</v>
      </c>
      <c r="BE947" s="117"/>
      <c r="BF947" s="123"/>
      <c r="BG947" s="123"/>
      <c r="BH947" s="123"/>
      <c r="BM947" s="115"/>
      <c r="BN947" s="115"/>
      <c r="BO947" s="115"/>
      <c r="BP947" s="115"/>
      <c r="BQ947" s="115"/>
      <c r="BR947" s="115"/>
      <c r="BS947" s="115"/>
      <c r="BT947" s="115"/>
      <c r="BU947" s="115"/>
      <c r="BV947" s="115" t="s">
        <v>154</v>
      </c>
      <c r="BW947" s="13">
        <f>SUBTOTAL(3,BW941:BW941)</f>
        <v>1</v>
      </c>
      <c r="BX947" s="13">
        <f>SUBTOTAL(3,BX941:BX941)</f>
        <v>1</v>
      </c>
      <c r="CA947" s="114"/>
    </row>
    <row r="948" spans="1:79" ht="19.5" x14ac:dyDescent="0.4">
      <c r="A948" s="117"/>
      <c r="B948" s="123"/>
      <c r="C948" s="123"/>
      <c r="D948" s="123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5"/>
      <c r="AK948" s="115"/>
      <c r="AL948" s="115"/>
      <c r="AM948" s="115"/>
      <c r="AN948" s="127"/>
      <c r="AO948" s="29"/>
      <c r="AY948" s="25"/>
      <c r="AZ948" s="15"/>
      <c r="BE948" s="117"/>
      <c r="BF948" s="123"/>
      <c r="BG948" s="123"/>
      <c r="BH948" s="123"/>
      <c r="BM948" s="115"/>
      <c r="BN948" s="115"/>
      <c r="BO948" s="115"/>
      <c r="BP948" s="115"/>
      <c r="BQ948" s="115"/>
      <c r="BR948" s="115"/>
      <c r="BS948" s="115"/>
      <c r="BT948" s="115"/>
      <c r="BU948" s="115"/>
      <c r="BV948" s="115"/>
      <c r="BW948" s="13"/>
      <c r="BX948" s="13"/>
      <c r="CA948" s="114"/>
    </row>
    <row r="949" spans="1:79" ht="19.5" x14ac:dyDescent="0.4">
      <c r="A949" s="117"/>
      <c r="B949" s="123"/>
      <c r="C949" s="123"/>
      <c r="D949" s="123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  <c r="AK949" s="115"/>
      <c r="AL949" s="115"/>
      <c r="AM949" s="115"/>
      <c r="AN949" s="127"/>
      <c r="AO949" s="29"/>
      <c r="AY949" s="25"/>
      <c r="AZ949" s="15"/>
      <c r="BE949" s="117"/>
      <c r="BF949" s="123"/>
      <c r="BG949" s="123"/>
      <c r="BH949" s="123"/>
      <c r="BM949" s="115"/>
      <c r="BN949" s="115"/>
      <c r="BO949" s="115"/>
      <c r="BP949" s="115"/>
      <c r="BQ949" s="115"/>
      <c r="BR949" s="115"/>
      <c r="BS949" s="115"/>
      <c r="BT949" s="115"/>
      <c r="BU949" s="115"/>
      <c r="BV949" s="115"/>
      <c r="BW949" s="13"/>
      <c r="BX949" s="13"/>
      <c r="CA949" s="114"/>
    </row>
    <row r="950" spans="1:79" ht="19.5" x14ac:dyDescent="0.4">
      <c r="A950" s="117"/>
      <c r="B950" s="123"/>
      <c r="C950" s="123"/>
      <c r="D950" s="123"/>
      <c r="AN950" s="127"/>
      <c r="AO950" s="29"/>
      <c r="AY950" s="25">
        <v>45686</v>
      </c>
      <c r="AZ950" s="15" t="s">
        <v>146</v>
      </c>
      <c r="BE950" s="117"/>
      <c r="BF950" s="123"/>
      <c r="BG950" s="123"/>
      <c r="BH950" s="123"/>
      <c r="BM950" s="115"/>
      <c r="BN950" s="115"/>
      <c r="BO950" s="115"/>
      <c r="BP950" s="115"/>
      <c r="BQ950" s="115"/>
      <c r="BR950" s="115"/>
      <c r="BS950" s="115"/>
      <c r="BT950" s="115"/>
      <c r="BU950" s="115"/>
      <c r="BV950" s="115"/>
      <c r="BW950" s="25">
        <v>45265</v>
      </c>
      <c r="BX950" s="13" t="s">
        <v>162</v>
      </c>
      <c r="CA950" s="114"/>
    </row>
    <row r="951" spans="1:79" ht="19.5" x14ac:dyDescent="0.4">
      <c r="A951" s="117"/>
      <c r="B951" s="123"/>
      <c r="C951" s="123"/>
      <c r="D951" s="123"/>
      <c r="AN951" s="127"/>
      <c r="AO951" s="29"/>
      <c r="AY951" s="25">
        <v>45686</v>
      </c>
      <c r="AZ951" s="15" t="s">
        <v>146</v>
      </c>
      <c r="BE951" s="117"/>
      <c r="BF951" s="123"/>
      <c r="BG951" s="123"/>
      <c r="BH951" s="123"/>
      <c r="BM951" s="115"/>
      <c r="BN951" s="115"/>
      <c r="BO951" s="115"/>
      <c r="BP951" s="115"/>
      <c r="BQ951" s="115"/>
      <c r="BR951" s="115"/>
      <c r="BS951" s="115"/>
      <c r="BT951" s="115"/>
      <c r="BU951" s="115"/>
      <c r="BV951" s="115"/>
      <c r="BW951" s="25">
        <v>45265</v>
      </c>
      <c r="BX951" s="25" t="s">
        <v>162</v>
      </c>
      <c r="CA951" s="114"/>
    </row>
    <row r="952" spans="1:79" ht="19.5" x14ac:dyDescent="0.4">
      <c r="A952" s="117"/>
      <c r="B952" s="123"/>
      <c r="C952" s="123"/>
      <c r="D952" s="123"/>
      <c r="AN952" s="127"/>
      <c r="AO952" s="29"/>
      <c r="AP952" s="115"/>
      <c r="AQ952" s="115"/>
      <c r="AR952" s="115"/>
      <c r="AS952" s="115"/>
      <c r="AT952" s="115"/>
      <c r="AU952" s="115"/>
      <c r="AV952" s="115"/>
      <c r="AW952" s="115"/>
      <c r="AX952" s="115"/>
      <c r="AY952" s="25">
        <v>45686</v>
      </c>
      <c r="AZ952" s="15" t="s">
        <v>146</v>
      </c>
      <c r="BE952" s="117"/>
      <c r="BF952" s="123"/>
      <c r="BG952" s="123"/>
      <c r="BH952" s="123"/>
      <c r="BM952" s="115"/>
      <c r="BN952" s="115"/>
      <c r="BO952" s="115"/>
      <c r="BP952" s="115"/>
      <c r="BQ952" s="115"/>
      <c r="BR952" s="115"/>
      <c r="BS952" s="115"/>
      <c r="BT952" s="115"/>
      <c r="BU952" s="115"/>
      <c r="BV952" s="115"/>
      <c r="BW952" s="25"/>
      <c r="BX952" s="25"/>
      <c r="CA952" s="114"/>
    </row>
    <row r="953" spans="1:79" ht="19.5" x14ac:dyDescent="0.4">
      <c r="A953" s="117"/>
      <c r="B953" s="123"/>
      <c r="C953" s="123"/>
      <c r="D953" s="123"/>
      <c r="AN953" s="128"/>
      <c r="AO953" s="29"/>
      <c r="AP953" s="115"/>
      <c r="AQ953" s="115"/>
      <c r="AR953" s="115"/>
      <c r="AS953" s="115"/>
      <c r="AT953" s="115"/>
      <c r="AU953" s="115"/>
      <c r="AV953" s="115"/>
      <c r="AW953" s="115"/>
      <c r="AX953" s="115"/>
      <c r="AY953" s="25"/>
      <c r="AZ953" s="13"/>
      <c r="BE953" s="117"/>
      <c r="BF953" s="123"/>
      <c r="BG953" s="123"/>
      <c r="BH953" s="123"/>
      <c r="BM953" s="115"/>
      <c r="BN953" s="115"/>
      <c r="BO953" s="115"/>
      <c r="BP953" s="115"/>
      <c r="BQ953" s="115"/>
      <c r="BR953" s="115"/>
      <c r="BS953" s="115"/>
      <c r="BT953" s="115"/>
      <c r="BU953" s="115"/>
      <c r="BV953" s="115"/>
      <c r="BW953" s="25"/>
      <c r="BX953" s="25"/>
      <c r="CA953" s="114"/>
    </row>
    <row r="954" spans="1:79" ht="19.5" x14ac:dyDescent="0.4">
      <c r="A954" s="117"/>
      <c r="B954" s="123"/>
      <c r="C954" s="123"/>
      <c r="D954" s="123"/>
      <c r="AN954" s="127"/>
      <c r="AO954" s="29"/>
      <c r="AY954" s="25">
        <v>45686</v>
      </c>
      <c r="AZ954" s="13" t="s">
        <v>146</v>
      </c>
      <c r="BE954" s="117"/>
      <c r="BF954" s="123"/>
      <c r="BG954" s="123"/>
      <c r="BH954" s="123"/>
      <c r="BM954" s="115"/>
      <c r="BN954" s="115"/>
      <c r="BO954" s="115"/>
      <c r="BP954" s="115"/>
      <c r="BQ954" s="115"/>
      <c r="BR954" s="115"/>
      <c r="BS954" s="115"/>
      <c r="BT954" s="115"/>
      <c r="BU954" s="115"/>
      <c r="BV954" s="115"/>
      <c r="BW954" s="25">
        <v>45265</v>
      </c>
      <c r="BX954" s="13" t="s">
        <v>162</v>
      </c>
      <c r="CA954" s="114"/>
    </row>
    <row r="955" spans="1:79" ht="19.5" x14ac:dyDescent="0.4">
      <c r="A955" s="117"/>
      <c r="B955" s="123"/>
      <c r="C955" s="123"/>
      <c r="D955" s="123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  <c r="AK955" s="115"/>
      <c r="AL955" s="115"/>
      <c r="AM955" s="115"/>
      <c r="AN955" s="127"/>
      <c r="AO955" s="29"/>
      <c r="AY955" s="25"/>
      <c r="AZ955" s="13"/>
      <c r="BE955" s="117"/>
      <c r="BF955" s="123"/>
      <c r="BG955" s="123"/>
      <c r="BH955" s="123"/>
      <c r="BM955" s="115"/>
      <c r="BN955" s="115"/>
      <c r="BO955" s="115"/>
      <c r="BP955" s="115"/>
      <c r="BQ955" s="115"/>
      <c r="BR955" s="115"/>
      <c r="BS955" s="115"/>
      <c r="BT955" s="115"/>
      <c r="BU955" s="115"/>
      <c r="BV955" s="115"/>
      <c r="BW955" s="25"/>
      <c r="BX955" s="13"/>
      <c r="CA955" s="114"/>
    </row>
    <row r="956" spans="1:79" ht="19.5" x14ac:dyDescent="0.4">
      <c r="A956" s="117"/>
      <c r="B956" s="123"/>
      <c r="C956" s="123"/>
      <c r="D956" s="123"/>
      <c r="AN956" s="127"/>
      <c r="AO956" s="29"/>
      <c r="AU956" s="115"/>
      <c r="AV956" s="115"/>
      <c r="AW956" s="115"/>
      <c r="AX956" s="115"/>
      <c r="AY956" s="25">
        <v>45686</v>
      </c>
      <c r="AZ956" s="15" t="s">
        <v>146</v>
      </c>
      <c r="BE956" s="117"/>
      <c r="BF956" s="123"/>
      <c r="BG956" s="123"/>
      <c r="BH956" s="123"/>
      <c r="BM956" s="115"/>
      <c r="BN956" s="115"/>
      <c r="BO956" s="115"/>
      <c r="BP956" s="115"/>
      <c r="BQ956" s="115"/>
      <c r="BR956" s="115"/>
      <c r="BS956" s="115"/>
      <c r="BT956" s="115"/>
      <c r="BU956" s="115"/>
      <c r="BV956" s="115"/>
      <c r="BW956" s="25"/>
      <c r="BX956" s="13"/>
      <c r="CA956" s="114"/>
    </row>
    <row r="957" spans="1:79" ht="19.5" x14ac:dyDescent="0.4">
      <c r="A957" s="117"/>
      <c r="B957" s="123"/>
      <c r="C957" s="123"/>
      <c r="D957" s="123"/>
      <c r="AN957" s="127"/>
      <c r="AO957" s="29"/>
      <c r="AY957" s="25">
        <v>45686</v>
      </c>
      <c r="AZ957" s="15" t="s">
        <v>147</v>
      </c>
      <c r="BE957" s="117"/>
      <c r="BF957" s="123"/>
      <c r="BG957" s="123"/>
      <c r="BH957" s="123"/>
      <c r="BM957" s="115"/>
      <c r="BN957" s="115"/>
      <c r="BO957" s="115"/>
      <c r="BP957" s="115"/>
      <c r="BQ957" s="115"/>
      <c r="BR957" s="115"/>
      <c r="BS957" s="115"/>
      <c r="BT957" s="115"/>
      <c r="BU957" s="115"/>
      <c r="BV957" s="115"/>
      <c r="BW957" s="25">
        <v>45265</v>
      </c>
      <c r="BX957" s="13" t="s">
        <v>162</v>
      </c>
      <c r="CA957" s="114"/>
    </row>
    <row r="958" spans="1:79" ht="19.5" x14ac:dyDescent="0.4">
      <c r="A958" s="117"/>
      <c r="B958" s="123"/>
      <c r="C958" s="123"/>
      <c r="D958" s="123"/>
      <c r="AN958" s="127"/>
      <c r="AO958" s="29"/>
      <c r="AV958" s="115"/>
      <c r="AW958" s="115"/>
      <c r="AX958" s="115"/>
      <c r="AY958" s="25">
        <v>45686</v>
      </c>
      <c r="AZ958" s="15" t="s">
        <v>147</v>
      </c>
      <c r="BE958" s="117"/>
      <c r="BF958" s="123"/>
      <c r="BG958" s="123"/>
      <c r="BH958" s="123"/>
      <c r="BM958" s="115"/>
      <c r="BN958" s="115"/>
      <c r="BO958" s="115"/>
      <c r="BP958" s="115"/>
      <c r="BQ958" s="115"/>
      <c r="BR958" s="115"/>
      <c r="BS958" s="115"/>
      <c r="BT958" s="115"/>
      <c r="BU958" s="115"/>
      <c r="BV958" s="115"/>
      <c r="BW958" s="25"/>
      <c r="BX958" s="13"/>
      <c r="CA958" s="114"/>
    </row>
    <row r="959" spans="1:79" ht="19.5" x14ac:dyDescent="0.4">
      <c r="A959" s="117"/>
      <c r="B959" s="123"/>
      <c r="C959" s="123"/>
      <c r="D959" s="123"/>
      <c r="AN959" s="127"/>
      <c r="AO959" s="29"/>
      <c r="AP959" s="115"/>
      <c r="AQ959" s="115"/>
      <c r="AR959" s="115"/>
      <c r="AS959" s="115"/>
      <c r="AT959" s="115"/>
      <c r="AU959" s="115"/>
      <c r="AV959" s="115"/>
      <c r="AW959" s="115"/>
      <c r="AX959" s="115"/>
      <c r="AY959" s="25">
        <v>45686</v>
      </c>
      <c r="AZ959" s="13" t="s">
        <v>146</v>
      </c>
      <c r="BE959" s="117"/>
      <c r="BF959" s="123"/>
      <c r="BG959" s="123"/>
      <c r="BH959" s="123"/>
      <c r="BM959" s="115"/>
      <c r="BN959" s="115"/>
      <c r="BO959" s="115"/>
      <c r="BP959" s="115"/>
      <c r="BQ959" s="115"/>
      <c r="BR959" s="115"/>
      <c r="BS959" s="115"/>
      <c r="BT959" s="115"/>
      <c r="BU959" s="115"/>
      <c r="BV959" s="115"/>
      <c r="BW959" s="25"/>
      <c r="BX959" s="13"/>
      <c r="CA959" s="114"/>
    </row>
    <row r="960" spans="1:79" ht="19.5" x14ac:dyDescent="0.4">
      <c r="A960" s="117"/>
      <c r="B960" s="123"/>
      <c r="C960" s="123"/>
      <c r="D960" s="123"/>
      <c r="AN960" s="127"/>
      <c r="AO960" s="29"/>
      <c r="AY960" s="25">
        <v>45686</v>
      </c>
      <c r="AZ960" s="25" t="s">
        <v>146</v>
      </c>
      <c r="BE960" s="117"/>
      <c r="BF960" s="123"/>
      <c r="BG960" s="123"/>
      <c r="BH960" s="123"/>
      <c r="BM960" s="115"/>
      <c r="BN960" s="115"/>
      <c r="BO960" s="115"/>
      <c r="BP960" s="115"/>
      <c r="BQ960" s="115"/>
      <c r="BR960" s="115"/>
      <c r="BS960" s="115"/>
      <c r="BT960" s="115"/>
      <c r="BU960" s="115"/>
      <c r="BV960" s="115"/>
      <c r="BW960" s="25">
        <v>45265</v>
      </c>
      <c r="BX960" s="13" t="s">
        <v>163</v>
      </c>
      <c r="CA960" s="114"/>
    </row>
    <row r="961" spans="1:79" ht="19.5" x14ac:dyDescent="0.4">
      <c r="A961" s="117"/>
      <c r="B961" s="123"/>
      <c r="C961" s="123"/>
      <c r="D961" s="123"/>
      <c r="AN961" s="127"/>
      <c r="AO961" s="29"/>
      <c r="AY961" s="25">
        <v>45686</v>
      </c>
      <c r="AZ961" s="25" t="s">
        <v>147</v>
      </c>
      <c r="BE961" s="117"/>
      <c r="BF961" s="123"/>
      <c r="BG961" s="123"/>
      <c r="BH961" s="123"/>
      <c r="BM961" s="115"/>
      <c r="BN961" s="115"/>
      <c r="BO961" s="115"/>
      <c r="BP961" s="115"/>
      <c r="BQ961" s="115"/>
      <c r="BR961" s="115"/>
      <c r="BS961" s="115"/>
      <c r="BT961" s="115"/>
      <c r="BU961" s="115"/>
      <c r="BV961" s="115" t="s">
        <v>155</v>
      </c>
      <c r="BW961" s="13">
        <f>SUBTOTAL(3,BW950:BW960)</f>
        <v>5</v>
      </c>
      <c r="BX961" s="13">
        <f>SUBTOTAL(3,BX950:BX960)</f>
        <v>5</v>
      </c>
      <c r="CA961" s="114"/>
    </row>
    <row r="962" spans="1:79" ht="19.5" x14ac:dyDescent="0.4">
      <c r="A962" s="117"/>
      <c r="B962" s="123"/>
      <c r="C962" s="123"/>
      <c r="D962" s="123"/>
      <c r="AN962" s="127"/>
      <c r="AO962" s="29"/>
      <c r="AP962" s="115"/>
      <c r="AQ962" s="115"/>
      <c r="AR962" s="115"/>
      <c r="AS962" s="115"/>
      <c r="AT962" s="115"/>
      <c r="AU962" s="115"/>
      <c r="AV962" s="115"/>
      <c r="AW962" s="115"/>
      <c r="AX962" s="115"/>
      <c r="AY962" s="25">
        <v>45686</v>
      </c>
      <c r="AZ962" s="25" t="s">
        <v>148</v>
      </c>
      <c r="BE962" s="117"/>
      <c r="BF962" s="123"/>
      <c r="BG962" s="123"/>
      <c r="BH962" s="123"/>
      <c r="BM962" s="115"/>
      <c r="BN962" s="115"/>
      <c r="BO962" s="115"/>
      <c r="BP962" s="115"/>
      <c r="BQ962" s="115"/>
      <c r="BR962" s="115"/>
      <c r="BS962" s="115"/>
      <c r="BT962" s="115"/>
      <c r="BU962" s="115"/>
      <c r="BV962" s="115"/>
      <c r="BW962" s="13"/>
      <c r="BX962" s="13"/>
      <c r="CA962" s="114"/>
    </row>
    <row r="963" spans="1:79" ht="19.5" x14ac:dyDescent="0.4">
      <c r="A963" s="117"/>
      <c r="B963" s="123"/>
      <c r="C963" s="123"/>
      <c r="D963" s="123"/>
      <c r="AN963" s="127"/>
      <c r="AO963" s="29"/>
      <c r="AP963" s="115"/>
      <c r="AQ963" s="115"/>
      <c r="AR963" s="115"/>
      <c r="AS963" s="115"/>
      <c r="AT963" s="115"/>
      <c r="AU963" s="115"/>
      <c r="AV963" s="115"/>
      <c r="AW963" s="115"/>
      <c r="AX963" s="115"/>
      <c r="AY963" s="25">
        <v>45686</v>
      </c>
      <c r="AZ963" s="13" t="s">
        <v>146</v>
      </c>
      <c r="BE963" s="117"/>
      <c r="BF963" s="123"/>
      <c r="BG963" s="123"/>
      <c r="BH963" s="123"/>
      <c r="BM963" s="115"/>
      <c r="BN963" s="115"/>
      <c r="BO963" s="115"/>
      <c r="BP963" s="115"/>
      <c r="BQ963" s="115"/>
      <c r="BR963" s="115"/>
      <c r="BS963" s="115"/>
      <c r="BT963" s="115"/>
      <c r="BU963" s="115"/>
      <c r="BV963" s="115"/>
      <c r="BW963" s="13"/>
      <c r="BX963" s="13"/>
      <c r="CA963" s="114"/>
    </row>
    <row r="964" spans="1:79" ht="19.5" x14ac:dyDescent="0.4">
      <c r="A964" s="117"/>
      <c r="B964" s="123"/>
      <c r="C964" s="123"/>
      <c r="D964" s="123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  <c r="AK964" s="115"/>
      <c r="AL964" s="115"/>
      <c r="AM964" s="115"/>
      <c r="AN964" s="127"/>
      <c r="AO964" s="29"/>
      <c r="AP964" s="115"/>
      <c r="AQ964" s="115"/>
      <c r="AR964" s="115"/>
      <c r="AS964" s="115"/>
      <c r="AT964" s="115"/>
      <c r="AU964" s="115"/>
      <c r="AV964" s="115"/>
      <c r="AW964" s="115"/>
      <c r="AX964" s="115"/>
      <c r="AY964" s="25">
        <v>45686</v>
      </c>
      <c r="AZ964" s="13" t="s">
        <v>146</v>
      </c>
      <c r="BE964" s="117"/>
      <c r="BF964" s="123"/>
      <c r="BG964" s="123"/>
      <c r="BH964" s="123"/>
      <c r="BM964" s="115"/>
      <c r="BN964" s="115"/>
      <c r="BO964" s="115"/>
      <c r="BP964" s="115"/>
      <c r="BQ964" s="115"/>
      <c r="BR964" s="115"/>
      <c r="BS964" s="115"/>
      <c r="BT964" s="115"/>
      <c r="BU964" s="115"/>
      <c r="BV964" s="115"/>
      <c r="BW964" s="13"/>
      <c r="BX964" s="13"/>
      <c r="CA964" s="114"/>
    </row>
    <row r="965" spans="1:79" ht="19.5" x14ac:dyDescent="0.4">
      <c r="A965" s="117"/>
      <c r="B965" s="123"/>
      <c r="C965" s="123"/>
      <c r="D965" s="123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  <c r="AK965" s="115"/>
      <c r="AL965" s="115"/>
      <c r="AM965" s="115"/>
      <c r="AN965" s="127"/>
      <c r="AO965" s="29"/>
      <c r="AP965" s="115"/>
      <c r="AQ965" s="115"/>
      <c r="AR965" s="115"/>
      <c r="AS965" s="115"/>
      <c r="AT965" s="115"/>
      <c r="AU965" s="115"/>
      <c r="AV965" s="115"/>
      <c r="AW965" s="115"/>
      <c r="AX965" s="115"/>
      <c r="AY965" s="25">
        <v>45686</v>
      </c>
      <c r="AZ965" s="15" t="s">
        <v>148</v>
      </c>
      <c r="BE965" s="117"/>
      <c r="BF965" s="123"/>
      <c r="BG965" s="123"/>
      <c r="BH965" s="123"/>
      <c r="BM965" s="115"/>
      <c r="BN965" s="115"/>
      <c r="BO965" s="115"/>
      <c r="BP965" s="115"/>
      <c r="BQ965" s="115"/>
      <c r="BR965" s="115"/>
      <c r="BS965" s="115"/>
      <c r="BT965" s="115"/>
      <c r="BU965" s="115"/>
      <c r="BV965" s="115"/>
      <c r="BW965" s="13"/>
      <c r="BX965" s="13"/>
      <c r="CA965" s="114"/>
    </row>
    <row r="966" spans="1:79" ht="19.5" x14ac:dyDescent="0.4">
      <c r="A966" s="117"/>
      <c r="B966" s="123"/>
      <c r="C966" s="123"/>
      <c r="D966" s="123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  <c r="AK966" s="115"/>
      <c r="AL966" s="115"/>
      <c r="AM966" s="115"/>
      <c r="AN966" s="127"/>
      <c r="AO966" s="29"/>
      <c r="AP966" s="115"/>
      <c r="AQ966" s="115"/>
      <c r="AR966" s="115"/>
      <c r="AS966" s="115"/>
      <c r="AT966" s="115"/>
      <c r="AU966" s="115"/>
      <c r="AV966" s="115"/>
      <c r="AW966" s="115"/>
      <c r="AX966" s="115"/>
      <c r="AY966" s="25">
        <v>45686</v>
      </c>
      <c r="AZ966" s="15" t="s">
        <v>148</v>
      </c>
      <c r="BE966" s="117"/>
      <c r="BF966" s="123"/>
      <c r="BG966" s="123"/>
      <c r="BH966" s="123"/>
      <c r="BM966" s="115"/>
      <c r="BN966" s="115"/>
      <c r="BO966" s="115"/>
      <c r="BP966" s="115"/>
      <c r="BQ966" s="115"/>
      <c r="BR966" s="115"/>
      <c r="BS966" s="115"/>
      <c r="BT966" s="115"/>
      <c r="BU966" s="115"/>
      <c r="BV966" s="115"/>
      <c r="BW966" s="13"/>
      <c r="BX966" s="13"/>
      <c r="CA966" s="114"/>
    </row>
    <row r="967" spans="1:79" ht="19.5" x14ac:dyDescent="0.4">
      <c r="A967" s="117"/>
      <c r="B967" s="123"/>
      <c r="C967" s="123"/>
      <c r="D967" s="123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  <c r="AK967" s="115"/>
      <c r="AL967" s="115"/>
      <c r="AM967" s="115"/>
      <c r="AN967" s="127"/>
      <c r="AO967" s="29"/>
      <c r="AP967" s="115"/>
      <c r="AQ967" s="115"/>
      <c r="AR967" s="115"/>
      <c r="AS967" s="115"/>
      <c r="AT967" s="115"/>
      <c r="AU967" s="115"/>
      <c r="AV967" s="115"/>
      <c r="AW967" s="115"/>
      <c r="AX967" s="115"/>
      <c r="AY967" s="25">
        <v>45686</v>
      </c>
      <c r="AZ967" s="15" t="s">
        <v>148</v>
      </c>
      <c r="BE967" s="117"/>
      <c r="BF967" s="123"/>
      <c r="BG967" s="123"/>
      <c r="BH967" s="123"/>
      <c r="BM967" s="115"/>
      <c r="BN967" s="115"/>
      <c r="BO967" s="115"/>
      <c r="BP967" s="115"/>
      <c r="BQ967" s="115"/>
      <c r="BR967" s="115"/>
      <c r="BS967" s="115"/>
      <c r="BT967" s="115"/>
      <c r="BU967" s="115"/>
      <c r="BV967" s="115"/>
      <c r="BW967" s="13"/>
      <c r="BX967" s="13"/>
      <c r="CA967" s="114"/>
    </row>
    <row r="968" spans="1:79" ht="19.5" x14ac:dyDescent="0.4">
      <c r="A968" s="117"/>
      <c r="B968" s="123"/>
      <c r="C968" s="123"/>
      <c r="D968" s="123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  <c r="AK968" s="115"/>
      <c r="AL968" s="115"/>
      <c r="AM968" s="115"/>
      <c r="AN968" s="127"/>
      <c r="AO968" s="29"/>
      <c r="AP968" s="115"/>
      <c r="AQ968" s="115"/>
      <c r="AR968" s="115"/>
      <c r="AS968" s="115"/>
      <c r="AT968" s="115"/>
      <c r="AU968" s="115"/>
      <c r="AV968" s="115"/>
      <c r="AW968" s="115"/>
      <c r="AX968" s="115"/>
      <c r="AY968" s="25">
        <v>45686</v>
      </c>
      <c r="AZ968" s="15" t="s">
        <v>146</v>
      </c>
      <c r="BE968" s="117"/>
      <c r="BF968" s="123"/>
      <c r="BG968" s="123"/>
      <c r="BH968" s="123"/>
      <c r="BM968" s="115"/>
      <c r="BN968" s="115"/>
      <c r="BO968" s="115"/>
      <c r="BP968" s="115"/>
      <c r="BQ968" s="115"/>
      <c r="BR968" s="115"/>
      <c r="BS968" s="115"/>
      <c r="BT968" s="115"/>
      <c r="BU968" s="115"/>
      <c r="BV968" s="115"/>
      <c r="BW968" s="13"/>
      <c r="BX968" s="13"/>
      <c r="CA968" s="114"/>
    </row>
    <row r="969" spans="1:79" ht="19.5" x14ac:dyDescent="0.4">
      <c r="A969" s="117"/>
      <c r="B969" s="123"/>
      <c r="C969" s="123"/>
      <c r="D969" s="123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  <c r="AK969" s="115"/>
      <c r="AL969" s="115"/>
      <c r="AM969" s="115"/>
      <c r="AN969" s="127"/>
      <c r="AO969" s="29"/>
      <c r="AP969" s="115"/>
      <c r="AQ969" s="115"/>
      <c r="AR969" s="115"/>
      <c r="AS969" s="115"/>
      <c r="AT969" s="115"/>
      <c r="AU969" s="115"/>
      <c r="AV969" s="115"/>
      <c r="AW969" s="115"/>
      <c r="AX969" s="115"/>
      <c r="AY969" s="25">
        <v>45686</v>
      </c>
      <c r="AZ969" s="15" t="s">
        <v>148</v>
      </c>
      <c r="BE969" s="117"/>
      <c r="BF969" s="123"/>
      <c r="BG969" s="123"/>
      <c r="BH969" s="123"/>
      <c r="BM969" s="115"/>
      <c r="BN969" s="115"/>
      <c r="BO969" s="115"/>
      <c r="BP969" s="115"/>
      <c r="BQ969" s="115"/>
      <c r="BR969" s="115"/>
      <c r="BS969" s="115"/>
      <c r="BT969" s="115"/>
      <c r="BU969" s="115"/>
      <c r="BV969" s="115"/>
      <c r="BW969" s="13"/>
      <c r="BX969" s="13"/>
      <c r="CA969" s="114"/>
    </row>
    <row r="970" spans="1:79" ht="19.5" x14ac:dyDescent="0.4">
      <c r="A970" s="117"/>
      <c r="B970" s="123"/>
      <c r="C970" s="123"/>
      <c r="D970" s="123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  <c r="AK970" s="115"/>
      <c r="AL970" s="115"/>
      <c r="AM970" s="115"/>
      <c r="AN970" s="127"/>
      <c r="AO970" s="29"/>
      <c r="AP970" s="115"/>
      <c r="AQ970" s="115"/>
      <c r="AR970" s="115"/>
      <c r="AS970" s="115"/>
      <c r="AT970" s="115"/>
      <c r="AU970" s="115"/>
      <c r="AV970" s="115"/>
      <c r="AW970" s="115"/>
      <c r="AX970" s="115"/>
      <c r="AY970" s="25">
        <v>45689</v>
      </c>
      <c r="AZ970" s="15" t="s">
        <v>147</v>
      </c>
      <c r="BE970" s="117"/>
      <c r="BF970" s="123"/>
      <c r="BG970" s="123"/>
      <c r="BH970" s="123"/>
      <c r="BM970" s="115"/>
      <c r="BN970" s="115"/>
      <c r="BO970" s="115"/>
      <c r="BP970" s="115"/>
      <c r="BQ970" s="115"/>
      <c r="BR970" s="115"/>
      <c r="BS970" s="115"/>
      <c r="BT970" s="115"/>
      <c r="BU970" s="115"/>
      <c r="BV970" s="115"/>
      <c r="BW970" s="13"/>
      <c r="BX970" s="13"/>
      <c r="CA970" s="114"/>
    </row>
    <row r="971" spans="1:79" ht="19.5" x14ac:dyDescent="0.4">
      <c r="A971" s="117"/>
      <c r="B971" s="123"/>
      <c r="C971" s="123"/>
      <c r="D971" s="123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  <c r="AK971" s="115"/>
      <c r="AL971" s="115"/>
      <c r="AM971" s="115"/>
      <c r="AN971" s="127"/>
      <c r="AO971" s="29"/>
      <c r="AP971" s="115"/>
      <c r="AQ971" s="115"/>
      <c r="AR971" s="115"/>
      <c r="AS971" s="115"/>
      <c r="AT971" s="115"/>
      <c r="AU971" s="115"/>
      <c r="AV971" s="115"/>
      <c r="AW971" s="115"/>
      <c r="AX971" s="115"/>
      <c r="AY971" s="25"/>
      <c r="AZ971" s="15"/>
      <c r="BE971" s="117"/>
      <c r="BF971" s="123"/>
      <c r="BG971" s="123"/>
      <c r="BH971" s="123"/>
      <c r="BM971" s="115"/>
      <c r="BN971" s="115"/>
      <c r="BO971" s="115"/>
      <c r="BP971" s="115"/>
      <c r="BQ971" s="115"/>
      <c r="BR971" s="115"/>
      <c r="BS971" s="115"/>
      <c r="BT971" s="115"/>
      <c r="BU971" s="115"/>
      <c r="BV971" s="115"/>
      <c r="BW971" s="13"/>
      <c r="BX971" s="13"/>
      <c r="CA971" s="114"/>
    </row>
    <row r="972" spans="1:79" ht="19.5" x14ac:dyDescent="0.4">
      <c r="A972" s="117"/>
      <c r="B972" s="123"/>
      <c r="C972" s="123"/>
      <c r="D972" s="123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  <c r="AK972" s="115"/>
      <c r="AL972" s="115"/>
      <c r="AM972" s="115"/>
      <c r="AN972" s="127"/>
      <c r="AO972" s="29"/>
      <c r="AP972" s="115"/>
      <c r="AQ972" s="115"/>
      <c r="AR972" s="115"/>
      <c r="AS972" s="115"/>
      <c r="AT972" s="115"/>
      <c r="AU972" s="115"/>
      <c r="AV972" s="115"/>
      <c r="AW972" s="115"/>
      <c r="AX972" s="115"/>
      <c r="AY972" s="25">
        <v>45689</v>
      </c>
      <c r="AZ972" s="15" t="s">
        <v>147</v>
      </c>
      <c r="BE972" s="117"/>
      <c r="BF972" s="123"/>
      <c r="BG972" s="123"/>
      <c r="BH972" s="123"/>
      <c r="BM972" s="115"/>
      <c r="BN972" s="115"/>
      <c r="BO972" s="115"/>
      <c r="BP972" s="115"/>
      <c r="BQ972" s="115"/>
      <c r="BR972" s="115"/>
      <c r="BS972" s="115"/>
      <c r="BT972" s="115"/>
      <c r="BU972" s="115"/>
      <c r="BV972" s="115"/>
      <c r="BW972" s="13"/>
      <c r="BX972" s="13"/>
      <c r="CA972" s="114"/>
    </row>
    <row r="973" spans="1:79" ht="19.5" x14ac:dyDescent="0.4">
      <c r="A973" s="117"/>
      <c r="B973" s="123"/>
      <c r="C973" s="123"/>
      <c r="D973" s="123"/>
      <c r="AN973" s="127"/>
      <c r="AO973" s="29"/>
      <c r="AY973" s="25">
        <v>45689</v>
      </c>
      <c r="AZ973" s="15" t="s">
        <v>146</v>
      </c>
      <c r="BE973" s="117"/>
      <c r="BF973" s="123"/>
      <c r="BG973" s="123"/>
      <c r="BH973" s="123"/>
      <c r="BJ973" s="115"/>
      <c r="BK973" s="115"/>
      <c r="BL973" s="115"/>
      <c r="BM973" s="115"/>
      <c r="BN973" s="115"/>
      <c r="BO973" s="115"/>
      <c r="BP973" s="115"/>
      <c r="BQ973" s="115"/>
      <c r="BR973" s="115"/>
      <c r="BS973" s="115"/>
      <c r="BT973" s="115"/>
      <c r="BU973" s="115"/>
      <c r="BV973" s="115"/>
      <c r="BW973" s="25">
        <v>45266</v>
      </c>
      <c r="BX973" s="25" t="s">
        <v>162</v>
      </c>
      <c r="CA973" s="114"/>
    </row>
    <row r="974" spans="1:79" ht="19.5" x14ac:dyDescent="0.4">
      <c r="A974" s="117"/>
      <c r="B974" s="123"/>
      <c r="C974" s="123"/>
      <c r="D974" s="123"/>
      <c r="AN974" s="128"/>
      <c r="AO974" s="29"/>
      <c r="AY974" s="25"/>
      <c r="AZ974" s="15"/>
      <c r="BE974" s="117"/>
      <c r="BF974" s="123"/>
      <c r="BG974" s="123"/>
      <c r="BH974" s="123"/>
      <c r="BJ974" s="115"/>
      <c r="BK974" s="115"/>
      <c r="BL974" s="115"/>
      <c r="BM974" s="115"/>
      <c r="BN974" s="115"/>
      <c r="BO974" s="115"/>
      <c r="BP974" s="115"/>
      <c r="BQ974" s="115"/>
      <c r="BR974" s="115"/>
      <c r="BS974" s="115"/>
      <c r="BT974" s="115"/>
      <c r="BU974" s="115"/>
      <c r="BV974" s="115"/>
      <c r="BW974" s="25"/>
      <c r="BX974" s="25"/>
      <c r="CA974" s="114"/>
    </row>
    <row r="975" spans="1:79" ht="19.5" x14ac:dyDescent="0.4">
      <c r="A975" s="117"/>
      <c r="B975" s="123"/>
      <c r="C975" s="123"/>
      <c r="D975" s="123"/>
      <c r="AN975" s="127"/>
      <c r="AO975" s="29"/>
      <c r="AP975" s="115"/>
      <c r="AQ975" s="115"/>
      <c r="AR975" s="115"/>
      <c r="AS975" s="115"/>
      <c r="AT975" s="115"/>
      <c r="AU975" s="115"/>
      <c r="AV975" s="115"/>
      <c r="AW975" s="115"/>
      <c r="AX975" s="115"/>
      <c r="AY975" s="25">
        <v>45689</v>
      </c>
      <c r="AZ975" s="15" t="s">
        <v>146</v>
      </c>
      <c r="BE975" s="117"/>
      <c r="BF975" s="123"/>
      <c r="BG975" s="123"/>
      <c r="BH975" s="123"/>
      <c r="BJ975" s="115"/>
      <c r="BK975" s="115"/>
      <c r="BL975" s="115"/>
      <c r="BM975" s="115"/>
      <c r="BN975" s="115"/>
      <c r="BO975" s="115"/>
      <c r="BP975" s="115"/>
      <c r="BQ975" s="115"/>
      <c r="BR975" s="115"/>
      <c r="BS975" s="115"/>
      <c r="BT975" s="115"/>
      <c r="BU975" s="115"/>
      <c r="BV975" s="115"/>
      <c r="BW975" s="25"/>
      <c r="BX975" s="25"/>
      <c r="CA975" s="114"/>
    </row>
    <row r="976" spans="1:79" ht="19.5" x14ac:dyDescent="0.4">
      <c r="A976" s="117"/>
      <c r="B976" s="123"/>
      <c r="C976" s="123"/>
      <c r="D976" s="123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  <c r="AK976" s="115"/>
      <c r="AL976" s="115"/>
      <c r="AM976" s="115"/>
      <c r="AN976" s="127"/>
      <c r="AO976" s="29"/>
      <c r="AP976" s="115"/>
      <c r="AQ976" s="115"/>
      <c r="AR976" s="115"/>
      <c r="AS976" s="115"/>
      <c r="AT976" s="115"/>
      <c r="AU976" s="115"/>
      <c r="AV976" s="115"/>
      <c r="AW976" s="115"/>
      <c r="AX976" s="115"/>
      <c r="AY976" s="25"/>
      <c r="AZ976" s="15"/>
      <c r="BE976" s="117"/>
      <c r="BF976" s="123"/>
      <c r="BG976" s="123"/>
      <c r="BH976" s="123"/>
      <c r="BJ976" s="115"/>
      <c r="BK976" s="115"/>
      <c r="BL976" s="115"/>
      <c r="BM976" s="115"/>
      <c r="BN976" s="115"/>
      <c r="BO976" s="115"/>
      <c r="BP976" s="115"/>
      <c r="BQ976" s="115"/>
      <c r="BR976" s="115"/>
      <c r="BS976" s="115"/>
      <c r="BT976" s="115"/>
      <c r="BU976" s="115"/>
      <c r="BV976" s="115"/>
      <c r="BW976" s="25"/>
      <c r="BX976" s="25"/>
      <c r="CA976" s="114"/>
    </row>
    <row r="977" spans="1:79" ht="19.5" x14ac:dyDescent="0.4">
      <c r="A977" s="117"/>
      <c r="B977" s="123"/>
      <c r="C977" s="123"/>
      <c r="D977" s="123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  <c r="AK977" s="115"/>
      <c r="AL977" s="115"/>
      <c r="AM977" s="115"/>
      <c r="AN977" s="127"/>
      <c r="AO977" s="29"/>
      <c r="AP977" s="115"/>
      <c r="AQ977" s="115"/>
      <c r="AR977" s="115"/>
      <c r="AS977" s="115"/>
      <c r="AT977" s="115"/>
      <c r="AU977" s="115"/>
      <c r="AV977" s="115"/>
      <c r="AW977" s="115"/>
      <c r="AX977" s="115"/>
      <c r="AY977" s="25"/>
      <c r="AZ977" s="15"/>
      <c r="BE977" s="117"/>
      <c r="BF977" s="123"/>
      <c r="BG977" s="123"/>
      <c r="BH977" s="123"/>
      <c r="BJ977" s="115"/>
      <c r="BK977" s="115"/>
      <c r="BL977" s="115"/>
      <c r="BM977" s="115"/>
      <c r="BN977" s="115"/>
      <c r="BO977" s="115"/>
      <c r="BP977" s="115"/>
      <c r="BQ977" s="115"/>
      <c r="BR977" s="115"/>
      <c r="BS977" s="115"/>
      <c r="BT977" s="115"/>
      <c r="BU977" s="115"/>
      <c r="BV977" s="115"/>
      <c r="BW977" s="25"/>
      <c r="BX977" s="25"/>
      <c r="CA977" s="114"/>
    </row>
    <row r="978" spans="1:79" ht="19.5" x14ac:dyDescent="0.4">
      <c r="A978" s="117"/>
      <c r="B978" s="123"/>
      <c r="C978" s="123"/>
      <c r="D978" s="123"/>
      <c r="AN978" s="127"/>
      <c r="AO978" s="29"/>
      <c r="AP978" s="115"/>
      <c r="AQ978" s="115"/>
      <c r="AR978" s="115"/>
      <c r="AS978" s="115"/>
      <c r="AT978" s="115"/>
      <c r="AU978" s="115"/>
      <c r="AV978" s="115"/>
      <c r="AW978" s="115"/>
      <c r="AX978" s="115"/>
      <c r="AY978" s="25">
        <v>45690</v>
      </c>
      <c r="AZ978" s="15" t="s">
        <v>146</v>
      </c>
      <c r="BE978" s="117"/>
      <c r="BF978" s="123"/>
      <c r="BG978" s="123"/>
      <c r="BH978" s="123"/>
      <c r="BJ978" s="115"/>
      <c r="BK978" s="115"/>
      <c r="BL978" s="115"/>
      <c r="BM978" s="115"/>
      <c r="BN978" s="115"/>
      <c r="BO978" s="115"/>
      <c r="BP978" s="115"/>
      <c r="BQ978" s="115"/>
      <c r="BR978" s="115"/>
      <c r="BS978" s="115"/>
      <c r="BT978" s="115"/>
      <c r="BU978" s="115"/>
      <c r="BV978" s="115"/>
      <c r="BW978" s="25"/>
      <c r="BX978" s="25"/>
      <c r="CA978" s="114"/>
    </row>
    <row r="979" spans="1:79" ht="19.5" x14ac:dyDescent="0.4">
      <c r="A979" s="117"/>
      <c r="B979" s="123"/>
      <c r="C979" s="123"/>
      <c r="D979" s="123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  <c r="AK979" s="115"/>
      <c r="AL979" s="115"/>
      <c r="AM979" s="115"/>
      <c r="AN979" s="127"/>
      <c r="AO979" s="29"/>
      <c r="AP979" s="115"/>
      <c r="AQ979" s="115"/>
      <c r="AR979" s="115"/>
      <c r="AS979" s="115"/>
      <c r="AT979" s="115"/>
      <c r="AU979" s="115"/>
      <c r="AV979" s="115"/>
      <c r="AW979" s="115"/>
      <c r="AX979" s="115"/>
      <c r="AY979" s="25"/>
      <c r="AZ979" s="15"/>
      <c r="BE979" s="117"/>
      <c r="BF979" s="123"/>
      <c r="BG979" s="123"/>
      <c r="BH979" s="123"/>
      <c r="BJ979" s="115"/>
      <c r="BK979" s="115"/>
      <c r="BL979" s="115"/>
      <c r="BM979" s="115"/>
      <c r="BN979" s="115"/>
      <c r="BO979" s="115"/>
      <c r="BP979" s="115"/>
      <c r="BQ979" s="115"/>
      <c r="BR979" s="115"/>
      <c r="BS979" s="115"/>
      <c r="BT979" s="115"/>
      <c r="BU979" s="115"/>
      <c r="BV979" s="115"/>
      <c r="BW979" s="25"/>
      <c r="BX979" s="25"/>
      <c r="CA979" s="114"/>
    </row>
    <row r="980" spans="1:79" ht="19.5" x14ac:dyDescent="0.4">
      <c r="A980" s="117"/>
      <c r="B980" s="123"/>
      <c r="C980" s="123"/>
      <c r="D980" s="123"/>
      <c r="AN980" s="127"/>
      <c r="AO980" s="29"/>
      <c r="AP980" s="115"/>
      <c r="AQ980" s="115"/>
      <c r="AR980" s="115"/>
      <c r="AS980" s="115"/>
      <c r="AT980" s="115"/>
      <c r="AU980" s="115"/>
      <c r="AV980" s="115"/>
      <c r="AW980" s="115"/>
      <c r="AX980" s="115"/>
      <c r="AY980" s="25">
        <v>45691</v>
      </c>
      <c r="AZ980" s="15" t="s">
        <v>146</v>
      </c>
      <c r="BE980" s="117"/>
      <c r="BF980" s="123"/>
      <c r="BG980" s="123"/>
      <c r="BH980" s="123"/>
      <c r="BJ980" s="115"/>
      <c r="BK980" s="115"/>
      <c r="BL980" s="115"/>
      <c r="BM980" s="115"/>
      <c r="BN980" s="115"/>
      <c r="BO980" s="115"/>
      <c r="BP980" s="115"/>
      <c r="BQ980" s="115"/>
      <c r="BR980" s="115"/>
      <c r="BS980" s="115"/>
      <c r="BT980" s="115"/>
      <c r="BU980" s="115"/>
      <c r="BV980" s="115"/>
      <c r="BW980" s="25"/>
      <c r="BX980" s="25"/>
      <c r="CA980" s="114"/>
    </row>
    <row r="981" spans="1:79" ht="19.5" x14ac:dyDescent="0.4">
      <c r="A981" s="117"/>
      <c r="B981" s="123"/>
      <c r="C981" s="123"/>
      <c r="D981" s="123"/>
      <c r="AN981" s="127"/>
      <c r="AO981" s="29"/>
      <c r="AY981" s="25">
        <v>45691</v>
      </c>
      <c r="AZ981" s="15" t="s">
        <v>146</v>
      </c>
      <c r="BE981" s="117"/>
      <c r="BF981" s="123"/>
      <c r="BG981" s="123"/>
      <c r="BH981" s="123"/>
      <c r="BJ981" s="115"/>
      <c r="BK981" s="115"/>
      <c r="BL981" s="115"/>
      <c r="BM981" s="115"/>
      <c r="BN981" s="115"/>
      <c r="BO981" s="115"/>
      <c r="BP981" s="115"/>
      <c r="BQ981" s="115"/>
      <c r="BR981" s="115"/>
      <c r="BS981" s="115"/>
      <c r="BT981" s="115"/>
      <c r="BU981" s="115"/>
      <c r="BV981" s="115" t="s">
        <v>156</v>
      </c>
      <c r="BW981" s="13">
        <f>SUBTOTAL(3,BW973:BW973)</f>
        <v>1</v>
      </c>
      <c r="BX981" s="13">
        <f>SUBTOTAL(3,BX973:BX973)</f>
        <v>1</v>
      </c>
      <c r="CA981" s="114"/>
    </row>
    <row r="982" spans="1:79" ht="19.5" x14ac:dyDescent="0.4">
      <c r="A982" s="117"/>
      <c r="B982" s="123"/>
      <c r="C982" s="123"/>
      <c r="D982" s="123"/>
      <c r="AN982" s="127"/>
      <c r="AO982" s="29"/>
      <c r="AU982" s="115"/>
      <c r="AV982" s="115"/>
      <c r="AW982" s="115"/>
      <c r="AX982" s="115"/>
      <c r="AY982" s="25">
        <v>45691</v>
      </c>
      <c r="AZ982" s="15" t="s">
        <v>146</v>
      </c>
      <c r="BE982" s="117"/>
      <c r="BF982" s="123"/>
      <c r="BG982" s="123"/>
      <c r="BH982" s="123"/>
      <c r="BJ982" s="115"/>
      <c r="BK982" s="115"/>
      <c r="BL982" s="115"/>
      <c r="BM982" s="115"/>
      <c r="BN982" s="115"/>
      <c r="BO982" s="115"/>
      <c r="BP982" s="115"/>
      <c r="BQ982" s="115"/>
      <c r="BR982" s="115"/>
      <c r="BS982" s="115"/>
      <c r="BT982" s="115"/>
      <c r="BU982" s="115"/>
      <c r="BV982" s="115"/>
      <c r="BW982" s="13"/>
      <c r="BX982" s="13"/>
      <c r="CA982" s="114"/>
    </row>
    <row r="983" spans="1:79" ht="19.5" x14ac:dyDescent="0.4">
      <c r="A983" s="117"/>
      <c r="B983" s="123"/>
      <c r="C983" s="123"/>
      <c r="D983" s="123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  <c r="AK983" s="115"/>
      <c r="AL983" s="115"/>
      <c r="AM983" s="115"/>
      <c r="AN983" s="127"/>
      <c r="AO983" s="29"/>
      <c r="AU983" s="115"/>
      <c r="AV983" s="115"/>
      <c r="AW983" s="115"/>
      <c r="AX983" s="115"/>
      <c r="AY983" s="25"/>
      <c r="AZ983" s="15"/>
      <c r="BE983" s="117"/>
      <c r="BF983" s="123"/>
      <c r="BG983" s="123"/>
      <c r="BH983" s="123"/>
      <c r="BJ983" s="115"/>
      <c r="BK983" s="115"/>
      <c r="BL983" s="115"/>
      <c r="BM983" s="115"/>
      <c r="BN983" s="115"/>
      <c r="BO983" s="115"/>
      <c r="BP983" s="115"/>
      <c r="BQ983" s="115"/>
      <c r="BR983" s="115"/>
      <c r="BS983" s="115"/>
      <c r="BT983" s="115"/>
      <c r="BU983" s="115"/>
      <c r="BV983" s="115"/>
      <c r="BW983" s="13"/>
      <c r="BX983" s="13"/>
      <c r="CA983" s="114"/>
    </row>
    <row r="984" spans="1:79" ht="19.5" x14ac:dyDescent="0.4">
      <c r="A984" s="117"/>
      <c r="B984" s="123"/>
      <c r="C984" s="123"/>
      <c r="D984" s="123"/>
      <c r="AN984" s="127"/>
      <c r="AO984" s="29"/>
      <c r="AP984" s="115"/>
      <c r="AQ984" s="115"/>
      <c r="AR984" s="115"/>
      <c r="AS984" s="115"/>
      <c r="AT984" s="115"/>
      <c r="AU984" s="115"/>
      <c r="AV984" s="115"/>
      <c r="AW984" s="115"/>
      <c r="AX984" s="115"/>
      <c r="AY984" s="25">
        <v>45691</v>
      </c>
      <c r="AZ984" s="15" t="s">
        <v>146</v>
      </c>
      <c r="BE984" s="117"/>
      <c r="BF984" s="123"/>
      <c r="BG984" s="123"/>
      <c r="BH984" s="123"/>
      <c r="BJ984" s="115"/>
      <c r="BK984" s="115"/>
      <c r="BL984" s="115"/>
      <c r="BM984" s="115"/>
      <c r="BN984" s="115"/>
      <c r="BO984" s="115"/>
      <c r="BP984" s="115"/>
      <c r="BQ984" s="115"/>
      <c r="BR984" s="115"/>
      <c r="BS984" s="115"/>
      <c r="BT984" s="115"/>
      <c r="BU984" s="115"/>
      <c r="BV984" s="115"/>
      <c r="BW984" s="13"/>
      <c r="BX984" s="13"/>
      <c r="CA984" s="114"/>
    </row>
    <row r="985" spans="1:79" ht="19.5" x14ac:dyDescent="0.4">
      <c r="A985" s="117"/>
      <c r="B985" s="123"/>
      <c r="C985" s="123"/>
      <c r="D985" s="123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  <c r="AK985" s="115"/>
      <c r="AL985" s="115"/>
      <c r="AM985" s="115"/>
      <c r="AN985" s="127"/>
      <c r="AO985" s="29"/>
      <c r="AP985" s="115"/>
      <c r="AQ985" s="115"/>
      <c r="AR985" s="115"/>
      <c r="AS985" s="115"/>
      <c r="AT985" s="115"/>
      <c r="AU985" s="115"/>
      <c r="AV985" s="115"/>
      <c r="AW985" s="115"/>
      <c r="AX985" s="115"/>
      <c r="AY985" s="25"/>
      <c r="AZ985" s="15"/>
      <c r="BE985" s="117"/>
      <c r="BF985" s="123"/>
      <c r="BG985" s="123"/>
      <c r="BH985" s="123"/>
      <c r="BJ985" s="115"/>
      <c r="BK985" s="115"/>
      <c r="BL985" s="115"/>
      <c r="BM985" s="115"/>
      <c r="BN985" s="115"/>
      <c r="BO985" s="115"/>
      <c r="BP985" s="115"/>
      <c r="BQ985" s="115"/>
      <c r="BR985" s="115"/>
      <c r="BS985" s="115"/>
      <c r="BT985" s="115"/>
      <c r="BU985" s="115"/>
      <c r="BV985" s="115"/>
      <c r="BW985" s="13"/>
      <c r="BX985" s="13"/>
      <c r="CA985" s="114"/>
    </row>
    <row r="986" spans="1:79" ht="19.5" x14ac:dyDescent="0.4">
      <c r="A986" s="117"/>
      <c r="B986" s="123"/>
      <c r="C986" s="123"/>
      <c r="D986" s="123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  <c r="AK986" s="115"/>
      <c r="AL986" s="115"/>
      <c r="AM986" s="115"/>
      <c r="AN986" s="127"/>
      <c r="AO986" s="29"/>
      <c r="AP986" s="115"/>
      <c r="AQ986" s="115"/>
      <c r="AR986" s="115"/>
      <c r="AS986" s="115"/>
      <c r="AT986" s="115"/>
      <c r="AU986" s="115"/>
      <c r="AV986" s="115"/>
      <c r="AW986" s="115"/>
      <c r="AX986" s="115"/>
      <c r="AY986" s="25"/>
      <c r="AZ986" s="15"/>
      <c r="BE986" s="117"/>
      <c r="BF986" s="123"/>
      <c r="BG986" s="123"/>
      <c r="BH986" s="123"/>
      <c r="BJ986" s="115"/>
      <c r="BK986" s="115"/>
      <c r="BL986" s="115"/>
      <c r="BM986" s="115"/>
      <c r="BN986" s="115"/>
      <c r="BO986" s="115"/>
      <c r="BP986" s="115"/>
      <c r="BQ986" s="115"/>
      <c r="BR986" s="115"/>
      <c r="BS986" s="115"/>
      <c r="BT986" s="115"/>
      <c r="BU986" s="115"/>
      <c r="BV986" s="115"/>
      <c r="BW986" s="13"/>
      <c r="BX986" s="13"/>
      <c r="CA986" s="114"/>
    </row>
    <row r="987" spans="1:79" ht="19.5" x14ac:dyDescent="0.4">
      <c r="A987" s="117"/>
      <c r="B987" s="123"/>
      <c r="C987" s="123"/>
      <c r="D987" s="123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  <c r="AK987" s="115"/>
      <c r="AL987" s="115"/>
      <c r="AM987" s="115"/>
      <c r="AN987" s="127"/>
      <c r="AO987" s="29"/>
      <c r="AP987" s="115"/>
      <c r="AQ987" s="115"/>
      <c r="AR987" s="115"/>
      <c r="AS987" s="115"/>
      <c r="AT987" s="115"/>
      <c r="AU987" s="115"/>
      <c r="AV987" s="115"/>
      <c r="AW987" s="115"/>
      <c r="AX987" s="115"/>
      <c r="AY987" s="25"/>
      <c r="AZ987" s="15"/>
      <c r="BE987" s="117"/>
      <c r="BF987" s="123"/>
      <c r="BG987" s="123"/>
      <c r="BH987" s="123"/>
      <c r="BJ987" s="115"/>
      <c r="BK987" s="115"/>
      <c r="BL987" s="115"/>
      <c r="BM987" s="115"/>
      <c r="BN987" s="115"/>
      <c r="BO987" s="115"/>
      <c r="BP987" s="115"/>
      <c r="BQ987" s="115"/>
      <c r="BR987" s="115"/>
      <c r="BS987" s="115"/>
      <c r="BT987" s="115"/>
      <c r="BU987" s="115"/>
      <c r="BV987" s="115"/>
      <c r="BW987" s="13"/>
      <c r="BX987" s="13"/>
      <c r="CA987" s="114"/>
    </row>
    <row r="988" spans="1:79" ht="19.5" x14ac:dyDescent="0.4">
      <c r="A988" s="117"/>
      <c r="B988" s="123"/>
      <c r="C988" s="123"/>
      <c r="D988" s="123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  <c r="AK988" s="115"/>
      <c r="AL988" s="115"/>
      <c r="AM988" s="115"/>
      <c r="AN988" s="128"/>
      <c r="AO988" s="29"/>
      <c r="AP988" s="115"/>
      <c r="AQ988" s="115"/>
      <c r="AR988" s="115"/>
      <c r="AS988" s="115"/>
      <c r="AT988" s="115"/>
      <c r="AU988" s="115"/>
      <c r="AV988" s="115"/>
      <c r="AW988" s="115"/>
      <c r="AX988" s="115"/>
      <c r="AY988" s="25"/>
      <c r="AZ988" s="15"/>
      <c r="BE988" s="117"/>
      <c r="BF988" s="123"/>
      <c r="BG988" s="123"/>
      <c r="BH988" s="123"/>
      <c r="BJ988" s="115"/>
      <c r="BK988" s="115"/>
      <c r="BL988" s="115"/>
      <c r="BM988" s="115"/>
      <c r="BN988" s="115"/>
      <c r="BO988" s="115"/>
      <c r="BP988" s="115"/>
      <c r="BQ988" s="115"/>
      <c r="BR988" s="115"/>
      <c r="BS988" s="115"/>
      <c r="BT988" s="115"/>
      <c r="BU988" s="115"/>
      <c r="BV988" s="115"/>
      <c r="BW988" s="13"/>
      <c r="BX988" s="13"/>
      <c r="CA988" s="114"/>
    </row>
    <row r="989" spans="1:79" ht="19.5" x14ac:dyDescent="0.4">
      <c r="A989" s="117"/>
      <c r="B989" s="123"/>
      <c r="C989" s="123"/>
      <c r="D989" s="123"/>
      <c r="AN989" s="127"/>
      <c r="AO989" s="29"/>
      <c r="AP989" s="115"/>
      <c r="AQ989" s="115"/>
      <c r="AR989" s="115"/>
      <c r="AS989" s="115"/>
      <c r="AT989" s="115"/>
      <c r="AU989" s="115"/>
      <c r="AV989" s="115"/>
      <c r="AW989" s="115"/>
      <c r="AX989" s="115"/>
      <c r="AY989" s="25">
        <v>45692</v>
      </c>
      <c r="AZ989" s="15" t="s">
        <v>146</v>
      </c>
      <c r="BE989" s="117"/>
      <c r="BF989" s="123"/>
      <c r="BG989" s="123"/>
      <c r="BH989" s="123"/>
      <c r="BJ989" s="115"/>
      <c r="BK989" s="115"/>
      <c r="BL989" s="115"/>
      <c r="BM989" s="115"/>
      <c r="BN989" s="115"/>
      <c r="BO989" s="115"/>
      <c r="BP989" s="115"/>
      <c r="BQ989" s="115"/>
      <c r="BR989" s="115"/>
      <c r="BS989" s="115"/>
      <c r="BT989" s="115"/>
      <c r="BU989" s="115"/>
      <c r="BV989" s="115"/>
      <c r="BW989" s="13"/>
      <c r="BX989" s="13"/>
      <c r="CA989" s="114"/>
    </row>
    <row r="990" spans="1:79" ht="19.5" x14ac:dyDescent="0.4">
      <c r="A990" s="117"/>
      <c r="B990" s="123"/>
      <c r="C990" s="123"/>
      <c r="D990" s="123"/>
      <c r="AN990" s="128"/>
      <c r="AO990" s="29"/>
      <c r="AP990" s="115"/>
      <c r="AQ990" s="115"/>
      <c r="AR990" s="115"/>
      <c r="AS990" s="115"/>
      <c r="AT990" s="115"/>
      <c r="AU990" s="115"/>
      <c r="AV990" s="115"/>
      <c r="AW990" s="115"/>
      <c r="AX990" s="115"/>
      <c r="AY990" s="25"/>
      <c r="AZ990" s="15"/>
      <c r="BE990" s="117"/>
      <c r="BF990" s="123"/>
      <c r="BG990" s="123"/>
      <c r="BH990" s="123"/>
      <c r="BJ990" s="115"/>
      <c r="BK990" s="115"/>
      <c r="BL990" s="115"/>
      <c r="BM990" s="115"/>
      <c r="BN990" s="115"/>
      <c r="BO990" s="115"/>
      <c r="BP990" s="115"/>
      <c r="BQ990" s="115"/>
      <c r="BR990" s="115"/>
      <c r="BS990" s="115"/>
      <c r="BT990" s="115"/>
      <c r="BU990" s="115"/>
      <c r="BV990" s="115"/>
      <c r="BW990" s="13"/>
      <c r="BX990" s="13"/>
      <c r="CA990" s="114"/>
    </row>
    <row r="991" spans="1:79" ht="19.5" x14ac:dyDescent="0.4">
      <c r="A991" s="117"/>
      <c r="B991" s="123"/>
      <c r="C991" s="123"/>
      <c r="D991" s="123"/>
      <c r="AN991" s="127"/>
      <c r="AO991" s="29"/>
      <c r="AY991" s="25">
        <v>45692</v>
      </c>
      <c r="AZ991" s="15" t="s">
        <v>146</v>
      </c>
      <c r="BE991" s="117"/>
      <c r="BF991" s="123"/>
      <c r="BG991" s="123"/>
      <c r="BH991" s="123"/>
      <c r="BJ991" s="115"/>
      <c r="BK991" s="115"/>
      <c r="BL991" s="115"/>
      <c r="BM991" s="115"/>
      <c r="BN991" s="115"/>
      <c r="BO991" s="115"/>
      <c r="BP991" s="115"/>
      <c r="BQ991" s="115"/>
      <c r="BR991" s="115"/>
      <c r="BS991" s="115"/>
      <c r="BT991" s="115"/>
      <c r="BU991" s="115"/>
      <c r="BV991" s="115"/>
      <c r="BW991" s="25">
        <v>45267</v>
      </c>
      <c r="BX991" s="13" t="s">
        <v>142</v>
      </c>
      <c r="CA991" s="114"/>
    </row>
    <row r="992" spans="1:79" ht="19.5" x14ac:dyDescent="0.4">
      <c r="A992" s="117"/>
      <c r="B992" s="123"/>
      <c r="C992" s="123"/>
      <c r="D992" s="123"/>
      <c r="AN992" s="127"/>
      <c r="AO992" s="29"/>
      <c r="AU992" s="115"/>
      <c r="AV992" s="115"/>
      <c r="AW992" s="115"/>
      <c r="AX992" s="115"/>
      <c r="AY992" s="25">
        <v>45692</v>
      </c>
      <c r="AZ992" s="15" t="s">
        <v>146</v>
      </c>
      <c r="BE992" s="117"/>
      <c r="BF992" s="123"/>
      <c r="BG992" s="123"/>
      <c r="BH992" s="123"/>
      <c r="BJ992" s="115"/>
      <c r="BK992" s="115"/>
      <c r="BL992" s="115"/>
      <c r="BM992" s="115"/>
      <c r="BN992" s="115"/>
      <c r="BO992" s="115"/>
      <c r="BP992" s="115"/>
      <c r="BQ992" s="115"/>
      <c r="BR992" s="115"/>
      <c r="BS992" s="115"/>
      <c r="BT992" s="115"/>
      <c r="BU992" s="115"/>
      <c r="BV992" s="115"/>
      <c r="BW992" s="25"/>
      <c r="BX992" s="13"/>
      <c r="CA992" s="114"/>
    </row>
    <row r="993" spans="1:79" ht="19.5" x14ac:dyDescent="0.4">
      <c r="A993" s="117"/>
      <c r="B993" s="123"/>
      <c r="C993" s="123"/>
      <c r="D993" s="123"/>
      <c r="AN993" s="127"/>
      <c r="AO993" s="29"/>
      <c r="AQ993" s="115"/>
      <c r="AR993" s="115"/>
      <c r="AS993" s="115"/>
      <c r="AT993" s="115"/>
      <c r="AU993" s="115"/>
      <c r="AV993" s="115"/>
      <c r="AW993" s="115"/>
      <c r="AX993" s="115"/>
      <c r="AY993" s="25">
        <v>45692</v>
      </c>
      <c r="AZ993" s="15" t="s">
        <v>146</v>
      </c>
      <c r="BE993" s="117"/>
      <c r="BF993" s="123"/>
      <c r="BG993" s="123"/>
      <c r="BH993" s="123"/>
      <c r="BJ993" s="115"/>
      <c r="BK993" s="115"/>
      <c r="BL993" s="115"/>
      <c r="BM993" s="115"/>
      <c r="BN993" s="115"/>
      <c r="BO993" s="115"/>
      <c r="BP993" s="115"/>
      <c r="BQ993" s="115"/>
      <c r="BR993" s="115"/>
      <c r="BS993" s="115"/>
      <c r="BT993" s="115"/>
      <c r="BU993" s="115"/>
      <c r="BV993" s="115"/>
      <c r="BW993" s="25"/>
      <c r="BX993" s="13"/>
      <c r="CA993" s="114"/>
    </row>
    <row r="994" spans="1:79" ht="19.5" x14ac:dyDescent="0.4">
      <c r="A994" s="117"/>
      <c r="B994" s="123"/>
      <c r="C994" s="123"/>
      <c r="D994" s="123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  <c r="AK994" s="115"/>
      <c r="AL994" s="115"/>
      <c r="AM994" s="115"/>
      <c r="AN994" s="127"/>
      <c r="AO994" s="29"/>
      <c r="AQ994" s="115"/>
      <c r="AR994" s="115"/>
      <c r="AS994" s="115"/>
      <c r="AT994" s="115"/>
      <c r="AU994" s="115"/>
      <c r="AV994" s="115"/>
      <c r="AW994" s="115"/>
      <c r="AX994" s="115"/>
      <c r="AY994" s="25"/>
      <c r="AZ994" s="15"/>
      <c r="BE994" s="117"/>
      <c r="BF994" s="123"/>
      <c r="BG994" s="123"/>
      <c r="BH994" s="123"/>
      <c r="BJ994" s="115"/>
      <c r="BK994" s="115"/>
      <c r="BL994" s="115"/>
      <c r="BM994" s="115"/>
      <c r="BN994" s="115"/>
      <c r="BO994" s="115"/>
      <c r="BP994" s="115"/>
      <c r="BQ994" s="115"/>
      <c r="BR994" s="115"/>
      <c r="BS994" s="115"/>
      <c r="BT994" s="115"/>
      <c r="BU994" s="115"/>
      <c r="BV994" s="115"/>
      <c r="BW994" s="25"/>
      <c r="BX994" s="13"/>
      <c r="CA994" s="114"/>
    </row>
    <row r="995" spans="1:79" ht="19.5" x14ac:dyDescent="0.4">
      <c r="A995" s="117"/>
      <c r="B995" s="123"/>
      <c r="C995" s="123"/>
      <c r="D995" s="123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  <c r="AK995" s="115"/>
      <c r="AL995" s="115"/>
      <c r="AM995" s="115"/>
      <c r="AN995" s="128"/>
      <c r="AO995" s="29"/>
      <c r="AQ995" s="115"/>
      <c r="AR995" s="115"/>
      <c r="AS995" s="115"/>
      <c r="AT995" s="115"/>
      <c r="AU995" s="115"/>
      <c r="AV995" s="115"/>
      <c r="AW995" s="115"/>
      <c r="AX995" s="115"/>
      <c r="AY995" s="25"/>
      <c r="AZ995" s="15"/>
      <c r="BE995" s="117"/>
      <c r="BF995" s="123"/>
      <c r="BG995" s="123"/>
      <c r="BH995" s="123"/>
      <c r="BJ995" s="115"/>
      <c r="BK995" s="115"/>
      <c r="BL995" s="115"/>
      <c r="BM995" s="115"/>
      <c r="BN995" s="115"/>
      <c r="BO995" s="115"/>
      <c r="BP995" s="115"/>
      <c r="BQ995" s="115"/>
      <c r="BR995" s="115"/>
      <c r="BS995" s="115"/>
      <c r="BT995" s="115"/>
      <c r="BU995" s="115"/>
      <c r="BV995" s="115"/>
      <c r="BW995" s="25"/>
      <c r="BX995" s="13"/>
      <c r="CA995" s="114"/>
    </row>
    <row r="996" spans="1:79" ht="19.5" x14ac:dyDescent="0.4">
      <c r="A996" s="117"/>
      <c r="B996" s="123"/>
      <c r="C996" s="123"/>
      <c r="D996" s="123"/>
      <c r="AN996" s="127"/>
      <c r="AO996" s="29"/>
      <c r="AP996" s="115"/>
      <c r="AQ996" s="115"/>
      <c r="AR996" s="115"/>
      <c r="AS996" s="115"/>
      <c r="AT996" s="115"/>
      <c r="AU996" s="115"/>
      <c r="AV996" s="115"/>
      <c r="AW996" s="115"/>
      <c r="AX996" s="115"/>
      <c r="AY996" s="25">
        <v>45693</v>
      </c>
      <c r="AZ996" s="15" t="s">
        <v>146</v>
      </c>
      <c r="BE996" s="117"/>
      <c r="BF996" s="123"/>
      <c r="BG996" s="123"/>
      <c r="BH996" s="123"/>
      <c r="BJ996" s="115"/>
      <c r="BK996" s="115"/>
      <c r="BL996" s="115"/>
      <c r="BM996" s="115"/>
      <c r="BN996" s="115"/>
      <c r="BO996" s="115"/>
      <c r="BP996" s="115"/>
      <c r="BQ996" s="115"/>
      <c r="BR996" s="115"/>
      <c r="BS996" s="115"/>
      <c r="BT996" s="115"/>
      <c r="BU996" s="115"/>
      <c r="BV996" s="115"/>
      <c r="BW996" s="25"/>
      <c r="BX996" s="13"/>
      <c r="CA996" s="114"/>
    </row>
    <row r="997" spans="1:79" ht="19.5" x14ac:dyDescent="0.4">
      <c r="A997" s="117"/>
      <c r="B997" s="123"/>
      <c r="C997" s="123"/>
      <c r="D997" s="123"/>
      <c r="AN997" s="128"/>
      <c r="AO997" s="29"/>
      <c r="AP997" s="115"/>
      <c r="AQ997" s="115"/>
      <c r="AR997" s="115"/>
      <c r="AS997" s="115"/>
      <c r="AT997" s="115"/>
      <c r="AU997" s="115"/>
      <c r="AV997" s="115"/>
      <c r="AW997" s="115"/>
      <c r="AX997" s="115"/>
      <c r="AY997" s="25"/>
      <c r="AZ997" s="15"/>
      <c r="BE997" s="117"/>
      <c r="BF997" s="123"/>
      <c r="BG997" s="123"/>
      <c r="BH997" s="123"/>
      <c r="BJ997" s="115"/>
      <c r="BK997" s="115"/>
      <c r="BL997" s="115"/>
      <c r="BM997" s="115"/>
      <c r="BN997" s="115"/>
      <c r="BO997" s="115"/>
      <c r="BP997" s="115"/>
      <c r="BQ997" s="115"/>
      <c r="BR997" s="115"/>
      <c r="BS997" s="115"/>
      <c r="BT997" s="115"/>
      <c r="BU997" s="115"/>
      <c r="BV997" s="115"/>
      <c r="BW997" s="25"/>
      <c r="BX997" s="13"/>
      <c r="CA997" s="114"/>
    </row>
    <row r="998" spans="1:79" ht="19.5" x14ac:dyDescent="0.4">
      <c r="A998" s="117"/>
      <c r="B998" s="123"/>
      <c r="C998" s="123"/>
      <c r="D998" s="123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  <c r="AK998" s="115"/>
      <c r="AL998" s="115"/>
      <c r="AM998" s="115"/>
      <c r="AN998" s="127"/>
      <c r="AO998" s="29"/>
      <c r="AP998" s="115"/>
      <c r="AQ998" s="115"/>
      <c r="AR998" s="115"/>
      <c r="AS998" s="115"/>
      <c r="AT998" s="115"/>
      <c r="AU998" s="115"/>
      <c r="AV998" s="115"/>
      <c r="AW998" s="115"/>
      <c r="AX998" s="115"/>
      <c r="AY998" s="25"/>
      <c r="AZ998" s="15"/>
      <c r="BE998" s="117"/>
      <c r="BF998" s="123"/>
      <c r="BG998" s="123"/>
      <c r="BH998" s="123"/>
      <c r="BJ998" s="115"/>
      <c r="BK998" s="115"/>
      <c r="BL998" s="115"/>
      <c r="BM998" s="115"/>
      <c r="BN998" s="115"/>
      <c r="BO998" s="115"/>
      <c r="BP998" s="115"/>
      <c r="BQ998" s="115"/>
      <c r="BR998" s="115"/>
      <c r="BS998" s="115"/>
      <c r="BT998" s="115"/>
      <c r="BU998" s="115"/>
      <c r="BV998" s="115"/>
      <c r="BW998" s="25"/>
      <c r="BX998" s="13"/>
      <c r="CA998" s="114"/>
    </row>
    <row r="999" spans="1:79" ht="19.5" x14ac:dyDescent="0.4">
      <c r="A999" s="117"/>
      <c r="B999" s="123"/>
      <c r="C999" s="123"/>
      <c r="D999" s="123"/>
      <c r="AN999" s="127"/>
      <c r="AO999" s="29"/>
      <c r="AY999" s="25">
        <v>45693</v>
      </c>
      <c r="AZ999" s="15" t="s">
        <v>146</v>
      </c>
      <c r="BE999" s="117"/>
      <c r="BF999" s="123"/>
      <c r="BG999" s="123"/>
      <c r="BH999" s="123"/>
      <c r="BJ999" s="115"/>
      <c r="BK999" s="115"/>
      <c r="BL999" s="115"/>
      <c r="BM999" s="115"/>
      <c r="BN999" s="115"/>
      <c r="BO999" s="115"/>
      <c r="BP999" s="115"/>
      <c r="BQ999" s="115"/>
      <c r="BR999" s="115"/>
      <c r="BS999" s="115"/>
      <c r="BT999" s="115"/>
      <c r="BU999" s="115"/>
      <c r="BV999" s="115" t="s">
        <v>157</v>
      </c>
      <c r="BW999" s="13">
        <f>SUBTOTAL(3,BW991:BW991)</f>
        <v>1</v>
      </c>
      <c r="BX999" s="13">
        <f>SUBTOTAL(3,BX991:BX991)</f>
        <v>1</v>
      </c>
      <c r="CA999" s="114"/>
    </row>
    <row r="1000" spans="1:79" ht="19.5" x14ac:dyDescent="0.4">
      <c r="A1000" s="117"/>
      <c r="B1000" s="123"/>
      <c r="C1000" s="123"/>
      <c r="D1000" s="123"/>
      <c r="AN1000" s="127"/>
      <c r="AO1000" s="29"/>
      <c r="AQ1000" s="115"/>
      <c r="AR1000" s="115"/>
      <c r="AS1000" s="115"/>
      <c r="AT1000" s="115"/>
      <c r="AU1000" s="115"/>
      <c r="AV1000" s="115"/>
      <c r="AW1000" s="115"/>
      <c r="AX1000" s="115"/>
      <c r="AY1000" s="25">
        <v>45693</v>
      </c>
      <c r="AZ1000" s="15" t="s">
        <v>146</v>
      </c>
      <c r="BE1000" s="117"/>
      <c r="BF1000" s="123"/>
      <c r="BG1000" s="123"/>
      <c r="BH1000" s="123"/>
      <c r="BJ1000" s="115"/>
      <c r="BK1000" s="115"/>
      <c r="BL1000" s="115"/>
      <c r="BM1000" s="115"/>
      <c r="BN1000" s="115"/>
      <c r="BO1000" s="115"/>
      <c r="BP1000" s="115"/>
      <c r="BQ1000" s="115"/>
      <c r="BR1000" s="115"/>
      <c r="BS1000" s="115"/>
      <c r="BT1000" s="115"/>
      <c r="BU1000" s="115"/>
      <c r="BV1000" s="115"/>
      <c r="BW1000" s="13"/>
      <c r="BX1000" s="13"/>
      <c r="CA1000" s="114"/>
    </row>
    <row r="1001" spans="1:79" ht="19.5" x14ac:dyDescent="0.4">
      <c r="A1001" s="117"/>
      <c r="B1001" s="123"/>
      <c r="C1001" s="123"/>
      <c r="D1001" s="123"/>
      <c r="AN1001" s="128"/>
      <c r="AO1001" s="29"/>
      <c r="AQ1001" s="115"/>
      <c r="AR1001" s="115"/>
      <c r="AS1001" s="115"/>
      <c r="AT1001" s="115"/>
      <c r="AU1001" s="115"/>
      <c r="AV1001" s="115"/>
      <c r="AW1001" s="115"/>
      <c r="AX1001" s="115"/>
      <c r="AY1001" s="25"/>
      <c r="AZ1001" s="15"/>
      <c r="BE1001" s="117"/>
      <c r="BF1001" s="123"/>
      <c r="BG1001" s="123"/>
      <c r="BH1001" s="123"/>
      <c r="BJ1001" s="115"/>
      <c r="BK1001" s="115"/>
      <c r="BL1001" s="115"/>
      <c r="BM1001" s="115"/>
      <c r="BN1001" s="115"/>
      <c r="BO1001" s="115"/>
      <c r="BP1001" s="115"/>
      <c r="BQ1001" s="115"/>
      <c r="BR1001" s="115"/>
      <c r="BS1001" s="115"/>
      <c r="BT1001" s="115"/>
      <c r="BU1001" s="115"/>
      <c r="BV1001" s="115"/>
      <c r="BW1001" s="13"/>
      <c r="BX1001" s="13"/>
      <c r="CA1001" s="114"/>
    </row>
    <row r="1002" spans="1:79" ht="19.5" x14ac:dyDescent="0.4">
      <c r="A1002" s="117"/>
      <c r="B1002" s="123"/>
      <c r="C1002" s="123"/>
      <c r="D1002" s="123"/>
      <c r="AN1002" s="128"/>
      <c r="AO1002" s="29"/>
      <c r="AQ1002" s="115"/>
      <c r="AR1002" s="115"/>
      <c r="AS1002" s="115"/>
      <c r="AT1002" s="115"/>
      <c r="AU1002" s="115"/>
      <c r="AV1002" s="115"/>
      <c r="AW1002" s="115"/>
      <c r="AX1002" s="115"/>
      <c r="AY1002" s="25"/>
      <c r="AZ1002" s="15"/>
      <c r="BE1002" s="117"/>
      <c r="BF1002" s="123"/>
      <c r="BG1002" s="123"/>
      <c r="BH1002" s="123"/>
      <c r="BJ1002" s="115"/>
      <c r="BK1002" s="115"/>
      <c r="BL1002" s="115"/>
      <c r="BM1002" s="115"/>
      <c r="BN1002" s="115"/>
      <c r="BO1002" s="115"/>
      <c r="BP1002" s="115"/>
      <c r="BQ1002" s="115"/>
      <c r="BR1002" s="115"/>
      <c r="BS1002" s="115"/>
      <c r="BT1002" s="115"/>
      <c r="BU1002" s="115"/>
      <c r="BV1002" s="115"/>
      <c r="BW1002" s="13"/>
      <c r="BX1002" s="13"/>
      <c r="CA1002" s="114"/>
    </row>
    <row r="1003" spans="1:79" ht="19.5" x14ac:dyDescent="0.4">
      <c r="A1003" s="117"/>
      <c r="B1003" s="123"/>
      <c r="C1003" s="123"/>
      <c r="D1003" s="123"/>
      <c r="AN1003" s="127"/>
      <c r="AO1003" s="29"/>
      <c r="AQ1003" s="115"/>
      <c r="AR1003" s="115"/>
      <c r="AS1003" s="115"/>
      <c r="AT1003" s="115"/>
      <c r="AU1003" s="115"/>
      <c r="AV1003" s="115"/>
      <c r="AW1003" s="115"/>
      <c r="AX1003" s="115"/>
      <c r="AY1003" s="25">
        <v>45694</v>
      </c>
      <c r="AZ1003" s="15" t="s">
        <v>147</v>
      </c>
      <c r="BE1003" s="117"/>
      <c r="BF1003" s="123"/>
      <c r="BG1003" s="123"/>
      <c r="BH1003" s="123"/>
      <c r="BJ1003" s="115"/>
      <c r="BK1003" s="115"/>
      <c r="BL1003" s="115"/>
      <c r="BM1003" s="115"/>
      <c r="BN1003" s="115"/>
      <c r="BO1003" s="115"/>
      <c r="BP1003" s="115"/>
      <c r="BQ1003" s="115"/>
      <c r="BR1003" s="115"/>
      <c r="BS1003" s="115"/>
      <c r="BT1003" s="115"/>
      <c r="BU1003" s="115"/>
      <c r="BV1003" s="115"/>
      <c r="BW1003" s="13"/>
      <c r="BX1003" s="13"/>
      <c r="CA1003" s="114"/>
    </row>
    <row r="1004" spans="1:79" ht="19.5" x14ac:dyDescent="0.4">
      <c r="A1004" s="117"/>
      <c r="B1004" s="123"/>
      <c r="C1004" s="123"/>
      <c r="D1004" s="123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  <c r="AK1004" s="115"/>
      <c r="AL1004" s="115"/>
      <c r="AM1004" s="115"/>
      <c r="AN1004" s="29"/>
      <c r="AO1004" s="29"/>
      <c r="AQ1004" s="115"/>
      <c r="AR1004" s="115"/>
      <c r="AS1004" s="115"/>
      <c r="AT1004" s="115"/>
      <c r="AU1004" s="115"/>
      <c r="AV1004" s="115"/>
      <c r="AW1004" s="115"/>
      <c r="AX1004" s="115"/>
      <c r="AY1004" s="25"/>
      <c r="AZ1004" s="15"/>
      <c r="BE1004" s="117"/>
      <c r="BF1004" s="123"/>
      <c r="BG1004" s="123"/>
      <c r="BH1004" s="123"/>
      <c r="BJ1004" s="115"/>
      <c r="BK1004" s="115"/>
      <c r="BL1004" s="115"/>
      <c r="BM1004" s="115"/>
      <c r="BN1004" s="115"/>
      <c r="BO1004" s="115"/>
      <c r="BP1004" s="115"/>
      <c r="BQ1004" s="115"/>
      <c r="BR1004" s="115"/>
      <c r="BS1004" s="115"/>
      <c r="BT1004" s="115"/>
      <c r="BU1004" s="115"/>
      <c r="BV1004" s="115"/>
      <c r="BW1004" s="13"/>
      <c r="BX1004" s="13"/>
      <c r="CA1004" s="114"/>
    </row>
    <row r="1005" spans="1:79" ht="19.5" x14ac:dyDescent="0.4">
      <c r="A1005" s="117"/>
      <c r="B1005" s="123"/>
      <c r="C1005" s="123"/>
      <c r="D1005" s="123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  <c r="AK1005" s="115"/>
      <c r="AL1005" s="115"/>
      <c r="AM1005" s="115"/>
      <c r="AN1005" s="29"/>
      <c r="AO1005" s="29"/>
      <c r="AQ1005" s="115"/>
      <c r="AR1005" s="115"/>
      <c r="AS1005" s="115"/>
      <c r="AT1005" s="115"/>
      <c r="AU1005" s="115"/>
      <c r="AV1005" s="115"/>
      <c r="AW1005" s="115"/>
      <c r="AX1005" s="115"/>
      <c r="AY1005" s="25"/>
      <c r="AZ1005" s="15"/>
      <c r="BE1005" s="117"/>
      <c r="BF1005" s="123"/>
      <c r="BG1005" s="123"/>
      <c r="BH1005" s="123"/>
      <c r="BJ1005" s="115"/>
      <c r="BK1005" s="115"/>
      <c r="BL1005" s="115"/>
      <c r="BM1005" s="115"/>
      <c r="BN1005" s="115"/>
      <c r="BO1005" s="115"/>
      <c r="BP1005" s="115"/>
      <c r="BQ1005" s="115"/>
      <c r="BR1005" s="115"/>
      <c r="BS1005" s="115"/>
      <c r="BT1005" s="115"/>
      <c r="BU1005" s="115"/>
      <c r="BV1005" s="115"/>
      <c r="BW1005" s="13"/>
      <c r="BX1005" s="13"/>
      <c r="CA1005" s="114"/>
    </row>
    <row r="1006" spans="1:79" ht="19.5" x14ac:dyDescent="0.4">
      <c r="A1006" s="117"/>
      <c r="B1006" s="123"/>
      <c r="C1006" s="123"/>
      <c r="D1006" s="123"/>
      <c r="AN1006" s="127"/>
      <c r="AO1006" s="29"/>
      <c r="AQ1006" s="115"/>
      <c r="AR1006" s="115"/>
      <c r="AS1006" s="115"/>
      <c r="AT1006" s="115"/>
      <c r="AU1006" s="115"/>
      <c r="AV1006" s="115"/>
      <c r="AW1006" s="115"/>
      <c r="AX1006" s="115"/>
      <c r="AY1006" s="25">
        <v>45694</v>
      </c>
      <c r="AZ1006" s="105" t="s">
        <v>147</v>
      </c>
      <c r="BE1006" s="117"/>
      <c r="BF1006" s="123"/>
      <c r="BG1006" s="123"/>
      <c r="BH1006" s="123"/>
      <c r="BJ1006" s="115"/>
      <c r="BK1006" s="115"/>
      <c r="BL1006" s="115"/>
      <c r="BM1006" s="115"/>
      <c r="BN1006" s="115"/>
      <c r="BO1006" s="115"/>
      <c r="BP1006" s="115"/>
      <c r="BQ1006" s="115"/>
      <c r="BR1006" s="115"/>
      <c r="BS1006" s="115"/>
      <c r="BT1006" s="115"/>
      <c r="BU1006" s="115"/>
      <c r="BV1006" s="115"/>
      <c r="BW1006" s="13"/>
      <c r="BX1006" s="13"/>
      <c r="CA1006" s="114"/>
    </row>
    <row r="1007" spans="1:79" ht="19.5" x14ac:dyDescent="0.4">
      <c r="A1007" s="117"/>
      <c r="B1007" s="123"/>
      <c r="C1007" s="123"/>
      <c r="D1007" s="123"/>
      <c r="AN1007" s="127"/>
      <c r="AO1007" s="29"/>
      <c r="AP1007" s="115"/>
      <c r="AQ1007" s="115"/>
      <c r="AR1007" s="115"/>
      <c r="AS1007" s="115"/>
      <c r="AT1007" s="115"/>
      <c r="AU1007" s="115"/>
      <c r="AV1007" s="115"/>
      <c r="AW1007" s="115"/>
      <c r="AX1007" s="115"/>
      <c r="AY1007" s="25">
        <v>45694</v>
      </c>
      <c r="AZ1007" s="15" t="s">
        <v>147</v>
      </c>
      <c r="BE1007" s="117"/>
      <c r="BF1007" s="123"/>
      <c r="BG1007" s="123"/>
      <c r="BH1007" s="123"/>
      <c r="BJ1007" s="115"/>
      <c r="BK1007" s="115"/>
      <c r="BL1007" s="115"/>
      <c r="BM1007" s="115"/>
      <c r="BN1007" s="115"/>
      <c r="BO1007" s="115"/>
      <c r="BP1007" s="115"/>
      <c r="BQ1007" s="115"/>
      <c r="BR1007" s="115"/>
      <c r="BS1007" s="115"/>
      <c r="BT1007" s="115"/>
      <c r="BU1007" s="115"/>
      <c r="BV1007" s="115"/>
      <c r="BW1007" s="13"/>
      <c r="BX1007" s="13"/>
      <c r="CA1007" s="114"/>
    </row>
    <row r="1008" spans="1:79" ht="19.5" x14ac:dyDescent="0.4">
      <c r="A1008" s="117"/>
      <c r="B1008" s="123"/>
      <c r="C1008" s="123"/>
      <c r="D1008" s="123"/>
      <c r="AN1008" s="127"/>
      <c r="AO1008" s="29"/>
      <c r="AP1008" s="115"/>
      <c r="AQ1008" s="115"/>
      <c r="AR1008" s="115"/>
      <c r="AS1008" s="115"/>
      <c r="AT1008" s="115"/>
      <c r="AU1008" s="115"/>
      <c r="AV1008" s="115"/>
      <c r="AW1008" s="115"/>
      <c r="AX1008" s="115"/>
      <c r="AY1008" s="26">
        <v>45694</v>
      </c>
      <c r="AZ1008" s="15" t="s">
        <v>148</v>
      </c>
      <c r="BE1008" s="117"/>
      <c r="BF1008" s="123"/>
      <c r="BG1008" s="123"/>
      <c r="BH1008" s="123"/>
      <c r="BJ1008" s="115"/>
      <c r="BK1008" s="115"/>
      <c r="BL1008" s="115"/>
      <c r="BM1008" s="115"/>
      <c r="BN1008" s="115"/>
      <c r="BO1008" s="115"/>
      <c r="BP1008" s="115"/>
      <c r="BQ1008" s="115"/>
      <c r="BR1008" s="115"/>
      <c r="BS1008" s="115"/>
      <c r="BT1008" s="115"/>
      <c r="BU1008" s="115"/>
      <c r="BV1008" s="115"/>
      <c r="BW1008" s="13"/>
      <c r="BX1008" s="13"/>
      <c r="CA1008" s="114"/>
    </row>
    <row r="1009" spans="1:79" ht="19.5" x14ac:dyDescent="0.4">
      <c r="A1009" s="117"/>
      <c r="B1009" s="123"/>
      <c r="C1009" s="123"/>
      <c r="D1009" s="123"/>
      <c r="AN1009" s="127"/>
      <c r="AO1009" s="29"/>
      <c r="AY1009" s="26">
        <v>45694</v>
      </c>
      <c r="AZ1009" s="13" t="s">
        <v>147</v>
      </c>
      <c r="BE1009" s="117"/>
      <c r="BF1009" s="123"/>
      <c r="BG1009" s="123"/>
      <c r="BH1009" s="123"/>
      <c r="BJ1009" s="115"/>
      <c r="BK1009" s="115"/>
      <c r="BL1009" s="115"/>
      <c r="BM1009" s="115"/>
      <c r="BN1009" s="115"/>
      <c r="BO1009" s="115"/>
      <c r="BP1009" s="115"/>
      <c r="BQ1009" s="115"/>
      <c r="BR1009" s="115"/>
      <c r="BS1009" s="115"/>
      <c r="BT1009" s="115"/>
      <c r="BU1009" s="115"/>
      <c r="BV1009" s="115"/>
      <c r="BW1009" s="25">
        <v>45268</v>
      </c>
      <c r="BX1009" s="13" t="s">
        <v>162</v>
      </c>
      <c r="CA1009" s="114"/>
    </row>
    <row r="1010" spans="1:79" ht="19.5" x14ac:dyDescent="0.4">
      <c r="A1010" s="117"/>
      <c r="B1010" s="123"/>
      <c r="C1010" s="123"/>
      <c r="D1010" s="123"/>
      <c r="AN1010" s="127"/>
      <c r="AO1010" s="29"/>
      <c r="AQ1010" s="115"/>
      <c r="AR1010" s="115"/>
      <c r="AS1010" s="115"/>
      <c r="AT1010" s="115"/>
      <c r="AU1010" s="115"/>
      <c r="AV1010" s="115"/>
      <c r="AW1010" s="115"/>
      <c r="AX1010" s="115"/>
      <c r="AY1010" s="26">
        <v>45694</v>
      </c>
      <c r="AZ1010" s="13" t="s">
        <v>147</v>
      </c>
      <c r="BE1010" s="117"/>
      <c r="BF1010" s="123"/>
      <c r="BG1010" s="123"/>
      <c r="BH1010" s="123"/>
      <c r="BJ1010" s="115"/>
      <c r="BK1010" s="115"/>
      <c r="BL1010" s="115"/>
      <c r="BM1010" s="115"/>
      <c r="BN1010" s="115"/>
      <c r="BO1010" s="115"/>
      <c r="BP1010" s="115"/>
      <c r="BQ1010" s="115"/>
      <c r="BR1010" s="115"/>
      <c r="BS1010" s="115"/>
      <c r="BT1010" s="115"/>
      <c r="BU1010" s="115"/>
      <c r="BV1010" s="115"/>
      <c r="BW1010" s="25"/>
      <c r="BX1010" s="13"/>
      <c r="CA1010" s="114"/>
    </row>
    <row r="1011" spans="1:79" ht="19.5" x14ac:dyDescent="0.4">
      <c r="A1011" s="117"/>
      <c r="B1011" s="123"/>
      <c r="C1011" s="123"/>
      <c r="D1011" s="123"/>
      <c r="AN1011" s="127"/>
      <c r="AO1011" s="29"/>
      <c r="AY1011" s="26">
        <v>45694</v>
      </c>
      <c r="AZ1011" s="13" t="s">
        <v>147</v>
      </c>
      <c r="BE1011" s="117"/>
      <c r="BF1011" s="123"/>
      <c r="BG1011" s="123"/>
      <c r="BH1011" s="123"/>
      <c r="BJ1011" s="115"/>
      <c r="BK1011" s="115"/>
      <c r="BL1011" s="115"/>
      <c r="BM1011" s="115"/>
      <c r="BN1011" s="115"/>
      <c r="BO1011" s="115"/>
      <c r="BP1011" s="115"/>
      <c r="BQ1011" s="115"/>
      <c r="BR1011" s="115"/>
      <c r="BS1011" s="115"/>
      <c r="BT1011" s="115"/>
      <c r="BU1011" s="115"/>
      <c r="BV1011" s="115"/>
      <c r="BW1011" s="25">
        <v>45268</v>
      </c>
      <c r="BX1011" s="13" t="s">
        <v>162</v>
      </c>
      <c r="CA1011" s="114"/>
    </row>
    <row r="1012" spans="1:79" ht="19.5" x14ac:dyDescent="0.4">
      <c r="A1012" s="117"/>
      <c r="B1012" s="123"/>
      <c r="C1012" s="123"/>
      <c r="D1012" s="123"/>
      <c r="AN1012" s="127"/>
      <c r="AO1012" s="29"/>
      <c r="AV1012" s="115"/>
      <c r="AW1012" s="115"/>
      <c r="AX1012" s="115"/>
      <c r="AY1012" s="26">
        <v>45696</v>
      </c>
      <c r="AZ1012" s="13" t="s">
        <v>147</v>
      </c>
      <c r="BE1012" s="117"/>
      <c r="BF1012" s="123"/>
      <c r="BG1012" s="123"/>
      <c r="BH1012" s="123"/>
      <c r="BJ1012" s="115"/>
      <c r="BK1012" s="115"/>
      <c r="BL1012" s="115"/>
      <c r="BM1012" s="115"/>
      <c r="BN1012" s="115"/>
      <c r="BO1012" s="115"/>
      <c r="BP1012" s="115"/>
      <c r="BQ1012" s="115"/>
      <c r="BR1012" s="115"/>
      <c r="BS1012" s="115"/>
      <c r="BT1012" s="115"/>
      <c r="BU1012" s="115"/>
      <c r="BV1012" s="115"/>
      <c r="BW1012" s="25"/>
      <c r="BX1012" s="13"/>
      <c r="CA1012" s="114"/>
    </row>
    <row r="1013" spans="1:79" ht="19.5" x14ac:dyDescent="0.4">
      <c r="A1013" s="117"/>
      <c r="B1013" s="123"/>
      <c r="C1013" s="123"/>
      <c r="D1013" s="123"/>
      <c r="AN1013" s="127"/>
      <c r="AO1013" s="29"/>
      <c r="AY1013" s="26">
        <v>45698</v>
      </c>
      <c r="AZ1013" s="13" t="s">
        <v>147</v>
      </c>
      <c r="BE1013" s="117"/>
      <c r="BF1013" s="123"/>
      <c r="BG1013" s="123"/>
      <c r="BH1013" s="123"/>
      <c r="BJ1013" s="115"/>
      <c r="BK1013" s="115"/>
      <c r="BL1013" s="115"/>
      <c r="BM1013" s="115"/>
      <c r="BN1013" s="115"/>
      <c r="BO1013" s="115"/>
      <c r="BP1013" s="115"/>
      <c r="BQ1013" s="115"/>
      <c r="BR1013" s="115"/>
      <c r="BS1013" s="115"/>
      <c r="BT1013" s="115"/>
      <c r="BU1013" s="115"/>
      <c r="BV1013" s="115"/>
      <c r="BW1013" s="25">
        <v>45268</v>
      </c>
      <c r="BX1013" s="13" t="s">
        <v>163</v>
      </c>
      <c r="CA1013" s="114"/>
    </row>
    <row r="1014" spans="1:79" ht="19.5" x14ac:dyDescent="0.4">
      <c r="A1014" s="117"/>
      <c r="B1014" s="123"/>
      <c r="C1014" s="123"/>
      <c r="D1014" s="123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  <c r="AK1014" s="115"/>
      <c r="AL1014" s="115"/>
      <c r="AM1014" s="115"/>
      <c r="AN1014" s="29"/>
      <c r="AO1014" s="29"/>
      <c r="AY1014" s="26"/>
      <c r="AZ1014" s="13"/>
      <c r="BE1014" s="117"/>
      <c r="BF1014" s="123"/>
      <c r="BG1014" s="123"/>
      <c r="BH1014" s="123"/>
      <c r="BJ1014" s="115"/>
      <c r="BK1014" s="115"/>
      <c r="BL1014" s="115"/>
      <c r="BM1014" s="115"/>
      <c r="BN1014" s="115"/>
      <c r="BO1014" s="115"/>
      <c r="BP1014" s="115"/>
      <c r="BQ1014" s="115"/>
      <c r="BR1014" s="115"/>
      <c r="BS1014" s="115"/>
      <c r="BT1014" s="115"/>
      <c r="BU1014" s="115"/>
      <c r="BV1014" s="115"/>
      <c r="BW1014" s="25"/>
      <c r="BX1014" s="13"/>
      <c r="CA1014" s="114"/>
    </row>
    <row r="1015" spans="1:79" ht="19.5" x14ac:dyDescent="0.4">
      <c r="A1015" s="117"/>
      <c r="B1015" s="123"/>
      <c r="C1015" s="123"/>
      <c r="D1015" s="123"/>
      <c r="AN1015" s="127"/>
      <c r="AO1015" s="29"/>
      <c r="AV1015" s="115"/>
      <c r="AW1015" s="115"/>
      <c r="AX1015" s="115"/>
      <c r="AY1015" s="26">
        <v>45698</v>
      </c>
      <c r="AZ1015" s="13" t="s">
        <v>147</v>
      </c>
      <c r="BE1015" s="117"/>
      <c r="BF1015" s="123"/>
      <c r="BG1015" s="123"/>
      <c r="BH1015" s="123"/>
      <c r="BJ1015" s="115"/>
      <c r="BK1015" s="115"/>
      <c r="BL1015" s="115"/>
      <c r="BM1015" s="115"/>
      <c r="BN1015" s="115"/>
      <c r="BO1015" s="115"/>
      <c r="BP1015" s="115"/>
      <c r="BQ1015" s="115"/>
      <c r="BR1015" s="115"/>
      <c r="BS1015" s="115"/>
      <c r="BT1015" s="115"/>
      <c r="BU1015" s="115"/>
      <c r="BV1015" s="115"/>
      <c r="BW1015" s="25"/>
      <c r="BX1015" s="13"/>
      <c r="CA1015" s="114"/>
    </row>
    <row r="1016" spans="1:79" ht="19.5" x14ac:dyDescent="0.4">
      <c r="A1016" s="117"/>
      <c r="B1016" s="123"/>
      <c r="C1016" s="123"/>
      <c r="D1016" s="123"/>
      <c r="AN1016" s="127"/>
      <c r="AO1016" s="29"/>
      <c r="AP1016" s="115"/>
      <c r="AQ1016" s="115"/>
      <c r="AR1016" s="115"/>
      <c r="AS1016" s="115"/>
      <c r="AT1016" s="115"/>
      <c r="AU1016" s="115"/>
      <c r="AV1016" s="115"/>
      <c r="AW1016" s="115"/>
      <c r="AX1016" s="115"/>
      <c r="AY1016" s="26">
        <v>45699</v>
      </c>
      <c r="AZ1016" s="13" t="s">
        <v>148</v>
      </c>
      <c r="BE1016" s="117"/>
      <c r="BF1016" s="123"/>
      <c r="BG1016" s="123"/>
      <c r="BH1016" s="123"/>
      <c r="BJ1016" s="115"/>
      <c r="BK1016" s="115"/>
      <c r="BL1016" s="115"/>
      <c r="BM1016" s="115"/>
      <c r="BN1016" s="115"/>
      <c r="BO1016" s="115"/>
      <c r="BP1016" s="115"/>
      <c r="BQ1016" s="115"/>
      <c r="BR1016" s="115"/>
      <c r="BS1016" s="115"/>
      <c r="BT1016" s="115"/>
      <c r="BU1016" s="115"/>
      <c r="BV1016" s="115"/>
      <c r="BW1016" s="25"/>
      <c r="BX1016" s="13"/>
      <c r="CA1016" s="114"/>
    </row>
    <row r="1017" spans="1:79" ht="19.5" x14ac:dyDescent="0.4">
      <c r="A1017" s="117"/>
      <c r="B1017" s="123"/>
      <c r="C1017" s="123"/>
      <c r="D1017" s="123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  <c r="AK1017" s="115"/>
      <c r="AL1017" s="115"/>
      <c r="AM1017" s="115"/>
      <c r="AN1017" s="29"/>
      <c r="AO1017" s="29"/>
      <c r="AP1017" s="115"/>
      <c r="AQ1017" s="115"/>
      <c r="AR1017" s="115"/>
      <c r="AS1017" s="115"/>
      <c r="AT1017" s="115"/>
      <c r="AU1017" s="115"/>
      <c r="AV1017" s="115"/>
      <c r="AW1017" s="115"/>
      <c r="AX1017" s="115"/>
      <c r="AY1017" s="26"/>
      <c r="AZ1017" s="13"/>
      <c r="BE1017" s="117"/>
      <c r="BF1017" s="123"/>
      <c r="BG1017" s="123"/>
      <c r="BH1017" s="123"/>
      <c r="BJ1017" s="115"/>
      <c r="BK1017" s="115"/>
      <c r="BL1017" s="115"/>
      <c r="BM1017" s="115"/>
      <c r="BN1017" s="115"/>
      <c r="BO1017" s="115"/>
      <c r="BP1017" s="115"/>
      <c r="BQ1017" s="115"/>
      <c r="BR1017" s="115"/>
      <c r="BS1017" s="115"/>
      <c r="BT1017" s="115"/>
      <c r="BU1017" s="115"/>
      <c r="BV1017" s="115"/>
      <c r="BW1017" s="25"/>
      <c r="BX1017" s="13"/>
      <c r="CA1017" s="114"/>
    </row>
    <row r="1018" spans="1:79" ht="19.5" x14ac:dyDescent="0.4">
      <c r="A1018" s="117"/>
      <c r="B1018" s="123"/>
      <c r="C1018" s="123"/>
      <c r="D1018" s="123"/>
      <c r="AN1018" s="127"/>
      <c r="AO1018" s="29"/>
      <c r="AY1018" s="26">
        <v>45699</v>
      </c>
      <c r="AZ1018" s="13" t="s">
        <v>148</v>
      </c>
      <c r="BE1018" s="117"/>
      <c r="BF1018" s="123"/>
      <c r="BG1018" s="123"/>
      <c r="BH1018" s="123"/>
      <c r="BI1018" s="115"/>
      <c r="BJ1018" s="115"/>
      <c r="BK1018" s="115"/>
      <c r="BL1018" s="115"/>
      <c r="BM1018" s="115"/>
      <c r="BN1018" s="115"/>
      <c r="BO1018" s="115"/>
      <c r="BP1018" s="115"/>
      <c r="BQ1018" s="115"/>
      <c r="BR1018" s="115"/>
      <c r="BS1018" s="115"/>
      <c r="BT1018" s="115"/>
      <c r="BU1018" s="115"/>
      <c r="BV1018" s="115"/>
      <c r="BW1018" s="25">
        <v>45268</v>
      </c>
      <c r="BX1018" s="13" t="s">
        <v>163</v>
      </c>
      <c r="CA1018" s="114"/>
    </row>
    <row r="1019" spans="1:79" ht="19.5" x14ac:dyDescent="0.4">
      <c r="A1019" s="117"/>
      <c r="B1019" s="123"/>
      <c r="C1019" s="123"/>
      <c r="D1019" s="123"/>
      <c r="X1019" s="115"/>
      <c r="Y1019" s="115"/>
      <c r="Z1019" s="115"/>
      <c r="AA1019" s="115"/>
      <c r="AB1019" s="115"/>
      <c r="AC1019" s="115"/>
      <c r="AD1019" s="115"/>
      <c r="AE1019" s="115"/>
      <c r="AF1019" s="115"/>
      <c r="AG1019" s="115"/>
      <c r="AH1019" s="115"/>
      <c r="AI1019" s="115"/>
      <c r="AJ1019" s="115"/>
      <c r="AK1019" s="115"/>
      <c r="AL1019" s="115"/>
      <c r="AM1019" s="115"/>
      <c r="AN1019" s="29"/>
      <c r="AO1019" s="29"/>
      <c r="AY1019" s="26"/>
      <c r="AZ1019" s="13"/>
      <c r="BE1019" s="117"/>
      <c r="BF1019" s="123"/>
      <c r="BG1019" s="123"/>
      <c r="BH1019" s="123"/>
      <c r="BI1019" s="115"/>
      <c r="BJ1019" s="115"/>
      <c r="BK1019" s="115"/>
      <c r="BL1019" s="115"/>
      <c r="BM1019" s="115"/>
      <c r="BN1019" s="115"/>
      <c r="BO1019" s="115"/>
      <c r="BP1019" s="115"/>
      <c r="BQ1019" s="115"/>
      <c r="BR1019" s="115"/>
      <c r="BS1019" s="115"/>
      <c r="BT1019" s="115"/>
      <c r="BU1019" s="115"/>
      <c r="BV1019" s="115"/>
      <c r="BW1019" s="25"/>
      <c r="BX1019" s="13"/>
      <c r="CA1019" s="114"/>
    </row>
    <row r="1020" spans="1:79" ht="19.5" x14ac:dyDescent="0.4">
      <c r="A1020" s="117"/>
      <c r="B1020" s="123"/>
      <c r="C1020" s="123"/>
      <c r="D1020" s="123"/>
      <c r="AN1020" s="127"/>
      <c r="AO1020" s="29"/>
      <c r="AR1020" s="115"/>
      <c r="AS1020" s="115"/>
      <c r="AT1020" s="115"/>
      <c r="AU1020" s="115"/>
      <c r="AV1020" s="115"/>
      <c r="AW1020" s="115"/>
      <c r="AX1020" s="115"/>
      <c r="AY1020" s="26">
        <v>45699</v>
      </c>
      <c r="AZ1020" s="13" t="s">
        <v>148</v>
      </c>
      <c r="BE1020" s="117"/>
      <c r="BF1020" s="123"/>
      <c r="BG1020" s="123"/>
      <c r="BH1020" s="123"/>
      <c r="BI1020" s="115"/>
      <c r="BJ1020" s="115"/>
      <c r="BK1020" s="115"/>
      <c r="BL1020" s="115"/>
      <c r="BM1020" s="115"/>
      <c r="BN1020" s="115"/>
      <c r="BO1020" s="115"/>
      <c r="BP1020" s="115"/>
      <c r="BQ1020" s="115"/>
      <c r="BR1020" s="115"/>
      <c r="BS1020" s="115"/>
      <c r="BT1020" s="115"/>
      <c r="BU1020" s="115"/>
      <c r="BV1020" s="115"/>
      <c r="BW1020" s="25"/>
      <c r="BX1020" s="13"/>
      <c r="CA1020" s="114"/>
    </row>
    <row r="1021" spans="1:79" ht="19.5" x14ac:dyDescent="0.4">
      <c r="A1021" s="117"/>
      <c r="B1021" s="123"/>
      <c r="C1021" s="123"/>
      <c r="D1021" s="123"/>
      <c r="AN1021" s="127"/>
      <c r="AO1021" s="29"/>
      <c r="AR1021" s="115"/>
      <c r="AS1021" s="115"/>
      <c r="AT1021" s="115"/>
      <c r="AU1021" s="115"/>
      <c r="AV1021" s="115"/>
      <c r="AW1021" s="115"/>
      <c r="AX1021" s="115"/>
      <c r="AY1021" s="26">
        <v>45699</v>
      </c>
      <c r="AZ1021" s="13" t="s">
        <v>148</v>
      </c>
      <c r="BE1021" s="117"/>
      <c r="BF1021" s="123"/>
      <c r="BG1021" s="123"/>
      <c r="BH1021" s="123"/>
      <c r="BI1021" s="115"/>
      <c r="BJ1021" s="115"/>
      <c r="BK1021" s="115"/>
      <c r="BL1021" s="115"/>
      <c r="BM1021" s="115"/>
      <c r="BN1021" s="115"/>
      <c r="BO1021" s="115"/>
      <c r="BP1021" s="115"/>
      <c r="BQ1021" s="115"/>
      <c r="BR1021" s="115"/>
      <c r="BS1021" s="115"/>
      <c r="BT1021" s="115"/>
      <c r="BU1021" s="115"/>
      <c r="BV1021" s="115"/>
      <c r="BW1021" s="25"/>
      <c r="BX1021" s="13"/>
      <c r="CA1021" s="114"/>
    </row>
    <row r="1022" spans="1:79" ht="19.5" x14ac:dyDescent="0.4">
      <c r="A1022" s="117"/>
      <c r="B1022" s="123"/>
      <c r="C1022" s="123"/>
      <c r="D1022" s="123"/>
      <c r="AN1022" s="127"/>
      <c r="AO1022" s="29"/>
      <c r="AR1022" s="115"/>
      <c r="AS1022" s="115"/>
      <c r="AT1022" s="115"/>
      <c r="AU1022" s="115"/>
      <c r="AV1022" s="115"/>
      <c r="AW1022" s="115"/>
      <c r="AX1022" s="115"/>
      <c r="AY1022" s="26">
        <v>45699</v>
      </c>
      <c r="AZ1022" s="13" t="s">
        <v>148</v>
      </c>
      <c r="BE1022" s="117"/>
      <c r="BF1022" s="123"/>
      <c r="BG1022" s="123"/>
      <c r="BH1022" s="123"/>
      <c r="BI1022" s="115"/>
      <c r="BJ1022" s="115"/>
      <c r="BK1022" s="115"/>
      <c r="BL1022" s="115"/>
      <c r="BM1022" s="115"/>
      <c r="BN1022" s="115"/>
      <c r="BO1022" s="115"/>
      <c r="BP1022" s="115"/>
      <c r="BQ1022" s="115"/>
      <c r="BR1022" s="115"/>
      <c r="BS1022" s="115"/>
      <c r="BT1022" s="115"/>
      <c r="BU1022" s="115"/>
      <c r="BV1022" s="115"/>
      <c r="BW1022" s="25"/>
      <c r="BX1022" s="13"/>
      <c r="CA1022" s="114"/>
    </row>
    <row r="1023" spans="1:79" ht="19.5" x14ac:dyDescent="0.4">
      <c r="A1023" s="117"/>
      <c r="B1023" s="123"/>
      <c r="C1023" s="123"/>
      <c r="D1023" s="123"/>
      <c r="AN1023" s="127"/>
      <c r="AO1023" s="29"/>
      <c r="AY1023" s="26">
        <v>45699</v>
      </c>
      <c r="AZ1023" s="13" t="s">
        <v>148</v>
      </c>
      <c r="BE1023" s="117"/>
      <c r="BF1023" s="123"/>
      <c r="BG1023" s="123"/>
      <c r="BH1023" s="123"/>
      <c r="BI1023" s="115"/>
      <c r="BJ1023" s="115"/>
      <c r="BK1023" s="115"/>
      <c r="BL1023" s="115"/>
      <c r="BM1023" s="115"/>
      <c r="BN1023" s="115"/>
      <c r="BO1023" s="115"/>
      <c r="BP1023" s="115"/>
      <c r="BQ1023" s="115"/>
      <c r="BR1023" s="115"/>
      <c r="BS1023" s="115"/>
      <c r="BT1023" s="115"/>
      <c r="BU1023" s="115"/>
      <c r="BV1023" s="115" t="s">
        <v>158</v>
      </c>
      <c r="BW1023" s="13">
        <f>SUBTOTAL(3,BW1009:BW1018)</f>
        <v>4</v>
      </c>
      <c r="BX1023" s="13">
        <f>SUBTOTAL(3,BX1009:BX1018)</f>
        <v>4</v>
      </c>
      <c r="CA1023" s="114"/>
    </row>
    <row r="1024" spans="1:79" ht="19.5" x14ac:dyDescent="0.4">
      <c r="A1024" s="117"/>
      <c r="B1024" s="123"/>
      <c r="C1024" s="123"/>
      <c r="D1024" s="123"/>
      <c r="AN1024" s="127"/>
      <c r="AO1024" s="29"/>
      <c r="AV1024" s="115"/>
      <c r="AW1024" s="115"/>
      <c r="AX1024" s="115"/>
      <c r="AY1024" s="26">
        <v>45706</v>
      </c>
      <c r="AZ1024" s="13" t="s">
        <v>146</v>
      </c>
      <c r="BE1024" s="117"/>
      <c r="BF1024" s="123"/>
      <c r="BG1024" s="123"/>
      <c r="BH1024" s="123"/>
      <c r="BI1024" s="115"/>
      <c r="BJ1024" s="115"/>
      <c r="BK1024" s="115"/>
      <c r="BL1024" s="115"/>
      <c r="BM1024" s="115"/>
      <c r="BN1024" s="115"/>
      <c r="BO1024" s="115"/>
      <c r="BP1024" s="115"/>
      <c r="BQ1024" s="115"/>
      <c r="BR1024" s="115"/>
      <c r="BS1024" s="115"/>
      <c r="BT1024" s="115"/>
      <c r="BU1024" s="115"/>
      <c r="BV1024" s="115"/>
      <c r="BW1024" s="13"/>
      <c r="BX1024" s="13"/>
      <c r="CA1024" s="114"/>
    </row>
    <row r="1025" spans="1:79" ht="19.5" x14ac:dyDescent="0.4">
      <c r="A1025" s="117"/>
      <c r="B1025" s="123"/>
      <c r="C1025" s="123"/>
      <c r="D1025" s="123"/>
      <c r="AN1025" s="127"/>
      <c r="AO1025" s="29"/>
      <c r="AU1025" s="115"/>
      <c r="AV1025" s="115"/>
      <c r="AW1025" s="115"/>
      <c r="AX1025" s="115"/>
      <c r="AY1025" s="26">
        <v>45709</v>
      </c>
      <c r="AZ1025" s="13" t="s">
        <v>148</v>
      </c>
      <c r="BE1025" s="117"/>
      <c r="BF1025" s="123"/>
      <c r="BG1025" s="123"/>
      <c r="BH1025" s="123"/>
      <c r="BI1025" s="115"/>
      <c r="BJ1025" s="115"/>
      <c r="BK1025" s="115"/>
      <c r="BL1025" s="115"/>
      <c r="BM1025" s="115"/>
      <c r="BN1025" s="115"/>
      <c r="BO1025" s="115"/>
      <c r="BP1025" s="115"/>
      <c r="BQ1025" s="115"/>
      <c r="BR1025" s="115"/>
      <c r="BS1025" s="115"/>
      <c r="BT1025" s="115"/>
      <c r="BU1025" s="115"/>
      <c r="BV1025" s="115"/>
      <c r="BW1025" s="13"/>
      <c r="BX1025" s="13"/>
      <c r="CA1025" s="114"/>
    </row>
    <row r="1026" spans="1:79" ht="19.5" x14ac:dyDescent="0.4">
      <c r="A1026" s="117"/>
      <c r="B1026" s="123"/>
      <c r="C1026" s="123"/>
      <c r="D1026" s="123"/>
      <c r="X1026" s="115"/>
      <c r="Y1026" s="115"/>
      <c r="Z1026" s="115"/>
      <c r="AA1026" s="115"/>
      <c r="AB1026" s="115"/>
      <c r="AC1026" s="115"/>
      <c r="AD1026" s="115"/>
      <c r="AE1026" s="115"/>
      <c r="AF1026" s="115"/>
      <c r="AG1026" s="115"/>
      <c r="AH1026" s="115"/>
      <c r="AI1026" s="115"/>
      <c r="AJ1026" s="115"/>
      <c r="AK1026" s="115"/>
      <c r="AL1026" s="115"/>
      <c r="AM1026" s="115"/>
      <c r="AN1026" s="29"/>
      <c r="AO1026" s="29"/>
      <c r="AU1026" s="115"/>
      <c r="AV1026" s="115"/>
      <c r="AW1026" s="115"/>
      <c r="AX1026" s="115"/>
      <c r="AY1026" s="26"/>
      <c r="AZ1026" s="13"/>
      <c r="BE1026" s="117"/>
      <c r="BF1026" s="123"/>
      <c r="BG1026" s="123"/>
      <c r="BH1026" s="123"/>
      <c r="BI1026" s="115"/>
      <c r="BJ1026" s="115"/>
      <c r="BK1026" s="115"/>
      <c r="BL1026" s="115"/>
      <c r="BM1026" s="115"/>
      <c r="BN1026" s="115"/>
      <c r="BO1026" s="115"/>
      <c r="BP1026" s="115"/>
      <c r="BQ1026" s="115"/>
      <c r="BR1026" s="115"/>
      <c r="BS1026" s="115"/>
      <c r="BT1026" s="115"/>
      <c r="BU1026" s="115"/>
      <c r="BV1026" s="115"/>
      <c r="BW1026" s="13"/>
      <c r="BX1026" s="13"/>
      <c r="CA1026" s="114"/>
    </row>
    <row r="1027" spans="1:79" ht="19.5" x14ac:dyDescent="0.4">
      <c r="A1027" s="117"/>
      <c r="B1027" s="123"/>
      <c r="C1027" s="123"/>
      <c r="D1027" s="123"/>
      <c r="AN1027" s="127"/>
      <c r="AO1027" s="29"/>
      <c r="AU1027" s="115"/>
      <c r="AV1027" s="115"/>
      <c r="AW1027" s="115"/>
      <c r="AX1027" s="115"/>
      <c r="AY1027" s="26">
        <v>45709</v>
      </c>
      <c r="AZ1027" s="13" t="s">
        <v>147</v>
      </c>
      <c r="BE1027" s="117"/>
      <c r="BF1027" s="123"/>
      <c r="BG1027" s="123"/>
      <c r="BH1027" s="123"/>
      <c r="BI1027" s="115"/>
      <c r="BJ1027" s="115"/>
      <c r="BK1027" s="115"/>
      <c r="BL1027" s="115"/>
      <c r="BM1027" s="115"/>
      <c r="BN1027" s="115"/>
      <c r="BO1027" s="115"/>
      <c r="BP1027" s="115"/>
      <c r="BQ1027" s="115"/>
      <c r="BR1027" s="115"/>
      <c r="BS1027" s="115"/>
      <c r="BT1027" s="115"/>
      <c r="BU1027" s="115"/>
      <c r="BV1027" s="115"/>
      <c r="BW1027" s="13"/>
      <c r="BX1027" s="13"/>
      <c r="CA1027" s="114"/>
    </row>
    <row r="1028" spans="1:79" ht="19.5" x14ac:dyDescent="0.4">
      <c r="A1028" s="117"/>
      <c r="B1028" s="123"/>
      <c r="C1028" s="123"/>
      <c r="D1028" s="123"/>
      <c r="X1028" s="115"/>
      <c r="Y1028" s="115"/>
      <c r="Z1028" s="115"/>
      <c r="AA1028" s="115"/>
      <c r="AB1028" s="115"/>
      <c r="AC1028" s="115"/>
      <c r="AD1028" s="115"/>
      <c r="AE1028" s="115"/>
      <c r="AF1028" s="115"/>
      <c r="AG1028" s="115"/>
      <c r="AH1028" s="115"/>
      <c r="AI1028" s="115"/>
      <c r="AJ1028" s="115"/>
      <c r="AK1028" s="115"/>
      <c r="AL1028" s="115"/>
      <c r="AM1028" s="115"/>
      <c r="AN1028" s="29"/>
      <c r="AO1028" s="29"/>
      <c r="AU1028" s="115"/>
      <c r="AV1028" s="115"/>
      <c r="AW1028" s="115"/>
      <c r="AX1028" s="115"/>
      <c r="AY1028" s="26"/>
      <c r="AZ1028" s="13"/>
      <c r="BE1028" s="117"/>
      <c r="BF1028" s="123"/>
      <c r="BG1028" s="123"/>
      <c r="BH1028" s="123"/>
      <c r="BI1028" s="115"/>
      <c r="BJ1028" s="115"/>
      <c r="BK1028" s="115"/>
      <c r="BL1028" s="115"/>
      <c r="BM1028" s="115"/>
      <c r="BN1028" s="115"/>
      <c r="BO1028" s="115"/>
      <c r="BP1028" s="115"/>
      <c r="BQ1028" s="115"/>
      <c r="BR1028" s="115"/>
      <c r="BS1028" s="115"/>
      <c r="BT1028" s="115"/>
      <c r="BU1028" s="115"/>
      <c r="BV1028" s="115"/>
      <c r="BW1028" s="13"/>
      <c r="BX1028" s="13"/>
      <c r="CA1028" s="114"/>
    </row>
    <row r="1029" spans="1:79" ht="19.5" x14ac:dyDescent="0.4">
      <c r="A1029" s="117"/>
      <c r="B1029" s="123"/>
      <c r="C1029" s="123"/>
      <c r="D1029" s="123"/>
      <c r="AN1029" s="127"/>
      <c r="AO1029" s="29"/>
      <c r="AU1029" s="115"/>
      <c r="AV1029" s="115"/>
      <c r="AW1029" s="115"/>
      <c r="AX1029" s="115"/>
      <c r="AY1029" s="26">
        <v>45712</v>
      </c>
      <c r="AZ1029" s="13" t="s">
        <v>146</v>
      </c>
      <c r="BE1029" s="117"/>
      <c r="BF1029" s="123"/>
      <c r="BG1029" s="123"/>
      <c r="BH1029" s="123"/>
      <c r="BI1029" s="115"/>
      <c r="BJ1029" s="115"/>
      <c r="BK1029" s="115"/>
      <c r="BL1029" s="115"/>
      <c r="BM1029" s="115"/>
      <c r="BN1029" s="115"/>
      <c r="BO1029" s="115"/>
      <c r="BP1029" s="115"/>
      <c r="BQ1029" s="115"/>
      <c r="BR1029" s="115"/>
      <c r="BS1029" s="115"/>
      <c r="BT1029" s="115"/>
      <c r="BU1029" s="115"/>
      <c r="BV1029" s="115"/>
      <c r="BW1029" s="13"/>
      <c r="BX1029" s="13"/>
      <c r="CA1029" s="114"/>
    </row>
    <row r="1030" spans="1:79" ht="19.5" x14ac:dyDescent="0.4">
      <c r="A1030" s="117"/>
      <c r="B1030" s="123"/>
      <c r="C1030" s="123"/>
      <c r="D1030" s="123"/>
      <c r="AN1030" s="127"/>
      <c r="AO1030" s="29"/>
      <c r="AU1030" s="115"/>
      <c r="AV1030" s="115"/>
      <c r="AW1030" s="115"/>
      <c r="AX1030" s="115"/>
      <c r="AY1030" s="26">
        <v>45712</v>
      </c>
      <c r="AZ1030" s="13" t="s">
        <v>148</v>
      </c>
      <c r="BE1030" s="117"/>
      <c r="BF1030" s="123"/>
      <c r="BG1030" s="123"/>
      <c r="BH1030" s="123"/>
      <c r="BI1030" s="115"/>
      <c r="BJ1030" s="115"/>
      <c r="BK1030" s="115"/>
      <c r="BL1030" s="115"/>
      <c r="BM1030" s="115"/>
      <c r="BN1030" s="115"/>
      <c r="BO1030" s="115"/>
      <c r="BP1030" s="115"/>
      <c r="BQ1030" s="115"/>
      <c r="BR1030" s="115"/>
      <c r="BS1030" s="115"/>
      <c r="BT1030" s="115"/>
      <c r="BU1030" s="115"/>
      <c r="BV1030" s="115"/>
      <c r="BW1030" s="13"/>
      <c r="BX1030" s="13"/>
      <c r="CA1030" s="114"/>
    </row>
    <row r="1031" spans="1:79" ht="19.5" x14ac:dyDescent="0.4">
      <c r="A1031" s="117"/>
      <c r="B1031" s="123"/>
      <c r="C1031" s="123"/>
      <c r="D1031" s="123"/>
      <c r="X1031" s="115"/>
      <c r="Y1031" s="115"/>
      <c r="Z1031" s="115"/>
      <c r="AA1031" s="115"/>
      <c r="AB1031" s="115"/>
      <c r="AC1031" s="115"/>
      <c r="AD1031" s="115"/>
      <c r="AE1031" s="115"/>
      <c r="AF1031" s="115"/>
      <c r="AG1031" s="115"/>
      <c r="AH1031" s="115"/>
      <c r="AI1031" s="115"/>
      <c r="AJ1031" s="115"/>
      <c r="AK1031" s="115"/>
      <c r="AL1031" s="115"/>
      <c r="AM1031" s="115"/>
      <c r="AN1031" s="29"/>
      <c r="AO1031" s="29"/>
      <c r="AU1031" s="115"/>
      <c r="AV1031" s="115"/>
      <c r="AW1031" s="115"/>
      <c r="AX1031" s="115"/>
      <c r="AY1031" s="26"/>
      <c r="AZ1031" s="13"/>
      <c r="BE1031" s="117"/>
      <c r="BF1031" s="123"/>
      <c r="BG1031" s="123"/>
      <c r="BH1031" s="123"/>
      <c r="BI1031" s="115"/>
      <c r="BJ1031" s="115"/>
      <c r="BK1031" s="115"/>
      <c r="BL1031" s="115"/>
      <c r="BM1031" s="115"/>
      <c r="BN1031" s="115"/>
      <c r="BO1031" s="115"/>
      <c r="BP1031" s="115"/>
      <c r="BQ1031" s="115"/>
      <c r="BR1031" s="115"/>
      <c r="BS1031" s="115"/>
      <c r="BT1031" s="115"/>
      <c r="BU1031" s="115"/>
      <c r="BV1031" s="115"/>
      <c r="BW1031" s="13"/>
      <c r="BX1031" s="13"/>
      <c r="CA1031" s="114"/>
    </row>
    <row r="1032" spans="1:79" ht="19.5" x14ac:dyDescent="0.4">
      <c r="A1032" s="117"/>
      <c r="B1032" s="123"/>
      <c r="C1032" s="123"/>
      <c r="D1032" s="123"/>
      <c r="AN1032" s="127"/>
      <c r="AO1032" s="29"/>
      <c r="AS1032" s="115"/>
      <c r="AT1032" s="115"/>
      <c r="AU1032" s="115"/>
      <c r="AV1032" s="115"/>
      <c r="AW1032" s="115"/>
      <c r="AX1032" s="115"/>
      <c r="AY1032" s="26">
        <v>45714</v>
      </c>
      <c r="AZ1032" s="13" t="s">
        <v>147</v>
      </c>
      <c r="BE1032" s="117"/>
      <c r="BF1032" s="123"/>
      <c r="BG1032" s="123"/>
      <c r="BH1032" s="123"/>
      <c r="BI1032" s="115"/>
      <c r="BJ1032" s="115"/>
      <c r="BK1032" s="115"/>
      <c r="BL1032" s="115"/>
      <c r="BM1032" s="115"/>
      <c r="BN1032" s="115"/>
      <c r="BO1032" s="115"/>
      <c r="BP1032" s="115"/>
      <c r="BQ1032" s="115"/>
      <c r="BR1032" s="115"/>
      <c r="BS1032" s="115"/>
      <c r="BT1032" s="115"/>
      <c r="BU1032" s="115"/>
      <c r="BV1032" s="115"/>
      <c r="BW1032" s="13"/>
      <c r="BX1032" s="13"/>
      <c r="CA1032" s="114"/>
    </row>
    <row r="1033" spans="1:79" ht="19.5" x14ac:dyDescent="0.4">
      <c r="A1033" s="117"/>
      <c r="B1033" s="123"/>
      <c r="C1033" s="123"/>
      <c r="D1033" s="123"/>
      <c r="AN1033" s="127"/>
      <c r="AO1033" s="29"/>
      <c r="AY1033" s="26">
        <v>45714</v>
      </c>
      <c r="AZ1033" s="13" t="s">
        <v>147</v>
      </c>
      <c r="BE1033" s="117"/>
      <c r="BF1033" s="123"/>
      <c r="BG1033" s="123"/>
      <c r="BH1033" s="123"/>
      <c r="BI1033" s="115"/>
      <c r="BJ1033" s="115"/>
      <c r="BK1033" s="115"/>
      <c r="BL1033" s="115"/>
      <c r="BM1033" s="115"/>
      <c r="BN1033" s="115"/>
      <c r="BO1033" s="115"/>
      <c r="BP1033" s="115"/>
      <c r="BQ1033" s="115"/>
      <c r="BR1033" s="115"/>
      <c r="BS1033" s="115"/>
      <c r="BT1033" s="115"/>
      <c r="BU1033" s="115"/>
      <c r="BV1033" s="115"/>
      <c r="BW1033" s="25">
        <v>45269</v>
      </c>
      <c r="BX1033" s="13" t="s">
        <v>163</v>
      </c>
      <c r="CA1033" s="114"/>
    </row>
    <row r="1034" spans="1:79" ht="19.5" x14ac:dyDescent="0.4">
      <c r="A1034" s="117"/>
      <c r="B1034" s="123"/>
      <c r="C1034" s="123"/>
      <c r="D1034" s="123"/>
      <c r="AN1034" s="127"/>
      <c r="AO1034" s="29"/>
      <c r="AP1034" s="115"/>
      <c r="AQ1034" s="115"/>
      <c r="AR1034" s="115"/>
      <c r="AS1034" s="115"/>
      <c r="AT1034" s="115"/>
      <c r="AU1034" s="115"/>
      <c r="AV1034" s="115"/>
      <c r="AW1034" s="115"/>
      <c r="AX1034" s="115"/>
      <c r="AY1034" s="26">
        <v>45714</v>
      </c>
      <c r="AZ1034" s="13" t="s">
        <v>147</v>
      </c>
      <c r="BE1034" s="117"/>
      <c r="BF1034" s="123"/>
      <c r="BG1034" s="123"/>
      <c r="BH1034" s="123"/>
      <c r="BI1034" s="115"/>
      <c r="BJ1034" s="115"/>
      <c r="BK1034" s="115"/>
      <c r="BL1034" s="115"/>
      <c r="BM1034" s="115"/>
      <c r="BN1034" s="115"/>
      <c r="BO1034" s="115"/>
      <c r="BP1034" s="115"/>
      <c r="BQ1034" s="115"/>
      <c r="BR1034" s="115"/>
      <c r="BS1034" s="115"/>
      <c r="BT1034" s="115"/>
      <c r="BU1034" s="115"/>
      <c r="BV1034" s="115"/>
      <c r="BW1034" s="25"/>
      <c r="BX1034" s="13"/>
      <c r="CA1034" s="114"/>
    </row>
    <row r="1035" spans="1:79" ht="19.5" x14ac:dyDescent="0.4">
      <c r="A1035" s="117"/>
      <c r="B1035" s="123"/>
      <c r="C1035" s="123"/>
      <c r="D1035" s="123"/>
      <c r="AN1035" s="127"/>
      <c r="AO1035" s="29"/>
      <c r="AP1035" s="115"/>
      <c r="AQ1035" s="115"/>
      <c r="AR1035" s="115"/>
      <c r="AS1035" s="115"/>
      <c r="AT1035" s="115"/>
      <c r="AU1035" s="115"/>
      <c r="AV1035" s="115"/>
      <c r="AW1035" s="115" t="s">
        <v>145</v>
      </c>
      <c r="AX1035" s="115">
        <f>SUBTOTAL(3,AX2:AX1034)</f>
        <v>0</v>
      </c>
      <c r="AY1035" s="26"/>
      <c r="AZ1035" s="13">
        <f>SUBTOTAL(3,AZ2:AZ1034)</f>
        <v>145</v>
      </c>
      <c r="BE1035" s="117"/>
      <c r="BF1035" s="123"/>
      <c r="BG1035" s="123"/>
      <c r="BH1035" s="123"/>
      <c r="BI1035" s="115"/>
      <c r="BJ1035" s="115"/>
      <c r="BK1035" s="115"/>
      <c r="BL1035" s="115"/>
      <c r="BM1035" s="115"/>
      <c r="BN1035" s="115"/>
      <c r="BO1035" s="115"/>
      <c r="BP1035" s="115"/>
      <c r="BQ1035" s="115"/>
      <c r="BR1035" s="115"/>
      <c r="BS1035" s="115"/>
      <c r="BT1035" s="115"/>
      <c r="BU1035" s="115"/>
      <c r="BV1035" s="115"/>
      <c r="BW1035" s="25"/>
      <c r="BX1035" s="13"/>
      <c r="CA1035" s="114"/>
    </row>
    <row r="1036" spans="1:79" ht="19.5" x14ac:dyDescent="0.4">
      <c r="A1036" s="117"/>
      <c r="B1036" s="123"/>
      <c r="C1036" s="123"/>
      <c r="D1036" s="123"/>
      <c r="AN1036" s="127"/>
      <c r="AO1036" s="29"/>
      <c r="AY1036" s="26"/>
      <c r="AZ1036" s="13"/>
      <c r="BE1036" s="117"/>
      <c r="BF1036" s="123"/>
      <c r="BG1036" s="123"/>
      <c r="BH1036" s="123"/>
      <c r="BI1036" s="115"/>
      <c r="BJ1036" s="115"/>
      <c r="BK1036" s="115"/>
      <c r="BL1036" s="115"/>
      <c r="BM1036" s="115"/>
      <c r="BN1036" s="115"/>
      <c r="BO1036" s="115"/>
      <c r="BP1036" s="115"/>
      <c r="BQ1036" s="115"/>
      <c r="BR1036" s="115"/>
      <c r="BS1036" s="115"/>
      <c r="BT1036" s="115"/>
      <c r="BU1036" s="115"/>
      <c r="BV1036" s="115"/>
      <c r="BW1036" s="25">
        <v>45269</v>
      </c>
      <c r="BX1036" s="13" t="s">
        <v>163</v>
      </c>
      <c r="CA1036" s="114"/>
    </row>
    <row r="1037" spans="1:79" ht="19.5" x14ac:dyDescent="0.4">
      <c r="A1037" s="117"/>
      <c r="B1037" s="123"/>
      <c r="C1037" s="123"/>
      <c r="D1037" s="123"/>
      <c r="AN1037" s="127"/>
      <c r="AO1037" s="29"/>
      <c r="AR1037" s="115"/>
      <c r="AS1037" s="115"/>
      <c r="AT1037" s="115"/>
      <c r="AU1037" s="115"/>
      <c r="AV1037" s="115"/>
      <c r="AW1037" s="115"/>
      <c r="AX1037" s="115"/>
      <c r="AY1037" s="26"/>
      <c r="AZ1037" s="13"/>
      <c r="BE1037" s="117"/>
      <c r="BF1037" s="123"/>
      <c r="BG1037" s="123"/>
      <c r="BH1037" s="123"/>
      <c r="BI1037" s="115"/>
      <c r="BJ1037" s="115"/>
      <c r="BK1037" s="115"/>
      <c r="BL1037" s="115"/>
      <c r="BM1037" s="115"/>
      <c r="BN1037" s="115"/>
      <c r="BO1037" s="115"/>
      <c r="BP1037" s="115"/>
      <c r="BQ1037" s="115"/>
      <c r="BR1037" s="115"/>
      <c r="BS1037" s="115"/>
      <c r="BT1037" s="115"/>
      <c r="BU1037" s="115"/>
      <c r="BV1037" s="115"/>
      <c r="BW1037" s="25"/>
      <c r="BX1037" s="13"/>
      <c r="CA1037" s="114"/>
    </row>
    <row r="1038" spans="1:79" ht="19.5" x14ac:dyDescent="0.4">
      <c r="A1038" s="117"/>
      <c r="B1038" s="123"/>
      <c r="C1038" s="123"/>
      <c r="D1038" s="123"/>
      <c r="AN1038" s="127"/>
      <c r="AO1038" s="29"/>
      <c r="AY1038" s="26"/>
      <c r="AZ1038" s="13"/>
      <c r="BE1038" s="117"/>
      <c r="BF1038" s="123"/>
      <c r="BG1038" s="123"/>
      <c r="BH1038" s="123"/>
      <c r="BI1038" s="115"/>
      <c r="BJ1038" s="115"/>
      <c r="BK1038" s="115"/>
      <c r="BL1038" s="115"/>
      <c r="BM1038" s="115"/>
      <c r="BN1038" s="115"/>
      <c r="BO1038" s="115"/>
      <c r="BP1038" s="115"/>
      <c r="BQ1038" s="115"/>
      <c r="BR1038" s="115"/>
      <c r="BS1038" s="115"/>
      <c r="BT1038" s="115"/>
      <c r="BU1038" s="115"/>
      <c r="BV1038" s="115" t="s">
        <v>159</v>
      </c>
      <c r="BW1038" s="13">
        <f>SUBTOTAL(3,BW1033:BW1036)</f>
        <v>2</v>
      </c>
      <c r="BX1038" s="13">
        <f>SUBTOTAL(3,BX1033:BX1036)</f>
        <v>2</v>
      </c>
      <c r="CA1038" s="114"/>
    </row>
    <row r="1039" spans="1:79" ht="19.5" x14ac:dyDescent="0.4">
      <c r="A1039" s="117"/>
      <c r="B1039" s="123"/>
      <c r="C1039" s="123"/>
      <c r="D1039" s="123"/>
      <c r="AN1039" s="127"/>
      <c r="AO1039" s="29"/>
      <c r="AP1039" s="115"/>
      <c r="AQ1039" s="115"/>
      <c r="AR1039" s="115"/>
      <c r="AS1039" s="115"/>
      <c r="AT1039" s="115"/>
      <c r="AU1039" s="115"/>
      <c r="AV1039" s="115"/>
      <c r="AW1039" s="115"/>
      <c r="AX1039" s="115"/>
      <c r="AY1039" s="26"/>
      <c r="AZ1039" s="13"/>
      <c r="BE1039" s="117"/>
      <c r="BF1039" s="123"/>
      <c r="BG1039" s="123"/>
      <c r="BH1039" s="123"/>
      <c r="BI1039" s="115"/>
      <c r="BJ1039" s="115"/>
      <c r="BK1039" s="115"/>
      <c r="BL1039" s="115"/>
      <c r="BM1039" s="115"/>
      <c r="BN1039" s="115"/>
      <c r="BO1039" s="115"/>
      <c r="BP1039" s="115"/>
      <c r="BQ1039" s="115"/>
      <c r="BR1039" s="115"/>
      <c r="BS1039" s="115"/>
      <c r="BT1039" s="115"/>
      <c r="BU1039" s="115"/>
      <c r="BV1039" s="115"/>
      <c r="BW1039" s="13"/>
      <c r="BX1039" s="13"/>
      <c r="CA1039" s="114"/>
    </row>
    <row r="1040" spans="1:79" ht="19.5" x14ac:dyDescent="0.4">
      <c r="A1040" s="117"/>
      <c r="B1040" s="123"/>
      <c r="C1040" s="123"/>
      <c r="D1040" s="123"/>
      <c r="AN1040" s="127"/>
      <c r="AO1040" s="29"/>
      <c r="AP1040" s="115"/>
      <c r="AQ1040" s="115"/>
      <c r="AR1040" s="115"/>
      <c r="AS1040" s="115"/>
      <c r="AT1040" s="115"/>
      <c r="AU1040" s="115"/>
      <c r="AV1040" s="115"/>
      <c r="AW1040" s="115"/>
      <c r="AX1040" s="115"/>
      <c r="AY1040" s="26"/>
      <c r="AZ1040" s="13"/>
      <c r="BE1040" s="117"/>
      <c r="BF1040" s="123"/>
      <c r="BG1040" s="123"/>
      <c r="BH1040" s="123"/>
      <c r="BI1040" s="115"/>
      <c r="BJ1040" s="115"/>
      <c r="BK1040" s="115"/>
      <c r="BL1040" s="115"/>
      <c r="BM1040" s="115"/>
      <c r="BN1040" s="115"/>
      <c r="BO1040" s="115"/>
      <c r="BP1040" s="115"/>
      <c r="BQ1040" s="115"/>
      <c r="BR1040" s="115"/>
      <c r="BS1040" s="115"/>
      <c r="BT1040" s="115"/>
      <c r="BU1040" s="115"/>
      <c r="BV1040" s="115"/>
      <c r="BW1040" s="13"/>
      <c r="BX1040" s="13"/>
      <c r="CA1040" s="114"/>
    </row>
    <row r="1041" spans="1:79" ht="19.5" x14ac:dyDescent="0.4">
      <c r="A1041" s="117"/>
      <c r="B1041" s="123"/>
      <c r="C1041" s="123"/>
      <c r="D1041" s="123"/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  <c r="AA1041" s="115"/>
      <c r="AB1041" s="115"/>
      <c r="AC1041" s="115"/>
      <c r="AD1041" s="115"/>
      <c r="AE1041" s="115"/>
      <c r="AF1041" s="115"/>
      <c r="AG1041" s="115"/>
      <c r="AH1041" s="115"/>
      <c r="AI1041" s="115"/>
      <c r="AJ1041" s="115"/>
      <c r="AK1041" s="115"/>
      <c r="AL1041" s="115"/>
      <c r="AM1041" s="115"/>
      <c r="AN1041" s="127"/>
      <c r="AO1041" s="29"/>
      <c r="AP1041" s="115"/>
      <c r="AQ1041" s="115"/>
      <c r="AR1041" s="115"/>
      <c r="AS1041" s="115"/>
      <c r="AT1041" s="115"/>
      <c r="AU1041" s="115"/>
      <c r="AV1041" s="115"/>
      <c r="AW1041" s="115"/>
      <c r="AX1041" s="115"/>
      <c r="AY1041" s="26"/>
      <c r="AZ1041" s="13"/>
      <c r="BE1041" s="117"/>
      <c r="BF1041" s="123"/>
      <c r="BG1041" s="123"/>
      <c r="BH1041" s="123"/>
      <c r="BI1041" s="115"/>
      <c r="BJ1041" s="115"/>
      <c r="BK1041" s="115"/>
      <c r="BL1041" s="115"/>
      <c r="BM1041" s="115"/>
      <c r="BN1041" s="115"/>
      <c r="BO1041" s="115"/>
      <c r="BP1041" s="115"/>
      <c r="BQ1041" s="115"/>
      <c r="BR1041" s="115"/>
      <c r="BS1041" s="115"/>
      <c r="BT1041" s="115"/>
      <c r="BU1041" s="115"/>
      <c r="BV1041" s="115"/>
      <c r="BW1041" s="13"/>
      <c r="BX1041" s="13"/>
      <c r="CA1041" s="114"/>
    </row>
    <row r="1042" spans="1:79" ht="19.5" x14ac:dyDescent="0.4">
      <c r="A1042" s="117"/>
      <c r="B1042" s="123"/>
      <c r="C1042" s="123"/>
      <c r="D1042" s="123"/>
      <c r="AN1042" s="127"/>
      <c r="AO1042" s="29"/>
      <c r="AY1042" s="26"/>
      <c r="AZ1042" s="13"/>
      <c r="BE1042" s="117"/>
      <c r="BF1042" s="123"/>
      <c r="BG1042" s="123"/>
      <c r="BH1042" s="123"/>
      <c r="BI1042" s="115"/>
      <c r="BJ1042" s="115"/>
      <c r="BK1042" s="115"/>
      <c r="BL1042" s="115"/>
      <c r="BM1042" s="115"/>
      <c r="BN1042" s="115"/>
      <c r="BO1042" s="115"/>
      <c r="BP1042" s="115"/>
      <c r="BQ1042" s="115"/>
      <c r="BR1042" s="115"/>
      <c r="BS1042" s="115"/>
      <c r="BT1042" s="115"/>
      <c r="BU1042" s="115"/>
      <c r="BV1042" s="115"/>
      <c r="BW1042" s="25">
        <v>45270</v>
      </c>
      <c r="BX1042" s="13" t="s">
        <v>164</v>
      </c>
      <c r="CA1042" s="114"/>
    </row>
    <row r="1043" spans="1:79" ht="19.5" x14ac:dyDescent="0.4">
      <c r="A1043" s="117"/>
      <c r="B1043" s="123"/>
      <c r="C1043" s="123"/>
      <c r="D1043" s="123"/>
      <c r="AN1043" s="127"/>
      <c r="AO1043" s="29"/>
      <c r="AT1043" s="115"/>
      <c r="AU1043" s="115"/>
      <c r="AV1043" s="115"/>
      <c r="AW1043" s="115"/>
      <c r="AX1043" s="115"/>
      <c r="AY1043" s="17"/>
      <c r="AZ1043" s="13"/>
      <c r="BE1043" s="117"/>
      <c r="BF1043" s="123"/>
      <c r="BG1043" s="123"/>
      <c r="BH1043" s="123"/>
      <c r="BI1043" s="115"/>
      <c r="BJ1043" s="115"/>
      <c r="BK1043" s="115"/>
      <c r="BL1043" s="115"/>
      <c r="BM1043" s="115"/>
      <c r="BN1043" s="115"/>
      <c r="BO1043" s="115"/>
      <c r="BP1043" s="115"/>
      <c r="BQ1043" s="115"/>
      <c r="BR1043" s="115"/>
      <c r="BS1043" s="115"/>
      <c r="BT1043" s="115"/>
      <c r="BU1043" s="115"/>
      <c r="BV1043" s="115"/>
      <c r="BW1043" s="25"/>
      <c r="BX1043" s="13"/>
      <c r="CA1043" s="114"/>
    </row>
    <row r="1044" spans="1:79" ht="19.5" x14ac:dyDescent="0.4">
      <c r="A1044" s="117"/>
      <c r="B1044" s="123"/>
      <c r="C1044" s="123"/>
      <c r="D1044" s="123"/>
      <c r="AN1044" s="127"/>
      <c r="AO1044" s="29"/>
      <c r="AY1044" s="26"/>
      <c r="AZ1044" s="13"/>
      <c r="BE1044" s="117"/>
      <c r="BF1044" s="123"/>
      <c r="BG1044" s="123"/>
      <c r="BH1044" s="123"/>
      <c r="BI1044" s="115"/>
      <c r="BJ1044" s="115"/>
      <c r="BK1044" s="115"/>
      <c r="BL1044" s="115"/>
      <c r="BM1044" s="115"/>
      <c r="BN1044" s="115"/>
      <c r="BO1044" s="115"/>
      <c r="BP1044" s="115"/>
      <c r="BQ1044" s="115"/>
      <c r="BR1044" s="115"/>
      <c r="BS1044" s="115"/>
      <c r="BT1044" s="115"/>
      <c r="BU1044" s="115"/>
      <c r="BV1044" s="115"/>
      <c r="BW1044" s="25"/>
      <c r="BX1044" s="13"/>
      <c r="CA1044" s="114"/>
    </row>
    <row r="1045" spans="1:79" ht="19.5" x14ac:dyDescent="0.4">
      <c r="A1045" s="117"/>
      <c r="B1045" s="123"/>
      <c r="C1045" s="123"/>
      <c r="D1045" s="123"/>
      <c r="AN1045" s="127"/>
      <c r="AO1045" s="29"/>
      <c r="AQ1045" s="115"/>
      <c r="AR1045" s="115"/>
      <c r="AS1045" s="115"/>
      <c r="AT1045" s="115"/>
      <c r="AU1045" s="115"/>
      <c r="AV1045" s="115"/>
      <c r="AW1045" s="115"/>
      <c r="AX1045" s="115"/>
      <c r="AY1045" s="26"/>
      <c r="AZ1045" s="13"/>
      <c r="BE1045" s="117"/>
      <c r="BF1045" s="123"/>
      <c r="BG1045" s="123"/>
      <c r="BH1045" s="123"/>
      <c r="BI1045" s="115"/>
      <c r="BJ1045" s="115"/>
      <c r="BK1045" s="115"/>
      <c r="BL1045" s="115"/>
      <c r="BM1045" s="115"/>
      <c r="BN1045" s="115"/>
      <c r="BO1045" s="115"/>
      <c r="BP1045" s="115"/>
      <c r="BQ1045" s="115"/>
      <c r="BR1045" s="115"/>
      <c r="BS1045" s="115"/>
      <c r="BT1045" s="115"/>
      <c r="BU1045" s="115"/>
      <c r="BV1045" s="115"/>
      <c r="BW1045" s="25"/>
      <c r="BX1045" s="13"/>
      <c r="CA1045" s="114"/>
    </row>
    <row r="1046" spans="1:79" ht="19.5" x14ac:dyDescent="0.4">
      <c r="A1046" s="117"/>
      <c r="B1046" s="123"/>
      <c r="C1046" s="123"/>
      <c r="D1046" s="123"/>
      <c r="AN1046" s="127"/>
      <c r="AO1046" s="29"/>
      <c r="AY1046" s="26"/>
      <c r="AZ1046" s="13"/>
      <c r="BE1046" s="117"/>
      <c r="BF1046" s="123"/>
      <c r="BG1046" s="123"/>
      <c r="BH1046" s="123"/>
      <c r="BI1046" s="115"/>
      <c r="BJ1046" s="115"/>
      <c r="BK1046" s="115"/>
      <c r="BL1046" s="115"/>
      <c r="BM1046" s="115"/>
      <c r="BN1046" s="115"/>
      <c r="BO1046" s="115"/>
      <c r="BP1046" s="115"/>
      <c r="BQ1046" s="115"/>
      <c r="BR1046" s="115"/>
      <c r="BS1046" s="115"/>
      <c r="BT1046" s="115"/>
      <c r="BU1046" s="115"/>
      <c r="BV1046" s="115"/>
      <c r="BW1046" s="25">
        <v>45270</v>
      </c>
      <c r="BX1046" s="13" t="s">
        <v>164</v>
      </c>
      <c r="CA1046" s="114"/>
    </row>
    <row r="1047" spans="1:79" ht="19.5" x14ac:dyDescent="0.4">
      <c r="A1047" s="117"/>
      <c r="B1047" s="123"/>
      <c r="C1047" s="123"/>
      <c r="D1047" s="123"/>
      <c r="AN1047" s="127"/>
      <c r="AO1047" s="29"/>
      <c r="AS1047" s="115"/>
      <c r="AT1047" s="115"/>
      <c r="AU1047" s="115"/>
      <c r="AV1047" s="115"/>
      <c r="AW1047" s="115"/>
      <c r="AX1047" s="115"/>
      <c r="AY1047" s="26"/>
      <c r="AZ1047" s="13"/>
      <c r="BE1047" s="117"/>
      <c r="BF1047" s="123"/>
      <c r="BG1047" s="123"/>
      <c r="BH1047" s="123"/>
      <c r="BI1047" s="115"/>
      <c r="BJ1047" s="115"/>
      <c r="BK1047" s="115"/>
      <c r="BL1047" s="115"/>
      <c r="BM1047" s="115"/>
      <c r="BN1047" s="115"/>
      <c r="BO1047" s="115"/>
      <c r="BP1047" s="115"/>
      <c r="BQ1047" s="115"/>
      <c r="BR1047" s="115"/>
      <c r="BS1047" s="115"/>
      <c r="BT1047" s="115"/>
      <c r="BU1047" s="115"/>
      <c r="BV1047" s="115"/>
      <c r="BW1047" s="25"/>
      <c r="BX1047" s="13"/>
      <c r="CA1047" s="114"/>
    </row>
    <row r="1048" spans="1:79" ht="19.5" x14ac:dyDescent="0.4">
      <c r="A1048" s="117"/>
      <c r="B1048" s="123"/>
      <c r="C1048" s="123"/>
      <c r="D1048" s="123"/>
      <c r="F1048" s="115"/>
      <c r="G1048" s="115"/>
      <c r="H1048" s="115"/>
      <c r="I1048" s="115"/>
      <c r="J1048" s="115"/>
      <c r="K1048" s="115"/>
      <c r="L1048" s="115"/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  <c r="W1048" s="115"/>
      <c r="X1048" s="115"/>
      <c r="Y1048" s="115"/>
      <c r="Z1048" s="115"/>
      <c r="AA1048" s="115"/>
      <c r="AB1048" s="115"/>
      <c r="AC1048" s="115"/>
      <c r="AD1048" s="115"/>
      <c r="AE1048" s="115"/>
      <c r="AF1048" s="115"/>
      <c r="AG1048" s="115"/>
      <c r="AH1048" s="115"/>
      <c r="AI1048" s="115"/>
      <c r="AJ1048" s="115"/>
      <c r="AK1048" s="115"/>
      <c r="AL1048" s="115"/>
      <c r="AM1048" s="115"/>
      <c r="AN1048" s="127"/>
      <c r="AO1048" s="29"/>
      <c r="AP1048" s="115"/>
      <c r="AQ1048" s="115"/>
      <c r="AR1048" s="115"/>
      <c r="AS1048" s="115"/>
      <c r="AT1048" s="115"/>
      <c r="AU1048" s="115"/>
      <c r="AV1048" s="115"/>
      <c r="AW1048" s="115"/>
      <c r="AX1048" s="115"/>
      <c r="AY1048" s="26"/>
      <c r="AZ1048" s="13"/>
      <c r="BE1048" s="117"/>
      <c r="BF1048" s="123"/>
      <c r="BG1048" s="123"/>
      <c r="BH1048" s="123"/>
      <c r="BI1048" s="115"/>
      <c r="BJ1048" s="115"/>
      <c r="BK1048" s="115"/>
      <c r="BL1048" s="115"/>
      <c r="BM1048" s="115"/>
      <c r="BN1048" s="115"/>
      <c r="BO1048" s="115"/>
      <c r="BP1048" s="115"/>
      <c r="BQ1048" s="115"/>
      <c r="BR1048" s="115"/>
      <c r="BS1048" s="115"/>
      <c r="BT1048" s="115"/>
      <c r="BU1048" s="115"/>
      <c r="BV1048" s="115"/>
      <c r="BW1048" s="25"/>
      <c r="BX1048" s="13"/>
      <c r="CA1048" s="114"/>
    </row>
    <row r="1049" spans="1:79" ht="19.5" x14ac:dyDescent="0.4">
      <c r="A1049" s="117"/>
      <c r="B1049" s="123"/>
      <c r="C1049" s="123"/>
      <c r="D1049" s="123"/>
      <c r="AN1049" s="127"/>
      <c r="AO1049" s="29"/>
      <c r="AY1049" s="26"/>
      <c r="AZ1049" s="13"/>
      <c r="BE1049" s="117"/>
      <c r="BF1049" s="123"/>
      <c r="BG1049" s="123"/>
      <c r="BH1049" s="123"/>
      <c r="BI1049" s="115"/>
      <c r="BJ1049" s="115"/>
      <c r="BK1049" s="115"/>
      <c r="BL1049" s="115"/>
      <c r="BM1049" s="115"/>
      <c r="BN1049" s="115"/>
      <c r="BO1049" s="115"/>
      <c r="BP1049" s="115"/>
      <c r="BQ1049" s="115"/>
      <c r="BR1049" s="115"/>
      <c r="BS1049" s="115"/>
      <c r="BT1049" s="115"/>
      <c r="BU1049" s="115"/>
      <c r="BV1049" s="115"/>
      <c r="BW1049" s="25">
        <v>45270</v>
      </c>
      <c r="BX1049" s="13" t="s">
        <v>162</v>
      </c>
      <c r="CA1049" s="114"/>
    </row>
    <row r="1050" spans="1:79" ht="19.5" x14ac:dyDescent="0.4">
      <c r="A1050" s="117"/>
      <c r="B1050" s="123"/>
      <c r="C1050" s="123"/>
      <c r="D1050" s="123"/>
      <c r="AN1050" s="127"/>
      <c r="AO1050" s="29"/>
      <c r="AR1050" s="115"/>
      <c r="AS1050" s="115"/>
      <c r="AT1050" s="115"/>
      <c r="AU1050" s="115"/>
      <c r="AV1050" s="115"/>
      <c r="AW1050" s="115"/>
      <c r="AX1050" s="115"/>
      <c r="AY1050" s="26"/>
      <c r="AZ1050" s="15"/>
      <c r="BE1050" s="117"/>
      <c r="BF1050" s="123"/>
      <c r="BG1050" s="123"/>
      <c r="BH1050" s="123"/>
      <c r="BI1050" s="115"/>
      <c r="BJ1050" s="115"/>
      <c r="BK1050" s="115"/>
      <c r="BL1050" s="115"/>
      <c r="BM1050" s="115"/>
      <c r="BN1050" s="115"/>
      <c r="BO1050" s="115"/>
      <c r="BP1050" s="115"/>
      <c r="BQ1050" s="115"/>
      <c r="BR1050" s="115"/>
      <c r="BS1050" s="115"/>
      <c r="BT1050" s="115"/>
      <c r="BU1050" s="115"/>
      <c r="BV1050" s="115"/>
      <c r="BW1050" s="25"/>
      <c r="BX1050" s="13"/>
      <c r="CA1050" s="114"/>
    </row>
    <row r="1051" spans="1:79" ht="19.5" x14ac:dyDescent="0.4">
      <c r="A1051" s="117"/>
      <c r="B1051" s="123"/>
      <c r="C1051" s="123"/>
      <c r="D1051" s="123"/>
      <c r="X1051" s="115"/>
      <c r="Y1051" s="115"/>
      <c r="Z1051" s="115"/>
      <c r="AA1051" s="115"/>
      <c r="AB1051" s="115"/>
      <c r="AC1051" s="115"/>
      <c r="AD1051" s="115"/>
      <c r="AE1051" s="115"/>
      <c r="AF1051" s="115"/>
      <c r="AG1051" s="115"/>
      <c r="AH1051" s="115"/>
      <c r="AI1051" s="115"/>
      <c r="AJ1051" s="115"/>
      <c r="AK1051" s="115"/>
      <c r="AL1051" s="115"/>
      <c r="AM1051" s="115"/>
      <c r="AN1051" s="29"/>
      <c r="AO1051" s="29"/>
      <c r="AR1051" s="115"/>
      <c r="AS1051" s="115"/>
      <c r="AT1051" s="115"/>
      <c r="AU1051" s="115"/>
      <c r="AV1051" s="115"/>
      <c r="AW1051" s="115"/>
      <c r="AX1051" s="115"/>
      <c r="AY1051" s="26"/>
      <c r="AZ1051" s="13"/>
      <c r="BE1051" s="117"/>
      <c r="BF1051" s="123"/>
      <c r="BG1051" s="123"/>
      <c r="BH1051" s="123"/>
      <c r="BI1051" s="115"/>
      <c r="BJ1051" s="115"/>
      <c r="BK1051" s="115"/>
      <c r="BL1051" s="115"/>
      <c r="BM1051" s="115"/>
      <c r="BN1051" s="115"/>
      <c r="BO1051" s="115"/>
      <c r="BP1051" s="115"/>
      <c r="BQ1051" s="115"/>
      <c r="BR1051" s="115"/>
      <c r="BS1051" s="115"/>
      <c r="BT1051" s="115"/>
      <c r="BU1051" s="115"/>
      <c r="BV1051" s="115"/>
      <c r="BW1051" s="25"/>
      <c r="BX1051" s="13"/>
      <c r="CA1051" s="114"/>
    </row>
    <row r="1052" spans="1:79" ht="19.5" x14ac:dyDescent="0.4">
      <c r="A1052" s="117"/>
      <c r="B1052" s="123"/>
      <c r="C1052" s="123"/>
      <c r="D1052" s="123"/>
      <c r="AN1052" s="127"/>
      <c r="AO1052" s="29"/>
      <c r="AY1052" s="26"/>
      <c r="AZ1052" s="13"/>
      <c r="BE1052" s="117"/>
      <c r="BF1052" s="123"/>
      <c r="BG1052" s="123"/>
      <c r="BH1052" s="123"/>
      <c r="BI1052" s="115"/>
      <c r="BJ1052" s="115"/>
      <c r="BK1052" s="115"/>
      <c r="BL1052" s="115"/>
      <c r="BM1052" s="115"/>
      <c r="BN1052" s="115"/>
      <c r="BO1052" s="115"/>
      <c r="BP1052" s="115"/>
      <c r="BQ1052" s="115"/>
      <c r="BR1052" s="115"/>
      <c r="BS1052" s="115"/>
      <c r="BT1052" s="115"/>
      <c r="BU1052" s="115"/>
      <c r="BV1052" s="115"/>
      <c r="BW1052" s="25">
        <v>45270</v>
      </c>
      <c r="BX1052" s="13" t="s">
        <v>162</v>
      </c>
      <c r="CA1052" s="114"/>
    </row>
    <row r="1053" spans="1:79" ht="19.5" x14ac:dyDescent="0.4">
      <c r="A1053" s="117"/>
      <c r="B1053" s="123"/>
      <c r="C1053" s="123"/>
      <c r="D1053" s="123"/>
      <c r="X1053" s="115"/>
      <c r="Y1053" s="115"/>
      <c r="Z1053" s="115"/>
      <c r="AA1053" s="115"/>
      <c r="AB1053" s="115"/>
      <c r="AC1053" s="115"/>
      <c r="AD1053" s="115"/>
      <c r="AE1053" s="115"/>
      <c r="AF1053" s="115"/>
      <c r="AG1053" s="115"/>
      <c r="AH1053" s="115"/>
      <c r="AI1053" s="115"/>
      <c r="AJ1053" s="115"/>
      <c r="AK1053" s="115"/>
      <c r="AL1053" s="115"/>
      <c r="AM1053" s="115"/>
      <c r="AN1053" s="29"/>
      <c r="AO1053" s="29"/>
      <c r="AY1053" s="26"/>
      <c r="AZ1053" s="13"/>
      <c r="BE1053" s="117"/>
      <c r="BF1053" s="123"/>
      <c r="BG1053" s="123"/>
      <c r="BH1053" s="123"/>
      <c r="BI1053" s="115"/>
      <c r="BJ1053" s="115"/>
      <c r="BK1053" s="115"/>
      <c r="BL1053" s="115"/>
      <c r="BM1053" s="115"/>
      <c r="BN1053" s="115"/>
      <c r="BO1053" s="115"/>
      <c r="BP1053" s="115"/>
      <c r="BQ1053" s="115"/>
      <c r="BR1053" s="115"/>
      <c r="BS1053" s="115"/>
      <c r="BT1053" s="115"/>
      <c r="BU1053" s="115"/>
      <c r="BV1053" s="115"/>
      <c r="BW1053" s="25"/>
      <c r="BX1053" s="13"/>
      <c r="CA1053" s="114"/>
    </row>
    <row r="1054" spans="1:79" ht="19.5" x14ac:dyDescent="0.4">
      <c r="A1054" s="117"/>
      <c r="B1054" s="123"/>
      <c r="C1054" s="123"/>
      <c r="D1054" s="123"/>
      <c r="AN1054" s="127"/>
      <c r="AO1054" s="29"/>
      <c r="AT1054" s="115"/>
      <c r="AU1054" s="115"/>
      <c r="AV1054" s="115"/>
      <c r="AW1054" s="115"/>
      <c r="AX1054" s="115"/>
      <c r="AY1054" s="17"/>
      <c r="AZ1054" s="13"/>
      <c r="BE1054" s="117"/>
      <c r="BF1054" s="123"/>
      <c r="BG1054" s="123"/>
      <c r="BH1054" s="123"/>
      <c r="BI1054" s="115"/>
      <c r="BJ1054" s="115"/>
      <c r="BK1054" s="115"/>
      <c r="BL1054" s="115"/>
      <c r="BM1054" s="115"/>
      <c r="BN1054" s="115"/>
      <c r="BO1054" s="115"/>
      <c r="BP1054" s="115"/>
      <c r="BQ1054" s="115"/>
      <c r="BR1054" s="115"/>
      <c r="BS1054" s="115"/>
      <c r="BT1054" s="115"/>
      <c r="BU1054" s="115"/>
      <c r="BV1054" s="115"/>
      <c r="BW1054" s="25"/>
      <c r="BX1054" s="13"/>
      <c r="CA1054" s="114"/>
    </row>
    <row r="1055" spans="1:79" ht="19.5" x14ac:dyDescent="0.4">
      <c r="A1055" s="117"/>
      <c r="B1055" s="123"/>
      <c r="C1055" s="123"/>
      <c r="D1055" s="123"/>
      <c r="X1055" s="115"/>
      <c r="Y1055" s="115"/>
      <c r="Z1055" s="115"/>
      <c r="AA1055" s="115"/>
      <c r="AB1055" s="115"/>
      <c r="AC1055" s="115"/>
      <c r="AD1055" s="115"/>
      <c r="AE1055" s="115"/>
      <c r="AF1055" s="115"/>
      <c r="AG1055" s="115"/>
      <c r="AH1055" s="115"/>
      <c r="AI1055" s="115"/>
      <c r="AJ1055" s="115"/>
      <c r="AK1055" s="115"/>
      <c r="AL1055" s="115"/>
      <c r="AM1055" s="115"/>
      <c r="AN1055" s="29"/>
      <c r="AO1055" s="29"/>
      <c r="AT1055" s="115"/>
      <c r="AU1055" s="115"/>
      <c r="AV1055" s="115"/>
      <c r="AW1055" s="115"/>
      <c r="AX1055" s="115"/>
      <c r="AY1055" s="17"/>
      <c r="AZ1055" s="13"/>
      <c r="BE1055" s="117"/>
      <c r="BF1055" s="123"/>
      <c r="BG1055" s="123"/>
      <c r="BH1055" s="123"/>
      <c r="BI1055" s="115"/>
      <c r="BJ1055" s="115"/>
      <c r="BK1055" s="115"/>
      <c r="BL1055" s="115"/>
      <c r="BM1055" s="115"/>
      <c r="BN1055" s="115"/>
      <c r="BO1055" s="115"/>
      <c r="BP1055" s="115"/>
      <c r="BQ1055" s="115"/>
      <c r="BR1055" s="115"/>
      <c r="BS1055" s="115"/>
      <c r="BT1055" s="115"/>
      <c r="BU1055" s="115"/>
      <c r="BV1055" s="115"/>
      <c r="BW1055" s="25"/>
      <c r="BX1055" s="13"/>
      <c r="CA1055" s="114"/>
    </row>
    <row r="1056" spans="1:79" ht="19.5" x14ac:dyDescent="0.4">
      <c r="A1056" s="117"/>
      <c r="B1056" s="123"/>
      <c r="C1056" s="123"/>
      <c r="D1056" s="123"/>
      <c r="X1056" s="115"/>
      <c r="Y1056" s="115"/>
      <c r="Z1056" s="115"/>
      <c r="AA1056" s="115"/>
      <c r="AB1056" s="115"/>
      <c r="AC1056" s="115"/>
      <c r="AD1056" s="115"/>
      <c r="AE1056" s="115"/>
      <c r="AF1056" s="115"/>
      <c r="AG1056" s="115"/>
      <c r="AH1056" s="115"/>
      <c r="AI1056" s="115"/>
      <c r="AJ1056" s="115"/>
      <c r="AK1056" s="115"/>
      <c r="AL1056" s="115"/>
      <c r="AM1056" s="115"/>
      <c r="AN1056" s="29"/>
      <c r="AO1056" s="29"/>
      <c r="AT1056" s="115"/>
      <c r="AU1056" s="115"/>
      <c r="AV1056" s="115"/>
      <c r="AW1056" s="115"/>
      <c r="AX1056" s="115"/>
      <c r="AY1056" s="17"/>
      <c r="AZ1056" s="13"/>
      <c r="BE1056" s="117"/>
      <c r="BF1056" s="123"/>
      <c r="BG1056" s="123"/>
      <c r="BH1056" s="123"/>
      <c r="BI1056" s="115"/>
      <c r="BJ1056" s="115"/>
      <c r="BK1056" s="115"/>
      <c r="BL1056" s="115"/>
      <c r="BM1056" s="115"/>
      <c r="BN1056" s="115"/>
      <c r="BO1056" s="115"/>
      <c r="BP1056" s="115"/>
      <c r="BQ1056" s="115"/>
      <c r="BR1056" s="115"/>
      <c r="BS1056" s="115"/>
      <c r="BT1056" s="115"/>
      <c r="BU1056" s="115"/>
      <c r="BV1056" s="115"/>
      <c r="BW1056" s="25"/>
      <c r="BX1056" s="13"/>
      <c r="CA1056" s="114"/>
    </row>
    <row r="1057" spans="1:79" ht="19.5" x14ac:dyDescent="0.4">
      <c r="A1057" s="117"/>
      <c r="B1057" s="123"/>
      <c r="C1057" s="123"/>
      <c r="D1057" s="123"/>
      <c r="AN1057" s="115"/>
      <c r="AO1057" s="115"/>
      <c r="AP1057" s="115"/>
      <c r="AQ1057" s="115"/>
      <c r="AR1057" s="115"/>
      <c r="AS1057" s="115"/>
      <c r="AT1057" s="115"/>
      <c r="AU1057" s="115"/>
      <c r="AV1057" s="115"/>
      <c r="AW1057" s="115"/>
      <c r="AX1057" s="115"/>
      <c r="AY1057" s="26"/>
      <c r="AZ1057" s="13"/>
      <c r="BE1057" s="117"/>
      <c r="BF1057" s="123"/>
      <c r="BG1057" s="123"/>
      <c r="BH1057" s="123"/>
      <c r="BI1057" s="115"/>
      <c r="BJ1057" s="115"/>
      <c r="BK1057" s="115"/>
      <c r="BL1057" s="115"/>
      <c r="BM1057" s="115"/>
      <c r="BN1057" s="115"/>
      <c r="BO1057" s="115"/>
      <c r="BP1057" s="115"/>
      <c r="BQ1057" s="115"/>
      <c r="BR1057" s="115"/>
      <c r="BS1057" s="115"/>
      <c r="BT1057" s="115"/>
      <c r="BU1057" s="115"/>
      <c r="BV1057" s="115"/>
      <c r="BW1057" s="25"/>
      <c r="BX1057" s="13"/>
      <c r="CA1057" s="114"/>
    </row>
    <row r="1058" spans="1:79" ht="19.5" x14ac:dyDescent="0.4">
      <c r="A1058" s="117"/>
      <c r="B1058" s="123"/>
      <c r="C1058" s="123"/>
      <c r="D1058" s="123"/>
      <c r="AY1058" s="26"/>
      <c r="AZ1058" s="13"/>
      <c r="BE1058" s="117"/>
      <c r="BF1058" s="123"/>
      <c r="BG1058" s="123"/>
      <c r="BH1058" s="123"/>
      <c r="BI1058" s="115"/>
      <c r="BJ1058" s="115"/>
      <c r="BK1058" s="115"/>
      <c r="BL1058" s="115"/>
      <c r="BM1058" s="115"/>
      <c r="BN1058" s="115"/>
      <c r="BO1058" s="115"/>
      <c r="BP1058" s="115"/>
      <c r="BQ1058" s="115"/>
      <c r="BR1058" s="115"/>
      <c r="BS1058" s="115"/>
      <c r="BT1058" s="115"/>
      <c r="BU1058" s="115"/>
      <c r="BV1058" s="115"/>
      <c r="BW1058" s="25"/>
      <c r="BX1058" s="13"/>
      <c r="CA1058" s="114"/>
    </row>
    <row r="1059" spans="1:79" ht="19.5" x14ac:dyDescent="0.4">
      <c r="A1059" s="117"/>
      <c r="B1059" s="123"/>
      <c r="C1059" s="123"/>
      <c r="D1059" s="123"/>
      <c r="AY1059" s="26"/>
      <c r="AZ1059" s="13"/>
      <c r="BE1059" s="117"/>
      <c r="BF1059" s="123"/>
      <c r="BG1059" s="123"/>
      <c r="BH1059" s="123"/>
      <c r="BI1059" s="115"/>
      <c r="BJ1059" s="115"/>
      <c r="BK1059" s="115"/>
      <c r="BL1059" s="115"/>
      <c r="BM1059" s="115"/>
      <c r="BN1059" s="115"/>
      <c r="BO1059" s="115"/>
      <c r="BP1059" s="115"/>
      <c r="BQ1059" s="115"/>
      <c r="BR1059" s="115"/>
      <c r="BS1059" s="115"/>
      <c r="BT1059" s="115"/>
      <c r="BU1059" s="115"/>
      <c r="BV1059" s="115"/>
      <c r="BW1059" s="25">
        <v>45270</v>
      </c>
      <c r="BX1059" s="13" t="s">
        <v>163</v>
      </c>
      <c r="CA1059" s="114"/>
    </row>
    <row r="1060" spans="1:79" ht="19.5" x14ac:dyDescent="0.4">
      <c r="A1060" s="117"/>
      <c r="B1060" s="123"/>
      <c r="C1060" s="123"/>
      <c r="D1060" s="123"/>
      <c r="AT1060" s="115"/>
      <c r="AU1060" s="115"/>
      <c r="AV1060" s="115"/>
      <c r="AW1060" s="115"/>
      <c r="AX1060" s="115"/>
      <c r="AY1060" s="17"/>
      <c r="AZ1060" s="13"/>
      <c r="BE1060" s="117"/>
      <c r="BF1060" s="123"/>
      <c r="BG1060" s="123"/>
      <c r="BH1060" s="123"/>
      <c r="BI1060" s="115"/>
      <c r="BJ1060" s="115"/>
      <c r="BK1060" s="115"/>
      <c r="BL1060" s="115"/>
      <c r="BM1060" s="115"/>
      <c r="BN1060" s="115"/>
      <c r="BO1060" s="115"/>
      <c r="BP1060" s="115"/>
      <c r="BQ1060" s="115"/>
      <c r="BR1060" s="115"/>
      <c r="BS1060" s="115"/>
      <c r="BT1060" s="115"/>
      <c r="BU1060" s="115"/>
      <c r="BV1060" s="115"/>
      <c r="BW1060" s="25"/>
      <c r="BX1060" s="13"/>
      <c r="CA1060" s="114"/>
    </row>
    <row r="1061" spans="1:79" ht="19.5" x14ac:dyDescent="0.4">
      <c r="A1061" s="117"/>
      <c r="B1061" s="123"/>
      <c r="C1061" s="123"/>
      <c r="D1061" s="123"/>
      <c r="AY1061" s="26"/>
      <c r="AZ1061" s="13"/>
      <c r="BE1061" s="117"/>
      <c r="BF1061" s="123"/>
      <c r="BG1061" s="123"/>
      <c r="BH1061" s="123"/>
      <c r="BI1061" s="115"/>
      <c r="BJ1061" s="115"/>
      <c r="BK1061" s="115"/>
      <c r="BL1061" s="115"/>
      <c r="BM1061" s="115"/>
      <c r="BN1061" s="115"/>
      <c r="BO1061" s="115"/>
      <c r="BP1061" s="115"/>
      <c r="BQ1061" s="115"/>
      <c r="BR1061" s="115"/>
      <c r="BS1061" s="115"/>
      <c r="BT1061" s="115"/>
      <c r="BU1061" s="115"/>
      <c r="BV1061" s="115" t="s">
        <v>151</v>
      </c>
      <c r="BW1061" s="13">
        <f>SUBTOTAL(3,BW1042:BW1059)</f>
        <v>5</v>
      </c>
      <c r="BX1061" s="13">
        <f>SUBTOTAL(3,BX1042:BX1059)</f>
        <v>5</v>
      </c>
      <c r="CA1061" s="114"/>
    </row>
    <row r="1062" spans="1:79" ht="19.5" x14ac:dyDescent="0.4">
      <c r="A1062" s="117"/>
      <c r="B1062" s="123"/>
      <c r="C1062" s="123"/>
      <c r="D1062" s="123"/>
      <c r="AS1062" s="115"/>
      <c r="AT1062" s="115"/>
      <c r="AU1062" s="115"/>
      <c r="AV1062" s="115"/>
      <c r="AW1062" s="115"/>
      <c r="AX1062" s="115"/>
      <c r="AY1062" s="26"/>
      <c r="AZ1062" s="13"/>
      <c r="BE1062" s="117"/>
      <c r="BF1062" s="123"/>
      <c r="BG1062" s="123"/>
      <c r="BH1062" s="123"/>
      <c r="BI1062" s="115"/>
      <c r="BJ1062" s="115"/>
      <c r="BK1062" s="115"/>
      <c r="BL1062" s="115"/>
      <c r="BM1062" s="115"/>
      <c r="BN1062" s="115"/>
      <c r="BO1062" s="115"/>
      <c r="BP1062" s="115"/>
      <c r="BQ1062" s="115"/>
      <c r="BR1062" s="115"/>
      <c r="BS1062" s="115"/>
      <c r="BT1062" s="115"/>
      <c r="BU1062" s="115"/>
      <c r="BV1062" s="115"/>
      <c r="BW1062" s="13"/>
      <c r="BX1062" s="13"/>
      <c r="CA1062" s="114"/>
    </row>
    <row r="1063" spans="1:79" ht="19.5" x14ac:dyDescent="0.4">
      <c r="A1063" s="117"/>
      <c r="B1063" s="123"/>
      <c r="C1063" s="123"/>
      <c r="D1063" s="123"/>
      <c r="AY1063" s="26"/>
      <c r="AZ1063" s="13"/>
      <c r="BE1063" s="117"/>
      <c r="BF1063" s="123"/>
      <c r="BG1063" s="123"/>
      <c r="BH1063" s="123"/>
      <c r="BI1063" s="115"/>
      <c r="BJ1063" s="115"/>
      <c r="BK1063" s="115"/>
      <c r="BL1063" s="115"/>
      <c r="BM1063" s="115"/>
      <c r="BN1063" s="115"/>
      <c r="BO1063" s="115"/>
      <c r="BP1063" s="115"/>
      <c r="BQ1063" s="115"/>
      <c r="BR1063" s="115"/>
      <c r="BS1063" s="115"/>
      <c r="BT1063" s="115"/>
      <c r="BU1063" s="115"/>
      <c r="BV1063" s="115"/>
      <c r="BW1063" s="25">
        <v>45271</v>
      </c>
      <c r="BX1063" s="13" t="s">
        <v>162</v>
      </c>
      <c r="CA1063" s="114"/>
    </row>
    <row r="1064" spans="1:79" ht="19.5" x14ac:dyDescent="0.4">
      <c r="A1064" s="117"/>
      <c r="B1064" s="123"/>
      <c r="C1064" s="123"/>
      <c r="D1064" s="123"/>
      <c r="AY1064" s="26"/>
      <c r="AZ1064" s="13"/>
      <c r="BE1064" s="117"/>
      <c r="BF1064" s="123"/>
      <c r="BG1064" s="123"/>
      <c r="BH1064" s="123"/>
      <c r="BI1064" s="115"/>
      <c r="BJ1064" s="115"/>
      <c r="BK1064" s="115"/>
      <c r="BL1064" s="115"/>
      <c r="BM1064" s="115"/>
      <c r="BN1064" s="115"/>
      <c r="BO1064" s="115"/>
      <c r="BP1064" s="115"/>
      <c r="BQ1064" s="115"/>
      <c r="BR1064" s="115"/>
      <c r="BS1064" s="115"/>
      <c r="BT1064" s="115"/>
      <c r="BU1064" s="115"/>
      <c r="BV1064" s="115"/>
      <c r="BW1064" s="25">
        <v>45271</v>
      </c>
      <c r="BX1064" s="13" t="s">
        <v>163</v>
      </c>
      <c r="CA1064" s="114"/>
    </row>
    <row r="1065" spans="1:79" ht="19.5" x14ac:dyDescent="0.4">
      <c r="A1065" s="117"/>
      <c r="B1065" s="123"/>
      <c r="C1065" s="123"/>
      <c r="D1065" s="123"/>
      <c r="AS1065" s="115"/>
      <c r="AT1065" s="115"/>
      <c r="AU1065" s="115"/>
      <c r="AV1065" s="115"/>
      <c r="AW1065" s="115"/>
      <c r="AX1065" s="115"/>
      <c r="AY1065" s="26"/>
      <c r="AZ1065" s="13"/>
      <c r="BE1065" s="117"/>
      <c r="BF1065" s="123"/>
      <c r="BG1065" s="123"/>
      <c r="BH1065" s="123"/>
      <c r="BI1065" s="115"/>
      <c r="BJ1065" s="115"/>
      <c r="BK1065" s="115"/>
      <c r="BL1065" s="115"/>
      <c r="BM1065" s="115"/>
      <c r="BN1065" s="115"/>
      <c r="BO1065" s="115"/>
      <c r="BP1065" s="115"/>
      <c r="BQ1065" s="115"/>
      <c r="BR1065" s="115"/>
      <c r="BS1065" s="115"/>
      <c r="BT1065" s="115"/>
      <c r="BU1065" s="115"/>
      <c r="BV1065" s="115"/>
      <c r="BW1065" s="25"/>
      <c r="BX1065" s="13"/>
      <c r="CA1065" s="114"/>
    </row>
    <row r="1066" spans="1:79" ht="19.5" x14ac:dyDescent="0.4">
      <c r="A1066" s="117"/>
      <c r="B1066" s="123"/>
      <c r="C1066" s="123"/>
      <c r="D1066" s="123"/>
      <c r="AR1066" s="115"/>
      <c r="AS1066" s="115"/>
      <c r="AT1066" s="115"/>
      <c r="AU1066" s="115"/>
      <c r="AV1066" s="115"/>
      <c r="AW1066" s="115"/>
      <c r="AX1066" s="115"/>
      <c r="AY1066" s="26"/>
      <c r="AZ1066" s="13"/>
      <c r="BE1066" s="117"/>
      <c r="BF1066" s="123"/>
      <c r="BG1066" s="123"/>
      <c r="BH1066" s="123"/>
      <c r="BI1066" s="115"/>
      <c r="BJ1066" s="115"/>
      <c r="BK1066" s="115"/>
      <c r="BL1066" s="115"/>
      <c r="BM1066" s="115"/>
      <c r="BN1066" s="115"/>
      <c r="BO1066" s="115"/>
      <c r="BP1066" s="115"/>
      <c r="BQ1066" s="115"/>
      <c r="BR1066" s="115"/>
      <c r="BS1066" s="115"/>
      <c r="BT1066" s="115"/>
      <c r="BU1066" s="115"/>
      <c r="BV1066" s="115"/>
      <c r="BW1066" s="25"/>
      <c r="BX1066" s="13"/>
      <c r="CA1066" s="114"/>
    </row>
    <row r="1067" spans="1:79" ht="19.5" x14ac:dyDescent="0.4">
      <c r="A1067" s="117"/>
      <c r="B1067" s="123"/>
      <c r="C1067" s="123"/>
      <c r="D1067" s="123"/>
      <c r="AR1067" s="115"/>
      <c r="AS1067" s="115"/>
      <c r="AT1067" s="115"/>
      <c r="AU1067" s="115"/>
      <c r="AV1067" s="115"/>
      <c r="AW1067" s="115"/>
      <c r="AX1067" s="115"/>
      <c r="AY1067" s="17"/>
      <c r="AZ1067" s="13"/>
      <c r="BE1067" s="117"/>
      <c r="BF1067" s="123"/>
      <c r="BG1067" s="123"/>
      <c r="BH1067" s="123"/>
      <c r="BI1067" s="115"/>
      <c r="BJ1067" s="115"/>
      <c r="BK1067" s="115"/>
      <c r="BL1067" s="115"/>
      <c r="BM1067" s="115"/>
      <c r="BN1067" s="115"/>
      <c r="BO1067" s="115"/>
      <c r="BP1067" s="115"/>
      <c r="BQ1067" s="115"/>
      <c r="BR1067" s="115"/>
      <c r="BS1067" s="115"/>
      <c r="BT1067" s="115"/>
      <c r="BU1067" s="115"/>
      <c r="BV1067" s="115"/>
      <c r="BW1067" s="25"/>
      <c r="BX1067" s="13"/>
      <c r="CA1067" s="114"/>
    </row>
    <row r="1068" spans="1:79" ht="19.5" x14ac:dyDescent="0.4">
      <c r="A1068" s="117"/>
      <c r="B1068" s="123"/>
      <c r="C1068" s="123"/>
      <c r="D1068" s="123"/>
      <c r="AP1068" s="115"/>
      <c r="AQ1068" s="115"/>
      <c r="AR1068" s="115"/>
      <c r="AS1068" s="115"/>
      <c r="AT1068" s="115"/>
      <c r="AU1068" s="115"/>
      <c r="AV1068" s="115"/>
      <c r="AW1068" s="115"/>
      <c r="AX1068" s="115"/>
      <c r="AY1068" s="26"/>
      <c r="AZ1068" s="13"/>
      <c r="BE1068" s="117"/>
      <c r="BF1068" s="123"/>
      <c r="BG1068" s="123"/>
      <c r="BH1068" s="123"/>
      <c r="BI1068" s="115"/>
      <c r="BJ1068" s="115"/>
      <c r="BK1068" s="115"/>
      <c r="BL1068" s="115"/>
      <c r="BM1068" s="115"/>
      <c r="BN1068" s="115"/>
      <c r="BO1068" s="115"/>
      <c r="BP1068" s="115"/>
      <c r="BQ1068" s="115"/>
      <c r="BR1068" s="115"/>
      <c r="BS1068" s="115"/>
      <c r="BT1068" s="115"/>
      <c r="BU1068" s="115"/>
      <c r="BV1068" s="115"/>
      <c r="BW1068" s="25"/>
      <c r="BX1068" s="13"/>
      <c r="CA1068" s="114"/>
    </row>
    <row r="1069" spans="1:79" ht="19.5" x14ac:dyDescent="0.4">
      <c r="A1069" s="117"/>
      <c r="B1069" s="123"/>
      <c r="C1069" s="123"/>
      <c r="D1069" s="123"/>
      <c r="AY1069" s="26"/>
      <c r="AZ1069" s="13"/>
      <c r="BE1069" s="117"/>
      <c r="BF1069" s="123"/>
      <c r="BG1069" s="123"/>
      <c r="BH1069" s="123"/>
      <c r="BI1069" s="115"/>
      <c r="BJ1069" s="115"/>
      <c r="BK1069" s="115"/>
      <c r="BL1069" s="115"/>
      <c r="BM1069" s="115"/>
      <c r="BN1069" s="115"/>
      <c r="BO1069" s="115"/>
      <c r="BP1069" s="115"/>
      <c r="BQ1069" s="115"/>
      <c r="BR1069" s="115"/>
      <c r="BS1069" s="115"/>
      <c r="BT1069" s="115"/>
      <c r="BU1069" s="115"/>
      <c r="BV1069" s="115"/>
      <c r="BW1069" s="25">
        <v>45271</v>
      </c>
      <c r="BX1069" s="13" t="s">
        <v>163</v>
      </c>
      <c r="CA1069" s="114"/>
    </row>
    <row r="1070" spans="1:79" ht="19.5" x14ac:dyDescent="0.4">
      <c r="A1070" s="117"/>
      <c r="B1070" s="123"/>
      <c r="C1070" s="123"/>
      <c r="D1070" s="123"/>
      <c r="AS1070" s="115"/>
      <c r="AT1070" s="115"/>
      <c r="AU1070" s="115"/>
      <c r="AV1070" s="115"/>
      <c r="AW1070" s="115"/>
      <c r="AX1070" s="115"/>
      <c r="AY1070" s="26"/>
      <c r="AZ1070" s="13"/>
      <c r="BE1070" s="117"/>
      <c r="BF1070" s="123"/>
      <c r="BG1070" s="123"/>
      <c r="BH1070" s="123"/>
      <c r="BI1070" s="115"/>
      <c r="BJ1070" s="115"/>
      <c r="BK1070" s="115"/>
      <c r="BL1070" s="115"/>
      <c r="BM1070" s="115"/>
      <c r="BN1070" s="115"/>
      <c r="BO1070" s="115"/>
      <c r="BP1070" s="115"/>
      <c r="BQ1070" s="115"/>
      <c r="BR1070" s="115"/>
      <c r="BS1070" s="115"/>
      <c r="BT1070" s="115"/>
      <c r="BU1070" s="115"/>
      <c r="BV1070" s="115"/>
      <c r="BW1070" s="25"/>
      <c r="BX1070" s="13"/>
      <c r="CA1070" s="114"/>
    </row>
    <row r="1071" spans="1:79" ht="19.5" x14ac:dyDescent="0.4">
      <c r="A1071" s="117"/>
      <c r="B1071" s="123"/>
      <c r="C1071" s="123"/>
      <c r="D1071" s="123"/>
      <c r="AQ1071" s="115"/>
      <c r="AR1071" s="115"/>
      <c r="AS1071" s="115"/>
      <c r="AT1071" s="115"/>
      <c r="AU1071" s="115"/>
      <c r="AV1071" s="115"/>
      <c r="AW1071" s="115"/>
      <c r="AX1071" s="115"/>
      <c r="AY1071" s="26"/>
      <c r="AZ1071" s="13"/>
      <c r="BE1071" s="117"/>
      <c r="BF1071" s="123"/>
      <c r="BG1071" s="123"/>
      <c r="BH1071" s="123"/>
      <c r="BI1071" s="115"/>
      <c r="BJ1071" s="115"/>
      <c r="BK1071" s="115"/>
      <c r="BL1071" s="115"/>
      <c r="BM1071" s="115"/>
      <c r="BN1071" s="115"/>
      <c r="BO1071" s="115"/>
      <c r="BP1071" s="115"/>
      <c r="BQ1071" s="115"/>
      <c r="BR1071" s="115"/>
      <c r="BS1071" s="115"/>
      <c r="BT1071" s="115"/>
      <c r="BU1071" s="115"/>
      <c r="BV1071" s="115"/>
      <c r="BW1071" s="25"/>
      <c r="BX1071" s="13"/>
      <c r="CA1071" s="114"/>
    </row>
    <row r="1072" spans="1:79" ht="19.5" x14ac:dyDescent="0.4">
      <c r="A1072" s="117"/>
      <c r="B1072" s="123"/>
      <c r="C1072" s="123"/>
      <c r="D1072" s="123"/>
      <c r="AQ1072" s="115"/>
      <c r="AR1072" s="115"/>
      <c r="AS1072" s="115"/>
      <c r="AT1072" s="115"/>
      <c r="AU1072" s="115"/>
      <c r="AV1072" s="115"/>
      <c r="AW1072" s="115"/>
      <c r="AX1072" s="115"/>
      <c r="AY1072" s="17"/>
      <c r="AZ1072" s="13"/>
      <c r="BE1072" s="117"/>
      <c r="BF1072" s="123"/>
      <c r="BG1072" s="123"/>
      <c r="BH1072" s="123"/>
      <c r="BI1072" s="115"/>
      <c r="BJ1072" s="115"/>
      <c r="BK1072" s="115"/>
      <c r="BL1072" s="115"/>
      <c r="BM1072" s="115"/>
      <c r="BN1072" s="115"/>
      <c r="BO1072" s="115"/>
      <c r="BP1072" s="115"/>
      <c r="BQ1072" s="115"/>
      <c r="BR1072" s="115"/>
      <c r="BS1072" s="115"/>
      <c r="BT1072" s="115"/>
      <c r="BU1072" s="115"/>
      <c r="BV1072" s="115"/>
      <c r="BW1072" s="25"/>
      <c r="BX1072" s="13"/>
      <c r="CA1072" s="114"/>
    </row>
    <row r="1073" spans="1:79" ht="19.5" x14ac:dyDescent="0.4">
      <c r="A1073" s="117"/>
      <c r="B1073" s="123"/>
      <c r="C1073" s="123"/>
      <c r="D1073" s="123"/>
      <c r="AY1073" s="26"/>
      <c r="AZ1073" s="13"/>
      <c r="BE1073" s="117"/>
      <c r="BF1073" s="123"/>
      <c r="BG1073" s="123"/>
      <c r="BH1073" s="123"/>
      <c r="BI1073" s="115"/>
      <c r="BJ1073" s="115"/>
      <c r="BK1073" s="115"/>
      <c r="BL1073" s="115"/>
      <c r="BM1073" s="115"/>
      <c r="BN1073" s="115"/>
      <c r="BO1073" s="115"/>
      <c r="BP1073" s="115"/>
      <c r="BQ1073" s="115"/>
      <c r="BR1073" s="115"/>
      <c r="BS1073" s="115"/>
      <c r="BT1073" s="115"/>
      <c r="BU1073" s="115"/>
      <c r="BV1073" s="115" t="s">
        <v>165</v>
      </c>
      <c r="BW1073" s="13">
        <f>SUBTOTAL(3,BW1063:BW1069)</f>
        <v>3</v>
      </c>
      <c r="BX1073" s="13">
        <f>SUBTOTAL(3,BX1063:BX1069)</f>
        <v>3</v>
      </c>
      <c r="CA1073" s="114"/>
    </row>
    <row r="1074" spans="1:79" ht="19.5" x14ac:dyDescent="0.4">
      <c r="A1074" s="117"/>
      <c r="B1074" s="123"/>
      <c r="C1074" s="123"/>
      <c r="D1074" s="123"/>
      <c r="AY1074" s="26"/>
      <c r="AZ1074" s="13"/>
      <c r="BE1074" s="117"/>
      <c r="BF1074" s="123"/>
      <c r="BG1074" s="123"/>
      <c r="BH1074" s="123"/>
      <c r="BI1074" s="115"/>
      <c r="BJ1074" s="115"/>
      <c r="BK1074" s="115"/>
      <c r="BL1074" s="115"/>
      <c r="BM1074" s="115"/>
      <c r="BN1074" s="115"/>
      <c r="BO1074" s="115"/>
      <c r="BP1074" s="115"/>
      <c r="BQ1074" s="115"/>
      <c r="BR1074" s="115"/>
      <c r="BS1074" s="115"/>
      <c r="BT1074" s="115"/>
      <c r="BU1074" s="115"/>
      <c r="BV1074" s="115"/>
      <c r="BW1074" s="25">
        <v>45272</v>
      </c>
      <c r="BX1074" s="13" t="s">
        <v>162</v>
      </c>
      <c r="CA1074" s="114"/>
    </row>
    <row r="1075" spans="1:79" ht="19.5" x14ac:dyDescent="0.4">
      <c r="A1075" s="117"/>
      <c r="B1075" s="123"/>
      <c r="C1075" s="123"/>
      <c r="D1075" s="123"/>
      <c r="AT1075" s="115"/>
      <c r="AU1075" s="115"/>
      <c r="AV1075" s="115"/>
      <c r="AW1075" s="115"/>
      <c r="AX1075" s="115"/>
      <c r="AY1075" s="17"/>
      <c r="AZ1075" s="13"/>
      <c r="BE1075" s="117"/>
      <c r="BF1075" s="123"/>
      <c r="BG1075" s="123"/>
      <c r="BH1075" s="123"/>
      <c r="BI1075" s="115"/>
      <c r="BJ1075" s="115"/>
      <c r="BK1075" s="115"/>
      <c r="BL1075" s="115"/>
      <c r="BM1075" s="115"/>
      <c r="BN1075" s="115"/>
      <c r="BO1075" s="115"/>
      <c r="BP1075" s="115"/>
      <c r="BQ1075" s="115"/>
      <c r="BR1075" s="115"/>
      <c r="BS1075" s="115"/>
      <c r="BT1075" s="115"/>
      <c r="BU1075" s="115"/>
      <c r="BV1075" s="115"/>
      <c r="BW1075" s="25"/>
      <c r="BX1075" s="13"/>
      <c r="CA1075" s="114"/>
    </row>
    <row r="1076" spans="1:79" ht="19.5" x14ac:dyDescent="0.4">
      <c r="A1076" s="117"/>
      <c r="B1076" s="123"/>
      <c r="C1076" s="123"/>
      <c r="D1076" s="123"/>
      <c r="AY1076" s="26"/>
      <c r="AZ1076" s="15"/>
      <c r="BE1076" s="117"/>
      <c r="BF1076" s="123"/>
      <c r="BG1076" s="123"/>
      <c r="BH1076" s="123"/>
      <c r="BI1076" s="115"/>
      <c r="BJ1076" s="115"/>
      <c r="BK1076" s="115"/>
      <c r="BL1076" s="115"/>
      <c r="BM1076" s="115"/>
      <c r="BN1076" s="115"/>
      <c r="BO1076" s="115"/>
      <c r="BP1076" s="115"/>
      <c r="BQ1076" s="115"/>
      <c r="BR1076" s="115"/>
      <c r="BS1076" s="115"/>
      <c r="BT1076" s="115"/>
      <c r="BU1076" s="115"/>
      <c r="BV1076" s="115"/>
      <c r="BW1076" s="25">
        <v>45272</v>
      </c>
      <c r="BX1076" s="13" t="s">
        <v>162</v>
      </c>
      <c r="CA1076" s="114"/>
    </row>
    <row r="1077" spans="1:79" ht="19.5" x14ac:dyDescent="0.4">
      <c r="A1077" s="117"/>
      <c r="B1077" s="123"/>
      <c r="C1077" s="123"/>
      <c r="D1077" s="123"/>
      <c r="AT1077" s="115"/>
      <c r="AU1077" s="115"/>
      <c r="AV1077" s="115"/>
      <c r="AW1077" s="115"/>
      <c r="AX1077" s="115"/>
      <c r="AY1077" s="17"/>
      <c r="AZ1077" s="13"/>
      <c r="BE1077" s="117"/>
      <c r="BF1077" s="123"/>
      <c r="BG1077" s="123"/>
      <c r="BH1077" s="123"/>
      <c r="BI1077" s="115"/>
      <c r="BJ1077" s="115"/>
      <c r="BK1077" s="115"/>
      <c r="BL1077" s="115"/>
      <c r="BM1077" s="115"/>
      <c r="BN1077" s="115"/>
      <c r="BO1077" s="115"/>
      <c r="BP1077" s="115"/>
      <c r="BQ1077" s="115"/>
      <c r="BR1077" s="115"/>
      <c r="BS1077" s="115"/>
      <c r="BT1077" s="115"/>
      <c r="BU1077" s="115"/>
      <c r="BV1077" s="115"/>
      <c r="BW1077" s="25"/>
      <c r="BX1077" s="13"/>
      <c r="CA1077" s="114"/>
    </row>
    <row r="1078" spans="1:79" ht="19.5" x14ac:dyDescent="0.4">
      <c r="A1078" s="117"/>
      <c r="B1078" s="123"/>
      <c r="C1078" s="123"/>
      <c r="D1078" s="123"/>
      <c r="AT1078" s="115"/>
      <c r="AU1078" s="115"/>
      <c r="AV1078" s="115"/>
      <c r="AW1078" s="115"/>
      <c r="AX1078" s="115"/>
      <c r="AY1078" s="17"/>
      <c r="AZ1078" s="13"/>
      <c r="BE1078" s="117"/>
      <c r="BF1078" s="123"/>
      <c r="BG1078" s="123"/>
      <c r="BH1078" s="123"/>
      <c r="BI1078" s="115"/>
      <c r="BJ1078" s="115"/>
      <c r="BK1078" s="115"/>
      <c r="BL1078" s="115"/>
      <c r="BM1078" s="115"/>
      <c r="BN1078" s="115"/>
      <c r="BO1078" s="115"/>
      <c r="BP1078" s="115"/>
      <c r="BQ1078" s="115"/>
      <c r="BR1078" s="115"/>
      <c r="BS1078" s="115"/>
      <c r="BT1078" s="115"/>
      <c r="BU1078" s="115"/>
      <c r="BV1078" s="115"/>
      <c r="BW1078" s="25"/>
      <c r="BX1078" s="13"/>
      <c r="CA1078" s="114"/>
    </row>
    <row r="1079" spans="1:79" ht="19.5" x14ac:dyDescent="0.4">
      <c r="A1079" s="117"/>
      <c r="B1079" s="123"/>
      <c r="C1079" s="123"/>
      <c r="D1079" s="123"/>
      <c r="AY1079" s="26"/>
      <c r="AZ1079" s="13"/>
      <c r="BE1079" s="117"/>
      <c r="BF1079" s="123"/>
      <c r="BG1079" s="123"/>
      <c r="BH1079" s="123"/>
      <c r="BI1079" s="115"/>
      <c r="BJ1079" s="115"/>
      <c r="BK1079" s="115"/>
      <c r="BL1079" s="115"/>
      <c r="BM1079" s="115"/>
      <c r="BN1079" s="115"/>
      <c r="BO1079" s="115"/>
      <c r="BP1079" s="115"/>
      <c r="BQ1079" s="115"/>
      <c r="BR1079" s="115"/>
      <c r="BS1079" s="115"/>
      <c r="BT1079" s="115"/>
      <c r="BU1079" s="115"/>
      <c r="BV1079" s="115"/>
      <c r="BW1079" s="25">
        <v>45272</v>
      </c>
      <c r="BX1079" s="13" t="s">
        <v>162</v>
      </c>
      <c r="CA1079" s="114"/>
    </row>
    <row r="1080" spans="1:79" ht="19.5" x14ac:dyDescent="0.4">
      <c r="A1080" s="125"/>
      <c r="B1080" s="126"/>
      <c r="C1080" s="126"/>
      <c r="D1080" s="126"/>
      <c r="F1080" s="115"/>
      <c r="G1080" s="115"/>
      <c r="H1080" s="115"/>
      <c r="I1080" s="115"/>
      <c r="J1080" s="115"/>
      <c r="K1080" s="115"/>
      <c r="L1080" s="115"/>
      <c r="M1080" s="115"/>
      <c r="N1080" s="115"/>
      <c r="O1080" s="115"/>
      <c r="P1080" s="115"/>
      <c r="Q1080" s="115"/>
      <c r="R1080" s="115"/>
      <c r="S1080" s="115"/>
      <c r="T1080" s="115"/>
      <c r="U1080" s="115"/>
      <c r="V1080" s="115"/>
      <c r="W1080" s="115"/>
      <c r="X1080" s="115"/>
      <c r="Y1080" s="115"/>
      <c r="Z1080" s="115"/>
      <c r="AA1080" s="115"/>
      <c r="AB1080" s="115"/>
      <c r="AC1080" s="115"/>
      <c r="AD1080" s="115"/>
      <c r="AE1080" s="115"/>
      <c r="AF1080" s="115"/>
      <c r="AG1080" s="115"/>
      <c r="AH1080" s="115"/>
      <c r="AI1080" s="115"/>
      <c r="AJ1080" s="115"/>
      <c r="AK1080" s="115"/>
      <c r="AL1080" s="115"/>
      <c r="AM1080" s="115"/>
      <c r="AN1080" s="115"/>
      <c r="AO1080" s="115"/>
      <c r="AP1080" s="115"/>
      <c r="AQ1080" s="115"/>
      <c r="AR1080" s="115"/>
      <c r="AS1080" s="115"/>
      <c r="AT1080" s="115"/>
      <c r="AU1080" s="115"/>
      <c r="AV1080" s="115"/>
      <c r="AW1080" s="115"/>
      <c r="AX1080" s="115"/>
      <c r="AY1080" s="26"/>
      <c r="AZ1080" s="13"/>
      <c r="BE1080" s="117"/>
      <c r="BF1080" s="123"/>
      <c r="BG1080" s="123"/>
      <c r="BH1080" s="123"/>
      <c r="BI1080" s="115"/>
      <c r="BJ1080" s="115"/>
      <c r="BK1080" s="115"/>
      <c r="BL1080" s="115"/>
      <c r="BM1080" s="115"/>
      <c r="BN1080" s="115"/>
      <c r="BO1080" s="115"/>
      <c r="BP1080" s="115"/>
      <c r="BQ1080" s="115"/>
      <c r="BR1080" s="115"/>
      <c r="BS1080" s="115"/>
      <c r="BT1080" s="115"/>
      <c r="BU1080" s="115"/>
      <c r="BV1080" s="115"/>
      <c r="BW1080" s="25"/>
      <c r="BX1080" s="13"/>
      <c r="CA1080" s="114"/>
    </row>
    <row r="1081" spans="1:79" ht="19.5" x14ac:dyDescent="0.4">
      <c r="A1081" s="125"/>
      <c r="B1081" s="126"/>
      <c r="C1081" s="126"/>
      <c r="D1081" s="126"/>
      <c r="F1081" s="115"/>
      <c r="G1081" s="115"/>
      <c r="H1081" s="115"/>
      <c r="I1081" s="115"/>
      <c r="J1081" s="115"/>
      <c r="K1081" s="115"/>
      <c r="L1081" s="115"/>
      <c r="M1081" s="115"/>
      <c r="N1081" s="115"/>
      <c r="O1081" s="115"/>
      <c r="P1081" s="115"/>
      <c r="Q1081" s="115"/>
      <c r="R1081" s="115"/>
      <c r="S1081" s="115"/>
      <c r="T1081" s="115"/>
      <c r="U1081" s="115"/>
      <c r="V1081" s="115"/>
      <c r="W1081" s="115"/>
      <c r="X1081" s="115"/>
      <c r="Y1081" s="115"/>
      <c r="Z1081" s="115"/>
      <c r="AA1081" s="115"/>
      <c r="AB1081" s="115"/>
      <c r="AC1081" s="115"/>
      <c r="AD1081" s="115"/>
      <c r="AE1081" s="115"/>
      <c r="AF1081" s="115"/>
      <c r="AG1081" s="115"/>
      <c r="AH1081" s="115"/>
      <c r="AI1081" s="115"/>
      <c r="AJ1081" s="115"/>
      <c r="AK1081" s="115"/>
      <c r="AL1081" s="115"/>
      <c r="AM1081" s="115"/>
      <c r="AN1081" s="115"/>
      <c r="AO1081" s="115"/>
      <c r="AP1081" s="115"/>
      <c r="AQ1081" s="115"/>
      <c r="AR1081" s="115"/>
      <c r="AS1081" s="115"/>
      <c r="AT1081" s="115"/>
      <c r="AU1081" s="115"/>
      <c r="AV1081" s="115"/>
      <c r="AW1081" s="115"/>
      <c r="AX1081" s="115"/>
      <c r="AY1081" s="26"/>
      <c r="AZ1081" s="13"/>
      <c r="BE1081" s="117"/>
      <c r="BF1081" s="123"/>
      <c r="BG1081" s="123"/>
      <c r="BH1081" s="123"/>
      <c r="BI1081" s="115"/>
      <c r="BJ1081" s="115"/>
      <c r="BK1081" s="115"/>
      <c r="BL1081" s="115"/>
      <c r="BM1081" s="115"/>
      <c r="BN1081" s="115"/>
      <c r="BO1081" s="115"/>
      <c r="BP1081" s="115"/>
      <c r="BQ1081" s="115"/>
      <c r="BR1081" s="115"/>
      <c r="BS1081" s="115"/>
      <c r="BT1081" s="115"/>
      <c r="BU1081" s="115"/>
      <c r="BV1081" s="115"/>
      <c r="BW1081" s="25"/>
      <c r="BX1081" s="13"/>
      <c r="CA1081" s="114"/>
    </row>
    <row r="1082" spans="1:79" ht="19.5" x14ac:dyDescent="0.4">
      <c r="A1082" s="125"/>
      <c r="B1082" s="126"/>
      <c r="C1082" s="126"/>
      <c r="D1082" s="126"/>
      <c r="F1082" s="115"/>
      <c r="G1082" s="115"/>
      <c r="H1082" s="115"/>
      <c r="I1082" s="115"/>
      <c r="J1082" s="115"/>
      <c r="K1082" s="115"/>
      <c r="L1082" s="115"/>
      <c r="M1082" s="115"/>
      <c r="N1082" s="115"/>
      <c r="O1082" s="115"/>
      <c r="P1082" s="115"/>
      <c r="Q1082" s="115"/>
      <c r="R1082" s="115"/>
      <c r="S1082" s="115"/>
      <c r="T1082" s="115"/>
      <c r="U1082" s="115"/>
      <c r="V1082" s="115"/>
      <c r="W1082" s="115"/>
      <c r="X1082" s="115"/>
      <c r="Y1082" s="115"/>
      <c r="Z1082" s="115"/>
      <c r="AA1082" s="115"/>
      <c r="AB1082" s="115"/>
      <c r="AC1082" s="115"/>
      <c r="AD1082" s="115"/>
      <c r="AE1082" s="115"/>
      <c r="AF1082" s="115"/>
      <c r="AG1082" s="115"/>
      <c r="AH1082" s="115"/>
      <c r="AI1082" s="115"/>
      <c r="AJ1082" s="115"/>
      <c r="AK1082" s="115"/>
      <c r="AL1082" s="115"/>
      <c r="AM1082" s="115"/>
      <c r="AN1082" s="115"/>
      <c r="AO1082" s="115"/>
      <c r="AP1082" s="115"/>
      <c r="AQ1082" s="115"/>
      <c r="AR1082" s="115"/>
      <c r="AS1082" s="115"/>
      <c r="AT1082" s="115"/>
      <c r="AU1082" s="115"/>
      <c r="AV1082" s="115"/>
      <c r="AW1082" s="115"/>
      <c r="AX1082" s="115"/>
      <c r="AY1082" s="17"/>
      <c r="AZ1082" s="13"/>
      <c r="BE1082" s="117"/>
      <c r="BF1082" s="123"/>
      <c r="BG1082" s="123"/>
      <c r="BH1082" s="123"/>
      <c r="BI1082" s="115"/>
      <c r="BJ1082" s="115"/>
      <c r="BK1082" s="115"/>
      <c r="BL1082" s="115"/>
      <c r="BM1082" s="115"/>
      <c r="BN1082" s="115"/>
      <c r="BO1082" s="115"/>
      <c r="BP1082" s="115"/>
      <c r="BQ1082" s="115"/>
      <c r="BR1082" s="115"/>
      <c r="BS1082" s="115"/>
      <c r="BT1082" s="115"/>
      <c r="BU1082" s="115"/>
      <c r="BV1082" s="115"/>
      <c r="BW1082" s="25"/>
      <c r="BX1082" s="13"/>
      <c r="CA1082" s="114"/>
    </row>
    <row r="1083" spans="1:79" ht="19.5" x14ac:dyDescent="0.4">
      <c r="A1083" s="125"/>
      <c r="B1083" s="126"/>
      <c r="C1083" s="126"/>
      <c r="D1083" s="126"/>
      <c r="F1083" s="115"/>
      <c r="G1083" s="115"/>
      <c r="H1083" s="115"/>
      <c r="I1083" s="115"/>
      <c r="J1083" s="115"/>
      <c r="K1083" s="115"/>
      <c r="L1083" s="115"/>
      <c r="M1083" s="115"/>
      <c r="N1083" s="115"/>
      <c r="O1083" s="115"/>
      <c r="P1083" s="115"/>
      <c r="Q1083" s="115"/>
      <c r="R1083" s="115"/>
      <c r="S1083" s="115"/>
      <c r="T1083" s="115"/>
      <c r="U1083" s="115"/>
      <c r="V1083" s="115"/>
      <c r="W1083" s="115"/>
      <c r="X1083" s="115"/>
      <c r="Y1083" s="115"/>
      <c r="Z1083" s="115"/>
      <c r="AA1083" s="115"/>
      <c r="AB1083" s="115"/>
      <c r="AC1083" s="115"/>
      <c r="AD1083" s="115"/>
      <c r="AE1083" s="115"/>
      <c r="AF1083" s="115"/>
      <c r="AG1083" s="115"/>
      <c r="AH1083" s="115"/>
      <c r="AI1083" s="115"/>
      <c r="AJ1083" s="115"/>
      <c r="AK1083" s="115"/>
      <c r="AL1083" s="115"/>
      <c r="AM1083" s="115"/>
      <c r="AN1083" s="115"/>
      <c r="AO1083" s="115"/>
      <c r="AP1083" s="115"/>
      <c r="AQ1083" s="115"/>
      <c r="AR1083" s="115"/>
      <c r="AS1083" s="115"/>
      <c r="AT1083" s="115"/>
      <c r="AU1083" s="115"/>
      <c r="AV1083" s="115"/>
      <c r="AW1083" s="115"/>
      <c r="AX1083" s="115"/>
      <c r="AY1083" s="26"/>
      <c r="AZ1083" s="13"/>
      <c r="BE1083" s="117"/>
      <c r="BF1083" s="123"/>
      <c r="BG1083" s="123"/>
      <c r="BH1083" s="123"/>
      <c r="BI1083" s="115"/>
      <c r="BJ1083" s="115"/>
      <c r="BK1083" s="115"/>
      <c r="BL1083" s="115"/>
      <c r="BM1083" s="115"/>
      <c r="BN1083" s="115"/>
      <c r="BO1083" s="115"/>
      <c r="BP1083" s="115"/>
      <c r="BQ1083" s="115"/>
      <c r="BR1083" s="115"/>
      <c r="BS1083" s="115"/>
      <c r="BT1083" s="115"/>
      <c r="BU1083" s="115"/>
      <c r="BV1083" s="115"/>
      <c r="BW1083" s="25"/>
      <c r="BX1083" s="13"/>
      <c r="CA1083" s="114"/>
    </row>
    <row r="1084" spans="1:79" ht="19.5" x14ac:dyDescent="0.4">
      <c r="AY1084" s="26"/>
      <c r="AZ1084" s="13"/>
      <c r="BE1084" s="117"/>
      <c r="BF1084" s="123"/>
      <c r="BG1084" s="123"/>
      <c r="BH1084" s="123"/>
      <c r="BI1084" s="115"/>
      <c r="BJ1084" s="115"/>
      <c r="BK1084" s="115"/>
      <c r="BL1084" s="115"/>
      <c r="BM1084" s="115"/>
      <c r="BN1084" s="115"/>
      <c r="BO1084" s="115"/>
      <c r="BP1084" s="115"/>
      <c r="BQ1084" s="115"/>
      <c r="BR1084" s="115"/>
      <c r="BS1084" s="115"/>
      <c r="BT1084" s="115"/>
      <c r="BU1084" s="115"/>
      <c r="BV1084" s="115"/>
      <c r="BW1084" s="25">
        <v>45272</v>
      </c>
      <c r="BX1084" s="13" t="s">
        <v>162</v>
      </c>
      <c r="CA1084" s="114"/>
    </row>
    <row r="1085" spans="1:79" ht="19.5" x14ac:dyDescent="0.4">
      <c r="AY1085" s="26"/>
      <c r="AZ1085" s="13"/>
      <c r="BE1085" s="117"/>
      <c r="BF1085" s="123"/>
      <c r="BG1085" s="123"/>
      <c r="BH1085" s="123"/>
      <c r="BI1085" s="115"/>
      <c r="BJ1085" s="115"/>
      <c r="BK1085" s="115"/>
      <c r="BL1085" s="115"/>
      <c r="BM1085" s="115"/>
      <c r="BN1085" s="115"/>
      <c r="BO1085" s="115"/>
      <c r="BP1085" s="115"/>
      <c r="BQ1085" s="115"/>
      <c r="BR1085" s="115"/>
      <c r="BS1085" s="115"/>
      <c r="BT1085" s="115"/>
      <c r="BU1085" s="115"/>
      <c r="BV1085" s="115"/>
      <c r="BW1085" s="25"/>
      <c r="BX1085" s="13"/>
      <c r="CA1085" s="114"/>
    </row>
    <row r="1086" spans="1:79" ht="19.5" x14ac:dyDescent="0.4">
      <c r="AO1086" s="115"/>
      <c r="AP1086" s="115"/>
      <c r="AQ1086" s="115"/>
      <c r="AR1086" s="115"/>
      <c r="AS1086" s="115"/>
      <c r="AT1086" s="115"/>
      <c r="AU1086" s="115"/>
      <c r="AV1086" s="115"/>
      <c r="AW1086" s="115"/>
      <c r="AX1086" s="115"/>
      <c r="AY1086" s="26"/>
      <c r="AZ1086" s="25"/>
      <c r="BE1086" s="117"/>
      <c r="BF1086" s="123"/>
      <c r="BG1086" s="123"/>
      <c r="BH1086" s="123"/>
      <c r="BI1086" s="115"/>
      <c r="BJ1086" s="115"/>
      <c r="BK1086" s="115"/>
      <c r="BL1086" s="115"/>
      <c r="BM1086" s="115"/>
      <c r="BN1086" s="115"/>
      <c r="BO1086" s="115"/>
      <c r="BP1086" s="115"/>
      <c r="BQ1086" s="115"/>
      <c r="BR1086" s="115"/>
      <c r="BS1086" s="115"/>
      <c r="BT1086" s="115"/>
      <c r="BU1086" s="115"/>
      <c r="BV1086" s="115"/>
      <c r="BW1086" s="25"/>
      <c r="BX1086" s="13"/>
      <c r="CA1086" s="114"/>
    </row>
    <row r="1087" spans="1:79" ht="19.5" x14ac:dyDescent="0.4">
      <c r="AY1087" s="26"/>
      <c r="AZ1087" s="25"/>
      <c r="BE1087" s="117"/>
      <c r="BF1087" s="123"/>
      <c r="BG1087" s="123"/>
      <c r="BH1087" s="123"/>
      <c r="BI1087" s="115"/>
      <c r="BJ1087" s="115"/>
      <c r="BK1087" s="115"/>
      <c r="BL1087" s="115"/>
      <c r="BM1087" s="115"/>
      <c r="BN1087" s="115"/>
      <c r="BO1087" s="115"/>
      <c r="BP1087" s="115"/>
      <c r="BQ1087" s="115"/>
      <c r="BR1087" s="115"/>
      <c r="BS1087" s="115"/>
      <c r="BT1087" s="115"/>
      <c r="BU1087" s="115"/>
      <c r="BV1087" s="115"/>
      <c r="BW1087" s="25">
        <v>45272</v>
      </c>
      <c r="BX1087" s="13" t="s">
        <v>162</v>
      </c>
      <c r="CA1087" s="114"/>
    </row>
    <row r="1088" spans="1:79" ht="19.5" x14ac:dyDescent="0.4">
      <c r="AY1088" s="26"/>
      <c r="AZ1088" s="13"/>
      <c r="BE1088" s="117"/>
      <c r="BF1088" s="123"/>
      <c r="BG1088" s="123"/>
      <c r="BH1088" s="123"/>
      <c r="BI1088" s="115"/>
      <c r="BJ1088" s="115"/>
      <c r="BK1088" s="115"/>
      <c r="BL1088" s="115"/>
      <c r="BM1088" s="115"/>
      <c r="BN1088" s="115"/>
      <c r="BO1088" s="115"/>
      <c r="BP1088" s="115"/>
      <c r="BQ1088" s="115"/>
      <c r="BR1088" s="115"/>
      <c r="BS1088" s="115"/>
      <c r="BT1088" s="115"/>
      <c r="BU1088" s="115"/>
      <c r="BV1088" s="115"/>
      <c r="BW1088" s="25">
        <v>45272</v>
      </c>
      <c r="BX1088" s="15" t="s">
        <v>162</v>
      </c>
      <c r="CA1088" s="114"/>
    </row>
    <row r="1089" spans="6:79" ht="19.5" x14ac:dyDescent="0.4">
      <c r="AY1089" s="26"/>
      <c r="AZ1089" s="13"/>
      <c r="BE1089" s="117"/>
      <c r="BF1089" s="123"/>
      <c r="BG1089" s="123"/>
      <c r="BH1089" s="123"/>
      <c r="BI1089" s="115"/>
      <c r="BJ1089" s="115"/>
      <c r="BK1089" s="115"/>
      <c r="BL1089" s="115"/>
      <c r="BM1089" s="115"/>
      <c r="BN1089" s="115"/>
      <c r="BO1089" s="115"/>
      <c r="BP1089" s="115"/>
      <c r="BQ1089" s="115"/>
      <c r="BR1089" s="115"/>
      <c r="BS1089" s="115"/>
      <c r="BT1089" s="115"/>
      <c r="BU1089" s="115"/>
      <c r="BV1089" s="115"/>
      <c r="BW1089" s="25">
        <v>45272</v>
      </c>
      <c r="BX1089" s="15" t="s">
        <v>162</v>
      </c>
      <c r="CA1089" s="114"/>
    </row>
    <row r="1090" spans="6:79" ht="19.5" x14ac:dyDescent="0.4">
      <c r="AO1090" s="115"/>
      <c r="AP1090" s="115"/>
      <c r="AQ1090" s="115"/>
      <c r="AR1090" s="115"/>
      <c r="AS1090" s="115"/>
      <c r="AT1090" s="115"/>
      <c r="AU1090" s="115"/>
      <c r="AV1090" s="115"/>
      <c r="AW1090" s="115"/>
      <c r="AX1090" s="115"/>
      <c r="AY1090" s="26"/>
      <c r="AZ1090" s="13"/>
      <c r="BE1090" s="117"/>
      <c r="BF1090" s="123"/>
      <c r="BG1090" s="123"/>
      <c r="BH1090" s="123"/>
      <c r="BI1090" s="115"/>
      <c r="BJ1090" s="115"/>
      <c r="BK1090" s="115"/>
      <c r="BL1090" s="115"/>
      <c r="BM1090" s="115"/>
      <c r="BN1090" s="115"/>
      <c r="BO1090" s="115"/>
      <c r="BP1090" s="115"/>
      <c r="BQ1090" s="115"/>
      <c r="BR1090" s="115"/>
      <c r="BS1090" s="115"/>
      <c r="BT1090" s="115"/>
      <c r="BU1090" s="115"/>
      <c r="BV1090" s="115"/>
      <c r="BW1090" s="25"/>
      <c r="BX1090" s="15"/>
      <c r="CA1090" s="114"/>
    </row>
    <row r="1091" spans="6:79" ht="19.5" x14ac:dyDescent="0.4">
      <c r="AO1091" s="115"/>
      <c r="AP1091" s="115"/>
      <c r="AQ1091" s="115"/>
      <c r="AR1091" s="115"/>
      <c r="AS1091" s="115"/>
      <c r="AT1091" s="115"/>
      <c r="AU1091" s="115"/>
      <c r="AV1091" s="115"/>
      <c r="AW1091" s="115"/>
      <c r="AX1091" s="115"/>
      <c r="AY1091" s="17"/>
      <c r="AZ1091" s="13"/>
      <c r="BE1091" s="117"/>
      <c r="BF1091" s="123"/>
      <c r="BG1091" s="123"/>
      <c r="BH1091" s="123"/>
      <c r="BI1091" s="115"/>
      <c r="BJ1091" s="115"/>
      <c r="BK1091" s="115"/>
      <c r="BL1091" s="115"/>
      <c r="BM1091" s="115"/>
      <c r="BN1091" s="115"/>
      <c r="BO1091" s="115"/>
      <c r="BP1091" s="115"/>
      <c r="BQ1091" s="115"/>
      <c r="BR1091" s="115"/>
      <c r="BS1091" s="115"/>
      <c r="BT1091" s="115"/>
      <c r="BU1091" s="115"/>
      <c r="BV1091" s="115"/>
      <c r="BW1091" s="25"/>
      <c r="BX1091" s="15"/>
      <c r="CA1091" s="114"/>
    </row>
    <row r="1092" spans="6:79" ht="19.5" x14ac:dyDescent="0.4">
      <c r="AY1092" s="26"/>
      <c r="AZ1092" s="13"/>
      <c r="BE1092" s="117"/>
      <c r="BF1092" s="123"/>
      <c r="BG1092" s="123"/>
      <c r="BH1092" s="123"/>
      <c r="BI1092" s="115"/>
      <c r="BJ1092" s="115"/>
      <c r="BK1092" s="115"/>
      <c r="BL1092" s="115"/>
      <c r="BM1092" s="115"/>
      <c r="BN1092" s="115"/>
      <c r="BO1092" s="115"/>
      <c r="BP1092" s="115"/>
      <c r="BQ1092" s="115"/>
      <c r="BR1092" s="115"/>
      <c r="BS1092" s="115"/>
      <c r="BT1092" s="115"/>
      <c r="BU1092" s="115"/>
      <c r="BV1092" s="115"/>
      <c r="BW1092" s="25">
        <v>45272</v>
      </c>
      <c r="BX1092" s="15" t="s">
        <v>162</v>
      </c>
      <c r="CA1092" s="114"/>
    </row>
    <row r="1093" spans="6:79" ht="19.5" x14ac:dyDescent="0.4">
      <c r="F1093" s="115"/>
      <c r="G1093" s="115"/>
      <c r="H1093" s="115"/>
      <c r="I1093" s="115"/>
      <c r="J1093" s="115"/>
      <c r="K1093" s="115"/>
      <c r="L1093" s="115"/>
      <c r="M1093" s="115"/>
      <c r="N1093" s="115"/>
      <c r="O1093" s="115"/>
      <c r="P1093" s="115"/>
      <c r="Q1093" s="115"/>
      <c r="R1093" s="115"/>
      <c r="S1093" s="115"/>
      <c r="T1093" s="115"/>
      <c r="U1093" s="115"/>
      <c r="V1093" s="115"/>
      <c r="W1093" s="115"/>
      <c r="X1093" s="115"/>
      <c r="Y1093" s="115"/>
      <c r="Z1093" s="115"/>
      <c r="AA1093" s="115"/>
      <c r="AB1093" s="115"/>
      <c r="AC1093" s="115"/>
      <c r="AD1093" s="115"/>
      <c r="AE1093" s="115"/>
      <c r="AF1093" s="115"/>
      <c r="AG1093" s="115"/>
      <c r="AH1093" s="115"/>
      <c r="AI1093" s="115"/>
      <c r="AJ1093" s="115"/>
      <c r="AK1093" s="115"/>
      <c r="AL1093" s="115"/>
      <c r="AM1093" s="115"/>
      <c r="AN1093" s="115"/>
      <c r="AO1093" s="115"/>
      <c r="AP1093" s="115"/>
      <c r="AQ1093" s="115"/>
      <c r="AR1093" s="115"/>
      <c r="AS1093" s="115"/>
      <c r="AT1093" s="115"/>
      <c r="AU1093" s="115"/>
      <c r="AV1093" s="115"/>
      <c r="AW1093" s="115"/>
      <c r="AX1093" s="115"/>
      <c r="AY1093" s="26"/>
      <c r="AZ1093" s="13"/>
      <c r="BE1093" s="117"/>
      <c r="BF1093" s="123"/>
      <c r="BG1093" s="123"/>
      <c r="BH1093" s="123"/>
      <c r="BI1093" s="115"/>
      <c r="BJ1093" s="115"/>
      <c r="BK1093" s="115"/>
      <c r="BL1093" s="115"/>
      <c r="BM1093" s="115"/>
      <c r="BN1093" s="115"/>
      <c r="BO1093" s="115"/>
      <c r="BP1093" s="115"/>
      <c r="BQ1093" s="115"/>
      <c r="BR1093" s="115"/>
      <c r="BS1093" s="115"/>
      <c r="BT1093" s="115"/>
      <c r="BU1093" s="115"/>
      <c r="BV1093" s="115"/>
      <c r="BW1093" s="25"/>
      <c r="BX1093" s="15"/>
      <c r="CA1093" s="114"/>
    </row>
    <row r="1094" spans="6:79" ht="19.5" x14ac:dyDescent="0.4">
      <c r="F1094" s="115"/>
      <c r="G1094" s="115"/>
      <c r="H1094" s="115"/>
      <c r="I1094" s="115"/>
      <c r="J1094" s="115"/>
      <c r="K1094" s="115"/>
      <c r="L1094" s="115"/>
      <c r="M1094" s="115"/>
      <c r="N1094" s="115"/>
      <c r="O1094" s="115"/>
      <c r="P1094" s="115"/>
      <c r="Q1094" s="115"/>
      <c r="R1094" s="115"/>
      <c r="S1094" s="115"/>
      <c r="T1094" s="115"/>
      <c r="U1094" s="115"/>
      <c r="V1094" s="115"/>
      <c r="W1094" s="115"/>
      <c r="X1094" s="115"/>
      <c r="Y1094" s="115"/>
      <c r="Z1094" s="115"/>
      <c r="AA1094" s="115"/>
      <c r="AB1094" s="115"/>
      <c r="AC1094" s="115"/>
      <c r="AD1094" s="115"/>
      <c r="AE1094" s="115"/>
      <c r="AF1094" s="115"/>
      <c r="AG1094" s="115"/>
      <c r="AH1094" s="115"/>
      <c r="AI1094" s="115"/>
      <c r="AJ1094" s="115"/>
      <c r="AK1094" s="115"/>
      <c r="AL1094" s="115"/>
      <c r="AM1094" s="115"/>
      <c r="AN1094" s="115"/>
      <c r="AO1094" s="115"/>
      <c r="AP1094" s="115"/>
      <c r="AQ1094" s="115"/>
      <c r="AR1094" s="115"/>
      <c r="AS1094" s="115"/>
      <c r="AT1094" s="115"/>
      <c r="AU1094" s="115"/>
      <c r="AV1094" s="115"/>
      <c r="AW1094" s="115"/>
      <c r="AX1094" s="115"/>
      <c r="AY1094" s="26"/>
      <c r="AZ1094" s="13"/>
      <c r="BE1094" s="117"/>
      <c r="BF1094" s="123"/>
      <c r="BG1094" s="123"/>
      <c r="BH1094" s="123"/>
      <c r="BI1094" s="115"/>
      <c r="BJ1094" s="115"/>
      <c r="BK1094" s="115"/>
      <c r="BL1094" s="115"/>
      <c r="BM1094" s="115"/>
      <c r="BN1094" s="115"/>
      <c r="BO1094" s="115"/>
      <c r="BP1094" s="115"/>
      <c r="BQ1094" s="115"/>
      <c r="BR1094" s="115"/>
      <c r="BS1094" s="115"/>
      <c r="BT1094" s="115"/>
      <c r="BU1094" s="115"/>
      <c r="BV1094" s="115"/>
      <c r="BW1094" s="25"/>
      <c r="BX1094" s="15"/>
      <c r="CA1094" s="114"/>
    </row>
    <row r="1095" spans="6:79" ht="19.5" x14ac:dyDescent="0.4">
      <c r="F1095" s="115"/>
      <c r="G1095" s="115"/>
      <c r="H1095" s="115"/>
      <c r="I1095" s="115"/>
      <c r="J1095" s="115"/>
      <c r="K1095" s="115"/>
      <c r="L1095" s="115"/>
      <c r="M1095" s="115"/>
      <c r="N1095" s="115"/>
      <c r="O1095" s="115"/>
      <c r="P1095" s="115"/>
      <c r="Q1095" s="115"/>
      <c r="R1095" s="115"/>
      <c r="S1095" s="115"/>
      <c r="T1095" s="115"/>
      <c r="U1095" s="115"/>
      <c r="V1095" s="115"/>
      <c r="W1095" s="115"/>
      <c r="X1095" s="115"/>
      <c r="Y1095" s="115"/>
      <c r="Z1095" s="115"/>
      <c r="AA1095" s="115"/>
      <c r="AB1095" s="115"/>
      <c r="AC1095" s="115"/>
      <c r="AD1095" s="115"/>
      <c r="AE1095" s="115"/>
      <c r="AF1095" s="115"/>
      <c r="AG1095" s="115"/>
      <c r="AH1095" s="115"/>
      <c r="AI1095" s="115"/>
      <c r="AJ1095" s="115"/>
      <c r="AK1095" s="115"/>
      <c r="AL1095" s="115"/>
      <c r="AM1095" s="115"/>
      <c r="AN1095" s="115"/>
      <c r="AO1095" s="115"/>
      <c r="AP1095" s="115"/>
      <c r="AQ1095" s="115"/>
      <c r="AR1095" s="115"/>
      <c r="AS1095" s="115"/>
      <c r="AT1095" s="115"/>
      <c r="AU1095" s="115"/>
      <c r="AV1095" s="115"/>
      <c r="AW1095" s="115"/>
      <c r="AX1095" s="115"/>
      <c r="AY1095" s="17"/>
      <c r="AZ1095" s="13"/>
      <c r="BE1095" s="117"/>
      <c r="BF1095" s="123"/>
      <c r="BG1095" s="123"/>
      <c r="BH1095" s="123"/>
      <c r="BI1095" s="115"/>
      <c r="BJ1095" s="115"/>
      <c r="BK1095" s="115"/>
      <c r="BL1095" s="115"/>
      <c r="BM1095" s="115"/>
      <c r="BN1095" s="115"/>
      <c r="BO1095" s="115"/>
      <c r="BP1095" s="115"/>
      <c r="BQ1095" s="115"/>
      <c r="BR1095" s="115"/>
      <c r="BS1095" s="115"/>
      <c r="BT1095" s="115"/>
      <c r="BU1095" s="115"/>
      <c r="BV1095" s="115"/>
      <c r="BW1095" s="25"/>
      <c r="BX1095" s="15"/>
      <c r="CA1095" s="114"/>
    </row>
    <row r="1096" spans="6:79" ht="19.5" x14ac:dyDescent="0.4">
      <c r="F1096" s="115"/>
      <c r="G1096" s="115"/>
      <c r="H1096" s="115"/>
      <c r="I1096" s="115"/>
      <c r="J1096" s="115"/>
      <c r="K1096" s="115"/>
      <c r="L1096" s="115"/>
      <c r="M1096" s="115"/>
      <c r="N1096" s="115"/>
      <c r="O1096" s="115"/>
      <c r="P1096" s="115"/>
      <c r="Q1096" s="115"/>
      <c r="R1096" s="115"/>
      <c r="S1096" s="115"/>
      <c r="T1096" s="115"/>
      <c r="U1096" s="115"/>
      <c r="V1096" s="115"/>
      <c r="W1096" s="115"/>
      <c r="X1096" s="115"/>
      <c r="Y1096" s="115"/>
      <c r="Z1096" s="115"/>
      <c r="AA1096" s="115"/>
      <c r="AB1096" s="115"/>
      <c r="AC1096" s="115"/>
      <c r="AD1096" s="115"/>
      <c r="AE1096" s="115"/>
      <c r="AF1096" s="115"/>
      <c r="AG1096" s="115"/>
      <c r="AH1096" s="115"/>
      <c r="AI1096" s="115"/>
      <c r="AJ1096" s="115"/>
      <c r="AK1096" s="115"/>
      <c r="AL1096" s="115"/>
      <c r="AM1096" s="115"/>
      <c r="AN1096" s="115"/>
      <c r="AO1096" s="115"/>
      <c r="AP1096" s="115"/>
      <c r="AQ1096" s="115"/>
      <c r="AR1096" s="115"/>
      <c r="AS1096" s="115"/>
      <c r="AT1096" s="115"/>
      <c r="AU1096" s="115"/>
      <c r="AV1096" s="115"/>
      <c r="AW1096" s="115"/>
      <c r="AX1096" s="115"/>
      <c r="AY1096" s="26"/>
      <c r="AZ1096" s="13"/>
      <c r="BE1096" s="117"/>
      <c r="BF1096" s="123"/>
      <c r="BG1096" s="123"/>
      <c r="BH1096" s="123"/>
      <c r="BI1096" s="115"/>
      <c r="BJ1096" s="115"/>
      <c r="BK1096" s="115"/>
      <c r="BL1096" s="115"/>
      <c r="BM1096" s="115"/>
      <c r="BN1096" s="115"/>
      <c r="BO1096" s="115"/>
      <c r="BP1096" s="115"/>
      <c r="BQ1096" s="115"/>
      <c r="BR1096" s="115"/>
      <c r="BS1096" s="115"/>
      <c r="BT1096" s="115"/>
      <c r="BU1096" s="115"/>
      <c r="BV1096" s="115"/>
      <c r="BW1096" s="25"/>
      <c r="BX1096" s="15"/>
      <c r="CA1096" s="114"/>
    </row>
    <row r="1097" spans="6:79" ht="19.5" x14ac:dyDescent="0.4">
      <c r="F1097" s="115"/>
      <c r="G1097" s="115"/>
      <c r="H1097" s="115"/>
      <c r="I1097" s="115"/>
      <c r="J1097" s="115"/>
      <c r="K1097" s="115"/>
      <c r="L1097" s="115"/>
      <c r="M1097" s="115"/>
      <c r="N1097" s="115"/>
      <c r="O1097" s="115"/>
      <c r="P1097" s="115"/>
      <c r="Q1097" s="115"/>
      <c r="R1097" s="115"/>
      <c r="S1097" s="115"/>
      <c r="T1097" s="115"/>
      <c r="U1097" s="115"/>
      <c r="V1097" s="115"/>
      <c r="W1097" s="115"/>
      <c r="X1097" s="115"/>
      <c r="Y1097" s="115"/>
      <c r="Z1097" s="115"/>
      <c r="AA1097" s="115"/>
      <c r="AB1097" s="115"/>
      <c r="AC1097" s="115"/>
      <c r="AD1097" s="115"/>
      <c r="AE1097" s="115"/>
      <c r="AF1097" s="115"/>
      <c r="AG1097" s="115"/>
      <c r="AH1097" s="115"/>
      <c r="AI1097" s="115"/>
      <c r="AJ1097" s="115"/>
      <c r="AK1097" s="115"/>
      <c r="AL1097" s="115"/>
      <c r="AM1097" s="115"/>
      <c r="AN1097" s="115"/>
      <c r="AO1097" s="115"/>
      <c r="AP1097" s="115"/>
      <c r="AQ1097" s="115"/>
      <c r="AR1097" s="115"/>
      <c r="AS1097" s="115"/>
      <c r="AT1097" s="115"/>
      <c r="AU1097" s="115"/>
      <c r="AV1097" s="115"/>
      <c r="AW1097" s="115"/>
      <c r="AX1097" s="115"/>
      <c r="AY1097" s="17"/>
      <c r="AZ1097" s="13"/>
      <c r="BE1097" s="117"/>
      <c r="BF1097" s="123"/>
      <c r="BG1097" s="123"/>
      <c r="BH1097" s="123"/>
      <c r="BI1097" s="115"/>
      <c r="BJ1097" s="115"/>
      <c r="BK1097" s="115"/>
      <c r="BL1097" s="115"/>
      <c r="BM1097" s="115"/>
      <c r="BN1097" s="115"/>
      <c r="BO1097" s="115"/>
      <c r="BP1097" s="115"/>
      <c r="BQ1097" s="115"/>
      <c r="BR1097" s="115"/>
      <c r="BS1097" s="115"/>
      <c r="BT1097" s="115"/>
      <c r="BU1097" s="115"/>
      <c r="BV1097" s="115"/>
      <c r="BW1097" s="25"/>
      <c r="BX1097" s="15"/>
      <c r="CA1097" s="114"/>
    </row>
    <row r="1098" spans="6:79" ht="19.5" x14ac:dyDescent="0.4">
      <c r="F1098" s="115"/>
      <c r="G1098" s="115"/>
      <c r="H1098" s="115"/>
      <c r="I1098" s="115"/>
      <c r="J1098" s="115"/>
      <c r="K1098" s="115"/>
      <c r="L1098" s="115"/>
      <c r="M1098" s="115"/>
      <c r="N1098" s="115"/>
      <c r="O1098" s="115"/>
      <c r="P1098" s="115"/>
      <c r="Q1098" s="115"/>
      <c r="R1098" s="115"/>
      <c r="S1098" s="115"/>
      <c r="T1098" s="115"/>
      <c r="U1098" s="115"/>
      <c r="V1098" s="115"/>
      <c r="W1098" s="115"/>
      <c r="X1098" s="115"/>
      <c r="Y1098" s="115"/>
      <c r="Z1098" s="115"/>
      <c r="AA1098" s="115"/>
      <c r="AB1098" s="115"/>
      <c r="AC1098" s="115"/>
      <c r="AD1098" s="115"/>
      <c r="AE1098" s="115"/>
      <c r="AF1098" s="115"/>
      <c r="AG1098" s="115"/>
      <c r="AH1098" s="115"/>
      <c r="AI1098" s="115"/>
      <c r="AJ1098" s="115"/>
      <c r="AK1098" s="115"/>
      <c r="AL1098" s="115"/>
      <c r="AM1098" s="115"/>
      <c r="AN1098" s="115"/>
      <c r="AO1098" s="115"/>
      <c r="AP1098" s="115"/>
      <c r="AQ1098" s="115"/>
      <c r="AR1098" s="115"/>
      <c r="AS1098" s="115"/>
      <c r="AT1098" s="115"/>
      <c r="AU1098" s="115"/>
      <c r="AV1098" s="115"/>
      <c r="AW1098" s="115"/>
      <c r="AX1098" s="115"/>
      <c r="AY1098" s="26"/>
      <c r="AZ1098" s="13"/>
      <c r="BE1098" s="117"/>
      <c r="BF1098" s="123"/>
      <c r="BG1098" s="123"/>
      <c r="BH1098" s="123"/>
      <c r="BI1098" s="115"/>
      <c r="BJ1098" s="115"/>
      <c r="BK1098" s="115"/>
      <c r="BL1098" s="115"/>
      <c r="BM1098" s="115"/>
      <c r="BN1098" s="115"/>
      <c r="BO1098" s="115"/>
      <c r="BP1098" s="115"/>
      <c r="BQ1098" s="115"/>
      <c r="BR1098" s="115"/>
      <c r="BS1098" s="115"/>
      <c r="BT1098" s="115"/>
      <c r="BU1098" s="115"/>
      <c r="BV1098" s="115"/>
      <c r="BW1098" s="25"/>
      <c r="BX1098" s="15"/>
      <c r="CA1098" s="114"/>
    </row>
    <row r="1099" spans="6:79" ht="19.5" x14ac:dyDescent="0.4">
      <c r="AY1099" s="26"/>
      <c r="AZ1099" s="13"/>
      <c r="BE1099" s="117"/>
      <c r="BF1099" s="123"/>
      <c r="BG1099" s="123"/>
      <c r="BH1099" s="123"/>
      <c r="BI1099" s="115"/>
      <c r="BJ1099" s="115"/>
      <c r="BK1099" s="115"/>
      <c r="BL1099" s="115"/>
      <c r="BM1099" s="115"/>
      <c r="BN1099" s="115"/>
      <c r="BO1099" s="115"/>
      <c r="BP1099" s="115"/>
      <c r="BQ1099" s="115"/>
      <c r="BR1099" s="115"/>
      <c r="BS1099" s="115"/>
      <c r="BT1099" s="115"/>
      <c r="BU1099" s="115"/>
      <c r="BV1099" s="115"/>
      <c r="BW1099" s="25">
        <v>45272</v>
      </c>
      <c r="BX1099" s="15" t="s">
        <v>162</v>
      </c>
      <c r="CA1099" s="114"/>
    </row>
    <row r="1100" spans="6:79" ht="19.5" x14ac:dyDescent="0.4">
      <c r="AR1100" s="115"/>
      <c r="AS1100" s="115"/>
      <c r="AT1100" s="115"/>
      <c r="AU1100" s="115"/>
      <c r="AV1100" s="115"/>
      <c r="AW1100" s="115"/>
      <c r="AX1100" s="115"/>
      <c r="AY1100" s="26"/>
      <c r="AZ1100" s="13"/>
      <c r="BE1100" s="117"/>
      <c r="BF1100" s="123"/>
      <c r="BG1100" s="123"/>
      <c r="BH1100" s="123"/>
      <c r="BI1100" s="115"/>
      <c r="BJ1100" s="115"/>
      <c r="BK1100" s="115"/>
      <c r="BL1100" s="115"/>
      <c r="BM1100" s="115"/>
      <c r="BN1100" s="115"/>
      <c r="BO1100" s="115"/>
      <c r="BP1100" s="115"/>
      <c r="BQ1100" s="115"/>
      <c r="BR1100" s="115"/>
      <c r="BS1100" s="115"/>
      <c r="BT1100" s="115"/>
      <c r="BU1100" s="115"/>
      <c r="BV1100" s="115"/>
      <c r="BW1100" s="25"/>
      <c r="BX1100" s="15"/>
      <c r="CA1100" s="114"/>
    </row>
    <row r="1101" spans="6:79" ht="19.5" x14ac:dyDescent="0.4">
      <c r="AR1101" s="115"/>
      <c r="AS1101" s="115"/>
      <c r="AT1101" s="115"/>
      <c r="AU1101" s="115"/>
      <c r="AV1101" s="115"/>
      <c r="AW1101" s="115"/>
      <c r="AX1101" s="115"/>
      <c r="AY1101" s="17"/>
      <c r="AZ1101" s="13"/>
      <c r="BE1101" s="117"/>
      <c r="BF1101" s="123"/>
      <c r="BG1101" s="123"/>
      <c r="BH1101" s="123"/>
      <c r="BI1101" s="115"/>
      <c r="BJ1101" s="115"/>
      <c r="BK1101" s="115"/>
      <c r="BL1101" s="115"/>
      <c r="BM1101" s="115"/>
      <c r="BN1101" s="115"/>
      <c r="BO1101" s="115"/>
      <c r="BP1101" s="115"/>
      <c r="BQ1101" s="115"/>
      <c r="BR1101" s="115"/>
      <c r="BS1101" s="115"/>
      <c r="BT1101" s="115"/>
      <c r="BU1101" s="115"/>
      <c r="BV1101" s="115"/>
      <c r="BW1101" s="25"/>
      <c r="BX1101" s="15"/>
      <c r="CA1101" s="114"/>
    </row>
    <row r="1102" spans="6:79" ht="19.5" x14ac:dyDescent="0.4">
      <c r="F1102" s="115"/>
      <c r="G1102" s="115"/>
      <c r="H1102" s="115"/>
      <c r="I1102" s="115"/>
      <c r="J1102" s="115"/>
      <c r="K1102" s="115"/>
      <c r="L1102" s="115"/>
      <c r="M1102" s="115"/>
      <c r="N1102" s="115"/>
      <c r="O1102" s="115"/>
      <c r="P1102" s="115"/>
      <c r="Q1102" s="115"/>
      <c r="R1102" s="115"/>
      <c r="S1102" s="115"/>
      <c r="T1102" s="115"/>
      <c r="U1102" s="115"/>
      <c r="V1102" s="115"/>
      <c r="W1102" s="115"/>
      <c r="X1102" s="115"/>
      <c r="Y1102" s="115"/>
      <c r="Z1102" s="115"/>
      <c r="AA1102" s="115"/>
      <c r="AB1102" s="115"/>
      <c r="AC1102" s="115"/>
      <c r="AD1102" s="115"/>
      <c r="AE1102" s="115"/>
      <c r="AF1102" s="115"/>
      <c r="AG1102" s="115"/>
      <c r="AH1102" s="115"/>
      <c r="AI1102" s="115"/>
      <c r="AJ1102" s="115"/>
      <c r="AK1102" s="115"/>
      <c r="AL1102" s="115"/>
      <c r="AM1102" s="115"/>
      <c r="AN1102" s="115"/>
      <c r="AO1102" s="115"/>
      <c r="AP1102" s="115"/>
      <c r="AQ1102" s="115"/>
      <c r="AR1102" s="115"/>
      <c r="AS1102" s="115"/>
      <c r="AT1102" s="115"/>
      <c r="AU1102" s="115"/>
      <c r="AV1102" s="115"/>
      <c r="AW1102" s="115"/>
      <c r="AX1102" s="115"/>
      <c r="AY1102" s="26"/>
      <c r="AZ1102" s="13"/>
      <c r="BE1102" s="117"/>
      <c r="BF1102" s="123"/>
      <c r="BG1102" s="123"/>
      <c r="BH1102" s="123"/>
      <c r="BI1102" s="115"/>
      <c r="BJ1102" s="115"/>
      <c r="BK1102" s="115"/>
      <c r="BL1102" s="115"/>
      <c r="BM1102" s="115"/>
      <c r="BN1102" s="115"/>
      <c r="BO1102" s="115"/>
      <c r="BP1102" s="115"/>
      <c r="BQ1102" s="115"/>
      <c r="BR1102" s="115"/>
      <c r="BS1102" s="115"/>
      <c r="BT1102" s="115"/>
      <c r="BU1102" s="115"/>
      <c r="BV1102" s="115"/>
      <c r="BW1102" s="25"/>
      <c r="BX1102" s="15"/>
      <c r="CA1102" s="114"/>
    </row>
    <row r="1103" spans="6:79" ht="19.5" x14ac:dyDescent="0.4">
      <c r="F1103" s="115"/>
      <c r="G1103" s="115"/>
      <c r="H1103" s="115"/>
      <c r="I1103" s="115"/>
      <c r="J1103" s="115"/>
      <c r="K1103" s="115"/>
      <c r="L1103" s="115"/>
      <c r="M1103" s="115"/>
      <c r="N1103" s="115"/>
      <c r="O1103" s="115"/>
      <c r="P1103" s="115"/>
      <c r="Q1103" s="115"/>
      <c r="R1103" s="115"/>
      <c r="S1103" s="115"/>
      <c r="T1103" s="115"/>
      <c r="U1103" s="115"/>
      <c r="V1103" s="115"/>
      <c r="W1103" s="115"/>
      <c r="X1103" s="115"/>
      <c r="Y1103" s="115"/>
      <c r="Z1103" s="115"/>
      <c r="AA1103" s="115"/>
      <c r="AB1103" s="115"/>
      <c r="AC1103" s="115"/>
      <c r="AD1103" s="115"/>
      <c r="AE1103" s="115"/>
      <c r="AF1103" s="115"/>
      <c r="AG1103" s="115"/>
      <c r="AH1103" s="115"/>
      <c r="AI1103" s="115"/>
      <c r="AJ1103" s="115"/>
      <c r="AK1103" s="115"/>
      <c r="AL1103" s="115"/>
      <c r="AM1103" s="115"/>
      <c r="AN1103" s="115"/>
      <c r="AO1103" s="115"/>
      <c r="AP1103" s="115"/>
      <c r="AQ1103" s="115"/>
      <c r="AR1103" s="115"/>
      <c r="AS1103" s="115"/>
      <c r="AT1103" s="115"/>
      <c r="AU1103" s="115"/>
      <c r="AV1103" s="115"/>
      <c r="AW1103" s="115"/>
      <c r="AX1103" s="115"/>
      <c r="AY1103" s="17"/>
      <c r="AZ1103" s="13"/>
      <c r="BE1103" s="117"/>
      <c r="BF1103" s="123"/>
      <c r="BG1103" s="123"/>
      <c r="BH1103" s="123"/>
      <c r="BI1103" s="115"/>
      <c r="BJ1103" s="115"/>
      <c r="BK1103" s="115"/>
      <c r="BL1103" s="115"/>
      <c r="BM1103" s="115"/>
      <c r="BN1103" s="115"/>
      <c r="BO1103" s="115"/>
      <c r="BP1103" s="115"/>
      <c r="BQ1103" s="115"/>
      <c r="BR1103" s="115"/>
      <c r="BS1103" s="115"/>
      <c r="BT1103" s="115"/>
      <c r="BU1103" s="115"/>
      <c r="BV1103" s="115"/>
      <c r="BW1103" s="25"/>
      <c r="BX1103" s="15"/>
      <c r="CA1103" s="114"/>
    </row>
    <row r="1104" spans="6:79" ht="19.5" x14ac:dyDescent="0.4">
      <c r="F1104" s="115"/>
      <c r="G1104" s="115"/>
      <c r="H1104" s="115"/>
      <c r="I1104" s="115"/>
      <c r="J1104" s="115"/>
      <c r="K1104" s="115"/>
      <c r="L1104" s="115"/>
      <c r="M1104" s="115"/>
      <c r="N1104" s="115"/>
      <c r="O1104" s="115"/>
      <c r="P1104" s="115"/>
      <c r="Q1104" s="115"/>
      <c r="R1104" s="115"/>
      <c r="S1104" s="115"/>
      <c r="T1104" s="115"/>
      <c r="U1104" s="115"/>
      <c r="V1104" s="115"/>
      <c r="W1104" s="115"/>
      <c r="X1104" s="115"/>
      <c r="Y1104" s="115"/>
      <c r="Z1104" s="115"/>
      <c r="AA1104" s="115"/>
      <c r="AB1104" s="115"/>
      <c r="AC1104" s="115"/>
      <c r="AD1104" s="115"/>
      <c r="AE1104" s="115"/>
      <c r="AF1104" s="115"/>
      <c r="AG1104" s="115"/>
      <c r="AH1104" s="115"/>
      <c r="AI1104" s="115"/>
      <c r="AJ1104" s="115"/>
      <c r="AK1104" s="115"/>
      <c r="AL1104" s="115"/>
      <c r="AM1104" s="115"/>
      <c r="AN1104" s="115"/>
      <c r="AO1104" s="115"/>
      <c r="AP1104" s="115"/>
      <c r="AQ1104" s="115"/>
      <c r="AR1104" s="115"/>
      <c r="AS1104" s="115"/>
      <c r="AT1104" s="115"/>
      <c r="AU1104" s="115"/>
      <c r="AV1104" s="115"/>
      <c r="AW1104" s="115"/>
      <c r="AX1104" s="115"/>
      <c r="AY1104" s="26"/>
      <c r="AZ1104" s="25"/>
      <c r="BE1104" s="117"/>
      <c r="BF1104" s="123"/>
      <c r="BG1104" s="123"/>
      <c r="BH1104" s="123"/>
      <c r="BI1104" s="115"/>
      <c r="BJ1104" s="115"/>
      <c r="BK1104" s="115"/>
      <c r="BL1104" s="115"/>
      <c r="BM1104" s="115"/>
      <c r="BN1104" s="115"/>
      <c r="BO1104" s="115"/>
      <c r="BP1104" s="115"/>
      <c r="BQ1104" s="115"/>
      <c r="BR1104" s="115"/>
      <c r="BS1104" s="115"/>
      <c r="BT1104" s="115"/>
      <c r="BU1104" s="115"/>
      <c r="BV1104" s="115"/>
      <c r="BW1104" s="25"/>
      <c r="BX1104" s="15"/>
      <c r="CA1104" s="114"/>
    </row>
    <row r="1105" spans="6:79" ht="19.5" x14ac:dyDescent="0.4">
      <c r="F1105" s="115"/>
      <c r="G1105" s="115"/>
      <c r="H1105" s="115"/>
      <c r="I1105" s="115"/>
      <c r="J1105" s="115"/>
      <c r="K1105" s="115"/>
      <c r="L1105" s="115"/>
      <c r="M1105" s="115"/>
      <c r="N1105" s="115"/>
      <c r="O1105" s="115"/>
      <c r="P1105" s="115"/>
      <c r="Q1105" s="115"/>
      <c r="R1105" s="115"/>
      <c r="S1105" s="115"/>
      <c r="T1105" s="115"/>
      <c r="U1105" s="115"/>
      <c r="V1105" s="115"/>
      <c r="W1105" s="115"/>
      <c r="X1105" s="115"/>
      <c r="Y1105" s="115"/>
      <c r="Z1105" s="115"/>
      <c r="AA1105" s="115"/>
      <c r="AB1105" s="115"/>
      <c r="AC1105" s="115"/>
      <c r="AD1105" s="115"/>
      <c r="AE1105" s="115"/>
      <c r="AF1105" s="115"/>
      <c r="AG1105" s="115"/>
      <c r="AH1105" s="115"/>
      <c r="AI1105" s="115"/>
      <c r="AJ1105" s="115"/>
      <c r="AK1105" s="115"/>
      <c r="AL1105" s="115"/>
      <c r="AM1105" s="115"/>
      <c r="AN1105" s="115"/>
      <c r="AO1105" s="115"/>
      <c r="AP1105" s="115"/>
      <c r="AQ1105" s="115"/>
      <c r="AR1105" s="115"/>
      <c r="AS1105" s="115"/>
      <c r="AT1105" s="115"/>
      <c r="AU1105" s="115"/>
      <c r="AV1105" s="115"/>
      <c r="AW1105" s="115"/>
      <c r="AX1105" s="115"/>
      <c r="AY1105" s="17"/>
      <c r="AZ1105" s="13"/>
      <c r="BE1105" s="117"/>
      <c r="BF1105" s="123"/>
      <c r="BG1105" s="123"/>
      <c r="BH1105" s="123"/>
      <c r="BI1105" s="115"/>
      <c r="BJ1105" s="115"/>
      <c r="BK1105" s="115"/>
      <c r="BL1105" s="115"/>
      <c r="BM1105" s="115"/>
      <c r="BN1105" s="115"/>
      <c r="BO1105" s="115"/>
      <c r="BP1105" s="115"/>
      <c r="BQ1105" s="115"/>
      <c r="BR1105" s="115"/>
      <c r="BS1105" s="115"/>
      <c r="BT1105" s="115"/>
      <c r="BU1105" s="115"/>
      <c r="BV1105" s="115"/>
      <c r="BW1105" s="25"/>
      <c r="BX1105" s="15"/>
      <c r="CA1105" s="114"/>
    </row>
    <row r="1106" spans="6:79" ht="19.5" x14ac:dyDescent="0.4">
      <c r="F1106" s="115"/>
      <c r="G1106" s="115"/>
      <c r="H1106" s="115"/>
      <c r="I1106" s="115"/>
      <c r="J1106" s="115"/>
      <c r="K1106" s="115"/>
      <c r="L1106" s="115"/>
      <c r="M1106" s="115"/>
      <c r="N1106" s="115"/>
      <c r="O1106" s="115"/>
      <c r="P1106" s="115"/>
      <c r="Q1106" s="115"/>
      <c r="R1106" s="115"/>
      <c r="S1106" s="115"/>
      <c r="T1106" s="115"/>
      <c r="U1106" s="115"/>
      <c r="V1106" s="115"/>
      <c r="W1106" s="115"/>
      <c r="X1106" s="115"/>
      <c r="Y1106" s="115"/>
      <c r="Z1106" s="115"/>
      <c r="AA1106" s="115"/>
      <c r="AB1106" s="115"/>
      <c r="AC1106" s="115"/>
      <c r="AD1106" s="115"/>
      <c r="AE1106" s="115"/>
      <c r="AF1106" s="115"/>
      <c r="AG1106" s="115"/>
      <c r="AH1106" s="115"/>
      <c r="AI1106" s="115"/>
      <c r="AJ1106" s="115"/>
      <c r="AK1106" s="115"/>
      <c r="AL1106" s="115"/>
      <c r="AM1106" s="115"/>
      <c r="AN1106" s="115"/>
      <c r="AO1106" s="115"/>
      <c r="AP1106" s="115"/>
      <c r="AQ1106" s="115"/>
      <c r="AR1106" s="115"/>
      <c r="AS1106" s="115"/>
      <c r="AT1106" s="115"/>
      <c r="AU1106" s="115"/>
      <c r="AV1106" s="115"/>
      <c r="AW1106" s="115"/>
      <c r="AX1106" s="115"/>
      <c r="AY1106" s="26"/>
      <c r="AZ1106" s="13"/>
      <c r="BE1106" s="117"/>
      <c r="BF1106" s="123"/>
      <c r="BG1106" s="123"/>
      <c r="BH1106" s="123"/>
      <c r="BI1106" s="115"/>
      <c r="BJ1106" s="115"/>
      <c r="BK1106" s="115"/>
      <c r="BL1106" s="115"/>
      <c r="BM1106" s="115"/>
      <c r="BN1106" s="115"/>
      <c r="BO1106" s="115"/>
      <c r="BP1106" s="115"/>
      <c r="BQ1106" s="115"/>
      <c r="BR1106" s="115"/>
      <c r="BS1106" s="115"/>
      <c r="BT1106" s="115"/>
      <c r="BU1106" s="115"/>
      <c r="BV1106" s="115"/>
      <c r="BW1106" s="25"/>
      <c r="BX1106" s="15"/>
      <c r="CA1106" s="114"/>
    </row>
    <row r="1107" spans="6:79" ht="19.5" x14ac:dyDescent="0.4">
      <c r="AY1107" s="26"/>
      <c r="AZ1107" s="13"/>
      <c r="BE1107" s="117"/>
      <c r="BF1107" s="123"/>
      <c r="BG1107" s="123"/>
      <c r="BH1107" s="123"/>
      <c r="BI1107" s="115"/>
      <c r="BJ1107" s="115"/>
      <c r="BK1107" s="115"/>
      <c r="BL1107" s="115"/>
      <c r="BM1107" s="115"/>
      <c r="BN1107" s="115"/>
      <c r="BO1107" s="115"/>
      <c r="BP1107" s="115"/>
      <c r="BQ1107" s="115"/>
      <c r="BR1107" s="115"/>
      <c r="BS1107" s="115"/>
      <c r="BT1107" s="115"/>
      <c r="BU1107" s="115"/>
      <c r="BV1107" s="115"/>
      <c r="BW1107" s="25">
        <v>45272</v>
      </c>
      <c r="BX1107" s="15" t="s">
        <v>162</v>
      </c>
      <c r="CA1107" s="114"/>
    </row>
    <row r="1108" spans="6:79" ht="19.5" x14ac:dyDescent="0.4">
      <c r="AS1108" s="115"/>
      <c r="AT1108" s="115"/>
      <c r="AU1108" s="115"/>
      <c r="AV1108" s="115"/>
      <c r="AW1108" s="115"/>
      <c r="AX1108" s="115"/>
      <c r="AY1108" s="17"/>
      <c r="AZ1108" s="13"/>
      <c r="BE1108" s="117"/>
      <c r="BF1108" s="123"/>
      <c r="BG1108" s="123"/>
      <c r="BH1108" s="123"/>
      <c r="BI1108" s="115"/>
      <c r="BJ1108" s="115"/>
      <c r="BK1108" s="115"/>
      <c r="BL1108" s="115"/>
      <c r="BM1108" s="115"/>
      <c r="BN1108" s="115"/>
      <c r="BO1108" s="115"/>
      <c r="BP1108" s="115"/>
      <c r="BQ1108" s="115"/>
      <c r="BR1108" s="115"/>
      <c r="BS1108" s="115"/>
      <c r="BT1108" s="115"/>
      <c r="BU1108" s="115"/>
      <c r="BV1108" s="115"/>
      <c r="BW1108" s="25"/>
      <c r="BX1108" s="15"/>
      <c r="CA1108" s="114"/>
    </row>
    <row r="1109" spans="6:79" ht="19.5" x14ac:dyDescent="0.4">
      <c r="AR1109" s="115"/>
      <c r="AS1109" s="115"/>
      <c r="AT1109" s="115"/>
      <c r="AU1109" s="115"/>
      <c r="AV1109" s="115"/>
      <c r="AW1109" s="115"/>
      <c r="AX1109" s="115"/>
      <c r="AY1109" s="26"/>
      <c r="AZ1109" s="13"/>
      <c r="BE1109" s="117"/>
      <c r="BF1109" s="123"/>
      <c r="BG1109" s="123"/>
      <c r="BH1109" s="123"/>
      <c r="BI1109" s="115"/>
      <c r="BJ1109" s="115"/>
      <c r="BK1109" s="115"/>
      <c r="BL1109" s="115"/>
      <c r="BM1109" s="115"/>
      <c r="BN1109" s="115"/>
      <c r="BO1109" s="115"/>
      <c r="BP1109" s="115"/>
      <c r="BQ1109" s="115"/>
      <c r="BR1109" s="115"/>
      <c r="BS1109" s="115"/>
      <c r="BT1109" s="115"/>
      <c r="BU1109" s="115"/>
      <c r="BV1109" s="115"/>
      <c r="BW1109" s="25"/>
      <c r="BX1109" s="15"/>
      <c r="CA1109" s="114"/>
    </row>
    <row r="1110" spans="6:79" ht="19.5" x14ac:dyDescent="0.4">
      <c r="AR1110" s="115"/>
      <c r="AS1110" s="115"/>
      <c r="AT1110" s="115"/>
      <c r="AU1110" s="115"/>
      <c r="AV1110" s="115"/>
      <c r="AW1110" s="115"/>
      <c r="AX1110" s="115"/>
      <c r="AY1110" s="17"/>
      <c r="AZ1110" s="13"/>
      <c r="BE1110" s="117"/>
      <c r="BF1110" s="123"/>
      <c r="BG1110" s="123"/>
      <c r="BH1110" s="123"/>
      <c r="BI1110" s="115"/>
      <c r="BJ1110" s="115"/>
      <c r="BK1110" s="115"/>
      <c r="BL1110" s="115"/>
      <c r="BM1110" s="115"/>
      <c r="BN1110" s="115"/>
      <c r="BO1110" s="115"/>
      <c r="BP1110" s="115"/>
      <c r="BQ1110" s="115"/>
      <c r="BR1110" s="115"/>
      <c r="BS1110" s="115"/>
      <c r="BT1110" s="115"/>
      <c r="BU1110" s="115"/>
      <c r="BV1110" s="115"/>
      <c r="BW1110" s="25"/>
      <c r="BX1110" s="15"/>
      <c r="CA1110" s="114"/>
    </row>
    <row r="1111" spans="6:79" ht="19.5" x14ac:dyDescent="0.4">
      <c r="AR1111" s="115"/>
      <c r="AS1111" s="115"/>
      <c r="AT1111" s="115"/>
      <c r="AU1111" s="115"/>
      <c r="AV1111" s="115"/>
      <c r="AW1111" s="115"/>
      <c r="AX1111" s="115"/>
      <c r="AY1111" s="17"/>
      <c r="AZ1111" s="13"/>
      <c r="BE1111" s="117"/>
      <c r="BF1111" s="123"/>
      <c r="BG1111" s="123"/>
      <c r="BH1111" s="123"/>
      <c r="BI1111" s="115"/>
      <c r="BJ1111" s="115"/>
      <c r="BK1111" s="115"/>
      <c r="BL1111" s="115"/>
      <c r="BM1111" s="115"/>
      <c r="BN1111" s="115"/>
      <c r="BO1111" s="115"/>
      <c r="BP1111" s="115"/>
      <c r="BQ1111" s="115"/>
      <c r="BR1111" s="115"/>
      <c r="BS1111" s="115"/>
      <c r="BT1111" s="115"/>
      <c r="BU1111" s="115"/>
      <c r="BV1111" s="115"/>
      <c r="BW1111" s="25"/>
      <c r="BX1111" s="15"/>
      <c r="CA1111" s="114"/>
    </row>
    <row r="1112" spans="6:79" ht="19.5" x14ac:dyDescent="0.4">
      <c r="AO1112" s="115"/>
      <c r="AP1112" s="115"/>
      <c r="AQ1112" s="115"/>
      <c r="AR1112" s="115"/>
      <c r="AS1112" s="115"/>
      <c r="AT1112" s="115"/>
      <c r="AU1112" s="115"/>
      <c r="AV1112" s="115"/>
      <c r="AW1112" s="115"/>
      <c r="AX1112" s="115"/>
      <c r="AY1112" s="26"/>
      <c r="AZ1112" s="13"/>
      <c r="BE1112" s="117"/>
      <c r="BF1112" s="123"/>
      <c r="BG1112" s="123"/>
      <c r="BH1112" s="123"/>
      <c r="BI1112" s="115"/>
      <c r="BJ1112" s="115"/>
      <c r="BK1112" s="115"/>
      <c r="BL1112" s="115"/>
      <c r="BM1112" s="115"/>
      <c r="BN1112" s="115"/>
      <c r="BO1112" s="115"/>
      <c r="BP1112" s="115"/>
      <c r="BQ1112" s="115"/>
      <c r="BR1112" s="115"/>
      <c r="BS1112" s="115"/>
      <c r="BT1112" s="115"/>
      <c r="BU1112" s="115"/>
      <c r="BV1112" s="115"/>
      <c r="BW1112" s="25"/>
      <c r="BX1112" s="15"/>
      <c r="CA1112" s="114"/>
    </row>
    <row r="1113" spans="6:79" ht="19.5" x14ac:dyDescent="0.4">
      <c r="AO1113" s="115"/>
      <c r="AP1113" s="115"/>
      <c r="AQ1113" s="115"/>
      <c r="AR1113" s="115"/>
      <c r="AS1113" s="115"/>
      <c r="AT1113" s="115"/>
      <c r="AU1113" s="115"/>
      <c r="AV1113" s="115"/>
      <c r="AW1113" s="115"/>
      <c r="AX1113" s="115"/>
      <c r="AY1113" s="20"/>
      <c r="AZ1113" s="13"/>
      <c r="BE1113" s="117"/>
      <c r="BF1113" s="123"/>
      <c r="BG1113" s="123"/>
      <c r="BH1113" s="123"/>
      <c r="BI1113" s="115"/>
      <c r="BJ1113" s="115"/>
      <c r="BK1113" s="115"/>
      <c r="BL1113" s="115"/>
      <c r="BM1113" s="115"/>
      <c r="BN1113" s="115"/>
      <c r="BO1113" s="115"/>
      <c r="BP1113" s="115"/>
      <c r="BQ1113" s="115"/>
      <c r="BR1113" s="115"/>
      <c r="BS1113" s="115"/>
      <c r="BT1113" s="115"/>
      <c r="BU1113" s="115"/>
      <c r="BV1113" s="115"/>
      <c r="BW1113" s="25"/>
      <c r="BX1113" s="15"/>
      <c r="CA1113" s="114"/>
    </row>
    <row r="1114" spans="6:79" ht="19.5" x14ac:dyDescent="0.4">
      <c r="AO1114" s="115"/>
      <c r="AP1114" s="115"/>
      <c r="AQ1114" s="115"/>
      <c r="AR1114" s="115"/>
      <c r="AS1114" s="115"/>
      <c r="AT1114" s="115"/>
      <c r="AU1114" s="115"/>
      <c r="AV1114" s="115"/>
      <c r="AW1114" s="115"/>
      <c r="AX1114" s="115"/>
      <c r="AY1114" s="20"/>
      <c r="AZ1114" s="13"/>
      <c r="BE1114" s="117"/>
      <c r="BF1114" s="123"/>
      <c r="BG1114" s="123"/>
      <c r="BH1114" s="123"/>
      <c r="BI1114" s="115"/>
      <c r="BJ1114" s="115"/>
      <c r="BK1114" s="115"/>
      <c r="BL1114" s="115"/>
      <c r="BM1114" s="115"/>
      <c r="BN1114" s="115"/>
      <c r="BO1114" s="115"/>
      <c r="BP1114" s="115"/>
      <c r="BQ1114" s="115"/>
      <c r="BR1114" s="115"/>
      <c r="BS1114" s="115"/>
      <c r="BT1114" s="115"/>
      <c r="BU1114" s="115"/>
      <c r="BV1114" s="115"/>
      <c r="BW1114" s="25"/>
      <c r="BX1114" s="15"/>
      <c r="CA1114" s="114"/>
    </row>
    <row r="1115" spans="6:79" ht="19.5" x14ac:dyDescent="0.4">
      <c r="AO1115" s="115"/>
      <c r="AP1115" s="115"/>
      <c r="AQ1115" s="115"/>
      <c r="AR1115" s="115"/>
      <c r="AS1115" s="115"/>
      <c r="AT1115" s="115"/>
      <c r="AU1115" s="115"/>
      <c r="AV1115" s="115"/>
      <c r="AW1115" s="115"/>
      <c r="AX1115" s="115"/>
      <c r="AY1115" s="25"/>
      <c r="AZ1115" s="15"/>
      <c r="BE1115" s="117"/>
      <c r="BF1115" s="123"/>
      <c r="BG1115" s="123"/>
      <c r="BH1115" s="123"/>
      <c r="BI1115" s="115"/>
      <c r="BJ1115" s="115"/>
      <c r="BK1115" s="115"/>
      <c r="BL1115" s="115"/>
      <c r="BM1115" s="115"/>
      <c r="BN1115" s="115"/>
      <c r="BO1115" s="115"/>
      <c r="BP1115" s="115"/>
      <c r="BQ1115" s="115"/>
      <c r="BR1115" s="115"/>
      <c r="BS1115" s="115"/>
      <c r="BT1115" s="115"/>
      <c r="BU1115" s="115"/>
      <c r="BV1115" s="115"/>
      <c r="BW1115" s="25"/>
      <c r="BX1115" s="15"/>
      <c r="CA1115" s="114"/>
    </row>
    <row r="1116" spans="6:79" ht="19.5" x14ac:dyDescent="0.4">
      <c r="F1116" s="115"/>
      <c r="G1116" s="115"/>
      <c r="H1116" s="115"/>
      <c r="I1116" s="115"/>
      <c r="J1116" s="115"/>
      <c r="K1116" s="115"/>
      <c r="L1116" s="115"/>
      <c r="M1116" s="115"/>
      <c r="N1116" s="115"/>
      <c r="O1116" s="115"/>
      <c r="P1116" s="115"/>
      <c r="Q1116" s="115"/>
      <c r="R1116" s="115"/>
      <c r="S1116" s="115"/>
      <c r="T1116" s="115"/>
      <c r="U1116" s="115"/>
      <c r="V1116" s="115"/>
      <c r="W1116" s="115"/>
      <c r="X1116" s="115"/>
      <c r="Y1116" s="115"/>
      <c r="Z1116" s="115"/>
      <c r="AA1116" s="115"/>
      <c r="AB1116" s="115"/>
      <c r="AC1116" s="115"/>
      <c r="AD1116" s="115"/>
      <c r="AE1116" s="115"/>
      <c r="AF1116" s="115"/>
      <c r="AG1116" s="115"/>
      <c r="AH1116" s="115"/>
      <c r="AI1116" s="115"/>
      <c r="AJ1116" s="115"/>
      <c r="AK1116" s="115"/>
      <c r="AL1116" s="115"/>
      <c r="AM1116" s="115"/>
      <c r="AN1116" s="115"/>
      <c r="AO1116" s="115"/>
      <c r="AP1116" s="115"/>
      <c r="AQ1116" s="115"/>
      <c r="AR1116" s="115"/>
      <c r="AS1116" s="115"/>
      <c r="AT1116" s="115"/>
      <c r="AU1116" s="115"/>
      <c r="AV1116" s="115"/>
      <c r="AW1116" s="115"/>
      <c r="AX1116" s="115"/>
      <c r="AY1116" s="25"/>
      <c r="AZ1116" s="15"/>
      <c r="BE1116" s="117"/>
      <c r="BF1116" s="123"/>
      <c r="BG1116" s="123"/>
      <c r="BH1116" s="123"/>
      <c r="BI1116" s="115"/>
      <c r="BJ1116" s="115"/>
      <c r="BK1116" s="115"/>
      <c r="BL1116" s="115"/>
      <c r="BM1116" s="115"/>
      <c r="BN1116" s="115"/>
      <c r="BO1116" s="115"/>
      <c r="BP1116" s="115"/>
      <c r="BQ1116" s="115"/>
      <c r="BR1116" s="115"/>
      <c r="BS1116" s="115"/>
      <c r="BT1116" s="115"/>
      <c r="BU1116" s="115"/>
      <c r="BV1116" s="115"/>
      <c r="BW1116" s="25"/>
      <c r="BX1116" s="15"/>
      <c r="CA1116" s="114"/>
    </row>
    <row r="1117" spans="6:79" ht="19.5" x14ac:dyDescent="0.4">
      <c r="F1117" s="115"/>
      <c r="G1117" s="115"/>
      <c r="H1117" s="115"/>
      <c r="I1117" s="115"/>
      <c r="J1117" s="115"/>
      <c r="K1117" s="115"/>
      <c r="L1117" s="115"/>
      <c r="M1117" s="115"/>
      <c r="N1117" s="115"/>
      <c r="O1117" s="115"/>
      <c r="P1117" s="115"/>
      <c r="Q1117" s="115"/>
      <c r="R1117" s="115"/>
      <c r="S1117" s="115"/>
      <c r="T1117" s="115"/>
      <c r="U1117" s="115"/>
      <c r="V1117" s="115"/>
      <c r="W1117" s="115"/>
      <c r="X1117" s="115"/>
      <c r="Y1117" s="115"/>
      <c r="Z1117" s="115"/>
      <c r="AA1117" s="115"/>
      <c r="AB1117" s="115"/>
      <c r="AC1117" s="115"/>
      <c r="AD1117" s="115"/>
      <c r="AE1117" s="115"/>
      <c r="AF1117" s="115"/>
      <c r="AG1117" s="115"/>
      <c r="AH1117" s="115"/>
      <c r="AI1117" s="115"/>
      <c r="AJ1117" s="115"/>
      <c r="AK1117" s="115"/>
      <c r="AL1117" s="115"/>
      <c r="AM1117" s="115"/>
      <c r="AN1117" s="115"/>
      <c r="AO1117" s="115"/>
      <c r="AP1117" s="115"/>
      <c r="AQ1117" s="115"/>
      <c r="AR1117" s="115"/>
      <c r="AS1117" s="115"/>
      <c r="AT1117" s="115"/>
      <c r="AU1117" s="115"/>
      <c r="AV1117" s="115"/>
      <c r="AW1117" s="115"/>
      <c r="AX1117" s="115"/>
      <c r="AY1117" s="25"/>
      <c r="AZ1117" s="15"/>
      <c r="BE1117" s="117"/>
      <c r="BF1117" s="123"/>
      <c r="BG1117" s="123"/>
      <c r="BH1117" s="123"/>
      <c r="BI1117" s="115"/>
      <c r="BJ1117" s="115"/>
      <c r="BK1117" s="115"/>
      <c r="BL1117" s="115"/>
      <c r="BM1117" s="115"/>
      <c r="BN1117" s="115"/>
      <c r="BO1117" s="115"/>
      <c r="BP1117" s="115"/>
      <c r="BQ1117" s="115"/>
      <c r="BR1117" s="115"/>
      <c r="BS1117" s="115"/>
      <c r="BT1117" s="115"/>
      <c r="BU1117" s="115"/>
      <c r="BV1117" s="115"/>
      <c r="BW1117" s="25"/>
      <c r="BX1117" s="15"/>
      <c r="CA1117" s="114"/>
    </row>
    <row r="1118" spans="6:79" ht="19.5" x14ac:dyDescent="0.4">
      <c r="AY1118" s="26"/>
      <c r="AZ1118" s="15"/>
      <c r="BE1118" s="117"/>
      <c r="BF1118" s="123"/>
      <c r="BG1118" s="123"/>
      <c r="BH1118" s="123"/>
      <c r="BI1118" s="115"/>
      <c r="BJ1118" s="115"/>
      <c r="BK1118" s="115"/>
      <c r="BL1118" s="115"/>
      <c r="BM1118" s="115"/>
      <c r="BN1118" s="115"/>
      <c r="BO1118" s="115"/>
      <c r="BP1118" s="115"/>
      <c r="BQ1118" s="115"/>
      <c r="BR1118" s="115"/>
      <c r="BS1118" s="115"/>
      <c r="BT1118" s="115"/>
      <c r="BU1118" s="115"/>
      <c r="BV1118" s="115"/>
      <c r="BW1118" s="25">
        <v>45272</v>
      </c>
      <c r="BX1118" s="15" t="s">
        <v>162</v>
      </c>
      <c r="CA1118" s="114"/>
    </row>
    <row r="1119" spans="6:79" ht="19.5" x14ac:dyDescent="0.4">
      <c r="AY1119" s="26"/>
      <c r="AZ1119" s="13"/>
      <c r="BE1119" s="117"/>
      <c r="BF1119" s="123"/>
      <c r="BG1119" s="123"/>
      <c r="BH1119" s="123"/>
      <c r="BI1119" s="115"/>
      <c r="BJ1119" s="115"/>
      <c r="BK1119" s="115"/>
      <c r="BL1119" s="115"/>
      <c r="BM1119" s="115"/>
      <c r="BN1119" s="115"/>
      <c r="BO1119" s="115"/>
      <c r="BP1119" s="115"/>
      <c r="BQ1119" s="115"/>
      <c r="BR1119" s="115"/>
      <c r="BS1119" s="115"/>
      <c r="BT1119" s="115"/>
      <c r="BU1119" s="115"/>
      <c r="BV1119" s="115"/>
      <c r="BW1119" s="25"/>
      <c r="BX1119" s="15"/>
      <c r="CA1119" s="114"/>
    </row>
    <row r="1120" spans="6:79" ht="19.5" x14ac:dyDescent="0.4">
      <c r="AN1120" s="115"/>
      <c r="AO1120" s="115"/>
      <c r="AP1120" s="115"/>
      <c r="AQ1120" s="115"/>
      <c r="AR1120" s="115"/>
      <c r="AS1120" s="115"/>
      <c r="AT1120" s="115"/>
      <c r="AU1120" s="115"/>
      <c r="AV1120" s="115"/>
      <c r="AW1120" s="115"/>
      <c r="AX1120" s="115"/>
      <c r="AY1120" s="26"/>
      <c r="AZ1120" s="13"/>
      <c r="BE1120" s="117"/>
      <c r="BF1120" s="123"/>
      <c r="BG1120" s="123"/>
      <c r="BH1120" s="123"/>
      <c r="BI1120" s="115"/>
      <c r="BJ1120" s="115"/>
      <c r="BK1120" s="115"/>
      <c r="BL1120" s="115"/>
      <c r="BM1120" s="115"/>
      <c r="BN1120" s="115"/>
      <c r="BO1120" s="115"/>
      <c r="BP1120" s="115"/>
      <c r="BQ1120" s="115"/>
      <c r="BR1120" s="115"/>
      <c r="BS1120" s="115"/>
      <c r="BT1120" s="115"/>
      <c r="BU1120" s="115"/>
      <c r="BV1120" s="115"/>
      <c r="BW1120" s="25"/>
      <c r="BX1120" s="15"/>
      <c r="CA1120" s="114"/>
    </row>
    <row r="1121" spans="40:79" ht="19.5" x14ac:dyDescent="0.4">
      <c r="AY1121" s="26"/>
      <c r="AZ1121" s="13"/>
      <c r="BE1121" s="117"/>
      <c r="BF1121" s="123"/>
      <c r="BG1121" s="123"/>
      <c r="BH1121" s="123"/>
      <c r="BI1121" s="115"/>
      <c r="BJ1121" s="115"/>
      <c r="BK1121" s="115"/>
      <c r="BL1121" s="115"/>
      <c r="BM1121" s="115"/>
      <c r="BN1121" s="115"/>
      <c r="BO1121" s="115"/>
      <c r="BP1121" s="115"/>
      <c r="BQ1121" s="115"/>
      <c r="BR1121" s="115"/>
      <c r="BS1121" s="115"/>
      <c r="BT1121" s="115"/>
      <c r="BU1121" s="115"/>
      <c r="BV1121" s="115"/>
      <c r="BW1121" s="25">
        <v>45272</v>
      </c>
      <c r="BX1121" s="15" t="s">
        <v>162</v>
      </c>
      <c r="CA1121" s="114"/>
    </row>
    <row r="1122" spans="40:79" ht="19.5" x14ac:dyDescent="0.4">
      <c r="AQ1122" s="115"/>
      <c r="AR1122" s="115"/>
      <c r="AS1122" s="115"/>
      <c r="AT1122" s="115"/>
      <c r="AU1122" s="115"/>
      <c r="AV1122" s="115"/>
      <c r="AW1122" s="115"/>
      <c r="AX1122" s="115"/>
      <c r="AY1122" s="17"/>
      <c r="AZ1122" s="13"/>
      <c r="BE1122" s="117"/>
      <c r="BF1122" s="123"/>
      <c r="BG1122" s="123"/>
      <c r="BH1122" s="123"/>
      <c r="BI1122" s="115"/>
      <c r="BJ1122" s="115"/>
      <c r="BK1122" s="115"/>
      <c r="BL1122" s="115"/>
      <c r="BM1122" s="115"/>
      <c r="BN1122" s="115"/>
      <c r="BO1122" s="115"/>
      <c r="BP1122" s="115"/>
      <c r="BQ1122" s="115"/>
      <c r="BR1122" s="115"/>
      <c r="BS1122" s="115"/>
      <c r="BT1122" s="115"/>
      <c r="BU1122" s="115"/>
      <c r="BV1122" s="115"/>
      <c r="BW1122" s="25"/>
      <c r="BX1122" s="15"/>
      <c r="CA1122" s="114"/>
    </row>
    <row r="1123" spans="40:79" ht="19.5" x14ac:dyDescent="0.4">
      <c r="AY1123" s="26"/>
      <c r="AZ1123" s="13"/>
      <c r="BE1123" s="117"/>
      <c r="BF1123" s="123"/>
      <c r="BG1123" s="123"/>
      <c r="BH1123" s="123"/>
      <c r="BI1123" s="115"/>
      <c r="BJ1123" s="115"/>
      <c r="BK1123" s="115"/>
      <c r="BL1123" s="115"/>
      <c r="BM1123" s="115"/>
      <c r="BN1123" s="115"/>
      <c r="BO1123" s="115"/>
      <c r="BP1123" s="115"/>
      <c r="BQ1123" s="115"/>
      <c r="BR1123" s="115"/>
      <c r="BS1123" s="115"/>
      <c r="BT1123" s="115"/>
      <c r="BU1123" s="115"/>
      <c r="BV1123" s="115"/>
      <c r="BW1123" s="25"/>
      <c r="BX1123" s="15"/>
      <c r="CA1123" s="114"/>
    </row>
    <row r="1124" spans="40:79" ht="19.5" x14ac:dyDescent="0.4">
      <c r="AO1124" s="115"/>
      <c r="AP1124" s="115"/>
      <c r="AQ1124" s="115"/>
      <c r="AR1124" s="115"/>
      <c r="AS1124" s="115"/>
      <c r="AT1124" s="115"/>
      <c r="AU1124" s="115"/>
      <c r="AV1124" s="115"/>
      <c r="AW1124" s="115"/>
      <c r="AX1124" s="115"/>
      <c r="AY1124" s="26"/>
      <c r="AZ1124" s="13"/>
      <c r="BE1124" s="117"/>
      <c r="BF1124" s="123"/>
      <c r="BG1124" s="123"/>
      <c r="BH1124" s="123"/>
      <c r="BI1124" s="115"/>
      <c r="BJ1124" s="115"/>
      <c r="BK1124" s="115"/>
      <c r="BL1124" s="115"/>
      <c r="BM1124" s="115"/>
      <c r="BN1124" s="115"/>
      <c r="BO1124" s="115"/>
      <c r="BP1124" s="115"/>
      <c r="BQ1124" s="115"/>
      <c r="BR1124" s="115"/>
      <c r="BS1124" s="115"/>
      <c r="BT1124" s="115"/>
      <c r="BU1124" s="115"/>
      <c r="BV1124" s="115"/>
      <c r="BW1124" s="25"/>
      <c r="BX1124" s="15"/>
      <c r="CA1124" s="114"/>
    </row>
    <row r="1125" spans="40:79" ht="19.5" x14ac:dyDescent="0.4">
      <c r="AY1125" s="26"/>
      <c r="AZ1125" s="13"/>
      <c r="BE1125" s="117"/>
      <c r="BF1125" s="123"/>
      <c r="BG1125" s="123"/>
      <c r="BH1125" s="123"/>
      <c r="BI1125" s="115"/>
      <c r="BJ1125" s="115"/>
      <c r="BK1125" s="115"/>
      <c r="BL1125" s="115"/>
      <c r="BM1125" s="115"/>
      <c r="BN1125" s="115"/>
      <c r="BO1125" s="115"/>
      <c r="BP1125" s="115"/>
      <c r="BQ1125" s="115"/>
      <c r="BR1125" s="115"/>
      <c r="BS1125" s="115"/>
      <c r="BT1125" s="115"/>
      <c r="BU1125" s="115"/>
      <c r="BV1125" s="115"/>
      <c r="BW1125" s="25">
        <v>45272</v>
      </c>
      <c r="BX1125" s="15" t="s">
        <v>162</v>
      </c>
      <c r="CA1125" s="114"/>
    </row>
    <row r="1126" spans="40:79" ht="19.5" x14ac:dyDescent="0.4">
      <c r="AY1126" s="26"/>
      <c r="AZ1126" s="13"/>
      <c r="BE1126" s="117"/>
      <c r="BF1126" s="123"/>
      <c r="BG1126" s="123"/>
      <c r="BH1126" s="123"/>
      <c r="BI1126" s="115"/>
      <c r="BJ1126" s="115"/>
      <c r="BK1126" s="115"/>
      <c r="BL1126" s="115"/>
      <c r="BM1126" s="115"/>
      <c r="BN1126" s="115"/>
      <c r="BO1126" s="115"/>
      <c r="BP1126" s="115"/>
      <c r="BQ1126" s="115"/>
      <c r="BR1126" s="115"/>
      <c r="BS1126" s="115"/>
      <c r="BT1126" s="115"/>
      <c r="BU1126" s="115"/>
      <c r="BV1126" s="115" t="s">
        <v>166</v>
      </c>
      <c r="BW1126" s="13">
        <f>SUBTOTAL(3,BW1074:BW1125)</f>
        <v>13</v>
      </c>
      <c r="BX1126" s="15">
        <f>SUBTOTAL(3,BX1074:BX1125)</f>
        <v>13</v>
      </c>
      <c r="CA1126" s="114"/>
    </row>
    <row r="1127" spans="40:79" ht="19.5" x14ac:dyDescent="0.4">
      <c r="AQ1127" s="115"/>
      <c r="AR1127" s="115"/>
      <c r="AS1127" s="115"/>
      <c r="AT1127" s="115"/>
      <c r="AU1127" s="115"/>
      <c r="AV1127" s="115"/>
      <c r="AW1127" s="115"/>
      <c r="AX1127" s="115"/>
      <c r="AY1127" s="17"/>
      <c r="AZ1127" s="13"/>
      <c r="BE1127" s="117"/>
      <c r="BF1127" s="123"/>
      <c r="BG1127" s="123"/>
      <c r="BH1127" s="123"/>
      <c r="BI1127" s="115"/>
      <c r="BJ1127" s="115"/>
      <c r="BK1127" s="115"/>
      <c r="BL1127" s="115"/>
      <c r="BM1127" s="115"/>
      <c r="BN1127" s="115"/>
      <c r="BO1127" s="115"/>
      <c r="BP1127" s="115"/>
      <c r="BQ1127" s="115"/>
      <c r="BR1127" s="115"/>
      <c r="BS1127" s="115"/>
      <c r="BT1127" s="115"/>
      <c r="BU1127" s="115"/>
      <c r="BV1127" s="115"/>
      <c r="BW1127" s="13"/>
      <c r="BX1127" s="15"/>
      <c r="CA1127" s="114"/>
    </row>
    <row r="1128" spans="40:79" ht="19.5" x14ac:dyDescent="0.4">
      <c r="AY1128" s="26"/>
      <c r="AZ1128" s="13"/>
      <c r="BE1128" s="117"/>
      <c r="BF1128" s="123"/>
      <c r="BG1128" s="123"/>
      <c r="BH1128" s="123"/>
      <c r="BI1128" s="115"/>
      <c r="BJ1128" s="115"/>
      <c r="BK1128" s="115"/>
      <c r="BL1128" s="115"/>
      <c r="BM1128" s="115"/>
      <c r="BN1128" s="115"/>
      <c r="BO1128" s="115"/>
      <c r="BP1128" s="115"/>
      <c r="BQ1128" s="115"/>
      <c r="BR1128" s="115"/>
      <c r="BS1128" s="115"/>
      <c r="BT1128" s="115"/>
      <c r="BU1128" s="115"/>
      <c r="BV1128" s="115"/>
      <c r="BW1128" s="25">
        <v>45273</v>
      </c>
      <c r="BX1128" s="105" t="s">
        <v>164</v>
      </c>
      <c r="CA1128" s="114"/>
    </row>
    <row r="1129" spans="40:79" ht="19.5" x14ac:dyDescent="0.4">
      <c r="AY1129" s="26"/>
      <c r="AZ1129" s="13"/>
      <c r="BE1129" s="117"/>
      <c r="BF1129" s="123"/>
      <c r="BG1129" s="123"/>
      <c r="BH1129" s="123"/>
      <c r="BI1129" s="115"/>
      <c r="BJ1129" s="115"/>
      <c r="BK1129" s="115"/>
      <c r="BL1129" s="115"/>
      <c r="BM1129" s="115"/>
      <c r="BN1129" s="115"/>
      <c r="BO1129" s="115"/>
      <c r="BP1129" s="115"/>
      <c r="BQ1129" s="115"/>
      <c r="BR1129" s="115"/>
      <c r="BS1129" s="115"/>
      <c r="BT1129" s="115"/>
      <c r="BU1129" s="115"/>
      <c r="BV1129" s="115"/>
      <c r="BW1129" s="25">
        <v>45273</v>
      </c>
      <c r="BX1129" s="15" t="s">
        <v>164</v>
      </c>
      <c r="CA1129" s="114"/>
    </row>
    <row r="1130" spans="40:79" ht="19.5" x14ac:dyDescent="0.4">
      <c r="AN1130" s="115"/>
      <c r="AO1130" s="115"/>
      <c r="AP1130" s="115"/>
      <c r="AQ1130" s="115"/>
      <c r="AR1130" s="115"/>
      <c r="AS1130" s="115"/>
      <c r="AT1130" s="115"/>
      <c r="AU1130" s="115"/>
      <c r="AV1130" s="115"/>
      <c r="AW1130" s="115"/>
      <c r="AX1130" s="115"/>
      <c r="AY1130" s="26"/>
      <c r="AZ1130" s="13"/>
      <c r="BE1130" s="117"/>
      <c r="BF1130" s="123"/>
      <c r="BG1130" s="123"/>
      <c r="BH1130" s="123"/>
      <c r="BI1130" s="115"/>
      <c r="BJ1130" s="115"/>
      <c r="BK1130" s="115"/>
      <c r="BL1130" s="115"/>
      <c r="BM1130" s="115"/>
      <c r="BN1130" s="115"/>
      <c r="BO1130" s="115"/>
      <c r="BP1130" s="115"/>
      <c r="BQ1130" s="115"/>
      <c r="BR1130" s="115"/>
      <c r="BS1130" s="115"/>
      <c r="BT1130" s="115"/>
      <c r="BU1130" s="115"/>
      <c r="BV1130" s="115"/>
      <c r="BW1130" s="25"/>
      <c r="BX1130" s="13"/>
      <c r="CA1130" s="114"/>
    </row>
    <row r="1131" spans="40:79" ht="19.5" x14ac:dyDescent="0.4">
      <c r="AY1131" s="26"/>
      <c r="AZ1131" s="13"/>
      <c r="BE1131" s="117"/>
      <c r="BF1131" s="123"/>
      <c r="BG1131" s="123"/>
      <c r="BH1131" s="123"/>
      <c r="BI1131" s="115"/>
      <c r="BJ1131" s="115"/>
      <c r="BK1131" s="115"/>
      <c r="BL1131" s="115"/>
      <c r="BM1131" s="115"/>
      <c r="BN1131" s="115"/>
      <c r="BO1131" s="115"/>
      <c r="BP1131" s="115"/>
      <c r="BQ1131" s="115"/>
      <c r="BR1131" s="115"/>
      <c r="BS1131" s="115"/>
      <c r="BT1131" s="115"/>
      <c r="BU1131" s="115"/>
      <c r="BV1131" s="115"/>
      <c r="BW1131" s="25">
        <v>45273</v>
      </c>
      <c r="BX1131" s="13" t="s">
        <v>164</v>
      </c>
      <c r="CA1131" s="114"/>
    </row>
    <row r="1132" spans="40:79" ht="19.5" x14ac:dyDescent="0.4">
      <c r="AY1132" s="26"/>
      <c r="AZ1132" s="13"/>
      <c r="BE1132" s="117"/>
      <c r="BF1132" s="123"/>
      <c r="BG1132" s="123"/>
      <c r="BH1132" s="123"/>
      <c r="BI1132" s="115"/>
      <c r="BJ1132" s="115"/>
      <c r="BK1132" s="115"/>
      <c r="BL1132" s="115"/>
      <c r="BM1132" s="115"/>
      <c r="BN1132" s="115"/>
      <c r="BO1132" s="115"/>
      <c r="BP1132" s="115"/>
      <c r="BQ1132" s="115"/>
      <c r="BR1132" s="115"/>
      <c r="BS1132" s="115"/>
      <c r="BT1132" s="115"/>
      <c r="BU1132" s="115"/>
      <c r="BV1132" s="115"/>
      <c r="BW1132" s="25">
        <v>45273</v>
      </c>
      <c r="BX1132" s="15" t="s">
        <v>164</v>
      </c>
      <c r="CA1132" s="114"/>
    </row>
    <row r="1133" spans="40:79" ht="19.5" x14ac:dyDescent="0.4">
      <c r="AY1133" s="26"/>
      <c r="AZ1133" s="13"/>
      <c r="BE1133" s="117"/>
      <c r="BF1133" s="123"/>
      <c r="BG1133" s="123"/>
      <c r="BH1133" s="123"/>
      <c r="BI1133" s="115"/>
      <c r="BJ1133" s="115"/>
      <c r="BK1133" s="115"/>
      <c r="BL1133" s="115"/>
      <c r="BM1133" s="115"/>
      <c r="BN1133" s="115"/>
      <c r="BO1133" s="115"/>
      <c r="BP1133" s="115"/>
      <c r="BQ1133" s="115"/>
      <c r="BR1133" s="115"/>
      <c r="BS1133" s="115"/>
      <c r="BT1133" s="115"/>
      <c r="BU1133" s="115"/>
      <c r="BV1133" s="115"/>
      <c r="BW1133" s="25">
        <v>45273</v>
      </c>
      <c r="BX1133" s="15" t="s">
        <v>162</v>
      </c>
      <c r="CA1133" s="114"/>
    </row>
    <row r="1134" spans="40:79" ht="19.5" x14ac:dyDescent="0.4">
      <c r="AP1134" s="115"/>
      <c r="AQ1134" s="115"/>
      <c r="AR1134" s="115"/>
      <c r="AS1134" s="115"/>
      <c r="AT1134" s="115"/>
      <c r="AU1134" s="115"/>
      <c r="AV1134" s="115"/>
      <c r="AW1134" s="115"/>
      <c r="AX1134" s="115"/>
      <c r="AY1134" s="26"/>
      <c r="AZ1134" s="13"/>
      <c r="BE1134" s="117"/>
      <c r="BF1134" s="123"/>
      <c r="BG1134" s="123"/>
      <c r="BH1134" s="123"/>
      <c r="BI1134" s="115"/>
      <c r="BJ1134" s="115"/>
      <c r="BK1134" s="115"/>
      <c r="BL1134" s="115"/>
      <c r="BM1134" s="115"/>
      <c r="BN1134" s="115"/>
      <c r="BO1134" s="115"/>
      <c r="BP1134" s="115"/>
      <c r="BQ1134" s="115"/>
      <c r="BR1134" s="115"/>
      <c r="BS1134" s="115"/>
      <c r="BT1134" s="115"/>
      <c r="BU1134" s="115"/>
      <c r="BV1134" s="115"/>
      <c r="BW1134" s="25"/>
      <c r="BX1134" s="15"/>
      <c r="CA1134" s="114"/>
    </row>
    <row r="1135" spans="40:79" ht="19.5" x14ac:dyDescent="0.4">
      <c r="AY1135" s="26"/>
      <c r="AZ1135" s="13"/>
      <c r="BE1135" s="117"/>
      <c r="BF1135" s="123"/>
      <c r="BG1135" s="123"/>
      <c r="BH1135" s="123"/>
      <c r="BI1135" s="115"/>
      <c r="BJ1135" s="115"/>
      <c r="BK1135" s="115"/>
      <c r="BL1135" s="115"/>
      <c r="BM1135" s="115"/>
      <c r="BN1135" s="115"/>
      <c r="BO1135" s="115"/>
      <c r="BP1135" s="115"/>
      <c r="BQ1135" s="115"/>
      <c r="BR1135" s="115"/>
      <c r="BS1135" s="115"/>
      <c r="BT1135" s="115"/>
      <c r="BU1135" s="115"/>
      <c r="BV1135" s="115"/>
      <c r="BW1135" s="25">
        <v>45273</v>
      </c>
      <c r="BX1135" s="15" t="s">
        <v>162</v>
      </c>
      <c r="CA1135" s="114"/>
    </row>
    <row r="1136" spans="40:79" ht="19.5" x14ac:dyDescent="0.4">
      <c r="AY1136" s="26"/>
      <c r="AZ1136" s="13"/>
      <c r="BE1136" s="117"/>
      <c r="BF1136" s="123"/>
      <c r="BG1136" s="123"/>
      <c r="BH1136" s="123"/>
      <c r="BI1136" s="115"/>
      <c r="BJ1136" s="115"/>
      <c r="BK1136" s="115"/>
      <c r="BL1136" s="115"/>
      <c r="BM1136" s="115"/>
      <c r="BN1136" s="115"/>
      <c r="BO1136" s="115"/>
      <c r="BP1136" s="115"/>
      <c r="BQ1136" s="115"/>
      <c r="BR1136" s="115"/>
      <c r="BS1136" s="115"/>
      <c r="BT1136" s="115"/>
      <c r="BU1136" s="115"/>
      <c r="BV1136" s="115"/>
      <c r="BW1136" s="25">
        <v>45273</v>
      </c>
      <c r="BX1136" s="15" t="s">
        <v>162</v>
      </c>
      <c r="CA1136" s="114"/>
    </row>
    <row r="1137" spans="40:79" ht="19.5" x14ac:dyDescent="0.4">
      <c r="AY1137" s="26"/>
      <c r="AZ1137" s="13"/>
      <c r="BE1137" s="117"/>
      <c r="BF1137" s="123"/>
      <c r="BG1137" s="123"/>
      <c r="BH1137" s="123"/>
      <c r="BI1137" s="115"/>
      <c r="BJ1137" s="115"/>
      <c r="BK1137" s="115"/>
      <c r="BL1137" s="115"/>
      <c r="BM1137" s="115"/>
      <c r="BN1137" s="115"/>
      <c r="BO1137" s="115"/>
      <c r="BP1137" s="115"/>
      <c r="BQ1137" s="115"/>
      <c r="BR1137" s="115"/>
      <c r="BS1137" s="115"/>
      <c r="BT1137" s="115"/>
      <c r="BU1137" s="115"/>
      <c r="BV1137" s="115"/>
      <c r="BW1137" s="25">
        <v>45273</v>
      </c>
      <c r="BX1137" s="15" t="s">
        <v>162</v>
      </c>
      <c r="CA1137" s="114"/>
    </row>
    <row r="1138" spans="40:79" ht="19.5" x14ac:dyDescent="0.4">
      <c r="AO1138" s="115"/>
      <c r="AP1138" s="115"/>
      <c r="AQ1138" s="115"/>
      <c r="AR1138" s="115"/>
      <c r="AS1138" s="115"/>
      <c r="AT1138" s="115"/>
      <c r="AU1138" s="115"/>
      <c r="AV1138" s="115"/>
      <c r="AW1138" s="115"/>
      <c r="AX1138" s="115"/>
      <c r="AY1138" s="26"/>
      <c r="AZ1138" s="13"/>
      <c r="BE1138" s="117"/>
      <c r="BF1138" s="123"/>
      <c r="BG1138" s="123"/>
      <c r="BH1138" s="123"/>
      <c r="BI1138" s="115"/>
      <c r="BJ1138" s="115"/>
      <c r="BK1138" s="115"/>
      <c r="BL1138" s="115"/>
      <c r="BM1138" s="115"/>
      <c r="BN1138" s="115"/>
      <c r="BO1138" s="115"/>
      <c r="BP1138" s="115"/>
      <c r="BQ1138" s="115"/>
      <c r="BR1138" s="115"/>
      <c r="BS1138" s="115"/>
      <c r="BT1138" s="115"/>
      <c r="BU1138" s="115"/>
      <c r="BV1138" s="115"/>
      <c r="BW1138" s="25"/>
      <c r="BX1138" s="15"/>
      <c r="CA1138" s="114"/>
    </row>
    <row r="1139" spans="40:79" ht="19.5" x14ac:dyDescent="0.4">
      <c r="AY1139" s="26"/>
      <c r="AZ1139" s="13"/>
      <c r="BE1139" s="117"/>
      <c r="BF1139" s="123"/>
      <c r="BG1139" s="123"/>
      <c r="BH1139" s="123"/>
      <c r="BI1139" s="115"/>
      <c r="BJ1139" s="115"/>
      <c r="BK1139" s="115"/>
      <c r="BL1139" s="115"/>
      <c r="BM1139" s="115"/>
      <c r="BN1139" s="115"/>
      <c r="BO1139" s="115"/>
      <c r="BP1139" s="115"/>
      <c r="BQ1139" s="115"/>
      <c r="BR1139" s="115"/>
      <c r="BS1139" s="115"/>
      <c r="BT1139" s="115"/>
      <c r="BU1139" s="115"/>
      <c r="BV1139" s="115"/>
      <c r="BW1139" s="25">
        <v>45273</v>
      </c>
      <c r="BX1139" s="15" t="s">
        <v>162</v>
      </c>
      <c r="CA1139" s="114"/>
    </row>
    <row r="1140" spans="40:79" ht="19.5" x14ac:dyDescent="0.4">
      <c r="AY1140" s="26"/>
      <c r="AZ1140" s="13"/>
      <c r="BE1140" s="117"/>
      <c r="BF1140" s="123"/>
      <c r="BG1140" s="123"/>
      <c r="BH1140" s="123"/>
      <c r="BI1140" s="115"/>
      <c r="BJ1140" s="115"/>
      <c r="BK1140" s="115"/>
      <c r="BL1140" s="115"/>
      <c r="BM1140" s="115"/>
      <c r="BN1140" s="115"/>
      <c r="BO1140" s="115"/>
      <c r="BP1140" s="115"/>
      <c r="BQ1140" s="115"/>
      <c r="BR1140" s="115"/>
      <c r="BS1140" s="115"/>
      <c r="BT1140" s="115"/>
      <c r="BU1140" s="115"/>
      <c r="BV1140" s="115"/>
      <c r="BW1140" s="25">
        <v>45273</v>
      </c>
      <c r="BX1140" s="15" t="s">
        <v>162</v>
      </c>
      <c r="CA1140" s="114"/>
    </row>
    <row r="1141" spans="40:79" ht="19.5" x14ac:dyDescent="0.4">
      <c r="AY1141" s="26"/>
      <c r="AZ1141" s="13"/>
      <c r="BE1141" s="117"/>
      <c r="BF1141" s="123"/>
      <c r="BG1141" s="123"/>
      <c r="BH1141" s="123"/>
      <c r="BI1141" s="115"/>
      <c r="BJ1141" s="115"/>
      <c r="BK1141" s="115"/>
      <c r="BL1141" s="115"/>
      <c r="BM1141" s="124"/>
      <c r="BN1141" s="124"/>
      <c r="BO1141" s="124"/>
      <c r="BP1141" s="124"/>
      <c r="BQ1141" s="124"/>
      <c r="BR1141" s="124"/>
      <c r="BS1141" s="124"/>
      <c r="BT1141" s="124"/>
      <c r="BU1141" s="124"/>
      <c r="BV1141" s="124"/>
      <c r="BW1141" s="25">
        <v>45273</v>
      </c>
      <c r="BX1141" s="15" t="s">
        <v>162</v>
      </c>
      <c r="CA1141" s="114"/>
    </row>
    <row r="1142" spans="40:79" ht="19.5" x14ac:dyDescent="0.4">
      <c r="AY1142" s="26"/>
      <c r="AZ1142" s="13"/>
      <c r="BE1142" s="117"/>
      <c r="BF1142" s="123"/>
      <c r="BG1142" s="123"/>
      <c r="BH1142" s="123"/>
      <c r="BI1142" s="115"/>
      <c r="BJ1142" s="115"/>
      <c r="BK1142" s="115"/>
      <c r="BL1142" s="115"/>
      <c r="BM1142" s="124"/>
      <c r="BN1142" s="124"/>
      <c r="BO1142" s="124"/>
      <c r="BP1142" s="124"/>
      <c r="BQ1142" s="124"/>
      <c r="BR1142" s="124"/>
      <c r="BS1142" s="124"/>
      <c r="BT1142" s="124"/>
      <c r="BU1142" s="124"/>
      <c r="BV1142" s="124"/>
      <c r="BW1142" s="25">
        <v>45273</v>
      </c>
      <c r="BX1142" s="15" t="s">
        <v>162</v>
      </c>
      <c r="CA1142" s="114"/>
    </row>
    <row r="1143" spans="40:79" ht="19.5" x14ac:dyDescent="0.4">
      <c r="AQ1143" s="115"/>
      <c r="AR1143" s="115"/>
      <c r="AS1143" s="115"/>
      <c r="AT1143" s="115"/>
      <c r="AU1143" s="115"/>
      <c r="AV1143" s="115"/>
      <c r="AW1143" s="115"/>
      <c r="AX1143" s="115"/>
      <c r="AY1143" s="17"/>
      <c r="AZ1143" s="13"/>
      <c r="BE1143" s="117"/>
      <c r="BF1143" s="123"/>
      <c r="BG1143" s="123"/>
      <c r="BH1143" s="123"/>
      <c r="BI1143" s="115"/>
      <c r="BJ1143" s="115"/>
      <c r="BK1143" s="115"/>
      <c r="BL1143" s="115"/>
      <c r="BM1143" s="124"/>
      <c r="BN1143" s="124"/>
      <c r="BO1143" s="124"/>
      <c r="BP1143" s="124"/>
      <c r="BQ1143" s="124"/>
      <c r="BR1143" s="124"/>
      <c r="BS1143" s="124"/>
      <c r="BT1143" s="124"/>
      <c r="BU1143" s="124"/>
      <c r="BV1143" s="124"/>
      <c r="BW1143" s="25"/>
      <c r="BX1143" s="15"/>
      <c r="CA1143" s="114"/>
    </row>
    <row r="1144" spans="40:79" ht="19.5" x14ac:dyDescent="0.4">
      <c r="AY1144" s="26"/>
      <c r="AZ1144" s="13"/>
      <c r="BE1144" s="117"/>
      <c r="BF1144" s="123"/>
      <c r="BG1144" s="123"/>
      <c r="BH1144" s="123"/>
      <c r="BI1144" s="115"/>
      <c r="BJ1144" s="115"/>
      <c r="BK1144" s="115"/>
      <c r="BL1144" s="115"/>
      <c r="BM1144" s="124"/>
      <c r="BN1144" s="124"/>
      <c r="BO1144" s="124"/>
      <c r="BP1144" s="124"/>
      <c r="BQ1144" s="124"/>
      <c r="BR1144" s="124"/>
      <c r="BS1144" s="124"/>
      <c r="BT1144" s="124"/>
      <c r="BU1144" s="124"/>
      <c r="BV1144" s="124"/>
      <c r="BW1144" s="25">
        <v>45273</v>
      </c>
      <c r="BX1144" s="15" t="s">
        <v>162</v>
      </c>
      <c r="CA1144" s="114"/>
    </row>
    <row r="1145" spans="40:79" ht="19.5" x14ac:dyDescent="0.4">
      <c r="AQ1145" s="115"/>
      <c r="AR1145" s="115"/>
      <c r="AS1145" s="115"/>
      <c r="AT1145" s="115"/>
      <c r="AU1145" s="115"/>
      <c r="AV1145" s="115"/>
      <c r="AW1145" s="115"/>
      <c r="AX1145" s="115"/>
      <c r="AY1145" s="17"/>
      <c r="AZ1145" s="13"/>
      <c r="BE1145" s="117"/>
      <c r="BF1145" s="123"/>
      <c r="BG1145" s="123"/>
      <c r="BH1145" s="123"/>
      <c r="BI1145" s="115"/>
      <c r="BJ1145" s="115"/>
      <c r="BK1145" s="115"/>
      <c r="BL1145" s="115"/>
      <c r="BM1145" s="124"/>
      <c r="BN1145" s="124"/>
      <c r="BO1145" s="124"/>
      <c r="BP1145" s="124"/>
      <c r="BQ1145" s="124"/>
      <c r="BR1145" s="124"/>
      <c r="BS1145" s="124"/>
      <c r="BT1145" s="124"/>
      <c r="BU1145" s="124"/>
      <c r="BV1145" s="124"/>
      <c r="BW1145" s="25"/>
      <c r="BX1145" s="15"/>
      <c r="CA1145" s="114"/>
    </row>
    <row r="1146" spans="40:79" ht="19.5" x14ac:dyDescent="0.4">
      <c r="AY1146" s="26"/>
      <c r="AZ1146" s="13"/>
      <c r="BE1146" s="117"/>
      <c r="BF1146" s="123"/>
      <c r="BG1146" s="123"/>
      <c r="BH1146" s="123"/>
      <c r="BI1146" s="115"/>
      <c r="BJ1146" s="115"/>
      <c r="BK1146" s="115"/>
      <c r="BL1146" s="115"/>
      <c r="BM1146" s="124"/>
      <c r="BN1146" s="124"/>
      <c r="BO1146" s="124"/>
      <c r="BP1146" s="124"/>
      <c r="BQ1146" s="124"/>
      <c r="BR1146" s="124"/>
      <c r="BS1146" s="124"/>
      <c r="BT1146" s="124"/>
      <c r="BU1146" s="124"/>
      <c r="BV1146" s="124"/>
      <c r="BW1146" s="25">
        <v>45273</v>
      </c>
      <c r="BX1146" s="15" t="s">
        <v>162</v>
      </c>
      <c r="CA1146" s="114"/>
    </row>
    <row r="1147" spans="40:79" ht="19.5" x14ac:dyDescent="0.4">
      <c r="AY1147" s="26"/>
      <c r="AZ1147" s="13"/>
      <c r="BE1147" s="117"/>
      <c r="BF1147" s="123"/>
      <c r="BG1147" s="123"/>
      <c r="BH1147" s="123"/>
      <c r="BI1147" s="115"/>
      <c r="BJ1147" s="115"/>
      <c r="BK1147" s="115"/>
      <c r="BL1147" s="115"/>
      <c r="BM1147" s="115"/>
      <c r="BN1147" s="115"/>
      <c r="BO1147" s="115"/>
      <c r="BP1147" s="115"/>
      <c r="BQ1147" s="115"/>
      <c r="BR1147" s="115"/>
      <c r="BS1147" s="115"/>
      <c r="BT1147" s="115"/>
      <c r="BU1147" s="115"/>
      <c r="BV1147" s="115"/>
      <c r="BW1147" s="25">
        <v>45273</v>
      </c>
      <c r="BX1147" s="13" t="s">
        <v>162</v>
      </c>
      <c r="CA1147" s="114"/>
    </row>
    <row r="1148" spans="40:79" ht="19.5" x14ac:dyDescent="0.4">
      <c r="AY1148" s="26"/>
      <c r="AZ1148" s="13"/>
      <c r="BE1148" s="117"/>
      <c r="BF1148" s="123"/>
      <c r="BG1148" s="123"/>
      <c r="BH1148" s="123"/>
      <c r="BI1148" s="115"/>
      <c r="BJ1148" s="115"/>
      <c r="BK1148" s="115"/>
      <c r="BL1148" s="115"/>
      <c r="BM1148" s="115"/>
      <c r="BN1148" s="115"/>
      <c r="BO1148" s="115"/>
      <c r="BP1148" s="115"/>
      <c r="BQ1148" s="115"/>
      <c r="BR1148" s="115"/>
      <c r="BS1148" s="115"/>
      <c r="BT1148" s="115"/>
      <c r="BU1148" s="115"/>
      <c r="BV1148" s="115"/>
      <c r="BW1148" s="25">
        <v>45273</v>
      </c>
      <c r="BX1148" s="15" t="s">
        <v>162</v>
      </c>
      <c r="CA1148" s="114"/>
    </row>
    <row r="1149" spans="40:79" ht="19.5" x14ac:dyDescent="0.4">
      <c r="AY1149" s="26"/>
      <c r="AZ1149" s="13"/>
      <c r="BE1149" s="117"/>
      <c r="BF1149" s="123"/>
      <c r="BG1149" s="123"/>
      <c r="BH1149" s="123"/>
      <c r="BI1149" s="115"/>
      <c r="BJ1149" s="115"/>
      <c r="BK1149" s="115"/>
      <c r="BL1149" s="115"/>
      <c r="BM1149" s="115"/>
      <c r="BN1149" s="115"/>
      <c r="BO1149" s="115"/>
      <c r="BP1149" s="115"/>
      <c r="BQ1149" s="115"/>
      <c r="BR1149" s="115"/>
      <c r="BS1149" s="115"/>
      <c r="BT1149" s="115"/>
      <c r="BU1149" s="115"/>
      <c r="BV1149" s="115"/>
      <c r="BW1149" s="25">
        <v>45273</v>
      </c>
      <c r="BX1149" s="15" t="s">
        <v>162</v>
      </c>
      <c r="CA1149" s="114"/>
    </row>
    <row r="1150" spans="40:79" ht="19.5" x14ac:dyDescent="0.4">
      <c r="AN1150" s="115"/>
      <c r="AO1150" s="115"/>
      <c r="AP1150" s="115"/>
      <c r="AQ1150" s="115"/>
      <c r="AR1150" s="115"/>
      <c r="AS1150" s="115"/>
      <c r="AT1150" s="115"/>
      <c r="AU1150" s="115"/>
      <c r="AV1150" s="115"/>
      <c r="AW1150" s="115"/>
      <c r="AX1150" s="115"/>
      <c r="AY1150" s="26"/>
      <c r="AZ1150" s="25"/>
      <c r="BE1150" s="117"/>
      <c r="BF1150" s="123"/>
      <c r="BG1150" s="123"/>
      <c r="BH1150" s="123"/>
      <c r="BI1150" s="115"/>
      <c r="BJ1150" s="115"/>
      <c r="BK1150" s="115"/>
      <c r="BL1150" s="115"/>
      <c r="BM1150" s="115"/>
      <c r="BN1150" s="115"/>
      <c r="BO1150" s="115"/>
      <c r="BP1150" s="115"/>
      <c r="BQ1150" s="115"/>
      <c r="BR1150" s="115"/>
      <c r="BS1150" s="115"/>
      <c r="BT1150" s="115"/>
      <c r="BU1150" s="115"/>
      <c r="BV1150" s="115"/>
      <c r="BW1150" s="25"/>
      <c r="BX1150" s="15"/>
      <c r="CA1150" s="114"/>
    </row>
    <row r="1151" spans="40:79" ht="19.5" x14ac:dyDescent="0.4">
      <c r="AY1151" s="26"/>
      <c r="AZ1151" s="25"/>
      <c r="BE1151" s="117"/>
      <c r="BF1151" s="123"/>
      <c r="BG1151" s="123"/>
      <c r="BH1151" s="123"/>
      <c r="BI1151" s="115"/>
      <c r="BJ1151" s="115"/>
      <c r="BK1151" s="115"/>
      <c r="BL1151" s="115"/>
      <c r="BM1151" s="115"/>
      <c r="BN1151" s="115"/>
      <c r="BO1151" s="115"/>
      <c r="BP1151" s="115"/>
      <c r="BQ1151" s="115"/>
      <c r="BR1151" s="115"/>
      <c r="BS1151" s="115"/>
      <c r="BT1151" s="115"/>
      <c r="BU1151" s="115"/>
      <c r="BV1151" s="115"/>
      <c r="BW1151" s="25">
        <v>45273</v>
      </c>
      <c r="BX1151" s="15" t="s">
        <v>162</v>
      </c>
      <c r="CA1151" s="114"/>
    </row>
    <row r="1152" spans="40:79" ht="19.5" x14ac:dyDescent="0.4">
      <c r="AY1152" s="26"/>
      <c r="AZ1152" s="13"/>
      <c r="BE1152" s="117"/>
      <c r="BF1152" s="123"/>
      <c r="BG1152" s="123"/>
      <c r="BH1152" s="123"/>
      <c r="BI1152" s="115"/>
      <c r="BJ1152" s="115"/>
      <c r="BK1152" s="115"/>
      <c r="BL1152" s="115"/>
      <c r="BM1152" s="115"/>
      <c r="BN1152" s="115"/>
      <c r="BO1152" s="115"/>
      <c r="BP1152" s="115"/>
      <c r="BQ1152" s="115"/>
      <c r="BR1152" s="115"/>
      <c r="BS1152" s="115"/>
      <c r="BT1152" s="115"/>
      <c r="BU1152" s="115"/>
      <c r="BV1152" s="115"/>
      <c r="BW1152" s="25">
        <v>45273</v>
      </c>
      <c r="BX1152" s="15" t="s">
        <v>162</v>
      </c>
      <c r="CA1152" s="114"/>
    </row>
    <row r="1153" spans="6:79" ht="19.5" x14ac:dyDescent="0.4">
      <c r="F1153" s="115"/>
      <c r="G1153" s="115"/>
      <c r="H1153" s="115"/>
      <c r="I1153" s="115"/>
      <c r="J1153" s="115"/>
      <c r="K1153" s="115"/>
      <c r="L1153" s="115"/>
      <c r="M1153" s="115"/>
      <c r="N1153" s="115"/>
      <c r="O1153" s="115"/>
      <c r="P1153" s="115"/>
      <c r="Q1153" s="115"/>
      <c r="R1153" s="115"/>
      <c r="S1153" s="115"/>
      <c r="T1153" s="115"/>
      <c r="U1153" s="115"/>
      <c r="V1153" s="115"/>
      <c r="W1153" s="115"/>
      <c r="X1153" s="115"/>
      <c r="Y1153" s="115"/>
      <c r="Z1153" s="115"/>
      <c r="AA1153" s="115"/>
      <c r="AB1153" s="115"/>
      <c r="AC1153" s="115"/>
      <c r="AD1153" s="115"/>
      <c r="AE1153" s="115"/>
      <c r="AF1153" s="115"/>
      <c r="AG1153" s="115"/>
      <c r="AH1153" s="115"/>
      <c r="AI1153" s="115"/>
      <c r="AJ1153" s="115"/>
      <c r="AK1153" s="115"/>
      <c r="AL1153" s="115"/>
      <c r="AM1153" s="115"/>
      <c r="AN1153" s="115"/>
      <c r="AO1153" s="115"/>
      <c r="AP1153" s="115"/>
      <c r="AQ1153" s="115"/>
      <c r="AR1153" s="115"/>
      <c r="AS1153" s="115"/>
      <c r="AT1153" s="115"/>
      <c r="AU1153" s="115"/>
      <c r="AV1153" s="115"/>
      <c r="AW1153" s="115"/>
      <c r="AX1153" s="115"/>
      <c r="AY1153" s="26"/>
      <c r="AZ1153" s="13"/>
      <c r="BE1153" s="117"/>
      <c r="BF1153" s="123"/>
      <c r="BG1153" s="123"/>
      <c r="BH1153" s="123"/>
      <c r="BI1153" s="115"/>
      <c r="BJ1153" s="115"/>
      <c r="BK1153" s="115"/>
      <c r="BL1153" s="115"/>
      <c r="BM1153" s="115"/>
      <c r="BN1153" s="115"/>
      <c r="BO1153" s="115"/>
      <c r="BP1153" s="115"/>
      <c r="BQ1153" s="115"/>
      <c r="BR1153" s="115"/>
      <c r="BS1153" s="115"/>
      <c r="BT1153" s="115"/>
      <c r="BU1153" s="115"/>
      <c r="BV1153" s="115"/>
      <c r="BW1153" s="25"/>
      <c r="BX1153" s="15"/>
      <c r="CA1153" s="114"/>
    </row>
    <row r="1154" spans="6:79" ht="19.5" x14ac:dyDescent="0.4">
      <c r="F1154" s="115"/>
      <c r="G1154" s="115"/>
      <c r="H1154" s="115"/>
      <c r="I1154" s="115"/>
      <c r="J1154" s="115"/>
      <c r="K1154" s="115"/>
      <c r="L1154" s="115"/>
      <c r="M1154" s="115"/>
      <c r="N1154" s="115"/>
      <c r="O1154" s="115"/>
      <c r="P1154" s="115"/>
      <c r="Q1154" s="115"/>
      <c r="R1154" s="115"/>
      <c r="S1154" s="115"/>
      <c r="T1154" s="115"/>
      <c r="U1154" s="115"/>
      <c r="V1154" s="115"/>
      <c r="W1154" s="115"/>
      <c r="X1154" s="115"/>
      <c r="Y1154" s="115"/>
      <c r="Z1154" s="115"/>
      <c r="AA1154" s="115"/>
      <c r="AB1154" s="115"/>
      <c r="AC1154" s="115"/>
      <c r="AD1154" s="115"/>
      <c r="AE1154" s="115"/>
      <c r="AF1154" s="115"/>
      <c r="AG1154" s="115"/>
      <c r="AH1154" s="115"/>
      <c r="AI1154" s="115"/>
      <c r="AJ1154" s="115"/>
      <c r="AK1154" s="115"/>
      <c r="AL1154" s="115"/>
      <c r="AM1154" s="115"/>
      <c r="AN1154" s="115"/>
      <c r="AO1154" s="115"/>
      <c r="AP1154" s="115"/>
      <c r="AQ1154" s="115"/>
      <c r="AR1154" s="115"/>
      <c r="AS1154" s="115"/>
      <c r="AT1154" s="115"/>
      <c r="AU1154" s="115"/>
      <c r="AV1154" s="115"/>
      <c r="AW1154" s="115"/>
      <c r="AX1154" s="115"/>
      <c r="AY1154" s="26"/>
      <c r="AZ1154" s="13"/>
      <c r="BE1154" s="117"/>
      <c r="BF1154" s="123"/>
      <c r="BG1154" s="123"/>
      <c r="BH1154" s="123"/>
      <c r="BI1154" s="115"/>
      <c r="BJ1154" s="115"/>
      <c r="BK1154" s="115"/>
      <c r="BL1154" s="115"/>
      <c r="BM1154" s="115"/>
      <c r="BN1154" s="115"/>
      <c r="BO1154" s="115"/>
      <c r="BP1154" s="115"/>
      <c r="BQ1154" s="115"/>
      <c r="BR1154" s="115"/>
      <c r="BS1154" s="115"/>
      <c r="BT1154" s="115"/>
      <c r="BU1154" s="115"/>
      <c r="BV1154" s="115"/>
      <c r="BW1154" s="25"/>
      <c r="BX1154" s="15"/>
      <c r="CA1154" s="114"/>
    </row>
    <row r="1155" spans="6:79" ht="19.5" x14ac:dyDescent="0.4">
      <c r="AY1155" s="26"/>
      <c r="AZ1155" s="13"/>
      <c r="BE1155" s="117"/>
      <c r="BF1155" s="123"/>
      <c r="BG1155" s="123"/>
      <c r="BH1155" s="123"/>
      <c r="BI1155" s="115"/>
      <c r="BJ1155" s="115"/>
      <c r="BK1155" s="115"/>
      <c r="BL1155" s="115"/>
      <c r="BM1155" s="115"/>
      <c r="BN1155" s="115"/>
      <c r="BO1155" s="115"/>
      <c r="BP1155" s="115"/>
      <c r="BQ1155" s="115"/>
      <c r="BR1155" s="115"/>
      <c r="BS1155" s="115"/>
      <c r="BT1155" s="115"/>
      <c r="BU1155" s="115"/>
      <c r="BV1155" s="115"/>
      <c r="BW1155" s="25">
        <v>45273</v>
      </c>
      <c r="BX1155" s="15" t="s">
        <v>162</v>
      </c>
      <c r="CA1155" s="114"/>
    </row>
    <row r="1156" spans="6:79" ht="19.5" x14ac:dyDescent="0.4">
      <c r="AY1156" s="26"/>
      <c r="AZ1156" s="13"/>
      <c r="BE1156" s="117"/>
      <c r="BF1156" s="123"/>
      <c r="BG1156" s="123"/>
      <c r="BH1156" s="123"/>
      <c r="BI1156" s="115"/>
      <c r="BJ1156" s="115"/>
      <c r="BK1156" s="115"/>
      <c r="BL1156" s="115"/>
      <c r="BM1156" s="115"/>
      <c r="BN1156" s="115"/>
      <c r="BO1156" s="115"/>
      <c r="BP1156" s="115"/>
      <c r="BQ1156" s="115"/>
      <c r="BR1156" s="115"/>
      <c r="BS1156" s="115"/>
      <c r="BT1156" s="115"/>
      <c r="BU1156" s="115"/>
      <c r="BV1156" s="115"/>
      <c r="BW1156" s="25">
        <v>45273</v>
      </c>
      <c r="BX1156" s="15" t="s">
        <v>162</v>
      </c>
      <c r="CA1156" s="114"/>
    </row>
    <row r="1157" spans="6:79" ht="19.5" x14ac:dyDescent="0.4">
      <c r="AY1157" s="26"/>
      <c r="AZ1157" s="13"/>
      <c r="BE1157" s="117"/>
      <c r="BF1157" s="123"/>
      <c r="BG1157" s="123"/>
      <c r="BH1157" s="123"/>
      <c r="BI1157" s="115"/>
      <c r="BJ1157" s="115"/>
      <c r="BK1157" s="115"/>
      <c r="BL1157" s="115"/>
      <c r="BM1157" s="115"/>
      <c r="BN1157" s="115"/>
      <c r="BO1157" s="115"/>
      <c r="BP1157" s="115"/>
      <c r="BQ1157" s="115"/>
      <c r="BR1157" s="115"/>
      <c r="BS1157" s="115"/>
      <c r="BT1157" s="115"/>
      <c r="BU1157" s="115"/>
      <c r="BV1157" s="115"/>
      <c r="BW1157" s="25">
        <v>45273</v>
      </c>
      <c r="BX1157" s="13" t="s">
        <v>163</v>
      </c>
      <c r="CA1157" s="114"/>
    </row>
    <row r="1158" spans="6:79" ht="19.5" x14ac:dyDescent="0.4">
      <c r="AY1158" s="26"/>
      <c r="AZ1158" s="13"/>
      <c r="BE1158" s="117"/>
      <c r="BF1158" s="123"/>
      <c r="BG1158" s="123"/>
      <c r="BH1158" s="123"/>
      <c r="BI1158" s="115"/>
      <c r="BJ1158" s="115"/>
      <c r="BK1158" s="115"/>
      <c r="BL1158" s="115"/>
      <c r="BM1158" s="115"/>
      <c r="BN1158" s="115"/>
      <c r="BO1158" s="115"/>
      <c r="BP1158" s="115"/>
      <c r="BQ1158" s="115"/>
      <c r="BR1158" s="115"/>
      <c r="BS1158" s="115"/>
      <c r="BT1158" s="115"/>
      <c r="BU1158" s="115"/>
      <c r="BV1158" s="115"/>
      <c r="BW1158" s="25"/>
      <c r="BX1158" s="13"/>
      <c r="CA1158" s="114"/>
    </row>
    <row r="1159" spans="6:79" ht="19.5" x14ac:dyDescent="0.4">
      <c r="AY1159" s="26"/>
      <c r="AZ1159" s="13"/>
      <c r="BE1159" s="117"/>
      <c r="BF1159" s="123"/>
      <c r="BG1159" s="123"/>
      <c r="BH1159" s="123"/>
      <c r="BI1159" s="115"/>
      <c r="BJ1159" s="115"/>
      <c r="BK1159" s="115"/>
      <c r="BL1159" s="115"/>
      <c r="BM1159" s="115"/>
      <c r="BN1159" s="115"/>
      <c r="BO1159" s="115"/>
      <c r="BP1159" s="115"/>
      <c r="BQ1159" s="115"/>
      <c r="BR1159" s="115"/>
      <c r="BS1159" s="115"/>
      <c r="BT1159" s="115"/>
      <c r="BU1159" s="115"/>
      <c r="BV1159" s="115" t="s">
        <v>152</v>
      </c>
      <c r="BW1159" s="13">
        <f>SUBTOTAL(3,BW1128:BW1157)</f>
        <v>22</v>
      </c>
      <c r="BX1159" s="13">
        <f>SUBTOTAL(3,BX1128:BX1157)</f>
        <v>22</v>
      </c>
      <c r="CA1159" s="114"/>
    </row>
    <row r="1160" spans="6:79" ht="19.5" x14ac:dyDescent="0.4">
      <c r="AY1160" s="26"/>
      <c r="AZ1160" s="13"/>
      <c r="BE1160" s="117"/>
      <c r="BF1160" s="123"/>
      <c r="BG1160" s="123"/>
      <c r="BH1160" s="123"/>
      <c r="BI1160" s="115"/>
      <c r="BJ1160" s="115"/>
      <c r="BK1160" s="115"/>
      <c r="BL1160" s="115"/>
      <c r="BM1160" s="115"/>
      <c r="BN1160" s="115"/>
      <c r="BO1160" s="115"/>
      <c r="BP1160" s="115"/>
      <c r="BQ1160" s="115"/>
      <c r="BR1160" s="115"/>
      <c r="BS1160" s="115"/>
      <c r="BT1160" s="115"/>
      <c r="BU1160" s="115"/>
      <c r="BV1160" s="115"/>
      <c r="BW1160" s="25">
        <v>45274</v>
      </c>
      <c r="BX1160" s="15" t="s">
        <v>162</v>
      </c>
      <c r="CA1160" s="114"/>
    </row>
    <row r="1161" spans="6:79" ht="19.5" x14ac:dyDescent="0.4">
      <c r="AO1161" s="115"/>
      <c r="AP1161" s="115"/>
      <c r="AQ1161" s="115"/>
      <c r="AR1161" s="115"/>
      <c r="AS1161" s="115"/>
      <c r="AT1161" s="115"/>
      <c r="AU1161" s="115"/>
      <c r="AV1161" s="115"/>
      <c r="AW1161" s="115"/>
      <c r="AX1161" s="115"/>
      <c r="AY1161" s="26"/>
      <c r="AZ1161" s="13"/>
      <c r="BE1161" s="117"/>
      <c r="BF1161" s="123"/>
      <c r="BG1161" s="123"/>
      <c r="BH1161" s="123"/>
      <c r="BI1161" s="115"/>
      <c r="BJ1161" s="115"/>
      <c r="BK1161" s="115"/>
      <c r="BL1161" s="115"/>
      <c r="BM1161" s="115"/>
      <c r="BN1161" s="115"/>
      <c r="BO1161" s="115"/>
      <c r="BP1161" s="115"/>
      <c r="BQ1161" s="115"/>
      <c r="BR1161" s="115"/>
      <c r="BS1161" s="115"/>
      <c r="BT1161" s="115"/>
      <c r="BU1161" s="115"/>
      <c r="BV1161" s="115"/>
      <c r="BW1161" s="25"/>
      <c r="BX1161" s="15"/>
      <c r="CA1161" s="114"/>
    </row>
    <row r="1162" spans="6:79" ht="19.5" x14ac:dyDescent="0.4">
      <c r="AO1162" s="115"/>
      <c r="AP1162" s="115"/>
      <c r="AQ1162" s="115"/>
      <c r="AR1162" s="115"/>
      <c r="AS1162" s="115"/>
      <c r="AT1162" s="115"/>
      <c r="AU1162" s="115"/>
      <c r="AV1162" s="115"/>
      <c r="AW1162" s="115"/>
      <c r="AX1162" s="115"/>
      <c r="AY1162" s="26"/>
      <c r="AZ1162" s="13"/>
      <c r="BE1162" s="117"/>
      <c r="BF1162" s="123"/>
      <c r="BG1162" s="123"/>
      <c r="BH1162" s="123"/>
      <c r="BI1162" s="115"/>
      <c r="BJ1162" s="115"/>
      <c r="BK1162" s="115"/>
      <c r="BL1162" s="115"/>
      <c r="BM1162" s="115"/>
      <c r="BN1162" s="115"/>
      <c r="BO1162" s="115"/>
      <c r="BP1162" s="115"/>
      <c r="BQ1162" s="115"/>
      <c r="BR1162" s="115"/>
      <c r="BS1162" s="115"/>
      <c r="BT1162" s="115"/>
      <c r="BU1162" s="115"/>
      <c r="BV1162" s="115"/>
      <c r="BW1162" s="25"/>
      <c r="BX1162" s="15"/>
      <c r="CA1162" s="114"/>
    </row>
    <row r="1163" spans="6:79" ht="19.5" x14ac:dyDescent="0.4">
      <c r="AY1163" s="26"/>
      <c r="AZ1163" s="13"/>
      <c r="BE1163" s="117"/>
      <c r="BF1163" s="123"/>
      <c r="BG1163" s="123"/>
      <c r="BH1163" s="123"/>
      <c r="BI1163" s="115"/>
      <c r="BJ1163" s="115"/>
      <c r="BK1163" s="115"/>
      <c r="BL1163" s="115"/>
      <c r="BM1163" s="115"/>
      <c r="BN1163" s="115"/>
      <c r="BO1163" s="115"/>
      <c r="BP1163" s="115"/>
      <c r="BQ1163" s="115"/>
      <c r="BR1163" s="115"/>
      <c r="BS1163" s="115"/>
      <c r="BT1163" s="115"/>
      <c r="BU1163" s="115"/>
      <c r="BV1163" s="115"/>
      <c r="BW1163" s="25">
        <v>45274</v>
      </c>
      <c r="BX1163" s="15" t="s">
        <v>162</v>
      </c>
      <c r="CA1163" s="114"/>
    </row>
    <row r="1164" spans="6:79" ht="19.5" x14ac:dyDescent="0.4">
      <c r="AP1164" s="115"/>
      <c r="AQ1164" s="115"/>
      <c r="AR1164" s="115"/>
      <c r="AS1164" s="115"/>
      <c r="AT1164" s="115"/>
      <c r="AU1164" s="115"/>
      <c r="AV1164" s="115"/>
      <c r="AW1164" s="115"/>
      <c r="AX1164" s="115"/>
      <c r="AY1164" s="26"/>
      <c r="AZ1164" s="13"/>
      <c r="BE1164" s="117"/>
      <c r="BF1164" s="123"/>
      <c r="BG1164" s="123"/>
      <c r="BH1164" s="123"/>
      <c r="BI1164" s="115"/>
      <c r="BJ1164" s="115"/>
      <c r="BK1164" s="115"/>
      <c r="BL1164" s="115"/>
      <c r="BM1164" s="115"/>
      <c r="BN1164" s="115"/>
      <c r="BO1164" s="115"/>
      <c r="BP1164" s="115"/>
      <c r="BQ1164" s="115"/>
      <c r="BR1164" s="115"/>
      <c r="BS1164" s="115"/>
      <c r="BT1164" s="115"/>
      <c r="BU1164" s="115"/>
      <c r="BV1164" s="115"/>
      <c r="BW1164" s="25"/>
      <c r="BX1164" s="15"/>
      <c r="CA1164" s="114"/>
    </row>
    <row r="1165" spans="6:79" ht="19.5" x14ac:dyDescent="0.4">
      <c r="AO1165" s="115"/>
      <c r="AP1165" s="115"/>
      <c r="AQ1165" s="115"/>
      <c r="AR1165" s="115"/>
      <c r="AS1165" s="115"/>
      <c r="AT1165" s="115"/>
      <c r="AU1165" s="115"/>
      <c r="AV1165" s="115"/>
      <c r="AW1165" s="115"/>
      <c r="AX1165" s="115"/>
      <c r="AY1165" s="26"/>
      <c r="AZ1165" s="13"/>
      <c r="BE1165" s="117"/>
      <c r="BF1165" s="123"/>
      <c r="BG1165" s="123"/>
      <c r="BH1165" s="123"/>
      <c r="BI1165" s="115"/>
      <c r="BJ1165" s="115"/>
      <c r="BK1165" s="115"/>
      <c r="BL1165" s="115"/>
      <c r="BM1165" s="115"/>
      <c r="BN1165" s="115"/>
      <c r="BO1165" s="115"/>
      <c r="BP1165" s="115"/>
      <c r="BQ1165" s="115"/>
      <c r="BR1165" s="115"/>
      <c r="BS1165" s="115"/>
      <c r="BT1165" s="115"/>
      <c r="BU1165" s="115"/>
      <c r="BV1165" s="115"/>
      <c r="BW1165" s="25"/>
      <c r="BX1165" s="15"/>
      <c r="CA1165" s="114"/>
    </row>
    <row r="1166" spans="6:79" ht="19.5" x14ac:dyDescent="0.4">
      <c r="F1166" s="115"/>
      <c r="G1166" s="115"/>
      <c r="H1166" s="115"/>
      <c r="I1166" s="115"/>
      <c r="J1166" s="115"/>
      <c r="K1166" s="115"/>
      <c r="L1166" s="115"/>
      <c r="M1166" s="115"/>
      <c r="N1166" s="115"/>
      <c r="O1166" s="115"/>
      <c r="P1166" s="115"/>
      <c r="Q1166" s="115"/>
      <c r="R1166" s="115"/>
      <c r="S1166" s="115"/>
      <c r="T1166" s="115"/>
      <c r="U1166" s="115"/>
      <c r="V1166" s="115"/>
      <c r="W1166" s="115"/>
      <c r="X1166" s="115"/>
      <c r="Y1166" s="115"/>
      <c r="Z1166" s="115"/>
      <c r="AA1166" s="115"/>
      <c r="AB1166" s="115"/>
      <c r="AC1166" s="115"/>
      <c r="AD1166" s="115"/>
      <c r="AE1166" s="115"/>
      <c r="AF1166" s="115"/>
      <c r="AG1166" s="115"/>
      <c r="AH1166" s="115"/>
      <c r="AI1166" s="115"/>
      <c r="AJ1166" s="115"/>
      <c r="AK1166" s="115"/>
      <c r="AL1166" s="115"/>
      <c r="AM1166" s="115"/>
      <c r="AN1166" s="115"/>
      <c r="AO1166" s="115"/>
      <c r="AP1166" s="115"/>
      <c r="AQ1166" s="115"/>
      <c r="AR1166" s="115"/>
      <c r="AS1166" s="115"/>
      <c r="AT1166" s="115"/>
      <c r="AU1166" s="115"/>
      <c r="AV1166" s="115"/>
      <c r="AW1166" s="115"/>
      <c r="AX1166" s="115"/>
      <c r="AY1166" s="26"/>
      <c r="AZ1166" s="13"/>
      <c r="BE1166" s="117"/>
      <c r="BF1166" s="123"/>
      <c r="BG1166" s="123"/>
      <c r="BH1166" s="123"/>
      <c r="BI1166" s="115"/>
      <c r="BJ1166" s="115"/>
      <c r="BK1166" s="115"/>
      <c r="BL1166" s="115"/>
      <c r="BM1166" s="115"/>
      <c r="BN1166" s="115"/>
      <c r="BO1166" s="115"/>
      <c r="BP1166" s="115"/>
      <c r="BQ1166" s="115"/>
      <c r="BR1166" s="115"/>
      <c r="BS1166" s="115"/>
      <c r="BT1166" s="115"/>
      <c r="BU1166" s="115"/>
      <c r="BV1166" s="115"/>
      <c r="BW1166" s="25"/>
      <c r="BX1166" s="15"/>
      <c r="CA1166" s="114"/>
    </row>
    <row r="1167" spans="6:79" ht="19.5" x14ac:dyDescent="0.4">
      <c r="AY1167" s="26"/>
      <c r="AZ1167" s="13"/>
      <c r="BE1167" s="117"/>
      <c r="BF1167" s="123"/>
      <c r="BG1167" s="123"/>
      <c r="BH1167" s="123"/>
      <c r="BI1167" s="115"/>
      <c r="BJ1167" s="115"/>
      <c r="BK1167" s="115"/>
      <c r="BL1167" s="115"/>
      <c r="BM1167" s="115"/>
      <c r="BN1167" s="115"/>
      <c r="BO1167" s="115"/>
      <c r="BP1167" s="115"/>
      <c r="BQ1167" s="115"/>
      <c r="BR1167" s="115"/>
      <c r="BS1167" s="115"/>
      <c r="BT1167" s="115"/>
      <c r="BU1167" s="115"/>
      <c r="BV1167" s="115"/>
      <c r="BW1167" s="25">
        <v>45274</v>
      </c>
      <c r="BX1167" s="15" t="s">
        <v>162</v>
      </c>
      <c r="CA1167" s="114"/>
    </row>
    <row r="1168" spans="6:79" ht="19.5" x14ac:dyDescent="0.4">
      <c r="AN1168" s="115"/>
      <c r="AO1168" s="115"/>
      <c r="AP1168" s="115"/>
      <c r="AQ1168" s="115"/>
      <c r="AR1168" s="115"/>
      <c r="AS1168" s="115"/>
      <c r="AT1168" s="115"/>
      <c r="AU1168" s="115"/>
      <c r="AV1168" s="115"/>
      <c r="AW1168" s="115"/>
      <c r="AX1168" s="115"/>
      <c r="AY1168" s="26"/>
      <c r="AZ1168" s="13"/>
      <c r="BE1168" s="117"/>
      <c r="BF1168" s="123"/>
      <c r="BG1168" s="123"/>
      <c r="BH1168" s="123"/>
      <c r="BI1168" s="115"/>
      <c r="BJ1168" s="115"/>
      <c r="BK1168" s="115"/>
      <c r="BL1168" s="115"/>
      <c r="BM1168" s="115"/>
      <c r="BN1168" s="115"/>
      <c r="BO1168" s="115"/>
      <c r="BP1168" s="115"/>
      <c r="BQ1168" s="115"/>
      <c r="BR1168" s="115"/>
      <c r="BS1168" s="115"/>
      <c r="BT1168" s="115"/>
      <c r="BU1168" s="115"/>
      <c r="BV1168" s="115"/>
      <c r="BW1168" s="25"/>
      <c r="BX1168" s="15"/>
      <c r="CA1168" s="114"/>
    </row>
    <row r="1169" spans="40:79" ht="19.5" x14ac:dyDescent="0.4">
      <c r="AY1169" s="26"/>
      <c r="AZ1169" s="13"/>
      <c r="BE1169" s="117"/>
      <c r="BF1169" s="123"/>
      <c r="BG1169" s="123"/>
      <c r="BH1169" s="123"/>
      <c r="BI1169" s="115"/>
      <c r="BJ1169" s="115"/>
      <c r="BK1169" s="115"/>
      <c r="BL1169" s="115"/>
      <c r="BM1169" s="115"/>
      <c r="BN1169" s="115"/>
      <c r="BO1169" s="115"/>
      <c r="BP1169" s="115"/>
      <c r="BQ1169" s="115"/>
      <c r="BR1169" s="115"/>
      <c r="BS1169" s="115"/>
      <c r="BT1169" s="115"/>
      <c r="BU1169" s="115"/>
      <c r="BV1169" s="115"/>
      <c r="BW1169" s="25">
        <v>45274</v>
      </c>
      <c r="BX1169" s="15" t="s">
        <v>162</v>
      </c>
      <c r="CA1169" s="114"/>
    </row>
    <row r="1170" spans="40:79" ht="19.5" x14ac:dyDescent="0.4">
      <c r="AY1170" s="26"/>
      <c r="AZ1170" s="13"/>
      <c r="BE1170" s="117"/>
      <c r="BF1170" s="123"/>
      <c r="BG1170" s="123"/>
      <c r="BH1170" s="123"/>
      <c r="BI1170" s="115"/>
      <c r="BJ1170" s="115"/>
      <c r="BK1170" s="115"/>
      <c r="BL1170" s="115"/>
      <c r="BM1170" s="115"/>
      <c r="BN1170" s="115"/>
      <c r="BO1170" s="115"/>
      <c r="BP1170" s="115"/>
      <c r="BQ1170" s="115"/>
      <c r="BR1170" s="115"/>
      <c r="BS1170" s="115"/>
      <c r="BT1170" s="115"/>
      <c r="BU1170" s="115"/>
      <c r="BV1170" s="115"/>
      <c r="BW1170" s="25">
        <v>45274</v>
      </c>
      <c r="BX1170" s="15" t="s">
        <v>163</v>
      </c>
      <c r="CA1170" s="114"/>
    </row>
    <row r="1171" spans="40:79" ht="19.5" x14ac:dyDescent="0.4">
      <c r="AQ1171" s="115"/>
      <c r="AR1171" s="115"/>
      <c r="AS1171" s="115"/>
      <c r="AT1171" s="115"/>
      <c r="AU1171" s="115"/>
      <c r="AV1171" s="115"/>
      <c r="AW1171" s="115"/>
      <c r="AX1171" s="115"/>
      <c r="AY1171" s="17"/>
      <c r="AZ1171" s="13"/>
      <c r="BE1171" s="117"/>
      <c r="BF1171" s="123"/>
      <c r="BG1171" s="123"/>
      <c r="BH1171" s="123"/>
      <c r="BI1171" s="115"/>
      <c r="BJ1171" s="115"/>
      <c r="BK1171" s="115"/>
      <c r="BL1171" s="115"/>
      <c r="BM1171" s="115"/>
      <c r="BN1171" s="115"/>
      <c r="BO1171" s="115"/>
      <c r="BP1171" s="115"/>
      <c r="BQ1171" s="115"/>
      <c r="BR1171" s="115"/>
      <c r="BS1171" s="115"/>
      <c r="BT1171" s="115"/>
      <c r="BU1171" s="115"/>
      <c r="BV1171" s="115"/>
      <c r="BW1171" s="25"/>
      <c r="BX1171" s="15"/>
      <c r="CA1171" s="114"/>
    </row>
    <row r="1172" spans="40:79" ht="19.5" x14ac:dyDescent="0.4">
      <c r="AO1172" s="115"/>
      <c r="AP1172" s="115"/>
      <c r="AQ1172" s="115"/>
      <c r="AR1172" s="115"/>
      <c r="AS1172" s="115"/>
      <c r="AT1172" s="115"/>
      <c r="AU1172" s="115"/>
      <c r="AV1172" s="115"/>
      <c r="AW1172" s="115"/>
      <c r="AX1172" s="115"/>
      <c r="AY1172" s="26"/>
      <c r="AZ1172" s="13"/>
      <c r="BE1172" s="117"/>
      <c r="BF1172" s="123"/>
      <c r="BG1172" s="123"/>
      <c r="BH1172" s="123"/>
      <c r="BI1172" s="115"/>
      <c r="BJ1172" s="115"/>
      <c r="BK1172" s="115"/>
      <c r="BL1172" s="115"/>
      <c r="BM1172" s="115"/>
      <c r="BN1172" s="115"/>
      <c r="BO1172" s="115"/>
      <c r="BP1172" s="115"/>
      <c r="BQ1172" s="115"/>
      <c r="BR1172" s="115"/>
      <c r="BS1172" s="115"/>
      <c r="BT1172" s="115"/>
      <c r="BU1172" s="115"/>
      <c r="BV1172" s="115"/>
      <c r="BW1172" s="25"/>
      <c r="BX1172" s="15"/>
      <c r="CA1172" s="114"/>
    </row>
    <row r="1173" spans="40:79" ht="19.5" x14ac:dyDescent="0.4">
      <c r="AY1173" s="26"/>
      <c r="AZ1173" s="25"/>
      <c r="BE1173" s="117"/>
      <c r="BF1173" s="123"/>
      <c r="BG1173" s="123"/>
      <c r="BH1173" s="123"/>
      <c r="BI1173" s="115"/>
      <c r="BJ1173" s="115"/>
      <c r="BK1173" s="115"/>
      <c r="BL1173" s="115"/>
      <c r="BM1173" s="115"/>
      <c r="BN1173" s="115"/>
      <c r="BO1173" s="115"/>
      <c r="BP1173" s="115"/>
      <c r="BQ1173" s="115"/>
      <c r="BR1173" s="115"/>
      <c r="BS1173" s="115"/>
      <c r="BT1173" s="115"/>
      <c r="BU1173" s="115"/>
      <c r="BV1173" s="115" t="s">
        <v>167</v>
      </c>
      <c r="BW1173" s="13">
        <f>SUBTOTAL(3,BW1160:BW1170)</f>
        <v>5</v>
      </c>
      <c r="BX1173" s="15">
        <f>SUBTOTAL(3,BX1160:BX1170)</f>
        <v>5</v>
      </c>
      <c r="CA1173" s="114"/>
    </row>
    <row r="1174" spans="40:79" ht="19.5" x14ac:dyDescent="0.4">
      <c r="AO1174" s="115"/>
      <c r="AP1174" s="115"/>
      <c r="AQ1174" s="115"/>
      <c r="AR1174" s="115"/>
      <c r="AS1174" s="115"/>
      <c r="AT1174" s="115"/>
      <c r="AU1174" s="115"/>
      <c r="AV1174" s="115"/>
      <c r="AW1174" s="115"/>
      <c r="AX1174" s="115"/>
      <c r="AY1174" s="26"/>
      <c r="AZ1174" s="105"/>
      <c r="BE1174" s="117"/>
      <c r="BF1174" s="123"/>
      <c r="BG1174" s="123"/>
      <c r="BH1174" s="123"/>
      <c r="BI1174" s="115"/>
      <c r="BJ1174" s="115"/>
      <c r="BK1174" s="115"/>
      <c r="BL1174" s="115"/>
      <c r="BM1174" s="115"/>
      <c r="BN1174" s="115"/>
      <c r="BO1174" s="115"/>
      <c r="BP1174" s="115"/>
      <c r="BQ1174" s="115"/>
      <c r="BR1174" s="115"/>
      <c r="BS1174" s="115"/>
      <c r="BT1174" s="115"/>
      <c r="BU1174" s="115"/>
      <c r="BV1174" s="115"/>
      <c r="BW1174" s="13"/>
      <c r="BX1174" s="15"/>
      <c r="CA1174" s="114"/>
    </row>
    <row r="1175" spans="40:79" ht="19.5" x14ac:dyDescent="0.4">
      <c r="AY1175" s="26"/>
      <c r="AZ1175" s="105"/>
      <c r="BE1175" s="117"/>
      <c r="BF1175" s="123"/>
      <c r="BG1175" s="123"/>
      <c r="BH1175" s="123"/>
      <c r="BI1175" s="115"/>
      <c r="BJ1175" s="115"/>
      <c r="BK1175" s="115"/>
      <c r="BL1175" s="115"/>
      <c r="BM1175" s="115"/>
      <c r="BN1175" s="115"/>
      <c r="BO1175" s="115"/>
      <c r="BP1175" s="115"/>
      <c r="BQ1175" s="115"/>
      <c r="BR1175" s="115"/>
      <c r="BS1175" s="115"/>
      <c r="BT1175" s="115"/>
      <c r="BU1175" s="115"/>
      <c r="BV1175" s="115"/>
      <c r="BW1175" s="13"/>
      <c r="BX1175" s="15"/>
      <c r="CA1175" s="114"/>
    </row>
    <row r="1176" spans="40:79" ht="19.5" x14ac:dyDescent="0.4">
      <c r="AQ1176" s="115"/>
      <c r="AR1176" s="115"/>
      <c r="AS1176" s="115"/>
      <c r="AT1176" s="115"/>
      <c r="AU1176" s="115"/>
      <c r="AV1176" s="115"/>
      <c r="AW1176" s="115"/>
      <c r="AX1176" s="115"/>
      <c r="AY1176" s="17"/>
      <c r="AZ1176" s="15"/>
      <c r="BE1176" s="117"/>
      <c r="BF1176" s="123"/>
      <c r="BG1176" s="123"/>
      <c r="BH1176" s="123"/>
      <c r="BI1176" s="115"/>
      <c r="BJ1176" s="115"/>
      <c r="BK1176" s="115"/>
      <c r="BL1176" s="115"/>
      <c r="BM1176" s="115"/>
      <c r="BN1176" s="115"/>
      <c r="BO1176" s="115"/>
      <c r="BP1176" s="115"/>
      <c r="BQ1176" s="115"/>
      <c r="BR1176" s="115"/>
      <c r="BS1176" s="115"/>
      <c r="BT1176" s="115"/>
      <c r="BU1176" s="115"/>
      <c r="BV1176" s="115"/>
      <c r="BW1176" s="13"/>
      <c r="BX1176" s="15"/>
      <c r="CA1176" s="114"/>
    </row>
    <row r="1177" spans="40:79" ht="19.5" x14ac:dyDescent="0.4">
      <c r="AO1177" s="115"/>
      <c r="AP1177" s="115"/>
      <c r="AQ1177" s="115"/>
      <c r="AR1177" s="115"/>
      <c r="AS1177" s="115"/>
      <c r="AT1177" s="115"/>
      <c r="AU1177" s="115"/>
      <c r="AV1177" s="115"/>
      <c r="AW1177" s="115"/>
      <c r="AX1177" s="115"/>
      <c r="AY1177" s="26"/>
      <c r="AZ1177" s="15"/>
      <c r="BE1177" s="117"/>
      <c r="BF1177" s="123"/>
      <c r="BG1177" s="123"/>
      <c r="BH1177" s="123"/>
      <c r="BI1177" s="115"/>
      <c r="BJ1177" s="115"/>
      <c r="BK1177" s="115"/>
      <c r="BL1177" s="115"/>
      <c r="BM1177" s="115"/>
      <c r="BN1177" s="115"/>
      <c r="BO1177" s="115"/>
      <c r="BP1177" s="115"/>
      <c r="BQ1177" s="115"/>
      <c r="BR1177" s="115"/>
      <c r="BS1177" s="115"/>
      <c r="BT1177" s="115"/>
      <c r="BU1177" s="115"/>
      <c r="BV1177" s="115"/>
      <c r="BW1177" s="13"/>
      <c r="BX1177" s="15"/>
      <c r="CA1177" s="114"/>
    </row>
    <row r="1178" spans="40:79" ht="19.5" x14ac:dyDescent="0.4">
      <c r="AO1178" s="115"/>
      <c r="AP1178" s="115"/>
      <c r="AQ1178" s="115"/>
      <c r="AR1178" s="115"/>
      <c r="AS1178" s="115"/>
      <c r="AT1178" s="115"/>
      <c r="AU1178" s="115"/>
      <c r="AV1178" s="115"/>
      <c r="AW1178" s="115"/>
      <c r="AX1178" s="115"/>
      <c r="AY1178" s="26"/>
      <c r="AZ1178" s="15"/>
      <c r="BE1178" s="117"/>
      <c r="BF1178" s="123"/>
      <c r="BG1178" s="123"/>
      <c r="BH1178" s="123"/>
      <c r="BI1178" s="115"/>
      <c r="BJ1178" s="115"/>
      <c r="BK1178" s="115"/>
      <c r="BL1178" s="115"/>
      <c r="BM1178" s="115"/>
      <c r="BN1178" s="115"/>
      <c r="BO1178" s="115"/>
      <c r="BP1178" s="115"/>
      <c r="BQ1178" s="115"/>
      <c r="BR1178" s="115"/>
      <c r="BS1178" s="115"/>
      <c r="BT1178" s="115"/>
      <c r="BU1178" s="115"/>
      <c r="BV1178" s="115"/>
      <c r="BW1178" s="13"/>
      <c r="BX1178" s="15"/>
      <c r="CA1178" s="114"/>
    </row>
    <row r="1179" spans="40:79" ht="19.5" x14ac:dyDescent="0.4">
      <c r="AO1179" s="115"/>
      <c r="AP1179" s="115"/>
      <c r="AQ1179" s="115"/>
      <c r="AR1179" s="115"/>
      <c r="AS1179" s="115"/>
      <c r="AT1179" s="115"/>
      <c r="AU1179" s="115"/>
      <c r="AV1179" s="115"/>
      <c r="AW1179" s="115"/>
      <c r="AX1179" s="115"/>
      <c r="AY1179" s="26"/>
      <c r="AZ1179" s="15"/>
      <c r="BE1179" s="117"/>
      <c r="BF1179" s="123"/>
      <c r="BG1179" s="123"/>
      <c r="BH1179" s="123"/>
      <c r="BI1179" s="115"/>
      <c r="BJ1179" s="115"/>
      <c r="BK1179" s="115"/>
      <c r="BL1179" s="115"/>
      <c r="BM1179" s="115"/>
      <c r="BN1179" s="115"/>
      <c r="BO1179" s="115"/>
      <c r="BP1179" s="115"/>
      <c r="BQ1179" s="115"/>
      <c r="BR1179" s="115"/>
      <c r="BS1179" s="115"/>
      <c r="BT1179" s="115"/>
      <c r="BU1179" s="115"/>
      <c r="BV1179" s="115"/>
      <c r="BW1179" s="13"/>
      <c r="BX1179" s="15"/>
      <c r="CA1179" s="114"/>
    </row>
    <row r="1180" spans="40:79" ht="19.5" x14ac:dyDescent="0.4">
      <c r="AN1180" s="115"/>
      <c r="AO1180" s="115"/>
      <c r="AP1180" s="115"/>
      <c r="AQ1180" s="115"/>
      <c r="AR1180" s="115"/>
      <c r="AS1180" s="115"/>
      <c r="AT1180" s="115"/>
      <c r="AU1180" s="115"/>
      <c r="AV1180" s="115"/>
      <c r="AW1180" s="115"/>
      <c r="AX1180" s="115"/>
      <c r="AY1180" s="26"/>
      <c r="AZ1180" s="15"/>
      <c r="BE1180" s="117"/>
      <c r="BF1180" s="123"/>
      <c r="BG1180" s="123"/>
      <c r="BH1180" s="123"/>
      <c r="BI1180" s="115"/>
      <c r="BJ1180" s="115"/>
      <c r="BK1180" s="115"/>
      <c r="BL1180" s="115"/>
      <c r="BM1180" s="115"/>
      <c r="BN1180" s="115"/>
      <c r="BO1180" s="115"/>
      <c r="BP1180" s="115"/>
      <c r="BQ1180" s="115"/>
      <c r="BR1180" s="115"/>
      <c r="BS1180" s="115"/>
      <c r="BT1180" s="115"/>
      <c r="BU1180" s="115"/>
      <c r="BV1180" s="115"/>
      <c r="BW1180" s="13"/>
      <c r="BX1180" s="15"/>
      <c r="CA1180" s="114"/>
    </row>
    <row r="1181" spans="40:79" ht="19.5" x14ac:dyDescent="0.4">
      <c r="AY1181" s="26"/>
      <c r="AZ1181" s="15"/>
      <c r="BE1181" s="117"/>
      <c r="BF1181" s="123"/>
      <c r="BG1181" s="123"/>
      <c r="BH1181" s="123"/>
      <c r="BI1181" s="115"/>
      <c r="BJ1181" s="115"/>
      <c r="BK1181" s="115"/>
      <c r="BL1181" s="115"/>
      <c r="BM1181" s="115"/>
      <c r="BN1181" s="115"/>
      <c r="BO1181" s="115"/>
      <c r="BP1181" s="115"/>
      <c r="BQ1181" s="115"/>
      <c r="BR1181" s="115"/>
      <c r="BS1181" s="115"/>
      <c r="BT1181" s="115"/>
      <c r="BU1181" s="115"/>
      <c r="BV1181" s="115"/>
      <c r="BW1181" s="25">
        <v>45275</v>
      </c>
      <c r="BX1181" s="15" t="s">
        <v>163</v>
      </c>
      <c r="CA1181" s="114"/>
    </row>
    <row r="1182" spans="40:79" ht="19.5" x14ac:dyDescent="0.4">
      <c r="AY1182" s="26"/>
      <c r="AZ1182" s="15"/>
      <c r="BE1182" s="117"/>
      <c r="BF1182" s="123"/>
      <c r="BG1182" s="123"/>
      <c r="BH1182" s="123"/>
      <c r="BI1182" s="115"/>
      <c r="BJ1182" s="115"/>
      <c r="BK1182" s="115"/>
      <c r="BL1182" s="115"/>
      <c r="BM1182" s="115"/>
      <c r="BN1182" s="115"/>
      <c r="BO1182" s="115"/>
      <c r="BP1182" s="115"/>
      <c r="BQ1182" s="115"/>
      <c r="BR1182" s="115"/>
      <c r="BS1182" s="115"/>
      <c r="BT1182" s="115"/>
      <c r="BU1182" s="115"/>
      <c r="BV1182" s="115" t="s">
        <v>168</v>
      </c>
      <c r="BW1182" s="13">
        <f>SUBTOTAL(3,BW1181:BW1181)</f>
        <v>1</v>
      </c>
      <c r="BX1182" s="15">
        <f>SUBTOTAL(3,BX1181:BX1181)</f>
        <v>1</v>
      </c>
      <c r="CA1182" s="114"/>
    </row>
    <row r="1183" spans="40:79" ht="19.5" x14ac:dyDescent="0.4">
      <c r="AY1183" s="26"/>
      <c r="AZ1183" s="15"/>
      <c r="BE1183" s="117"/>
      <c r="BF1183" s="123"/>
      <c r="BG1183" s="123"/>
      <c r="BH1183" s="123"/>
      <c r="BI1183" s="115"/>
      <c r="BJ1183" s="115"/>
      <c r="BK1183" s="115"/>
      <c r="BL1183" s="115"/>
      <c r="BM1183" s="115"/>
      <c r="BN1183" s="115"/>
      <c r="BO1183" s="115"/>
      <c r="BP1183" s="115"/>
      <c r="BQ1183" s="115"/>
      <c r="BR1183" s="115"/>
      <c r="BS1183" s="115"/>
      <c r="BT1183" s="115"/>
      <c r="BU1183" s="115"/>
      <c r="BV1183" s="115"/>
      <c r="BW1183" s="25">
        <v>45276</v>
      </c>
      <c r="BX1183" s="15" t="s">
        <v>164</v>
      </c>
      <c r="CA1183" s="114"/>
    </row>
    <row r="1184" spans="40:79" ht="19.5" x14ac:dyDescent="0.4">
      <c r="AY1184" s="26"/>
      <c r="AZ1184" s="15"/>
      <c r="BE1184" s="117"/>
      <c r="BF1184" s="123"/>
      <c r="BG1184" s="123"/>
      <c r="BH1184" s="123"/>
      <c r="BI1184" s="115"/>
      <c r="BJ1184" s="115"/>
      <c r="BK1184" s="115"/>
      <c r="BL1184" s="115"/>
      <c r="BM1184" s="115"/>
      <c r="BN1184" s="115"/>
      <c r="BO1184" s="115"/>
      <c r="BP1184" s="115"/>
      <c r="BQ1184" s="115"/>
      <c r="BR1184" s="115"/>
      <c r="BS1184" s="115"/>
      <c r="BT1184" s="115"/>
      <c r="BU1184" s="115"/>
      <c r="BV1184" s="115"/>
      <c r="BW1184" s="25">
        <v>45276</v>
      </c>
      <c r="BX1184" s="15" t="s">
        <v>162</v>
      </c>
      <c r="CA1184" s="114"/>
    </row>
    <row r="1185" spans="6:79" ht="19.5" x14ac:dyDescent="0.4">
      <c r="AY1185" s="26"/>
      <c r="AZ1185" s="15"/>
      <c r="BE1185" s="117"/>
      <c r="BF1185" s="123"/>
      <c r="BG1185" s="123"/>
      <c r="BH1185" s="123"/>
      <c r="BI1185" s="115"/>
      <c r="BJ1185" s="115"/>
      <c r="BK1185" s="115"/>
      <c r="BL1185" s="115"/>
      <c r="BM1185" s="115"/>
      <c r="BN1185" s="115"/>
      <c r="BO1185" s="115"/>
      <c r="BP1185" s="115"/>
      <c r="BQ1185" s="115"/>
      <c r="BR1185" s="115"/>
      <c r="BS1185" s="115"/>
      <c r="BT1185" s="115"/>
      <c r="BU1185" s="115"/>
      <c r="BV1185" s="115"/>
      <c r="BW1185" s="25">
        <v>45276</v>
      </c>
      <c r="BX1185" s="15" t="s">
        <v>162</v>
      </c>
      <c r="CA1185" s="114"/>
    </row>
    <row r="1186" spans="6:79" ht="19.5" x14ac:dyDescent="0.4">
      <c r="AY1186" s="26"/>
      <c r="AZ1186" s="15"/>
      <c r="BE1186" s="117"/>
      <c r="BF1186" s="123"/>
      <c r="BG1186" s="123"/>
      <c r="BH1186" s="123"/>
      <c r="BI1186" s="115"/>
      <c r="BJ1186" s="115"/>
      <c r="BK1186" s="115"/>
      <c r="BL1186" s="115"/>
      <c r="BM1186" s="115"/>
      <c r="BN1186" s="115"/>
      <c r="BO1186" s="115"/>
      <c r="BP1186" s="115"/>
      <c r="BQ1186" s="115"/>
      <c r="BR1186" s="115"/>
      <c r="BS1186" s="115"/>
      <c r="BT1186" s="115"/>
      <c r="BU1186" s="115"/>
      <c r="BV1186" s="115"/>
      <c r="BW1186" s="25">
        <v>45276</v>
      </c>
      <c r="BX1186" s="15" t="s">
        <v>162</v>
      </c>
      <c r="CA1186" s="114"/>
    </row>
    <row r="1187" spans="6:79" ht="19.5" x14ac:dyDescent="0.4">
      <c r="AY1187" s="26"/>
      <c r="AZ1187" s="15"/>
      <c r="BE1187" s="117"/>
      <c r="BF1187" s="123"/>
      <c r="BG1187" s="123"/>
      <c r="BH1187" s="123"/>
      <c r="BI1187" s="115"/>
      <c r="BJ1187" s="115"/>
      <c r="BK1187" s="115"/>
      <c r="BL1187" s="115"/>
      <c r="BM1187" s="115"/>
      <c r="BN1187" s="115"/>
      <c r="BO1187" s="115"/>
      <c r="BP1187" s="115"/>
      <c r="BQ1187" s="115"/>
      <c r="BR1187" s="115"/>
      <c r="BS1187" s="115"/>
      <c r="BT1187" s="115"/>
      <c r="BU1187" s="115"/>
      <c r="BV1187" s="115"/>
      <c r="BW1187" s="25">
        <v>45276</v>
      </c>
      <c r="BX1187" s="15" t="s">
        <v>162</v>
      </c>
      <c r="CA1187" s="114"/>
    </row>
    <row r="1188" spans="6:79" ht="19.5" x14ac:dyDescent="0.4">
      <c r="F1188" s="115"/>
      <c r="G1188" s="115"/>
      <c r="H1188" s="115"/>
      <c r="I1188" s="115"/>
      <c r="J1188" s="115"/>
      <c r="K1188" s="115"/>
      <c r="L1188" s="115"/>
      <c r="M1188" s="115"/>
      <c r="N1188" s="115"/>
      <c r="O1188" s="115"/>
      <c r="P1188" s="115"/>
      <c r="Q1188" s="115"/>
      <c r="R1188" s="115"/>
      <c r="S1188" s="115"/>
      <c r="T1188" s="115"/>
      <c r="U1188" s="115"/>
      <c r="V1188" s="115"/>
      <c r="W1188" s="115"/>
      <c r="X1188" s="115"/>
      <c r="Y1188" s="115"/>
      <c r="Z1188" s="115"/>
      <c r="AA1188" s="115"/>
      <c r="AB1188" s="115"/>
      <c r="AC1188" s="115"/>
      <c r="AD1188" s="115"/>
      <c r="AE1188" s="115"/>
      <c r="AF1188" s="115"/>
      <c r="AG1188" s="115"/>
      <c r="AH1188" s="115"/>
      <c r="AI1188" s="115"/>
      <c r="AJ1188" s="115"/>
      <c r="AK1188" s="115"/>
      <c r="AL1188" s="115"/>
      <c r="AM1188" s="115"/>
      <c r="AN1188" s="115"/>
      <c r="AO1188" s="115"/>
      <c r="AP1188" s="115"/>
      <c r="AQ1188" s="115"/>
      <c r="AR1188" s="115"/>
      <c r="AS1188" s="115"/>
      <c r="AT1188" s="115"/>
      <c r="AU1188" s="115"/>
      <c r="AV1188" s="115"/>
      <c r="AW1188" s="115"/>
      <c r="AX1188" s="115"/>
      <c r="AY1188" s="26"/>
      <c r="AZ1188" s="15"/>
      <c r="BE1188" s="117"/>
      <c r="BF1188" s="123"/>
      <c r="BG1188" s="123"/>
      <c r="BH1188" s="123"/>
      <c r="BI1188" s="115"/>
      <c r="BJ1188" s="115"/>
      <c r="BK1188" s="115"/>
      <c r="BL1188" s="115"/>
      <c r="BM1188" s="115"/>
      <c r="BN1188" s="115"/>
      <c r="BO1188" s="115"/>
      <c r="BP1188" s="115"/>
      <c r="BQ1188" s="115"/>
      <c r="BR1188" s="115"/>
      <c r="BS1188" s="115"/>
      <c r="BT1188" s="115"/>
      <c r="BU1188" s="115"/>
      <c r="BV1188" s="115"/>
      <c r="BW1188" s="25"/>
      <c r="BX1188" s="15"/>
      <c r="CA1188" s="114"/>
    </row>
    <row r="1189" spans="6:79" ht="19.5" x14ac:dyDescent="0.4">
      <c r="AY1189" s="26"/>
      <c r="AZ1189" s="15"/>
      <c r="BE1189" s="117"/>
      <c r="BF1189" s="123"/>
      <c r="BG1189" s="123"/>
      <c r="BH1189" s="123"/>
      <c r="BI1189" s="115"/>
      <c r="BJ1189" s="115"/>
      <c r="BK1189" s="115"/>
      <c r="BL1189" s="115"/>
      <c r="BM1189" s="115"/>
      <c r="BN1189" s="115"/>
      <c r="BO1189" s="115"/>
      <c r="BP1189" s="115"/>
      <c r="BQ1189" s="115"/>
      <c r="BR1189" s="115"/>
      <c r="BS1189" s="115"/>
      <c r="BT1189" s="115"/>
      <c r="BU1189" s="115"/>
      <c r="BV1189" s="115"/>
      <c r="BW1189" s="25">
        <v>45276</v>
      </c>
      <c r="BX1189" s="15" t="s">
        <v>162</v>
      </c>
      <c r="CA1189" s="114"/>
    </row>
    <row r="1190" spans="6:79" ht="19.5" x14ac:dyDescent="0.4">
      <c r="AY1190" s="26"/>
      <c r="AZ1190" s="15"/>
      <c r="BE1190" s="117"/>
      <c r="BF1190" s="123"/>
      <c r="BG1190" s="123"/>
      <c r="BH1190" s="123"/>
      <c r="BI1190" s="115"/>
      <c r="BJ1190" s="115"/>
      <c r="BK1190" s="115"/>
      <c r="BL1190" s="115"/>
      <c r="BM1190" s="115"/>
      <c r="BN1190" s="115"/>
      <c r="BO1190" s="115"/>
      <c r="BP1190" s="115"/>
      <c r="BQ1190" s="115"/>
      <c r="BR1190" s="115"/>
      <c r="BS1190" s="115"/>
      <c r="BT1190" s="115"/>
      <c r="BU1190" s="115"/>
      <c r="BV1190" s="115"/>
      <c r="BW1190" s="25">
        <v>45276</v>
      </c>
      <c r="BX1190" s="15" t="s">
        <v>162</v>
      </c>
      <c r="CA1190" s="114"/>
    </row>
    <row r="1191" spans="6:79" ht="19.5" x14ac:dyDescent="0.4">
      <c r="AQ1191" s="115"/>
      <c r="AR1191" s="115"/>
      <c r="AS1191" s="115"/>
      <c r="AT1191" s="115"/>
      <c r="AU1191" s="115"/>
      <c r="AV1191" s="115"/>
      <c r="AW1191" s="115"/>
      <c r="AX1191" s="115"/>
      <c r="AY1191" s="17"/>
      <c r="AZ1191" s="15"/>
      <c r="BE1191" s="117"/>
      <c r="BF1191" s="123"/>
      <c r="BG1191" s="123"/>
      <c r="BH1191" s="123"/>
      <c r="BI1191" s="115"/>
      <c r="BJ1191" s="115"/>
      <c r="BK1191" s="115"/>
      <c r="BL1191" s="115"/>
      <c r="BM1191" s="115"/>
      <c r="BN1191" s="115"/>
      <c r="BO1191" s="115"/>
      <c r="BP1191" s="115"/>
      <c r="BQ1191" s="115"/>
      <c r="BR1191" s="115"/>
      <c r="BS1191" s="115"/>
      <c r="BT1191" s="115"/>
      <c r="BU1191" s="115"/>
      <c r="BV1191" s="115"/>
      <c r="BW1191" s="25"/>
      <c r="BX1191" s="15"/>
      <c r="CA1191" s="114"/>
    </row>
    <row r="1192" spans="6:79" ht="19.5" x14ac:dyDescent="0.4">
      <c r="F1192" s="115"/>
      <c r="G1192" s="115"/>
      <c r="H1192" s="115"/>
      <c r="I1192" s="115"/>
      <c r="J1192" s="115"/>
      <c r="K1192" s="115"/>
      <c r="L1192" s="115"/>
      <c r="M1192" s="115"/>
      <c r="N1192" s="115"/>
      <c r="O1192" s="115"/>
      <c r="P1192" s="115"/>
      <c r="Q1192" s="115"/>
      <c r="R1192" s="115"/>
      <c r="S1192" s="115"/>
      <c r="T1192" s="115"/>
      <c r="U1192" s="115"/>
      <c r="V1192" s="115"/>
      <c r="W1192" s="115"/>
      <c r="X1192" s="115"/>
      <c r="Y1192" s="115"/>
      <c r="Z1192" s="115"/>
      <c r="AA1192" s="115"/>
      <c r="AB1192" s="115"/>
      <c r="AC1192" s="115"/>
      <c r="AD1192" s="115"/>
      <c r="AE1192" s="115"/>
      <c r="AF1192" s="115"/>
      <c r="AG1192" s="115"/>
      <c r="AH1192" s="115"/>
      <c r="AI1192" s="115"/>
      <c r="AJ1192" s="115"/>
      <c r="AK1192" s="115"/>
      <c r="AL1192" s="115"/>
      <c r="AM1192" s="115"/>
      <c r="AN1192" s="115"/>
      <c r="AO1192" s="115"/>
      <c r="AP1192" s="115"/>
      <c r="AQ1192" s="115"/>
      <c r="AR1192" s="115"/>
      <c r="AS1192" s="115"/>
      <c r="AT1192" s="115"/>
      <c r="AU1192" s="115"/>
      <c r="AV1192" s="115"/>
      <c r="AW1192" s="115"/>
      <c r="AX1192" s="115"/>
      <c r="AY1192" s="26"/>
      <c r="AZ1192" s="15"/>
      <c r="BE1192" s="117"/>
      <c r="BF1192" s="123"/>
      <c r="BG1192" s="123"/>
      <c r="BH1192" s="123"/>
      <c r="BI1192" s="115"/>
      <c r="BJ1192" s="115"/>
      <c r="BK1192" s="115"/>
      <c r="BL1192" s="115"/>
      <c r="BM1192" s="115"/>
      <c r="BN1192" s="115"/>
      <c r="BO1192" s="115"/>
      <c r="BP1192" s="115"/>
      <c r="BQ1192" s="115"/>
      <c r="BR1192" s="115"/>
      <c r="BS1192" s="115"/>
      <c r="BT1192" s="115"/>
      <c r="BU1192" s="115"/>
      <c r="BV1192" s="115"/>
      <c r="BW1192" s="25"/>
      <c r="BX1192" s="15"/>
      <c r="CA1192" s="114"/>
    </row>
    <row r="1193" spans="6:79" ht="19.5" x14ac:dyDescent="0.4">
      <c r="F1193" s="115"/>
      <c r="G1193" s="115"/>
      <c r="H1193" s="115"/>
      <c r="I1193" s="115"/>
      <c r="J1193" s="115"/>
      <c r="K1193" s="115"/>
      <c r="L1193" s="115"/>
      <c r="M1193" s="115"/>
      <c r="N1193" s="115"/>
      <c r="O1193" s="115"/>
      <c r="P1193" s="115"/>
      <c r="Q1193" s="115"/>
      <c r="R1193" s="115"/>
      <c r="S1193" s="115"/>
      <c r="T1193" s="115"/>
      <c r="U1193" s="115"/>
      <c r="V1193" s="115"/>
      <c r="W1193" s="115"/>
      <c r="X1193" s="115"/>
      <c r="Y1193" s="115"/>
      <c r="Z1193" s="115"/>
      <c r="AA1193" s="115"/>
      <c r="AB1193" s="115"/>
      <c r="AC1193" s="115"/>
      <c r="AD1193" s="115"/>
      <c r="AE1193" s="115"/>
      <c r="AF1193" s="115"/>
      <c r="AG1193" s="115"/>
      <c r="AH1193" s="115"/>
      <c r="AI1193" s="115"/>
      <c r="AJ1193" s="115"/>
      <c r="AK1193" s="115"/>
      <c r="AL1193" s="115"/>
      <c r="AM1193" s="115"/>
      <c r="AN1193" s="115"/>
      <c r="AO1193" s="115"/>
      <c r="AP1193" s="115"/>
      <c r="AQ1193" s="115"/>
      <c r="AR1193" s="115"/>
      <c r="AS1193" s="115"/>
      <c r="AT1193" s="115"/>
      <c r="AU1193" s="115"/>
      <c r="AV1193" s="115"/>
      <c r="AW1193" s="115"/>
      <c r="AX1193" s="115"/>
      <c r="AY1193" s="26"/>
      <c r="AZ1193" s="15"/>
      <c r="BE1193" s="117"/>
      <c r="BF1193" s="123"/>
      <c r="BG1193" s="123"/>
      <c r="BH1193" s="123"/>
      <c r="BI1193" s="115"/>
      <c r="BJ1193" s="115"/>
      <c r="BK1193" s="115"/>
      <c r="BL1193" s="115"/>
      <c r="BM1193" s="115"/>
      <c r="BN1193" s="115"/>
      <c r="BO1193" s="115"/>
      <c r="BP1193" s="115"/>
      <c r="BQ1193" s="115"/>
      <c r="BR1193" s="115"/>
      <c r="BS1193" s="115"/>
      <c r="BT1193" s="115"/>
      <c r="BU1193" s="115"/>
      <c r="BV1193" s="115"/>
      <c r="BW1193" s="25"/>
      <c r="BX1193" s="15"/>
      <c r="CA1193" s="114"/>
    </row>
    <row r="1194" spans="6:79" ht="19.5" x14ac:dyDescent="0.4">
      <c r="F1194" s="115"/>
      <c r="G1194" s="115"/>
      <c r="H1194" s="115"/>
      <c r="I1194" s="115"/>
      <c r="J1194" s="115"/>
      <c r="K1194" s="115"/>
      <c r="L1194" s="115"/>
      <c r="M1194" s="115"/>
      <c r="N1194" s="115"/>
      <c r="O1194" s="115"/>
      <c r="P1194" s="115"/>
      <c r="Q1194" s="115"/>
      <c r="R1194" s="115"/>
      <c r="S1194" s="115"/>
      <c r="T1194" s="115"/>
      <c r="U1194" s="115"/>
      <c r="V1194" s="115"/>
      <c r="W1194" s="115"/>
      <c r="X1194" s="115"/>
      <c r="Y1194" s="115"/>
      <c r="Z1194" s="115"/>
      <c r="AA1194" s="115"/>
      <c r="AB1194" s="115"/>
      <c r="AC1194" s="115"/>
      <c r="AD1194" s="115"/>
      <c r="AE1194" s="115"/>
      <c r="AF1194" s="115"/>
      <c r="AG1194" s="115"/>
      <c r="AH1194" s="115"/>
      <c r="AI1194" s="115"/>
      <c r="AJ1194" s="115"/>
      <c r="AK1194" s="115"/>
      <c r="AL1194" s="115"/>
      <c r="AM1194" s="115"/>
      <c r="AN1194" s="115"/>
      <c r="AO1194" s="115"/>
      <c r="AP1194" s="115"/>
      <c r="AQ1194" s="115"/>
      <c r="AR1194" s="115"/>
      <c r="AS1194" s="115"/>
      <c r="AT1194" s="115"/>
      <c r="AU1194" s="115"/>
      <c r="AV1194" s="115"/>
      <c r="AW1194" s="115"/>
      <c r="AX1194" s="115"/>
      <c r="AY1194" s="26"/>
      <c r="AZ1194" s="15"/>
      <c r="BE1194" s="117"/>
      <c r="BF1194" s="123"/>
      <c r="BG1194" s="123"/>
      <c r="BH1194" s="123"/>
      <c r="BI1194" s="115"/>
      <c r="BJ1194" s="115"/>
      <c r="BK1194" s="115"/>
      <c r="BL1194" s="115"/>
      <c r="BM1194" s="115"/>
      <c r="BN1194" s="115"/>
      <c r="BO1194" s="115"/>
      <c r="BP1194" s="115"/>
      <c r="BQ1194" s="115"/>
      <c r="BR1194" s="115"/>
      <c r="BS1194" s="115"/>
      <c r="BT1194" s="115"/>
      <c r="BU1194" s="115"/>
      <c r="BV1194" s="115"/>
      <c r="BW1194" s="25"/>
      <c r="BX1194" s="15"/>
      <c r="CA1194" s="114"/>
    </row>
    <row r="1195" spans="6:79" ht="19.5" x14ac:dyDescent="0.4">
      <c r="AY1195" s="26"/>
      <c r="AZ1195" s="15"/>
      <c r="BD1195" s="115"/>
      <c r="BE1195" s="117"/>
      <c r="BF1195" s="123"/>
      <c r="BG1195" s="123"/>
      <c r="BH1195" s="123"/>
      <c r="BI1195" s="115"/>
      <c r="BJ1195" s="115"/>
      <c r="BK1195" s="115"/>
      <c r="BL1195" s="115"/>
      <c r="BM1195" s="115"/>
      <c r="BN1195" s="115"/>
      <c r="BO1195" s="115"/>
      <c r="BP1195" s="115"/>
      <c r="BQ1195" s="115"/>
      <c r="BR1195" s="115"/>
      <c r="BS1195" s="115"/>
      <c r="BT1195" s="115"/>
      <c r="BU1195" s="115"/>
      <c r="BV1195" s="115"/>
      <c r="BW1195" s="25">
        <v>45276</v>
      </c>
      <c r="BX1195" s="15" t="s">
        <v>162</v>
      </c>
      <c r="CA1195" s="114"/>
    </row>
    <row r="1196" spans="6:79" ht="19.5" x14ac:dyDescent="0.4">
      <c r="AY1196" s="26"/>
      <c r="AZ1196" s="15"/>
      <c r="BD1196" s="115"/>
      <c r="BE1196" s="117"/>
      <c r="BF1196" s="123"/>
      <c r="BG1196" s="123"/>
      <c r="BH1196" s="123"/>
      <c r="BI1196" s="115"/>
      <c r="BJ1196" s="115"/>
      <c r="BK1196" s="115"/>
      <c r="BL1196" s="115"/>
      <c r="BM1196" s="115"/>
      <c r="BN1196" s="115"/>
      <c r="BO1196" s="115"/>
      <c r="BP1196" s="115"/>
      <c r="BQ1196" s="115"/>
      <c r="BR1196" s="115"/>
      <c r="BS1196" s="115"/>
      <c r="BT1196" s="115"/>
      <c r="BU1196" s="115"/>
      <c r="BV1196" s="115"/>
      <c r="BW1196" s="25">
        <v>45276</v>
      </c>
      <c r="BX1196" s="15" t="s">
        <v>162</v>
      </c>
      <c r="CA1196" s="114"/>
    </row>
    <row r="1197" spans="6:79" ht="19.5" x14ac:dyDescent="0.4">
      <c r="AY1197" s="26"/>
      <c r="AZ1197" s="15"/>
      <c r="BD1197" s="115"/>
      <c r="BE1197" s="117"/>
      <c r="BF1197" s="123"/>
      <c r="BG1197" s="123"/>
      <c r="BH1197" s="123"/>
      <c r="BI1197" s="115"/>
      <c r="BJ1197" s="115"/>
      <c r="BK1197" s="115"/>
      <c r="BL1197" s="115"/>
      <c r="BM1197" s="115"/>
      <c r="BN1197" s="115"/>
      <c r="BO1197" s="115"/>
      <c r="BP1197" s="115"/>
      <c r="BQ1197" s="115"/>
      <c r="BR1197" s="115"/>
      <c r="BS1197" s="115"/>
      <c r="BT1197" s="115"/>
      <c r="BU1197" s="115"/>
      <c r="BV1197" s="115"/>
      <c r="BW1197" s="25">
        <v>45276</v>
      </c>
      <c r="BX1197" s="15" t="s">
        <v>162</v>
      </c>
      <c r="CA1197" s="114"/>
    </row>
    <row r="1198" spans="6:79" ht="19.5" x14ac:dyDescent="0.4">
      <c r="AQ1198" s="115"/>
      <c r="AR1198" s="115"/>
      <c r="AS1198" s="115"/>
      <c r="AT1198" s="115"/>
      <c r="AU1198" s="115"/>
      <c r="AV1198" s="115"/>
      <c r="AW1198" s="115"/>
      <c r="AX1198" s="115"/>
      <c r="AY1198" s="17"/>
      <c r="AZ1198" s="15"/>
      <c r="BD1198" s="115"/>
      <c r="BE1198" s="117"/>
      <c r="BF1198" s="123"/>
      <c r="BG1198" s="123"/>
      <c r="BH1198" s="123"/>
      <c r="BI1198" s="115"/>
      <c r="BJ1198" s="115"/>
      <c r="BK1198" s="115"/>
      <c r="BL1198" s="115"/>
      <c r="BM1198" s="115"/>
      <c r="BN1198" s="115"/>
      <c r="BO1198" s="115"/>
      <c r="BP1198" s="115"/>
      <c r="BQ1198" s="115"/>
      <c r="BR1198" s="115"/>
      <c r="BS1198" s="115"/>
      <c r="BT1198" s="115"/>
      <c r="BU1198" s="115"/>
      <c r="BV1198" s="115"/>
      <c r="BW1198" s="25"/>
      <c r="BX1198" s="15"/>
      <c r="CA1198" s="114"/>
    </row>
    <row r="1199" spans="6:79" ht="19.5" x14ac:dyDescent="0.4">
      <c r="AN1199" s="115"/>
      <c r="AO1199" s="115"/>
      <c r="AP1199" s="115"/>
      <c r="AQ1199" s="115"/>
      <c r="AR1199" s="115"/>
      <c r="AS1199" s="115"/>
      <c r="AT1199" s="115"/>
      <c r="AU1199" s="115"/>
      <c r="AV1199" s="115"/>
      <c r="AW1199" s="115"/>
      <c r="AX1199" s="115"/>
      <c r="AY1199" s="26"/>
      <c r="AZ1199" s="15"/>
      <c r="BD1199" s="115"/>
      <c r="BE1199" s="117"/>
      <c r="BF1199" s="123"/>
      <c r="BG1199" s="123"/>
      <c r="BH1199" s="123"/>
      <c r="BI1199" s="115"/>
      <c r="BJ1199" s="115"/>
      <c r="BK1199" s="115"/>
      <c r="BL1199" s="115"/>
      <c r="BM1199" s="115"/>
      <c r="BN1199" s="115"/>
      <c r="BO1199" s="115"/>
      <c r="BP1199" s="115"/>
      <c r="BQ1199" s="115"/>
      <c r="BR1199" s="115"/>
      <c r="BS1199" s="115"/>
      <c r="BT1199" s="115"/>
      <c r="BU1199" s="115"/>
      <c r="BV1199" s="115"/>
      <c r="BW1199" s="25"/>
      <c r="BX1199" s="15"/>
      <c r="CA1199" s="114"/>
    </row>
    <row r="1200" spans="6:79" ht="19.5" x14ac:dyDescent="0.4">
      <c r="AN1200" s="115"/>
      <c r="AO1200" s="115"/>
      <c r="AP1200" s="115"/>
      <c r="AQ1200" s="115"/>
      <c r="AR1200" s="115"/>
      <c r="AS1200" s="115"/>
      <c r="AT1200" s="115"/>
      <c r="AU1200" s="115"/>
      <c r="AV1200" s="115"/>
      <c r="AW1200" s="115"/>
      <c r="AX1200" s="115"/>
      <c r="AY1200" s="17"/>
      <c r="AZ1200" s="15"/>
      <c r="BD1200" s="115"/>
      <c r="BE1200" s="117"/>
      <c r="BF1200" s="123"/>
      <c r="BG1200" s="123"/>
      <c r="BH1200" s="123"/>
      <c r="BI1200" s="115"/>
      <c r="BJ1200" s="115"/>
      <c r="BK1200" s="115"/>
      <c r="BL1200" s="115"/>
      <c r="BM1200" s="115"/>
      <c r="BN1200" s="115"/>
      <c r="BO1200" s="115"/>
      <c r="BP1200" s="115"/>
      <c r="BQ1200" s="115"/>
      <c r="BR1200" s="115"/>
      <c r="BS1200" s="115"/>
      <c r="BT1200" s="115"/>
      <c r="BU1200" s="115"/>
      <c r="BV1200" s="115"/>
      <c r="BW1200" s="25"/>
      <c r="BX1200" s="15"/>
      <c r="CA1200" s="114"/>
    </row>
    <row r="1201" spans="6:79" ht="19.5" x14ac:dyDescent="0.4">
      <c r="AY1201" s="26"/>
      <c r="AZ1201" s="15"/>
      <c r="BD1201" s="115"/>
      <c r="BE1201" s="117"/>
      <c r="BF1201" s="123"/>
      <c r="BG1201" s="123"/>
      <c r="BH1201" s="123"/>
      <c r="BI1201" s="115"/>
      <c r="BJ1201" s="115"/>
      <c r="BK1201" s="115"/>
      <c r="BL1201" s="115"/>
      <c r="BM1201" s="115"/>
      <c r="BN1201" s="115"/>
      <c r="BO1201" s="115"/>
      <c r="BP1201" s="115"/>
      <c r="BQ1201" s="115"/>
      <c r="BR1201" s="115"/>
      <c r="BS1201" s="115"/>
      <c r="BT1201" s="115"/>
      <c r="BU1201" s="115"/>
      <c r="BV1201" s="115"/>
      <c r="BW1201" s="25"/>
      <c r="BX1201" s="15"/>
      <c r="CA1201" s="114"/>
    </row>
    <row r="1202" spans="6:79" ht="19.5" x14ac:dyDescent="0.4">
      <c r="F1202" s="115"/>
      <c r="G1202" s="115"/>
      <c r="H1202" s="115"/>
      <c r="I1202" s="115"/>
      <c r="J1202" s="115"/>
      <c r="K1202" s="115"/>
      <c r="L1202" s="115"/>
      <c r="M1202" s="115"/>
      <c r="N1202" s="115"/>
      <c r="O1202" s="115"/>
      <c r="P1202" s="115"/>
      <c r="Q1202" s="115"/>
      <c r="R1202" s="115"/>
      <c r="S1202" s="115"/>
      <c r="T1202" s="115"/>
      <c r="U1202" s="115"/>
      <c r="V1202" s="115"/>
      <c r="W1202" s="115"/>
      <c r="X1202" s="115"/>
      <c r="Y1202" s="115"/>
      <c r="Z1202" s="115"/>
      <c r="AA1202" s="115"/>
      <c r="AB1202" s="115"/>
      <c r="AC1202" s="115"/>
      <c r="AD1202" s="115"/>
      <c r="AE1202" s="115"/>
      <c r="AF1202" s="115"/>
      <c r="AG1202" s="115"/>
      <c r="AH1202" s="115"/>
      <c r="AI1202" s="115"/>
      <c r="AJ1202" s="115"/>
      <c r="AK1202" s="115"/>
      <c r="AL1202" s="115"/>
      <c r="AM1202" s="115"/>
      <c r="AN1202" s="115"/>
      <c r="AO1202" s="115"/>
      <c r="AP1202" s="115"/>
      <c r="AQ1202" s="115"/>
      <c r="AR1202" s="115"/>
      <c r="AS1202" s="115"/>
      <c r="AT1202" s="115"/>
      <c r="AU1202" s="115"/>
      <c r="AV1202" s="115"/>
      <c r="AW1202" s="115"/>
      <c r="AX1202" s="115"/>
      <c r="AY1202" s="26"/>
      <c r="AZ1202" s="15"/>
      <c r="BD1202" s="115"/>
      <c r="BE1202" s="117"/>
      <c r="BF1202" s="123"/>
      <c r="BG1202" s="123"/>
      <c r="BH1202" s="123"/>
      <c r="BI1202" s="115"/>
      <c r="BJ1202" s="115"/>
      <c r="BK1202" s="115"/>
      <c r="BL1202" s="115"/>
      <c r="BM1202" s="115"/>
      <c r="BN1202" s="115"/>
      <c r="BO1202" s="115"/>
      <c r="BP1202" s="115"/>
      <c r="BQ1202" s="115"/>
      <c r="BR1202" s="115"/>
      <c r="BS1202" s="115"/>
      <c r="BT1202" s="115"/>
      <c r="BU1202" s="115"/>
      <c r="BV1202" s="115"/>
      <c r="BW1202" s="25"/>
      <c r="BX1202" s="15"/>
      <c r="CA1202" s="114"/>
    </row>
    <row r="1203" spans="6:79" ht="19.5" x14ac:dyDescent="0.4">
      <c r="AY1203" s="26"/>
      <c r="AZ1203" s="15"/>
      <c r="BD1203" s="115"/>
      <c r="BE1203" s="117"/>
      <c r="BF1203" s="123"/>
      <c r="BG1203" s="123"/>
      <c r="BH1203" s="123"/>
      <c r="BI1203" s="115"/>
      <c r="BJ1203" s="115"/>
      <c r="BK1203" s="115"/>
      <c r="BL1203" s="115"/>
      <c r="BM1203" s="115"/>
      <c r="BN1203" s="115"/>
      <c r="BO1203" s="115"/>
      <c r="BP1203" s="115"/>
      <c r="BQ1203" s="115"/>
      <c r="BR1203" s="115"/>
      <c r="BS1203" s="115"/>
      <c r="BT1203" s="115"/>
      <c r="BU1203" s="115"/>
      <c r="BV1203" s="115"/>
      <c r="BW1203" s="25">
        <v>45276</v>
      </c>
      <c r="BX1203" s="15" t="s">
        <v>162</v>
      </c>
      <c r="CA1203" s="114"/>
    </row>
    <row r="1204" spans="6:79" ht="19.5" x14ac:dyDescent="0.4">
      <c r="AQ1204" s="115"/>
      <c r="AR1204" s="115"/>
      <c r="AS1204" s="115"/>
      <c r="AT1204" s="115"/>
      <c r="AU1204" s="115"/>
      <c r="AV1204" s="115"/>
      <c r="AW1204" s="115"/>
      <c r="AX1204" s="115"/>
      <c r="AY1204" s="17"/>
      <c r="AZ1204" s="15"/>
      <c r="BD1204" s="115"/>
      <c r="BE1204" s="117"/>
      <c r="BF1204" s="123"/>
      <c r="BG1204" s="123"/>
      <c r="BH1204" s="123"/>
      <c r="BI1204" s="115"/>
      <c r="BJ1204" s="115"/>
      <c r="BK1204" s="115"/>
      <c r="BL1204" s="115"/>
      <c r="BM1204" s="115"/>
      <c r="BN1204" s="115"/>
      <c r="BO1204" s="115"/>
      <c r="BP1204" s="115"/>
      <c r="BQ1204" s="115"/>
      <c r="BR1204" s="115"/>
      <c r="BS1204" s="115"/>
      <c r="BT1204" s="115"/>
      <c r="BU1204" s="115"/>
      <c r="BV1204" s="115"/>
      <c r="BW1204" s="25"/>
      <c r="BX1204" s="15"/>
      <c r="CA1204" s="114"/>
    </row>
    <row r="1205" spans="6:79" ht="19.5" x14ac:dyDescent="0.4">
      <c r="AY1205" s="26"/>
      <c r="AZ1205" s="15"/>
      <c r="BD1205" s="115"/>
      <c r="BE1205" s="117"/>
      <c r="BF1205" s="123"/>
      <c r="BG1205" s="123"/>
      <c r="BH1205" s="123"/>
      <c r="BI1205" s="115"/>
      <c r="BJ1205" s="115"/>
      <c r="BK1205" s="115"/>
      <c r="BL1205" s="115"/>
      <c r="BM1205" s="115"/>
      <c r="BN1205" s="115"/>
      <c r="BO1205" s="115"/>
      <c r="BP1205" s="115"/>
      <c r="BQ1205" s="115"/>
      <c r="BR1205" s="115"/>
      <c r="BS1205" s="115"/>
      <c r="BT1205" s="115"/>
      <c r="BU1205" s="115"/>
      <c r="BV1205" s="115"/>
      <c r="BW1205" s="25">
        <v>45276</v>
      </c>
      <c r="BX1205" s="15" t="s">
        <v>162</v>
      </c>
      <c r="CA1205" s="114"/>
    </row>
    <row r="1206" spans="6:79" ht="19.5" x14ac:dyDescent="0.4">
      <c r="AQ1206" s="115"/>
      <c r="AR1206" s="115"/>
      <c r="AS1206" s="115"/>
      <c r="AT1206" s="115"/>
      <c r="AU1206" s="115"/>
      <c r="AV1206" s="115"/>
      <c r="AW1206" s="115"/>
      <c r="AX1206" s="115"/>
      <c r="AY1206" s="17"/>
      <c r="AZ1206" s="15"/>
      <c r="BD1206" s="115"/>
      <c r="BE1206" s="117"/>
      <c r="BF1206" s="123"/>
      <c r="BG1206" s="123"/>
      <c r="BH1206" s="123"/>
      <c r="BI1206" s="115"/>
      <c r="BJ1206" s="115"/>
      <c r="BK1206" s="115"/>
      <c r="BL1206" s="115"/>
      <c r="BM1206" s="115"/>
      <c r="BN1206" s="115"/>
      <c r="BO1206" s="115"/>
      <c r="BP1206" s="115"/>
      <c r="BQ1206" s="115"/>
      <c r="BR1206" s="115"/>
      <c r="BS1206" s="115"/>
      <c r="BT1206" s="115"/>
      <c r="BU1206" s="115"/>
      <c r="BV1206" s="115"/>
      <c r="BW1206" s="25"/>
      <c r="BX1206" s="15"/>
      <c r="CA1206" s="114"/>
    </row>
    <row r="1207" spans="6:79" ht="19.5" x14ac:dyDescent="0.4">
      <c r="AP1207" s="115"/>
      <c r="AQ1207" s="115"/>
      <c r="AR1207" s="115"/>
      <c r="AS1207" s="115"/>
      <c r="AT1207" s="115"/>
      <c r="AU1207" s="115"/>
      <c r="AV1207" s="115"/>
      <c r="AW1207" s="115"/>
      <c r="AX1207" s="115"/>
      <c r="AY1207" s="26"/>
      <c r="AZ1207" s="15"/>
      <c r="BD1207" s="115"/>
      <c r="BE1207" s="117"/>
      <c r="BF1207" s="123"/>
      <c r="BG1207" s="123"/>
      <c r="BH1207" s="123"/>
      <c r="BI1207" s="115"/>
      <c r="BJ1207" s="115"/>
      <c r="BK1207" s="115"/>
      <c r="BL1207" s="115"/>
      <c r="BM1207" s="115"/>
      <c r="BN1207" s="115"/>
      <c r="BO1207" s="115"/>
      <c r="BP1207" s="115"/>
      <c r="BQ1207" s="115"/>
      <c r="BR1207" s="115"/>
      <c r="BS1207" s="115"/>
      <c r="BT1207" s="115"/>
      <c r="BU1207" s="115"/>
      <c r="BV1207" s="115"/>
      <c r="BW1207" s="25"/>
      <c r="BX1207" s="15"/>
      <c r="CA1207" s="114"/>
    </row>
    <row r="1208" spans="6:79" ht="19.5" x14ac:dyDescent="0.4">
      <c r="AP1208" s="115"/>
      <c r="AQ1208" s="115"/>
      <c r="AR1208" s="115"/>
      <c r="AS1208" s="115"/>
      <c r="AT1208" s="115"/>
      <c r="AU1208" s="115"/>
      <c r="AV1208" s="115"/>
      <c r="AW1208" s="115"/>
      <c r="AX1208" s="115"/>
      <c r="AY1208" s="17"/>
      <c r="AZ1208" s="15"/>
      <c r="BD1208" s="115"/>
      <c r="BE1208" s="117"/>
      <c r="BF1208" s="123"/>
      <c r="BG1208" s="123"/>
      <c r="BH1208" s="123"/>
      <c r="BI1208" s="115"/>
      <c r="BJ1208" s="115"/>
      <c r="BK1208" s="115"/>
      <c r="BL1208" s="115"/>
      <c r="BM1208" s="115"/>
      <c r="BN1208" s="115"/>
      <c r="BO1208" s="115"/>
      <c r="BP1208" s="115"/>
      <c r="BQ1208" s="115"/>
      <c r="BR1208" s="115"/>
      <c r="BS1208" s="115"/>
      <c r="BT1208" s="115"/>
      <c r="BU1208" s="115"/>
      <c r="BV1208" s="115"/>
      <c r="BW1208" s="25"/>
      <c r="BX1208" s="15"/>
      <c r="CA1208" s="114"/>
    </row>
    <row r="1209" spans="6:79" ht="19.5" x14ac:dyDescent="0.4">
      <c r="AY1209" s="26"/>
      <c r="AZ1209" s="15"/>
      <c r="BD1209" s="115"/>
      <c r="BE1209" s="117"/>
      <c r="BF1209" s="123"/>
      <c r="BG1209" s="123"/>
      <c r="BH1209" s="123"/>
      <c r="BI1209" s="115"/>
      <c r="BJ1209" s="115"/>
      <c r="BK1209" s="115"/>
      <c r="BL1209" s="115"/>
      <c r="BM1209" s="115"/>
      <c r="BN1209" s="115"/>
      <c r="BO1209" s="115"/>
      <c r="BP1209" s="115"/>
      <c r="BQ1209" s="115"/>
      <c r="BR1209" s="115"/>
      <c r="BS1209" s="115"/>
      <c r="BT1209" s="115"/>
      <c r="BU1209" s="115"/>
      <c r="BV1209" s="115"/>
      <c r="BW1209" s="25">
        <v>45276</v>
      </c>
      <c r="BX1209" s="15" t="s">
        <v>162</v>
      </c>
      <c r="CA1209" s="114"/>
    </row>
    <row r="1210" spans="6:79" ht="19.5" x14ac:dyDescent="0.4">
      <c r="AY1210" s="26"/>
      <c r="AZ1210" s="15"/>
      <c r="BD1210" s="115"/>
      <c r="BE1210" s="117"/>
      <c r="BF1210" s="123"/>
      <c r="BG1210" s="123"/>
      <c r="BH1210" s="123"/>
      <c r="BI1210" s="115"/>
      <c r="BJ1210" s="115"/>
      <c r="BK1210" s="115"/>
      <c r="BL1210" s="115"/>
      <c r="BM1210" s="115"/>
      <c r="BN1210" s="115"/>
      <c r="BO1210" s="115"/>
      <c r="BP1210" s="115"/>
      <c r="BQ1210" s="115"/>
      <c r="BR1210" s="115"/>
      <c r="BS1210" s="115"/>
      <c r="BT1210" s="115"/>
      <c r="BU1210" s="115"/>
      <c r="BV1210" s="115"/>
      <c r="BW1210" s="25">
        <v>45276</v>
      </c>
      <c r="BX1210" s="15" t="s">
        <v>162</v>
      </c>
      <c r="CA1210" s="114"/>
    </row>
    <row r="1211" spans="6:79" ht="19.5" x14ac:dyDescent="0.4">
      <c r="AY1211" s="26"/>
      <c r="AZ1211" s="15"/>
      <c r="BD1211" s="115"/>
      <c r="BE1211" s="117"/>
      <c r="BF1211" s="123"/>
      <c r="BG1211" s="123"/>
      <c r="BH1211" s="123"/>
      <c r="BI1211" s="115"/>
      <c r="BJ1211" s="115"/>
      <c r="BK1211" s="115"/>
      <c r="BL1211" s="115"/>
      <c r="BM1211" s="115"/>
      <c r="BN1211" s="115"/>
      <c r="BO1211" s="115"/>
      <c r="BP1211" s="115"/>
      <c r="BQ1211" s="115"/>
      <c r="BR1211" s="115"/>
      <c r="BS1211" s="115"/>
      <c r="BT1211" s="115"/>
      <c r="BU1211" s="115"/>
      <c r="BV1211" s="115"/>
      <c r="BW1211" s="25">
        <v>45276</v>
      </c>
      <c r="BX1211" s="15" t="s">
        <v>162</v>
      </c>
      <c r="CA1211" s="114"/>
    </row>
    <row r="1212" spans="6:79" ht="19.5" x14ac:dyDescent="0.4">
      <c r="AY1212" s="26"/>
      <c r="AZ1212" s="15"/>
      <c r="BD1212" s="115"/>
      <c r="BE1212" s="117"/>
      <c r="BF1212" s="123"/>
      <c r="BG1212" s="123"/>
      <c r="BH1212" s="123"/>
      <c r="BI1212" s="115"/>
      <c r="BJ1212" s="115"/>
      <c r="BK1212" s="115"/>
      <c r="BL1212" s="115"/>
      <c r="BM1212" s="115"/>
      <c r="BN1212" s="115"/>
      <c r="BO1212" s="115"/>
      <c r="BP1212" s="115"/>
      <c r="BQ1212" s="115"/>
      <c r="BR1212" s="115"/>
      <c r="BS1212" s="115"/>
      <c r="BT1212" s="115"/>
      <c r="BU1212" s="115"/>
      <c r="BV1212" s="115"/>
      <c r="BW1212" s="25"/>
      <c r="BX1212" s="15"/>
      <c r="CA1212" s="114"/>
    </row>
    <row r="1213" spans="6:79" ht="19.5" x14ac:dyDescent="0.4">
      <c r="AQ1213" s="115"/>
      <c r="AR1213" s="115"/>
      <c r="AS1213" s="115"/>
      <c r="AT1213" s="115"/>
      <c r="AU1213" s="115"/>
      <c r="AV1213" s="115"/>
      <c r="AW1213" s="115"/>
      <c r="AX1213" s="115"/>
      <c r="AY1213" s="17"/>
      <c r="AZ1213" s="15"/>
      <c r="BD1213" s="115"/>
      <c r="BE1213" s="117"/>
      <c r="BF1213" s="123"/>
      <c r="BG1213" s="123"/>
      <c r="BH1213" s="123"/>
      <c r="BI1213" s="115"/>
      <c r="BJ1213" s="115"/>
      <c r="BK1213" s="115"/>
      <c r="BL1213" s="115"/>
      <c r="BM1213" s="115"/>
      <c r="BN1213" s="115"/>
      <c r="BO1213" s="115"/>
      <c r="BP1213" s="115"/>
      <c r="BQ1213" s="115"/>
      <c r="BR1213" s="115"/>
      <c r="BS1213" s="115"/>
      <c r="BT1213" s="115"/>
      <c r="BU1213" s="115"/>
      <c r="BV1213" s="115"/>
      <c r="BW1213" s="25"/>
      <c r="BX1213" s="15"/>
      <c r="CA1213" s="114"/>
    </row>
    <row r="1214" spans="6:79" ht="19.5" x14ac:dyDescent="0.4">
      <c r="AY1214" s="26"/>
      <c r="AZ1214" s="15"/>
      <c r="BD1214" s="115"/>
      <c r="BE1214" s="117"/>
      <c r="BF1214" s="123"/>
      <c r="BG1214" s="123"/>
      <c r="BH1214" s="123"/>
      <c r="BI1214" s="115"/>
      <c r="BJ1214" s="115"/>
      <c r="BK1214" s="115"/>
      <c r="BL1214" s="115"/>
      <c r="BM1214" s="115"/>
      <c r="BN1214" s="115"/>
      <c r="BO1214" s="115"/>
      <c r="BP1214" s="115"/>
      <c r="BQ1214" s="115"/>
      <c r="BR1214" s="115"/>
      <c r="BS1214" s="115"/>
      <c r="BT1214" s="115"/>
      <c r="BU1214" s="115"/>
      <c r="BV1214" s="115"/>
      <c r="BW1214" s="25">
        <v>45276</v>
      </c>
      <c r="BX1214" s="15" t="s">
        <v>162</v>
      </c>
      <c r="CA1214" s="114"/>
    </row>
    <row r="1215" spans="6:79" ht="19.5" x14ac:dyDescent="0.4">
      <c r="AY1215" s="26"/>
      <c r="AZ1215" s="15"/>
      <c r="BD1215" s="115"/>
      <c r="BE1215" s="117"/>
      <c r="BF1215" s="123"/>
      <c r="BG1215" s="123"/>
      <c r="BH1215" s="123"/>
      <c r="BI1215" s="115"/>
      <c r="BJ1215" s="115"/>
      <c r="BK1215" s="115"/>
      <c r="BL1215" s="115"/>
      <c r="BM1215" s="115"/>
      <c r="BN1215" s="115"/>
      <c r="BO1215" s="115"/>
      <c r="BP1215" s="115"/>
      <c r="BQ1215" s="115"/>
      <c r="BR1215" s="115"/>
      <c r="BS1215" s="115"/>
      <c r="BT1215" s="115"/>
      <c r="BU1215" s="115"/>
      <c r="BV1215" s="115"/>
      <c r="BW1215" s="25">
        <v>45276</v>
      </c>
      <c r="BX1215" s="15" t="s">
        <v>162</v>
      </c>
      <c r="CA1215" s="114"/>
    </row>
    <row r="1216" spans="6:79" ht="19.5" x14ac:dyDescent="0.4">
      <c r="AQ1216" s="115"/>
      <c r="AR1216" s="115"/>
      <c r="AS1216" s="115"/>
      <c r="AT1216" s="115"/>
      <c r="AU1216" s="115"/>
      <c r="AV1216" s="115"/>
      <c r="AW1216" s="115"/>
      <c r="AX1216" s="115"/>
      <c r="AY1216" s="17"/>
      <c r="AZ1216" s="15"/>
      <c r="BD1216" s="115"/>
      <c r="BE1216" s="117"/>
      <c r="BF1216" s="123"/>
      <c r="BG1216" s="123"/>
      <c r="BH1216" s="123"/>
      <c r="BI1216" s="115"/>
      <c r="BJ1216" s="115"/>
      <c r="BK1216" s="115"/>
      <c r="BL1216" s="115"/>
      <c r="BM1216" s="115"/>
      <c r="BN1216" s="115"/>
      <c r="BO1216" s="115"/>
      <c r="BP1216" s="115"/>
      <c r="BQ1216" s="115"/>
      <c r="BR1216" s="115"/>
      <c r="BS1216" s="115"/>
      <c r="BT1216" s="115"/>
      <c r="BU1216" s="115"/>
      <c r="BV1216" s="115"/>
      <c r="BW1216" s="25"/>
      <c r="BX1216" s="15"/>
      <c r="CA1216" s="114"/>
    </row>
    <row r="1217" spans="6:79" ht="19.5" x14ac:dyDescent="0.4">
      <c r="AN1217" s="115"/>
      <c r="AO1217" s="115"/>
      <c r="AP1217" s="115"/>
      <c r="AQ1217" s="115"/>
      <c r="AR1217" s="115"/>
      <c r="AS1217" s="115"/>
      <c r="AT1217" s="115"/>
      <c r="AU1217" s="115"/>
      <c r="AV1217" s="115"/>
      <c r="AW1217" s="115"/>
      <c r="AX1217" s="115"/>
      <c r="AY1217" s="26"/>
      <c r="AZ1217" s="15"/>
      <c r="BD1217" s="115"/>
      <c r="BE1217" s="117"/>
      <c r="BF1217" s="123"/>
      <c r="BG1217" s="123"/>
      <c r="BH1217" s="123"/>
      <c r="BI1217" s="115"/>
      <c r="BJ1217" s="115"/>
      <c r="BK1217" s="115"/>
      <c r="BL1217" s="115"/>
      <c r="BM1217" s="115"/>
      <c r="BN1217" s="115"/>
      <c r="BO1217" s="115"/>
      <c r="BP1217" s="115"/>
      <c r="BQ1217" s="115"/>
      <c r="BR1217" s="115"/>
      <c r="BS1217" s="115"/>
      <c r="BT1217" s="115"/>
      <c r="BU1217" s="115"/>
      <c r="BV1217" s="115"/>
      <c r="BW1217" s="25"/>
      <c r="BX1217" s="15"/>
      <c r="CA1217" s="114"/>
    </row>
    <row r="1218" spans="6:79" ht="19.5" x14ac:dyDescent="0.4">
      <c r="AN1218" s="115"/>
      <c r="AO1218" s="115"/>
      <c r="AP1218" s="115"/>
      <c r="AQ1218" s="115"/>
      <c r="AR1218" s="115"/>
      <c r="AS1218" s="115"/>
      <c r="AT1218" s="115"/>
      <c r="AU1218" s="115"/>
      <c r="AV1218" s="115"/>
      <c r="AW1218" s="115"/>
      <c r="AX1218" s="115"/>
      <c r="AY1218" s="17"/>
      <c r="AZ1218" s="15"/>
      <c r="BD1218" s="115"/>
      <c r="BE1218" s="117"/>
      <c r="BF1218" s="123"/>
      <c r="BG1218" s="123"/>
      <c r="BH1218" s="123"/>
      <c r="BI1218" s="115"/>
      <c r="BJ1218" s="115"/>
      <c r="BK1218" s="115"/>
      <c r="BL1218" s="115"/>
      <c r="BM1218" s="115"/>
      <c r="BN1218" s="115"/>
      <c r="BO1218" s="115"/>
      <c r="BP1218" s="115"/>
      <c r="BQ1218" s="115"/>
      <c r="BR1218" s="115"/>
      <c r="BS1218" s="115"/>
      <c r="BT1218" s="115"/>
      <c r="BU1218" s="115"/>
      <c r="BV1218" s="115"/>
      <c r="BW1218" s="25"/>
      <c r="BX1218" s="15"/>
      <c r="CA1218" s="114"/>
    </row>
    <row r="1219" spans="6:79" ht="19.5" x14ac:dyDescent="0.4">
      <c r="AN1219" s="115"/>
      <c r="AO1219" s="115"/>
      <c r="AP1219" s="115"/>
      <c r="AQ1219" s="115"/>
      <c r="AR1219" s="115"/>
      <c r="AS1219" s="115"/>
      <c r="AT1219" s="115"/>
      <c r="AU1219" s="115"/>
      <c r="AV1219" s="115"/>
      <c r="AW1219" s="115"/>
      <c r="AX1219" s="115"/>
      <c r="AY1219" s="26"/>
      <c r="AZ1219" s="15"/>
      <c r="BD1219" s="115"/>
      <c r="BE1219" s="117"/>
      <c r="BF1219" s="123"/>
      <c r="BG1219" s="123"/>
      <c r="BH1219" s="123"/>
      <c r="BI1219" s="115"/>
      <c r="BJ1219" s="115"/>
      <c r="BK1219" s="115"/>
      <c r="BL1219" s="115"/>
      <c r="BM1219" s="115"/>
      <c r="BN1219" s="115"/>
      <c r="BO1219" s="115"/>
      <c r="BP1219" s="115"/>
      <c r="BQ1219" s="115"/>
      <c r="BR1219" s="115"/>
      <c r="BS1219" s="115"/>
      <c r="BT1219" s="115"/>
      <c r="BU1219" s="115"/>
      <c r="BV1219" s="115"/>
      <c r="BW1219" s="25"/>
      <c r="BX1219" s="15"/>
      <c r="CA1219" s="114"/>
    </row>
    <row r="1220" spans="6:79" ht="19.5" x14ac:dyDescent="0.4">
      <c r="AY1220" s="26"/>
      <c r="AZ1220" s="15"/>
      <c r="BD1220" s="115"/>
      <c r="BE1220" s="117"/>
      <c r="BF1220" s="123"/>
      <c r="BG1220" s="123"/>
      <c r="BH1220" s="123"/>
      <c r="BI1220" s="115"/>
      <c r="BJ1220" s="115"/>
      <c r="BK1220" s="115"/>
      <c r="BL1220" s="115"/>
      <c r="BM1220" s="115"/>
      <c r="BN1220" s="115"/>
      <c r="BO1220" s="115"/>
      <c r="BP1220" s="115"/>
      <c r="BQ1220" s="115"/>
      <c r="BR1220" s="115"/>
      <c r="BS1220" s="115"/>
      <c r="BT1220" s="115"/>
      <c r="BU1220" s="115"/>
      <c r="BV1220" s="115" t="s">
        <v>169</v>
      </c>
      <c r="BW1220" s="13">
        <f>SUBTOTAL(3,BW1183:BW1215)</f>
        <v>17</v>
      </c>
      <c r="BX1220" s="15">
        <f>SUBTOTAL(3,BX1183:BX1215)</f>
        <v>17</v>
      </c>
      <c r="CA1220" s="114"/>
    </row>
    <row r="1221" spans="6:79" ht="19.5" x14ac:dyDescent="0.4">
      <c r="AN1221" s="115"/>
      <c r="AO1221" s="115"/>
      <c r="AP1221" s="115"/>
      <c r="AQ1221" s="115"/>
      <c r="AR1221" s="115"/>
      <c r="AS1221" s="115"/>
      <c r="AT1221" s="115"/>
      <c r="AU1221" s="115"/>
      <c r="AV1221" s="115"/>
      <c r="AW1221" s="115"/>
      <c r="AX1221" s="115"/>
      <c r="AY1221" s="26"/>
      <c r="AZ1221" s="15"/>
      <c r="BD1221" s="115"/>
      <c r="BE1221" s="117"/>
      <c r="BF1221" s="123"/>
      <c r="BG1221" s="123"/>
      <c r="BH1221" s="123"/>
      <c r="BI1221" s="115"/>
      <c r="BJ1221" s="115"/>
      <c r="BK1221" s="115"/>
      <c r="BL1221" s="115"/>
      <c r="BM1221" s="115"/>
      <c r="BN1221" s="115"/>
      <c r="BO1221" s="115"/>
      <c r="BP1221" s="115"/>
      <c r="BQ1221" s="115"/>
      <c r="BR1221" s="115"/>
      <c r="BS1221" s="115"/>
      <c r="BT1221" s="115"/>
      <c r="BU1221" s="115"/>
      <c r="BV1221" s="115"/>
      <c r="BW1221" s="13"/>
      <c r="BX1221" s="15"/>
      <c r="CA1221" s="114"/>
    </row>
    <row r="1222" spans="6:79" ht="19.5" x14ac:dyDescent="0.4">
      <c r="AY1222" s="26"/>
      <c r="AZ1222" s="15"/>
      <c r="BD1222" s="115"/>
      <c r="BE1222" s="117"/>
      <c r="BF1222" s="123"/>
      <c r="BG1222" s="123"/>
      <c r="BH1222" s="123"/>
      <c r="BI1222" s="115"/>
      <c r="BJ1222" s="115"/>
      <c r="BK1222" s="115"/>
      <c r="BL1222" s="115"/>
      <c r="BM1222" s="115"/>
      <c r="BN1222" s="115"/>
      <c r="BO1222" s="115"/>
      <c r="BP1222" s="115"/>
      <c r="BQ1222" s="115"/>
      <c r="BR1222" s="115"/>
      <c r="BS1222" s="115"/>
      <c r="BT1222" s="115"/>
      <c r="BU1222" s="115"/>
      <c r="BV1222" s="115"/>
      <c r="BW1222" s="25">
        <v>45277</v>
      </c>
      <c r="BX1222" s="15" t="s">
        <v>162</v>
      </c>
      <c r="CA1222" s="114"/>
    </row>
    <row r="1223" spans="6:79" ht="19.5" x14ac:dyDescent="0.4">
      <c r="AQ1223" s="115"/>
      <c r="AR1223" s="115"/>
      <c r="AS1223" s="115"/>
      <c r="AT1223" s="115"/>
      <c r="AU1223" s="115"/>
      <c r="AV1223" s="115"/>
      <c r="AW1223" s="115"/>
      <c r="AX1223" s="115"/>
      <c r="AY1223" s="17"/>
      <c r="AZ1223" s="15"/>
      <c r="BD1223" s="115"/>
      <c r="BE1223" s="117"/>
      <c r="BF1223" s="123"/>
      <c r="BG1223" s="123"/>
      <c r="BH1223" s="123"/>
      <c r="BI1223" s="115"/>
      <c r="BJ1223" s="115"/>
      <c r="BK1223" s="115"/>
      <c r="BL1223" s="115"/>
      <c r="BM1223" s="115"/>
      <c r="BN1223" s="115"/>
      <c r="BO1223" s="115"/>
      <c r="BP1223" s="115"/>
      <c r="BQ1223" s="115"/>
      <c r="BR1223" s="115"/>
      <c r="BS1223" s="115"/>
      <c r="BT1223" s="115"/>
      <c r="BU1223" s="115"/>
      <c r="BV1223" s="115"/>
      <c r="BW1223" s="25"/>
      <c r="BX1223" s="15"/>
      <c r="CA1223" s="114"/>
    </row>
    <row r="1224" spans="6:79" ht="19.5" x14ac:dyDescent="0.4">
      <c r="AN1224" s="115"/>
      <c r="AO1224" s="115"/>
      <c r="AP1224" s="115"/>
      <c r="AQ1224" s="115"/>
      <c r="AR1224" s="115"/>
      <c r="AS1224" s="115"/>
      <c r="AT1224" s="115"/>
      <c r="AU1224" s="115"/>
      <c r="AV1224" s="115"/>
      <c r="AW1224" s="115"/>
      <c r="AX1224" s="115"/>
      <c r="AY1224" s="26"/>
      <c r="AZ1224" s="15"/>
      <c r="BD1224" s="115"/>
      <c r="BE1224" s="117"/>
      <c r="BF1224" s="123"/>
      <c r="BG1224" s="123"/>
      <c r="BH1224" s="123"/>
      <c r="BI1224" s="115"/>
      <c r="BJ1224" s="115"/>
      <c r="BK1224" s="115"/>
      <c r="BL1224" s="115"/>
      <c r="BM1224" s="115"/>
      <c r="BN1224" s="115"/>
      <c r="BO1224" s="115"/>
      <c r="BP1224" s="115"/>
      <c r="BQ1224" s="115"/>
      <c r="BR1224" s="115"/>
      <c r="BS1224" s="115"/>
      <c r="BT1224" s="115"/>
      <c r="BU1224" s="115"/>
      <c r="BV1224" s="115"/>
      <c r="BW1224" s="25"/>
      <c r="BX1224" s="15"/>
      <c r="CA1224" s="114"/>
    </row>
    <row r="1225" spans="6:79" ht="19.5" x14ac:dyDescent="0.4">
      <c r="AN1225" s="115"/>
      <c r="AO1225" s="115"/>
      <c r="AP1225" s="115"/>
      <c r="AQ1225" s="115"/>
      <c r="AR1225" s="115"/>
      <c r="AS1225" s="115"/>
      <c r="AT1225" s="115"/>
      <c r="AU1225" s="115"/>
      <c r="AV1225" s="115"/>
      <c r="AW1225" s="115"/>
      <c r="AX1225" s="115"/>
      <c r="AY1225" s="17"/>
      <c r="AZ1225" s="15"/>
      <c r="BD1225" s="115"/>
      <c r="BE1225" s="117"/>
      <c r="BF1225" s="123"/>
      <c r="BG1225" s="123"/>
      <c r="BH1225" s="123"/>
      <c r="BI1225" s="115"/>
      <c r="BJ1225" s="115"/>
      <c r="BK1225" s="115"/>
      <c r="BL1225" s="115"/>
      <c r="BM1225" s="115"/>
      <c r="BN1225" s="115"/>
      <c r="BO1225" s="115"/>
      <c r="BP1225" s="115"/>
      <c r="BQ1225" s="115"/>
      <c r="BR1225" s="115"/>
      <c r="BS1225" s="115"/>
      <c r="BT1225" s="115"/>
      <c r="BU1225" s="115"/>
      <c r="BV1225" s="115"/>
      <c r="BW1225" s="25"/>
      <c r="BX1225" s="15"/>
      <c r="CA1225" s="114"/>
    </row>
    <row r="1226" spans="6:79" ht="19.5" x14ac:dyDescent="0.4">
      <c r="AN1226" s="115"/>
      <c r="AO1226" s="115"/>
      <c r="AP1226" s="115"/>
      <c r="AQ1226" s="115"/>
      <c r="AR1226" s="115"/>
      <c r="AS1226" s="115"/>
      <c r="AT1226" s="115"/>
      <c r="AU1226" s="115"/>
      <c r="AV1226" s="115"/>
      <c r="AW1226" s="115"/>
      <c r="AX1226" s="115"/>
      <c r="AY1226" s="17"/>
      <c r="AZ1226" s="15"/>
      <c r="BD1226" s="115"/>
      <c r="BE1226" s="117"/>
      <c r="BF1226" s="123"/>
      <c r="BG1226" s="123"/>
      <c r="BH1226" s="123"/>
      <c r="BI1226" s="115"/>
      <c r="BJ1226" s="115"/>
      <c r="BK1226" s="115"/>
      <c r="BL1226" s="115"/>
      <c r="BM1226" s="115"/>
      <c r="BN1226" s="115"/>
      <c r="BO1226" s="115"/>
      <c r="BP1226" s="115"/>
      <c r="BQ1226" s="115"/>
      <c r="BR1226" s="115"/>
      <c r="BS1226" s="115"/>
      <c r="BT1226" s="115"/>
      <c r="BU1226" s="115"/>
      <c r="BV1226" s="115"/>
      <c r="BW1226" s="25"/>
      <c r="BX1226" s="15"/>
      <c r="CA1226" s="114"/>
    </row>
    <row r="1227" spans="6:79" ht="19.5" x14ac:dyDescent="0.4">
      <c r="AY1227" s="26"/>
      <c r="AZ1227" s="15"/>
      <c r="BD1227" s="115"/>
      <c r="BE1227" s="117"/>
      <c r="BF1227" s="123"/>
      <c r="BG1227" s="123"/>
      <c r="BH1227" s="123"/>
      <c r="BI1227" s="115"/>
      <c r="BJ1227" s="115"/>
      <c r="BK1227" s="115"/>
      <c r="BL1227" s="115"/>
      <c r="BM1227" s="115"/>
      <c r="BN1227" s="115"/>
      <c r="BO1227" s="115"/>
      <c r="BP1227" s="115"/>
      <c r="BQ1227" s="115"/>
      <c r="BR1227" s="115"/>
      <c r="BS1227" s="115"/>
      <c r="BT1227" s="115"/>
      <c r="BU1227" s="115"/>
      <c r="BV1227" s="115"/>
      <c r="BW1227" s="25">
        <v>45277</v>
      </c>
      <c r="BX1227" s="15" t="s">
        <v>162</v>
      </c>
      <c r="CA1227" s="114"/>
    </row>
    <row r="1228" spans="6:79" ht="19.5" x14ac:dyDescent="0.4">
      <c r="AP1228" s="115"/>
      <c r="AQ1228" s="115"/>
      <c r="AR1228" s="115"/>
      <c r="AS1228" s="115"/>
      <c r="AT1228" s="115"/>
      <c r="AU1228" s="115"/>
      <c r="AV1228" s="115"/>
      <c r="AW1228" s="115"/>
      <c r="AX1228" s="115"/>
      <c r="AY1228" s="17"/>
      <c r="AZ1228" s="15"/>
      <c r="BD1228" s="115"/>
      <c r="BE1228" s="117"/>
      <c r="BF1228" s="123"/>
      <c r="BG1228" s="123"/>
      <c r="BH1228" s="123"/>
      <c r="BI1228" s="115"/>
      <c r="BJ1228" s="115"/>
      <c r="BK1228" s="115"/>
      <c r="BL1228" s="115"/>
      <c r="BM1228" s="115"/>
      <c r="BN1228" s="115"/>
      <c r="BO1228" s="115"/>
      <c r="BP1228" s="115"/>
      <c r="BQ1228" s="115"/>
      <c r="BR1228" s="115"/>
      <c r="BS1228" s="115"/>
      <c r="BT1228" s="115"/>
      <c r="BU1228" s="115"/>
      <c r="BV1228" s="115"/>
      <c r="BW1228" s="131"/>
      <c r="BX1228" s="13"/>
      <c r="CA1228" s="114"/>
    </row>
    <row r="1229" spans="6:79" ht="19.5" x14ac:dyDescent="0.4">
      <c r="AY1229" s="26"/>
      <c r="AZ1229" s="15"/>
      <c r="BD1229" s="115"/>
      <c r="BE1229" s="117"/>
      <c r="BF1229" s="123"/>
      <c r="BG1229" s="123"/>
      <c r="BH1229" s="123"/>
      <c r="BI1229" s="115"/>
      <c r="BJ1229" s="115"/>
      <c r="BK1229" s="115"/>
      <c r="BL1229" s="115"/>
      <c r="BM1229" s="115"/>
      <c r="BN1229" s="115"/>
      <c r="BO1229" s="115"/>
      <c r="BP1229" s="115"/>
      <c r="BQ1229" s="115"/>
      <c r="BR1229" s="115"/>
      <c r="BS1229" s="115"/>
      <c r="BT1229" s="115"/>
      <c r="BU1229" s="115"/>
      <c r="BV1229" s="115"/>
      <c r="BW1229" s="26">
        <v>45277</v>
      </c>
      <c r="BX1229" s="13" t="s">
        <v>162</v>
      </c>
      <c r="CA1229" s="114"/>
    </row>
    <row r="1230" spans="6:79" ht="19.5" x14ac:dyDescent="0.4">
      <c r="AY1230" s="26"/>
      <c r="AZ1230" s="15"/>
      <c r="BD1230" s="115"/>
      <c r="BE1230" s="117"/>
      <c r="BF1230" s="123"/>
      <c r="BG1230" s="123"/>
      <c r="BH1230" s="123"/>
      <c r="BI1230" s="115"/>
      <c r="BJ1230" s="115"/>
      <c r="BK1230" s="115"/>
      <c r="BL1230" s="115"/>
      <c r="BM1230" s="115"/>
      <c r="BN1230" s="115"/>
      <c r="BO1230" s="115"/>
      <c r="BP1230" s="115"/>
      <c r="BQ1230" s="115"/>
      <c r="BR1230" s="115"/>
      <c r="BS1230" s="115"/>
      <c r="BT1230" s="115"/>
      <c r="BU1230" s="115"/>
      <c r="BV1230" s="115"/>
      <c r="BW1230" s="26">
        <v>45277</v>
      </c>
      <c r="BX1230" s="15" t="s">
        <v>162</v>
      </c>
      <c r="CA1230" s="114"/>
    </row>
    <row r="1231" spans="6:79" ht="19.5" x14ac:dyDescent="0.4">
      <c r="F1231" s="115"/>
      <c r="G1231" s="115"/>
      <c r="H1231" s="115"/>
      <c r="I1231" s="115"/>
      <c r="J1231" s="115"/>
      <c r="K1231" s="115"/>
      <c r="L1231" s="115"/>
      <c r="M1231" s="115"/>
      <c r="N1231" s="115"/>
      <c r="O1231" s="115"/>
      <c r="P1231" s="115"/>
      <c r="Q1231" s="115"/>
      <c r="R1231" s="115"/>
      <c r="S1231" s="115"/>
      <c r="T1231" s="115"/>
      <c r="U1231" s="115"/>
      <c r="V1231" s="115"/>
      <c r="W1231" s="115"/>
      <c r="X1231" s="115"/>
      <c r="Y1231" s="115"/>
      <c r="Z1231" s="115"/>
      <c r="AA1231" s="115"/>
      <c r="AB1231" s="115"/>
      <c r="AC1231" s="115"/>
      <c r="AD1231" s="115"/>
      <c r="AE1231" s="115"/>
      <c r="AF1231" s="115"/>
      <c r="AG1231" s="115"/>
      <c r="AH1231" s="115"/>
      <c r="AI1231" s="115"/>
      <c r="AJ1231" s="115"/>
      <c r="AK1231" s="115"/>
      <c r="AL1231" s="115"/>
      <c r="AM1231" s="115"/>
      <c r="AN1231" s="115"/>
      <c r="AO1231" s="115"/>
      <c r="AP1231" s="115"/>
      <c r="AQ1231" s="115"/>
      <c r="AR1231" s="115"/>
      <c r="AS1231" s="115"/>
      <c r="AT1231" s="115"/>
      <c r="AU1231" s="115"/>
      <c r="AV1231" s="115"/>
      <c r="AW1231" s="115"/>
      <c r="AX1231" s="115"/>
      <c r="AY1231" s="26"/>
      <c r="AZ1231" s="15"/>
      <c r="BD1231" s="115"/>
      <c r="BE1231" s="117"/>
      <c r="BF1231" s="123"/>
      <c r="BG1231" s="123"/>
      <c r="BH1231" s="123"/>
      <c r="BI1231" s="115"/>
      <c r="BJ1231" s="115"/>
      <c r="BK1231" s="115"/>
      <c r="BL1231" s="115"/>
      <c r="BM1231" s="115"/>
      <c r="BN1231" s="115"/>
      <c r="BO1231" s="115"/>
      <c r="BP1231" s="115"/>
      <c r="BQ1231" s="115"/>
      <c r="BR1231" s="115"/>
      <c r="BS1231" s="115"/>
      <c r="BT1231" s="115"/>
      <c r="BU1231" s="115"/>
      <c r="BV1231" s="115"/>
      <c r="BW1231" s="26"/>
      <c r="BX1231" s="15"/>
      <c r="CA1231" s="114"/>
    </row>
    <row r="1232" spans="6:79" ht="19.5" x14ac:dyDescent="0.4">
      <c r="AY1232" s="26"/>
      <c r="AZ1232" s="15"/>
      <c r="BD1232" s="115"/>
      <c r="BE1232" s="117"/>
      <c r="BF1232" s="123"/>
      <c r="BG1232" s="123"/>
      <c r="BH1232" s="123"/>
      <c r="BI1232" s="115"/>
      <c r="BJ1232" s="115"/>
      <c r="BK1232" s="115"/>
      <c r="BL1232" s="115"/>
      <c r="BM1232" s="115"/>
      <c r="BN1232" s="115"/>
      <c r="BO1232" s="115"/>
      <c r="BP1232" s="115"/>
      <c r="BQ1232" s="115"/>
      <c r="BR1232" s="115"/>
      <c r="BS1232" s="115"/>
      <c r="BT1232" s="115"/>
      <c r="BU1232" s="115"/>
      <c r="BV1232" s="115"/>
      <c r="BW1232" s="26">
        <v>45277</v>
      </c>
      <c r="BX1232" s="15" t="s">
        <v>162</v>
      </c>
      <c r="CA1232" s="114"/>
    </row>
    <row r="1233" spans="6:79" ht="19.5" x14ac:dyDescent="0.4">
      <c r="AY1233" s="26"/>
      <c r="AZ1233" s="15"/>
      <c r="BD1233" s="115"/>
      <c r="BE1233" s="117"/>
      <c r="BF1233" s="123"/>
      <c r="BG1233" s="123"/>
      <c r="BH1233" s="123"/>
      <c r="BI1233" s="115"/>
      <c r="BJ1233" s="115"/>
      <c r="BK1233" s="115"/>
      <c r="BL1233" s="115"/>
      <c r="BM1233" s="115"/>
      <c r="BN1233" s="115"/>
      <c r="BO1233" s="115"/>
      <c r="BP1233" s="115"/>
      <c r="BQ1233" s="115"/>
      <c r="BR1233" s="115"/>
      <c r="BS1233" s="115"/>
      <c r="BT1233" s="115"/>
      <c r="BU1233" s="115"/>
      <c r="BV1233" s="115" t="s">
        <v>160</v>
      </c>
      <c r="BW1233" s="17">
        <f>SUBTOTAL(3,BW1222:BW1232)</f>
        <v>5</v>
      </c>
      <c r="BX1233" s="15">
        <f>SUBTOTAL(3,BX1222:BX1232)</f>
        <v>5</v>
      </c>
      <c r="CA1233" s="114"/>
    </row>
    <row r="1234" spans="6:79" ht="19.5" x14ac:dyDescent="0.4">
      <c r="F1234" s="115"/>
      <c r="G1234" s="115"/>
      <c r="H1234" s="115"/>
      <c r="I1234" s="115"/>
      <c r="J1234" s="115"/>
      <c r="K1234" s="115"/>
      <c r="L1234" s="115"/>
      <c r="M1234" s="115"/>
      <c r="N1234" s="115"/>
      <c r="O1234" s="115"/>
      <c r="P1234" s="115"/>
      <c r="Q1234" s="115"/>
      <c r="R1234" s="115"/>
      <c r="S1234" s="115"/>
      <c r="T1234" s="115"/>
      <c r="U1234" s="115"/>
      <c r="V1234" s="115"/>
      <c r="W1234" s="115"/>
      <c r="X1234" s="115"/>
      <c r="Y1234" s="115"/>
      <c r="Z1234" s="115"/>
      <c r="AA1234" s="115"/>
      <c r="AB1234" s="115"/>
      <c r="AC1234" s="115"/>
      <c r="AD1234" s="115"/>
      <c r="AE1234" s="115"/>
      <c r="AF1234" s="115"/>
      <c r="AG1234" s="115"/>
      <c r="AH1234" s="115"/>
      <c r="AI1234" s="115"/>
      <c r="AJ1234" s="115"/>
      <c r="AK1234" s="115"/>
      <c r="AL1234" s="115"/>
      <c r="AM1234" s="115"/>
      <c r="AN1234" s="115"/>
      <c r="AO1234" s="115"/>
      <c r="AP1234" s="115"/>
      <c r="AQ1234" s="115"/>
      <c r="AR1234" s="115"/>
      <c r="AS1234" s="115"/>
      <c r="AT1234" s="115"/>
      <c r="AU1234" s="115"/>
      <c r="AV1234" s="115"/>
      <c r="AW1234" s="115"/>
      <c r="AX1234" s="115"/>
      <c r="AY1234" s="26"/>
      <c r="AZ1234" s="15"/>
      <c r="BD1234" s="115"/>
      <c r="BE1234" s="117"/>
      <c r="BF1234" s="123"/>
      <c r="BG1234" s="123"/>
      <c r="BH1234" s="123"/>
      <c r="BI1234" s="115"/>
      <c r="BJ1234" s="115"/>
      <c r="BK1234" s="115"/>
      <c r="BL1234" s="115"/>
      <c r="BM1234" s="115"/>
      <c r="BN1234" s="115"/>
      <c r="BO1234" s="115"/>
      <c r="BP1234" s="115"/>
      <c r="BQ1234" s="115"/>
      <c r="BR1234" s="115"/>
      <c r="BS1234" s="115"/>
      <c r="BT1234" s="115"/>
      <c r="BU1234" s="115"/>
      <c r="BV1234" s="115"/>
      <c r="BW1234" s="17"/>
      <c r="BX1234" s="15"/>
      <c r="CA1234" s="114"/>
    </row>
    <row r="1235" spans="6:79" ht="19.5" x14ac:dyDescent="0.4">
      <c r="F1235" s="115"/>
      <c r="G1235" s="115"/>
      <c r="H1235" s="115"/>
      <c r="I1235" s="115"/>
      <c r="J1235" s="115"/>
      <c r="K1235" s="115"/>
      <c r="L1235" s="115"/>
      <c r="M1235" s="115"/>
      <c r="N1235" s="115"/>
      <c r="O1235" s="115"/>
      <c r="P1235" s="115"/>
      <c r="Q1235" s="115"/>
      <c r="R1235" s="115"/>
      <c r="S1235" s="115"/>
      <c r="T1235" s="115"/>
      <c r="U1235" s="115"/>
      <c r="V1235" s="115"/>
      <c r="W1235" s="115"/>
      <c r="X1235" s="115"/>
      <c r="Y1235" s="115"/>
      <c r="Z1235" s="115"/>
      <c r="AA1235" s="115"/>
      <c r="AB1235" s="115"/>
      <c r="AC1235" s="115"/>
      <c r="AD1235" s="115"/>
      <c r="AE1235" s="115"/>
      <c r="AF1235" s="115"/>
      <c r="AG1235" s="115"/>
      <c r="AH1235" s="115"/>
      <c r="AI1235" s="115"/>
      <c r="AJ1235" s="115"/>
      <c r="AK1235" s="115"/>
      <c r="AL1235" s="115"/>
      <c r="AM1235" s="115"/>
      <c r="AN1235" s="115"/>
      <c r="AO1235" s="115"/>
      <c r="AP1235" s="115"/>
      <c r="AQ1235" s="115"/>
      <c r="AR1235" s="115"/>
      <c r="AS1235" s="115"/>
      <c r="AT1235" s="115"/>
      <c r="AU1235" s="115"/>
      <c r="AV1235" s="115"/>
      <c r="AW1235" s="115"/>
      <c r="AX1235" s="115"/>
      <c r="AY1235" s="26"/>
      <c r="AZ1235" s="15"/>
      <c r="BD1235" s="115"/>
      <c r="BE1235" s="117"/>
      <c r="BF1235" s="123"/>
      <c r="BG1235" s="123"/>
      <c r="BH1235" s="123"/>
      <c r="BI1235" s="115"/>
      <c r="BJ1235" s="115"/>
      <c r="BK1235" s="115"/>
      <c r="BL1235" s="115"/>
      <c r="BM1235" s="115"/>
      <c r="BN1235" s="115"/>
      <c r="BO1235" s="115"/>
      <c r="BP1235" s="115"/>
      <c r="BQ1235" s="115"/>
      <c r="BR1235" s="115"/>
      <c r="BS1235" s="115"/>
      <c r="BT1235" s="115"/>
      <c r="BU1235" s="115"/>
      <c r="BV1235" s="115"/>
      <c r="BW1235" s="17"/>
      <c r="BX1235" s="15"/>
      <c r="CA1235" s="114"/>
    </row>
    <row r="1236" spans="6:79" ht="19.5" x14ac:dyDescent="0.4">
      <c r="AY1236" s="26"/>
      <c r="AZ1236" s="15"/>
      <c r="BD1236" s="115"/>
      <c r="BE1236" s="117"/>
      <c r="BF1236" s="123"/>
      <c r="BG1236" s="123"/>
      <c r="BH1236" s="123"/>
      <c r="BI1236" s="115"/>
      <c r="BJ1236" s="115"/>
      <c r="BK1236" s="115"/>
      <c r="BL1236" s="115"/>
      <c r="BM1236" s="115"/>
      <c r="BN1236" s="115"/>
      <c r="BO1236" s="115"/>
      <c r="BP1236" s="115"/>
      <c r="BQ1236" s="115"/>
      <c r="BR1236" s="115"/>
      <c r="BS1236" s="115"/>
      <c r="BT1236" s="115"/>
      <c r="BU1236" s="115"/>
      <c r="BV1236" s="115"/>
      <c r="BW1236" s="26">
        <v>45278</v>
      </c>
      <c r="BX1236" s="15" t="s">
        <v>164</v>
      </c>
      <c r="CA1236" s="114"/>
    </row>
    <row r="1237" spans="6:79" ht="19.5" x14ac:dyDescent="0.4">
      <c r="AY1237" s="26"/>
      <c r="AZ1237" s="15"/>
      <c r="BD1237" s="115"/>
      <c r="BE1237" s="117"/>
      <c r="BF1237" s="123"/>
      <c r="BG1237" s="123"/>
      <c r="BH1237" s="123"/>
      <c r="BI1237" s="115"/>
      <c r="BJ1237" s="115"/>
      <c r="BK1237" s="115"/>
      <c r="BL1237" s="115"/>
      <c r="BM1237" s="115"/>
      <c r="BN1237" s="115"/>
      <c r="BO1237" s="115"/>
      <c r="BP1237" s="115"/>
      <c r="BQ1237" s="115"/>
      <c r="BR1237" s="115"/>
      <c r="BS1237" s="115"/>
      <c r="BT1237" s="115"/>
      <c r="BU1237" s="115"/>
      <c r="BV1237" s="115"/>
      <c r="BW1237" s="26">
        <v>45278</v>
      </c>
      <c r="BX1237" s="15" t="s">
        <v>164</v>
      </c>
      <c r="CA1237" s="114"/>
    </row>
    <row r="1238" spans="6:79" ht="19.5" x14ac:dyDescent="0.4">
      <c r="AN1238" s="115"/>
      <c r="AO1238" s="115"/>
      <c r="AP1238" s="115"/>
      <c r="AQ1238" s="115"/>
      <c r="AR1238" s="115"/>
      <c r="AS1238" s="115"/>
      <c r="AT1238" s="115"/>
      <c r="AU1238" s="115"/>
      <c r="AV1238" s="115"/>
      <c r="AW1238" s="115"/>
      <c r="AX1238" s="115"/>
      <c r="AY1238" s="26"/>
      <c r="AZ1238" s="15"/>
      <c r="BD1238" s="115"/>
      <c r="BE1238" s="117"/>
      <c r="BF1238" s="123"/>
      <c r="BG1238" s="123"/>
      <c r="BH1238" s="123"/>
      <c r="BI1238" s="115"/>
      <c r="BJ1238" s="115"/>
      <c r="BK1238" s="115"/>
      <c r="BL1238" s="115"/>
      <c r="BM1238" s="115"/>
      <c r="BN1238" s="115"/>
      <c r="BO1238" s="115"/>
      <c r="BP1238" s="115"/>
      <c r="BQ1238" s="115"/>
      <c r="BR1238" s="115"/>
      <c r="BS1238" s="115"/>
      <c r="BT1238" s="115"/>
      <c r="BU1238" s="115"/>
      <c r="BV1238" s="115"/>
      <c r="BW1238" s="26"/>
      <c r="BX1238" s="15"/>
      <c r="CA1238" s="114"/>
    </row>
    <row r="1239" spans="6:79" ht="19.5" x14ac:dyDescent="0.4">
      <c r="AY1239" s="26"/>
      <c r="AZ1239" s="15"/>
      <c r="BD1239" s="115"/>
      <c r="BE1239" s="117"/>
      <c r="BF1239" s="123"/>
      <c r="BG1239" s="123"/>
      <c r="BH1239" s="123"/>
      <c r="BI1239" s="115"/>
      <c r="BJ1239" s="115"/>
      <c r="BK1239" s="115"/>
      <c r="BL1239" s="115"/>
      <c r="BM1239" s="115"/>
      <c r="BN1239" s="115"/>
      <c r="BO1239" s="115"/>
      <c r="BP1239" s="115"/>
      <c r="BQ1239" s="115"/>
      <c r="BR1239" s="115"/>
      <c r="BS1239" s="115"/>
      <c r="BT1239" s="115"/>
      <c r="BU1239" s="115"/>
      <c r="BV1239" s="115"/>
      <c r="BW1239" s="26">
        <v>45278</v>
      </c>
      <c r="BX1239" s="15" t="s">
        <v>162</v>
      </c>
      <c r="CA1239" s="114"/>
    </row>
    <row r="1240" spans="6:79" ht="19.5" x14ac:dyDescent="0.4">
      <c r="AP1240" s="115"/>
      <c r="AQ1240" s="115"/>
      <c r="AR1240" s="115"/>
      <c r="AS1240" s="115"/>
      <c r="AT1240" s="115"/>
      <c r="AU1240" s="115"/>
      <c r="AV1240" s="115"/>
      <c r="AW1240" s="115"/>
      <c r="AX1240" s="115"/>
      <c r="AY1240" s="17"/>
      <c r="AZ1240" s="15"/>
      <c r="BD1240" s="115"/>
      <c r="BE1240" s="117"/>
      <c r="BF1240" s="123"/>
      <c r="BG1240" s="123"/>
      <c r="BH1240" s="123"/>
      <c r="BI1240" s="115"/>
      <c r="BJ1240" s="115"/>
      <c r="BK1240" s="115"/>
      <c r="BL1240" s="115"/>
      <c r="BM1240" s="115"/>
      <c r="BN1240" s="115"/>
      <c r="BO1240" s="115"/>
      <c r="BP1240" s="115"/>
      <c r="BQ1240" s="115"/>
      <c r="BR1240" s="115"/>
      <c r="BS1240" s="115"/>
      <c r="BT1240" s="115"/>
      <c r="BU1240" s="115"/>
      <c r="BV1240" s="115"/>
      <c r="BW1240" s="26"/>
      <c r="BX1240" s="15"/>
      <c r="CA1240" s="114"/>
    </row>
    <row r="1241" spans="6:79" ht="19.5" x14ac:dyDescent="0.4">
      <c r="AN1241" s="115"/>
      <c r="AO1241" s="115"/>
      <c r="AP1241" s="115"/>
      <c r="AQ1241" s="115"/>
      <c r="AR1241" s="115"/>
      <c r="AS1241" s="115"/>
      <c r="AT1241" s="115"/>
      <c r="AU1241" s="115"/>
      <c r="AV1241" s="115"/>
      <c r="AW1241" s="115"/>
      <c r="AX1241" s="115"/>
      <c r="AY1241" s="26"/>
      <c r="AZ1241" s="15"/>
      <c r="BD1241" s="115"/>
      <c r="BE1241" s="117"/>
      <c r="BF1241" s="123"/>
      <c r="BG1241" s="123"/>
      <c r="BH1241" s="123"/>
      <c r="BI1241" s="115"/>
      <c r="BJ1241" s="115"/>
      <c r="BK1241" s="115"/>
      <c r="BL1241" s="115"/>
      <c r="BM1241" s="115"/>
      <c r="BN1241" s="115"/>
      <c r="BO1241" s="115"/>
      <c r="BP1241" s="115"/>
      <c r="BQ1241" s="115"/>
      <c r="BR1241" s="115"/>
      <c r="BS1241" s="115"/>
      <c r="BT1241" s="115"/>
      <c r="BU1241" s="115"/>
      <c r="BV1241" s="115"/>
      <c r="BW1241" s="26"/>
      <c r="BX1241" s="15"/>
      <c r="CA1241" s="114"/>
    </row>
    <row r="1242" spans="6:79" ht="19.5" x14ac:dyDescent="0.4">
      <c r="AN1242" s="115"/>
      <c r="AO1242" s="115"/>
      <c r="AP1242" s="115"/>
      <c r="AQ1242" s="115"/>
      <c r="AR1242" s="115"/>
      <c r="AS1242" s="115"/>
      <c r="AT1242" s="115"/>
      <c r="AU1242" s="115"/>
      <c r="AV1242" s="115"/>
      <c r="AW1242" s="115"/>
      <c r="AX1242" s="115"/>
      <c r="AY1242" s="17"/>
      <c r="AZ1242" s="15"/>
      <c r="BD1242" s="115"/>
      <c r="BE1242" s="117"/>
      <c r="BF1242" s="123"/>
      <c r="BG1242" s="123"/>
      <c r="BH1242" s="123"/>
      <c r="BI1242" s="115"/>
      <c r="BJ1242" s="115"/>
      <c r="BK1242" s="115"/>
      <c r="BL1242" s="115"/>
      <c r="BM1242" s="115"/>
      <c r="BN1242" s="115"/>
      <c r="BO1242" s="115"/>
      <c r="BP1242" s="115"/>
      <c r="BQ1242" s="115"/>
      <c r="BR1242" s="115"/>
      <c r="BS1242" s="115"/>
      <c r="BT1242" s="115"/>
      <c r="BU1242" s="115"/>
      <c r="BV1242" s="115"/>
      <c r="BW1242" s="26"/>
      <c r="BX1242" s="15"/>
      <c r="CA1242" s="114"/>
    </row>
    <row r="1243" spans="6:79" ht="19.5" x14ac:dyDescent="0.4">
      <c r="AY1243" s="26"/>
      <c r="AZ1243" s="15"/>
      <c r="BD1243" s="115"/>
      <c r="BE1243" s="117"/>
      <c r="BF1243" s="123"/>
      <c r="BG1243" s="123"/>
      <c r="BH1243" s="123"/>
      <c r="BI1243" s="115"/>
      <c r="BJ1243" s="115"/>
      <c r="BK1243" s="115"/>
      <c r="BL1243" s="115"/>
      <c r="BM1243" s="115"/>
      <c r="BN1243" s="115"/>
      <c r="BO1243" s="115"/>
      <c r="BP1243" s="115"/>
      <c r="BQ1243" s="115"/>
      <c r="BR1243" s="115"/>
      <c r="BS1243" s="115"/>
      <c r="BT1243" s="115"/>
      <c r="BU1243" s="115"/>
      <c r="BV1243" s="115"/>
      <c r="BW1243" s="26">
        <v>45278</v>
      </c>
      <c r="BX1243" s="15" t="s">
        <v>142</v>
      </c>
      <c r="CA1243" s="114"/>
    </row>
    <row r="1244" spans="6:79" ht="19.5" x14ac:dyDescent="0.4">
      <c r="AY1244" s="26"/>
      <c r="AZ1244" s="15"/>
      <c r="BD1244" s="115"/>
      <c r="BE1244" s="117"/>
      <c r="BF1244" s="123"/>
      <c r="BG1244" s="123"/>
      <c r="BH1244" s="123"/>
      <c r="BI1244" s="115"/>
      <c r="BJ1244" s="115"/>
      <c r="BK1244" s="115"/>
      <c r="BL1244" s="115"/>
      <c r="BM1244" s="115"/>
      <c r="BN1244" s="115"/>
      <c r="BO1244" s="115"/>
      <c r="BP1244" s="115"/>
      <c r="BQ1244" s="115"/>
      <c r="BR1244" s="115"/>
      <c r="BS1244" s="115"/>
      <c r="BT1244" s="115"/>
      <c r="BU1244" s="115"/>
      <c r="BV1244" s="115"/>
      <c r="BW1244" s="26">
        <v>45278</v>
      </c>
      <c r="BX1244" s="15" t="s">
        <v>162</v>
      </c>
      <c r="CA1244" s="114"/>
    </row>
    <row r="1245" spans="6:79" ht="19.5" x14ac:dyDescent="0.4">
      <c r="AY1245" s="26"/>
      <c r="AZ1245" s="15"/>
      <c r="BD1245" s="115"/>
      <c r="BE1245" s="117"/>
      <c r="BF1245" s="123"/>
      <c r="BG1245" s="123"/>
      <c r="BH1245" s="123"/>
      <c r="BI1245" s="115"/>
      <c r="BJ1245" s="115"/>
      <c r="BK1245" s="115"/>
      <c r="BL1245" s="115"/>
      <c r="BM1245" s="115"/>
      <c r="BN1245" s="115"/>
      <c r="BO1245" s="115"/>
      <c r="BP1245" s="115"/>
      <c r="BQ1245" s="115"/>
      <c r="BR1245" s="115"/>
      <c r="BS1245" s="115"/>
      <c r="BT1245" s="115"/>
      <c r="BU1245" s="115"/>
      <c r="BV1245" s="115"/>
      <c r="BW1245" s="26">
        <v>45278</v>
      </c>
      <c r="BX1245" s="15" t="s">
        <v>162</v>
      </c>
      <c r="CA1245" s="114"/>
    </row>
    <row r="1246" spans="6:79" ht="19.5" x14ac:dyDescent="0.4">
      <c r="AP1246" s="115"/>
      <c r="AQ1246" s="115"/>
      <c r="AR1246" s="115"/>
      <c r="AS1246" s="115"/>
      <c r="AT1246" s="115"/>
      <c r="AU1246" s="115"/>
      <c r="AV1246" s="115"/>
      <c r="AW1246" s="115"/>
      <c r="AX1246" s="115"/>
      <c r="AY1246" s="17"/>
      <c r="AZ1246" s="15"/>
      <c r="BD1246" s="115"/>
      <c r="BE1246" s="117"/>
      <c r="BF1246" s="123"/>
      <c r="BG1246" s="123"/>
      <c r="BH1246" s="123"/>
      <c r="BI1246" s="115"/>
      <c r="BJ1246" s="115"/>
      <c r="BK1246" s="115"/>
      <c r="BL1246" s="115"/>
      <c r="BM1246" s="115"/>
      <c r="BN1246" s="115"/>
      <c r="BO1246" s="115"/>
      <c r="BP1246" s="115"/>
      <c r="BQ1246" s="115"/>
      <c r="BR1246" s="115"/>
      <c r="BS1246" s="115"/>
      <c r="BT1246" s="115"/>
      <c r="BU1246" s="115"/>
      <c r="BV1246" s="115"/>
      <c r="BW1246" s="26"/>
      <c r="BX1246" s="15"/>
      <c r="CA1246" s="114"/>
    </row>
    <row r="1247" spans="6:79" ht="19.5" x14ac:dyDescent="0.4">
      <c r="AN1247" s="115"/>
      <c r="AO1247" s="115"/>
      <c r="AP1247" s="115"/>
      <c r="AQ1247" s="115"/>
      <c r="AR1247" s="115"/>
      <c r="AS1247" s="115"/>
      <c r="AT1247" s="115"/>
      <c r="AU1247" s="115"/>
      <c r="AV1247" s="115"/>
      <c r="AW1247" s="115"/>
      <c r="AX1247" s="115"/>
      <c r="AY1247" s="26"/>
      <c r="AZ1247" s="15"/>
      <c r="BD1247" s="115"/>
      <c r="BE1247" s="117"/>
      <c r="BF1247" s="123"/>
      <c r="BG1247" s="123"/>
      <c r="BH1247" s="123"/>
      <c r="BI1247" s="115"/>
      <c r="BJ1247" s="115"/>
      <c r="BK1247" s="115"/>
      <c r="BL1247" s="115"/>
      <c r="BM1247" s="115"/>
      <c r="BN1247" s="115"/>
      <c r="BO1247" s="115"/>
      <c r="BP1247" s="115"/>
      <c r="BQ1247" s="115"/>
      <c r="BR1247" s="115"/>
      <c r="BS1247" s="115"/>
      <c r="BT1247" s="115"/>
      <c r="BU1247" s="115"/>
      <c r="BV1247" s="115"/>
      <c r="BW1247" s="26"/>
      <c r="BX1247" s="15"/>
      <c r="CA1247" s="114"/>
    </row>
    <row r="1248" spans="6:79" ht="19.5" x14ac:dyDescent="0.4">
      <c r="F1248" s="115"/>
      <c r="G1248" s="115"/>
      <c r="H1248" s="115"/>
      <c r="I1248" s="115"/>
      <c r="J1248" s="115"/>
      <c r="K1248" s="115"/>
      <c r="L1248" s="115"/>
      <c r="M1248" s="115"/>
      <c r="N1248" s="115"/>
      <c r="O1248" s="115"/>
      <c r="P1248" s="115"/>
      <c r="Q1248" s="115"/>
      <c r="R1248" s="115"/>
      <c r="S1248" s="115"/>
      <c r="T1248" s="115"/>
      <c r="U1248" s="115"/>
      <c r="V1248" s="115"/>
      <c r="W1248" s="115"/>
      <c r="X1248" s="115"/>
      <c r="Y1248" s="115"/>
      <c r="Z1248" s="115"/>
      <c r="AA1248" s="115"/>
      <c r="AB1248" s="115"/>
      <c r="AC1248" s="115"/>
      <c r="AD1248" s="115"/>
      <c r="AE1248" s="115"/>
      <c r="AF1248" s="115"/>
      <c r="AG1248" s="115"/>
      <c r="AH1248" s="115"/>
      <c r="AI1248" s="115"/>
      <c r="AJ1248" s="115"/>
      <c r="AK1248" s="115"/>
      <c r="AL1248" s="115"/>
      <c r="AM1248" s="115"/>
      <c r="AN1248" s="115"/>
      <c r="AO1248" s="115"/>
      <c r="AP1248" s="115"/>
      <c r="AQ1248" s="115"/>
      <c r="AR1248" s="115"/>
      <c r="AS1248" s="115"/>
      <c r="AT1248" s="115"/>
      <c r="AU1248" s="115"/>
      <c r="AV1248" s="115"/>
      <c r="AW1248" s="115"/>
      <c r="AX1248" s="115"/>
      <c r="AY1248" s="26"/>
      <c r="AZ1248" s="15"/>
      <c r="BD1248" s="115"/>
      <c r="BE1248" s="117"/>
      <c r="BF1248" s="123"/>
      <c r="BG1248" s="123"/>
      <c r="BH1248" s="123"/>
      <c r="BI1248" s="115"/>
      <c r="BJ1248" s="115"/>
      <c r="BK1248" s="115"/>
      <c r="BL1248" s="115"/>
      <c r="BM1248" s="115"/>
      <c r="BN1248" s="115"/>
      <c r="BO1248" s="115"/>
      <c r="BP1248" s="115"/>
      <c r="BQ1248" s="115"/>
      <c r="BR1248" s="115"/>
      <c r="BS1248" s="115"/>
      <c r="BT1248" s="115"/>
      <c r="BU1248" s="115"/>
      <c r="BV1248" s="115"/>
      <c r="BW1248" s="26"/>
      <c r="BX1248" s="15"/>
      <c r="CA1248" s="114"/>
    </row>
    <row r="1249" spans="6:79" ht="19.5" x14ac:dyDescent="0.4">
      <c r="F1249" s="115"/>
      <c r="G1249" s="115"/>
      <c r="H1249" s="115"/>
      <c r="I1249" s="115"/>
      <c r="J1249" s="115"/>
      <c r="K1249" s="115"/>
      <c r="L1249" s="115"/>
      <c r="M1249" s="115"/>
      <c r="N1249" s="115"/>
      <c r="O1249" s="115"/>
      <c r="P1249" s="115"/>
      <c r="Q1249" s="115"/>
      <c r="R1249" s="115"/>
      <c r="S1249" s="115"/>
      <c r="T1249" s="115"/>
      <c r="U1249" s="115"/>
      <c r="V1249" s="115"/>
      <c r="W1249" s="115"/>
      <c r="X1249" s="115"/>
      <c r="Y1249" s="115"/>
      <c r="Z1249" s="115"/>
      <c r="AA1249" s="115"/>
      <c r="AB1249" s="115"/>
      <c r="AC1249" s="115"/>
      <c r="AD1249" s="115"/>
      <c r="AE1249" s="115"/>
      <c r="AF1249" s="115"/>
      <c r="AG1249" s="115"/>
      <c r="AH1249" s="115"/>
      <c r="AI1249" s="115"/>
      <c r="AJ1249" s="115"/>
      <c r="AK1249" s="115"/>
      <c r="AL1249" s="115"/>
      <c r="AM1249" s="115"/>
      <c r="AN1249" s="115"/>
      <c r="AO1249" s="115"/>
      <c r="AP1249" s="115"/>
      <c r="AQ1249" s="115"/>
      <c r="AR1249" s="115"/>
      <c r="AS1249" s="115"/>
      <c r="AT1249" s="115"/>
      <c r="AU1249" s="115"/>
      <c r="AV1249" s="115"/>
      <c r="AW1249" s="115"/>
      <c r="AX1249" s="115"/>
      <c r="AY1249" s="17"/>
      <c r="AZ1249" s="15"/>
      <c r="BD1249" s="115"/>
      <c r="BE1249" s="117"/>
      <c r="BF1249" s="123"/>
      <c r="BG1249" s="123"/>
      <c r="BH1249" s="123"/>
      <c r="BI1249" s="115"/>
      <c r="BJ1249" s="115"/>
      <c r="BK1249" s="115"/>
      <c r="BL1249" s="115"/>
      <c r="BM1249" s="115"/>
      <c r="BN1249" s="115"/>
      <c r="BO1249" s="115"/>
      <c r="BP1249" s="115"/>
      <c r="BQ1249" s="115"/>
      <c r="BR1249" s="115"/>
      <c r="BS1249" s="115"/>
      <c r="BT1249" s="115"/>
      <c r="BU1249" s="115"/>
      <c r="BV1249" s="115"/>
      <c r="BW1249" s="26"/>
      <c r="BX1249" s="15"/>
      <c r="CA1249" s="114"/>
    </row>
    <row r="1250" spans="6:79" ht="19.5" x14ac:dyDescent="0.4">
      <c r="F1250" s="115"/>
      <c r="G1250" s="115"/>
      <c r="H1250" s="115"/>
      <c r="I1250" s="115"/>
      <c r="J1250" s="115"/>
      <c r="K1250" s="115"/>
      <c r="L1250" s="115"/>
      <c r="M1250" s="115"/>
      <c r="N1250" s="115"/>
      <c r="O1250" s="115"/>
      <c r="P1250" s="115"/>
      <c r="Q1250" s="115"/>
      <c r="R1250" s="115"/>
      <c r="S1250" s="115"/>
      <c r="T1250" s="115"/>
      <c r="U1250" s="115"/>
      <c r="V1250" s="115"/>
      <c r="W1250" s="115"/>
      <c r="X1250" s="115"/>
      <c r="Y1250" s="115"/>
      <c r="Z1250" s="115"/>
      <c r="AA1250" s="115"/>
      <c r="AB1250" s="115"/>
      <c r="AC1250" s="115"/>
      <c r="AD1250" s="115"/>
      <c r="AE1250" s="115"/>
      <c r="AF1250" s="115"/>
      <c r="AG1250" s="115"/>
      <c r="AH1250" s="115"/>
      <c r="AI1250" s="115"/>
      <c r="AJ1250" s="115"/>
      <c r="AK1250" s="115"/>
      <c r="AL1250" s="115"/>
      <c r="AM1250" s="115"/>
      <c r="AN1250" s="115"/>
      <c r="AO1250" s="115"/>
      <c r="AP1250" s="115"/>
      <c r="AQ1250" s="115"/>
      <c r="AR1250" s="115"/>
      <c r="AS1250" s="115"/>
      <c r="AT1250" s="115"/>
      <c r="AU1250" s="115"/>
      <c r="AV1250" s="115"/>
      <c r="AW1250" s="115"/>
      <c r="AX1250" s="115"/>
      <c r="AY1250" s="26"/>
      <c r="AZ1250" s="15"/>
      <c r="BD1250" s="115"/>
      <c r="BE1250" s="117"/>
      <c r="BF1250" s="123"/>
      <c r="BG1250" s="123"/>
      <c r="BH1250" s="123"/>
      <c r="BI1250" s="115"/>
      <c r="BJ1250" s="115"/>
      <c r="BK1250" s="115"/>
      <c r="BL1250" s="115"/>
      <c r="BM1250" s="115"/>
      <c r="BN1250" s="115"/>
      <c r="BO1250" s="115"/>
      <c r="BP1250" s="115"/>
      <c r="BQ1250" s="115"/>
      <c r="BR1250" s="115"/>
      <c r="BS1250" s="115"/>
      <c r="BT1250" s="115"/>
      <c r="BU1250" s="115"/>
      <c r="BV1250" s="115"/>
      <c r="BW1250" s="26"/>
      <c r="BX1250" s="15"/>
      <c r="CA1250" s="114"/>
    </row>
    <row r="1251" spans="6:79" ht="19.5" x14ac:dyDescent="0.4">
      <c r="AY1251" s="26"/>
      <c r="AZ1251" s="15"/>
      <c r="BD1251" s="115"/>
      <c r="BE1251" s="117"/>
      <c r="BF1251" s="123"/>
      <c r="BG1251" s="123"/>
      <c r="BH1251" s="123"/>
      <c r="BI1251" s="115"/>
      <c r="BJ1251" s="115"/>
      <c r="BK1251" s="115"/>
      <c r="BL1251" s="115"/>
      <c r="BM1251" s="115"/>
      <c r="BN1251" s="115"/>
      <c r="BO1251" s="115"/>
      <c r="BP1251" s="115"/>
      <c r="BQ1251" s="115"/>
      <c r="BR1251" s="115"/>
      <c r="BS1251" s="115"/>
      <c r="BT1251" s="115"/>
      <c r="BU1251" s="115"/>
      <c r="BV1251" s="115"/>
      <c r="BW1251" s="26">
        <v>45278</v>
      </c>
      <c r="BX1251" s="15" t="s">
        <v>162</v>
      </c>
      <c r="CA1251" s="114"/>
    </row>
    <row r="1252" spans="6:79" ht="19.5" x14ac:dyDescent="0.4">
      <c r="AN1252" s="115"/>
      <c r="AO1252" s="115"/>
      <c r="AP1252" s="115"/>
      <c r="AQ1252" s="115"/>
      <c r="AR1252" s="115"/>
      <c r="AS1252" s="115"/>
      <c r="AT1252" s="115"/>
      <c r="AU1252" s="115"/>
      <c r="AV1252" s="115"/>
      <c r="AW1252" s="115"/>
      <c r="AX1252" s="115"/>
      <c r="AY1252" s="26"/>
      <c r="AZ1252" s="15"/>
      <c r="BD1252" s="115"/>
      <c r="BE1252" s="117"/>
      <c r="BF1252" s="123"/>
      <c r="BG1252" s="123"/>
      <c r="BH1252" s="123"/>
      <c r="BI1252" s="115"/>
      <c r="BJ1252" s="115"/>
      <c r="BK1252" s="115"/>
      <c r="BL1252" s="115"/>
      <c r="BM1252" s="115"/>
      <c r="BN1252" s="115"/>
      <c r="BO1252" s="115"/>
      <c r="BP1252" s="115"/>
      <c r="BQ1252" s="115"/>
      <c r="BR1252" s="115"/>
      <c r="BS1252" s="115"/>
      <c r="BT1252" s="115"/>
      <c r="BU1252" s="115"/>
      <c r="BV1252" s="115"/>
      <c r="BW1252" s="26"/>
      <c r="BX1252" s="15"/>
      <c r="CA1252" s="114"/>
    </row>
    <row r="1253" spans="6:79" ht="19.5" x14ac:dyDescent="0.4">
      <c r="AY1253" s="26"/>
      <c r="AZ1253" s="15"/>
      <c r="BD1253" s="115"/>
      <c r="BE1253" s="117"/>
      <c r="BF1253" s="123"/>
      <c r="BG1253" s="123"/>
      <c r="BH1253" s="123"/>
      <c r="BI1253" s="115"/>
      <c r="BJ1253" s="115"/>
      <c r="BK1253" s="115"/>
      <c r="BL1253" s="115"/>
      <c r="BM1253" s="115"/>
      <c r="BN1253" s="115"/>
      <c r="BO1253" s="115"/>
      <c r="BP1253" s="115"/>
      <c r="BQ1253" s="115"/>
      <c r="BR1253" s="115"/>
      <c r="BS1253" s="115"/>
      <c r="BT1253" s="115"/>
      <c r="BU1253" s="115"/>
      <c r="BV1253" s="115"/>
      <c r="BW1253" s="26">
        <v>45278</v>
      </c>
      <c r="BX1253" s="15" t="s">
        <v>163</v>
      </c>
      <c r="CA1253" s="114"/>
    </row>
    <row r="1254" spans="6:79" ht="19.5" x14ac:dyDescent="0.4">
      <c r="AY1254" s="26"/>
      <c r="AZ1254" s="15"/>
      <c r="BD1254" s="115"/>
      <c r="BE1254" s="117"/>
      <c r="BF1254" s="123"/>
      <c r="BG1254" s="123"/>
      <c r="BH1254" s="123"/>
      <c r="BI1254" s="115"/>
      <c r="BJ1254" s="115"/>
      <c r="BK1254" s="115"/>
      <c r="BL1254" s="115"/>
      <c r="BM1254" s="115"/>
      <c r="BN1254" s="115"/>
      <c r="BO1254" s="115"/>
      <c r="BP1254" s="115"/>
      <c r="BQ1254" s="115"/>
      <c r="BR1254" s="115"/>
      <c r="BS1254" s="115"/>
      <c r="BT1254" s="115"/>
      <c r="BU1254" s="115"/>
      <c r="BV1254" s="115"/>
      <c r="BW1254" s="26">
        <v>45278</v>
      </c>
      <c r="BX1254" s="105" t="s">
        <v>163</v>
      </c>
      <c r="CA1254" s="114"/>
    </row>
    <row r="1255" spans="6:79" ht="19.5" x14ac:dyDescent="0.4">
      <c r="AY1255" s="25"/>
      <c r="AZ1255" s="13"/>
      <c r="BD1255" s="115"/>
      <c r="BE1255" s="117"/>
      <c r="BF1255" s="123"/>
      <c r="BG1255" s="123"/>
      <c r="BH1255" s="123"/>
      <c r="BI1255" s="115"/>
      <c r="BJ1255" s="115"/>
      <c r="BK1255" s="115"/>
      <c r="BL1255" s="115"/>
      <c r="BM1255" s="115"/>
      <c r="BN1255" s="115"/>
      <c r="BO1255" s="115"/>
      <c r="BP1255" s="115"/>
      <c r="BQ1255" s="115"/>
      <c r="BR1255" s="115"/>
      <c r="BS1255" s="115"/>
      <c r="BT1255" s="115"/>
      <c r="BU1255" s="115"/>
      <c r="BV1255" s="115"/>
      <c r="BW1255" s="26">
        <v>45278</v>
      </c>
      <c r="BX1255" s="15" t="s">
        <v>163</v>
      </c>
      <c r="CA1255" s="114"/>
    </row>
    <row r="1256" spans="6:79" ht="19.5" x14ac:dyDescent="0.4">
      <c r="F1256" s="115"/>
      <c r="G1256" s="115"/>
      <c r="H1256" s="115"/>
      <c r="I1256" s="115"/>
      <c r="J1256" s="115"/>
      <c r="K1256" s="115"/>
      <c r="L1256" s="115"/>
      <c r="M1256" s="115"/>
      <c r="N1256" s="115"/>
      <c r="O1256" s="115"/>
      <c r="P1256" s="115"/>
      <c r="Q1256" s="115"/>
      <c r="R1256" s="115"/>
      <c r="S1256" s="115"/>
      <c r="T1256" s="115"/>
      <c r="U1256" s="115"/>
      <c r="V1256" s="115"/>
      <c r="W1256" s="115"/>
      <c r="X1256" s="115"/>
      <c r="Y1256" s="115"/>
      <c r="Z1256" s="115"/>
      <c r="AA1256" s="115"/>
      <c r="AB1256" s="115"/>
      <c r="AC1256" s="115"/>
      <c r="AD1256" s="115"/>
      <c r="AE1256" s="115"/>
      <c r="AF1256" s="115"/>
      <c r="AG1256" s="115"/>
      <c r="AH1256" s="115"/>
      <c r="AI1256" s="115"/>
      <c r="AJ1256" s="115"/>
      <c r="AK1256" s="115"/>
      <c r="AL1256" s="115"/>
      <c r="AM1256" s="115"/>
      <c r="AN1256" s="115"/>
      <c r="AO1256" s="115"/>
      <c r="AP1256" s="115"/>
      <c r="AQ1256" s="115"/>
      <c r="AR1256" s="115"/>
      <c r="AS1256" s="115"/>
      <c r="AT1256" s="115"/>
      <c r="AU1256" s="115"/>
      <c r="AV1256" s="115"/>
      <c r="AW1256" s="115"/>
      <c r="AX1256" s="115"/>
      <c r="AY1256" s="25"/>
      <c r="AZ1256" s="13"/>
      <c r="BD1256" s="115"/>
      <c r="BE1256" s="117"/>
      <c r="BF1256" s="123"/>
      <c r="BG1256" s="123"/>
      <c r="BH1256" s="123"/>
      <c r="BI1256" s="115"/>
      <c r="BJ1256" s="115"/>
      <c r="BK1256" s="115"/>
      <c r="BL1256" s="115"/>
      <c r="BM1256" s="115"/>
      <c r="BN1256" s="115"/>
      <c r="BO1256" s="115"/>
      <c r="BP1256" s="115"/>
      <c r="BQ1256" s="115"/>
      <c r="BR1256" s="115"/>
      <c r="BS1256" s="115"/>
      <c r="BT1256" s="115"/>
      <c r="BU1256" s="115"/>
      <c r="BV1256" s="115"/>
      <c r="BW1256" s="26"/>
      <c r="BX1256" s="15"/>
      <c r="CA1256" s="114"/>
    </row>
    <row r="1257" spans="6:79" ht="19.5" x14ac:dyDescent="0.4">
      <c r="F1257" s="115"/>
      <c r="G1257" s="115"/>
      <c r="H1257" s="115"/>
      <c r="I1257" s="115"/>
      <c r="J1257" s="115"/>
      <c r="K1257" s="115"/>
      <c r="L1257" s="115"/>
      <c r="M1257" s="115"/>
      <c r="N1257" s="115"/>
      <c r="O1257" s="115"/>
      <c r="P1257" s="115"/>
      <c r="Q1257" s="115"/>
      <c r="R1257" s="115"/>
      <c r="S1257" s="115"/>
      <c r="T1257" s="115"/>
      <c r="U1257" s="115"/>
      <c r="V1257" s="115"/>
      <c r="W1257" s="115"/>
      <c r="X1257" s="115"/>
      <c r="Y1257" s="115"/>
      <c r="Z1257" s="115"/>
      <c r="AA1257" s="115"/>
      <c r="AB1257" s="115"/>
      <c r="AC1257" s="115"/>
      <c r="AD1257" s="115"/>
      <c r="AE1257" s="115"/>
      <c r="AF1257" s="115"/>
      <c r="AG1257" s="115"/>
      <c r="AH1257" s="115"/>
      <c r="AI1257" s="115"/>
      <c r="AJ1257" s="115"/>
      <c r="AK1257" s="115"/>
      <c r="AL1257" s="115"/>
      <c r="AM1257" s="115"/>
      <c r="AN1257" s="115"/>
      <c r="AO1257" s="115"/>
      <c r="AP1257" s="115"/>
      <c r="AQ1257" s="115"/>
      <c r="AR1257" s="115"/>
      <c r="AS1257" s="115"/>
      <c r="AT1257" s="115"/>
      <c r="AU1257" s="115"/>
      <c r="AV1257" s="115"/>
      <c r="AW1257" s="115"/>
      <c r="AX1257" s="115"/>
      <c r="AY1257" s="25"/>
      <c r="AZ1257" s="13"/>
      <c r="BD1257" s="115"/>
      <c r="BE1257" s="117"/>
      <c r="BF1257" s="123"/>
      <c r="BG1257" s="123"/>
      <c r="BH1257" s="123"/>
      <c r="BI1257" s="115"/>
      <c r="BJ1257" s="115"/>
      <c r="BK1257" s="115"/>
      <c r="BL1257" s="115"/>
      <c r="BM1257" s="115"/>
      <c r="BN1257" s="115"/>
      <c r="BO1257" s="115"/>
      <c r="BP1257" s="115"/>
      <c r="BQ1257" s="115"/>
      <c r="BR1257" s="115"/>
      <c r="BS1257" s="115"/>
      <c r="BT1257" s="115"/>
      <c r="BU1257" s="115"/>
      <c r="BV1257" s="115"/>
      <c r="BW1257" s="26"/>
      <c r="BX1257" s="15"/>
      <c r="CA1257" s="114"/>
    </row>
    <row r="1258" spans="6:79" ht="19.5" x14ac:dyDescent="0.4">
      <c r="F1258" s="115"/>
      <c r="G1258" s="115"/>
      <c r="H1258" s="115"/>
      <c r="I1258" s="115"/>
      <c r="J1258" s="115"/>
      <c r="K1258" s="115"/>
      <c r="L1258" s="115"/>
      <c r="M1258" s="115"/>
      <c r="N1258" s="115"/>
      <c r="O1258" s="115"/>
      <c r="P1258" s="115"/>
      <c r="Q1258" s="115"/>
      <c r="R1258" s="115"/>
      <c r="S1258" s="115"/>
      <c r="T1258" s="115"/>
      <c r="U1258" s="115"/>
      <c r="V1258" s="115"/>
      <c r="W1258" s="115"/>
      <c r="X1258" s="115"/>
      <c r="Y1258" s="115"/>
      <c r="Z1258" s="115"/>
      <c r="AA1258" s="115"/>
      <c r="AB1258" s="115"/>
      <c r="AC1258" s="115"/>
      <c r="AD1258" s="115"/>
      <c r="AE1258" s="115"/>
      <c r="AF1258" s="115"/>
      <c r="AG1258" s="115"/>
      <c r="AH1258" s="115"/>
      <c r="AI1258" s="115"/>
      <c r="AJ1258" s="115"/>
      <c r="AK1258" s="115"/>
      <c r="AL1258" s="115"/>
      <c r="AM1258" s="115"/>
      <c r="AN1258" s="115"/>
      <c r="AO1258" s="115"/>
      <c r="AP1258" s="115"/>
      <c r="AQ1258" s="115"/>
      <c r="AR1258" s="115"/>
      <c r="AS1258" s="115"/>
      <c r="AT1258" s="115"/>
      <c r="AU1258" s="115"/>
      <c r="AV1258" s="115"/>
      <c r="AW1258" s="115"/>
      <c r="AX1258" s="115"/>
      <c r="AY1258" s="25"/>
      <c r="AZ1258" s="13"/>
      <c r="BD1258" s="115"/>
      <c r="BE1258" s="117"/>
      <c r="BF1258" s="123"/>
      <c r="BG1258" s="123"/>
      <c r="BH1258" s="123"/>
      <c r="BI1258" s="115"/>
      <c r="BJ1258" s="115"/>
      <c r="BK1258" s="115"/>
      <c r="BL1258" s="115"/>
      <c r="BM1258" s="115"/>
      <c r="BN1258" s="115"/>
      <c r="BO1258" s="115"/>
      <c r="BP1258" s="115"/>
      <c r="BQ1258" s="115"/>
      <c r="BR1258" s="115"/>
      <c r="BS1258" s="115"/>
      <c r="BT1258" s="115"/>
      <c r="BU1258" s="115"/>
      <c r="BV1258" s="115"/>
      <c r="BW1258" s="26"/>
      <c r="BX1258" s="15"/>
      <c r="CA1258" s="114"/>
    </row>
    <row r="1259" spans="6:79" ht="19.5" x14ac:dyDescent="0.4">
      <c r="F1259" s="115"/>
      <c r="G1259" s="115"/>
      <c r="H1259" s="115"/>
      <c r="I1259" s="115"/>
      <c r="J1259" s="115"/>
      <c r="K1259" s="115"/>
      <c r="L1259" s="115"/>
      <c r="M1259" s="115"/>
      <c r="N1259" s="115"/>
      <c r="O1259" s="115"/>
      <c r="P1259" s="115"/>
      <c r="Q1259" s="115"/>
      <c r="R1259" s="115"/>
      <c r="S1259" s="115"/>
      <c r="T1259" s="115"/>
      <c r="U1259" s="115"/>
      <c r="V1259" s="115"/>
      <c r="W1259" s="115"/>
      <c r="X1259" s="115"/>
      <c r="Y1259" s="115"/>
      <c r="Z1259" s="115"/>
      <c r="AA1259" s="115"/>
      <c r="AB1259" s="115"/>
      <c r="AC1259" s="115"/>
      <c r="AD1259" s="115"/>
      <c r="AE1259" s="115"/>
      <c r="AF1259" s="115"/>
      <c r="AG1259" s="115"/>
      <c r="AH1259" s="115"/>
      <c r="AI1259" s="115"/>
      <c r="AJ1259" s="115"/>
      <c r="AK1259" s="115"/>
      <c r="AL1259" s="115"/>
      <c r="AM1259" s="115"/>
      <c r="AN1259" s="115"/>
      <c r="AO1259" s="115"/>
      <c r="AP1259" s="115"/>
      <c r="AQ1259" s="115"/>
      <c r="AR1259" s="115"/>
      <c r="AS1259" s="115"/>
      <c r="AT1259" s="115"/>
      <c r="AU1259" s="115"/>
      <c r="AV1259" s="115"/>
      <c r="AW1259" s="115"/>
      <c r="AX1259" s="115"/>
      <c r="AY1259" s="25"/>
      <c r="AZ1259" s="13"/>
      <c r="BD1259" s="115"/>
      <c r="BE1259" s="117"/>
      <c r="BF1259" s="123"/>
      <c r="BG1259" s="123"/>
      <c r="BH1259" s="123"/>
      <c r="BI1259" s="115"/>
      <c r="BJ1259" s="115"/>
      <c r="BK1259" s="115"/>
      <c r="BL1259" s="115"/>
      <c r="BM1259" s="115"/>
      <c r="BN1259" s="115"/>
      <c r="BO1259" s="115"/>
      <c r="BP1259" s="115"/>
      <c r="BQ1259" s="115"/>
      <c r="BR1259" s="115"/>
      <c r="BS1259" s="115"/>
      <c r="BT1259" s="115"/>
      <c r="BU1259" s="115"/>
      <c r="BV1259" s="115"/>
      <c r="BW1259" s="26"/>
      <c r="BX1259" s="15"/>
      <c r="CA1259" s="114"/>
    </row>
    <row r="1260" spans="6:79" ht="19.5" x14ac:dyDescent="0.4">
      <c r="F1260" s="115"/>
      <c r="G1260" s="115"/>
      <c r="H1260" s="115"/>
      <c r="I1260" s="115"/>
      <c r="J1260" s="115"/>
      <c r="K1260" s="115"/>
      <c r="L1260" s="115"/>
      <c r="M1260" s="115"/>
      <c r="N1260" s="115"/>
      <c r="O1260" s="115"/>
      <c r="P1260" s="115"/>
      <c r="Q1260" s="115"/>
      <c r="R1260" s="115"/>
      <c r="S1260" s="115"/>
      <c r="T1260" s="115"/>
      <c r="U1260" s="115"/>
      <c r="V1260" s="115"/>
      <c r="W1260" s="115"/>
      <c r="X1260" s="115"/>
      <c r="Y1260" s="115"/>
      <c r="Z1260" s="115"/>
      <c r="AA1260" s="115"/>
      <c r="AB1260" s="115"/>
      <c r="AC1260" s="115"/>
      <c r="AD1260" s="115"/>
      <c r="AE1260" s="115"/>
      <c r="AF1260" s="115"/>
      <c r="AG1260" s="115"/>
      <c r="AH1260" s="115"/>
      <c r="AI1260" s="115"/>
      <c r="AJ1260" s="115"/>
      <c r="AK1260" s="115"/>
      <c r="AL1260" s="115"/>
      <c r="AM1260" s="115"/>
      <c r="AN1260" s="115"/>
      <c r="AO1260" s="115"/>
      <c r="AP1260" s="115"/>
      <c r="AQ1260" s="115"/>
      <c r="AR1260" s="115"/>
      <c r="AS1260" s="115"/>
      <c r="AT1260" s="115"/>
      <c r="AU1260" s="115"/>
      <c r="AV1260" s="115"/>
      <c r="AW1260" s="115"/>
      <c r="AX1260" s="115"/>
      <c r="AY1260" s="25"/>
      <c r="AZ1260" s="13"/>
      <c r="BD1260" s="115"/>
      <c r="BE1260" s="117"/>
      <c r="BF1260" s="123"/>
      <c r="BG1260" s="123"/>
      <c r="BH1260" s="123"/>
      <c r="BI1260" s="115"/>
      <c r="BJ1260" s="115"/>
      <c r="BK1260" s="115"/>
      <c r="BL1260" s="115"/>
      <c r="BM1260" s="115"/>
      <c r="BN1260" s="115"/>
      <c r="BO1260" s="115"/>
      <c r="BP1260" s="115"/>
      <c r="BQ1260" s="115"/>
      <c r="BR1260" s="115"/>
      <c r="BS1260" s="115"/>
      <c r="BT1260" s="115"/>
      <c r="BU1260" s="115"/>
      <c r="BV1260" s="115"/>
      <c r="BW1260" s="26"/>
      <c r="BX1260" s="15"/>
      <c r="CA1260" s="114"/>
    </row>
    <row r="1261" spans="6:79" ht="19.5" x14ac:dyDescent="0.4">
      <c r="F1261" s="115"/>
      <c r="G1261" s="115"/>
      <c r="H1261" s="115"/>
      <c r="I1261" s="115"/>
      <c r="J1261" s="115"/>
      <c r="K1261" s="115"/>
      <c r="L1261" s="115"/>
      <c r="M1261" s="115"/>
      <c r="N1261" s="115"/>
      <c r="O1261" s="115"/>
      <c r="P1261" s="115"/>
      <c r="Q1261" s="115"/>
      <c r="R1261" s="115"/>
      <c r="S1261" s="115"/>
      <c r="T1261" s="115"/>
      <c r="U1261" s="115"/>
      <c r="V1261" s="115"/>
      <c r="W1261" s="115"/>
      <c r="X1261" s="115"/>
      <c r="Y1261" s="115"/>
      <c r="Z1261" s="115"/>
      <c r="AA1261" s="115"/>
      <c r="AB1261" s="115"/>
      <c r="AC1261" s="115"/>
      <c r="AD1261" s="115"/>
      <c r="AE1261" s="115"/>
      <c r="AF1261" s="115"/>
      <c r="AG1261" s="115"/>
      <c r="AH1261" s="115"/>
      <c r="AI1261" s="115"/>
      <c r="AJ1261" s="115"/>
      <c r="AK1261" s="115"/>
      <c r="AL1261" s="115"/>
      <c r="AM1261" s="115"/>
      <c r="AN1261" s="115"/>
      <c r="AO1261" s="115"/>
      <c r="AP1261" s="115"/>
      <c r="AQ1261" s="115"/>
      <c r="AR1261" s="115"/>
      <c r="AS1261" s="115"/>
      <c r="AT1261" s="115"/>
      <c r="AU1261" s="115"/>
      <c r="AV1261" s="115"/>
      <c r="AW1261" s="115"/>
      <c r="AX1261" s="115"/>
      <c r="AY1261" s="25"/>
      <c r="AZ1261" s="13"/>
      <c r="BD1261" s="115"/>
      <c r="BE1261" s="117"/>
      <c r="BF1261" s="123"/>
      <c r="BG1261" s="123"/>
      <c r="BH1261" s="123"/>
      <c r="BI1261" s="115"/>
      <c r="BJ1261" s="115"/>
      <c r="BK1261" s="115"/>
      <c r="BL1261" s="115"/>
      <c r="BM1261" s="115"/>
      <c r="BN1261" s="115"/>
      <c r="BO1261" s="115"/>
      <c r="BP1261" s="115"/>
      <c r="BQ1261" s="115"/>
      <c r="BR1261" s="115"/>
      <c r="BS1261" s="115"/>
      <c r="BT1261" s="115"/>
      <c r="BU1261" s="115"/>
      <c r="BV1261" s="115"/>
      <c r="BW1261" s="26"/>
      <c r="BX1261" s="15"/>
      <c r="CA1261" s="114"/>
    </row>
    <row r="1262" spans="6:79" ht="19.5" x14ac:dyDescent="0.4">
      <c r="AY1262" s="25"/>
      <c r="AZ1262" s="13"/>
      <c r="BD1262" s="115"/>
      <c r="BE1262" s="117"/>
      <c r="BF1262" s="123"/>
      <c r="BG1262" s="123"/>
      <c r="BH1262" s="123"/>
      <c r="BI1262" s="115"/>
      <c r="BJ1262" s="115"/>
      <c r="BK1262" s="115"/>
      <c r="BL1262" s="115"/>
      <c r="BM1262" s="115"/>
      <c r="BN1262" s="115"/>
      <c r="BO1262" s="115"/>
      <c r="BP1262" s="115"/>
      <c r="BQ1262" s="115"/>
      <c r="BR1262" s="115"/>
      <c r="BS1262" s="115"/>
      <c r="BT1262" s="115"/>
      <c r="BU1262" s="115"/>
      <c r="BV1262" s="115"/>
      <c r="BW1262" s="26">
        <v>45278</v>
      </c>
      <c r="BX1262" s="15" t="s">
        <v>163</v>
      </c>
      <c r="CA1262" s="114"/>
    </row>
    <row r="1263" spans="6:79" ht="19.5" x14ac:dyDescent="0.4">
      <c r="AY1263" s="25"/>
      <c r="AZ1263" s="13"/>
      <c r="BD1263" s="115"/>
      <c r="BE1263" s="117"/>
      <c r="BF1263" s="123"/>
      <c r="BG1263" s="123"/>
      <c r="BH1263" s="123"/>
      <c r="BI1263" s="115"/>
      <c r="BJ1263" s="115"/>
      <c r="BK1263" s="115"/>
      <c r="BL1263" s="115"/>
      <c r="BM1263" s="115"/>
      <c r="BN1263" s="115"/>
      <c r="BO1263" s="115"/>
      <c r="BP1263" s="115"/>
      <c r="BQ1263" s="115"/>
      <c r="BR1263" s="115"/>
      <c r="BS1263" s="115"/>
      <c r="BT1263" s="115"/>
      <c r="BU1263" s="115"/>
      <c r="BV1263" s="115"/>
      <c r="BW1263" s="26"/>
      <c r="BX1263" s="15"/>
      <c r="CA1263" s="114"/>
    </row>
    <row r="1264" spans="6:79" ht="19.5" x14ac:dyDescent="0.4">
      <c r="AP1264" s="115"/>
      <c r="AQ1264" s="115"/>
      <c r="AR1264" s="115"/>
      <c r="AS1264" s="115"/>
      <c r="AT1264" s="115"/>
      <c r="AU1264" s="115"/>
      <c r="AV1264" s="115"/>
      <c r="AW1264" s="115"/>
      <c r="AX1264" s="115"/>
      <c r="AY1264" s="13"/>
      <c r="AZ1264" s="13"/>
      <c r="BD1264" s="115"/>
      <c r="BE1264" s="117"/>
      <c r="BF1264" s="123"/>
      <c r="BG1264" s="123"/>
      <c r="BH1264" s="123"/>
      <c r="BI1264" s="115"/>
      <c r="BJ1264" s="115"/>
      <c r="BK1264" s="115"/>
      <c r="BL1264" s="115"/>
      <c r="BM1264" s="115"/>
      <c r="BN1264" s="115"/>
      <c r="BO1264" s="115"/>
      <c r="BP1264" s="115"/>
      <c r="BQ1264" s="115"/>
      <c r="BR1264" s="115"/>
      <c r="BS1264" s="115"/>
      <c r="BT1264" s="115"/>
      <c r="BU1264" s="115"/>
      <c r="BV1264" s="115"/>
      <c r="BW1264" s="26"/>
      <c r="BX1264" s="15"/>
      <c r="CA1264" s="114"/>
    </row>
    <row r="1265" spans="42:79" ht="19.5" x14ac:dyDescent="0.4">
      <c r="AY1265" s="25"/>
      <c r="AZ1265" s="13"/>
      <c r="BD1265" s="115"/>
      <c r="BE1265" s="117"/>
      <c r="BF1265" s="123"/>
      <c r="BG1265" s="123"/>
      <c r="BH1265" s="123"/>
      <c r="BI1265" s="115"/>
      <c r="BJ1265" s="115"/>
      <c r="BK1265" s="115"/>
      <c r="BL1265" s="115"/>
      <c r="BM1265" s="115"/>
      <c r="BN1265" s="115"/>
      <c r="BO1265" s="115"/>
      <c r="BP1265" s="115"/>
      <c r="BQ1265" s="115"/>
      <c r="BR1265" s="115"/>
      <c r="BS1265" s="115"/>
      <c r="BT1265" s="115"/>
      <c r="BU1265" s="115"/>
      <c r="BV1265" s="115"/>
      <c r="BW1265" s="26">
        <v>45278</v>
      </c>
      <c r="BX1265" s="15" t="s">
        <v>163</v>
      </c>
      <c r="CA1265" s="114"/>
    </row>
    <row r="1266" spans="42:79" ht="19.5" x14ac:dyDescent="0.4">
      <c r="AP1266" s="115"/>
      <c r="AQ1266" s="115"/>
      <c r="AR1266" s="115"/>
      <c r="AS1266" s="115"/>
      <c r="AT1266" s="115"/>
      <c r="AU1266" s="115"/>
      <c r="AV1266" s="115"/>
      <c r="AW1266" s="115"/>
      <c r="AX1266" s="115"/>
      <c r="AY1266" s="13"/>
      <c r="AZ1266" s="13"/>
      <c r="BD1266" s="115"/>
      <c r="BE1266" s="117"/>
      <c r="BF1266" s="123"/>
      <c r="BG1266" s="123"/>
      <c r="BH1266" s="123"/>
      <c r="BI1266" s="115"/>
      <c r="BJ1266" s="115"/>
      <c r="BK1266" s="115"/>
      <c r="BL1266" s="115"/>
      <c r="BM1266" s="115"/>
      <c r="BN1266" s="115"/>
      <c r="BO1266" s="115"/>
      <c r="BP1266" s="115"/>
      <c r="BQ1266" s="115"/>
      <c r="BR1266" s="115"/>
      <c r="BS1266" s="115"/>
      <c r="BT1266" s="115"/>
      <c r="BU1266" s="115"/>
      <c r="BV1266" s="115"/>
      <c r="BW1266" s="26"/>
      <c r="BX1266" s="13"/>
      <c r="CA1266" s="114"/>
    </row>
    <row r="1267" spans="42:79" ht="19.5" x14ac:dyDescent="0.4">
      <c r="AY1267" s="25"/>
      <c r="AZ1267" s="13"/>
      <c r="BD1267" s="115"/>
      <c r="BE1267" s="117"/>
      <c r="BF1267" s="123"/>
      <c r="BG1267" s="123"/>
      <c r="BH1267" s="123"/>
      <c r="BI1267" s="115"/>
      <c r="BJ1267" s="115"/>
      <c r="BK1267" s="115"/>
      <c r="BL1267" s="115"/>
      <c r="BM1267" s="115"/>
      <c r="BN1267" s="115"/>
      <c r="BO1267" s="115"/>
      <c r="BP1267" s="115"/>
      <c r="BQ1267" s="115"/>
      <c r="BR1267" s="115"/>
      <c r="BS1267" s="115"/>
      <c r="BT1267" s="115"/>
      <c r="BU1267" s="115"/>
      <c r="BV1267" s="115" t="s">
        <v>153</v>
      </c>
      <c r="BW1267" s="17">
        <f>SUBTOTAL(3,BW1236:BW1265)</f>
        <v>12</v>
      </c>
      <c r="BX1267" s="13">
        <f>SUBTOTAL(3,BX1236:BX1265)</f>
        <v>12</v>
      </c>
      <c r="CA1267" s="114"/>
    </row>
    <row r="1268" spans="42:79" ht="19.5" x14ac:dyDescent="0.4">
      <c r="AP1268" s="115"/>
      <c r="AQ1268" s="115"/>
      <c r="AR1268" s="115"/>
      <c r="AS1268" s="115"/>
      <c r="AT1268" s="115"/>
      <c r="AU1268" s="115"/>
      <c r="AV1268" s="115"/>
      <c r="AW1268" s="115"/>
      <c r="AX1268" s="115"/>
      <c r="AY1268" s="13"/>
      <c r="AZ1268" s="13"/>
      <c r="BD1268" s="115"/>
      <c r="BE1268" s="117"/>
      <c r="BF1268" s="123"/>
      <c r="BG1268" s="123"/>
      <c r="BH1268" s="123"/>
      <c r="BI1268" s="115"/>
      <c r="BJ1268" s="115"/>
      <c r="BK1268" s="115"/>
      <c r="BL1268" s="115"/>
      <c r="BM1268" s="115"/>
      <c r="BN1268" s="115"/>
      <c r="BO1268" s="115"/>
      <c r="BP1268" s="115"/>
      <c r="BQ1268" s="115"/>
      <c r="BR1268" s="115"/>
      <c r="BS1268" s="115"/>
      <c r="BT1268" s="115"/>
      <c r="BU1268" s="115"/>
      <c r="BV1268" s="115"/>
      <c r="BW1268" s="17"/>
      <c r="BX1268" s="13"/>
      <c r="CA1268" s="114"/>
    </row>
    <row r="1269" spans="42:79" ht="19.5" x14ac:dyDescent="0.4">
      <c r="AY1269" s="25"/>
      <c r="AZ1269" s="13"/>
      <c r="BD1269" s="115"/>
      <c r="BE1269" s="117"/>
      <c r="BF1269" s="123"/>
      <c r="BG1269" s="123"/>
      <c r="BH1269" s="123"/>
      <c r="BI1269" s="115"/>
      <c r="BJ1269" s="115"/>
      <c r="BK1269" s="115"/>
      <c r="BL1269" s="115"/>
      <c r="BM1269" s="115"/>
      <c r="BN1269" s="115"/>
      <c r="BO1269" s="115"/>
      <c r="BP1269" s="115"/>
      <c r="BQ1269" s="115"/>
      <c r="BR1269" s="115"/>
      <c r="BS1269" s="115"/>
      <c r="BT1269" s="115"/>
      <c r="BU1269" s="115"/>
      <c r="BV1269" s="115"/>
      <c r="BW1269" s="26">
        <v>45279</v>
      </c>
      <c r="BX1269" s="25" t="s">
        <v>162</v>
      </c>
      <c r="CA1269" s="114"/>
    </row>
    <row r="1270" spans="42:79" ht="19.5" x14ac:dyDescent="0.4">
      <c r="AY1270" s="25"/>
      <c r="AZ1270" s="13"/>
      <c r="BD1270" s="115"/>
      <c r="BE1270" s="117"/>
      <c r="BF1270" s="123"/>
      <c r="BG1270" s="123"/>
      <c r="BH1270" s="123"/>
      <c r="BI1270" s="115"/>
      <c r="BJ1270" s="115"/>
      <c r="BK1270" s="115"/>
      <c r="BL1270" s="115"/>
      <c r="BM1270" s="115"/>
      <c r="BN1270" s="115"/>
      <c r="BO1270" s="115"/>
      <c r="BP1270" s="115"/>
      <c r="BQ1270" s="115"/>
      <c r="BR1270" s="115"/>
      <c r="BS1270" s="115"/>
      <c r="BT1270" s="115"/>
      <c r="BU1270" s="115"/>
      <c r="BV1270" s="115"/>
      <c r="BW1270" s="26">
        <v>45279</v>
      </c>
      <c r="BX1270" s="13" t="s">
        <v>162</v>
      </c>
      <c r="CA1270" s="114"/>
    </row>
    <row r="1271" spans="42:79" ht="19.5" x14ac:dyDescent="0.4">
      <c r="AP1271" s="115"/>
      <c r="AQ1271" s="115"/>
      <c r="AR1271" s="115"/>
      <c r="AS1271" s="115"/>
      <c r="AT1271" s="115"/>
      <c r="AU1271" s="115"/>
      <c r="AV1271" s="115"/>
      <c r="AW1271" s="115"/>
      <c r="AX1271" s="115"/>
      <c r="AY1271" s="20"/>
      <c r="AZ1271" s="13"/>
      <c r="BD1271" s="115"/>
      <c r="BE1271" s="117"/>
      <c r="BF1271" s="123"/>
      <c r="BG1271" s="123"/>
      <c r="BH1271" s="123"/>
      <c r="BI1271" s="115"/>
      <c r="BJ1271" s="115"/>
      <c r="BK1271" s="115"/>
      <c r="BL1271" s="115"/>
      <c r="BM1271" s="115"/>
      <c r="BN1271" s="115"/>
      <c r="BO1271" s="115"/>
      <c r="BP1271" s="115"/>
      <c r="BQ1271" s="115"/>
      <c r="BR1271" s="115"/>
      <c r="BS1271" s="115"/>
      <c r="BT1271" s="115"/>
      <c r="BU1271" s="115"/>
      <c r="BV1271" s="115"/>
      <c r="BW1271" s="26"/>
      <c r="BX1271" s="13"/>
      <c r="CA1271" s="114"/>
    </row>
    <row r="1272" spans="42:79" ht="19.5" x14ac:dyDescent="0.4">
      <c r="AP1272" s="115"/>
      <c r="AQ1272" s="115"/>
      <c r="AR1272" s="115"/>
      <c r="AS1272" s="115"/>
      <c r="AT1272" s="115"/>
      <c r="AU1272" s="115"/>
      <c r="AV1272" s="115"/>
      <c r="AW1272" s="115"/>
      <c r="AX1272" s="115"/>
      <c r="AY1272" s="20"/>
      <c r="AZ1272" s="13"/>
      <c r="BD1272" s="115"/>
      <c r="BE1272" s="117"/>
      <c r="BF1272" s="123"/>
      <c r="BG1272" s="123"/>
      <c r="BH1272" s="123"/>
      <c r="BI1272" s="115"/>
      <c r="BJ1272" s="115"/>
      <c r="BK1272" s="115"/>
      <c r="BL1272" s="115"/>
      <c r="BM1272" s="115"/>
      <c r="BN1272" s="115"/>
      <c r="BO1272" s="115"/>
      <c r="BP1272" s="115"/>
      <c r="BQ1272" s="115"/>
      <c r="BR1272" s="115"/>
      <c r="BS1272" s="115"/>
      <c r="BT1272" s="115"/>
      <c r="BU1272" s="115"/>
      <c r="BV1272" s="115"/>
      <c r="BW1272" s="26"/>
      <c r="BX1272" s="13"/>
      <c r="CA1272" s="114"/>
    </row>
    <row r="1273" spans="42:79" ht="19.5" x14ac:dyDescent="0.4">
      <c r="AY1273" s="26"/>
      <c r="AZ1273" s="13"/>
      <c r="BD1273" s="115"/>
      <c r="BE1273" s="117"/>
      <c r="BF1273" s="123"/>
      <c r="BG1273" s="123"/>
      <c r="BH1273" s="123"/>
      <c r="BI1273" s="115"/>
      <c r="BJ1273" s="115"/>
      <c r="BK1273" s="115"/>
      <c r="BL1273" s="115"/>
      <c r="BM1273" s="115"/>
      <c r="BN1273" s="115"/>
      <c r="BO1273" s="115"/>
      <c r="BP1273" s="115"/>
      <c r="BQ1273" s="115"/>
      <c r="BR1273" s="115"/>
      <c r="BS1273" s="115"/>
      <c r="BT1273" s="115"/>
      <c r="BU1273" s="115"/>
      <c r="BV1273" s="115"/>
      <c r="BW1273" s="26">
        <v>45279</v>
      </c>
      <c r="BX1273" s="13" t="s">
        <v>162</v>
      </c>
      <c r="CA1273" s="114"/>
    </row>
    <row r="1274" spans="42:79" ht="19.5" x14ac:dyDescent="0.4">
      <c r="AY1274" s="26"/>
      <c r="AZ1274" s="13"/>
      <c r="BD1274" s="115"/>
      <c r="BE1274" s="117"/>
      <c r="BF1274" s="123"/>
      <c r="BG1274" s="123"/>
      <c r="BH1274" s="123"/>
      <c r="BI1274" s="115"/>
      <c r="BJ1274" s="115"/>
      <c r="BK1274" s="115"/>
      <c r="BL1274" s="115"/>
      <c r="BM1274" s="115"/>
      <c r="BN1274" s="115"/>
      <c r="BO1274" s="115"/>
      <c r="BP1274" s="115"/>
      <c r="BQ1274" s="115"/>
      <c r="BR1274" s="115"/>
      <c r="BS1274" s="115"/>
      <c r="BT1274" s="115"/>
      <c r="BU1274" s="115"/>
      <c r="BV1274" s="115"/>
      <c r="BW1274" s="26">
        <v>45279</v>
      </c>
      <c r="BX1274" s="13" t="s">
        <v>162</v>
      </c>
      <c r="CA1274" s="114"/>
    </row>
    <row r="1275" spans="42:79" ht="19.5" x14ac:dyDescent="0.4">
      <c r="AY1275" s="129"/>
      <c r="AZ1275" s="13"/>
      <c r="BD1275" s="115"/>
      <c r="BE1275" s="117"/>
      <c r="BF1275" s="123"/>
      <c r="BG1275" s="123"/>
      <c r="BH1275" s="123"/>
      <c r="BI1275" s="115"/>
      <c r="BJ1275" s="115"/>
      <c r="BK1275" s="115"/>
      <c r="BL1275" s="115"/>
      <c r="BM1275" s="115"/>
      <c r="BN1275" s="115"/>
      <c r="BO1275" s="115"/>
      <c r="BP1275" s="115"/>
      <c r="BQ1275" s="115"/>
      <c r="BR1275" s="115"/>
      <c r="BS1275" s="115"/>
      <c r="BT1275" s="115"/>
      <c r="BU1275" s="115"/>
      <c r="BV1275" s="115"/>
      <c r="BW1275" s="26"/>
      <c r="BX1275" s="13"/>
      <c r="CA1275" s="114"/>
    </row>
    <row r="1276" spans="42:79" ht="19.5" x14ac:dyDescent="0.4">
      <c r="AY1276" s="26"/>
      <c r="AZ1276" s="13"/>
      <c r="BD1276" s="115"/>
      <c r="BE1276" s="117"/>
      <c r="BF1276" s="123"/>
      <c r="BG1276" s="123"/>
      <c r="BH1276" s="123"/>
      <c r="BI1276" s="115"/>
      <c r="BJ1276" s="115"/>
      <c r="BK1276" s="115"/>
      <c r="BL1276" s="115"/>
      <c r="BM1276" s="115"/>
      <c r="BN1276" s="115"/>
      <c r="BO1276" s="115"/>
      <c r="BP1276" s="115"/>
      <c r="BQ1276" s="115"/>
      <c r="BR1276" s="115"/>
      <c r="BS1276" s="115"/>
      <c r="BT1276" s="115"/>
      <c r="BU1276" s="115"/>
      <c r="BV1276" s="115"/>
      <c r="BW1276" s="26">
        <v>45279</v>
      </c>
      <c r="BX1276" s="13" t="s">
        <v>162</v>
      </c>
      <c r="CA1276" s="114"/>
    </row>
    <row r="1277" spans="42:79" ht="19.5" x14ac:dyDescent="0.4">
      <c r="AY1277" s="26"/>
      <c r="AZ1277" s="13"/>
      <c r="BD1277" s="115"/>
      <c r="BE1277" s="117"/>
      <c r="BF1277" s="123"/>
      <c r="BG1277" s="123"/>
      <c r="BH1277" s="123"/>
      <c r="BI1277" s="115"/>
      <c r="BJ1277" s="115"/>
      <c r="BK1277" s="115"/>
      <c r="BL1277" s="115"/>
      <c r="BM1277" s="115"/>
      <c r="BN1277" s="115"/>
      <c r="BO1277" s="115"/>
      <c r="BP1277" s="115"/>
      <c r="BQ1277" s="115"/>
      <c r="BR1277" s="115"/>
      <c r="BS1277" s="115"/>
      <c r="BT1277" s="115"/>
      <c r="BU1277" s="115"/>
      <c r="BV1277" s="115"/>
      <c r="BW1277" s="26">
        <v>45279</v>
      </c>
      <c r="BX1277" s="13" t="s">
        <v>162</v>
      </c>
      <c r="CA1277" s="114"/>
    </row>
    <row r="1278" spans="42:79" ht="19.5" x14ac:dyDescent="0.4">
      <c r="AY1278" s="26"/>
      <c r="AZ1278" s="13"/>
      <c r="BD1278" s="115"/>
      <c r="BE1278" s="117"/>
      <c r="BF1278" s="123"/>
      <c r="BG1278" s="123"/>
      <c r="BH1278" s="123"/>
      <c r="BI1278" s="115"/>
      <c r="BJ1278" s="115"/>
      <c r="BK1278" s="115"/>
      <c r="BL1278" s="115"/>
      <c r="BM1278" s="115"/>
      <c r="BN1278" s="115"/>
      <c r="BO1278" s="115"/>
      <c r="BP1278" s="115"/>
      <c r="BQ1278" s="115"/>
      <c r="BR1278" s="115"/>
      <c r="BS1278" s="115"/>
      <c r="BT1278" s="115"/>
      <c r="BU1278" s="115"/>
      <c r="BV1278" s="115" t="s">
        <v>170</v>
      </c>
      <c r="BW1278" s="17">
        <f>SUBTOTAL(3,BW1269:BW1277)</f>
        <v>6</v>
      </c>
      <c r="BX1278" s="13">
        <f>SUBTOTAL(3,BX1269:BX1277)</f>
        <v>6</v>
      </c>
      <c r="CA1278" s="114"/>
    </row>
    <row r="1279" spans="42:79" ht="19.5" x14ac:dyDescent="0.4">
      <c r="AY1279" s="129"/>
      <c r="AZ1279" s="13"/>
      <c r="BD1279" s="115"/>
      <c r="BE1279" s="117"/>
      <c r="BF1279" s="123"/>
      <c r="BG1279" s="123"/>
      <c r="BH1279" s="123"/>
      <c r="BI1279" s="115"/>
      <c r="BJ1279" s="115"/>
      <c r="BK1279" s="115"/>
      <c r="BL1279" s="115"/>
      <c r="BM1279" s="115"/>
      <c r="BN1279" s="115"/>
      <c r="BO1279" s="115"/>
      <c r="BP1279" s="115"/>
      <c r="BQ1279" s="115"/>
      <c r="BR1279" s="115"/>
      <c r="BS1279" s="115"/>
      <c r="BT1279" s="115"/>
      <c r="BU1279" s="115"/>
      <c r="BV1279" s="115"/>
      <c r="BW1279" s="17"/>
      <c r="BX1279" s="13"/>
      <c r="CA1279" s="114"/>
    </row>
    <row r="1280" spans="42:79" ht="19.5" x14ac:dyDescent="0.4">
      <c r="AY1280" s="26"/>
      <c r="AZ1280" s="13"/>
      <c r="BD1280" s="115"/>
      <c r="BE1280" s="117"/>
      <c r="BF1280" s="123"/>
      <c r="BG1280" s="123"/>
      <c r="BH1280" s="123"/>
      <c r="BI1280" s="115"/>
      <c r="BJ1280" s="115"/>
      <c r="BK1280" s="115"/>
      <c r="BL1280" s="115"/>
      <c r="BM1280" s="115"/>
      <c r="BN1280" s="115"/>
      <c r="BO1280" s="115"/>
      <c r="BP1280" s="115"/>
      <c r="BQ1280" s="115"/>
      <c r="BR1280" s="115"/>
      <c r="BS1280" s="115"/>
      <c r="BT1280" s="115"/>
      <c r="BU1280" s="115"/>
      <c r="BV1280" s="115"/>
      <c r="BW1280" s="26">
        <v>45280</v>
      </c>
      <c r="BX1280" s="13" t="s">
        <v>162</v>
      </c>
      <c r="CA1280" s="114"/>
    </row>
    <row r="1281" spans="51:79" ht="19.5" x14ac:dyDescent="0.4">
      <c r="AY1281" s="26"/>
      <c r="AZ1281" s="13"/>
      <c r="BD1281" s="115"/>
      <c r="BE1281" s="116"/>
      <c r="BF1281" s="123"/>
      <c r="BG1281" s="123"/>
      <c r="BH1281" s="123"/>
      <c r="BI1281" s="115"/>
      <c r="BJ1281" s="115"/>
      <c r="BK1281" s="115"/>
      <c r="BL1281" s="115"/>
      <c r="BM1281" s="115"/>
      <c r="BN1281" s="115"/>
      <c r="BO1281" s="115"/>
      <c r="BP1281" s="115"/>
      <c r="BQ1281" s="115"/>
      <c r="BR1281" s="115"/>
      <c r="BS1281" s="115"/>
      <c r="BT1281" s="115"/>
      <c r="BU1281" s="115"/>
      <c r="BV1281" s="115"/>
      <c r="BW1281" s="26">
        <v>45280</v>
      </c>
      <c r="BX1281" s="13" t="s">
        <v>162</v>
      </c>
      <c r="CA1281" s="114"/>
    </row>
    <row r="1282" spans="51:79" ht="19.5" x14ac:dyDescent="0.4">
      <c r="AY1282" s="26"/>
      <c r="AZ1282" s="13"/>
      <c r="BD1282" s="115"/>
      <c r="BE1282" s="116"/>
      <c r="BF1282" s="123"/>
      <c r="BG1282" s="123"/>
      <c r="BH1282" s="123"/>
      <c r="BI1282" s="115"/>
      <c r="BJ1282" s="115"/>
      <c r="BK1282" s="115"/>
      <c r="BL1282" s="115"/>
      <c r="BM1282" s="115"/>
      <c r="BN1282" s="115"/>
      <c r="BO1282" s="115"/>
      <c r="BP1282" s="115"/>
      <c r="BQ1282" s="115"/>
      <c r="BR1282" s="115"/>
      <c r="BS1282" s="115"/>
      <c r="BT1282" s="115"/>
      <c r="BU1282" s="115"/>
      <c r="BV1282" s="115"/>
      <c r="BW1282" s="26">
        <v>45280</v>
      </c>
      <c r="BX1282" s="13" t="s">
        <v>162</v>
      </c>
      <c r="CA1282" s="114"/>
    </row>
    <row r="1283" spans="51:79" ht="19.5" x14ac:dyDescent="0.4">
      <c r="AY1283" s="26"/>
      <c r="AZ1283" s="13"/>
      <c r="BD1283" s="115"/>
      <c r="BE1283" s="116"/>
      <c r="BF1283" s="123"/>
      <c r="BG1283" s="123"/>
      <c r="BH1283" s="123"/>
      <c r="BI1283" s="115"/>
      <c r="BJ1283" s="115"/>
      <c r="BK1283" s="115"/>
      <c r="BL1283" s="115"/>
      <c r="BM1283" s="115"/>
      <c r="BN1283" s="115"/>
      <c r="BO1283" s="115"/>
      <c r="BP1283" s="115"/>
      <c r="BQ1283" s="115"/>
      <c r="BR1283" s="115"/>
      <c r="BS1283" s="115"/>
      <c r="BT1283" s="115"/>
      <c r="BU1283" s="115"/>
      <c r="BV1283" s="115"/>
      <c r="BW1283" s="26">
        <v>45280</v>
      </c>
      <c r="BX1283" s="13" t="s">
        <v>162</v>
      </c>
      <c r="CA1283" s="114"/>
    </row>
    <row r="1284" spans="51:79" ht="19.5" x14ac:dyDescent="0.4">
      <c r="AY1284" s="129"/>
      <c r="AZ1284" s="13"/>
      <c r="BD1284" s="115"/>
      <c r="BE1284" s="116"/>
      <c r="BF1284" s="123"/>
      <c r="BG1284" s="123"/>
      <c r="BH1284" s="123"/>
      <c r="BI1284" s="115"/>
      <c r="BJ1284" s="115"/>
      <c r="BK1284" s="115"/>
      <c r="BL1284" s="115"/>
      <c r="BM1284" s="115"/>
      <c r="BN1284" s="115"/>
      <c r="BO1284" s="115"/>
      <c r="BP1284" s="115"/>
      <c r="BQ1284" s="115"/>
      <c r="BR1284" s="115"/>
      <c r="BS1284" s="115"/>
      <c r="BT1284" s="115"/>
      <c r="BU1284" s="115"/>
      <c r="BV1284" s="115"/>
      <c r="BW1284" s="26"/>
      <c r="BX1284" s="13"/>
      <c r="CA1284" s="114"/>
    </row>
    <row r="1285" spans="51:79" ht="19.5" x14ac:dyDescent="0.4">
      <c r="AY1285" s="26"/>
      <c r="AZ1285" s="13"/>
      <c r="BD1285" s="115"/>
      <c r="BE1285" s="116"/>
      <c r="BF1285" s="123"/>
      <c r="BG1285" s="123"/>
      <c r="BH1285" s="123"/>
      <c r="BI1285" s="115"/>
      <c r="BJ1285" s="115"/>
      <c r="BK1285" s="115"/>
      <c r="BL1285" s="115"/>
      <c r="BM1285" s="115"/>
      <c r="BN1285" s="115"/>
      <c r="BO1285" s="115"/>
      <c r="BP1285" s="115"/>
      <c r="BQ1285" s="115"/>
      <c r="BR1285" s="115"/>
      <c r="BS1285" s="115"/>
      <c r="BT1285" s="115"/>
      <c r="BU1285" s="115"/>
      <c r="BV1285" s="115"/>
      <c r="BW1285" s="26">
        <v>45280</v>
      </c>
      <c r="BX1285" s="13" t="s">
        <v>162</v>
      </c>
      <c r="CA1285" s="114"/>
    </row>
    <row r="1286" spans="51:79" ht="19.5" x14ac:dyDescent="0.4">
      <c r="AY1286" s="130"/>
      <c r="AZ1286" s="119"/>
      <c r="BD1286" s="115"/>
      <c r="BE1286" s="116"/>
      <c r="BF1286" s="123"/>
      <c r="BG1286" s="123"/>
      <c r="BH1286" s="123"/>
      <c r="BI1286" s="115"/>
      <c r="BJ1286" s="115"/>
      <c r="BK1286" s="115"/>
      <c r="BL1286" s="115"/>
      <c r="BM1286" s="115"/>
      <c r="BN1286" s="115"/>
      <c r="BO1286" s="115"/>
      <c r="BP1286" s="115"/>
      <c r="BQ1286" s="115"/>
      <c r="BR1286" s="115"/>
      <c r="BS1286" s="115"/>
      <c r="BT1286" s="115"/>
      <c r="BU1286" s="115"/>
      <c r="BV1286" s="115"/>
      <c r="BW1286" s="26"/>
      <c r="BX1286" s="13"/>
      <c r="CA1286" s="114"/>
    </row>
    <row r="1287" spans="51:79" ht="19.5" x14ac:dyDescent="0.4">
      <c r="AY1287" s="130"/>
      <c r="AZ1287" s="119"/>
      <c r="BD1287" s="115"/>
      <c r="BE1287" s="116"/>
      <c r="BF1287" s="123"/>
      <c r="BG1287" s="123"/>
      <c r="BH1287" s="123"/>
      <c r="BI1287" s="115"/>
      <c r="BJ1287" s="115"/>
      <c r="BK1287" s="115"/>
      <c r="BL1287" s="115"/>
      <c r="BM1287" s="115"/>
      <c r="BN1287" s="115"/>
      <c r="BO1287" s="115"/>
      <c r="BP1287" s="115"/>
      <c r="BQ1287" s="115"/>
      <c r="BR1287" s="115"/>
      <c r="BS1287" s="115"/>
      <c r="BT1287" s="115"/>
      <c r="BU1287" s="115"/>
      <c r="BV1287" s="115"/>
      <c r="BW1287" s="26"/>
      <c r="BX1287" s="13"/>
      <c r="CA1287" s="114"/>
    </row>
    <row r="1288" spans="51:79" ht="19.5" x14ac:dyDescent="0.4">
      <c r="BD1288" s="115"/>
      <c r="BE1288" s="116"/>
      <c r="BF1288" s="123"/>
      <c r="BG1288" s="123"/>
      <c r="BH1288" s="123"/>
      <c r="BI1288" s="115"/>
      <c r="BJ1288" s="115"/>
      <c r="BK1288" s="115"/>
      <c r="BL1288" s="115"/>
      <c r="BM1288" s="115"/>
      <c r="BN1288" s="115"/>
      <c r="BO1288" s="115"/>
      <c r="BP1288" s="115"/>
      <c r="BQ1288" s="115"/>
      <c r="BR1288" s="115"/>
      <c r="BS1288" s="115"/>
      <c r="BT1288" s="115"/>
      <c r="BU1288" s="115"/>
      <c r="BV1288" s="115"/>
      <c r="BW1288" s="26">
        <v>45280</v>
      </c>
      <c r="BX1288" s="13" t="s">
        <v>162</v>
      </c>
      <c r="CA1288" s="114"/>
    </row>
    <row r="1289" spans="51:79" ht="19.5" x14ac:dyDescent="0.4">
      <c r="BD1289" s="115"/>
      <c r="BE1289" s="116"/>
      <c r="BF1289" s="123"/>
      <c r="BG1289" s="123"/>
      <c r="BH1289" s="123"/>
      <c r="BI1289" s="115"/>
      <c r="BJ1289" s="115"/>
      <c r="BK1289" s="115"/>
      <c r="BL1289" s="115"/>
      <c r="BM1289" s="115"/>
      <c r="BN1289" s="115"/>
      <c r="BO1289" s="115"/>
      <c r="BP1289" s="115"/>
      <c r="BQ1289" s="115"/>
      <c r="BR1289" s="115"/>
      <c r="BS1289" s="115"/>
      <c r="BT1289" s="115"/>
      <c r="BU1289" s="115"/>
      <c r="BV1289" s="115"/>
      <c r="BW1289" s="26">
        <v>45280</v>
      </c>
      <c r="BX1289" s="13" t="s">
        <v>162</v>
      </c>
      <c r="CA1289" s="114"/>
    </row>
    <row r="1290" spans="51:79" ht="19.5" x14ac:dyDescent="0.4">
      <c r="BD1290" s="115"/>
      <c r="BE1290" s="116"/>
      <c r="BF1290" s="123"/>
      <c r="BG1290" s="123"/>
      <c r="BH1290" s="123"/>
      <c r="BI1290" s="115"/>
      <c r="BJ1290" s="115"/>
      <c r="BK1290" s="115"/>
      <c r="BL1290" s="115"/>
      <c r="BM1290" s="115"/>
      <c r="BN1290" s="115"/>
      <c r="BO1290" s="115"/>
      <c r="BP1290" s="115"/>
      <c r="BQ1290" s="115"/>
      <c r="BR1290" s="115"/>
      <c r="BS1290" s="115"/>
      <c r="BT1290" s="115"/>
      <c r="BU1290" s="115"/>
      <c r="BV1290" s="115"/>
      <c r="BW1290" s="26">
        <v>45280</v>
      </c>
      <c r="BX1290" s="13" t="s">
        <v>162</v>
      </c>
      <c r="CA1290" s="114"/>
    </row>
    <row r="1291" spans="51:79" ht="19.5" x14ac:dyDescent="0.4">
      <c r="BC1291" s="115"/>
      <c r="BD1291" s="115"/>
      <c r="BE1291" s="116"/>
      <c r="BF1291" s="123"/>
      <c r="BG1291" s="123"/>
      <c r="BH1291" s="123"/>
      <c r="BI1291" s="115"/>
      <c r="BJ1291" s="115"/>
      <c r="BK1291" s="115"/>
      <c r="BL1291" s="115"/>
      <c r="BM1291" s="115"/>
      <c r="BN1291" s="115"/>
      <c r="BO1291" s="115"/>
      <c r="BP1291" s="115"/>
      <c r="BQ1291" s="115"/>
      <c r="BR1291" s="115"/>
      <c r="BS1291" s="115"/>
      <c r="BT1291" s="115"/>
      <c r="BU1291" s="115"/>
      <c r="BV1291" s="115"/>
      <c r="BW1291" s="26">
        <v>45280</v>
      </c>
      <c r="BX1291" s="13" t="s">
        <v>162</v>
      </c>
      <c r="CA1291" s="114"/>
    </row>
    <row r="1292" spans="51:79" ht="19.5" x14ac:dyDescent="0.4">
      <c r="BC1292" s="115"/>
      <c r="BD1292" s="115"/>
      <c r="BE1292" s="116"/>
      <c r="BF1292" s="123"/>
      <c r="BG1292" s="123"/>
      <c r="BH1292" s="123"/>
      <c r="BI1292" s="115"/>
      <c r="BJ1292" s="115"/>
      <c r="BK1292" s="115"/>
      <c r="BL1292" s="115"/>
      <c r="BM1292" s="115"/>
      <c r="BN1292" s="115"/>
      <c r="BO1292" s="115"/>
      <c r="BP1292" s="115"/>
      <c r="BQ1292" s="115"/>
      <c r="BR1292" s="115"/>
      <c r="BS1292" s="115"/>
      <c r="BT1292" s="115"/>
      <c r="BU1292" s="115"/>
      <c r="BV1292" s="115"/>
      <c r="BW1292" s="26">
        <v>45280</v>
      </c>
      <c r="BX1292" s="13" t="s">
        <v>162</v>
      </c>
      <c r="CA1292" s="114"/>
    </row>
    <row r="1293" spans="51:79" ht="19.5" x14ac:dyDescent="0.4">
      <c r="BA1293" s="115"/>
      <c r="BB1293" s="115"/>
      <c r="BC1293" s="115"/>
      <c r="BD1293" s="115"/>
      <c r="BE1293" s="116"/>
      <c r="BF1293" s="123"/>
      <c r="BG1293" s="123"/>
      <c r="BH1293" s="123"/>
      <c r="BI1293" s="115"/>
      <c r="BJ1293" s="115"/>
      <c r="BK1293" s="115"/>
      <c r="BL1293" s="115"/>
      <c r="BM1293" s="115"/>
      <c r="BN1293" s="115"/>
      <c r="BO1293" s="115"/>
      <c r="BP1293" s="115"/>
      <c r="BQ1293" s="115"/>
      <c r="BR1293" s="115"/>
      <c r="BS1293" s="115"/>
      <c r="BT1293" s="115"/>
      <c r="BU1293" s="115"/>
      <c r="BV1293" s="115"/>
      <c r="BW1293" s="26">
        <v>45280</v>
      </c>
      <c r="BX1293" s="13" t="s">
        <v>162</v>
      </c>
      <c r="CA1293" s="114"/>
    </row>
    <row r="1294" spans="51:79" x14ac:dyDescent="0.4">
      <c r="BA1294" s="115"/>
      <c r="BB1294" s="115"/>
      <c r="BC1294" s="115"/>
      <c r="BD1294" s="115"/>
      <c r="BE1294" s="115"/>
      <c r="BF1294" s="122"/>
      <c r="BG1294" s="122"/>
      <c r="BH1294" s="122"/>
      <c r="BI1294" s="115"/>
      <c r="BJ1294" s="115"/>
      <c r="BK1294" s="115"/>
      <c r="BL1294" s="115"/>
      <c r="BM1294" s="115"/>
      <c r="BN1294" s="115"/>
      <c r="BO1294" s="115"/>
      <c r="BP1294" s="115"/>
      <c r="BQ1294" s="115"/>
      <c r="BR1294" s="115"/>
      <c r="BS1294" s="115"/>
      <c r="BT1294" s="115"/>
      <c r="BU1294" s="115"/>
      <c r="BV1294" s="115"/>
      <c r="BW1294" s="26">
        <v>45280</v>
      </c>
      <c r="BX1294" s="13" t="s">
        <v>162</v>
      </c>
      <c r="CA1294" s="114"/>
    </row>
    <row r="1295" spans="51:79" x14ac:dyDescent="0.4">
      <c r="BA1295" s="115"/>
      <c r="BB1295" s="115"/>
      <c r="BC1295" s="115"/>
      <c r="BD1295" s="115"/>
      <c r="BE1295" s="115"/>
      <c r="BF1295" s="122"/>
      <c r="BG1295" s="122"/>
      <c r="BH1295" s="122"/>
      <c r="BI1295" s="115"/>
      <c r="BJ1295" s="115"/>
      <c r="BK1295" s="115"/>
      <c r="BL1295" s="115"/>
      <c r="BM1295" s="115"/>
      <c r="BN1295" s="115"/>
      <c r="BO1295" s="115"/>
      <c r="BP1295" s="115"/>
      <c r="BQ1295" s="115"/>
      <c r="BR1295" s="115"/>
      <c r="BS1295" s="115"/>
      <c r="BT1295" s="115"/>
      <c r="BU1295" s="115"/>
      <c r="BV1295" s="115"/>
      <c r="BW1295" s="26">
        <v>45280</v>
      </c>
      <c r="BX1295" s="13" t="s">
        <v>162</v>
      </c>
      <c r="CA1295" s="114"/>
    </row>
    <row r="1296" spans="51:79" x14ac:dyDescent="0.4">
      <c r="BA1296" s="115"/>
      <c r="BB1296" s="115"/>
      <c r="BC1296" s="115"/>
      <c r="BD1296" s="115"/>
      <c r="BE1296" s="115"/>
      <c r="BF1296" s="122"/>
      <c r="BG1296" s="122"/>
      <c r="BH1296" s="122"/>
      <c r="BI1296" s="115"/>
      <c r="BJ1296" s="115"/>
      <c r="BK1296" s="115"/>
      <c r="BL1296" s="115"/>
      <c r="BM1296" s="115"/>
      <c r="BN1296" s="115"/>
      <c r="BO1296" s="115"/>
      <c r="BP1296" s="115"/>
      <c r="BQ1296" s="115"/>
      <c r="BR1296" s="115"/>
      <c r="BS1296" s="115"/>
      <c r="BT1296" s="115"/>
      <c r="BU1296" s="115"/>
      <c r="BV1296" s="115" t="s">
        <v>171</v>
      </c>
      <c r="BW1296" s="17">
        <f>SUBTOTAL(3,BW1280:BW1295)</f>
        <v>13</v>
      </c>
      <c r="BX1296" s="13">
        <f>SUBTOTAL(3,BX1280:BX1295)</f>
        <v>13</v>
      </c>
      <c r="CA1296" s="114"/>
    </row>
    <row r="1297" spans="53:79" x14ac:dyDescent="0.4">
      <c r="BA1297" s="115"/>
      <c r="BB1297" s="115"/>
      <c r="BC1297" s="115"/>
      <c r="BD1297" s="115"/>
      <c r="BE1297" s="115"/>
      <c r="BF1297" s="122"/>
      <c r="BG1297" s="122"/>
      <c r="BH1297" s="122"/>
      <c r="BI1297" s="115"/>
      <c r="BJ1297" s="115"/>
      <c r="BK1297" s="115"/>
      <c r="BL1297" s="115"/>
      <c r="BM1297" s="115"/>
      <c r="BN1297" s="115"/>
      <c r="BO1297" s="115"/>
      <c r="BP1297" s="115"/>
      <c r="BQ1297" s="115"/>
      <c r="BR1297" s="115"/>
      <c r="BS1297" s="115"/>
      <c r="BT1297" s="115"/>
      <c r="BU1297" s="115"/>
      <c r="BV1297" s="115"/>
      <c r="BW1297" s="26">
        <v>45283</v>
      </c>
      <c r="BX1297" s="13" t="s">
        <v>162</v>
      </c>
      <c r="CA1297" s="114"/>
    </row>
    <row r="1298" spans="53:79" x14ac:dyDescent="0.4">
      <c r="BA1298" s="115"/>
      <c r="BB1298" s="115"/>
      <c r="BC1298" s="115"/>
      <c r="BD1298" s="115"/>
      <c r="BE1298" s="115"/>
      <c r="BF1298" s="122"/>
      <c r="BG1298" s="122"/>
      <c r="BH1298" s="122"/>
      <c r="BI1298" s="115"/>
      <c r="BJ1298" s="115"/>
      <c r="BK1298" s="115"/>
      <c r="BL1298" s="115"/>
      <c r="BM1298" s="115"/>
      <c r="BN1298" s="115"/>
      <c r="BO1298" s="115"/>
      <c r="BP1298" s="115"/>
      <c r="BQ1298" s="115"/>
      <c r="BR1298" s="115"/>
      <c r="BS1298" s="115"/>
      <c r="BT1298" s="115"/>
      <c r="BU1298" s="115"/>
      <c r="BV1298" s="115"/>
      <c r="BW1298" s="26">
        <v>45283</v>
      </c>
      <c r="BX1298" s="13" t="s">
        <v>162</v>
      </c>
      <c r="CA1298" s="114"/>
    </row>
    <row r="1299" spans="53:79" x14ac:dyDescent="0.4">
      <c r="BA1299" s="115"/>
      <c r="BB1299" s="115"/>
      <c r="BC1299" s="115"/>
      <c r="BD1299" s="115"/>
      <c r="BE1299" s="115"/>
      <c r="BF1299" s="122"/>
      <c r="BG1299" s="122"/>
      <c r="BH1299" s="122"/>
      <c r="BI1299" s="115"/>
      <c r="BJ1299" s="115"/>
      <c r="BK1299" s="115"/>
      <c r="BL1299" s="115"/>
      <c r="BM1299" s="115"/>
      <c r="BN1299" s="115"/>
      <c r="BO1299" s="115"/>
      <c r="BP1299" s="115"/>
      <c r="BQ1299" s="115"/>
      <c r="BR1299" s="115"/>
      <c r="BS1299" s="115"/>
      <c r="BT1299" s="115"/>
      <c r="BU1299" s="115"/>
      <c r="BV1299" s="115"/>
      <c r="BW1299" s="26">
        <v>45283</v>
      </c>
      <c r="BX1299" s="13" t="s">
        <v>162</v>
      </c>
      <c r="CA1299" s="114"/>
    </row>
    <row r="1300" spans="53:79" x14ac:dyDescent="0.4">
      <c r="BA1300" s="115"/>
      <c r="BB1300" s="115"/>
      <c r="BC1300" s="115"/>
      <c r="BD1300" s="115"/>
      <c r="BE1300" s="115"/>
      <c r="BF1300" s="122"/>
      <c r="BG1300" s="122"/>
      <c r="BH1300" s="122"/>
      <c r="BI1300" s="115"/>
      <c r="BJ1300" s="115"/>
      <c r="BK1300" s="115"/>
      <c r="BL1300" s="115"/>
      <c r="BM1300" s="115"/>
      <c r="BN1300" s="115"/>
      <c r="BO1300" s="115"/>
      <c r="BP1300" s="115"/>
      <c r="BQ1300" s="115"/>
      <c r="BR1300" s="115"/>
      <c r="BS1300" s="115"/>
      <c r="BT1300" s="115"/>
      <c r="BU1300" s="115"/>
      <c r="BV1300" s="115"/>
      <c r="BW1300" s="26">
        <v>45283</v>
      </c>
      <c r="BX1300" s="13" t="s">
        <v>162</v>
      </c>
      <c r="CA1300" s="114"/>
    </row>
    <row r="1301" spans="53:79" x14ac:dyDescent="0.4">
      <c r="BA1301" s="115"/>
      <c r="BB1301" s="115"/>
      <c r="BC1301" s="115"/>
      <c r="BD1301" s="115"/>
      <c r="BE1301" s="115"/>
      <c r="BF1301" s="122"/>
      <c r="BG1301" s="122"/>
      <c r="BH1301" s="122"/>
      <c r="BI1301" s="115"/>
      <c r="BJ1301" s="115"/>
      <c r="BK1301" s="115"/>
      <c r="BL1301" s="115"/>
      <c r="BM1301" s="115"/>
      <c r="BN1301" s="115"/>
      <c r="BO1301" s="115"/>
      <c r="BP1301" s="115"/>
      <c r="BQ1301" s="115"/>
      <c r="BR1301" s="115"/>
      <c r="BS1301" s="115"/>
      <c r="BT1301" s="115"/>
      <c r="BU1301" s="115"/>
      <c r="BV1301" s="115"/>
      <c r="BW1301" s="26">
        <v>45283</v>
      </c>
      <c r="BX1301" s="13" t="s">
        <v>162</v>
      </c>
      <c r="CA1301" s="114"/>
    </row>
    <row r="1302" spans="53:79" x14ac:dyDescent="0.4">
      <c r="BA1302" s="115"/>
      <c r="BB1302" s="115"/>
      <c r="BC1302" s="115"/>
      <c r="BD1302" s="115"/>
      <c r="BE1302" s="115"/>
      <c r="BF1302" s="122"/>
      <c r="BG1302" s="122"/>
      <c r="BH1302" s="122"/>
      <c r="BI1302" s="115"/>
      <c r="BJ1302" s="115"/>
      <c r="BK1302" s="115"/>
      <c r="BL1302" s="115"/>
      <c r="BM1302" s="115"/>
      <c r="BN1302" s="115"/>
      <c r="BO1302" s="115"/>
      <c r="BP1302" s="115"/>
      <c r="BQ1302" s="115"/>
      <c r="BR1302" s="115"/>
      <c r="BS1302" s="115"/>
      <c r="BT1302" s="115"/>
      <c r="BU1302" s="115"/>
      <c r="BV1302" s="115"/>
      <c r="BW1302" s="26">
        <v>45283</v>
      </c>
      <c r="BX1302" s="13" t="s">
        <v>162</v>
      </c>
      <c r="CA1302" s="114"/>
    </row>
    <row r="1303" spans="53:79" x14ac:dyDescent="0.4">
      <c r="BA1303" s="115"/>
      <c r="BB1303" s="115"/>
      <c r="BC1303" s="115"/>
      <c r="BD1303" s="115"/>
      <c r="BE1303" s="115"/>
      <c r="BF1303" s="122"/>
      <c r="BG1303" s="122"/>
      <c r="BH1303" s="122"/>
      <c r="BI1303" s="115"/>
      <c r="BJ1303" s="115"/>
      <c r="BK1303" s="115"/>
      <c r="BL1303" s="115"/>
      <c r="BM1303" s="115"/>
      <c r="BN1303" s="115"/>
      <c r="BO1303" s="115"/>
      <c r="BP1303" s="115"/>
      <c r="BQ1303" s="115"/>
      <c r="BR1303" s="115"/>
      <c r="BS1303" s="115"/>
      <c r="BT1303" s="115"/>
      <c r="BU1303" s="115"/>
      <c r="BV1303" s="115"/>
      <c r="BW1303" s="26">
        <v>45283</v>
      </c>
      <c r="BX1303" s="13" t="s">
        <v>162</v>
      </c>
      <c r="CA1303" s="114"/>
    </row>
    <row r="1304" spans="53:79" x14ac:dyDescent="0.4">
      <c r="BA1304" s="115"/>
      <c r="BB1304" s="115"/>
      <c r="BC1304" s="115"/>
      <c r="BD1304" s="115"/>
      <c r="BE1304" s="115"/>
      <c r="BF1304" s="122"/>
      <c r="BG1304" s="122"/>
      <c r="BH1304" s="122"/>
      <c r="BI1304" s="115"/>
      <c r="BJ1304" s="115"/>
      <c r="BK1304" s="115"/>
      <c r="BL1304" s="115"/>
      <c r="BM1304" s="115"/>
      <c r="BN1304" s="115"/>
      <c r="BO1304" s="115"/>
      <c r="BP1304" s="115"/>
      <c r="BQ1304" s="115"/>
      <c r="BR1304" s="115"/>
      <c r="BS1304" s="115"/>
      <c r="BT1304" s="115"/>
      <c r="BU1304" s="115"/>
      <c r="BV1304" s="115"/>
      <c r="BW1304" s="26">
        <v>45283</v>
      </c>
      <c r="BX1304" s="13" t="s">
        <v>162</v>
      </c>
      <c r="CA1304" s="114"/>
    </row>
    <row r="1305" spans="53:79" x14ac:dyDescent="0.4">
      <c r="BA1305" s="115"/>
      <c r="BB1305" s="115"/>
      <c r="BC1305" s="115"/>
      <c r="BD1305" s="115"/>
      <c r="BE1305" s="115"/>
      <c r="BF1305" s="122"/>
      <c r="BG1305" s="122"/>
      <c r="BH1305" s="122"/>
      <c r="BI1305" s="115"/>
      <c r="BJ1305" s="115"/>
      <c r="BK1305" s="115"/>
      <c r="BL1305" s="115"/>
      <c r="BM1305" s="115"/>
      <c r="BN1305" s="115"/>
      <c r="BO1305" s="115"/>
      <c r="BP1305" s="115"/>
      <c r="BQ1305" s="115"/>
      <c r="BR1305" s="115"/>
      <c r="BS1305" s="115"/>
      <c r="BT1305" s="115"/>
      <c r="BU1305" s="115"/>
      <c r="BV1305" s="115"/>
      <c r="BW1305" s="26">
        <v>45283</v>
      </c>
      <c r="BX1305" s="13" t="s">
        <v>162</v>
      </c>
      <c r="CA1305" s="114"/>
    </row>
    <row r="1306" spans="53:79" x14ac:dyDescent="0.4">
      <c r="BA1306" s="115"/>
      <c r="BB1306" s="115"/>
      <c r="BC1306" s="115"/>
      <c r="BD1306" s="115"/>
      <c r="BE1306" s="115"/>
      <c r="BF1306" s="122"/>
      <c r="BG1306" s="122"/>
      <c r="BH1306" s="122"/>
      <c r="BI1306" s="115"/>
      <c r="BJ1306" s="115"/>
      <c r="BK1306" s="115"/>
      <c r="BL1306" s="115"/>
      <c r="BM1306" s="115"/>
      <c r="BN1306" s="115"/>
      <c r="BO1306" s="115"/>
      <c r="BP1306" s="115"/>
      <c r="BQ1306" s="115"/>
      <c r="BR1306" s="115"/>
      <c r="BS1306" s="115"/>
      <c r="BT1306" s="115"/>
      <c r="BU1306" s="115"/>
      <c r="BV1306" s="115"/>
      <c r="BW1306" s="26">
        <v>45283</v>
      </c>
      <c r="BX1306" s="13" t="s">
        <v>162</v>
      </c>
      <c r="CA1306" s="114"/>
    </row>
    <row r="1307" spans="53:79" x14ac:dyDescent="0.4">
      <c r="BA1307" s="115"/>
      <c r="BB1307" s="115"/>
      <c r="BC1307" s="115"/>
      <c r="BD1307" s="115"/>
      <c r="BE1307" s="115"/>
      <c r="BF1307" s="122"/>
      <c r="BG1307" s="122"/>
      <c r="BH1307" s="122"/>
      <c r="BI1307" s="115"/>
      <c r="BJ1307" s="115"/>
      <c r="BK1307" s="115"/>
      <c r="BL1307" s="115"/>
      <c r="BM1307" s="115"/>
      <c r="BN1307" s="115"/>
      <c r="BO1307" s="115"/>
      <c r="BP1307" s="115"/>
      <c r="BQ1307" s="115"/>
      <c r="BR1307" s="115"/>
      <c r="BS1307" s="115"/>
      <c r="BT1307" s="115"/>
      <c r="BU1307" s="115"/>
      <c r="BV1307" s="115"/>
      <c r="BW1307" s="26">
        <v>45283</v>
      </c>
      <c r="BX1307" s="13" t="s">
        <v>163</v>
      </c>
      <c r="CA1307" s="114"/>
    </row>
    <row r="1308" spans="53:79" x14ac:dyDescent="0.4">
      <c r="BA1308" s="115"/>
      <c r="BB1308" s="115"/>
      <c r="BC1308" s="115"/>
      <c r="BD1308" s="115"/>
      <c r="BE1308" s="115"/>
      <c r="BF1308" s="122"/>
      <c r="BG1308" s="122"/>
      <c r="BH1308" s="122"/>
      <c r="BI1308" s="115"/>
      <c r="BJ1308" s="115"/>
      <c r="BK1308" s="115"/>
      <c r="BL1308" s="115"/>
      <c r="BM1308" s="115"/>
      <c r="BN1308" s="115"/>
      <c r="BO1308" s="115"/>
      <c r="BP1308" s="115"/>
      <c r="BQ1308" s="115"/>
      <c r="BR1308" s="115"/>
      <c r="BS1308" s="115"/>
      <c r="BT1308" s="115"/>
      <c r="BU1308" s="115"/>
      <c r="BV1308" s="115"/>
      <c r="BW1308" s="26">
        <v>45283</v>
      </c>
      <c r="BX1308" s="13" t="s">
        <v>163</v>
      </c>
      <c r="CA1308" s="114"/>
    </row>
    <row r="1309" spans="53:79" x14ac:dyDescent="0.4">
      <c r="BA1309" s="115"/>
      <c r="BB1309" s="115"/>
      <c r="BC1309" s="115"/>
      <c r="BD1309" s="115"/>
      <c r="BE1309" s="115"/>
      <c r="BF1309" s="122"/>
      <c r="BG1309" s="122"/>
      <c r="BH1309" s="122"/>
      <c r="BI1309" s="115"/>
      <c r="BJ1309" s="115"/>
      <c r="BK1309" s="115"/>
      <c r="BL1309" s="115"/>
      <c r="BM1309" s="115"/>
      <c r="BN1309" s="115"/>
      <c r="BO1309" s="115"/>
      <c r="BP1309" s="115"/>
      <c r="BQ1309" s="115"/>
      <c r="BR1309" s="115"/>
      <c r="BS1309" s="115"/>
      <c r="BT1309" s="115"/>
      <c r="BU1309" s="115"/>
      <c r="BV1309" s="115"/>
      <c r="BW1309" s="26">
        <v>45283</v>
      </c>
      <c r="BX1309" s="13" t="s">
        <v>163</v>
      </c>
      <c r="CA1309" s="114"/>
    </row>
    <row r="1310" spans="53:79" x14ac:dyDescent="0.4">
      <c r="BA1310" s="115"/>
      <c r="BB1310" s="115"/>
      <c r="BC1310" s="115"/>
      <c r="BD1310" s="115"/>
      <c r="BE1310" s="115"/>
      <c r="BF1310" s="122"/>
      <c r="BG1310" s="122"/>
      <c r="BH1310" s="122"/>
      <c r="BI1310" s="115"/>
      <c r="BJ1310" s="115"/>
      <c r="BK1310" s="115"/>
      <c r="BL1310" s="115"/>
      <c r="BM1310" s="115"/>
      <c r="BN1310" s="115"/>
      <c r="BO1310" s="115"/>
      <c r="BP1310" s="115"/>
      <c r="BQ1310" s="115"/>
      <c r="BR1310" s="115"/>
      <c r="BS1310" s="115"/>
      <c r="BT1310" s="115"/>
      <c r="BU1310" s="115"/>
      <c r="BV1310" s="115" t="s">
        <v>161</v>
      </c>
      <c r="BW1310" s="17">
        <f>SUBTOTAL(3,BW1297:BW1309)</f>
        <v>13</v>
      </c>
      <c r="BX1310" s="13">
        <f>SUBTOTAL(3,BX1297:BX1309)</f>
        <v>13</v>
      </c>
      <c r="CA1310" s="114"/>
    </row>
    <row r="1311" spans="53:79" x14ac:dyDescent="0.4">
      <c r="BA1311" s="115"/>
      <c r="BB1311" s="115"/>
      <c r="BC1311" s="115"/>
      <c r="BD1311" s="115"/>
      <c r="BE1311" s="115"/>
      <c r="BF1311" s="122"/>
      <c r="BG1311" s="122"/>
      <c r="BH1311" s="122"/>
      <c r="BI1311" s="115"/>
      <c r="BJ1311" s="115"/>
      <c r="BK1311" s="115"/>
      <c r="BL1311" s="115"/>
      <c r="BM1311" s="115"/>
      <c r="BN1311" s="115"/>
      <c r="BO1311" s="115"/>
      <c r="BP1311" s="115"/>
      <c r="BQ1311" s="115"/>
      <c r="BR1311" s="115"/>
      <c r="BS1311" s="115"/>
      <c r="BT1311" s="115"/>
      <c r="BU1311" s="115"/>
      <c r="BV1311" s="115"/>
      <c r="BW1311" s="26">
        <v>45285</v>
      </c>
      <c r="BX1311" s="13" t="s">
        <v>163</v>
      </c>
      <c r="CA1311" s="114"/>
    </row>
    <row r="1312" spans="53:79" x14ac:dyDescent="0.4">
      <c r="BA1312" s="115"/>
      <c r="BB1312" s="115"/>
      <c r="BC1312" s="115"/>
      <c r="BD1312" s="115"/>
      <c r="BE1312" s="115"/>
      <c r="BF1312" s="122"/>
      <c r="BG1312" s="122"/>
      <c r="BH1312" s="122"/>
      <c r="BI1312" s="115"/>
      <c r="BJ1312" s="115"/>
      <c r="BK1312" s="115"/>
      <c r="BL1312" s="115"/>
      <c r="BM1312" s="115"/>
      <c r="BN1312" s="115"/>
      <c r="BO1312" s="115"/>
      <c r="BP1312" s="115"/>
      <c r="BQ1312" s="115"/>
      <c r="BR1312" s="115"/>
      <c r="BS1312" s="115"/>
      <c r="BT1312" s="115"/>
      <c r="BU1312" s="115"/>
      <c r="BV1312" s="115" t="s">
        <v>172</v>
      </c>
      <c r="BW1312" s="17">
        <f>SUBTOTAL(3,BW1311:BW1311)</f>
        <v>1</v>
      </c>
      <c r="BX1312" s="13">
        <f>SUBTOTAL(3,BX1311:BX1311)</f>
        <v>1</v>
      </c>
      <c r="CA1312" s="114"/>
    </row>
    <row r="1313" spans="53:79" x14ac:dyDescent="0.4">
      <c r="BA1313" s="115"/>
      <c r="BB1313" s="115"/>
      <c r="BC1313" s="115"/>
      <c r="BD1313" s="115"/>
      <c r="BE1313" s="115"/>
      <c r="BF1313" s="122"/>
      <c r="BG1313" s="122"/>
      <c r="BH1313" s="122"/>
      <c r="BI1313" s="115"/>
      <c r="BJ1313" s="115"/>
      <c r="BK1313" s="115"/>
      <c r="BL1313" s="115"/>
      <c r="BM1313" s="115"/>
      <c r="BN1313" s="115"/>
      <c r="BO1313" s="115"/>
      <c r="BP1313" s="115"/>
      <c r="BQ1313" s="115"/>
      <c r="BR1313" s="115"/>
      <c r="BS1313" s="115"/>
      <c r="BT1313" s="115"/>
      <c r="BU1313" s="115"/>
      <c r="BV1313" s="115"/>
      <c r="BW1313" s="26">
        <v>45299</v>
      </c>
      <c r="BX1313" s="13" t="s">
        <v>164</v>
      </c>
      <c r="CA1313" s="114"/>
    </row>
    <row r="1314" spans="53:79" x14ac:dyDescent="0.4">
      <c r="BA1314" s="115"/>
      <c r="BB1314" s="115"/>
      <c r="BC1314" s="115"/>
      <c r="BD1314" s="115"/>
      <c r="BE1314" s="115"/>
      <c r="BF1314" s="122"/>
      <c r="BG1314" s="122"/>
      <c r="BH1314" s="122"/>
      <c r="BI1314" s="115"/>
      <c r="BJ1314" s="115"/>
      <c r="BK1314" s="115"/>
      <c r="BL1314" s="115"/>
      <c r="BM1314" s="115"/>
      <c r="BN1314" s="115"/>
      <c r="BO1314" s="115"/>
      <c r="BP1314" s="115"/>
      <c r="BQ1314" s="115"/>
      <c r="BR1314" s="115"/>
      <c r="BS1314" s="115"/>
      <c r="BT1314" s="115"/>
      <c r="BU1314" s="115"/>
      <c r="BV1314" s="115"/>
      <c r="BW1314" s="26">
        <v>45299</v>
      </c>
      <c r="BX1314" s="13" t="s">
        <v>162</v>
      </c>
      <c r="CA1314" s="114"/>
    </row>
    <row r="1315" spans="53:79" x14ac:dyDescent="0.4">
      <c r="BA1315" s="115"/>
      <c r="BB1315" s="115"/>
      <c r="BC1315" s="115"/>
      <c r="BD1315" s="115"/>
      <c r="BE1315" s="115"/>
      <c r="BF1315" s="122"/>
      <c r="BG1315" s="122"/>
      <c r="BH1315" s="122"/>
      <c r="BI1315" s="115"/>
      <c r="BJ1315" s="115"/>
      <c r="BK1315" s="115"/>
      <c r="BL1315" s="115"/>
      <c r="BM1315" s="115"/>
      <c r="BN1315" s="115"/>
      <c r="BO1315" s="115"/>
      <c r="BP1315" s="115"/>
      <c r="BQ1315" s="115"/>
      <c r="BR1315" s="115"/>
      <c r="BS1315" s="115"/>
      <c r="BT1315" s="115"/>
      <c r="BU1315" s="115"/>
      <c r="BV1315" s="115"/>
      <c r="BW1315" s="26">
        <v>45299</v>
      </c>
      <c r="BX1315" s="13" t="s">
        <v>162</v>
      </c>
      <c r="CA1315" s="114"/>
    </row>
    <row r="1316" spans="53:79" x14ac:dyDescent="0.4">
      <c r="BA1316" s="115"/>
      <c r="BB1316" s="115"/>
      <c r="BC1316" s="115"/>
      <c r="BD1316" s="115"/>
      <c r="BE1316" s="115"/>
      <c r="BF1316" s="122"/>
      <c r="BG1316" s="122"/>
      <c r="BH1316" s="122"/>
      <c r="BI1316" s="115"/>
      <c r="BJ1316" s="115"/>
      <c r="BK1316" s="115"/>
      <c r="BL1316" s="115"/>
      <c r="BM1316" s="115"/>
      <c r="BN1316" s="115"/>
      <c r="BO1316" s="115"/>
      <c r="BP1316" s="115"/>
      <c r="BQ1316" s="115"/>
      <c r="BR1316" s="115"/>
      <c r="BS1316" s="115"/>
      <c r="BT1316" s="115"/>
      <c r="BU1316" s="115"/>
      <c r="BV1316" s="115"/>
      <c r="BW1316" s="26">
        <v>45299</v>
      </c>
      <c r="BX1316" s="15" t="s">
        <v>162</v>
      </c>
      <c r="CA1316" s="114"/>
    </row>
    <row r="1317" spans="53:79" x14ac:dyDescent="0.4">
      <c r="BA1317" s="115"/>
      <c r="BB1317" s="115"/>
      <c r="BC1317" s="115"/>
      <c r="BD1317" s="115"/>
      <c r="BE1317" s="115"/>
      <c r="BF1317" s="122"/>
      <c r="BG1317" s="122"/>
      <c r="BH1317" s="122"/>
      <c r="BI1317" s="115"/>
      <c r="BJ1317" s="115"/>
      <c r="BK1317" s="115"/>
      <c r="BL1317" s="115"/>
      <c r="BM1317" s="115"/>
      <c r="BN1317" s="115"/>
      <c r="BO1317" s="115"/>
      <c r="BP1317" s="115"/>
      <c r="BQ1317" s="115"/>
      <c r="BR1317" s="115"/>
      <c r="BS1317" s="115"/>
      <c r="BT1317" s="115"/>
      <c r="BU1317" s="115"/>
      <c r="BV1317" s="115" t="s">
        <v>173</v>
      </c>
      <c r="BW1317" s="17">
        <f>SUBTOTAL(3,BW1313:BW1316)</f>
        <v>4</v>
      </c>
      <c r="BX1317" s="13">
        <f>SUBTOTAL(3,BX1313:BX1316)</f>
        <v>4</v>
      </c>
      <c r="CA1317" s="114"/>
    </row>
    <row r="1318" spans="53:79" x14ac:dyDescent="0.4">
      <c r="BA1318" s="115"/>
      <c r="BB1318" s="115"/>
      <c r="BC1318" s="115"/>
      <c r="BD1318" s="115"/>
      <c r="BE1318" s="115"/>
      <c r="BF1318" s="122"/>
      <c r="BG1318" s="122"/>
      <c r="BH1318" s="122"/>
      <c r="BI1318" s="115"/>
      <c r="BJ1318" s="115"/>
      <c r="BK1318" s="115"/>
      <c r="BL1318" s="115"/>
      <c r="BM1318" s="115"/>
      <c r="BN1318" s="115"/>
      <c r="BO1318" s="115"/>
      <c r="BP1318" s="115"/>
      <c r="BQ1318" s="115"/>
      <c r="BR1318" s="115"/>
      <c r="BS1318" s="115"/>
      <c r="BT1318" s="115"/>
      <c r="BU1318" s="115"/>
      <c r="BV1318" s="115" t="s">
        <v>145</v>
      </c>
      <c r="BW1318" s="17">
        <f>SUBTOTAL(3,BW2:BW1316)</f>
        <v>136</v>
      </c>
      <c r="BX1318" s="13">
        <f>SUBTOTAL(3,BX2:BX1316)</f>
        <v>136</v>
      </c>
      <c r="CA1318" s="114"/>
    </row>
    <row r="1319" spans="53:79" x14ac:dyDescent="0.4">
      <c r="BA1319" s="115"/>
      <c r="BB1319" s="115"/>
      <c r="BC1319" s="115"/>
      <c r="BD1319" s="115"/>
      <c r="BE1319" s="115"/>
      <c r="BF1319" s="122"/>
      <c r="BG1319" s="122"/>
      <c r="BH1319" s="122"/>
      <c r="BI1319" s="115"/>
      <c r="BJ1319" s="115"/>
      <c r="BK1319" s="115"/>
      <c r="BL1319" s="115"/>
      <c r="BM1319" s="115"/>
      <c r="BN1319" s="115"/>
      <c r="BO1319" s="115"/>
      <c r="BP1319" s="115"/>
      <c r="BQ1319" s="115"/>
      <c r="BR1319" s="115"/>
      <c r="BS1319" s="115"/>
      <c r="BT1319" s="115" t="s">
        <v>145</v>
      </c>
      <c r="BU1319" s="115"/>
      <c r="BV1319" s="115"/>
      <c r="BW1319" s="26"/>
      <c r="BX1319" s="13"/>
      <c r="CA1319" s="114"/>
    </row>
    <row r="1320" spans="53:79" x14ac:dyDescent="0.4">
      <c r="BA1320" s="115"/>
      <c r="BB1320" s="115"/>
      <c r="BC1320" s="115"/>
      <c r="BD1320" s="115"/>
      <c r="BE1320" s="115"/>
      <c r="BF1320" s="122"/>
      <c r="BG1320" s="122"/>
      <c r="BH1320" s="122"/>
      <c r="BI1320" s="115"/>
      <c r="BJ1320" s="115"/>
      <c r="BK1320" s="115"/>
      <c r="BL1320" s="115"/>
      <c r="BM1320" s="115"/>
      <c r="BN1320" s="115"/>
      <c r="BO1320" s="115"/>
      <c r="BP1320" s="115"/>
      <c r="BQ1320" s="115"/>
      <c r="BR1320" s="115"/>
      <c r="BS1320" s="115"/>
      <c r="BT1320" s="115"/>
      <c r="BU1320" s="115"/>
      <c r="BV1320" s="115"/>
      <c r="BW1320" s="17"/>
      <c r="BX1320" s="13"/>
      <c r="CA1320" s="114"/>
    </row>
    <row r="1321" spans="53:79" x14ac:dyDescent="0.4">
      <c r="BA1321" s="115"/>
      <c r="BB1321" s="115"/>
      <c r="BC1321" s="115"/>
      <c r="BD1321" s="115"/>
      <c r="BE1321" s="115"/>
      <c r="BF1321" s="122"/>
      <c r="BG1321" s="122"/>
      <c r="BH1321" s="122"/>
      <c r="BI1321" s="115"/>
      <c r="BJ1321" s="115"/>
      <c r="BK1321" s="115"/>
      <c r="BL1321" s="115"/>
      <c r="BM1321" s="115"/>
      <c r="BN1321" s="115"/>
      <c r="BO1321" s="115"/>
      <c r="BP1321" s="115"/>
      <c r="BQ1321" s="115"/>
      <c r="BR1321" s="115"/>
      <c r="BS1321" s="115"/>
      <c r="BT1321" s="115"/>
      <c r="BU1321" s="115"/>
      <c r="BV1321" s="115"/>
      <c r="BW1321" s="26"/>
      <c r="BX1321" s="13"/>
      <c r="CA1321" s="114"/>
    </row>
    <row r="1322" spans="53:79" x14ac:dyDescent="0.4">
      <c r="BA1322" s="115"/>
      <c r="BB1322" s="115"/>
      <c r="BC1322" s="115"/>
      <c r="BD1322" s="115"/>
      <c r="BE1322" s="115"/>
      <c r="BF1322" s="122"/>
      <c r="BG1322" s="122"/>
      <c r="BH1322" s="122"/>
      <c r="BI1322" s="115"/>
      <c r="BJ1322" s="115"/>
      <c r="BK1322" s="115"/>
      <c r="BL1322" s="115"/>
      <c r="BM1322" s="115"/>
      <c r="BN1322" s="115"/>
      <c r="BO1322" s="115"/>
      <c r="BP1322" s="115"/>
      <c r="BQ1322" s="115"/>
      <c r="BR1322" s="115"/>
      <c r="BS1322" s="115"/>
      <c r="BT1322" s="115"/>
      <c r="BU1322" s="115"/>
      <c r="BV1322" s="115"/>
      <c r="BW1322" s="17"/>
      <c r="BX1322" s="13"/>
      <c r="CA1322" s="114"/>
    </row>
    <row r="1323" spans="53:79" x14ac:dyDescent="0.4">
      <c r="BA1323" s="115"/>
      <c r="BB1323" s="115"/>
      <c r="BC1323" s="115"/>
      <c r="BD1323" s="115"/>
      <c r="BE1323" s="115"/>
      <c r="BF1323" s="122"/>
      <c r="BG1323" s="122"/>
      <c r="BH1323" s="122"/>
      <c r="BI1323" s="115"/>
      <c r="BJ1323" s="115"/>
      <c r="BK1323" s="115"/>
      <c r="BL1323" s="115"/>
      <c r="BM1323" s="115"/>
      <c r="BN1323" s="115"/>
      <c r="BO1323" s="115"/>
      <c r="BP1323" s="115"/>
      <c r="BQ1323" s="115"/>
      <c r="BR1323" s="115"/>
      <c r="BS1323" s="115"/>
      <c r="BT1323" s="115"/>
      <c r="BU1323" s="115"/>
      <c r="BV1323" s="115"/>
      <c r="BW1323" s="26"/>
      <c r="BX1323" s="13"/>
      <c r="CA1323" s="114"/>
    </row>
    <row r="1324" spans="53:79" x14ac:dyDescent="0.4">
      <c r="BA1324" s="115"/>
      <c r="BB1324" s="115"/>
      <c r="BC1324" s="115"/>
      <c r="BD1324" s="115"/>
      <c r="BE1324" s="115"/>
      <c r="BF1324" s="122"/>
      <c r="BG1324" s="122"/>
      <c r="BH1324" s="122"/>
      <c r="BI1324" s="115"/>
      <c r="BJ1324" s="115"/>
      <c r="BK1324" s="115"/>
      <c r="BL1324" s="115"/>
      <c r="BM1324" s="115"/>
      <c r="BN1324" s="115"/>
      <c r="BO1324" s="115"/>
      <c r="BP1324" s="115"/>
      <c r="BQ1324" s="115"/>
      <c r="BR1324" s="115"/>
      <c r="BS1324" s="115"/>
      <c r="BT1324" s="115"/>
      <c r="BU1324" s="115"/>
      <c r="BV1324" s="115"/>
      <c r="BW1324" s="26"/>
      <c r="BX1324" s="13"/>
      <c r="CA1324" s="114"/>
    </row>
    <row r="1325" spans="53:79" x14ac:dyDescent="0.4">
      <c r="BA1325" s="115"/>
      <c r="BB1325" s="115"/>
      <c r="BC1325" s="115"/>
      <c r="BD1325" s="115"/>
      <c r="BE1325" s="115"/>
      <c r="BF1325" s="122"/>
      <c r="BG1325" s="122"/>
      <c r="BH1325" s="122"/>
      <c r="BI1325" s="115"/>
      <c r="BJ1325" s="115"/>
      <c r="BK1325" s="115"/>
      <c r="BL1325" s="115"/>
      <c r="BM1325" s="115"/>
      <c r="BN1325" s="115"/>
      <c r="BO1325" s="115"/>
      <c r="BP1325" s="115"/>
      <c r="BQ1325" s="115"/>
      <c r="BR1325" s="115"/>
      <c r="BS1325" s="115"/>
      <c r="BT1325" s="115"/>
      <c r="BU1325" s="115"/>
      <c r="BV1325" s="115"/>
      <c r="BW1325" s="26"/>
      <c r="BX1325" s="13"/>
      <c r="CA1325" s="114"/>
    </row>
    <row r="1326" spans="53:79" x14ac:dyDescent="0.4">
      <c r="BA1326" s="115"/>
      <c r="BB1326" s="115"/>
      <c r="BC1326" s="115"/>
      <c r="BD1326" s="115"/>
      <c r="BE1326" s="115"/>
      <c r="BF1326" s="122"/>
      <c r="BG1326" s="122"/>
      <c r="BH1326" s="122"/>
      <c r="BI1326" s="115"/>
      <c r="BJ1326" s="115"/>
      <c r="BK1326" s="115"/>
      <c r="BL1326" s="115"/>
      <c r="BM1326" s="115"/>
      <c r="BN1326" s="115"/>
      <c r="BO1326" s="115"/>
      <c r="BP1326" s="115"/>
      <c r="BQ1326" s="115"/>
      <c r="BR1326" s="115"/>
      <c r="BS1326" s="115"/>
      <c r="BT1326" s="115"/>
      <c r="BU1326" s="115"/>
      <c r="BV1326" s="115"/>
      <c r="BW1326" s="17"/>
      <c r="BX1326" s="13"/>
      <c r="CA1326" s="114"/>
    </row>
    <row r="1327" spans="53:79" x14ac:dyDescent="0.4">
      <c r="BA1327" s="115"/>
      <c r="BB1327" s="115"/>
      <c r="BC1327" s="115"/>
      <c r="BD1327" s="115"/>
      <c r="BE1327" s="115"/>
      <c r="BF1327" s="122"/>
      <c r="BG1327" s="122"/>
      <c r="BH1327" s="122"/>
      <c r="BI1327" s="115"/>
      <c r="BJ1327" s="115"/>
      <c r="BK1327" s="115"/>
      <c r="BL1327" s="115"/>
      <c r="BM1327" s="115"/>
      <c r="BN1327" s="115"/>
      <c r="BO1327" s="115"/>
      <c r="BP1327" s="115"/>
      <c r="BQ1327" s="115"/>
      <c r="BR1327" s="115"/>
      <c r="BS1327" s="115"/>
      <c r="BT1327" s="115"/>
      <c r="BU1327" s="115"/>
      <c r="BV1327" s="115"/>
      <c r="BW1327" s="26"/>
      <c r="BX1327" s="13"/>
      <c r="CA1327" s="114"/>
    </row>
    <row r="1328" spans="53:79" x14ac:dyDescent="0.4">
      <c r="BA1328" s="115"/>
      <c r="BB1328" s="115"/>
      <c r="BC1328" s="115"/>
      <c r="BD1328" s="115"/>
      <c r="BE1328" s="115"/>
      <c r="BF1328" s="122"/>
      <c r="BG1328" s="122"/>
      <c r="BH1328" s="122"/>
      <c r="BI1328" s="115"/>
      <c r="BJ1328" s="115"/>
      <c r="BK1328" s="115"/>
      <c r="BL1328" s="115"/>
      <c r="BM1328" s="115"/>
      <c r="BN1328" s="115"/>
      <c r="BO1328" s="115"/>
      <c r="BP1328" s="115"/>
      <c r="BQ1328" s="115"/>
      <c r="BR1328" s="115"/>
      <c r="BS1328" s="115"/>
      <c r="BT1328" s="115"/>
      <c r="BU1328" s="115"/>
      <c r="BV1328" s="115"/>
      <c r="BW1328" s="17"/>
      <c r="BX1328" s="13"/>
      <c r="CA1328" s="114"/>
    </row>
    <row r="1329" spans="53:79" x14ac:dyDescent="0.4">
      <c r="BA1329" s="115"/>
      <c r="BB1329" s="115"/>
      <c r="BC1329" s="115"/>
      <c r="BD1329" s="115"/>
      <c r="BE1329" s="115"/>
      <c r="BF1329" s="122"/>
      <c r="BG1329" s="122"/>
      <c r="BH1329" s="122"/>
      <c r="BI1329" s="115"/>
      <c r="BJ1329" s="115"/>
      <c r="BK1329" s="115"/>
      <c r="BL1329" s="115"/>
      <c r="BM1329" s="115"/>
      <c r="BN1329" s="115"/>
      <c r="BO1329" s="115"/>
      <c r="BP1329" s="115"/>
      <c r="BQ1329" s="115"/>
      <c r="BR1329" s="115"/>
      <c r="BS1329" s="115"/>
      <c r="BT1329" s="115"/>
      <c r="BU1329" s="115"/>
      <c r="BV1329" s="115"/>
      <c r="BW1329" s="26"/>
      <c r="BX1329" s="13"/>
      <c r="CA1329" s="114"/>
    </row>
    <row r="1330" spans="53:79" x14ac:dyDescent="0.4">
      <c r="BA1330" s="115"/>
      <c r="BB1330" s="115"/>
      <c r="BC1330" s="115"/>
      <c r="BD1330" s="115"/>
      <c r="BE1330" s="115"/>
      <c r="BF1330" s="122"/>
      <c r="BG1330" s="122"/>
      <c r="BH1330" s="122"/>
      <c r="BI1330" s="115"/>
      <c r="BJ1330" s="115"/>
      <c r="BK1330" s="115"/>
      <c r="BL1330" s="115"/>
      <c r="BM1330" s="115"/>
      <c r="BN1330" s="115"/>
      <c r="BO1330" s="115"/>
      <c r="BP1330" s="115"/>
      <c r="BQ1330" s="115"/>
      <c r="BR1330" s="115"/>
      <c r="BS1330" s="115"/>
      <c r="BT1330" s="115"/>
      <c r="BU1330" s="115"/>
      <c r="BV1330" s="115"/>
      <c r="BW1330" s="17"/>
      <c r="BX1330" s="13"/>
      <c r="CA1330" s="114"/>
    </row>
    <row r="1331" spans="53:79" x14ac:dyDescent="0.4">
      <c r="BA1331" s="115"/>
      <c r="BB1331" s="115"/>
      <c r="BC1331" s="115"/>
      <c r="BD1331" s="115"/>
      <c r="BE1331" s="115"/>
      <c r="BF1331" s="122"/>
      <c r="BG1331" s="122"/>
      <c r="BH1331" s="122"/>
      <c r="BI1331" s="115"/>
      <c r="BJ1331" s="115"/>
      <c r="BK1331" s="115"/>
      <c r="BL1331" s="115"/>
      <c r="BM1331" s="115"/>
      <c r="BN1331" s="115"/>
      <c r="BO1331" s="115"/>
      <c r="BP1331" s="115"/>
      <c r="BQ1331" s="115"/>
      <c r="BR1331" s="115"/>
      <c r="BS1331" s="115"/>
      <c r="BT1331" s="115"/>
      <c r="BU1331" s="115"/>
      <c r="BV1331" s="115"/>
      <c r="BW1331" s="17"/>
      <c r="BX1331" s="13"/>
      <c r="CA1331" s="114"/>
    </row>
    <row r="1332" spans="53:79" x14ac:dyDescent="0.4">
      <c r="BA1332" s="115"/>
      <c r="BB1332" s="115"/>
      <c r="BC1332" s="115"/>
      <c r="BD1332" s="115"/>
      <c r="BE1332" s="115"/>
      <c r="BF1332" s="122"/>
      <c r="BG1332" s="122"/>
      <c r="BH1332" s="122"/>
      <c r="BI1332" s="115"/>
      <c r="BJ1332" s="115"/>
      <c r="BK1332" s="115"/>
      <c r="BL1332" s="115"/>
      <c r="BM1332" s="115"/>
      <c r="BN1332" s="115"/>
      <c r="BO1332" s="115"/>
      <c r="BP1332" s="115"/>
      <c r="BQ1332" s="115"/>
      <c r="BR1332" s="115"/>
      <c r="BS1332" s="115"/>
      <c r="BT1332" s="115"/>
      <c r="BU1332" s="115"/>
      <c r="BV1332" s="115"/>
      <c r="BW1332" s="17"/>
      <c r="BX1332" s="13"/>
      <c r="CA1332" s="114"/>
    </row>
    <row r="1333" spans="53:79" x14ac:dyDescent="0.4">
      <c r="BA1333" s="115"/>
      <c r="BB1333" s="115"/>
      <c r="BC1333" s="115"/>
      <c r="BD1333" s="115"/>
      <c r="BE1333" s="115"/>
      <c r="BF1333" s="122"/>
      <c r="BG1333" s="122"/>
      <c r="BH1333" s="122"/>
      <c r="BI1333" s="115"/>
      <c r="BJ1333" s="115"/>
      <c r="BK1333" s="115"/>
      <c r="BL1333" s="115"/>
      <c r="BM1333" s="115"/>
      <c r="BN1333" s="115"/>
      <c r="BO1333" s="115"/>
      <c r="BP1333" s="115"/>
      <c r="BQ1333" s="115"/>
      <c r="BR1333" s="115"/>
      <c r="BS1333" s="115"/>
      <c r="BT1333" s="115"/>
      <c r="BU1333" s="115"/>
      <c r="BV1333" s="115"/>
      <c r="BW1333" s="26"/>
      <c r="BX1333" s="13"/>
      <c r="CA1333" s="114"/>
    </row>
    <row r="1334" spans="53:79" x14ac:dyDescent="0.4">
      <c r="BA1334" s="115"/>
      <c r="BB1334" s="115"/>
      <c r="BC1334" s="115"/>
      <c r="BD1334" s="115"/>
      <c r="BE1334" s="115"/>
      <c r="BF1334" s="122"/>
      <c r="BG1334" s="122"/>
      <c r="BH1334" s="122"/>
      <c r="BI1334" s="115"/>
      <c r="BJ1334" s="115"/>
      <c r="BK1334" s="115"/>
      <c r="BL1334" s="115"/>
      <c r="BM1334" s="115"/>
      <c r="BN1334" s="115"/>
      <c r="BO1334" s="115"/>
      <c r="BP1334" s="115"/>
      <c r="BQ1334" s="115"/>
      <c r="BR1334" s="115"/>
      <c r="BS1334" s="115"/>
      <c r="BT1334" s="115"/>
      <c r="BU1334" s="115"/>
      <c r="BV1334" s="115"/>
      <c r="BW1334" s="17"/>
      <c r="BX1334" s="13"/>
      <c r="CA1334" s="114"/>
    </row>
    <row r="1335" spans="53:79" x14ac:dyDescent="0.4">
      <c r="BA1335" s="115"/>
      <c r="BB1335" s="115"/>
      <c r="BC1335" s="115"/>
      <c r="BD1335" s="115"/>
      <c r="BE1335" s="115"/>
      <c r="BF1335" s="122"/>
      <c r="BG1335" s="122"/>
      <c r="BH1335" s="122"/>
      <c r="BI1335" s="115"/>
      <c r="BJ1335" s="115"/>
      <c r="BK1335" s="115"/>
      <c r="BL1335" s="115"/>
      <c r="BM1335" s="115"/>
      <c r="BN1335" s="115"/>
      <c r="BO1335" s="115"/>
      <c r="BP1335" s="115"/>
      <c r="BQ1335" s="115"/>
      <c r="BR1335" s="115"/>
      <c r="BS1335" s="115"/>
      <c r="BT1335" s="115"/>
      <c r="BU1335" s="115"/>
      <c r="BV1335" s="115"/>
      <c r="BW1335" s="26"/>
      <c r="BX1335" s="13"/>
      <c r="CA1335" s="114"/>
    </row>
    <row r="1336" spans="53:79" x14ac:dyDescent="0.4">
      <c r="BA1336" s="115"/>
      <c r="BB1336" s="115"/>
      <c r="BC1336" s="115"/>
      <c r="BD1336" s="115"/>
      <c r="BE1336" s="115"/>
      <c r="BF1336" s="122"/>
      <c r="BG1336" s="122"/>
      <c r="BH1336" s="122"/>
      <c r="BI1336" s="115"/>
      <c r="BJ1336" s="115"/>
      <c r="BK1336" s="115"/>
      <c r="BL1336" s="115"/>
      <c r="BM1336" s="115"/>
      <c r="BN1336" s="115"/>
      <c r="BO1336" s="115"/>
      <c r="BP1336" s="115"/>
      <c r="BQ1336" s="115"/>
      <c r="BR1336" s="115"/>
      <c r="BS1336" s="115"/>
      <c r="BT1336" s="115"/>
      <c r="BU1336" s="115"/>
      <c r="BV1336" s="115"/>
      <c r="BW1336" s="17"/>
      <c r="BX1336" s="13"/>
      <c r="CA1336" s="114"/>
    </row>
    <row r="1337" spans="53:79" x14ac:dyDescent="0.4">
      <c r="BA1337" s="115"/>
      <c r="BB1337" s="115"/>
      <c r="BC1337" s="115"/>
      <c r="BD1337" s="115"/>
      <c r="BE1337" s="115"/>
      <c r="BF1337" s="122"/>
      <c r="BG1337" s="122"/>
      <c r="BH1337" s="122"/>
      <c r="BI1337" s="115"/>
      <c r="BJ1337" s="115"/>
      <c r="BK1337" s="115"/>
      <c r="BL1337" s="115"/>
      <c r="BM1337" s="115"/>
      <c r="BN1337" s="115"/>
      <c r="BO1337" s="115"/>
      <c r="BP1337" s="115"/>
      <c r="BQ1337" s="115"/>
      <c r="BR1337" s="115"/>
      <c r="BS1337" s="115"/>
      <c r="BT1337" s="115"/>
      <c r="BU1337" s="115"/>
      <c r="BV1337" s="115"/>
      <c r="BW1337" s="26"/>
      <c r="BX1337" s="25"/>
      <c r="CA1337" s="114"/>
    </row>
    <row r="1338" spans="53:79" x14ac:dyDescent="0.4">
      <c r="BA1338" s="115"/>
      <c r="BB1338" s="115"/>
      <c r="BC1338" s="115"/>
      <c r="BD1338" s="115"/>
      <c r="BE1338" s="115"/>
      <c r="BF1338" s="122"/>
      <c r="BG1338" s="122"/>
      <c r="BH1338" s="122"/>
      <c r="BI1338" s="115"/>
      <c r="BJ1338" s="115"/>
      <c r="BK1338" s="115"/>
      <c r="BL1338" s="115"/>
      <c r="BM1338" s="115"/>
      <c r="BN1338" s="115"/>
      <c r="BO1338" s="115"/>
      <c r="BP1338" s="115"/>
      <c r="BQ1338" s="115"/>
      <c r="BR1338" s="115"/>
      <c r="BS1338" s="115"/>
      <c r="BT1338" s="115"/>
      <c r="BU1338" s="115"/>
      <c r="BV1338" s="115"/>
      <c r="BW1338" s="17"/>
      <c r="BX1338" s="13"/>
      <c r="CA1338" s="114"/>
    </row>
    <row r="1339" spans="53:79" x14ac:dyDescent="0.4">
      <c r="BA1339" s="115"/>
      <c r="BB1339" s="115"/>
      <c r="BC1339" s="115"/>
      <c r="BD1339" s="115"/>
      <c r="BE1339" s="115"/>
      <c r="BF1339" s="122"/>
      <c r="BG1339" s="122"/>
      <c r="BH1339" s="122"/>
      <c r="BI1339" s="115"/>
      <c r="BJ1339" s="115"/>
      <c r="BK1339" s="115"/>
      <c r="BL1339" s="115"/>
      <c r="BM1339" s="115"/>
      <c r="BN1339" s="115"/>
      <c r="BO1339" s="115"/>
      <c r="BP1339" s="115"/>
      <c r="BQ1339" s="115"/>
      <c r="BR1339" s="115"/>
      <c r="BS1339" s="115"/>
      <c r="BT1339" s="115"/>
      <c r="BU1339" s="115"/>
      <c r="BV1339" s="115"/>
      <c r="BW1339" s="17"/>
      <c r="BX1339" s="13"/>
      <c r="CA1339" s="114"/>
    </row>
    <row r="1340" spans="53:79" x14ac:dyDescent="0.4">
      <c r="BA1340" s="115"/>
      <c r="BB1340" s="115"/>
      <c r="BC1340" s="115"/>
      <c r="BD1340" s="115"/>
      <c r="BE1340" s="115"/>
      <c r="BF1340" s="122"/>
      <c r="BG1340" s="122"/>
      <c r="BH1340" s="122"/>
      <c r="BI1340" s="115"/>
      <c r="BJ1340" s="115"/>
      <c r="BK1340" s="115"/>
      <c r="BL1340" s="115"/>
      <c r="BM1340" s="115"/>
      <c r="BN1340" s="115"/>
      <c r="BO1340" s="115"/>
      <c r="BP1340" s="115"/>
      <c r="BQ1340" s="115"/>
      <c r="BR1340" s="115"/>
      <c r="BS1340" s="115"/>
      <c r="BT1340" s="115"/>
      <c r="BU1340" s="115"/>
      <c r="BV1340" s="115"/>
      <c r="BW1340" s="26"/>
      <c r="BX1340" s="15"/>
      <c r="CA1340" s="114"/>
    </row>
    <row r="1341" spans="53:79" x14ac:dyDescent="0.4">
      <c r="BA1341" s="115"/>
      <c r="BB1341" s="115"/>
      <c r="BC1341" s="115"/>
      <c r="BD1341" s="115"/>
      <c r="BE1341" s="115"/>
      <c r="BF1341" s="122"/>
      <c r="BG1341" s="122"/>
      <c r="BH1341" s="122"/>
      <c r="BI1341" s="115"/>
      <c r="BJ1341" s="115"/>
      <c r="BK1341" s="115"/>
      <c r="BL1341" s="115"/>
      <c r="BM1341" s="115"/>
      <c r="BN1341" s="115"/>
      <c r="BO1341" s="115"/>
      <c r="BP1341" s="115"/>
      <c r="BQ1341" s="115"/>
      <c r="BR1341" s="115"/>
      <c r="BS1341" s="115"/>
      <c r="BT1341" s="115"/>
      <c r="BU1341" s="115"/>
      <c r="BV1341" s="115"/>
      <c r="BW1341" s="26"/>
      <c r="BX1341" s="15"/>
      <c r="CA1341" s="114"/>
    </row>
    <row r="1342" spans="53:79" x14ac:dyDescent="0.4">
      <c r="BA1342" s="115"/>
      <c r="BB1342" s="115"/>
      <c r="BC1342" s="115"/>
      <c r="BD1342" s="115"/>
      <c r="BE1342" s="115"/>
      <c r="BF1342" s="122"/>
      <c r="BG1342" s="122"/>
      <c r="BH1342" s="122"/>
      <c r="BI1342" s="115"/>
      <c r="BJ1342" s="115"/>
      <c r="BK1342" s="115"/>
      <c r="BL1342" s="115"/>
      <c r="BM1342" s="115"/>
      <c r="BN1342" s="115"/>
      <c r="BO1342" s="115"/>
      <c r="BP1342" s="115"/>
      <c r="BQ1342" s="115"/>
      <c r="BR1342" s="115"/>
      <c r="BS1342" s="115"/>
      <c r="BT1342" s="115"/>
      <c r="BU1342" s="115"/>
      <c r="BV1342" s="115"/>
      <c r="BW1342" s="26"/>
      <c r="BX1342" s="15"/>
      <c r="CA1342" s="114"/>
    </row>
    <row r="1343" spans="53:79" x14ac:dyDescent="0.4">
      <c r="BA1343" s="115"/>
      <c r="BB1343" s="115"/>
      <c r="BC1343" s="115"/>
      <c r="BD1343" s="115"/>
      <c r="BE1343" s="115"/>
      <c r="BF1343" s="122"/>
      <c r="BG1343" s="122"/>
      <c r="BH1343" s="122"/>
      <c r="BI1343" s="115"/>
      <c r="BJ1343" s="115"/>
      <c r="BK1343" s="115"/>
      <c r="BL1343" s="115"/>
      <c r="BM1343" s="115"/>
      <c r="BN1343" s="115"/>
      <c r="BO1343" s="115"/>
      <c r="BP1343" s="115"/>
      <c r="BQ1343" s="115"/>
      <c r="BR1343" s="115"/>
      <c r="BS1343" s="115"/>
      <c r="BT1343" s="115"/>
      <c r="BU1343" s="115"/>
      <c r="BV1343" s="115"/>
      <c r="BW1343" s="26"/>
      <c r="BX1343" s="15"/>
      <c r="CA1343" s="114"/>
    </row>
    <row r="1344" spans="53:79" x14ac:dyDescent="0.4">
      <c r="BA1344" s="115"/>
      <c r="BB1344" s="115"/>
      <c r="BC1344" s="115"/>
      <c r="BD1344" s="115"/>
      <c r="BE1344" s="115"/>
      <c r="BF1344" s="122"/>
      <c r="BG1344" s="122"/>
      <c r="BH1344" s="122"/>
      <c r="BI1344" s="115"/>
      <c r="BJ1344" s="115"/>
      <c r="BK1344" s="115"/>
      <c r="BL1344" s="115"/>
      <c r="BM1344" s="115"/>
      <c r="BN1344" s="115"/>
      <c r="BO1344" s="115"/>
      <c r="BP1344" s="115"/>
      <c r="BQ1344" s="115"/>
      <c r="BR1344" s="115"/>
      <c r="BS1344" s="115"/>
      <c r="BT1344" s="115"/>
      <c r="BU1344" s="115"/>
      <c r="BV1344" s="115"/>
      <c r="BW1344" s="26"/>
      <c r="BX1344" s="15"/>
      <c r="CA1344" s="114"/>
    </row>
    <row r="1345" spans="53:79" x14ac:dyDescent="0.4">
      <c r="BA1345" s="115"/>
      <c r="BB1345" s="115"/>
      <c r="BC1345" s="115"/>
      <c r="BD1345" s="115"/>
      <c r="BE1345" s="115"/>
      <c r="BF1345" s="122"/>
      <c r="BG1345" s="122"/>
      <c r="BH1345" s="122"/>
      <c r="BI1345" s="115"/>
      <c r="BJ1345" s="115"/>
      <c r="BK1345" s="115"/>
      <c r="BL1345" s="115"/>
      <c r="BM1345" s="115"/>
      <c r="BN1345" s="115"/>
      <c r="BO1345" s="115"/>
      <c r="BP1345" s="115"/>
      <c r="BQ1345" s="115"/>
      <c r="BR1345" s="115"/>
      <c r="BS1345" s="115"/>
      <c r="BT1345" s="115"/>
      <c r="BU1345" s="115"/>
      <c r="BV1345" s="115"/>
      <c r="BW1345" s="26"/>
      <c r="BX1345" s="15"/>
      <c r="CA1345" s="114"/>
    </row>
    <row r="1346" spans="53:79" x14ac:dyDescent="0.4">
      <c r="BA1346" s="115"/>
      <c r="BB1346" s="115"/>
      <c r="BC1346" s="115"/>
      <c r="BD1346" s="115"/>
      <c r="BE1346" s="115"/>
      <c r="BF1346" s="122"/>
      <c r="BG1346" s="122"/>
      <c r="BH1346" s="122"/>
      <c r="BI1346" s="115"/>
      <c r="BJ1346" s="115"/>
      <c r="BK1346" s="115"/>
      <c r="BL1346" s="115"/>
      <c r="BM1346" s="115"/>
      <c r="BN1346" s="115"/>
      <c r="BO1346" s="115"/>
      <c r="BP1346" s="115"/>
      <c r="BQ1346" s="115"/>
      <c r="BR1346" s="115"/>
      <c r="BS1346" s="115"/>
      <c r="BT1346" s="115"/>
      <c r="BU1346" s="115"/>
      <c r="BV1346" s="115"/>
      <c r="BW1346" s="26"/>
      <c r="BX1346" s="15"/>
      <c r="CA1346" s="114"/>
    </row>
    <row r="1347" spans="53:79" x14ac:dyDescent="0.4">
      <c r="BA1347" s="115"/>
      <c r="BB1347" s="115"/>
      <c r="BC1347" s="115"/>
      <c r="BD1347" s="115"/>
      <c r="BE1347" s="115"/>
      <c r="BF1347" s="122"/>
      <c r="BG1347" s="122"/>
      <c r="BH1347" s="122"/>
      <c r="BI1347" s="115"/>
      <c r="BJ1347" s="115"/>
      <c r="BK1347" s="115"/>
      <c r="BL1347" s="115"/>
      <c r="BM1347" s="115"/>
      <c r="BN1347" s="115"/>
      <c r="BO1347" s="115"/>
      <c r="BP1347" s="115"/>
      <c r="BQ1347" s="115"/>
      <c r="BR1347" s="115"/>
      <c r="BS1347" s="115"/>
      <c r="BT1347" s="115"/>
      <c r="BU1347" s="115"/>
      <c r="BV1347" s="115"/>
      <c r="BW1347" s="26"/>
      <c r="BX1347" s="15"/>
      <c r="CA1347" s="114"/>
    </row>
    <row r="1348" spans="53:79" x14ac:dyDescent="0.4">
      <c r="BA1348" s="115"/>
      <c r="BB1348" s="115"/>
      <c r="BC1348" s="115"/>
      <c r="BD1348" s="115"/>
      <c r="BE1348" s="115"/>
      <c r="BF1348" s="122"/>
      <c r="BG1348" s="122"/>
      <c r="BH1348" s="122"/>
      <c r="BI1348" s="115"/>
      <c r="BJ1348" s="115"/>
      <c r="BK1348" s="115"/>
      <c r="BL1348" s="115"/>
      <c r="BM1348" s="115"/>
      <c r="BN1348" s="115"/>
      <c r="BO1348" s="115"/>
      <c r="BP1348" s="115"/>
      <c r="BQ1348" s="115"/>
      <c r="BR1348" s="115"/>
      <c r="BS1348" s="115"/>
      <c r="BT1348" s="115"/>
      <c r="BU1348" s="115"/>
      <c r="BV1348" s="115"/>
      <c r="BW1348" s="17"/>
      <c r="BX1348" s="15"/>
      <c r="CA1348" s="114"/>
    </row>
    <row r="1349" spans="53:79" x14ac:dyDescent="0.4">
      <c r="BA1349" s="115"/>
      <c r="BB1349" s="115"/>
      <c r="BC1349" s="115"/>
      <c r="BD1349" s="115"/>
      <c r="BE1349" s="115"/>
      <c r="BF1349" s="122"/>
      <c r="BG1349" s="122"/>
      <c r="BH1349" s="122"/>
      <c r="BI1349" s="115"/>
      <c r="BJ1349" s="115"/>
      <c r="BK1349" s="115"/>
      <c r="BL1349" s="115"/>
      <c r="BM1349" s="115"/>
      <c r="BN1349" s="115"/>
      <c r="BO1349" s="115"/>
      <c r="BP1349" s="115"/>
      <c r="BQ1349" s="115"/>
      <c r="BR1349" s="115"/>
      <c r="BS1349" s="115"/>
      <c r="BT1349" s="115"/>
      <c r="BU1349" s="115"/>
      <c r="BV1349" s="115"/>
      <c r="BW1349" s="26"/>
      <c r="BX1349" s="15"/>
      <c r="CA1349" s="114"/>
    </row>
    <row r="1350" spans="53:79" x14ac:dyDescent="0.4">
      <c r="BA1350" s="115"/>
      <c r="BB1350" s="115"/>
      <c r="BC1350" s="115"/>
      <c r="BD1350" s="115"/>
      <c r="BE1350" s="115"/>
      <c r="BF1350" s="122"/>
      <c r="BG1350" s="122"/>
      <c r="BH1350" s="122"/>
      <c r="BI1350" s="115"/>
      <c r="BJ1350" s="115"/>
      <c r="BK1350" s="115"/>
      <c r="BL1350" s="115"/>
      <c r="BM1350" s="115"/>
      <c r="BN1350" s="115"/>
      <c r="BO1350" s="115"/>
      <c r="BP1350" s="115"/>
      <c r="BQ1350" s="115"/>
      <c r="BR1350" s="115"/>
      <c r="BS1350" s="115"/>
      <c r="BT1350" s="115"/>
      <c r="BU1350" s="115"/>
      <c r="BV1350" s="115"/>
      <c r="BW1350" s="26"/>
      <c r="BX1350" s="13"/>
      <c r="CA1350" s="114"/>
    </row>
    <row r="1351" spans="53:79" x14ac:dyDescent="0.4">
      <c r="BA1351" s="115"/>
      <c r="BB1351" s="115"/>
      <c r="BC1351" s="115"/>
      <c r="BD1351" s="115"/>
      <c r="BE1351" s="115"/>
      <c r="BF1351" s="122"/>
      <c r="BG1351" s="122"/>
      <c r="BH1351" s="122"/>
      <c r="BI1351" s="115"/>
      <c r="BJ1351" s="115"/>
      <c r="BK1351" s="115"/>
      <c r="BL1351" s="115"/>
      <c r="BM1351" s="115"/>
      <c r="BN1351" s="115"/>
      <c r="BO1351" s="115"/>
      <c r="BP1351" s="115"/>
      <c r="BQ1351" s="115"/>
      <c r="BR1351" s="115"/>
      <c r="BS1351" s="115"/>
      <c r="BT1351" s="115"/>
      <c r="BU1351" s="115"/>
      <c r="BV1351" s="115"/>
      <c r="BW1351" s="26"/>
      <c r="BX1351" s="13"/>
      <c r="CA1351" s="114"/>
    </row>
    <row r="1352" spans="53:79" x14ac:dyDescent="0.4">
      <c r="BA1352" s="115"/>
      <c r="BB1352" s="115"/>
      <c r="BC1352" s="115"/>
      <c r="BD1352" s="115"/>
      <c r="BE1352" s="115"/>
      <c r="BF1352" s="122"/>
      <c r="BG1352" s="122"/>
      <c r="BH1352" s="122"/>
      <c r="BI1352" s="115"/>
      <c r="BJ1352" s="115"/>
      <c r="BK1352" s="115"/>
      <c r="BL1352" s="115"/>
      <c r="BM1352" s="115"/>
      <c r="BN1352" s="115"/>
      <c r="BO1352" s="115"/>
      <c r="BP1352" s="115"/>
      <c r="BQ1352" s="115"/>
      <c r="BR1352" s="115"/>
      <c r="BS1352" s="115"/>
      <c r="BT1352" s="115"/>
      <c r="BU1352" s="115"/>
      <c r="BV1352" s="115"/>
      <c r="BW1352" s="26"/>
      <c r="BX1352" s="13"/>
      <c r="CA1352" s="114"/>
    </row>
    <row r="1353" spans="53:79" x14ac:dyDescent="0.4">
      <c r="BA1353" s="115"/>
      <c r="BB1353" s="115"/>
      <c r="BC1353" s="115"/>
      <c r="BD1353" s="115"/>
      <c r="BE1353" s="115"/>
      <c r="BF1353" s="122"/>
      <c r="BG1353" s="122"/>
      <c r="BH1353" s="122"/>
      <c r="BI1353" s="115"/>
      <c r="BJ1353" s="115"/>
      <c r="BK1353" s="115"/>
      <c r="BL1353" s="115"/>
      <c r="BM1353" s="115"/>
      <c r="BN1353" s="115"/>
      <c r="BO1353" s="115"/>
      <c r="BP1353" s="115"/>
      <c r="BQ1353" s="115"/>
      <c r="BR1353" s="115"/>
      <c r="BS1353" s="115"/>
      <c r="BT1353" s="115"/>
      <c r="BU1353" s="115"/>
      <c r="BV1353" s="115"/>
      <c r="BW1353" s="26"/>
      <c r="BX1353" s="13"/>
      <c r="CA1353" s="114"/>
    </row>
    <row r="1354" spans="53:79" x14ac:dyDescent="0.4">
      <c r="BA1354" s="115"/>
      <c r="BB1354" s="115"/>
      <c r="BC1354" s="115"/>
      <c r="BD1354" s="115"/>
      <c r="BE1354" s="115"/>
      <c r="BF1354" s="122"/>
      <c r="BG1354" s="122"/>
      <c r="BH1354" s="122"/>
      <c r="BI1354" s="115"/>
      <c r="BJ1354" s="115"/>
      <c r="BK1354" s="115"/>
      <c r="BL1354" s="115"/>
      <c r="BM1354" s="115"/>
      <c r="BN1354" s="115"/>
      <c r="BO1354" s="115"/>
      <c r="BP1354" s="115"/>
      <c r="BQ1354" s="115"/>
      <c r="BR1354" s="115"/>
      <c r="BS1354" s="115"/>
      <c r="BT1354" s="115"/>
      <c r="BU1354" s="115"/>
      <c r="BV1354" s="115"/>
      <c r="BW1354" s="26"/>
      <c r="BX1354" s="13"/>
      <c r="CA1354" s="114"/>
    </row>
    <row r="1355" spans="53:79" x14ac:dyDescent="0.4">
      <c r="BA1355" s="115"/>
      <c r="BB1355" s="115"/>
      <c r="BC1355" s="115"/>
      <c r="BD1355" s="115"/>
      <c r="BE1355" s="115"/>
      <c r="BF1355" s="122"/>
      <c r="BG1355" s="122"/>
      <c r="BH1355" s="122"/>
      <c r="BI1355" s="115"/>
      <c r="BJ1355" s="115"/>
      <c r="BK1355" s="115"/>
      <c r="BL1355" s="115"/>
      <c r="BM1355" s="115"/>
      <c r="BN1355" s="115"/>
      <c r="BO1355" s="115"/>
      <c r="BP1355" s="115"/>
      <c r="BQ1355" s="115"/>
      <c r="BR1355" s="115"/>
      <c r="BS1355" s="115"/>
      <c r="BT1355" s="115"/>
      <c r="BU1355" s="115"/>
      <c r="BV1355" s="115"/>
      <c r="BW1355" s="26"/>
      <c r="BX1355" s="13"/>
      <c r="CA1355" s="114"/>
    </row>
    <row r="1356" spans="53:79" x14ac:dyDescent="0.4">
      <c r="BA1356" s="115"/>
      <c r="BB1356" s="115"/>
      <c r="BC1356" s="115"/>
      <c r="BD1356" s="115"/>
      <c r="BE1356" s="115"/>
      <c r="BF1356" s="122"/>
      <c r="BG1356" s="122"/>
      <c r="BH1356" s="122"/>
      <c r="BI1356" s="115"/>
      <c r="BJ1356" s="115"/>
      <c r="BK1356" s="115"/>
      <c r="BL1356" s="115"/>
      <c r="BM1356" s="115"/>
      <c r="BN1356" s="115"/>
      <c r="BO1356" s="115"/>
      <c r="BP1356" s="115"/>
      <c r="BQ1356" s="115"/>
      <c r="BR1356" s="115"/>
      <c r="BS1356" s="115"/>
      <c r="BT1356" s="115"/>
      <c r="BU1356" s="115"/>
      <c r="BV1356" s="115"/>
      <c r="BW1356" s="26"/>
      <c r="BX1356" s="13"/>
      <c r="CA1356" s="114"/>
    </row>
    <row r="1357" spans="53:79" x14ac:dyDescent="0.4">
      <c r="BA1357" s="115"/>
      <c r="BB1357" s="115"/>
      <c r="BC1357" s="115"/>
      <c r="BD1357" s="115"/>
      <c r="BE1357" s="115"/>
      <c r="BF1357" s="122"/>
      <c r="BG1357" s="122"/>
      <c r="BH1357" s="122"/>
      <c r="BI1357" s="115"/>
      <c r="BJ1357" s="115"/>
      <c r="BK1357" s="115"/>
      <c r="BL1357" s="115"/>
      <c r="BM1357" s="115"/>
      <c r="BN1357" s="115"/>
      <c r="BO1357" s="115"/>
      <c r="BP1357" s="115"/>
      <c r="BQ1357" s="115"/>
      <c r="BR1357" s="115"/>
      <c r="BS1357" s="115"/>
      <c r="BT1357" s="115"/>
      <c r="BU1357" s="115"/>
      <c r="BV1357" s="115"/>
      <c r="BW1357" s="26"/>
      <c r="BX1357" s="13"/>
      <c r="CA1357" s="114"/>
    </row>
    <row r="1358" spans="53:79" x14ac:dyDescent="0.4">
      <c r="BA1358" s="115"/>
      <c r="BB1358" s="115"/>
      <c r="BC1358" s="115"/>
      <c r="BD1358" s="115"/>
      <c r="BE1358" s="115"/>
      <c r="BF1358" s="122"/>
      <c r="BG1358" s="122"/>
      <c r="BH1358" s="122"/>
      <c r="BI1358" s="115"/>
      <c r="BJ1358" s="115"/>
      <c r="BK1358" s="115"/>
      <c r="BL1358" s="115"/>
      <c r="BM1358" s="115"/>
      <c r="BN1358" s="115"/>
      <c r="BO1358" s="115"/>
      <c r="BP1358" s="115"/>
      <c r="BQ1358" s="115"/>
      <c r="BR1358" s="115"/>
      <c r="BS1358" s="115"/>
      <c r="BT1358" s="115"/>
      <c r="BU1358" s="115"/>
      <c r="BV1358" s="115"/>
      <c r="BW1358" s="26"/>
      <c r="BX1358" s="13"/>
      <c r="CA1358" s="114"/>
    </row>
    <row r="1359" spans="53:79" x14ac:dyDescent="0.4">
      <c r="BA1359" s="115"/>
      <c r="BB1359" s="115"/>
      <c r="BC1359" s="115"/>
      <c r="BD1359" s="115"/>
      <c r="BE1359" s="115"/>
      <c r="BF1359" s="122"/>
      <c r="BG1359" s="122"/>
      <c r="BH1359" s="122"/>
      <c r="BI1359" s="115"/>
      <c r="BJ1359" s="115"/>
      <c r="BK1359" s="115"/>
      <c r="BL1359" s="115"/>
      <c r="BM1359" s="115"/>
      <c r="BN1359" s="115"/>
      <c r="BO1359" s="115"/>
      <c r="BP1359" s="115"/>
      <c r="BQ1359" s="115"/>
      <c r="BR1359" s="115"/>
      <c r="BS1359" s="115"/>
      <c r="BT1359" s="115"/>
      <c r="BU1359" s="115"/>
      <c r="BV1359" s="115"/>
      <c r="BW1359" s="26"/>
      <c r="BX1359" s="13"/>
      <c r="CA1359" s="114"/>
    </row>
    <row r="1360" spans="53:79" x14ac:dyDescent="0.4">
      <c r="BA1360" s="115"/>
      <c r="BB1360" s="115"/>
      <c r="BC1360" s="115"/>
      <c r="BD1360" s="115"/>
      <c r="BE1360" s="115"/>
      <c r="BF1360" s="122"/>
      <c r="BG1360" s="122"/>
      <c r="BH1360" s="122"/>
      <c r="BI1360" s="115"/>
      <c r="BJ1360" s="115"/>
      <c r="BK1360" s="115"/>
      <c r="BL1360" s="115"/>
      <c r="BM1360" s="115"/>
      <c r="BN1360" s="115"/>
      <c r="BO1360" s="115"/>
      <c r="BP1360" s="115"/>
      <c r="BQ1360" s="115"/>
      <c r="BR1360" s="115"/>
      <c r="BS1360" s="115"/>
      <c r="BT1360" s="115"/>
      <c r="BU1360" s="115"/>
      <c r="BV1360" s="115"/>
      <c r="BW1360" s="26"/>
      <c r="BX1360" s="13"/>
      <c r="CA1360" s="114"/>
    </row>
    <row r="1361" spans="52:79" x14ac:dyDescent="0.4">
      <c r="BA1361" s="115"/>
      <c r="BB1361" s="115"/>
      <c r="BC1361" s="115"/>
      <c r="BD1361" s="115"/>
      <c r="BE1361" s="115"/>
      <c r="BF1361" s="122"/>
      <c r="BG1361" s="122"/>
      <c r="BH1361" s="122"/>
      <c r="BI1361" s="115"/>
      <c r="BJ1361" s="115"/>
      <c r="BK1361" s="115"/>
      <c r="BL1361" s="115"/>
      <c r="BM1361" s="115"/>
      <c r="BN1361" s="115"/>
      <c r="BO1361" s="115"/>
      <c r="BP1361" s="115"/>
      <c r="BQ1361" s="115"/>
      <c r="BR1361" s="115"/>
      <c r="BS1361" s="115"/>
      <c r="BT1361" s="115"/>
      <c r="BU1361" s="115"/>
      <c r="BV1361" s="115"/>
      <c r="BW1361" s="17"/>
      <c r="BX1361" s="13"/>
      <c r="CA1361" s="114"/>
    </row>
    <row r="1362" spans="52:79" x14ac:dyDescent="0.4">
      <c r="BA1362" s="115"/>
      <c r="BB1362" s="115"/>
      <c r="BC1362" s="115"/>
      <c r="BD1362" s="115"/>
      <c r="BE1362" s="115"/>
      <c r="BF1362" s="122"/>
      <c r="BG1362" s="122"/>
      <c r="BH1362" s="122"/>
      <c r="BI1362" s="115"/>
      <c r="BJ1362" s="115"/>
      <c r="BK1362" s="115"/>
      <c r="BL1362" s="115"/>
      <c r="BM1362" s="115"/>
      <c r="BN1362" s="115"/>
      <c r="BO1362" s="115"/>
      <c r="BP1362" s="115"/>
      <c r="BQ1362" s="115"/>
      <c r="BR1362" s="115"/>
      <c r="BS1362" s="115"/>
      <c r="BT1362" s="115"/>
      <c r="BU1362" s="115"/>
      <c r="BV1362" s="115"/>
      <c r="BW1362" s="26"/>
      <c r="BX1362" s="13"/>
      <c r="CA1362" s="114"/>
    </row>
    <row r="1363" spans="52:79" x14ac:dyDescent="0.4">
      <c r="BA1363" s="115"/>
      <c r="BB1363" s="115"/>
      <c r="BC1363" s="115"/>
      <c r="BD1363" s="115"/>
      <c r="BE1363" s="115"/>
      <c r="BF1363" s="122"/>
      <c r="BG1363" s="122"/>
      <c r="BH1363" s="122"/>
      <c r="BI1363" s="115"/>
      <c r="BJ1363" s="115"/>
      <c r="BK1363" s="115"/>
      <c r="BL1363" s="115"/>
      <c r="BM1363" s="115"/>
      <c r="BN1363" s="115"/>
      <c r="BO1363" s="115"/>
      <c r="BP1363" s="115"/>
      <c r="BQ1363" s="115"/>
      <c r="BR1363" s="115"/>
      <c r="BS1363" s="115"/>
      <c r="BT1363" s="115"/>
      <c r="BU1363" s="115"/>
      <c r="BV1363" s="115"/>
      <c r="BW1363" s="26"/>
      <c r="BX1363" s="13"/>
      <c r="CA1363" s="114"/>
    </row>
    <row r="1364" spans="52:79" x14ac:dyDescent="0.4">
      <c r="BA1364" s="115"/>
      <c r="BB1364" s="115"/>
      <c r="BC1364" s="115"/>
      <c r="BD1364" s="115"/>
      <c r="BE1364" s="115"/>
      <c r="BF1364" s="122"/>
      <c r="BG1364" s="122"/>
      <c r="BH1364" s="122"/>
      <c r="BI1364" s="115"/>
      <c r="BJ1364" s="115"/>
      <c r="BK1364" s="115"/>
      <c r="BL1364" s="115"/>
      <c r="BM1364" s="115"/>
      <c r="BN1364" s="115"/>
      <c r="BO1364" s="115"/>
      <c r="BP1364" s="115"/>
      <c r="BQ1364" s="115"/>
      <c r="BR1364" s="115"/>
      <c r="BS1364" s="115"/>
      <c r="BT1364" s="115"/>
      <c r="BU1364" s="115"/>
      <c r="BV1364" s="115"/>
      <c r="BW1364" s="26"/>
      <c r="BX1364" s="13"/>
      <c r="CA1364" s="114"/>
    </row>
    <row r="1365" spans="52:79" x14ac:dyDescent="0.4">
      <c r="BA1365" s="115"/>
      <c r="BB1365" s="115"/>
      <c r="BC1365" s="115"/>
      <c r="BD1365" s="115"/>
      <c r="BE1365" s="115"/>
      <c r="BF1365" s="122"/>
      <c r="BG1365" s="122"/>
      <c r="BH1365" s="122"/>
      <c r="BI1365" s="115"/>
      <c r="BJ1365" s="115"/>
      <c r="BK1365" s="115"/>
      <c r="BL1365" s="115"/>
      <c r="BM1365" s="115"/>
      <c r="BN1365" s="115"/>
      <c r="BO1365" s="115"/>
      <c r="BP1365" s="115"/>
      <c r="BQ1365" s="115"/>
      <c r="BR1365" s="115"/>
      <c r="BS1365" s="115"/>
      <c r="BT1365" s="115"/>
      <c r="BU1365" s="115"/>
      <c r="BV1365" s="115"/>
      <c r="BW1365" s="17"/>
      <c r="BX1365" s="13"/>
      <c r="CA1365" s="114"/>
    </row>
    <row r="1366" spans="52:79" x14ac:dyDescent="0.4">
      <c r="BA1366" s="115"/>
      <c r="BB1366" s="115"/>
      <c r="BC1366" s="115"/>
      <c r="BD1366" s="115"/>
      <c r="BE1366" s="115"/>
      <c r="BF1366" s="122"/>
      <c r="BG1366" s="122"/>
      <c r="BH1366" s="122"/>
      <c r="BI1366" s="115"/>
      <c r="BJ1366" s="115"/>
      <c r="BK1366" s="115"/>
      <c r="BL1366" s="115"/>
      <c r="BM1366" s="115"/>
      <c r="BN1366" s="115"/>
      <c r="BO1366" s="115"/>
      <c r="BP1366" s="115"/>
      <c r="BQ1366" s="115"/>
      <c r="BR1366" s="115"/>
      <c r="BS1366" s="115"/>
      <c r="BT1366" s="115"/>
      <c r="BU1366" s="115"/>
      <c r="BV1366" s="115"/>
      <c r="BW1366" s="26"/>
      <c r="BX1366" s="13"/>
      <c r="CA1366" s="114"/>
    </row>
    <row r="1367" spans="52:79" x14ac:dyDescent="0.4">
      <c r="BA1367" s="115"/>
      <c r="BB1367" s="115"/>
      <c r="BC1367" s="115"/>
      <c r="BD1367" s="115"/>
      <c r="BE1367" s="115"/>
      <c r="BF1367" s="122"/>
      <c r="BG1367" s="122"/>
      <c r="BH1367" s="122"/>
      <c r="BI1367" s="115"/>
      <c r="BJ1367" s="115"/>
      <c r="BK1367" s="115"/>
      <c r="BL1367" s="115"/>
      <c r="BM1367" s="115"/>
      <c r="BN1367" s="115"/>
      <c r="BO1367" s="115"/>
      <c r="BP1367" s="115"/>
      <c r="BQ1367" s="115"/>
      <c r="BR1367" s="115"/>
      <c r="BS1367" s="115"/>
      <c r="BT1367" s="115"/>
      <c r="BU1367" s="115"/>
      <c r="BV1367" s="115"/>
      <c r="BW1367" s="17"/>
      <c r="BX1367" s="13"/>
      <c r="CA1367" s="114"/>
    </row>
    <row r="1368" spans="52:79" x14ac:dyDescent="0.4">
      <c r="BA1368" s="115"/>
      <c r="BB1368" s="115"/>
      <c r="BC1368" s="115"/>
      <c r="BD1368" s="115"/>
      <c r="BE1368" s="115"/>
      <c r="BF1368" s="122"/>
      <c r="BG1368" s="122"/>
      <c r="BH1368" s="122"/>
      <c r="BI1368" s="115"/>
      <c r="BJ1368" s="115"/>
      <c r="BK1368" s="115"/>
      <c r="BL1368" s="115"/>
      <c r="BM1368" s="115"/>
      <c r="BN1368" s="115"/>
      <c r="BO1368" s="115"/>
      <c r="BP1368" s="115"/>
      <c r="BQ1368" s="115"/>
      <c r="BR1368" s="115"/>
      <c r="BS1368" s="115"/>
      <c r="BT1368" s="115"/>
      <c r="BU1368" s="115"/>
      <c r="BV1368" s="115"/>
      <c r="BW1368" s="26"/>
      <c r="BX1368" s="13"/>
      <c r="CA1368" s="114"/>
    </row>
    <row r="1369" spans="52:79" x14ac:dyDescent="0.4">
      <c r="BA1369" s="115"/>
      <c r="BB1369" s="115"/>
      <c r="BC1369" s="115"/>
      <c r="BD1369" s="115"/>
      <c r="BE1369" s="115"/>
      <c r="BF1369" s="122"/>
      <c r="BG1369" s="122"/>
      <c r="BH1369" s="122"/>
      <c r="BI1369" s="115"/>
      <c r="BJ1369" s="115"/>
      <c r="BK1369" s="115"/>
      <c r="BL1369" s="115"/>
      <c r="BM1369" s="115"/>
      <c r="BN1369" s="115"/>
      <c r="BO1369" s="115"/>
      <c r="BP1369" s="115"/>
      <c r="BQ1369" s="115"/>
      <c r="BR1369" s="115"/>
      <c r="BS1369" s="115"/>
      <c r="BT1369" s="115"/>
      <c r="BU1369" s="115"/>
      <c r="BV1369" s="115"/>
      <c r="BW1369" s="26"/>
      <c r="BX1369" s="15"/>
      <c r="CA1369" s="114"/>
    </row>
    <row r="1370" spans="52:79" x14ac:dyDescent="0.4">
      <c r="BA1370" s="115"/>
      <c r="BB1370" s="115"/>
      <c r="BC1370" s="115"/>
      <c r="BD1370" s="115"/>
      <c r="BE1370" s="115"/>
      <c r="BF1370" s="122"/>
      <c r="BG1370" s="122"/>
      <c r="BH1370" s="122"/>
      <c r="BI1370" s="115"/>
      <c r="BJ1370" s="115"/>
      <c r="BK1370" s="115"/>
      <c r="BL1370" s="115"/>
      <c r="BM1370" s="115"/>
      <c r="BN1370" s="115"/>
      <c r="BO1370" s="115"/>
      <c r="BP1370" s="115"/>
      <c r="BQ1370" s="115"/>
      <c r="BR1370" s="115"/>
      <c r="BS1370" s="115"/>
      <c r="BT1370" s="115"/>
      <c r="BU1370" s="115"/>
      <c r="BV1370" s="115"/>
      <c r="BW1370" s="17"/>
      <c r="BX1370" s="15"/>
      <c r="CA1370" s="114"/>
    </row>
    <row r="1371" spans="52:79" x14ac:dyDescent="0.4">
      <c r="BA1371" s="115"/>
      <c r="BB1371" s="115"/>
      <c r="BC1371" s="115"/>
      <c r="BD1371" s="115"/>
      <c r="BE1371" s="115"/>
      <c r="BF1371" s="122"/>
      <c r="BG1371" s="122"/>
      <c r="BH1371" s="122"/>
      <c r="BI1371" s="115"/>
      <c r="BJ1371" s="115"/>
      <c r="BK1371" s="115"/>
      <c r="BL1371" s="115"/>
      <c r="BM1371" s="115"/>
      <c r="BN1371" s="115"/>
      <c r="BO1371" s="115"/>
      <c r="BP1371" s="115"/>
      <c r="BQ1371" s="115"/>
      <c r="BR1371" s="115"/>
      <c r="BS1371" s="115"/>
      <c r="BT1371" s="115"/>
      <c r="BU1371" s="115"/>
      <c r="BV1371" s="115"/>
      <c r="BW1371" s="17"/>
      <c r="BX1371" s="15"/>
      <c r="CA1371" s="114"/>
    </row>
    <row r="1372" spans="52:79" x14ac:dyDescent="0.4">
      <c r="AZ1372" s="115"/>
      <c r="BA1372" s="115"/>
      <c r="BB1372" s="115"/>
      <c r="BC1372" s="115"/>
      <c r="BD1372" s="115"/>
      <c r="BE1372" s="115"/>
      <c r="BF1372" s="122"/>
      <c r="BG1372" s="122"/>
      <c r="BH1372" s="122"/>
      <c r="BI1372" s="115"/>
      <c r="BJ1372" s="115"/>
      <c r="BK1372" s="115"/>
      <c r="BL1372" s="115"/>
      <c r="BM1372" s="115"/>
      <c r="BN1372" s="115"/>
      <c r="BO1372" s="115"/>
      <c r="BP1372" s="115"/>
      <c r="BQ1372" s="115"/>
      <c r="BR1372" s="115"/>
      <c r="BS1372" s="115"/>
      <c r="BT1372" s="115"/>
      <c r="BU1372" s="115"/>
      <c r="BV1372" s="115"/>
      <c r="BW1372" s="26"/>
      <c r="BX1372" s="15"/>
      <c r="CA1372" s="114"/>
    </row>
    <row r="1373" spans="52:79" x14ac:dyDescent="0.4">
      <c r="AZ1373" s="115"/>
      <c r="BA1373" s="115"/>
      <c r="BB1373" s="115"/>
      <c r="BC1373" s="115"/>
      <c r="BD1373" s="115"/>
      <c r="BE1373" s="115"/>
      <c r="BF1373" s="122"/>
      <c r="BG1373" s="122"/>
      <c r="BH1373" s="122"/>
      <c r="BI1373" s="115"/>
      <c r="BJ1373" s="115"/>
      <c r="BK1373" s="115"/>
      <c r="BL1373" s="115"/>
      <c r="BM1373" s="115"/>
      <c r="BN1373" s="115"/>
      <c r="BO1373" s="115"/>
      <c r="BP1373" s="115"/>
      <c r="BQ1373" s="115"/>
      <c r="BR1373" s="115"/>
      <c r="BS1373" s="115"/>
      <c r="BT1373" s="115"/>
      <c r="BU1373" s="115"/>
      <c r="BV1373" s="115"/>
      <c r="BW1373" s="17"/>
      <c r="BX1373" s="15"/>
      <c r="CA1373" s="114"/>
    </row>
    <row r="1374" spans="52:79" x14ac:dyDescent="0.4">
      <c r="AZ1374" s="115"/>
      <c r="BA1374" s="115"/>
      <c r="BB1374" s="115"/>
      <c r="BC1374" s="115"/>
      <c r="BD1374" s="115"/>
      <c r="BE1374" s="115"/>
      <c r="BF1374" s="122"/>
      <c r="BG1374" s="122"/>
      <c r="BH1374" s="122"/>
      <c r="BI1374" s="115"/>
      <c r="BJ1374" s="115"/>
      <c r="BK1374" s="115"/>
      <c r="BL1374" s="115"/>
      <c r="BM1374" s="115"/>
      <c r="BN1374" s="115"/>
      <c r="BO1374" s="115"/>
      <c r="BP1374" s="115"/>
      <c r="BQ1374" s="115"/>
      <c r="BR1374" s="115"/>
      <c r="BS1374" s="115"/>
      <c r="BT1374" s="115"/>
      <c r="BU1374" s="115"/>
      <c r="BV1374" s="115"/>
      <c r="BW1374" s="26"/>
      <c r="BX1374" s="15"/>
      <c r="CA1374" s="114"/>
    </row>
    <row r="1375" spans="52:79" x14ac:dyDescent="0.4">
      <c r="AZ1375" s="115"/>
      <c r="BA1375" s="115"/>
      <c r="BB1375" s="115"/>
      <c r="BC1375" s="115"/>
      <c r="BD1375" s="115"/>
      <c r="BE1375" s="115"/>
      <c r="BF1375" s="122"/>
      <c r="BG1375" s="122"/>
      <c r="BH1375" s="122"/>
      <c r="BI1375" s="115"/>
      <c r="BJ1375" s="115"/>
      <c r="BK1375" s="115"/>
      <c r="BL1375" s="115"/>
      <c r="BM1375" s="115"/>
      <c r="BN1375" s="115"/>
      <c r="BO1375" s="115"/>
      <c r="BP1375" s="115"/>
      <c r="BQ1375" s="115"/>
      <c r="BR1375" s="115"/>
      <c r="BS1375" s="115"/>
      <c r="BT1375" s="115"/>
      <c r="BU1375" s="115"/>
      <c r="BV1375" s="115"/>
      <c r="BW1375" s="26"/>
      <c r="BX1375" s="15"/>
      <c r="CA1375" s="114"/>
    </row>
    <row r="1376" spans="52:79" x14ac:dyDescent="0.4">
      <c r="AZ1376" s="115"/>
      <c r="BA1376" s="115"/>
      <c r="BB1376" s="115"/>
      <c r="BC1376" s="115"/>
      <c r="BD1376" s="115"/>
      <c r="BE1376" s="115"/>
      <c r="BF1376" s="122"/>
      <c r="BG1376" s="122"/>
      <c r="BH1376" s="122"/>
      <c r="BI1376" s="115"/>
      <c r="BJ1376" s="115"/>
      <c r="BK1376" s="115"/>
      <c r="BL1376" s="115"/>
      <c r="BM1376" s="115"/>
      <c r="BN1376" s="115"/>
      <c r="BO1376" s="115"/>
      <c r="BP1376" s="115"/>
      <c r="BQ1376" s="115"/>
      <c r="BR1376" s="115"/>
      <c r="BS1376" s="115"/>
      <c r="BT1376" s="115"/>
      <c r="BU1376" s="115"/>
      <c r="BV1376" s="115"/>
      <c r="BW1376" s="17"/>
      <c r="BX1376" s="15"/>
      <c r="CA1376" s="114"/>
    </row>
    <row r="1377" spans="52:79" x14ac:dyDescent="0.4">
      <c r="AZ1377" s="115"/>
      <c r="BA1377" s="115"/>
      <c r="BB1377" s="115"/>
      <c r="BC1377" s="115"/>
      <c r="BD1377" s="115"/>
      <c r="BE1377" s="115"/>
      <c r="BF1377" s="122"/>
      <c r="BG1377" s="122"/>
      <c r="BH1377" s="122"/>
      <c r="BI1377" s="115"/>
      <c r="BJ1377" s="115"/>
      <c r="BK1377" s="115"/>
      <c r="BL1377" s="115"/>
      <c r="BM1377" s="115"/>
      <c r="BN1377" s="115"/>
      <c r="BO1377" s="115"/>
      <c r="BP1377" s="115"/>
      <c r="BQ1377" s="115"/>
      <c r="BR1377" s="115"/>
      <c r="BS1377" s="115"/>
      <c r="BT1377" s="115"/>
      <c r="BU1377" s="115"/>
      <c r="BV1377" s="115"/>
      <c r="BW1377" s="26"/>
      <c r="BX1377" s="15"/>
      <c r="CA1377" s="114"/>
    </row>
    <row r="1378" spans="52:79" x14ac:dyDescent="0.4">
      <c r="AZ1378" s="115"/>
      <c r="BA1378" s="115"/>
      <c r="BB1378" s="115"/>
      <c r="BC1378" s="115"/>
      <c r="BD1378" s="115"/>
      <c r="BE1378" s="115"/>
      <c r="BF1378" s="122"/>
      <c r="BG1378" s="122"/>
      <c r="BH1378" s="122"/>
      <c r="BI1378" s="115"/>
      <c r="BJ1378" s="115"/>
      <c r="BK1378" s="115"/>
      <c r="BL1378" s="115"/>
      <c r="BM1378" s="115"/>
      <c r="BN1378" s="115"/>
      <c r="BO1378" s="115"/>
      <c r="BP1378" s="115"/>
      <c r="BQ1378" s="115"/>
      <c r="BR1378" s="115"/>
      <c r="BS1378" s="115"/>
      <c r="BT1378" s="115"/>
      <c r="BU1378" s="115"/>
      <c r="BV1378" s="115"/>
      <c r="BW1378" s="17"/>
      <c r="BX1378" s="15"/>
      <c r="CA1378" s="114"/>
    </row>
    <row r="1379" spans="52:79" x14ac:dyDescent="0.4">
      <c r="AZ1379" s="115"/>
      <c r="BA1379" s="115"/>
      <c r="BB1379" s="115"/>
      <c r="BC1379" s="115"/>
      <c r="BD1379" s="115"/>
      <c r="BE1379" s="115"/>
      <c r="BF1379" s="122"/>
      <c r="BG1379" s="122"/>
      <c r="BH1379" s="122"/>
      <c r="BI1379" s="115"/>
      <c r="BJ1379" s="115"/>
      <c r="BK1379" s="115"/>
      <c r="BL1379" s="115"/>
      <c r="BM1379" s="115"/>
      <c r="BN1379" s="115"/>
      <c r="BO1379" s="115"/>
      <c r="BP1379" s="115"/>
      <c r="BQ1379" s="115"/>
      <c r="BR1379" s="115"/>
      <c r="BS1379" s="115"/>
      <c r="BT1379" s="115"/>
      <c r="BU1379" s="115"/>
      <c r="BV1379" s="115"/>
      <c r="BW1379" s="17"/>
      <c r="BX1379" s="15"/>
      <c r="CA1379" s="114"/>
    </row>
    <row r="1380" spans="52:79" x14ac:dyDescent="0.4">
      <c r="AZ1380" s="115"/>
      <c r="BA1380" s="115"/>
      <c r="BB1380" s="115"/>
      <c r="BC1380" s="115"/>
      <c r="BD1380" s="115"/>
      <c r="BE1380" s="115"/>
      <c r="BF1380" s="122"/>
      <c r="BG1380" s="122"/>
      <c r="BH1380" s="122"/>
      <c r="BI1380" s="115"/>
      <c r="BJ1380" s="115"/>
      <c r="BK1380" s="115"/>
      <c r="BL1380" s="115"/>
      <c r="BM1380" s="115"/>
      <c r="BN1380" s="115"/>
      <c r="BO1380" s="115"/>
      <c r="BP1380" s="115"/>
      <c r="BQ1380" s="115"/>
      <c r="BR1380" s="115"/>
      <c r="BS1380" s="115"/>
      <c r="BT1380" s="115"/>
      <c r="BU1380" s="115"/>
      <c r="BV1380" s="115"/>
      <c r="BW1380" s="26"/>
      <c r="BX1380" s="15"/>
      <c r="CA1380" s="114"/>
    </row>
    <row r="1381" spans="52:79" x14ac:dyDescent="0.4">
      <c r="AZ1381" s="115"/>
      <c r="BA1381" s="115"/>
      <c r="BB1381" s="115"/>
      <c r="BC1381" s="115"/>
      <c r="BD1381" s="115"/>
      <c r="BE1381" s="115"/>
      <c r="BF1381" s="122"/>
      <c r="BG1381" s="122"/>
      <c r="BH1381" s="122"/>
      <c r="BI1381" s="115"/>
      <c r="BJ1381" s="115"/>
      <c r="BK1381" s="115"/>
      <c r="BL1381" s="115"/>
      <c r="BM1381" s="115"/>
      <c r="BN1381" s="115"/>
      <c r="BO1381" s="115"/>
      <c r="BP1381" s="115"/>
      <c r="BQ1381" s="115"/>
      <c r="BR1381" s="115"/>
      <c r="BS1381" s="115"/>
      <c r="BT1381" s="115"/>
      <c r="BU1381" s="115"/>
      <c r="BV1381" s="115"/>
      <c r="BW1381" s="26"/>
      <c r="BX1381" s="15"/>
      <c r="CA1381" s="114"/>
    </row>
    <row r="1382" spans="52:79" x14ac:dyDescent="0.4">
      <c r="AZ1382" s="115"/>
      <c r="BA1382" s="115"/>
      <c r="BB1382" s="115"/>
      <c r="BC1382" s="115"/>
      <c r="BD1382" s="115"/>
      <c r="BE1382" s="115"/>
      <c r="BF1382" s="122"/>
      <c r="BG1382" s="122"/>
      <c r="BH1382" s="122"/>
      <c r="BI1382" s="115"/>
      <c r="BJ1382" s="115"/>
      <c r="BK1382" s="115"/>
      <c r="BL1382" s="115"/>
      <c r="BM1382" s="115"/>
      <c r="BN1382" s="115"/>
      <c r="BO1382" s="115"/>
      <c r="BP1382" s="115"/>
      <c r="BQ1382" s="115"/>
      <c r="BR1382" s="115"/>
      <c r="BS1382" s="115"/>
      <c r="BT1382" s="115"/>
      <c r="BU1382" s="115"/>
      <c r="BV1382" s="115"/>
      <c r="BW1382" s="26"/>
      <c r="BX1382" s="15"/>
      <c r="CA1382" s="114"/>
    </row>
    <row r="1383" spans="52:79" x14ac:dyDescent="0.4">
      <c r="AZ1383" s="115"/>
      <c r="BA1383" s="115"/>
      <c r="BB1383" s="115"/>
      <c r="BC1383" s="115"/>
      <c r="BD1383" s="115"/>
      <c r="BE1383" s="115"/>
      <c r="BF1383" s="122"/>
      <c r="BG1383" s="122"/>
      <c r="BH1383" s="122"/>
      <c r="BI1383" s="115"/>
      <c r="BJ1383" s="115"/>
      <c r="BK1383" s="115"/>
      <c r="BL1383" s="115"/>
      <c r="BM1383" s="115"/>
      <c r="BN1383" s="115"/>
      <c r="BO1383" s="115"/>
      <c r="BP1383" s="115"/>
      <c r="BQ1383" s="115"/>
      <c r="BR1383" s="115"/>
      <c r="BS1383" s="115"/>
      <c r="BT1383" s="115"/>
      <c r="BU1383" s="115"/>
      <c r="BV1383" s="115"/>
      <c r="BW1383" s="26"/>
      <c r="BX1383" s="15"/>
      <c r="CA1383" s="114"/>
    </row>
    <row r="1384" spans="52:79" x14ac:dyDescent="0.4">
      <c r="AZ1384" s="115"/>
      <c r="BA1384" s="115"/>
      <c r="BB1384" s="115"/>
      <c r="BC1384" s="115"/>
      <c r="BD1384" s="115"/>
      <c r="BE1384" s="115"/>
      <c r="BF1384" s="122"/>
      <c r="BG1384" s="122"/>
      <c r="BH1384" s="122"/>
      <c r="BI1384" s="115"/>
      <c r="BJ1384" s="115"/>
      <c r="BK1384" s="115"/>
      <c r="BL1384" s="115"/>
      <c r="BM1384" s="115"/>
      <c r="BN1384" s="115"/>
      <c r="BO1384" s="115"/>
      <c r="BP1384" s="115"/>
      <c r="BQ1384" s="115"/>
      <c r="BR1384" s="115"/>
      <c r="BS1384" s="115"/>
      <c r="BT1384" s="115"/>
      <c r="BU1384" s="115"/>
      <c r="BV1384" s="115"/>
      <c r="BW1384" s="26"/>
      <c r="BX1384" s="15"/>
      <c r="CA1384" s="114"/>
    </row>
    <row r="1385" spans="52:79" x14ac:dyDescent="0.4">
      <c r="AZ1385" s="115"/>
      <c r="BA1385" s="115"/>
      <c r="BB1385" s="115"/>
      <c r="BC1385" s="115"/>
      <c r="BD1385" s="115"/>
      <c r="BE1385" s="115"/>
      <c r="BF1385" s="122"/>
      <c r="BG1385" s="122"/>
      <c r="BH1385" s="122"/>
      <c r="BI1385" s="115"/>
      <c r="BJ1385" s="115"/>
      <c r="BK1385" s="115"/>
      <c r="BL1385" s="115"/>
      <c r="BM1385" s="115"/>
      <c r="BN1385" s="115"/>
      <c r="BO1385" s="115"/>
      <c r="BP1385" s="115"/>
      <c r="BQ1385" s="115"/>
      <c r="BR1385" s="115"/>
      <c r="BS1385" s="115"/>
      <c r="BT1385" s="115"/>
      <c r="BU1385" s="115"/>
      <c r="BV1385" s="115"/>
      <c r="BW1385" s="26"/>
      <c r="BX1385" s="15"/>
      <c r="CA1385" s="114"/>
    </row>
    <row r="1386" spans="52:79" x14ac:dyDescent="0.4">
      <c r="AZ1386" s="115"/>
      <c r="BA1386" s="115"/>
      <c r="BB1386" s="115"/>
      <c r="BC1386" s="115"/>
      <c r="BD1386" s="115"/>
      <c r="BE1386" s="115"/>
      <c r="BF1386" s="122"/>
      <c r="BG1386" s="122"/>
      <c r="BH1386" s="122"/>
      <c r="BI1386" s="115"/>
      <c r="BJ1386" s="115"/>
      <c r="BK1386" s="115"/>
      <c r="BL1386" s="115"/>
      <c r="BM1386" s="115"/>
      <c r="BN1386" s="115"/>
      <c r="BO1386" s="115"/>
      <c r="BP1386" s="115"/>
      <c r="BQ1386" s="115"/>
      <c r="BR1386" s="115"/>
      <c r="BS1386" s="115"/>
      <c r="BT1386" s="115"/>
      <c r="BU1386" s="115"/>
      <c r="BV1386" s="115"/>
      <c r="BW1386" s="26"/>
      <c r="BX1386" s="15"/>
      <c r="CA1386" s="114"/>
    </row>
    <row r="1387" spans="52:79" x14ac:dyDescent="0.4">
      <c r="AZ1387" s="115"/>
      <c r="BA1387" s="115"/>
      <c r="BB1387" s="115"/>
      <c r="BC1387" s="115"/>
      <c r="BD1387" s="115"/>
      <c r="BE1387" s="115"/>
      <c r="BF1387" s="122"/>
      <c r="BG1387" s="122"/>
      <c r="BH1387" s="122"/>
      <c r="BI1387" s="115"/>
      <c r="BJ1387" s="115"/>
      <c r="BK1387" s="115"/>
      <c r="BL1387" s="115"/>
      <c r="BM1387" s="115"/>
      <c r="BN1387" s="115"/>
      <c r="BO1387" s="115"/>
      <c r="BP1387" s="115"/>
      <c r="BQ1387" s="115"/>
      <c r="BR1387" s="115"/>
      <c r="BS1387" s="115"/>
      <c r="BT1387" s="115"/>
      <c r="BU1387" s="115"/>
      <c r="BV1387" s="115"/>
      <c r="BW1387" s="17"/>
      <c r="BX1387" s="15"/>
      <c r="CA1387" s="114"/>
    </row>
    <row r="1388" spans="52:79" x14ac:dyDescent="0.4">
      <c r="AZ1388" s="115"/>
      <c r="BA1388" s="115"/>
      <c r="BB1388" s="115"/>
      <c r="BC1388" s="115"/>
      <c r="BD1388" s="115"/>
      <c r="BE1388" s="115"/>
      <c r="BF1388" s="122"/>
      <c r="BG1388" s="122"/>
      <c r="BH1388" s="122"/>
      <c r="BI1388" s="115"/>
      <c r="BJ1388" s="115"/>
      <c r="BK1388" s="115"/>
      <c r="BL1388" s="115"/>
      <c r="BM1388" s="115"/>
      <c r="BN1388" s="115"/>
      <c r="BO1388" s="115"/>
      <c r="BP1388" s="115"/>
      <c r="BQ1388" s="115"/>
      <c r="BR1388" s="115"/>
      <c r="BS1388" s="115"/>
      <c r="BT1388" s="115"/>
      <c r="BU1388" s="115"/>
      <c r="BV1388" s="115"/>
      <c r="BW1388" s="26"/>
      <c r="BX1388" s="15"/>
      <c r="CA1388" s="114"/>
    </row>
    <row r="1389" spans="52:79" x14ac:dyDescent="0.4">
      <c r="AZ1389" s="115"/>
      <c r="BA1389" s="115"/>
      <c r="BB1389" s="115"/>
      <c r="BC1389" s="115"/>
      <c r="BD1389" s="115"/>
      <c r="BE1389" s="115"/>
      <c r="BF1389" s="122"/>
      <c r="BG1389" s="122"/>
      <c r="BH1389" s="122"/>
      <c r="BI1389" s="115"/>
      <c r="BJ1389" s="115"/>
      <c r="BK1389" s="115"/>
      <c r="BL1389" s="115"/>
      <c r="BM1389" s="115"/>
      <c r="BN1389" s="115"/>
      <c r="BO1389" s="115"/>
      <c r="BP1389" s="115"/>
      <c r="BQ1389" s="115"/>
      <c r="BR1389" s="115"/>
      <c r="BS1389" s="115"/>
      <c r="BT1389" s="115"/>
      <c r="BU1389" s="115"/>
      <c r="BV1389" s="115"/>
      <c r="BW1389" s="26"/>
      <c r="BX1389" s="15"/>
      <c r="CA1389" s="114"/>
    </row>
    <row r="1390" spans="52:79" x14ac:dyDescent="0.4">
      <c r="AZ1390" s="115"/>
      <c r="BA1390" s="115"/>
      <c r="BB1390" s="115"/>
      <c r="BC1390" s="115"/>
      <c r="BD1390" s="115"/>
      <c r="BE1390" s="115"/>
      <c r="BF1390" s="122"/>
      <c r="BG1390" s="122"/>
      <c r="BH1390" s="122"/>
      <c r="BI1390" s="115"/>
      <c r="BJ1390" s="115"/>
      <c r="BK1390" s="115"/>
      <c r="BL1390" s="115"/>
      <c r="BM1390" s="115"/>
      <c r="BN1390" s="115"/>
      <c r="BO1390" s="115"/>
      <c r="BP1390" s="115"/>
      <c r="BQ1390" s="115"/>
      <c r="BR1390" s="115"/>
      <c r="BS1390" s="115"/>
      <c r="BT1390" s="115"/>
      <c r="BU1390" s="115"/>
      <c r="BV1390" s="115"/>
      <c r="BW1390" s="26"/>
      <c r="BX1390" s="15"/>
      <c r="CA1390" s="114"/>
    </row>
    <row r="1391" spans="52:79" x14ac:dyDescent="0.4">
      <c r="AZ1391" s="115"/>
      <c r="BA1391" s="115"/>
      <c r="BB1391" s="115"/>
      <c r="BC1391" s="115"/>
      <c r="BD1391" s="115"/>
      <c r="BE1391" s="115"/>
      <c r="BF1391" s="122"/>
      <c r="BG1391" s="122"/>
      <c r="BH1391" s="122"/>
      <c r="BI1391" s="115"/>
      <c r="BJ1391" s="115"/>
      <c r="BK1391" s="115"/>
      <c r="BL1391" s="115"/>
      <c r="BM1391" s="115"/>
      <c r="BN1391" s="115"/>
      <c r="BO1391" s="115"/>
      <c r="BP1391" s="115"/>
      <c r="BQ1391" s="115"/>
      <c r="BR1391" s="115"/>
      <c r="BS1391" s="115"/>
      <c r="BT1391" s="115"/>
      <c r="BU1391" s="115"/>
      <c r="BV1391" s="115"/>
      <c r="BW1391" s="26"/>
      <c r="BX1391" s="13"/>
      <c r="CA1391" s="114"/>
    </row>
    <row r="1392" spans="52:79" x14ac:dyDescent="0.4">
      <c r="AZ1392" s="115"/>
      <c r="BA1392" s="115"/>
      <c r="BB1392" s="115"/>
      <c r="BC1392" s="115"/>
      <c r="BD1392" s="115"/>
      <c r="BE1392" s="115"/>
      <c r="BF1392" s="122"/>
      <c r="BG1392" s="122"/>
      <c r="BH1392" s="122"/>
      <c r="BI1392" s="115"/>
      <c r="BJ1392" s="115"/>
      <c r="BK1392" s="115"/>
      <c r="BL1392" s="115"/>
      <c r="BM1392" s="115"/>
      <c r="BN1392" s="115"/>
      <c r="BO1392" s="115"/>
      <c r="BP1392" s="115"/>
      <c r="BQ1392" s="115"/>
      <c r="BR1392" s="115"/>
      <c r="BS1392" s="115"/>
      <c r="BT1392" s="115"/>
      <c r="BU1392" s="115"/>
      <c r="BV1392" s="115"/>
      <c r="BW1392" s="17"/>
      <c r="BX1392" s="13"/>
      <c r="CA1392" s="114"/>
    </row>
    <row r="1393" spans="5:79" x14ac:dyDescent="0.4">
      <c r="AZ1393" s="115"/>
      <c r="BA1393" s="115"/>
      <c r="BB1393" s="115"/>
      <c r="BC1393" s="115"/>
      <c r="BD1393" s="115"/>
      <c r="BE1393" s="115"/>
      <c r="BF1393" s="122"/>
      <c r="BG1393" s="122"/>
      <c r="BH1393" s="122"/>
      <c r="BI1393" s="115"/>
      <c r="BJ1393" s="115"/>
      <c r="BK1393" s="115"/>
      <c r="BL1393" s="115"/>
      <c r="BM1393" s="115"/>
      <c r="BN1393" s="115"/>
      <c r="BO1393" s="115"/>
      <c r="BP1393" s="115"/>
      <c r="BQ1393" s="115"/>
      <c r="BR1393" s="115"/>
      <c r="BS1393" s="115"/>
      <c r="BT1393" s="115"/>
      <c r="BU1393" s="115"/>
      <c r="BV1393" s="115"/>
      <c r="BW1393" s="26"/>
      <c r="BX1393" s="13"/>
      <c r="CA1393" s="114"/>
    </row>
    <row r="1394" spans="5:79" x14ac:dyDescent="0.4">
      <c r="AZ1394" s="115"/>
      <c r="BA1394" s="115"/>
      <c r="BB1394" s="115"/>
      <c r="BC1394" s="115"/>
      <c r="BD1394" s="115"/>
      <c r="BE1394" s="115"/>
      <c r="BF1394" s="122"/>
      <c r="BG1394" s="122"/>
      <c r="BH1394" s="122"/>
      <c r="BI1394" s="115"/>
      <c r="BJ1394" s="115"/>
      <c r="BK1394" s="115"/>
      <c r="BL1394" s="115"/>
      <c r="BM1394" s="115"/>
      <c r="BN1394" s="115"/>
      <c r="BO1394" s="115"/>
      <c r="BP1394" s="115"/>
      <c r="BQ1394" s="115"/>
      <c r="BR1394" s="115"/>
      <c r="BS1394" s="115"/>
      <c r="BT1394" s="115"/>
      <c r="BU1394" s="115"/>
      <c r="BV1394" s="115"/>
      <c r="BW1394" s="26"/>
      <c r="BX1394" s="13"/>
      <c r="CA1394" s="114"/>
    </row>
    <row r="1395" spans="5:79" x14ac:dyDescent="0.4">
      <c r="AZ1395" s="115"/>
      <c r="BA1395" s="115"/>
      <c r="BB1395" s="115"/>
      <c r="BC1395" s="115"/>
      <c r="BD1395" s="115"/>
      <c r="BE1395" s="115"/>
      <c r="BF1395" s="122"/>
      <c r="BG1395" s="122"/>
      <c r="BH1395" s="122"/>
      <c r="BI1395" s="115"/>
      <c r="BJ1395" s="115"/>
      <c r="BK1395" s="115"/>
      <c r="BL1395" s="115"/>
      <c r="BM1395" s="115"/>
      <c r="BN1395" s="115"/>
      <c r="BO1395" s="115"/>
      <c r="BP1395" s="115"/>
      <c r="BQ1395" s="115"/>
      <c r="BR1395" s="115"/>
      <c r="BS1395" s="115"/>
      <c r="BT1395" s="115"/>
      <c r="BU1395" s="115"/>
      <c r="BV1395" s="115"/>
      <c r="BW1395" s="26"/>
      <c r="BX1395" s="13"/>
      <c r="CA1395" s="114"/>
    </row>
    <row r="1396" spans="5:79" x14ac:dyDescent="0.4">
      <c r="AZ1396" s="115"/>
      <c r="BA1396" s="115"/>
      <c r="BB1396" s="115"/>
      <c r="BC1396" s="115"/>
      <c r="BD1396" s="115"/>
      <c r="BE1396" s="115"/>
      <c r="BF1396" s="122"/>
      <c r="BG1396" s="122"/>
      <c r="BH1396" s="122"/>
      <c r="BI1396" s="115"/>
      <c r="BJ1396" s="115"/>
      <c r="BK1396" s="115"/>
      <c r="BL1396" s="115"/>
      <c r="BM1396" s="115"/>
      <c r="BN1396" s="115"/>
      <c r="BO1396" s="115"/>
      <c r="BP1396" s="115"/>
      <c r="BQ1396" s="115"/>
      <c r="BR1396" s="115"/>
      <c r="BS1396" s="115"/>
      <c r="BT1396" s="115"/>
      <c r="BU1396" s="115"/>
      <c r="BV1396" s="115"/>
      <c r="BW1396" s="26"/>
      <c r="BX1396" s="13"/>
      <c r="CA1396" s="114"/>
    </row>
    <row r="1397" spans="5:79" x14ac:dyDescent="0.4">
      <c r="AZ1397" s="115"/>
      <c r="BA1397" s="115"/>
      <c r="BB1397" s="115"/>
      <c r="BC1397" s="115"/>
      <c r="BD1397" s="115"/>
      <c r="BE1397" s="115"/>
      <c r="BF1397" s="122"/>
      <c r="BG1397" s="122"/>
      <c r="BH1397" s="122"/>
      <c r="BI1397" s="115"/>
      <c r="BJ1397" s="115"/>
      <c r="BK1397" s="115"/>
      <c r="BL1397" s="115"/>
      <c r="BM1397" s="115"/>
      <c r="BN1397" s="115"/>
      <c r="BO1397" s="115"/>
      <c r="BP1397" s="115"/>
      <c r="BQ1397" s="115"/>
      <c r="BR1397" s="115"/>
      <c r="BS1397" s="115"/>
      <c r="BT1397" s="115"/>
      <c r="BU1397" s="115"/>
      <c r="BV1397" s="115"/>
      <c r="BW1397" s="26"/>
      <c r="BX1397" s="13"/>
      <c r="CA1397" s="114"/>
    </row>
    <row r="1398" spans="5:79" x14ac:dyDescent="0.4">
      <c r="AZ1398" s="115"/>
      <c r="BA1398" s="115"/>
      <c r="BB1398" s="115"/>
      <c r="BC1398" s="115"/>
      <c r="BD1398" s="115"/>
      <c r="BE1398" s="115"/>
      <c r="BF1398" s="122"/>
      <c r="BG1398" s="122"/>
      <c r="BH1398" s="122"/>
      <c r="BI1398" s="115"/>
      <c r="BJ1398" s="115"/>
      <c r="BK1398" s="115"/>
      <c r="BL1398" s="115"/>
      <c r="BM1398" s="115"/>
      <c r="BN1398" s="115"/>
      <c r="BO1398" s="115"/>
      <c r="BP1398" s="115"/>
      <c r="BQ1398" s="115"/>
      <c r="BR1398" s="115"/>
      <c r="BS1398" s="115"/>
      <c r="BT1398" s="115"/>
      <c r="BU1398" s="115"/>
      <c r="BV1398" s="115"/>
      <c r="BW1398" s="26"/>
      <c r="BX1398" s="13"/>
      <c r="CA1398" s="114"/>
    </row>
    <row r="1399" spans="5:79" x14ac:dyDescent="0.4">
      <c r="AZ1399" s="115"/>
      <c r="BA1399" s="115"/>
      <c r="BB1399" s="115"/>
      <c r="BC1399" s="115"/>
      <c r="BD1399" s="115"/>
      <c r="BE1399" s="115"/>
      <c r="BF1399" s="122"/>
      <c r="BG1399" s="122"/>
      <c r="BH1399" s="122"/>
      <c r="BI1399" s="115"/>
      <c r="BJ1399" s="115"/>
      <c r="BK1399" s="115"/>
      <c r="BL1399" s="115"/>
      <c r="BM1399" s="115"/>
      <c r="BN1399" s="115"/>
      <c r="BO1399" s="115"/>
      <c r="BP1399" s="115"/>
      <c r="BQ1399" s="115"/>
      <c r="BR1399" s="115"/>
      <c r="BS1399" s="115"/>
      <c r="BT1399" s="115"/>
      <c r="BU1399" s="115"/>
      <c r="BV1399" s="115"/>
      <c r="BW1399" s="17"/>
      <c r="BX1399" s="13"/>
      <c r="CA1399" s="114"/>
    </row>
    <row r="1400" spans="5:79" x14ac:dyDescent="0.4">
      <c r="AZ1400" s="115"/>
      <c r="BA1400" s="115"/>
      <c r="BB1400" s="115"/>
      <c r="BC1400" s="115"/>
      <c r="BD1400" s="115"/>
      <c r="BE1400" s="115"/>
      <c r="BF1400" s="122"/>
      <c r="BG1400" s="122"/>
      <c r="BH1400" s="122"/>
      <c r="BI1400" s="115"/>
      <c r="BJ1400" s="115"/>
      <c r="BK1400" s="115"/>
      <c r="BL1400" s="115"/>
      <c r="BM1400" s="115"/>
      <c r="BN1400" s="115"/>
      <c r="BO1400" s="115"/>
      <c r="BP1400" s="115"/>
      <c r="BQ1400" s="115"/>
      <c r="BR1400" s="115"/>
      <c r="BS1400" s="115"/>
      <c r="BT1400" s="115"/>
      <c r="BU1400" s="115"/>
      <c r="BV1400" s="115"/>
      <c r="BW1400" s="26"/>
      <c r="BX1400" s="13"/>
      <c r="CA1400" s="114"/>
    </row>
    <row r="1401" spans="5:79" x14ac:dyDescent="0.4">
      <c r="AZ1401" s="115"/>
      <c r="BA1401" s="115"/>
      <c r="BB1401" s="115"/>
      <c r="BC1401" s="115"/>
      <c r="BD1401" s="115"/>
      <c r="BE1401" s="115"/>
      <c r="BF1401" s="122"/>
      <c r="BG1401" s="122"/>
      <c r="BH1401" s="122"/>
      <c r="BI1401" s="115"/>
      <c r="BJ1401" s="115"/>
      <c r="BK1401" s="115"/>
      <c r="BL1401" s="115"/>
      <c r="BM1401" s="115"/>
      <c r="BN1401" s="115"/>
      <c r="BO1401" s="115"/>
      <c r="BP1401" s="115"/>
      <c r="BQ1401" s="115"/>
      <c r="BR1401" s="115"/>
      <c r="BS1401" s="115"/>
      <c r="BT1401" s="115"/>
      <c r="BU1401" s="115"/>
      <c r="BV1401" s="115"/>
      <c r="BW1401" s="26"/>
      <c r="BX1401" s="13"/>
      <c r="CA1401" s="114"/>
    </row>
    <row r="1402" spans="5:79" x14ac:dyDescent="0.4">
      <c r="E1402" s="115"/>
      <c r="F1402" s="115"/>
      <c r="G1402" s="115"/>
      <c r="H1402" s="115"/>
      <c r="I1402" s="115"/>
      <c r="J1402" s="115"/>
      <c r="K1402" s="115"/>
      <c r="L1402" s="115"/>
      <c r="M1402" s="115"/>
      <c r="N1402" s="115"/>
      <c r="O1402" s="115"/>
      <c r="P1402" s="115"/>
      <c r="Q1402" s="115"/>
      <c r="R1402" s="115"/>
      <c r="S1402" s="115"/>
      <c r="T1402" s="115"/>
      <c r="U1402" s="115"/>
      <c r="V1402" s="115"/>
      <c r="W1402" s="115"/>
      <c r="X1402" s="115"/>
      <c r="Y1402" s="115"/>
      <c r="Z1402" s="115"/>
      <c r="AA1402" s="115"/>
      <c r="AB1402" s="115"/>
      <c r="AC1402" s="115"/>
      <c r="AD1402" s="115"/>
      <c r="AE1402" s="115"/>
      <c r="AF1402" s="115"/>
      <c r="AG1402" s="115"/>
      <c r="AH1402" s="115"/>
      <c r="AI1402" s="115"/>
      <c r="AJ1402" s="115"/>
      <c r="AK1402" s="115"/>
      <c r="AL1402" s="115"/>
      <c r="AM1402" s="115"/>
      <c r="AN1402" s="115"/>
      <c r="AO1402" s="115"/>
      <c r="AP1402" s="115"/>
      <c r="AQ1402" s="115"/>
      <c r="AR1402" s="115"/>
      <c r="AS1402" s="115"/>
      <c r="AT1402" s="115"/>
      <c r="AU1402" s="115"/>
      <c r="AV1402" s="115"/>
      <c r="AW1402" s="115"/>
      <c r="AX1402" s="115"/>
      <c r="AY1402" s="115"/>
      <c r="AZ1402" s="115"/>
      <c r="BA1402" s="115"/>
      <c r="BB1402" s="115"/>
      <c r="BC1402" s="115"/>
      <c r="BD1402" s="115"/>
      <c r="BE1402" s="115"/>
      <c r="BF1402" s="122"/>
      <c r="BG1402" s="122"/>
      <c r="BH1402" s="122"/>
      <c r="BI1402" s="115"/>
      <c r="BJ1402" s="115"/>
      <c r="BK1402" s="115"/>
      <c r="BL1402" s="115"/>
      <c r="BM1402" s="115"/>
      <c r="BN1402" s="115"/>
      <c r="BO1402" s="115"/>
      <c r="BP1402" s="115"/>
      <c r="BQ1402" s="115"/>
      <c r="BR1402" s="115"/>
      <c r="BS1402" s="115"/>
      <c r="BT1402" s="115"/>
      <c r="BU1402" s="115"/>
      <c r="BV1402" s="115"/>
      <c r="BW1402" s="26"/>
      <c r="BX1402" s="13"/>
      <c r="CA1402" s="114"/>
    </row>
    <row r="1403" spans="5:79" x14ac:dyDescent="0.4">
      <c r="E1403" s="115"/>
      <c r="F1403" s="115"/>
      <c r="G1403" s="115"/>
      <c r="H1403" s="115"/>
      <c r="I1403" s="115"/>
      <c r="J1403" s="115"/>
      <c r="K1403" s="115"/>
      <c r="L1403" s="115"/>
      <c r="M1403" s="115"/>
      <c r="N1403" s="115"/>
      <c r="O1403" s="115"/>
      <c r="P1403" s="115"/>
      <c r="Q1403" s="115"/>
      <c r="R1403" s="115"/>
      <c r="S1403" s="115"/>
      <c r="T1403" s="115"/>
      <c r="U1403" s="115"/>
      <c r="V1403" s="115"/>
      <c r="W1403" s="115"/>
      <c r="X1403" s="115"/>
      <c r="Y1403" s="115"/>
      <c r="Z1403" s="115"/>
      <c r="AA1403" s="115"/>
      <c r="AB1403" s="115"/>
      <c r="AC1403" s="115"/>
      <c r="AD1403" s="115"/>
      <c r="AE1403" s="115"/>
      <c r="AF1403" s="115"/>
      <c r="AG1403" s="115"/>
      <c r="AH1403" s="115"/>
      <c r="AI1403" s="115"/>
      <c r="AJ1403" s="115"/>
      <c r="AK1403" s="115"/>
      <c r="AL1403" s="115"/>
      <c r="AM1403" s="115"/>
      <c r="AN1403" s="115"/>
      <c r="AO1403" s="115"/>
      <c r="AP1403" s="115"/>
      <c r="AQ1403" s="115"/>
      <c r="AR1403" s="115"/>
      <c r="AS1403" s="115"/>
      <c r="AT1403" s="115"/>
      <c r="AU1403" s="115"/>
      <c r="AV1403" s="115"/>
      <c r="AW1403" s="115"/>
      <c r="AX1403" s="115"/>
      <c r="AY1403" s="115"/>
      <c r="AZ1403" s="115"/>
      <c r="BA1403" s="115"/>
      <c r="BB1403" s="115"/>
      <c r="BC1403" s="115"/>
      <c r="BD1403" s="115"/>
      <c r="BE1403" s="115"/>
      <c r="BF1403" s="122"/>
      <c r="BG1403" s="122"/>
      <c r="BH1403" s="122"/>
      <c r="BI1403" s="115"/>
      <c r="BJ1403" s="115"/>
      <c r="BK1403" s="115"/>
      <c r="BL1403" s="115"/>
      <c r="BM1403" s="115"/>
      <c r="BN1403" s="115"/>
      <c r="BO1403" s="115"/>
      <c r="BP1403" s="115"/>
      <c r="BQ1403" s="115"/>
      <c r="BR1403" s="115"/>
      <c r="BS1403" s="115"/>
      <c r="BT1403" s="115"/>
      <c r="BU1403" s="115"/>
      <c r="BV1403" s="115"/>
      <c r="BW1403" s="26"/>
      <c r="BX1403" s="13"/>
      <c r="CA1403" s="114"/>
    </row>
    <row r="1404" spans="5:79" x14ac:dyDescent="0.4">
      <c r="E1404" s="115"/>
      <c r="F1404" s="115"/>
      <c r="G1404" s="115"/>
      <c r="H1404" s="115"/>
      <c r="I1404" s="115"/>
      <c r="J1404" s="115"/>
      <c r="K1404" s="115"/>
      <c r="L1404" s="115"/>
      <c r="M1404" s="115"/>
      <c r="N1404" s="115"/>
      <c r="O1404" s="115"/>
      <c r="P1404" s="115"/>
      <c r="Q1404" s="115"/>
      <c r="R1404" s="115"/>
      <c r="S1404" s="115"/>
      <c r="T1404" s="115"/>
      <c r="U1404" s="115"/>
      <c r="V1404" s="115"/>
      <c r="W1404" s="115"/>
      <c r="X1404" s="115"/>
      <c r="Y1404" s="115"/>
      <c r="Z1404" s="115"/>
      <c r="AA1404" s="115"/>
      <c r="AB1404" s="115"/>
      <c r="AC1404" s="115"/>
      <c r="AD1404" s="115"/>
      <c r="AE1404" s="115"/>
      <c r="AF1404" s="115"/>
      <c r="AG1404" s="115"/>
      <c r="AH1404" s="115"/>
      <c r="AI1404" s="115"/>
      <c r="AJ1404" s="115"/>
      <c r="AK1404" s="115"/>
      <c r="AL1404" s="115"/>
      <c r="AM1404" s="115"/>
      <c r="AN1404" s="115"/>
      <c r="AO1404" s="115"/>
      <c r="AP1404" s="115"/>
      <c r="AQ1404" s="115"/>
      <c r="AR1404" s="115"/>
      <c r="AS1404" s="115"/>
      <c r="AT1404" s="115"/>
      <c r="AU1404" s="115"/>
      <c r="AV1404" s="115"/>
      <c r="AW1404" s="115"/>
      <c r="AX1404" s="115"/>
      <c r="AY1404" s="115"/>
      <c r="AZ1404" s="115"/>
      <c r="BA1404" s="115"/>
      <c r="BB1404" s="115"/>
      <c r="BC1404" s="115"/>
      <c r="BD1404" s="115"/>
      <c r="BE1404" s="115"/>
      <c r="BF1404" s="122"/>
      <c r="BG1404" s="122"/>
      <c r="BH1404" s="122"/>
      <c r="BI1404" s="115"/>
      <c r="BJ1404" s="115"/>
      <c r="BK1404" s="115"/>
      <c r="BL1404" s="115"/>
      <c r="BM1404" s="115"/>
      <c r="BN1404" s="115"/>
      <c r="BO1404" s="115"/>
      <c r="BP1404" s="115"/>
      <c r="BQ1404" s="115"/>
      <c r="BR1404" s="115"/>
      <c r="BS1404" s="115"/>
      <c r="BT1404" s="115"/>
      <c r="BU1404" s="115"/>
      <c r="BV1404" s="115"/>
      <c r="BW1404" s="26"/>
      <c r="BX1404" s="13"/>
      <c r="CA1404" s="114"/>
    </row>
    <row r="1405" spans="5:79" x14ac:dyDescent="0.4">
      <c r="E1405" s="115"/>
      <c r="F1405" s="115"/>
      <c r="G1405" s="115"/>
      <c r="H1405" s="115"/>
      <c r="I1405" s="115"/>
      <c r="J1405" s="115"/>
      <c r="K1405" s="115"/>
      <c r="L1405" s="115"/>
      <c r="M1405" s="115"/>
      <c r="N1405" s="115"/>
      <c r="O1405" s="115"/>
      <c r="P1405" s="115"/>
      <c r="Q1405" s="115"/>
      <c r="R1405" s="115"/>
      <c r="S1405" s="115"/>
      <c r="T1405" s="115"/>
      <c r="U1405" s="115"/>
      <c r="V1405" s="115"/>
      <c r="W1405" s="115"/>
      <c r="X1405" s="115"/>
      <c r="Y1405" s="115"/>
      <c r="Z1405" s="115"/>
      <c r="AA1405" s="115"/>
      <c r="AB1405" s="115"/>
      <c r="AC1405" s="115"/>
      <c r="AD1405" s="115"/>
      <c r="AE1405" s="115"/>
      <c r="AF1405" s="115"/>
      <c r="AG1405" s="115"/>
      <c r="AH1405" s="115"/>
      <c r="AI1405" s="115"/>
      <c r="AJ1405" s="115"/>
      <c r="AK1405" s="115"/>
      <c r="AL1405" s="115"/>
      <c r="AM1405" s="115"/>
      <c r="AN1405" s="115"/>
      <c r="AO1405" s="115"/>
      <c r="AP1405" s="115"/>
      <c r="AQ1405" s="115"/>
      <c r="AR1405" s="115"/>
      <c r="AS1405" s="115"/>
      <c r="AT1405" s="115"/>
      <c r="AU1405" s="115"/>
      <c r="AV1405" s="115"/>
      <c r="AW1405" s="115"/>
      <c r="AX1405" s="115"/>
      <c r="AY1405" s="115"/>
      <c r="AZ1405" s="115"/>
      <c r="BA1405" s="115"/>
      <c r="BB1405" s="115"/>
      <c r="BC1405" s="115"/>
      <c r="BD1405" s="115"/>
      <c r="BE1405" s="115"/>
      <c r="BF1405" s="122"/>
      <c r="BG1405" s="122"/>
      <c r="BH1405" s="122"/>
      <c r="BI1405" s="115"/>
      <c r="BJ1405" s="115"/>
      <c r="BK1405" s="115"/>
      <c r="BL1405" s="115"/>
      <c r="BM1405" s="115"/>
      <c r="BN1405" s="115"/>
      <c r="BO1405" s="115"/>
      <c r="BP1405" s="115"/>
      <c r="BQ1405" s="115"/>
      <c r="BR1405" s="115"/>
      <c r="BS1405" s="115"/>
      <c r="BT1405" s="115"/>
      <c r="BU1405" s="115"/>
      <c r="BV1405" s="115"/>
      <c r="BW1405" s="26"/>
      <c r="BX1405" s="13"/>
      <c r="CA1405" s="114"/>
    </row>
    <row r="1406" spans="5:79" x14ac:dyDescent="0.4">
      <c r="E1406" s="115"/>
      <c r="F1406" s="115"/>
      <c r="G1406" s="115"/>
      <c r="H1406" s="115"/>
      <c r="I1406" s="115"/>
      <c r="J1406" s="115"/>
      <c r="K1406" s="115"/>
      <c r="L1406" s="115"/>
      <c r="M1406" s="115"/>
      <c r="N1406" s="115"/>
      <c r="O1406" s="115"/>
      <c r="P1406" s="115"/>
      <c r="Q1406" s="115"/>
      <c r="R1406" s="115"/>
      <c r="S1406" s="115"/>
      <c r="T1406" s="115"/>
      <c r="U1406" s="115"/>
      <c r="V1406" s="115"/>
      <c r="W1406" s="115"/>
      <c r="X1406" s="115"/>
      <c r="Y1406" s="115"/>
      <c r="Z1406" s="115"/>
      <c r="AA1406" s="115"/>
      <c r="AB1406" s="115"/>
      <c r="AC1406" s="115"/>
      <c r="AD1406" s="115"/>
      <c r="AE1406" s="115"/>
      <c r="AF1406" s="115"/>
      <c r="AG1406" s="115"/>
      <c r="AH1406" s="115"/>
      <c r="AI1406" s="115"/>
      <c r="AJ1406" s="115"/>
      <c r="AK1406" s="115"/>
      <c r="AL1406" s="115"/>
      <c r="AM1406" s="115"/>
      <c r="AN1406" s="115"/>
      <c r="AO1406" s="115"/>
      <c r="AP1406" s="115"/>
      <c r="AQ1406" s="115"/>
      <c r="AR1406" s="115"/>
      <c r="AS1406" s="115"/>
      <c r="AT1406" s="115"/>
      <c r="AU1406" s="115"/>
      <c r="AV1406" s="115"/>
      <c r="AW1406" s="115"/>
      <c r="AX1406" s="115"/>
      <c r="AY1406" s="115"/>
      <c r="AZ1406" s="115"/>
      <c r="BA1406" s="115"/>
      <c r="BB1406" s="115"/>
      <c r="BC1406" s="115"/>
      <c r="BD1406" s="115"/>
      <c r="BE1406" s="115"/>
      <c r="BF1406" s="122"/>
      <c r="BG1406" s="122"/>
      <c r="BH1406" s="122"/>
      <c r="BI1406" s="115"/>
      <c r="BJ1406" s="115"/>
      <c r="BK1406" s="115"/>
      <c r="BL1406" s="115"/>
      <c r="BM1406" s="115"/>
      <c r="BN1406" s="115"/>
      <c r="BO1406" s="115"/>
      <c r="BP1406" s="115"/>
      <c r="BQ1406" s="115"/>
      <c r="BR1406" s="115"/>
      <c r="BS1406" s="115"/>
      <c r="BT1406" s="115"/>
      <c r="BU1406" s="115"/>
      <c r="BV1406" s="115"/>
      <c r="BW1406" s="26"/>
      <c r="BX1406" s="13"/>
      <c r="CA1406" s="114"/>
    </row>
    <row r="1407" spans="5:79" x14ac:dyDescent="0.4">
      <c r="E1407" s="115"/>
      <c r="F1407" s="115"/>
      <c r="G1407" s="115"/>
      <c r="H1407" s="115"/>
      <c r="I1407" s="115"/>
      <c r="J1407" s="115"/>
      <c r="K1407" s="115"/>
      <c r="L1407" s="115"/>
      <c r="M1407" s="115"/>
      <c r="N1407" s="115"/>
      <c r="O1407" s="115"/>
      <c r="P1407" s="115"/>
      <c r="Q1407" s="115"/>
      <c r="R1407" s="115"/>
      <c r="S1407" s="115"/>
      <c r="T1407" s="115"/>
      <c r="U1407" s="115"/>
      <c r="V1407" s="115"/>
      <c r="W1407" s="115"/>
      <c r="X1407" s="115"/>
      <c r="Y1407" s="115"/>
      <c r="Z1407" s="115"/>
      <c r="AA1407" s="115"/>
      <c r="AB1407" s="115"/>
      <c r="AC1407" s="115"/>
      <c r="AD1407" s="115"/>
      <c r="AE1407" s="115"/>
      <c r="AF1407" s="115"/>
      <c r="AG1407" s="115"/>
      <c r="AH1407" s="115"/>
      <c r="AI1407" s="115"/>
      <c r="AJ1407" s="115"/>
      <c r="AK1407" s="115"/>
      <c r="AL1407" s="115"/>
      <c r="AM1407" s="115"/>
      <c r="AN1407" s="115"/>
      <c r="AO1407" s="115"/>
      <c r="AP1407" s="115"/>
      <c r="AQ1407" s="115"/>
      <c r="AR1407" s="115"/>
      <c r="AS1407" s="115"/>
      <c r="AT1407" s="115"/>
      <c r="AU1407" s="115"/>
      <c r="AV1407" s="115"/>
      <c r="AW1407" s="115"/>
      <c r="AX1407" s="115"/>
      <c r="AY1407" s="115"/>
      <c r="AZ1407" s="115"/>
      <c r="BA1407" s="115"/>
      <c r="BB1407" s="115"/>
      <c r="BC1407" s="115"/>
      <c r="BD1407" s="115"/>
      <c r="BE1407" s="115"/>
      <c r="BF1407" s="122"/>
      <c r="BG1407" s="122"/>
      <c r="BH1407" s="122"/>
      <c r="BI1407" s="115"/>
      <c r="BJ1407" s="115"/>
      <c r="BK1407" s="115"/>
      <c r="BL1407" s="115"/>
      <c r="BM1407" s="115"/>
      <c r="BN1407" s="115"/>
      <c r="BO1407" s="115"/>
      <c r="BP1407" s="115"/>
      <c r="BQ1407" s="115"/>
      <c r="BR1407" s="115"/>
      <c r="BS1407" s="115"/>
      <c r="BT1407" s="115"/>
      <c r="BU1407" s="115"/>
      <c r="BV1407" s="115"/>
      <c r="BW1407" s="26"/>
      <c r="BX1407" s="13"/>
      <c r="CA1407" s="114"/>
    </row>
    <row r="1408" spans="5:79" x14ac:dyDescent="0.4">
      <c r="E1408" s="115"/>
      <c r="F1408" s="115"/>
      <c r="G1408" s="115"/>
      <c r="H1408" s="115"/>
      <c r="I1408" s="115"/>
      <c r="J1408" s="115"/>
      <c r="K1408" s="115"/>
      <c r="L1408" s="115"/>
      <c r="M1408" s="115"/>
      <c r="N1408" s="115"/>
      <c r="O1408" s="115"/>
      <c r="P1408" s="115"/>
      <c r="Q1408" s="115"/>
      <c r="R1408" s="115"/>
      <c r="S1408" s="115"/>
      <c r="T1408" s="115"/>
      <c r="U1408" s="115"/>
      <c r="V1408" s="115"/>
      <c r="W1408" s="115"/>
      <c r="X1408" s="115"/>
      <c r="Y1408" s="115"/>
      <c r="Z1408" s="115"/>
      <c r="AA1408" s="115"/>
      <c r="AB1408" s="115"/>
      <c r="AC1408" s="115"/>
      <c r="AD1408" s="115"/>
      <c r="AE1408" s="115"/>
      <c r="AF1408" s="115"/>
      <c r="AG1408" s="115"/>
      <c r="AH1408" s="115"/>
      <c r="AI1408" s="115"/>
      <c r="AJ1408" s="115"/>
      <c r="AK1408" s="115"/>
      <c r="AL1408" s="115"/>
      <c r="AM1408" s="115"/>
      <c r="AN1408" s="115"/>
      <c r="AO1408" s="115"/>
      <c r="AP1408" s="115"/>
      <c r="AQ1408" s="115"/>
      <c r="AR1408" s="115"/>
      <c r="AS1408" s="115"/>
      <c r="AT1408" s="115"/>
      <c r="AU1408" s="115"/>
      <c r="AV1408" s="115"/>
      <c r="AW1408" s="115"/>
      <c r="AX1408" s="115"/>
      <c r="AY1408" s="115"/>
      <c r="AZ1408" s="115"/>
      <c r="BA1408" s="115"/>
      <c r="BB1408" s="115"/>
      <c r="BC1408" s="115"/>
      <c r="BD1408" s="115"/>
      <c r="BE1408" s="115"/>
      <c r="BF1408" s="122"/>
      <c r="BG1408" s="122"/>
      <c r="BH1408" s="122"/>
      <c r="BI1408" s="115"/>
      <c r="BJ1408" s="115"/>
      <c r="BK1408" s="115"/>
      <c r="BL1408" s="115"/>
      <c r="BM1408" s="115"/>
      <c r="BN1408" s="115"/>
      <c r="BO1408" s="115"/>
      <c r="BP1408" s="115"/>
      <c r="BQ1408" s="115"/>
      <c r="BR1408" s="115"/>
      <c r="BS1408" s="115"/>
      <c r="BT1408" s="115"/>
      <c r="BU1408" s="115"/>
      <c r="BV1408" s="115"/>
      <c r="BW1408" s="26"/>
      <c r="BX1408" s="13"/>
      <c r="CA1408" s="114"/>
    </row>
    <row r="1409" spans="3:79" x14ac:dyDescent="0.4">
      <c r="E1409" s="115"/>
      <c r="F1409" s="115"/>
      <c r="G1409" s="115"/>
      <c r="H1409" s="115"/>
      <c r="I1409" s="115"/>
      <c r="J1409" s="115"/>
      <c r="K1409" s="115"/>
      <c r="L1409" s="115"/>
      <c r="M1409" s="115"/>
      <c r="N1409" s="115"/>
      <c r="O1409" s="115"/>
      <c r="P1409" s="115"/>
      <c r="Q1409" s="115"/>
      <c r="R1409" s="115"/>
      <c r="S1409" s="115"/>
      <c r="T1409" s="115"/>
      <c r="U1409" s="115"/>
      <c r="V1409" s="115"/>
      <c r="W1409" s="115"/>
      <c r="X1409" s="115"/>
      <c r="Y1409" s="115"/>
      <c r="Z1409" s="115"/>
      <c r="AA1409" s="115"/>
      <c r="AB1409" s="115"/>
      <c r="AC1409" s="115"/>
      <c r="AD1409" s="115"/>
      <c r="AE1409" s="115"/>
      <c r="AF1409" s="115"/>
      <c r="AG1409" s="115"/>
      <c r="AH1409" s="115"/>
      <c r="AI1409" s="115"/>
      <c r="AJ1409" s="115"/>
      <c r="AK1409" s="115"/>
      <c r="AL1409" s="115"/>
      <c r="AM1409" s="115"/>
      <c r="AN1409" s="115"/>
      <c r="AO1409" s="115"/>
      <c r="AP1409" s="115"/>
      <c r="AQ1409" s="115"/>
      <c r="AR1409" s="115"/>
      <c r="AS1409" s="115"/>
      <c r="AT1409" s="115"/>
      <c r="AU1409" s="115"/>
      <c r="AV1409" s="115"/>
      <c r="AW1409" s="115"/>
      <c r="AX1409" s="115"/>
      <c r="AY1409" s="115"/>
      <c r="AZ1409" s="115"/>
      <c r="BA1409" s="115"/>
      <c r="BB1409" s="115"/>
      <c r="BC1409" s="115"/>
      <c r="BD1409" s="115"/>
      <c r="BE1409" s="115"/>
      <c r="BF1409" s="122"/>
      <c r="BG1409" s="122"/>
      <c r="BH1409" s="122"/>
      <c r="BI1409" s="115"/>
      <c r="BJ1409" s="115"/>
      <c r="BK1409" s="115"/>
      <c r="BL1409" s="115"/>
      <c r="BM1409" s="115"/>
      <c r="BN1409" s="115"/>
      <c r="BO1409" s="115"/>
      <c r="BP1409" s="115"/>
      <c r="BQ1409" s="115"/>
      <c r="BR1409" s="115"/>
      <c r="BS1409" s="115"/>
      <c r="BT1409" s="115"/>
      <c r="BU1409" s="115"/>
      <c r="BV1409" s="115"/>
      <c r="BW1409" s="26"/>
      <c r="BX1409" s="13"/>
      <c r="CA1409" s="114"/>
    </row>
    <row r="1410" spans="3:79" x14ac:dyDescent="0.4">
      <c r="E1410" s="115"/>
      <c r="F1410" s="115"/>
      <c r="G1410" s="115"/>
      <c r="H1410" s="115"/>
      <c r="I1410" s="115"/>
      <c r="J1410" s="115"/>
      <c r="K1410" s="115"/>
      <c r="L1410" s="115"/>
      <c r="M1410" s="115"/>
      <c r="N1410" s="115"/>
      <c r="O1410" s="115"/>
      <c r="P1410" s="115"/>
      <c r="Q1410" s="115"/>
      <c r="R1410" s="115"/>
      <c r="S1410" s="115"/>
      <c r="T1410" s="115"/>
      <c r="U1410" s="115"/>
      <c r="V1410" s="115"/>
      <c r="W1410" s="115"/>
      <c r="X1410" s="115"/>
      <c r="Y1410" s="115"/>
      <c r="Z1410" s="115"/>
      <c r="AA1410" s="115"/>
      <c r="AB1410" s="115"/>
      <c r="AC1410" s="115"/>
      <c r="AD1410" s="115"/>
      <c r="AE1410" s="115"/>
      <c r="AF1410" s="115"/>
      <c r="AG1410" s="115"/>
      <c r="AH1410" s="115"/>
      <c r="AI1410" s="115"/>
      <c r="AJ1410" s="115"/>
      <c r="AK1410" s="115"/>
      <c r="AL1410" s="115"/>
      <c r="AM1410" s="115"/>
      <c r="AN1410" s="115"/>
      <c r="AO1410" s="115"/>
      <c r="AP1410" s="115"/>
      <c r="AQ1410" s="115"/>
      <c r="AR1410" s="115"/>
      <c r="AS1410" s="115"/>
      <c r="AT1410" s="115"/>
      <c r="AU1410" s="115"/>
      <c r="AV1410" s="115"/>
      <c r="AW1410" s="115"/>
      <c r="AX1410" s="115"/>
      <c r="AY1410" s="115"/>
      <c r="AZ1410" s="115"/>
      <c r="BA1410" s="115"/>
      <c r="BB1410" s="115"/>
      <c r="BC1410" s="115"/>
      <c r="BD1410" s="115"/>
      <c r="BE1410" s="115"/>
      <c r="BF1410" s="122"/>
      <c r="BG1410" s="122"/>
      <c r="BH1410" s="122"/>
      <c r="BI1410" s="115"/>
      <c r="BJ1410" s="115"/>
      <c r="BK1410" s="115"/>
      <c r="BL1410" s="115"/>
      <c r="BM1410" s="115"/>
      <c r="BN1410" s="115"/>
      <c r="BO1410" s="115"/>
      <c r="BP1410" s="115"/>
      <c r="BQ1410" s="115"/>
      <c r="BR1410" s="115"/>
      <c r="BS1410" s="115"/>
      <c r="BT1410" s="115"/>
      <c r="BU1410" s="115"/>
      <c r="BV1410" s="115"/>
      <c r="BW1410" s="26"/>
      <c r="BX1410" s="13"/>
      <c r="CA1410" s="114"/>
    </row>
    <row r="1411" spans="3:79" x14ac:dyDescent="0.4">
      <c r="E1411" s="115"/>
      <c r="F1411" s="115"/>
      <c r="G1411" s="115"/>
      <c r="H1411" s="115"/>
      <c r="I1411" s="115"/>
      <c r="J1411" s="115"/>
      <c r="K1411" s="115"/>
      <c r="L1411" s="115"/>
      <c r="M1411" s="115"/>
      <c r="N1411" s="115"/>
      <c r="O1411" s="115"/>
      <c r="P1411" s="115"/>
      <c r="Q1411" s="115"/>
      <c r="R1411" s="115"/>
      <c r="S1411" s="115"/>
      <c r="T1411" s="115"/>
      <c r="U1411" s="115"/>
      <c r="V1411" s="115"/>
      <c r="W1411" s="115"/>
      <c r="X1411" s="115"/>
      <c r="Y1411" s="115"/>
      <c r="Z1411" s="115"/>
      <c r="AA1411" s="115"/>
      <c r="AB1411" s="115"/>
      <c r="AC1411" s="115"/>
      <c r="AD1411" s="115"/>
      <c r="AE1411" s="115"/>
      <c r="AF1411" s="115"/>
      <c r="AG1411" s="115"/>
      <c r="AH1411" s="115"/>
      <c r="AI1411" s="115"/>
      <c r="AJ1411" s="115"/>
      <c r="AK1411" s="115"/>
      <c r="AL1411" s="115"/>
      <c r="AM1411" s="115"/>
      <c r="AN1411" s="115"/>
      <c r="AO1411" s="115"/>
      <c r="AP1411" s="115"/>
      <c r="AQ1411" s="115"/>
      <c r="AR1411" s="115"/>
      <c r="AS1411" s="115"/>
      <c r="AT1411" s="115"/>
      <c r="AU1411" s="115"/>
      <c r="AV1411" s="115"/>
      <c r="AW1411" s="115"/>
      <c r="AX1411" s="115"/>
      <c r="AY1411" s="115"/>
      <c r="AZ1411" s="115"/>
      <c r="BA1411" s="115"/>
      <c r="BB1411" s="115"/>
      <c r="BC1411" s="115"/>
      <c r="BD1411" s="115"/>
      <c r="BE1411" s="115"/>
      <c r="BF1411" s="122"/>
      <c r="BG1411" s="122"/>
      <c r="BH1411" s="122"/>
      <c r="BI1411" s="115"/>
      <c r="BJ1411" s="115"/>
      <c r="BK1411" s="115"/>
      <c r="BL1411" s="115"/>
      <c r="BM1411" s="115"/>
      <c r="BN1411" s="115"/>
      <c r="BO1411" s="115"/>
      <c r="BP1411" s="115"/>
      <c r="BQ1411" s="115"/>
      <c r="BR1411" s="115"/>
      <c r="BS1411" s="115"/>
      <c r="BT1411" s="115"/>
      <c r="BU1411" s="115"/>
      <c r="BV1411" s="115"/>
      <c r="BW1411" s="26"/>
      <c r="BX1411" s="13"/>
      <c r="CA1411" s="114"/>
    </row>
    <row r="1412" spans="3:79" x14ac:dyDescent="0.4">
      <c r="E1412" s="115"/>
      <c r="F1412" s="115"/>
      <c r="G1412" s="115"/>
      <c r="H1412" s="115"/>
      <c r="I1412" s="115"/>
      <c r="J1412" s="115"/>
      <c r="K1412" s="115"/>
      <c r="L1412" s="115"/>
      <c r="M1412" s="115"/>
      <c r="N1412" s="115"/>
      <c r="O1412" s="115"/>
      <c r="P1412" s="115"/>
      <c r="Q1412" s="115"/>
      <c r="R1412" s="115"/>
      <c r="S1412" s="115"/>
      <c r="T1412" s="115"/>
      <c r="U1412" s="115"/>
      <c r="V1412" s="115"/>
      <c r="W1412" s="115"/>
      <c r="X1412" s="115"/>
      <c r="Y1412" s="115"/>
      <c r="Z1412" s="115"/>
      <c r="AA1412" s="115"/>
      <c r="AB1412" s="115"/>
      <c r="AC1412" s="115"/>
      <c r="AD1412" s="115"/>
      <c r="AE1412" s="115"/>
      <c r="AF1412" s="115"/>
      <c r="AG1412" s="115"/>
      <c r="AH1412" s="115"/>
      <c r="AI1412" s="115"/>
      <c r="AJ1412" s="115"/>
      <c r="AK1412" s="115"/>
      <c r="AL1412" s="115"/>
      <c r="AM1412" s="115"/>
      <c r="AN1412" s="115"/>
      <c r="AO1412" s="115"/>
      <c r="AP1412" s="115"/>
      <c r="AQ1412" s="115"/>
      <c r="AR1412" s="115"/>
      <c r="AS1412" s="115"/>
      <c r="AT1412" s="115"/>
      <c r="AU1412" s="115"/>
      <c r="AV1412" s="115"/>
      <c r="AW1412" s="115"/>
      <c r="AX1412" s="115"/>
      <c r="AY1412" s="115"/>
      <c r="AZ1412" s="115"/>
      <c r="BA1412" s="115"/>
      <c r="BB1412" s="115"/>
      <c r="BC1412" s="115"/>
      <c r="BD1412" s="115"/>
      <c r="BE1412" s="115"/>
      <c r="BF1412" s="122"/>
      <c r="BG1412" s="122"/>
      <c r="BH1412" s="122"/>
      <c r="BI1412" s="115"/>
      <c r="BJ1412" s="115"/>
      <c r="BK1412" s="115"/>
      <c r="BL1412" s="115"/>
      <c r="BM1412" s="115"/>
      <c r="BN1412" s="115"/>
      <c r="BO1412" s="115"/>
      <c r="BP1412" s="115"/>
      <c r="BQ1412" s="115"/>
      <c r="BR1412" s="115"/>
      <c r="BS1412" s="115"/>
      <c r="BT1412" s="115"/>
      <c r="BU1412" s="115"/>
      <c r="BV1412" s="115"/>
      <c r="BW1412" s="26"/>
      <c r="BX1412" s="13"/>
      <c r="CA1412" s="114"/>
    </row>
    <row r="1413" spans="3:79" x14ac:dyDescent="0.4">
      <c r="E1413" s="115"/>
      <c r="F1413" s="115"/>
      <c r="G1413" s="115"/>
      <c r="H1413" s="115"/>
      <c r="I1413" s="115"/>
      <c r="J1413" s="115"/>
      <c r="K1413" s="115"/>
      <c r="L1413" s="115"/>
      <c r="M1413" s="115"/>
      <c r="N1413" s="115"/>
      <c r="O1413" s="115"/>
      <c r="P1413" s="115"/>
      <c r="Q1413" s="115"/>
      <c r="R1413" s="115"/>
      <c r="S1413" s="115"/>
      <c r="T1413" s="115"/>
      <c r="U1413" s="115"/>
      <c r="V1413" s="115"/>
      <c r="W1413" s="115"/>
      <c r="X1413" s="115"/>
      <c r="Y1413" s="115"/>
      <c r="Z1413" s="115"/>
      <c r="AA1413" s="115"/>
      <c r="AB1413" s="115"/>
      <c r="AC1413" s="115"/>
      <c r="AD1413" s="115"/>
      <c r="AE1413" s="115"/>
      <c r="AF1413" s="115"/>
      <c r="AG1413" s="115"/>
      <c r="AH1413" s="115"/>
      <c r="AI1413" s="115"/>
      <c r="AJ1413" s="115"/>
      <c r="AK1413" s="115"/>
      <c r="AL1413" s="115"/>
      <c r="AM1413" s="115"/>
      <c r="AN1413" s="115"/>
      <c r="AO1413" s="115"/>
      <c r="AP1413" s="115"/>
      <c r="AQ1413" s="115"/>
      <c r="AR1413" s="115"/>
      <c r="AS1413" s="115"/>
      <c r="AT1413" s="115"/>
      <c r="AU1413" s="115"/>
      <c r="AV1413" s="115"/>
      <c r="AW1413" s="115"/>
      <c r="AX1413" s="115"/>
      <c r="AY1413" s="115"/>
      <c r="AZ1413" s="115"/>
      <c r="BA1413" s="115"/>
      <c r="BB1413" s="115"/>
      <c r="BC1413" s="115"/>
      <c r="BD1413" s="115"/>
      <c r="BE1413" s="115"/>
      <c r="BF1413" s="122"/>
      <c r="BG1413" s="122"/>
      <c r="BH1413" s="122"/>
      <c r="BI1413" s="115"/>
      <c r="BJ1413" s="115"/>
      <c r="BK1413" s="115"/>
      <c r="BL1413" s="115"/>
      <c r="BM1413" s="115"/>
      <c r="BN1413" s="115"/>
      <c r="BO1413" s="115"/>
      <c r="BP1413" s="115"/>
      <c r="BQ1413" s="115"/>
      <c r="BR1413" s="115"/>
      <c r="BS1413" s="115"/>
      <c r="BT1413" s="115"/>
      <c r="BU1413" s="115"/>
      <c r="BV1413" s="115"/>
      <c r="BW1413" s="26"/>
      <c r="BX1413" s="13"/>
      <c r="CA1413" s="114"/>
    </row>
    <row r="1414" spans="3:79" x14ac:dyDescent="0.4">
      <c r="E1414" s="115"/>
      <c r="F1414" s="115"/>
      <c r="G1414" s="115"/>
      <c r="H1414" s="115"/>
      <c r="I1414" s="115"/>
      <c r="J1414" s="115"/>
      <c r="K1414" s="115"/>
      <c r="L1414" s="115"/>
      <c r="M1414" s="115"/>
      <c r="N1414" s="115"/>
      <c r="O1414" s="115"/>
      <c r="P1414" s="115"/>
      <c r="Q1414" s="115"/>
      <c r="R1414" s="115"/>
      <c r="S1414" s="115"/>
      <c r="T1414" s="115"/>
      <c r="U1414" s="115"/>
      <c r="V1414" s="115"/>
      <c r="W1414" s="115"/>
      <c r="X1414" s="115"/>
      <c r="Y1414" s="115"/>
      <c r="Z1414" s="115"/>
      <c r="AA1414" s="115"/>
      <c r="AB1414" s="115"/>
      <c r="AC1414" s="115"/>
      <c r="AD1414" s="115"/>
      <c r="AE1414" s="115"/>
      <c r="AF1414" s="115"/>
      <c r="AG1414" s="115"/>
      <c r="AH1414" s="115"/>
      <c r="AI1414" s="115"/>
      <c r="AJ1414" s="115"/>
      <c r="AK1414" s="115"/>
      <c r="AL1414" s="115"/>
      <c r="AM1414" s="115"/>
      <c r="AN1414" s="115"/>
      <c r="AO1414" s="115"/>
      <c r="AP1414" s="115"/>
      <c r="AQ1414" s="115"/>
      <c r="AR1414" s="115"/>
      <c r="AS1414" s="115"/>
      <c r="AT1414" s="115"/>
      <c r="AU1414" s="115"/>
      <c r="AV1414" s="115"/>
      <c r="AW1414" s="115"/>
      <c r="AX1414" s="115"/>
      <c r="AY1414" s="115"/>
      <c r="AZ1414" s="115"/>
      <c r="BA1414" s="115"/>
      <c r="BB1414" s="115"/>
      <c r="BC1414" s="115"/>
      <c r="BD1414" s="115"/>
      <c r="BE1414" s="115"/>
      <c r="BF1414" s="122"/>
      <c r="BG1414" s="122"/>
      <c r="BH1414" s="122"/>
      <c r="BI1414" s="115"/>
      <c r="BJ1414" s="115"/>
      <c r="BK1414" s="115"/>
      <c r="BL1414" s="115"/>
      <c r="BM1414" s="115"/>
      <c r="BN1414" s="115"/>
      <c r="BO1414" s="115"/>
      <c r="BP1414" s="115"/>
      <c r="BQ1414" s="115"/>
      <c r="BR1414" s="115"/>
      <c r="BS1414" s="115"/>
      <c r="BT1414" s="115"/>
      <c r="BU1414" s="115"/>
      <c r="BV1414" s="115"/>
      <c r="BW1414" s="26"/>
      <c r="BX1414" s="13"/>
      <c r="CA1414" s="114"/>
    </row>
    <row r="1415" spans="3:79" x14ac:dyDescent="0.4">
      <c r="E1415" s="115"/>
      <c r="F1415" s="115"/>
      <c r="G1415" s="115"/>
      <c r="H1415" s="115"/>
      <c r="I1415" s="115"/>
      <c r="J1415" s="115"/>
      <c r="K1415" s="115"/>
      <c r="L1415" s="115"/>
      <c r="M1415" s="115"/>
      <c r="N1415" s="115"/>
      <c r="O1415" s="115"/>
      <c r="P1415" s="115"/>
      <c r="Q1415" s="115"/>
      <c r="R1415" s="115"/>
      <c r="S1415" s="115"/>
      <c r="T1415" s="115"/>
      <c r="U1415" s="115"/>
      <c r="V1415" s="115"/>
      <c r="W1415" s="115"/>
      <c r="X1415" s="115"/>
      <c r="Y1415" s="115"/>
      <c r="Z1415" s="115"/>
      <c r="AA1415" s="115"/>
      <c r="AB1415" s="115"/>
      <c r="AC1415" s="115"/>
      <c r="AD1415" s="115"/>
      <c r="AE1415" s="115"/>
      <c r="AF1415" s="115"/>
      <c r="AG1415" s="115"/>
      <c r="AH1415" s="115"/>
      <c r="AI1415" s="115"/>
      <c r="AJ1415" s="115"/>
      <c r="AK1415" s="115"/>
      <c r="AL1415" s="115"/>
      <c r="AM1415" s="115"/>
      <c r="AN1415" s="115"/>
      <c r="AO1415" s="115"/>
      <c r="AP1415" s="115"/>
      <c r="AQ1415" s="115"/>
      <c r="AR1415" s="115"/>
      <c r="AS1415" s="115"/>
      <c r="AT1415" s="115"/>
      <c r="AU1415" s="115"/>
      <c r="AV1415" s="115"/>
      <c r="AW1415" s="115"/>
      <c r="AX1415" s="115"/>
      <c r="AY1415" s="115"/>
      <c r="AZ1415" s="115"/>
      <c r="BA1415" s="115"/>
      <c r="BB1415" s="115"/>
      <c r="BC1415" s="115"/>
      <c r="BD1415" s="115"/>
      <c r="BE1415" s="115"/>
      <c r="BF1415" s="122"/>
      <c r="BG1415" s="122"/>
      <c r="BH1415" s="122"/>
      <c r="BI1415" s="115"/>
      <c r="BJ1415" s="115"/>
      <c r="BK1415" s="115"/>
      <c r="BL1415" s="115"/>
      <c r="BM1415" s="115"/>
      <c r="BN1415" s="115"/>
      <c r="BO1415" s="115"/>
      <c r="BP1415" s="115"/>
      <c r="BQ1415" s="115"/>
      <c r="BR1415" s="115"/>
      <c r="BS1415" s="115"/>
      <c r="BT1415" s="115"/>
      <c r="BU1415" s="115"/>
      <c r="BV1415" s="115"/>
      <c r="BW1415" s="26"/>
      <c r="BX1415" s="13"/>
      <c r="CA1415" s="114"/>
    </row>
    <row r="1416" spans="3:79" x14ac:dyDescent="0.4">
      <c r="E1416" s="115"/>
      <c r="F1416" s="115"/>
      <c r="G1416" s="115"/>
      <c r="H1416" s="115"/>
      <c r="I1416" s="115"/>
      <c r="J1416" s="115"/>
      <c r="K1416" s="115"/>
      <c r="L1416" s="115"/>
      <c r="M1416" s="115"/>
      <c r="N1416" s="115"/>
      <c r="O1416" s="115"/>
      <c r="P1416" s="115"/>
      <c r="Q1416" s="115"/>
      <c r="R1416" s="115"/>
      <c r="S1416" s="115"/>
      <c r="T1416" s="115"/>
      <c r="U1416" s="115"/>
      <c r="V1416" s="115"/>
      <c r="W1416" s="115"/>
      <c r="X1416" s="115"/>
      <c r="Y1416" s="115"/>
      <c r="Z1416" s="115"/>
      <c r="AA1416" s="115"/>
      <c r="AB1416" s="115"/>
      <c r="AC1416" s="115"/>
      <c r="AD1416" s="115"/>
      <c r="AE1416" s="115"/>
      <c r="AF1416" s="115"/>
      <c r="AG1416" s="115"/>
      <c r="AH1416" s="115"/>
      <c r="AI1416" s="115"/>
      <c r="AJ1416" s="115"/>
      <c r="AK1416" s="115"/>
      <c r="AL1416" s="115"/>
      <c r="AM1416" s="115"/>
      <c r="AN1416" s="115"/>
      <c r="AO1416" s="115"/>
      <c r="AP1416" s="115"/>
      <c r="AQ1416" s="115"/>
      <c r="AR1416" s="115"/>
      <c r="AS1416" s="115"/>
      <c r="AT1416" s="115"/>
      <c r="AU1416" s="115"/>
      <c r="AV1416" s="115"/>
      <c r="AW1416" s="115"/>
      <c r="AX1416" s="115"/>
      <c r="AY1416" s="115"/>
      <c r="AZ1416" s="115"/>
      <c r="BA1416" s="115"/>
      <c r="BB1416" s="115"/>
      <c r="BC1416" s="115"/>
      <c r="BD1416" s="115"/>
      <c r="BE1416" s="115"/>
      <c r="BF1416" s="122"/>
      <c r="BG1416" s="122"/>
      <c r="BH1416" s="122"/>
      <c r="BI1416" s="115"/>
      <c r="BJ1416" s="115"/>
      <c r="BK1416" s="115"/>
      <c r="BL1416" s="115"/>
      <c r="BM1416" s="115"/>
      <c r="BN1416" s="115"/>
      <c r="BO1416" s="115"/>
      <c r="BP1416" s="115"/>
      <c r="BQ1416" s="115"/>
      <c r="BR1416" s="115"/>
      <c r="BS1416" s="115"/>
      <c r="BT1416" s="115"/>
      <c r="BU1416" s="115"/>
      <c r="BV1416" s="115"/>
      <c r="BW1416" s="26"/>
      <c r="BX1416" s="13"/>
      <c r="CA1416" s="114"/>
    </row>
    <row r="1417" spans="3:79" x14ac:dyDescent="0.4">
      <c r="E1417" s="115"/>
      <c r="F1417" s="115"/>
      <c r="G1417" s="115"/>
      <c r="H1417" s="115"/>
      <c r="I1417" s="115"/>
      <c r="J1417" s="115"/>
      <c r="K1417" s="115"/>
      <c r="L1417" s="115"/>
      <c r="M1417" s="115"/>
      <c r="N1417" s="115"/>
      <c r="O1417" s="115"/>
      <c r="P1417" s="115"/>
      <c r="Q1417" s="115"/>
      <c r="R1417" s="115"/>
      <c r="S1417" s="115"/>
      <c r="T1417" s="115"/>
      <c r="U1417" s="115"/>
      <c r="V1417" s="115"/>
      <c r="W1417" s="115"/>
      <c r="X1417" s="115"/>
      <c r="Y1417" s="115"/>
      <c r="Z1417" s="115"/>
      <c r="AA1417" s="115"/>
      <c r="AB1417" s="115"/>
      <c r="AC1417" s="115"/>
      <c r="AD1417" s="115"/>
      <c r="AE1417" s="115"/>
      <c r="AF1417" s="115"/>
      <c r="AG1417" s="115"/>
      <c r="AH1417" s="115"/>
      <c r="AI1417" s="115"/>
      <c r="AJ1417" s="115"/>
      <c r="AK1417" s="115"/>
      <c r="AL1417" s="115"/>
      <c r="AM1417" s="115"/>
      <c r="AN1417" s="115"/>
      <c r="AO1417" s="115"/>
      <c r="AP1417" s="115"/>
      <c r="AQ1417" s="115"/>
      <c r="AR1417" s="115"/>
      <c r="AS1417" s="115"/>
      <c r="AT1417" s="115"/>
      <c r="AU1417" s="115"/>
      <c r="AV1417" s="115"/>
      <c r="AW1417" s="115"/>
      <c r="AX1417" s="115"/>
      <c r="AY1417" s="115"/>
      <c r="AZ1417" s="115"/>
      <c r="BA1417" s="115"/>
      <c r="BB1417" s="115"/>
      <c r="BC1417" s="115"/>
      <c r="BD1417" s="115"/>
      <c r="BE1417" s="115"/>
      <c r="BF1417" s="122"/>
      <c r="BG1417" s="122"/>
      <c r="BH1417" s="122"/>
      <c r="BI1417" s="115"/>
      <c r="BJ1417" s="115"/>
      <c r="BK1417" s="115"/>
      <c r="BL1417" s="115"/>
      <c r="BM1417" s="115"/>
      <c r="BN1417" s="115"/>
      <c r="BO1417" s="115"/>
      <c r="BP1417" s="115"/>
      <c r="BQ1417" s="115"/>
      <c r="BR1417" s="115"/>
      <c r="BS1417" s="115"/>
      <c r="BT1417" s="115"/>
      <c r="BU1417" s="115"/>
      <c r="BV1417" s="115"/>
      <c r="BW1417" s="26"/>
      <c r="BX1417" s="13"/>
      <c r="CA1417" s="114"/>
    </row>
    <row r="1418" spans="3:79" x14ac:dyDescent="0.4">
      <c r="E1418" s="115"/>
      <c r="F1418" s="115"/>
      <c r="G1418" s="115"/>
      <c r="H1418" s="115"/>
      <c r="I1418" s="115"/>
      <c r="J1418" s="115"/>
      <c r="K1418" s="115"/>
      <c r="L1418" s="115"/>
      <c r="M1418" s="115"/>
      <c r="N1418" s="115"/>
      <c r="O1418" s="115"/>
      <c r="P1418" s="115"/>
      <c r="Q1418" s="115"/>
      <c r="R1418" s="115"/>
      <c r="S1418" s="115"/>
      <c r="T1418" s="115"/>
      <c r="U1418" s="115"/>
      <c r="V1418" s="115"/>
      <c r="W1418" s="115"/>
      <c r="X1418" s="115"/>
      <c r="Y1418" s="115"/>
      <c r="Z1418" s="115"/>
      <c r="AA1418" s="115"/>
      <c r="AB1418" s="115"/>
      <c r="AC1418" s="115"/>
      <c r="AD1418" s="115"/>
      <c r="AE1418" s="115"/>
      <c r="AF1418" s="115"/>
      <c r="AG1418" s="115"/>
      <c r="AH1418" s="115"/>
      <c r="AI1418" s="115"/>
      <c r="AJ1418" s="115"/>
      <c r="AK1418" s="115"/>
      <c r="AL1418" s="115"/>
      <c r="AM1418" s="115"/>
      <c r="AN1418" s="115"/>
      <c r="AO1418" s="115"/>
      <c r="AP1418" s="115"/>
      <c r="AQ1418" s="115"/>
      <c r="AR1418" s="115"/>
      <c r="AS1418" s="115"/>
      <c r="AT1418" s="115"/>
      <c r="AU1418" s="115"/>
      <c r="AV1418" s="115"/>
      <c r="AW1418" s="115"/>
      <c r="AX1418" s="115"/>
      <c r="AY1418" s="115"/>
      <c r="AZ1418" s="115"/>
      <c r="BA1418" s="115"/>
      <c r="BB1418" s="115"/>
      <c r="BC1418" s="115"/>
      <c r="BD1418" s="115"/>
      <c r="BE1418" s="115"/>
      <c r="BF1418" s="122"/>
      <c r="BG1418" s="122"/>
      <c r="BH1418" s="122"/>
      <c r="BI1418" s="115"/>
      <c r="BJ1418" s="115"/>
      <c r="BK1418" s="115"/>
      <c r="BL1418" s="115"/>
      <c r="BM1418" s="115"/>
      <c r="BN1418" s="115"/>
      <c r="BO1418" s="115"/>
      <c r="BP1418" s="115"/>
      <c r="BQ1418" s="115"/>
      <c r="BR1418" s="115"/>
      <c r="BS1418" s="115"/>
      <c r="BT1418" s="115"/>
      <c r="BU1418" s="115"/>
      <c r="BV1418" s="115"/>
      <c r="BW1418" s="17"/>
      <c r="BX1418" s="13"/>
      <c r="CA1418" s="114"/>
    </row>
    <row r="1419" spans="3:79" x14ac:dyDescent="0.4">
      <c r="E1419" s="115"/>
      <c r="F1419" s="115"/>
      <c r="G1419" s="115"/>
      <c r="H1419" s="115"/>
      <c r="I1419" s="115"/>
      <c r="J1419" s="115"/>
      <c r="K1419" s="115"/>
      <c r="L1419" s="115"/>
      <c r="M1419" s="115"/>
      <c r="N1419" s="115"/>
      <c r="O1419" s="115"/>
      <c r="P1419" s="115"/>
      <c r="Q1419" s="115"/>
      <c r="R1419" s="115"/>
      <c r="S1419" s="115"/>
      <c r="T1419" s="115"/>
      <c r="U1419" s="115"/>
      <c r="V1419" s="115"/>
      <c r="W1419" s="115"/>
      <c r="X1419" s="115"/>
      <c r="Y1419" s="115"/>
      <c r="Z1419" s="115"/>
      <c r="AA1419" s="115"/>
      <c r="AB1419" s="115"/>
      <c r="AC1419" s="115"/>
      <c r="AD1419" s="115"/>
      <c r="AE1419" s="115"/>
      <c r="AF1419" s="115"/>
      <c r="AG1419" s="115"/>
      <c r="AH1419" s="115"/>
      <c r="AI1419" s="115"/>
      <c r="AJ1419" s="115"/>
      <c r="AK1419" s="115"/>
      <c r="AL1419" s="115"/>
      <c r="AM1419" s="115"/>
      <c r="AN1419" s="115"/>
      <c r="AO1419" s="115"/>
      <c r="AP1419" s="115"/>
      <c r="AQ1419" s="115"/>
      <c r="AR1419" s="115"/>
      <c r="AS1419" s="115"/>
      <c r="AT1419" s="115"/>
      <c r="AU1419" s="115"/>
      <c r="AV1419" s="115"/>
      <c r="AW1419" s="115"/>
      <c r="AX1419" s="115"/>
      <c r="AY1419" s="115"/>
      <c r="AZ1419" s="115"/>
      <c r="BA1419" s="115"/>
      <c r="BB1419" s="115"/>
      <c r="BC1419" s="115"/>
      <c r="BD1419" s="115"/>
      <c r="BE1419" s="115"/>
      <c r="BF1419" s="122"/>
      <c r="BG1419" s="122"/>
      <c r="BH1419" s="122"/>
      <c r="BI1419" s="115"/>
      <c r="BJ1419" s="115"/>
      <c r="BK1419" s="115"/>
      <c r="BL1419" s="115"/>
      <c r="BM1419" s="115"/>
      <c r="BN1419" s="115"/>
      <c r="BO1419" s="115"/>
      <c r="BP1419" s="115"/>
      <c r="BQ1419" s="115"/>
      <c r="BR1419" s="115"/>
      <c r="BS1419" s="115"/>
      <c r="BT1419" s="115"/>
      <c r="BU1419" s="115"/>
      <c r="BV1419" s="115"/>
      <c r="BW1419" s="26"/>
      <c r="BX1419" s="13"/>
      <c r="CA1419" s="114"/>
    </row>
    <row r="1420" spans="3:79" x14ac:dyDescent="0.4">
      <c r="E1420" s="115"/>
      <c r="F1420" s="115"/>
      <c r="G1420" s="115"/>
      <c r="H1420" s="115"/>
      <c r="I1420" s="115"/>
      <c r="J1420" s="115"/>
      <c r="K1420" s="115"/>
      <c r="L1420" s="115"/>
      <c r="M1420" s="115"/>
      <c r="N1420" s="115"/>
      <c r="O1420" s="115"/>
      <c r="P1420" s="115"/>
      <c r="Q1420" s="115"/>
      <c r="R1420" s="115"/>
      <c r="S1420" s="115"/>
      <c r="T1420" s="115"/>
      <c r="U1420" s="115"/>
      <c r="V1420" s="115"/>
      <c r="W1420" s="115"/>
      <c r="X1420" s="115"/>
      <c r="Y1420" s="115"/>
      <c r="Z1420" s="115"/>
      <c r="AA1420" s="115"/>
      <c r="AB1420" s="115"/>
      <c r="AC1420" s="115"/>
      <c r="AD1420" s="115"/>
      <c r="AE1420" s="115"/>
      <c r="AF1420" s="115"/>
      <c r="AG1420" s="115"/>
      <c r="AH1420" s="115"/>
      <c r="AI1420" s="115"/>
      <c r="AJ1420" s="115"/>
      <c r="AK1420" s="115"/>
      <c r="AL1420" s="115"/>
      <c r="AM1420" s="115"/>
      <c r="AN1420" s="115"/>
      <c r="AO1420" s="115"/>
      <c r="AP1420" s="115"/>
      <c r="AQ1420" s="115"/>
      <c r="AR1420" s="115"/>
      <c r="AS1420" s="115"/>
      <c r="AT1420" s="115"/>
      <c r="AU1420" s="115"/>
      <c r="AV1420" s="115"/>
      <c r="AW1420" s="115"/>
      <c r="AX1420" s="115"/>
      <c r="AY1420" s="115"/>
      <c r="AZ1420" s="115"/>
      <c r="BA1420" s="115"/>
      <c r="BB1420" s="115"/>
      <c r="BC1420" s="115"/>
      <c r="BD1420" s="115"/>
      <c r="BE1420" s="115"/>
      <c r="BF1420" s="122"/>
      <c r="BG1420" s="122"/>
      <c r="BH1420" s="122"/>
      <c r="BI1420" s="115"/>
      <c r="BJ1420" s="115"/>
      <c r="BK1420" s="115"/>
      <c r="BL1420" s="115"/>
      <c r="BM1420" s="115"/>
      <c r="BN1420" s="115"/>
      <c r="BO1420" s="115"/>
      <c r="BP1420" s="115"/>
      <c r="BQ1420" s="115"/>
      <c r="BR1420" s="115"/>
      <c r="BS1420" s="115"/>
      <c r="BT1420" s="115"/>
      <c r="BU1420" s="115"/>
      <c r="BV1420" s="115"/>
      <c r="BW1420" s="26"/>
      <c r="BX1420" s="13"/>
      <c r="CA1420" s="114"/>
    </row>
    <row r="1421" spans="3:79" x14ac:dyDescent="0.4">
      <c r="D1421" s="115"/>
      <c r="E1421" s="115"/>
      <c r="F1421" s="115"/>
      <c r="G1421" s="115"/>
      <c r="H1421" s="115"/>
      <c r="I1421" s="115"/>
      <c r="J1421" s="115"/>
      <c r="K1421" s="115"/>
      <c r="L1421" s="115"/>
      <c r="M1421" s="115"/>
      <c r="N1421" s="115"/>
      <c r="O1421" s="115"/>
      <c r="P1421" s="115"/>
      <c r="Q1421" s="115"/>
      <c r="R1421" s="115"/>
      <c r="S1421" s="115"/>
      <c r="T1421" s="115"/>
      <c r="U1421" s="115"/>
      <c r="V1421" s="115"/>
      <c r="W1421" s="115"/>
      <c r="X1421" s="115"/>
      <c r="Y1421" s="115"/>
      <c r="Z1421" s="115"/>
      <c r="AA1421" s="115"/>
      <c r="AB1421" s="115"/>
      <c r="AC1421" s="115"/>
      <c r="AD1421" s="115"/>
      <c r="AE1421" s="115"/>
      <c r="AF1421" s="115"/>
      <c r="AG1421" s="115"/>
      <c r="AH1421" s="115"/>
      <c r="AI1421" s="115"/>
      <c r="AJ1421" s="115"/>
      <c r="AK1421" s="115"/>
      <c r="AL1421" s="115"/>
      <c r="AM1421" s="115"/>
      <c r="AN1421" s="115"/>
      <c r="AO1421" s="115"/>
      <c r="AP1421" s="115"/>
      <c r="AQ1421" s="115"/>
      <c r="AR1421" s="115"/>
      <c r="AS1421" s="115"/>
      <c r="AT1421" s="115"/>
      <c r="AU1421" s="115"/>
      <c r="AV1421" s="115"/>
      <c r="AW1421" s="115"/>
      <c r="AX1421" s="115"/>
      <c r="AY1421" s="115"/>
      <c r="AZ1421" s="115"/>
      <c r="BA1421" s="115"/>
      <c r="BB1421" s="115"/>
      <c r="BC1421" s="115"/>
      <c r="BD1421" s="115"/>
      <c r="BE1421" s="115"/>
      <c r="BF1421" s="122"/>
      <c r="BG1421" s="122"/>
      <c r="BH1421" s="122"/>
      <c r="BI1421" s="115"/>
      <c r="BJ1421" s="115"/>
      <c r="BK1421" s="115"/>
      <c r="BL1421" s="115"/>
      <c r="BM1421" s="115"/>
      <c r="BN1421" s="115"/>
      <c r="BO1421" s="115"/>
      <c r="BP1421" s="115"/>
      <c r="BQ1421" s="115"/>
      <c r="BR1421" s="115"/>
      <c r="BS1421" s="115"/>
      <c r="BT1421" s="115"/>
      <c r="BU1421" s="115"/>
      <c r="BV1421" s="115"/>
      <c r="BW1421" s="26"/>
      <c r="BX1421" s="13"/>
      <c r="CA1421" s="114"/>
    </row>
    <row r="1422" spans="3:79" x14ac:dyDescent="0.4">
      <c r="D1422" s="115"/>
      <c r="E1422" s="115"/>
      <c r="F1422" s="115"/>
      <c r="G1422" s="115"/>
      <c r="H1422" s="115"/>
      <c r="I1422" s="115"/>
      <c r="J1422" s="115"/>
      <c r="K1422" s="115"/>
      <c r="L1422" s="115"/>
      <c r="M1422" s="115"/>
      <c r="N1422" s="115"/>
      <c r="O1422" s="115"/>
      <c r="P1422" s="115"/>
      <c r="Q1422" s="115"/>
      <c r="R1422" s="115"/>
      <c r="S1422" s="115"/>
      <c r="T1422" s="115"/>
      <c r="U1422" s="115"/>
      <c r="V1422" s="115"/>
      <c r="W1422" s="115"/>
      <c r="X1422" s="115"/>
      <c r="Y1422" s="115"/>
      <c r="Z1422" s="115"/>
      <c r="AA1422" s="115"/>
      <c r="AB1422" s="115"/>
      <c r="AC1422" s="115"/>
      <c r="AD1422" s="115"/>
      <c r="AE1422" s="115"/>
      <c r="AF1422" s="115"/>
      <c r="AG1422" s="115"/>
      <c r="AH1422" s="115"/>
      <c r="AI1422" s="115"/>
      <c r="AJ1422" s="115"/>
      <c r="AK1422" s="115"/>
      <c r="AL1422" s="115"/>
      <c r="AM1422" s="115"/>
      <c r="AN1422" s="115"/>
      <c r="AO1422" s="115"/>
      <c r="AP1422" s="115"/>
      <c r="AQ1422" s="115"/>
      <c r="AR1422" s="115"/>
      <c r="AS1422" s="115"/>
      <c r="AT1422" s="115"/>
      <c r="AU1422" s="115"/>
      <c r="AV1422" s="115"/>
      <c r="AW1422" s="115"/>
      <c r="AX1422" s="115"/>
      <c r="AY1422" s="115"/>
      <c r="AZ1422" s="115"/>
      <c r="BA1422" s="115"/>
      <c r="BB1422" s="115"/>
      <c r="BC1422" s="115"/>
      <c r="BD1422" s="115"/>
      <c r="BE1422" s="115"/>
      <c r="BF1422" s="122"/>
      <c r="BG1422" s="122"/>
      <c r="BH1422" s="122"/>
      <c r="BI1422" s="115"/>
      <c r="BJ1422" s="115"/>
      <c r="BK1422" s="115"/>
      <c r="BL1422" s="115"/>
      <c r="BM1422" s="115"/>
      <c r="BN1422" s="115"/>
      <c r="BO1422" s="115"/>
      <c r="BP1422" s="115"/>
      <c r="BQ1422" s="115"/>
      <c r="BR1422" s="115"/>
      <c r="BS1422" s="115"/>
      <c r="BT1422" s="115"/>
      <c r="BU1422" s="115"/>
      <c r="BV1422" s="115"/>
      <c r="BW1422" s="26"/>
      <c r="BX1422" s="15"/>
      <c r="CA1422" s="114"/>
    </row>
    <row r="1423" spans="3:79" x14ac:dyDescent="0.4">
      <c r="D1423" s="115"/>
      <c r="E1423" s="115"/>
      <c r="F1423" s="115"/>
      <c r="G1423" s="115"/>
      <c r="H1423" s="115"/>
      <c r="I1423" s="115"/>
      <c r="J1423" s="115"/>
      <c r="K1423" s="115"/>
      <c r="L1423" s="115"/>
      <c r="M1423" s="115"/>
      <c r="N1423" s="115"/>
      <c r="O1423" s="115"/>
      <c r="P1423" s="115"/>
      <c r="Q1423" s="115"/>
      <c r="R1423" s="115"/>
      <c r="S1423" s="115"/>
      <c r="T1423" s="115"/>
      <c r="U1423" s="115"/>
      <c r="V1423" s="115"/>
      <c r="W1423" s="115"/>
      <c r="X1423" s="115"/>
      <c r="Y1423" s="115"/>
      <c r="Z1423" s="115"/>
      <c r="AA1423" s="115"/>
      <c r="AB1423" s="115"/>
      <c r="AC1423" s="115"/>
      <c r="AD1423" s="115"/>
      <c r="AE1423" s="115"/>
      <c r="AF1423" s="115"/>
      <c r="AG1423" s="115"/>
      <c r="AH1423" s="115"/>
      <c r="AI1423" s="115"/>
      <c r="AJ1423" s="115"/>
      <c r="AK1423" s="115"/>
      <c r="AL1423" s="115"/>
      <c r="AM1423" s="115"/>
      <c r="AN1423" s="115"/>
      <c r="AO1423" s="115"/>
      <c r="AP1423" s="115"/>
      <c r="AQ1423" s="115"/>
      <c r="AR1423" s="115"/>
      <c r="AS1423" s="115"/>
      <c r="AT1423" s="115"/>
      <c r="AU1423" s="115"/>
      <c r="AV1423" s="115"/>
      <c r="AW1423" s="115"/>
      <c r="AX1423" s="115"/>
      <c r="AY1423" s="115"/>
      <c r="AZ1423" s="115"/>
      <c r="BA1423" s="115"/>
      <c r="BB1423" s="115"/>
      <c r="BC1423" s="115"/>
      <c r="BD1423" s="115"/>
      <c r="BE1423" s="115"/>
      <c r="BF1423" s="122"/>
      <c r="BG1423" s="122"/>
      <c r="BH1423" s="122"/>
      <c r="BI1423" s="115"/>
      <c r="BJ1423" s="115"/>
      <c r="BK1423" s="115"/>
      <c r="BL1423" s="115"/>
      <c r="BM1423" s="115"/>
      <c r="BN1423" s="115"/>
      <c r="BO1423" s="115"/>
      <c r="BP1423" s="115"/>
      <c r="BQ1423" s="115"/>
      <c r="BR1423" s="115"/>
      <c r="BS1423" s="115"/>
      <c r="BT1423" s="115"/>
      <c r="BU1423" s="115"/>
      <c r="BV1423" s="115"/>
      <c r="BW1423" s="26"/>
      <c r="BX1423" s="15"/>
      <c r="CA1423" s="114"/>
    </row>
    <row r="1424" spans="3:79" x14ac:dyDescent="0.4">
      <c r="C1424" s="115"/>
      <c r="D1424" s="115"/>
      <c r="E1424" s="115"/>
      <c r="F1424" s="115"/>
      <c r="G1424" s="115"/>
      <c r="H1424" s="115"/>
      <c r="I1424" s="115"/>
      <c r="J1424" s="115"/>
      <c r="K1424" s="115"/>
      <c r="L1424" s="115"/>
      <c r="M1424" s="115"/>
      <c r="N1424" s="115"/>
      <c r="O1424" s="115"/>
      <c r="P1424" s="115"/>
      <c r="Q1424" s="115"/>
      <c r="R1424" s="115"/>
      <c r="S1424" s="115"/>
      <c r="T1424" s="115"/>
      <c r="U1424" s="115"/>
      <c r="V1424" s="115"/>
      <c r="W1424" s="115"/>
      <c r="X1424" s="115"/>
      <c r="Y1424" s="115"/>
      <c r="Z1424" s="115"/>
      <c r="AA1424" s="115"/>
      <c r="AB1424" s="115"/>
      <c r="AC1424" s="115"/>
      <c r="AD1424" s="115"/>
      <c r="AE1424" s="115"/>
      <c r="AF1424" s="115"/>
      <c r="AG1424" s="115"/>
      <c r="AH1424" s="115"/>
      <c r="AI1424" s="115"/>
      <c r="AJ1424" s="115"/>
      <c r="AK1424" s="115"/>
      <c r="AL1424" s="115"/>
      <c r="AM1424" s="115"/>
      <c r="AN1424" s="115"/>
      <c r="AO1424" s="115"/>
      <c r="AP1424" s="115"/>
      <c r="AQ1424" s="115"/>
      <c r="AR1424" s="115"/>
      <c r="AS1424" s="115"/>
      <c r="AT1424" s="115"/>
      <c r="AU1424" s="115"/>
      <c r="AV1424" s="115"/>
      <c r="AW1424" s="115"/>
      <c r="AX1424" s="115"/>
      <c r="AY1424" s="115"/>
      <c r="AZ1424" s="115"/>
      <c r="BA1424" s="115"/>
      <c r="BB1424" s="115"/>
      <c r="BC1424" s="115"/>
      <c r="BD1424" s="115"/>
      <c r="BE1424" s="115"/>
      <c r="BF1424" s="122"/>
      <c r="BG1424" s="122"/>
      <c r="BH1424" s="122"/>
      <c r="BI1424" s="115"/>
      <c r="BJ1424" s="115"/>
      <c r="BK1424" s="115"/>
      <c r="BL1424" s="115"/>
      <c r="BM1424" s="115"/>
      <c r="BN1424" s="115"/>
      <c r="BO1424" s="115"/>
      <c r="BP1424" s="115"/>
      <c r="BQ1424" s="115"/>
      <c r="BR1424" s="115"/>
      <c r="BS1424" s="115"/>
      <c r="BT1424" s="115"/>
      <c r="BU1424" s="115"/>
      <c r="BV1424" s="115"/>
      <c r="BW1424" s="26"/>
      <c r="BX1424" s="15"/>
      <c r="CA1424" s="114"/>
    </row>
    <row r="1425" spans="3:79" x14ac:dyDescent="0.4">
      <c r="C1425" s="115"/>
      <c r="D1425" s="115"/>
      <c r="E1425" s="115"/>
      <c r="F1425" s="115"/>
      <c r="G1425" s="115"/>
      <c r="H1425" s="115"/>
      <c r="I1425" s="115"/>
      <c r="J1425" s="115"/>
      <c r="K1425" s="115"/>
      <c r="L1425" s="115"/>
      <c r="M1425" s="115"/>
      <c r="N1425" s="115"/>
      <c r="O1425" s="115"/>
      <c r="P1425" s="115"/>
      <c r="Q1425" s="115"/>
      <c r="R1425" s="115"/>
      <c r="S1425" s="115"/>
      <c r="T1425" s="115"/>
      <c r="U1425" s="115"/>
      <c r="V1425" s="115"/>
      <c r="W1425" s="115"/>
      <c r="X1425" s="115"/>
      <c r="Y1425" s="115"/>
      <c r="Z1425" s="115"/>
      <c r="AA1425" s="115"/>
      <c r="AB1425" s="115"/>
      <c r="AC1425" s="115"/>
      <c r="AD1425" s="115"/>
      <c r="AE1425" s="115"/>
      <c r="AF1425" s="115"/>
      <c r="AG1425" s="115"/>
      <c r="AH1425" s="115"/>
      <c r="AI1425" s="115"/>
      <c r="AJ1425" s="115"/>
      <c r="AK1425" s="115"/>
      <c r="AL1425" s="115"/>
      <c r="AM1425" s="115"/>
      <c r="AN1425" s="115"/>
      <c r="AO1425" s="115"/>
      <c r="AP1425" s="115"/>
      <c r="AQ1425" s="115"/>
      <c r="AR1425" s="115"/>
      <c r="AS1425" s="115"/>
      <c r="AT1425" s="115"/>
      <c r="AU1425" s="115"/>
      <c r="AV1425" s="115"/>
      <c r="AW1425" s="115"/>
      <c r="AX1425" s="115"/>
      <c r="AY1425" s="115"/>
      <c r="AZ1425" s="115"/>
      <c r="BA1425" s="115"/>
      <c r="BB1425" s="115"/>
      <c r="BC1425" s="115"/>
      <c r="BD1425" s="115"/>
      <c r="BE1425" s="115"/>
      <c r="BF1425" s="122"/>
      <c r="BG1425" s="122"/>
      <c r="BH1425" s="122"/>
      <c r="BI1425" s="115"/>
      <c r="BJ1425" s="115"/>
      <c r="BK1425" s="115"/>
      <c r="BL1425" s="115"/>
      <c r="BM1425" s="115"/>
      <c r="BN1425" s="115"/>
      <c r="BO1425" s="115"/>
      <c r="BP1425" s="115"/>
      <c r="BQ1425" s="115"/>
      <c r="BR1425" s="115"/>
      <c r="BS1425" s="115"/>
      <c r="BT1425" s="115"/>
      <c r="BU1425" s="115"/>
      <c r="BV1425" s="115"/>
      <c r="BW1425" s="26"/>
      <c r="BX1425" s="13"/>
      <c r="CA1425" s="114"/>
    </row>
    <row r="1426" spans="3:79" x14ac:dyDescent="0.4">
      <c r="C1426" s="115"/>
      <c r="D1426" s="115"/>
      <c r="E1426" s="115"/>
      <c r="F1426" s="115"/>
      <c r="G1426" s="115"/>
      <c r="H1426" s="115"/>
      <c r="I1426" s="115"/>
      <c r="J1426" s="115"/>
      <c r="K1426" s="115"/>
      <c r="L1426" s="115"/>
      <c r="M1426" s="115"/>
      <c r="N1426" s="115"/>
      <c r="O1426" s="115"/>
      <c r="P1426" s="115"/>
      <c r="Q1426" s="115"/>
      <c r="R1426" s="115"/>
      <c r="S1426" s="115"/>
      <c r="T1426" s="115"/>
      <c r="U1426" s="115"/>
      <c r="V1426" s="115"/>
      <c r="W1426" s="115"/>
      <c r="X1426" s="115"/>
      <c r="Y1426" s="115"/>
      <c r="Z1426" s="115"/>
      <c r="AA1426" s="115"/>
      <c r="AB1426" s="115"/>
      <c r="AC1426" s="115"/>
      <c r="AD1426" s="115"/>
      <c r="AE1426" s="115"/>
      <c r="AF1426" s="115"/>
      <c r="AG1426" s="115"/>
      <c r="AH1426" s="115"/>
      <c r="AI1426" s="115"/>
      <c r="AJ1426" s="115"/>
      <c r="AK1426" s="115"/>
      <c r="AL1426" s="115"/>
      <c r="AM1426" s="115"/>
      <c r="AN1426" s="115"/>
      <c r="AO1426" s="115"/>
      <c r="AP1426" s="115"/>
      <c r="AQ1426" s="115"/>
      <c r="AR1426" s="115"/>
      <c r="AS1426" s="115"/>
      <c r="AT1426" s="115"/>
      <c r="AU1426" s="115"/>
      <c r="AV1426" s="115"/>
      <c r="AW1426" s="115"/>
      <c r="AX1426" s="115"/>
      <c r="AY1426" s="115"/>
      <c r="AZ1426" s="115"/>
      <c r="BA1426" s="115"/>
      <c r="BB1426" s="115"/>
      <c r="BC1426" s="115"/>
      <c r="BD1426" s="115"/>
      <c r="BE1426" s="115"/>
      <c r="BF1426" s="122"/>
      <c r="BG1426" s="122"/>
      <c r="BH1426" s="122"/>
      <c r="BI1426" s="115"/>
      <c r="BJ1426" s="115"/>
      <c r="BK1426" s="115"/>
      <c r="BL1426" s="115"/>
      <c r="BM1426" s="115"/>
      <c r="BN1426" s="115"/>
      <c r="BO1426" s="115"/>
      <c r="BP1426" s="115"/>
      <c r="BQ1426" s="115"/>
      <c r="BR1426" s="115"/>
      <c r="BS1426" s="115"/>
      <c r="BT1426" s="115"/>
      <c r="BU1426" s="115"/>
      <c r="BV1426" s="115"/>
      <c r="BW1426" s="26"/>
      <c r="BX1426" s="13"/>
      <c r="CA1426" s="114"/>
    </row>
    <row r="1427" spans="3:79" x14ac:dyDescent="0.4">
      <c r="C1427" s="115"/>
      <c r="D1427" s="115"/>
      <c r="E1427" s="115"/>
      <c r="F1427" s="115"/>
      <c r="G1427" s="115"/>
      <c r="H1427" s="115"/>
      <c r="I1427" s="115"/>
      <c r="J1427" s="115"/>
      <c r="K1427" s="115"/>
      <c r="L1427" s="115"/>
      <c r="M1427" s="115"/>
      <c r="N1427" s="115"/>
      <c r="O1427" s="115"/>
      <c r="P1427" s="115"/>
      <c r="Q1427" s="115"/>
      <c r="R1427" s="115"/>
      <c r="S1427" s="115"/>
      <c r="T1427" s="115"/>
      <c r="U1427" s="115"/>
      <c r="V1427" s="115"/>
      <c r="W1427" s="115"/>
      <c r="X1427" s="115"/>
      <c r="Y1427" s="115"/>
      <c r="Z1427" s="115"/>
      <c r="AA1427" s="115"/>
      <c r="AB1427" s="115"/>
      <c r="AC1427" s="115"/>
      <c r="AD1427" s="115"/>
      <c r="AE1427" s="115"/>
      <c r="AF1427" s="115"/>
      <c r="AG1427" s="115"/>
      <c r="AH1427" s="115"/>
      <c r="AI1427" s="115"/>
      <c r="AJ1427" s="115"/>
      <c r="AK1427" s="115"/>
      <c r="AL1427" s="115"/>
      <c r="AM1427" s="115"/>
      <c r="AN1427" s="115"/>
      <c r="AO1427" s="115"/>
      <c r="AP1427" s="115"/>
      <c r="AQ1427" s="115"/>
      <c r="AR1427" s="115"/>
      <c r="AS1427" s="115"/>
      <c r="AT1427" s="115"/>
      <c r="AU1427" s="115"/>
      <c r="AV1427" s="115"/>
      <c r="AW1427" s="115"/>
      <c r="AX1427" s="115"/>
      <c r="AY1427" s="115"/>
      <c r="AZ1427" s="115"/>
      <c r="BA1427" s="115"/>
      <c r="BB1427" s="115"/>
      <c r="BC1427" s="115"/>
      <c r="BD1427" s="115"/>
      <c r="BE1427" s="115"/>
      <c r="BF1427" s="122"/>
      <c r="BG1427" s="122"/>
      <c r="BH1427" s="122"/>
      <c r="BI1427" s="115"/>
      <c r="BJ1427" s="115"/>
      <c r="BK1427" s="115"/>
      <c r="BL1427" s="115"/>
      <c r="BM1427" s="115"/>
      <c r="BN1427" s="115"/>
      <c r="BO1427" s="115"/>
      <c r="BP1427" s="115"/>
      <c r="BQ1427" s="115"/>
      <c r="BR1427" s="115"/>
      <c r="BS1427" s="115"/>
      <c r="BT1427" s="115"/>
      <c r="BU1427" s="115"/>
      <c r="BV1427" s="115"/>
      <c r="BW1427" s="26"/>
      <c r="BX1427" s="13"/>
      <c r="CA1427" s="114"/>
    </row>
    <row r="1428" spans="3:79" x14ac:dyDescent="0.4">
      <c r="C1428" s="115"/>
      <c r="D1428" s="115"/>
      <c r="E1428" s="115"/>
      <c r="F1428" s="115"/>
      <c r="G1428" s="115"/>
      <c r="H1428" s="115"/>
      <c r="I1428" s="115"/>
      <c r="J1428" s="115"/>
      <c r="K1428" s="115"/>
      <c r="L1428" s="115"/>
      <c r="M1428" s="115"/>
      <c r="N1428" s="115"/>
      <c r="O1428" s="115"/>
      <c r="P1428" s="115"/>
      <c r="Q1428" s="115"/>
      <c r="R1428" s="115"/>
      <c r="S1428" s="115"/>
      <c r="T1428" s="115"/>
      <c r="U1428" s="115"/>
      <c r="V1428" s="115"/>
      <c r="W1428" s="115"/>
      <c r="X1428" s="115"/>
      <c r="Y1428" s="115"/>
      <c r="Z1428" s="115"/>
      <c r="AA1428" s="115"/>
      <c r="AB1428" s="115"/>
      <c r="AC1428" s="115"/>
      <c r="AD1428" s="115"/>
      <c r="AE1428" s="115"/>
      <c r="AF1428" s="115"/>
      <c r="AG1428" s="115"/>
      <c r="AH1428" s="115"/>
      <c r="AI1428" s="115"/>
      <c r="AJ1428" s="115"/>
      <c r="AK1428" s="115"/>
      <c r="AL1428" s="115"/>
      <c r="AM1428" s="115"/>
      <c r="AN1428" s="115"/>
      <c r="AO1428" s="115"/>
      <c r="AP1428" s="115"/>
      <c r="AQ1428" s="115"/>
      <c r="AR1428" s="115"/>
      <c r="AS1428" s="115"/>
      <c r="AT1428" s="115"/>
      <c r="AU1428" s="115"/>
      <c r="AV1428" s="115"/>
      <c r="AW1428" s="115"/>
      <c r="AX1428" s="115"/>
      <c r="AY1428" s="115"/>
      <c r="AZ1428" s="115"/>
      <c r="BA1428" s="115"/>
      <c r="BB1428" s="115"/>
      <c r="BC1428" s="115"/>
      <c r="BD1428" s="115"/>
      <c r="BE1428" s="115"/>
      <c r="BF1428" s="122"/>
      <c r="BG1428" s="122"/>
      <c r="BH1428" s="122"/>
      <c r="BI1428" s="115"/>
      <c r="BJ1428" s="115"/>
      <c r="BK1428" s="115"/>
      <c r="BL1428" s="115"/>
      <c r="BM1428" s="115"/>
      <c r="BN1428" s="115"/>
      <c r="BO1428" s="115"/>
      <c r="BP1428" s="115"/>
      <c r="BQ1428" s="115"/>
      <c r="BR1428" s="115"/>
      <c r="BS1428" s="115"/>
      <c r="BT1428" s="115"/>
      <c r="BU1428" s="115"/>
      <c r="BV1428" s="115"/>
      <c r="BW1428" s="17"/>
      <c r="BX1428" s="13"/>
      <c r="CA1428" s="114"/>
    </row>
    <row r="1429" spans="3:79" x14ac:dyDescent="0.4">
      <c r="C1429" s="115"/>
      <c r="D1429" s="115"/>
      <c r="E1429" s="115"/>
      <c r="F1429" s="115"/>
      <c r="G1429" s="115"/>
      <c r="H1429" s="115"/>
      <c r="I1429" s="115"/>
      <c r="J1429" s="115"/>
      <c r="K1429" s="115"/>
      <c r="L1429" s="115"/>
      <c r="M1429" s="115"/>
      <c r="N1429" s="115"/>
      <c r="O1429" s="115"/>
      <c r="P1429" s="115"/>
      <c r="Q1429" s="115"/>
      <c r="R1429" s="115"/>
      <c r="S1429" s="115"/>
      <c r="T1429" s="115"/>
      <c r="U1429" s="115"/>
      <c r="V1429" s="115"/>
      <c r="W1429" s="115"/>
      <c r="X1429" s="115"/>
      <c r="Y1429" s="115"/>
      <c r="Z1429" s="115"/>
      <c r="AA1429" s="115"/>
      <c r="AB1429" s="115"/>
      <c r="AC1429" s="115"/>
      <c r="AD1429" s="115"/>
      <c r="AE1429" s="115"/>
      <c r="AF1429" s="115"/>
      <c r="AG1429" s="115"/>
      <c r="AH1429" s="115"/>
      <c r="AI1429" s="115"/>
      <c r="AJ1429" s="115"/>
      <c r="AK1429" s="115"/>
      <c r="AL1429" s="115"/>
      <c r="AM1429" s="115"/>
      <c r="AN1429" s="115"/>
      <c r="AO1429" s="115"/>
      <c r="AP1429" s="115"/>
      <c r="AQ1429" s="115"/>
      <c r="AR1429" s="115"/>
      <c r="AS1429" s="115"/>
      <c r="AT1429" s="115"/>
      <c r="AU1429" s="115"/>
      <c r="AV1429" s="115"/>
      <c r="AW1429" s="115"/>
      <c r="AX1429" s="115"/>
      <c r="AY1429" s="115"/>
      <c r="AZ1429" s="115"/>
      <c r="BA1429" s="115"/>
      <c r="BB1429" s="115"/>
      <c r="BC1429" s="115"/>
      <c r="BD1429" s="115"/>
      <c r="BE1429" s="115"/>
      <c r="BF1429" s="122"/>
      <c r="BG1429" s="122"/>
      <c r="BH1429" s="122"/>
      <c r="BI1429" s="115"/>
      <c r="BJ1429" s="115"/>
      <c r="BK1429" s="115"/>
      <c r="BL1429" s="115"/>
      <c r="BM1429" s="115"/>
      <c r="BN1429" s="115"/>
      <c r="BO1429" s="115"/>
      <c r="BP1429" s="115"/>
      <c r="BQ1429" s="115"/>
      <c r="BR1429" s="115"/>
      <c r="BS1429" s="115"/>
      <c r="BT1429" s="115"/>
      <c r="BU1429" s="115"/>
      <c r="BV1429" s="115"/>
      <c r="BW1429" s="26"/>
      <c r="BX1429" s="13"/>
      <c r="CA1429" s="114"/>
    </row>
    <row r="1430" spans="3:79" x14ac:dyDescent="0.4">
      <c r="C1430" s="115"/>
      <c r="D1430" s="115"/>
      <c r="E1430" s="115"/>
      <c r="F1430" s="115"/>
      <c r="G1430" s="115"/>
      <c r="H1430" s="115"/>
      <c r="I1430" s="115"/>
      <c r="J1430" s="115"/>
      <c r="K1430" s="115"/>
      <c r="L1430" s="115"/>
      <c r="M1430" s="115"/>
      <c r="N1430" s="115"/>
      <c r="O1430" s="115"/>
      <c r="P1430" s="115"/>
      <c r="Q1430" s="115"/>
      <c r="R1430" s="115"/>
      <c r="S1430" s="115"/>
      <c r="T1430" s="115"/>
      <c r="U1430" s="115"/>
      <c r="V1430" s="115"/>
      <c r="W1430" s="115"/>
      <c r="X1430" s="115"/>
      <c r="Y1430" s="115"/>
      <c r="Z1430" s="115"/>
      <c r="AA1430" s="115"/>
      <c r="AB1430" s="115"/>
      <c r="AC1430" s="115"/>
      <c r="AD1430" s="115"/>
      <c r="AE1430" s="115"/>
      <c r="AF1430" s="115"/>
      <c r="AG1430" s="115"/>
      <c r="AH1430" s="115"/>
      <c r="AI1430" s="115"/>
      <c r="AJ1430" s="115"/>
      <c r="AK1430" s="115"/>
      <c r="AL1430" s="115"/>
      <c r="AM1430" s="115"/>
      <c r="AN1430" s="115"/>
      <c r="AO1430" s="115"/>
      <c r="AP1430" s="115"/>
      <c r="AQ1430" s="115"/>
      <c r="AR1430" s="115"/>
      <c r="AS1430" s="115"/>
      <c r="AT1430" s="115"/>
      <c r="AU1430" s="115"/>
      <c r="AV1430" s="115"/>
      <c r="AW1430" s="115"/>
      <c r="AX1430" s="115"/>
      <c r="AY1430" s="115"/>
      <c r="AZ1430" s="115"/>
      <c r="BA1430" s="115"/>
      <c r="BB1430" s="115"/>
      <c r="BC1430" s="115"/>
      <c r="BD1430" s="115"/>
      <c r="BE1430" s="115"/>
      <c r="BF1430" s="122"/>
      <c r="BG1430" s="122"/>
      <c r="BH1430" s="122"/>
      <c r="BI1430" s="115"/>
      <c r="BJ1430" s="115"/>
      <c r="BK1430" s="115"/>
      <c r="BL1430" s="115"/>
      <c r="BM1430" s="115"/>
      <c r="BN1430" s="115"/>
      <c r="BO1430" s="115"/>
      <c r="BP1430" s="115"/>
      <c r="BQ1430" s="115"/>
      <c r="BR1430" s="115"/>
      <c r="BS1430" s="115"/>
      <c r="BT1430" s="115"/>
      <c r="BU1430" s="115"/>
      <c r="BV1430" s="115"/>
      <c r="BW1430" s="26"/>
      <c r="BX1430" s="25"/>
      <c r="CA1430" s="114"/>
    </row>
    <row r="1431" spans="3:79" x14ac:dyDescent="0.4">
      <c r="C1431" s="115"/>
      <c r="D1431" s="115"/>
      <c r="E1431" s="115"/>
      <c r="F1431" s="115"/>
      <c r="G1431" s="115"/>
      <c r="H1431" s="115"/>
      <c r="I1431" s="115"/>
      <c r="J1431" s="115"/>
      <c r="K1431" s="115"/>
      <c r="L1431" s="115"/>
      <c r="M1431" s="115"/>
      <c r="N1431" s="115"/>
      <c r="O1431" s="115"/>
      <c r="P1431" s="115"/>
      <c r="Q1431" s="115"/>
      <c r="R1431" s="115"/>
      <c r="S1431" s="115"/>
      <c r="T1431" s="115"/>
      <c r="U1431" s="115"/>
      <c r="V1431" s="115"/>
      <c r="W1431" s="115"/>
      <c r="X1431" s="115"/>
      <c r="Y1431" s="115"/>
      <c r="Z1431" s="115"/>
      <c r="AA1431" s="115"/>
      <c r="AB1431" s="115"/>
      <c r="AC1431" s="115"/>
      <c r="AD1431" s="115"/>
      <c r="AE1431" s="115"/>
      <c r="AF1431" s="115"/>
      <c r="AG1431" s="115"/>
      <c r="AH1431" s="115"/>
      <c r="AI1431" s="115"/>
      <c r="AJ1431" s="115"/>
      <c r="AK1431" s="115"/>
      <c r="AL1431" s="115"/>
      <c r="AM1431" s="115"/>
      <c r="AN1431" s="115"/>
      <c r="AO1431" s="115"/>
      <c r="AP1431" s="115"/>
      <c r="AQ1431" s="115"/>
      <c r="AR1431" s="115"/>
      <c r="AS1431" s="115"/>
      <c r="AT1431" s="115"/>
      <c r="AU1431" s="115"/>
      <c r="AV1431" s="115"/>
      <c r="AW1431" s="115"/>
      <c r="AX1431" s="115"/>
      <c r="AY1431" s="115"/>
      <c r="AZ1431" s="115"/>
      <c r="BA1431" s="115"/>
      <c r="BB1431" s="115"/>
      <c r="BC1431" s="115"/>
      <c r="BD1431" s="115"/>
      <c r="BE1431" s="115"/>
      <c r="BF1431" s="122"/>
      <c r="BG1431" s="122"/>
      <c r="BH1431" s="122"/>
      <c r="BI1431" s="115"/>
      <c r="BJ1431" s="115"/>
      <c r="BK1431" s="115"/>
      <c r="BL1431" s="115"/>
      <c r="BM1431" s="115"/>
      <c r="BN1431" s="115"/>
      <c r="BO1431" s="115"/>
      <c r="BP1431" s="115"/>
      <c r="BQ1431" s="115"/>
      <c r="BR1431" s="115"/>
      <c r="BS1431" s="115"/>
      <c r="BT1431" s="115"/>
      <c r="BU1431" s="115"/>
      <c r="BV1431" s="115"/>
      <c r="BW1431" s="26"/>
      <c r="BX1431" s="13"/>
      <c r="CA1431" s="114"/>
    </row>
    <row r="1432" spans="3:79" x14ac:dyDescent="0.4">
      <c r="C1432" s="115"/>
      <c r="D1432" s="115"/>
      <c r="E1432" s="115"/>
      <c r="F1432" s="115"/>
      <c r="G1432" s="115"/>
      <c r="H1432" s="115"/>
      <c r="I1432" s="115"/>
      <c r="J1432" s="115"/>
      <c r="K1432" s="115"/>
      <c r="L1432" s="115"/>
      <c r="M1432" s="115"/>
      <c r="N1432" s="115"/>
      <c r="O1432" s="115"/>
      <c r="P1432" s="115"/>
      <c r="Q1432" s="115"/>
      <c r="R1432" s="115"/>
      <c r="S1432" s="115"/>
      <c r="T1432" s="115"/>
      <c r="U1432" s="115"/>
      <c r="V1432" s="115"/>
      <c r="W1432" s="115"/>
      <c r="X1432" s="115"/>
      <c r="Y1432" s="115"/>
      <c r="Z1432" s="115"/>
      <c r="AA1432" s="115"/>
      <c r="AB1432" s="115"/>
      <c r="AC1432" s="115"/>
      <c r="AD1432" s="115"/>
      <c r="AE1432" s="115"/>
      <c r="AF1432" s="115"/>
      <c r="AG1432" s="115"/>
      <c r="AH1432" s="115"/>
      <c r="AI1432" s="115"/>
      <c r="AJ1432" s="115"/>
      <c r="AK1432" s="115"/>
      <c r="AL1432" s="115"/>
      <c r="AM1432" s="115"/>
      <c r="AN1432" s="115"/>
      <c r="AO1432" s="115"/>
      <c r="AP1432" s="115"/>
      <c r="AQ1432" s="115"/>
      <c r="AR1432" s="115"/>
      <c r="AS1432" s="115"/>
      <c r="AT1432" s="115"/>
      <c r="AU1432" s="115"/>
      <c r="AV1432" s="115"/>
      <c r="AW1432" s="115"/>
      <c r="AX1432" s="115"/>
      <c r="AY1432" s="115"/>
      <c r="AZ1432" s="115"/>
      <c r="BA1432" s="115"/>
      <c r="BB1432" s="115"/>
      <c r="BC1432" s="115"/>
      <c r="BD1432" s="115"/>
      <c r="BE1432" s="115"/>
      <c r="BF1432" s="122"/>
      <c r="BG1432" s="122"/>
      <c r="BH1432" s="122"/>
      <c r="BI1432" s="115"/>
      <c r="BJ1432" s="115"/>
      <c r="BK1432" s="115"/>
      <c r="BL1432" s="115"/>
      <c r="BM1432" s="115"/>
      <c r="BN1432" s="115"/>
      <c r="BO1432" s="115"/>
      <c r="BP1432" s="115"/>
      <c r="BQ1432" s="115"/>
      <c r="BR1432" s="115"/>
      <c r="BS1432" s="115"/>
      <c r="BT1432" s="115"/>
      <c r="BU1432" s="115"/>
      <c r="BV1432" s="115"/>
      <c r="BW1432" s="26"/>
      <c r="BX1432" s="13"/>
      <c r="CA1432" s="114"/>
    </row>
    <row r="1433" spans="3:79" x14ac:dyDescent="0.4">
      <c r="C1433" s="115"/>
      <c r="D1433" s="115"/>
      <c r="E1433" s="115"/>
      <c r="F1433" s="115"/>
      <c r="G1433" s="115"/>
      <c r="H1433" s="115"/>
      <c r="I1433" s="115"/>
      <c r="J1433" s="115"/>
      <c r="K1433" s="115"/>
      <c r="L1433" s="115"/>
      <c r="M1433" s="115"/>
      <c r="N1433" s="115"/>
      <c r="O1433" s="115"/>
      <c r="P1433" s="115"/>
      <c r="Q1433" s="115"/>
      <c r="R1433" s="115"/>
      <c r="S1433" s="115"/>
      <c r="T1433" s="115"/>
      <c r="U1433" s="115"/>
      <c r="V1433" s="115"/>
      <c r="W1433" s="115"/>
      <c r="X1433" s="115"/>
      <c r="Y1433" s="115"/>
      <c r="Z1433" s="115"/>
      <c r="AA1433" s="115"/>
      <c r="AB1433" s="115"/>
      <c r="AC1433" s="115"/>
      <c r="AD1433" s="115"/>
      <c r="AE1433" s="115"/>
      <c r="AF1433" s="115"/>
      <c r="AG1433" s="115"/>
      <c r="AH1433" s="115"/>
      <c r="AI1433" s="115"/>
      <c r="AJ1433" s="115"/>
      <c r="AK1433" s="115"/>
      <c r="AL1433" s="115"/>
      <c r="AM1433" s="115"/>
      <c r="AN1433" s="115"/>
      <c r="AO1433" s="115"/>
      <c r="AP1433" s="115"/>
      <c r="AQ1433" s="115"/>
      <c r="AR1433" s="115"/>
      <c r="AS1433" s="115"/>
      <c r="AT1433" s="115"/>
      <c r="AU1433" s="115"/>
      <c r="AV1433" s="115"/>
      <c r="AW1433" s="115"/>
      <c r="AX1433" s="115"/>
      <c r="AY1433" s="115"/>
      <c r="AZ1433" s="115"/>
      <c r="BA1433" s="115"/>
      <c r="BB1433" s="115"/>
      <c r="BC1433" s="115"/>
      <c r="BD1433" s="115"/>
      <c r="BE1433" s="115"/>
      <c r="BF1433" s="122"/>
      <c r="BG1433" s="122"/>
      <c r="BH1433" s="122"/>
      <c r="BI1433" s="115"/>
      <c r="BJ1433" s="115"/>
      <c r="BK1433" s="115"/>
      <c r="BL1433" s="115"/>
      <c r="BM1433" s="115"/>
      <c r="BN1433" s="115"/>
      <c r="BO1433" s="115"/>
      <c r="BP1433" s="115"/>
      <c r="BQ1433" s="115"/>
      <c r="BR1433" s="115"/>
      <c r="BS1433" s="115"/>
      <c r="BT1433" s="115"/>
      <c r="BU1433" s="115"/>
      <c r="BV1433" s="115"/>
      <c r="BW1433" s="26"/>
      <c r="BX1433" s="13"/>
      <c r="CA1433" s="114"/>
    </row>
    <row r="1434" spans="3:79" x14ac:dyDescent="0.4">
      <c r="C1434" s="115"/>
      <c r="D1434" s="115"/>
      <c r="E1434" s="115"/>
      <c r="F1434" s="115"/>
      <c r="G1434" s="115"/>
      <c r="H1434" s="115"/>
      <c r="I1434" s="115"/>
      <c r="J1434" s="115"/>
      <c r="K1434" s="115"/>
      <c r="L1434" s="115"/>
      <c r="M1434" s="115"/>
      <c r="N1434" s="115"/>
      <c r="O1434" s="115"/>
      <c r="P1434" s="115"/>
      <c r="Q1434" s="115"/>
      <c r="R1434" s="115"/>
      <c r="S1434" s="115"/>
      <c r="T1434" s="115"/>
      <c r="U1434" s="115"/>
      <c r="V1434" s="115"/>
      <c r="W1434" s="115"/>
      <c r="X1434" s="115"/>
      <c r="Y1434" s="115"/>
      <c r="Z1434" s="115"/>
      <c r="AA1434" s="115"/>
      <c r="AB1434" s="115"/>
      <c r="AC1434" s="115"/>
      <c r="AD1434" s="115"/>
      <c r="AE1434" s="115"/>
      <c r="AF1434" s="115"/>
      <c r="AG1434" s="115"/>
      <c r="AH1434" s="115"/>
      <c r="AI1434" s="115"/>
      <c r="AJ1434" s="115"/>
      <c r="AK1434" s="115"/>
      <c r="AL1434" s="115"/>
      <c r="AM1434" s="115"/>
      <c r="AN1434" s="115"/>
      <c r="AO1434" s="115"/>
      <c r="AP1434" s="115"/>
      <c r="AQ1434" s="115"/>
      <c r="AR1434" s="115"/>
      <c r="AS1434" s="115"/>
      <c r="AT1434" s="115"/>
      <c r="AU1434" s="115"/>
      <c r="AV1434" s="115"/>
      <c r="AW1434" s="115"/>
      <c r="AX1434" s="115"/>
      <c r="AY1434" s="115"/>
      <c r="AZ1434" s="115"/>
      <c r="BA1434" s="115"/>
      <c r="BB1434" s="115"/>
      <c r="BC1434" s="115"/>
      <c r="BD1434" s="115"/>
      <c r="BE1434" s="115"/>
      <c r="BF1434" s="122"/>
      <c r="BG1434" s="122"/>
      <c r="BH1434" s="122"/>
      <c r="BI1434" s="115"/>
      <c r="BJ1434" s="115"/>
      <c r="BK1434" s="115"/>
      <c r="BL1434" s="115"/>
      <c r="BM1434" s="115"/>
      <c r="BN1434" s="115"/>
      <c r="BO1434" s="115"/>
      <c r="BP1434" s="115"/>
      <c r="BQ1434" s="115"/>
      <c r="BR1434" s="115"/>
      <c r="BS1434" s="115"/>
      <c r="BT1434" s="115"/>
      <c r="BU1434" s="115"/>
      <c r="BV1434" s="115"/>
      <c r="BW1434" s="26"/>
      <c r="BX1434" s="13"/>
      <c r="CA1434" s="114"/>
    </row>
    <row r="1435" spans="3:79" x14ac:dyDescent="0.4">
      <c r="C1435" s="115"/>
      <c r="D1435" s="115"/>
      <c r="E1435" s="115"/>
      <c r="F1435" s="115"/>
      <c r="G1435" s="115"/>
      <c r="H1435" s="115"/>
      <c r="I1435" s="115"/>
      <c r="J1435" s="115"/>
      <c r="K1435" s="115"/>
      <c r="L1435" s="115"/>
      <c r="M1435" s="115"/>
      <c r="N1435" s="115"/>
      <c r="O1435" s="115"/>
      <c r="P1435" s="115"/>
      <c r="Q1435" s="115"/>
      <c r="R1435" s="115"/>
      <c r="S1435" s="115"/>
      <c r="T1435" s="115"/>
      <c r="U1435" s="115"/>
      <c r="V1435" s="115"/>
      <c r="W1435" s="115"/>
      <c r="X1435" s="115"/>
      <c r="Y1435" s="115"/>
      <c r="Z1435" s="115"/>
      <c r="AA1435" s="115"/>
      <c r="AB1435" s="115"/>
      <c r="AC1435" s="115"/>
      <c r="AD1435" s="115"/>
      <c r="AE1435" s="115"/>
      <c r="AF1435" s="115"/>
      <c r="AG1435" s="115"/>
      <c r="AH1435" s="115"/>
      <c r="AI1435" s="115"/>
      <c r="AJ1435" s="115"/>
      <c r="AK1435" s="115"/>
      <c r="AL1435" s="115"/>
      <c r="AM1435" s="115"/>
      <c r="AN1435" s="115"/>
      <c r="AO1435" s="115"/>
      <c r="AP1435" s="115"/>
      <c r="AQ1435" s="115"/>
      <c r="AR1435" s="115"/>
      <c r="AS1435" s="115"/>
      <c r="AT1435" s="115"/>
      <c r="AU1435" s="115"/>
      <c r="AV1435" s="115"/>
      <c r="AW1435" s="115"/>
      <c r="AX1435" s="115"/>
      <c r="AY1435" s="115"/>
      <c r="AZ1435" s="115"/>
      <c r="BA1435" s="115"/>
      <c r="BB1435" s="115"/>
      <c r="BC1435" s="115"/>
      <c r="BD1435" s="115"/>
      <c r="BE1435" s="115"/>
      <c r="BF1435" s="122"/>
      <c r="BG1435" s="122"/>
      <c r="BH1435" s="122"/>
      <c r="BI1435" s="115"/>
      <c r="BJ1435" s="115"/>
      <c r="BK1435" s="115"/>
      <c r="BL1435" s="115"/>
      <c r="BW1435" s="26"/>
      <c r="BX1435" s="13"/>
      <c r="CA1435" s="114"/>
    </row>
    <row r="1436" spans="3:79" x14ac:dyDescent="0.4">
      <c r="C1436" s="115"/>
      <c r="D1436" s="115"/>
      <c r="E1436" s="115"/>
      <c r="F1436" s="115"/>
      <c r="G1436" s="115"/>
      <c r="H1436" s="115"/>
      <c r="I1436" s="115"/>
      <c r="J1436" s="115"/>
      <c r="K1436" s="115"/>
      <c r="L1436" s="115"/>
      <c r="M1436" s="115"/>
      <c r="N1436" s="115"/>
      <c r="O1436" s="115"/>
      <c r="P1436" s="115"/>
      <c r="Q1436" s="115"/>
      <c r="R1436" s="115"/>
      <c r="S1436" s="115"/>
      <c r="T1436" s="115"/>
      <c r="U1436" s="115"/>
      <c r="V1436" s="115"/>
      <c r="W1436" s="115"/>
      <c r="X1436" s="115"/>
      <c r="Y1436" s="115"/>
      <c r="Z1436" s="115"/>
      <c r="AA1436" s="115"/>
      <c r="AB1436" s="115"/>
      <c r="AC1436" s="115"/>
      <c r="AD1436" s="115"/>
      <c r="AE1436" s="115"/>
      <c r="AF1436" s="115"/>
      <c r="AG1436" s="115"/>
      <c r="AH1436" s="115"/>
      <c r="AI1436" s="115"/>
      <c r="AJ1436" s="115"/>
      <c r="AK1436" s="115"/>
      <c r="AL1436" s="115"/>
      <c r="AM1436" s="115"/>
      <c r="AN1436" s="115"/>
      <c r="AO1436" s="115"/>
      <c r="AP1436" s="115"/>
      <c r="AQ1436" s="115"/>
      <c r="AR1436" s="115"/>
      <c r="AS1436" s="115"/>
      <c r="AT1436" s="115"/>
      <c r="AU1436" s="115"/>
      <c r="AV1436" s="115"/>
      <c r="AW1436" s="115"/>
      <c r="AX1436" s="115"/>
      <c r="AY1436" s="115"/>
      <c r="AZ1436" s="115"/>
      <c r="BA1436" s="115"/>
      <c r="BB1436" s="115"/>
      <c r="BC1436" s="115"/>
      <c r="BD1436" s="115"/>
      <c r="BE1436" s="115"/>
      <c r="BF1436" s="122"/>
      <c r="BG1436" s="122"/>
      <c r="BH1436" s="122"/>
      <c r="BI1436" s="115"/>
      <c r="BJ1436" s="115"/>
      <c r="BK1436" s="115"/>
      <c r="BL1436" s="115"/>
      <c r="BM1436" s="115"/>
      <c r="BN1436" s="115"/>
      <c r="BO1436" s="115"/>
      <c r="BP1436" s="115"/>
      <c r="BQ1436" s="115"/>
      <c r="BR1436" s="115"/>
      <c r="BS1436" s="115"/>
      <c r="BT1436" s="115"/>
      <c r="BU1436" s="115"/>
      <c r="BV1436" s="115"/>
      <c r="BW1436" s="26"/>
      <c r="BX1436" s="13"/>
      <c r="CA1436" s="114"/>
    </row>
    <row r="1437" spans="3:79" x14ac:dyDescent="0.4">
      <c r="C1437" s="115"/>
      <c r="D1437" s="115"/>
      <c r="E1437" s="115"/>
      <c r="F1437" s="115"/>
      <c r="G1437" s="115"/>
      <c r="H1437" s="115"/>
      <c r="I1437" s="115"/>
      <c r="J1437" s="115"/>
      <c r="K1437" s="115"/>
      <c r="L1437" s="115"/>
      <c r="M1437" s="115"/>
      <c r="N1437" s="115"/>
      <c r="O1437" s="115"/>
      <c r="P1437" s="115"/>
      <c r="Q1437" s="115"/>
      <c r="R1437" s="115"/>
      <c r="S1437" s="115"/>
      <c r="T1437" s="115"/>
      <c r="U1437" s="115"/>
      <c r="V1437" s="115"/>
      <c r="W1437" s="115"/>
      <c r="X1437" s="115"/>
      <c r="Y1437" s="115"/>
      <c r="Z1437" s="115"/>
      <c r="AA1437" s="115"/>
      <c r="AB1437" s="115"/>
      <c r="AC1437" s="115"/>
      <c r="AD1437" s="115"/>
      <c r="AE1437" s="115"/>
      <c r="AF1437" s="115"/>
      <c r="AG1437" s="115"/>
      <c r="AH1437" s="115"/>
      <c r="AI1437" s="115"/>
      <c r="AJ1437" s="115"/>
      <c r="AK1437" s="115"/>
      <c r="AL1437" s="115"/>
      <c r="AM1437" s="115"/>
      <c r="AN1437" s="115"/>
      <c r="AO1437" s="115"/>
      <c r="AP1437" s="115"/>
      <c r="AQ1437" s="115"/>
      <c r="AR1437" s="115"/>
      <c r="AS1437" s="115"/>
      <c r="AT1437" s="115"/>
      <c r="AU1437" s="115"/>
      <c r="AV1437" s="115"/>
      <c r="AW1437" s="115"/>
      <c r="AX1437" s="115"/>
      <c r="AY1437" s="115"/>
      <c r="AZ1437" s="115"/>
      <c r="BA1437" s="115"/>
      <c r="BB1437" s="115"/>
      <c r="BC1437" s="115"/>
      <c r="BD1437" s="115"/>
      <c r="BE1437" s="115"/>
      <c r="BF1437" s="122"/>
      <c r="BG1437" s="122"/>
      <c r="BH1437" s="122"/>
      <c r="BI1437" s="115"/>
      <c r="BJ1437" s="115"/>
      <c r="BK1437" s="115"/>
      <c r="BL1437" s="115"/>
      <c r="BM1437" s="115"/>
      <c r="BN1437" s="115"/>
      <c r="BO1437" s="115"/>
      <c r="BP1437" s="115"/>
      <c r="BQ1437" s="115"/>
      <c r="BR1437" s="115"/>
      <c r="BS1437" s="115"/>
      <c r="BT1437" s="115"/>
      <c r="BU1437" s="115"/>
      <c r="BV1437" s="115"/>
      <c r="BW1437" s="17"/>
      <c r="BX1437" s="13"/>
      <c r="CA1437" s="114"/>
    </row>
    <row r="1438" spans="3:79" x14ac:dyDescent="0.4">
      <c r="C1438" s="115"/>
      <c r="D1438" s="115"/>
      <c r="E1438" s="115"/>
      <c r="F1438" s="115"/>
      <c r="G1438" s="115"/>
      <c r="H1438" s="115"/>
      <c r="I1438" s="115"/>
      <c r="J1438" s="115"/>
      <c r="K1438" s="115"/>
      <c r="L1438" s="115"/>
      <c r="M1438" s="115"/>
      <c r="N1438" s="115"/>
      <c r="O1438" s="115"/>
      <c r="P1438" s="115"/>
      <c r="Q1438" s="115"/>
      <c r="R1438" s="115"/>
      <c r="S1438" s="115"/>
      <c r="T1438" s="115"/>
      <c r="U1438" s="115"/>
      <c r="V1438" s="115"/>
      <c r="W1438" s="115"/>
      <c r="X1438" s="115"/>
      <c r="Y1438" s="115"/>
      <c r="Z1438" s="115"/>
      <c r="AA1438" s="115"/>
      <c r="AB1438" s="115"/>
      <c r="AC1438" s="115"/>
      <c r="AD1438" s="115"/>
      <c r="AE1438" s="115"/>
      <c r="AF1438" s="115"/>
      <c r="AG1438" s="115"/>
      <c r="AH1438" s="115"/>
      <c r="AI1438" s="115"/>
      <c r="AJ1438" s="115"/>
      <c r="AK1438" s="115"/>
      <c r="AL1438" s="115"/>
      <c r="AM1438" s="115"/>
      <c r="AN1438" s="115"/>
      <c r="AO1438" s="115"/>
      <c r="AP1438" s="115"/>
      <c r="AQ1438" s="115"/>
      <c r="AR1438" s="115"/>
      <c r="AS1438" s="115"/>
      <c r="AT1438" s="115"/>
      <c r="AU1438" s="115"/>
      <c r="AV1438" s="115"/>
      <c r="AW1438" s="115"/>
      <c r="AX1438" s="115"/>
      <c r="AY1438" s="115"/>
      <c r="AZ1438" s="115"/>
      <c r="BA1438" s="115"/>
      <c r="BB1438" s="115"/>
      <c r="BC1438" s="115"/>
      <c r="BD1438" s="115"/>
      <c r="BE1438" s="115"/>
      <c r="BF1438" s="122"/>
      <c r="BG1438" s="122"/>
      <c r="BH1438" s="122"/>
      <c r="BI1438" s="115"/>
      <c r="BJ1438" s="115"/>
      <c r="BK1438" s="115"/>
      <c r="BL1438" s="115"/>
      <c r="BM1438" s="115"/>
      <c r="BN1438" s="115"/>
      <c r="BO1438" s="115"/>
      <c r="BP1438" s="115"/>
      <c r="BQ1438" s="115"/>
      <c r="BR1438" s="115"/>
      <c r="BS1438" s="115"/>
      <c r="BT1438" s="115"/>
      <c r="BU1438" s="115"/>
      <c r="BV1438" s="115"/>
      <c r="BW1438" s="26"/>
      <c r="BX1438" s="13"/>
      <c r="CA1438" s="114"/>
    </row>
    <row r="1439" spans="3:79" x14ac:dyDescent="0.4">
      <c r="C1439" s="115"/>
      <c r="D1439" s="115"/>
      <c r="E1439" s="115"/>
      <c r="F1439" s="115"/>
      <c r="G1439" s="115"/>
      <c r="H1439" s="115"/>
      <c r="I1439" s="115"/>
      <c r="J1439" s="115"/>
      <c r="K1439" s="115"/>
      <c r="L1439" s="115"/>
      <c r="M1439" s="115"/>
      <c r="N1439" s="115"/>
      <c r="O1439" s="115"/>
      <c r="P1439" s="115"/>
      <c r="Q1439" s="115"/>
      <c r="R1439" s="115"/>
      <c r="S1439" s="115"/>
      <c r="T1439" s="115"/>
      <c r="U1439" s="115"/>
      <c r="V1439" s="115"/>
      <c r="W1439" s="115"/>
      <c r="X1439" s="115"/>
      <c r="Y1439" s="115"/>
      <c r="Z1439" s="115"/>
      <c r="AA1439" s="115"/>
      <c r="AB1439" s="115"/>
      <c r="AC1439" s="115"/>
      <c r="AD1439" s="115"/>
      <c r="AE1439" s="115"/>
      <c r="AF1439" s="115"/>
      <c r="AG1439" s="115"/>
      <c r="AH1439" s="115"/>
      <c r="AI1439" s="115"/>
      <c r="AJ1439" s="115"/>
      <c r="AK1439" s="115"/>
      <c r="AL1439" s="115"/>
      <c r="AM1439" s="115"/>
      <c r="AN1439" s="115"/>
      <c r="AO1439" s="115"/>
      <c r="AP1439" s="115"/>
      <c r="AQ1439" s="115"/>
      <c r="AR1439" s="115"/>
      <c r="AS1439" s="115"/>
      <c r="AT1439" s="115"/>
      <c r="AU1439" s="115"/>
      <c r="AV1439" s="115"/>
      <c r="AW1439" s="115"/>
      <c r="AX1439" s="115"/>
      <c r="AY1439" s="115"/>
      <c r="AZ1439" s="115"/>
      <c r="BA1439" s="115"/>
      <c r="BB1439" s="115"/>
      <c r="BC1439" s="115"/>
      <c r="BD1439" s="115"/>
      <c r="BE1439" s="115"/>
      <c r="BF1439" s="122"/>
      <c r="BG1439" s="122"/>
      <c r="BH1439" s="122"/>
      <c r="BI1439" s="115"/>
      <c r="BJ1439" s="115"/>
      <c r="BK1439" s="115"/>
      <c r="BL1439" s="115"/>
      <c r="BM1439" s="115"/>
      <c r="BN1439" s="115"/>
      <c r="BO1439" s="115"/>
      <c r="BP1439" s="115"/>
      <c r="BQ1439" s="115"/>
      <c r="BR1439" s="115"/>
      <c r="BS1439" s="115"/>
      <c r="BT1439" s="115"/>
      <c r="BU1439" s="115"/>
      <c r="BV1439" s="115"/>
      <c r="BW1439" s="26"/>
      <c r="BX1439" s="15"/>
      <c r="CA1439" s="114"/>
    </row>
    <row r="1440" spans="3:79" x14ac:dyDescent="0.4">
      <c r="C1440" s="115"/>
      <c r="D1440" s="115"/>
      <c r="E1440" s="115"/>
      <c r="F1440" s="115"/>
      <c r="G1440" s="115"/>
      <c r="H1440" s="115"/>
      <c r="I1440" s="115"/>
      <c r="J1440" s="115"/>
      <c r="K1440" s="115"/>
      <c r="L1440" s="115"/>
      <c r="M1440" s="115"/>
      <c r="N1440" s="115"/>
      <c r="O1440" s="115"/>
      <c r="P1440" s="115"/>
      <c r="Q1440" s="115"/>
      <c r="R1440" s="115"/>
      <c r="S1440" s="115"/>
      <c r="T1440" s="115"/>
      <c r="U1440" s="115"/>
      <c r="V1440" s="115"/>
      <c r="W1440" s="115"/>
      <c r="X1440" s="115"/>
      <c r="Y1440" s="115"/>
      <c r="Z1440" s="115"/>
      <c r="AA1440" s="115"/>
      <c r="AB1440" s="115"/>
      <c r="AC1440" s="115"/>
      <c r="AD1440" s="115"/>
      <c r="AE1440" s="115"/>
      <c r="AF1440" s="115"/>
      <c r="AG1440" s="115"/>
      <c r="AH1440" s="115"/>
      <c r="AI1440" s="115"/>
      <c r="AJ1440" s="115"/>
      <c r="AK1440" s="115"/>
      <c r="AL1440" s="115"/>
      <c r="AM1440" s="115"/>
      <c r="AN1440" s="115"/>
      <c r="AO1440" s="115"/>
      <c r="AP1440" s="115"/>
      <c r="AQ1440" s="115"/>
      <c r="AR1440" s="115"/>
      <c r="AS1440" s="115"/>
      <c r="AT1440" s="115"/>
      <c r="AU1440" s="115"/>
      <c r="AV1440" s="115"/>
      <c r="AW1440" s="115"/>
      <c r="AX1440" s="115"/>
      <c r="AY1440" s="115"/>
      <c r="AZ1440" s="115"/>
      <c r="BA1440" s="115"/>
      <c r="BB1440" s="115"/>
      <c r="BC1440" s="115"/>
      <c r="BD1440" s="115"/>
      <c r="BE1440" s="115"/>
      <c r="BF1440" s="122"/>
      <c r="BG1440" s="122"/>
      <c r="BH1440" s="122"/>
      <c r="BI1440" s="115"/>
      <c r="BJ1440" s="115"/>
      <c r="BK1440" s="115"/>
      <c r="BL1440" s="115"/>
      <c r="BM1440" s="115"/>
      <c r="BN1440" s="115"/>
      <c r="BO1440" s="115"/>
      <c r="BP1440" s="115"/>
      <c r="BQ1440" s="115"/>
      <c r="BR1440" s="115"/>
      <c r="BS1440" s="115"/>
      <c r="BT1440" s="115"/>
      <c r="BU1440" s="115"/>
      <c r="BV1440" s="115"/>
      <c r="BW1440" s="17"/>
      <c r="BX1440" s="15"/>
      <c r="CA1440" s="114"/>
    </row>
    <row r="1441" spans="1:79" x14ac:dyDescent="0.4">
      <c r="C1441" s="115"/>
      <c r="D1441" s="115"/>
      <c r="E1441" s="115"/>
      <c r="F1441" s="115"/>
      <c r="G1441" s="115"/>
      <c r="H1441" s="115"/>
      <c r="I1441" s="115"/>
      <c r="J1441" s="115"/>
      <c r="K1441" s="115"/>
      <c r="L1441" s="115"/>
      <c r="M1441" s="115"/>
      <c r="N1441" s="115"/>
      <c r="O1441" s="115"/>
      <c r="P1441" s="115"/>
      <c r="Q1441" s="115"/>
      <c r="R1441" s="115"/>
      <c r="S1441" s="115"/>
      <c r="T1441" s="115"/>
      <c r="U1441" s="115"/>
      <c r="V1441" s="115"/>
      <c r="W1441" s="115"/>
      <c r="X1441" s="115"/>
      <c r="Y1441" s="115"/>
      <c r="Z1441" s="115"/>
      <c r="AA1441" s="115"/>
      <c r="AB1441" s="115"/>
      <c r="AC1441" s="115"/>
      <c r="AD1441" s="115"/>
      <c r="AE1441" s="115"/>
      <c r="AF1441" s="115"/>
      <c r="AG1441" s="115"/>
      <c r="AH1441" s="115"/>
      <c r="AI1441" s="115"/>
      <c r="AJ1441" s="115"/>
      <c r="AK1441" s="115"/>
      <c r="AL1441" s="115"/>
      <c r="AM1441" s="115"/>
      <c r="AN1441" s="115"/>
      <c r="AO1441" s="115"/>
      <c r="AP1441" s="115"/>
      <c r="AQ1441" s="115"/>
      <c r="AR1441" s="115"/>
      <c r="AS1441" s="115"/>
      <c r="AT1441" s="115"/>
      <c r="AU1441" s="115"/>
      <c r="AV1441" s="115"/>
      <c r="AW1441" s="115"/>
      <c r="AX1441" s="115"/>
      <c r="AY1441" s="115"/>
      <c r="AZ1441" s="115"/>
      <c r="BA1441" s="115"/>
      <c r="BB1441" s="115"/>
      <c r="BC1441" s="115"/>
      <c r="BD1441" s="115"/>
      <c r="BE1441" s="115"/>
      <c r="BF1441" s="122"/>
      <c r="BG1441" s="122"/>
      <c r="BH1441" s="122"/>
      <c r="BI1441" s="115"/>
      <c r="BJ1441" s="115"/>
      <c r="BK1441" s="115"/>
      <c r="BL1441" s="115"/>
      <c r="BM1441" s="115"/>
      <c r="BN1441" s="115"/>
      <c r="BO1441" s="115"/>
      <c r="BP1441" s="115"/>
      <c r="BQ1441" s="115"/>
      <c r="BR1441" s="115"/>
      <c r="BS1441" s="115"/>
      <c r="BT1441" s="115"/>
      <c r="BU1441" s="115"/>
      <c r="BV1441" s="115"/>
      <c r="BW1441" s="26"/>
      <c r="BX1441" s="15"/>
      <c r="CA1441" s="114"/>
    </row>
    <row r="1442" spans="1:79" x14ac:dyDescent="0.4">
      <c r="A1442" s="115"/>
      <c r="B1442" s="115"/>
      <c r="C1442" s="115"/>
      <c r="D1442" s="115"/>
      <c r="E1442" s="115"/>
      <c r="F1442" s="115"/>
      <c r="G1442" s="115"/>
      <c r="H1442" s="115"/>
      <c r="I1442" s="115"/>
      <c r="J1442" s="115"/>
      <c r="K1442" s="115"/>
      <c r="L1442" s="115"/>
      <c r="M1442" s="115"/>
      <c r="N1442" s="115"/>
      <c r="O1442" s="115"/>
      <c r="P1442" s="115"/>
      <c r="Q1442" s="115"/>
      <c r="R1442" s="115"/>
      <c r="S1442" s="115"/>
      <c r="T1442" s="115"/>
      <c r="U1442" s="115"/>
      <c r="V1442" s="115"/>
      <c r="W1442" s="115"/>
      <c r="X1442" s="115"/>
      <c r="Y1442" s="115"/>
      <c r="Z1442" s="115"/>
      <c r="AA1442" s="115"/>
      <c r="AB1442" s="115"/>
      <c r="AC1442" s="115"/>
      <c r="AD1442" s="115"/>
      <c r="AE1442" s="115"/>
      <c r="AF1442" s="115"/>
      <c r="AG1442" s="115"/>
      <c r="AH1442" s="115"/>
      <c r="AI1442" s="115"/>
      <c r="AJ1442" s="115"/>
      <c r="AK1442" s="115"/>
      <c r="AL1442" s="115"/>
      <c r="AM1442" s="115"/>
      <c r="AN1442" s="115"/>
      <c r="AO1442" s="115"/>
      <c r="AP1442" s="115"/>
      <c r="AQ1442" s="115"/>
      <c r="AR1442" s="115"/>
      <c r="AS1442" s="115"/>
      <c r="AT1442" s="115"/>
      <c r="AU1442" s="115"/>
      <c r="AV1442" s="115"/>
      <c r="AW1442" s="115"/>
      <c r="AX1442" s="115"/>
      <c r="AY1442" s="115"/>
      <c r="AZ1442" s="115"/>
      <c r="BA1442" s="115"/>
      <c r="BB1442" s="115"/>
      <c r="BC1442" s="115"/>
      <c r="BD1442" s="115"/>
      <c r="BE1442" s="115"/>
      <c r="BF1442" s="122"/>
      <c r="BG1442" s="122"/>
      <c r="BH1442" s="122"/>
      <c r="BI1442" s="115"/>
      <c r="BJ1442" s="115"/>
      <c r="BK1442" s="115"/>
      <c r="BL1442" s="115"/>
      <c r="BM1442" s="115"/>
      <c r="BN1442" s="115"/>
      <c r="BO1442" s="115"/>
      <c r="BP1442" s="115"/>
      <c r="BQ1442" s="115"/>
      <c r="BR1442" s="115"/>
      <c r="BS1442" s="115"/>
      <c r="BT1442" s="115"/>
      <c r="BU1442" s="115"/>
      <c r="BV1442" s="115"/>
      <c r="BW1442" s="26"/>
      <c r="BX1442" s="15"/>
      <c r="CA1442" s="114"/>
    </row>
    <row r="1443" spans="1:79" x14ac:dyDescent="0.4">
      <c r="A1443" s="115"/>
      <c r="B1443" s="115"/>
      <c r="C1443" s="115"/>
      <c r="D1443" s="115"/>
      <c r="E1443" s="115"/>
      <c r="F1443" s="115"/>
      <c r="G1443" s="115"/>
      <c r="H1443" s="115"/>
      <c r="I1443" s="115"/>
      <c r="J1443" s="115"/>
      <c r="K1443" s="115"/>
      <c r="L1443" s="115"/>
      <c r="M1443" s="115"/>
      <c r="N1443" s="115"/>
      <c r="O1443" s="115"/>
      <c r="P1443" s="115"/>
      <c r="Q1443" s="115"/>
      <c r="R1443" s="115"/>
      <c r="S1443" s="115"/>
      <c r="T1443" s="115"/>
      <c r="U1443" s="115"/>
      <c r="V1443" s="115"/>
      <c r="W1443" s="115"/>
      <c r="X1443" s="115"/>
      <c r="Y1443" s="115"/>
      <c r="Z1443" s="115"/>
      <c r="AA1443" s="115"/>
      <c r="AB1443" s="115"/>
      <c r="AC1443" s="115"/>
      <c r="AD1443" s="115"/>
      <c r="AE1443" s="115"/>
      <c r="AF1443" s="115"/>
      <c r="AG1443" s="115"/>
      <c r="AH1443" s="115"/>
      <c r="AI1443" s="115"/>
      <c r="AJ1443" s="115"/>
      <c r="AK1443" s="115"/>
      <c r="AL1443" s="115"/>
      <c r="AM1443" s="115"/>
      <c r="AN1443" s="115"/>
      <c r="AO1443" s="115"/>
      <c r="AP1443" s="115"/>
      <c r="AQ1443" s="115"/>
      <c r="AR1443" s="115"/>
      <c r="AS1443" s="115"/>
      <c r="AT1443" s="115"/>
      <c r="AU1443" s="115"/>
      <c r="AV1443" s="115"/>
      <c r="AW1443" s="115"/>
      <c r="AX1443" s="115"/>
      <c r="AY1443" s="115"/>
      <c r="AZ1443" s="115"/>
      <c r="BA1443" s="115"/>
      <c r="BB1443" s="115"/>
      <c r="BC1443" s="115"/>
      <c r="BD1443" s="115"/>
      <c r="BE1443" s="115"/>
      <c r="BF1443" s="122"/>
      <c r="BG1443" s="122"/>
      <c r="BH1443" s="122"/>
      <c r="BI1443" s="115"/>
      <c r="BJ1443" s="115"/>
      <c r="BK1443" s="115"/>
      <c r="BL1443" s="115"/>
      <c r="BM1443" s="115"/>
      <c r="BN1443" s="115"/>
      <c r="BO1443" s="115"/>
      <c r="BP1443" s="115"/>
      <c r="BQ1443" s="115"/>
      <c r="BR1443" s="115"/>
      <c r="BS1443" s="115"/>
      <c r="BT1443" s="115"/>
      <c r="BU1443" s="115"/>
      <c r="BV1443" s="115"/>
      <c r="BW1443" s="17"/>
      <c r="BX1443" s="13"/>
      <c r="CA1443" s="114"/>
    </row>
    <row r="1444" spans="1:79" x14ac:dyDescent="0.4">
      <c r="A1444" s="115"/>
      <c r="B1444" s="115"/>
      <c r="C1444" s="115"/>
      <c r="D1444" s="115"/>
      <c r="E1444" s="115"/>
      <c r="F1444" s="115"/>
      <c r="G1444" s="115"/>
      <c r="H1444" s="115"/>
      <c r="I1444" s="115"/>
      <c r="J1444" s="115"/>
      <c r="K1444" s="115"/>
      <c r="L1444" s="115"/>
      <c r="M1444" s="115"/>
      <c r="N1444" s="115"/>
      <c r="O1444" s="115"/>
      <c r="P1444" s="115"/>
      <c r="Q1444" s="115"/>
      <c r="R1444" s="115"/>
      <c r="S1444" s="115"/>
      <c r="T1444" s="115"/>
      <c r="U1444" s="115"/>
      <c r="V1444" s="115"/>
      <c r="W1444" s="115"/>
      <c r="X1444" s="115"/>
      <c r="Y1444" s="115"/>
      <c r="Z1444" s="115"/>
      <c r="AA1444" s="115"/>
      <c r="AB1444" s="115"/>
      <c r="AC1444" s="115"/>
      <c r="AD1444" s="115"/>
      <c r="AE1444" s="115"/>
      <c r="AF1444" s="115"/>
      <c r="AG1444" s="115"/>
      <c r="AH1444" s="115"/>
      <c r="AI1444" s="115"/>
      <c r="AJ1444" s="115"/>
      <c r="AK1444" s="115"/>
      <c r="AL1444" s="115"/>
      <c r="AM1444" s="115"/>
      <c r="AN1444" s="115"/>
      <c r="AO1444" s="115"/>
      <c r="AP1444" s="115"/>
      <c r="AQ1444" s="115"/>
      <c r="AR1444" s="115"/>
      <c r="AS1444" s="115"/>
      <c r="AT1444" s="115"/>
      <c r="AU1444" s="115"/>
      <c r="AV1444" s="115"/>
      <c r="AW1444" s="115"/>
      <c r="AX1444" s="115"/>
      <c r="AY1444" s="115"/>
      <c r="AZ1444" s="115"/>
      <c r="BA1444" s="115"/>
      <c r="BB1444" s="115"/>
      <c r="BC1444" s="115"/>
      <c r="BD1444" s="115"/>
      <c r="BE1444" s="115"/>
      <c r="BF1444" s="122"/>
      <c r="BG1444" s="122"/>
      <c r="BH1444" s="122"/>
      <c r="BI1444" s="115"/>
      <c r="BJ1444" s="115"/>
      <c r="BK1444" s="115"/>
      <c r="BL1444" s="115"/>
      <c r="BM1444" s="115"/>
      <c r="BN1444" s="115"/>
      <c r="BO1444" s="115"/>
      <c r="BP1444" s="115"/>
      <c r="BQ1444" s="115"/>
      <c r="BR1444" s="115"/>
      <c r="BS1444" s="115"/>
      <c r="BT1444" s="115"/>
      <c r="BU1444" s="115"/>
      <c r="BV1444" s="115"/>
      <c r="BW1444" s="17"/>
      <c r="BX1444" s="13"/>
      <c r="CA1444" s="114"/>
    </row>
    <row r="1445" spans="1:79" x14ac:dyDescent="0.4">
      <c r="A1445" s="115"/>
      <c r="B1445" s="115"/>
      <c r="C1445" s="115"/>
      <c r="D1445" s="115"/>
      <c r="E1445" s="115"/>
      <c r="F1445" s="115"/>
      <c r="G1445" s="115"/>
      <c r="H1445" s="115"/>
      <c r="I1445" s="115"/>
      <c r="J1445" s="115"/>
      <c r="K1445" s="115"/>
      <c r="L1445" s="115"/>
      <c r="M1445" s="115"/>
      <c r="N1445" s="115"/>
      <c r="O1445" s="115"/>
      <c r="P1445" s="115"/>
      <c r="Q1445" s="115"/>
      <c r="R1445" s="115"/>
      <c r="S1445" s="115"/>
      <c r="T1445" s="115"/>
      <c r="U1445" s="115"/>
      <c r="V1445" s="115"/>
      <c r="W1445" s="115"/>
      <c r="X1445" s="115"/>
      <c r="Y1445" s="115"/>
      <c r="Z1445" s="115"/>
      <c r="AA1445" s="115"/>
      <c r="AB1445" s="115"/>
      <c r="AC1445" s="115"/>
      <c r="AD1445" s="115"/>
      <c r="AE1445" s="115"/>
      <c r="AF1445" s="115"/>
      <c r="AG1445" s="115"/>
      <c r="AH1445" s="115"/>
      <c r="AI1445" s="115"/>
      <c r="AJ1445" s="115"/>
      <c r="AK1445" s="115"/>
      <c r="AL1445" s="115"/>
      <c r="AM1445" s="115"/>
      <c r="AN1445" s="115"/>
      <c r="AO1445" s="115"/>
      <c r="AP1445" s="115"/>
      <c r="AQ1445" s="115"/>
      <c r="AR1445" s="115"/>
      <c r="AS1445" s="115"/>
      <c r="AT1445" s="115"/>
      <c r="AU1445" s="115"/>
      <c r="AV1445" s="115"/>
      <c r="AW1445" s="115"/>
      <c r="AX1445" s="115"/>
      <c r="AY1445" s="115"/>
      <c r="AZ1445" s="115"/>
      <c r="BA1445" s="115"/>
      <c r="BB1445" s="115"/>
      <c r="BC1445" s="115"/>
      <c r="BD1445" s="115"/>
      <c r="BE1445" s="115"/>
      <c r="BF1445" s="122"/>
      <c r="BG1445" s="122"/>
      <c r="BH1445" s="122"/>
      <c r="BI1445" s="115"/>
      <c r="BJ1445" s="115"/>
      <c r="BK1445" s="115"/>
      <c r="BL1445" s="115"/>
      <c r="BM1445" s="115"/>
      <c r="BN1445" s="115"/>
      <c r="BO1445" s="115"/>
      <c r="BP1445" s="115"/>
      <c r="BQ1445" s="115"/>
      <c r="BR1445" s="115"/>
      <c r="BS1445" s="115"/>
      <c r="BT1445" s="115"/>
      <c r="BU1445" s="115"/>
      <c r="BV1445" s="115"/>
      <c r="BW1445" s="26"/>
      <c r="BX1445" s="13"/>
      <c r="CA1445" s="114"/>
    </row>
    <row r="1446" spans="1:79" x14ac:dyDescent="0.4">
      <c r="A1446" s="115"/>
      <c r="B1446" s="115"/>
      <c r="C1446" s="115"/>
      <c r="D1446" s="115"/>
      <c r="E1446" s="115"/>
      <c r="F1446" s="115"/>
      <c r="G1446" s="115"/>
      <c r="H1446" s="115"/>
      <c r="I1446" s="115"/>
      <c r="J1446" s="115"/>
      <c r="K1446" s="115"/>
      <c r="L1446" s="115"/>
      <c r="M1446" s="115"/>
      <c r="N1446" s="115"/>
      <c r="O1446" s="115"/>
      <c r="P1446" s="115"/>
      <c r="Q1446" s="115"/>
      <c r="R1446" s="115"/>
      <c r="S1446" s="115"/>
      <c r="T1446" s="115"/>
      <c r="U1446" s="115"/>
      <c r="V1446" s="115"/>
      <c r="W1446" s="115"/>
      <c r="X1446" s="115"/>
      <c r="Y1446" s="115"/>
      <c r="Z1446" s="115"/>
      <c r="AA1446" s="115"/>
      <c r="AB1446" s="115"/>
      <c r="AC1446" s="115"/>
      <c r="AD1446" s="115"/>
      <c r="AE1446" s="115"/>
      <c r="AF1446" s="115"/>
      <c r="AG1446" s="115"/>
      <c r="AH1446" s="115"/>
      <c r="AI1446" s="115"/>
      <c r="AJ1446" s="115"/>
      <c r="AK1446" s="115"/>
      <c r="AL1446" s="115"/>
      <c r="AM1446" s="115"/>
      <c r="AN1446" s="115"/>
      <c r="AO1446" s="115"/>
      <c r="AP1446" s="115"/>
      <c r="AQ1446" s="115"/>
      <c r="AR1446" s="115"/>
      <c r="AS1446" s="115"/>
      <c r="AT1446" s="115"/>
      <c r="AU1446" s="115"/>
      <c r="AV1446" s="115"/>
      <c r="AW1446" s="115"/>
      <c r="AX1446" s="115"/>
      <c r="AY1446" s="115"/>
      <c r="AZ1446" s="115"/>
      <c r="BA1446" s="115"/>
      <c r="BB1446" s="115"/>
      <c r="BC1446" s="115"/>
      <c r="BD1446" s="115"/>
      <c r="BE1446" s="115"/>
      <c r="BF1446" s="122"/>
      <c r="BG1446" s="122"/>
      <c r="BH1446" s="122"/>
      <c r="BI1446" s="115"/>
      <c r="BJ1446" s="115"/>
      <c r="BK1446" s="115"/>
      <c r="BL1446" s="115"/>
      <c r="BM1446" s="115"/>
      <c r="BN1446" s="115"/>
      <c r="BO1446" s="115"/>
      <c r="BP1446" s="115"/>
      <c r="BQ1446" s="115"/>
      <c r="BR1446" s="115"/>
      <c r="BS1446" s="115"/>
      <c r="BT1446" s="115"/>
      <c r="BU1446" s="115"/>
      <c r="BV1446" s="115"/>
      <c r="BW1446" s="26"/>
      <c r="BX1446" s="13"/>
      <c r="CA1446" s="114"/>
    </row>
    <row r="1447" spans="1:79" x14ac:dyDescent="0.4">
      <c r="A1447" s="115"/>
      <c r="B1447" s="115"/>
      <c r="C1447" s="115"/>
      <c r="D1447" s="115"/>
      <c r="E1447" s="115"/>
      <c r="F1447" s="115"/>
      <c r="G1447" s="115"/>
      <c r="H1447" s="115"/>
      <c r="I1447" s="115"/>
      <c r="J1447" s="115"/>
      <c r="K1447" s="115"/>
      <c r="L1447" s="115"/>
      <c r="M1447" s="115"/>
      <c r="N1447" s="115"/>
      <c r="O1447" s="115"/>
      <c r="P1447" s="115"/>
      <c r="Q1447" s="115"/>
      <c r="R1447" s="115"/>
      <c r="S1447" s="115"/>
      <c r="T1447" s="115"/>
      <c r="U1447" s="115"/>
      <c r="V1447" s="115"/>
      <c r="W1447" s="115"/>
      <c r="X1447" s="115"/>
      <c r="Y1447" s="115"/>
      <c r="Z1447" s="115"/>
      <c r="AA1447" s="115"/>
      <c r="AB1447" s="115"/>
      <c r="AC1447" s="115"/>
      <c r="AD1447" s="115"/>
      <c r="AE1447" s="115"/>
      <c r="AF1447" s="115"/>
      <c r="AG1447" s="115"/>
      <c r="AH1447" s="115"/>
      <c r="AI1447" s="115"/>
      <c r="AJ1447" s="115"/>
      <c r="AK1447" s="115"/>
      <c r="AL1447" s="115"/>
      <c r="AM1447" s="115"/>
      <c r="AN1447" s="115"/>
      <c r="AO1447" s="115"/>
      <c r="AP1447" s="115"/>
      <c r="AQ1447" s="115"/>
      <c r="AR1447" s="115"/>
      <c r="AS1447" s="115"/>
      <c r="AT1447" s="115"/>
      <c r="AU1447" s="115"/>
      <c r="AV1447" s="115"/>
      <c r="AW1447" s="115"/>
      <c r="AX1447" s="115"/>
      <c r="AY1447" s="115"/>
      <c r="AZ1447" s="115"/>
      <c r="BA1447" s="115"/>
      <c r="BB1447" s="115"/>
      <c r="BC1447" s="115"/>
      <c r="BD1447" s="115"/>
      <c r="BE1447" s="115"/>
      <c r="BF1447" s="122"/>
      <c r="BG1447" s="122"/>
      <c r="BH1447" s="122"/>
      <c r="BI1447" s="115"/>
      <c r="BJ1447" s="115"/>
      <c r="BK1447" s="115"/>
      <c r="BL1447" s="115"/>
      <c r="BM1447" s="115"/>
      <c r="BN1447" s="115"/>
      <c r="BO1447" s="115"/>
      <c r="BP1447" s="115"/>
      <c r="BQ1447" s="115"/>
      <c r="BR1447" s="115"/>
      <c r="BS1447" s="115"/>
      <c r="BT1447" s="115"/>
      <c r="BU1447" s="115"/>
      <c r="BV1447" s="115"/>
      <c r="BW1447" s="17"/>
      <c r="BX1447" s="13"/>
      <c r="CA1447" s="114"/>
    </row>
    <row r="1448" spans="1:79" x14ac:dyDescent="0.4">
      <c r="A1448" s="115"/>
      <c r="B1448" s="115"/>
      <c r="C1448" s="115"/>
      <c r="D1448" s="115"/>
      <c r="E1448" s="115"/>
      <c r="F1448" s="115"/>
      <c r="G1448" s="115"/>
      <c r="H1448" s="115"/>
      <c r="I1448" s="115"/>
      <c r="J1448" s="115"/>
      <c r="K1448" s="115"/>
      <c r="L1448" s="115"/>
      <c r="M1448" s="115"/>
      <c r="N1448" s="115"/>
      <c r="O1448" s="115"/>
      <c r="P1448" s="115"/>
      <c r="Q1448" s="115"/>
      <c r="R1448" s="115"/>
      <c r="S1448" s="115"/>
      <c r="T1448" s="115"/>
      <c r="U1448" s="115"/>
      <c r="V1448" s="115"/>
      <c r="W1448" s="115"/>
      <c r="X1448" s="115"/>
      <c r="Y1448" s="115"/>
      <c r="Z1448" s="115"/>
      <c r="AA1448" s="115"/>
      <c r="AB1448" s="115"/>
      <c r="AC1448" s="115"/>
      <c r="AD1448" s="115"/>
      <c r="AE1448" s="115"/>
      <c r="AF1448" s="115"/>
      <c r="AG1448" s="115"/>
      <c r="AH1448" s="115"/>
      <c r="AI1448" s="115"/>
      <c r="AJ1448" s="115"/>
      <c r="AK1448" s="115"/>
      <c r="AL1448" s="115"/>
      <c r="AM1448" s="115"/>
      <c r="AN1448" s="115"/>
      <c r="AO1448" s="115"/>
      <c r="AP1448" s="115"/>
      <c r="AQ1448" s="115"/>
      <c r="AR1448" s="115"/>
      <c r="AS1448" s="115"/>
      <c r="AT1448" s="115"/>
      <c r="AU1448" s="115"/>
      <c r="AV1448" s="115"/>
      <c r="AW1448" s="115"/>
      <c r="AX1448" s="115"/>
      <c r="AY1448" s="115"/>
      <c r="AZ1448" s="115"/>
      <c r="BA1448" s="115"/>
      <c r="BB1448" s="115"/>
      <c r="BC1448" s="115"/>
      <c r="BD1448" s="115"/>
      <c r="BE1448" s="115"/>
      <c r="BF1448" s="122"/>
      <c r="BG1448" s="122"/>
      <c r="BH1448" s="122"/>
      <c r="BI1448" s="115"/>
      <c r="BJ1448" s="115"/>
      <c r="BK1448" s="115"/>
      <c r="BL1448" s="115"/>
      <c r="BM1448" s="115"/>
      <c r="BN1448" s="115"/>
      <c r="BO1448" s="115"/>
      <c r="BP1448" s="115"/>
      <c r="BQ1448" s="115"/>
      <c r="BR1448" s="115"/>
      <c r="BS1448" s="115"/>
      <c r="BT1448" s="115"/>
      <c r="BU1448" s="115"/>
      <c r="BV1448" s="115"/>
      <c r="BW1448" s="26"/>
      <c r="BX1448" s="15"/>
      <c r="CA1448" s="114"/>
    </row>
    <row r="1449" spans="1:79" x14ac:dyDescent="0.4">
      <c r="A1449" s="115"/>
      <c r="B1449" s="115"/>
      <c r="C1449" s="115"/>
      <c r="D1449" s="115"/>
      <c r="E1449" s="115"/>
      <c r="F1449" s="115"/>
      <c r="G1449" s="115"/>
      <c r="H1449" s="115"/>
      <c r="I1449" s="115"/>
      <c r="J1449" s="115"/>
      <c r="K1449" s="115"/>
      <c r="L1449" s="115"/>
      <c r="M1449" s="115"/>
      <c r="N1449" s="115"/>
      <c r="O1449" s="115"/>
      <c r="P1449" s="115"/>
      <c r="Q1449" s="115"/>
      <c r="R1449" s="115"/>
      <c r="S1449" s="115"/>
      <c r="T1449" s="115"/>
      <c r="U1449" s="115"/>
      <c r="V1449" s="115"/>
      <c r="W1449" s="115"/>
      <c r="X1449" s="115"/>
      <c r="Y1449" s="115"/>
      <c r="Z1449" s="115"/>
      <c r="AA1449" s="115"/>
      <c r="AB1449" s="115"/>
      <c r="AC1449" s="115"/>
      <c r="AD1449" s="115"/>
      <c r="AE1449" s="115"/>
      <c r="AF1449" s="115"/>
      <c r="AG1449" s="115"/>
      <c r="AH1449" s="115"/>
      <c r="AI1449" s="115"/>
      <c r="AJ1449" s="115"/>
      <c r="AK1449" s="115"/>
      <c r="AL1449" s="115"/>
      <c r="AM1449" s="115"/>
      <c r="AN1449" s="115"/>
      <c r="AO1449" s="115"/>
      <c r="AP1449" s="115"/>
      <c r="AQ1449" s="115"/>
      <c r="AR1449" s="115"/>
      <c r="AS1449" s="115"/>
      <c r="AT1449" s="115"/>
      <c r="AU1449" s="115"/>
      <c r="AV1449" s="115"/>
      <c r="AW1449" s="115"/>
      <c r="AX1449" s="115"/>
      <c r="AY1449" s="115"/>
      <c r="AZ1449" s="115"/>
      <c r="BA1449" s="115"/>
      <c r="BB1449" s="115"/>
      <c r="BC1449" s="115"/>
      <c r="BD1449" s="115"/>
      <c r="BE1449" s="115"/>
      <c r="BF1449" s="122"/>
      <c r="BG1449" s="122"/>
      <c r="BH1449" s="122"/>
      <c r="BI1449" s="115"/>
      <c r="BJ1449" s="115"/>
      <c r="BK1449" s="115"/>
      <c r="BL1449" s="115"/>
      <c r="BM1449" s="115"/>
      <c r="BN1449" s="115"/>
      <c r="BO1449" s="115"/>
      <c r="BP1449" s="115"/>
      <c r="BQ1449" s="115"/>
      <c r="BR1449" s="115"/>
      <c r="BS1449" s="115"/>
      <c r="BT1449" s="115"/>
      <c r="BU1449" s="115"/>
      <c r="BV1449" s="115"/>
      <c r="BW1449" s="26"/>
      <c r="BX1449" s="15"/>
      <c r="CA1449" s="114"/>
    </row>
    <row r="1450" spans="1:79" x14ac:dyDescent="0.4">
      <c r="A1450" s="115"/>
      <c r="B1450" s="115"/>
      <c r="C1450" s="115"/>
      <c r="D1450" s="115"/>
      <c r="E1450" s="115"/>
      <c r="F1450" s="115"/>
      <c r="G1450" s="115"/>
      <c r="H1450" s="115"/>
      <c r="I1450" s="115"/>
      <c r="J1450" s="115"/>
      <c r="K1450" s="115"/>
      <c r="L1450" s="115"/>
      <c r="M1450" s="115"/>
      <c r="N1450" s="115"/>
      <c r="O1450" s="115"/>
      <c r="P1450" s="115"/>
      <c r="Q1450" s="115"/>
      <c r="R1450" s="115"/>
      <c r="S1450" s="115"/>
      <c r="T1450" s="115"/>
      <c r="U1450" s="115"/>
      <c r="V1450" s="115"/>
      <c r="W1450" s="115"/>
      <c r="X1450" s="115"/>
      <c r="Y1450" s="115"/>
      <c r="Z1450" s="115"/>
      <c r="AA1450" s="115"/>
      <c r="AB1450" s="115"/>
      <c r="AC1450" s="115"/>
      <c r="AD1450" s="115"/>
      <c r="AE1450" s="115"/>
      <c r="AF1450" s="115"/>
      <c r="AG1450" s="115"/>
      <c r="AH1450" s="115"/>
      <c r="AI1450" s="115"/>
      <c r="AJ1450" s="115"/>
      <c r="AK1450" s="115"/>
      <c r="AL1450" s="115"/>
      <c r="AM1450" s="115"/>
      <c r="AN1450" s="115"/>
      <c r="AO1450" s="115"/>
      <c r="AP1450" s="115"/>
      <c r="AQ1450" s="115"/>
      <c r="AR1450" s="115"/>
      <c r="AS1450" s="115"/>
      <c r="AT1450" s="115"/>
      <c r="AU1450" s="115"/>
      <c r="AV1450" s="115"/>
      <c r="AW1450" s="115"/>
      <c r="AX1450" s="115"/>
      <c r="AY1450" s="115"/>
      <c r="AZ1450" s="115"/>
      <c r="BA1450" s="115"/>
      <c r="BB1450" s="115"/>
      <c r="BC1450" s="115"/>
      <c r="BD1450" s="115"/>
      <c r="BE1450" s="115"/>
      <c r="BF1450" s="122"/>
      <c r="BG1450" s="122"/>
      <c r="BH1450" s="122"/>
      <c r="BI1450" s="115"/>
      <c r="BJ1450" s="115"/>
      <c r="BK1450" s="115"/>
      <c r="BL1450" s="115"/>
      <c r="BM1450" s="115"/>
      <c r="BN1450" s="115"/>
      <c r="BO1450" s="115"/>
      <c r="BP1450" s="115"/>
      <c r="BQ1450" s="115"/>
      <c r="BR1450" s="115"/>
      <c r="BS1450" s="115"/>
      <c r="BT1450" s="115"/>
      <c r="BU1450" s="115"/>
      <c r="BV1450" s="115"/>
      <c r="BW1450" s="26"/>
      <c r="BX1450" s="15"/>
      <c r="CA1450" s="114"/>
    </row>
    <row r="1451" spans="1:79" x14ac:dyDescent="0.4">
      <c r="A1451" s="115"/>
      <c r="B1451" s="115"/>
      <c r="C1451" s="115"/>
      <c r="D1451" s="115"/>
      <c r="E1451" s="115"/>
      <c r="F1451" s="115"/>
      <c r="G1451" s="115"/>
      <c r="H1451" s="115"/>
      <c r="I1451" s="115"/>
      <c r="J1451" s="115"/>
      <c r="K1451" s="115"/>
      <c r="L1451" s="115"/>
      <c r="M1451" s="115"/>
      <c r="N1451" s="115"/>
      <c r="O1451" s="115"/>
      <c r="P1451" s="115"/>
      <c r="Q1451" s="115"/>
      <c r="R1451" s="115"/>
      <c r="S1451" s="115"/>
      <c r="T1451" s="115"/>
      <c r="U1451" s="115"/>
      <c r="V1451" s="115"/>
      <c r="W1451" s="115"/>
      <c r="X1451" s="115"/>
      <c r="Y1451" s="115"/>
      <c r="Z1451" s="115"/>
      <c r="AA1451" s="115"/>
      <c r="AB1451" s="115"/>
      <c r="AC1451" s="115"/>
      <c r="AD1451" s="115"/>
      <c r="AE1451" s="115"/>
      <c r="AF1451" s="115"/>
      <c r="AG1451" s="115"/>
      <c r="AH1451" s="115"/>
      <c r="AI1451" s="115"/>
      <c r="AJ1451" s="115"/>
      <c r="AK1451" s="115"/>
      <c r="AL1451" s="115"/>
      <c r="AM1451" s="115"/>
      <c r="AN1451" s="115"/>
      <c r="AO1451" s="115"/>
      <c r="AP1451" s="115"/>
      <c r="AQ1451" s="115"/>
      <c r="AR1451" s="115"/>
      <c r="AS1451" s="115"/>
      <c r="AT1451" s="115"/>
      <c r="AU1451" s="115"/>
      <c r="AV1451" s="115"/>
      <c r="AW1451" s="115"/>
      <c r="AX1451" s="115"/>
      <c r="AY1451" s="115"/>
      <c r="AZ1451" s="115"/>
      <c r="BA1451" s="115"/>
      <c r="BB1451" s="115"/>
      <c r="BC1451" s="115"/>
      <c r="BD1451" s="115"/>
      <c r="BE1451" s="115"/>
      <c r="BF1451" s="122"/>
      <c r="BG1451" s="122"/>
      <c r="BH1451" s="122"/>
      <c r="BI1451" s="115"/>
      <c r="BJ1451" s="115"/>
      <c r="BK1451" s="115"/>
      <c r="BL1451" s="115"/>
      <c r="BM1451" s="115"/>
      <c r="BN1451" s="115"/>
      <c r="BO1451" s="115"/>
      <c r="BP1451" s="115"/>
      <c r="BQ1451" s="115"/>
      <c r="BR1451" s="115"/>
      <c r="BS1451" s="115"/>
      <c r="BT1451" s="115"/>
      <c r="BU1451" s="115"/>
      <c r="BV1451" s="115"/>
      <c r="BW1451" s="26"/>
      <c r="BX1451" s="13"/>
      <c r="CA1451" s="114"/>
    </row>
    <row r="1452" spans="1:79" x14ac:dyDescent="0.4">
      <c r="A1452" s="115"/>
      <c r="B1452" s="115"/>
      <c r="C1452" s="115"/>
      <c r="D1452" s="115"/>
      <c r="E1452" s="115"/>
      <c r="F1452" s="115"/>
      <c r="G1452" s="115"/>
      <c r="H1452" s="115"/>
      <c r="I1452" s="115"/>
      <c r="J1452" s="115"/>
      <c r="K1452" s="115"/>
      <c r="L1452" s="115"/>
      <c r="M1452" s="115"/>
      <c r="N1452" s="115"/>
      <c r="O1452" s="115"/>
      <c r="P1452" s="115"/>
      <c r="Q1452" s="115"/>
      <c r="R1452" s="115"/>
      <c r="S1452" s="115"/>
      <c r="T1452" s="115"/>
      <c r="U1452" s="115"/>
      <c r="V1452" s="115"/>
      <c r="W1452" s="115"/>
      <c r="X1452" s="115"/>
      <c r="Y1452" s="115"/>
      <c r="Z1452" s="115"/>
      <c r="AA1452" s="115"/>
      <c r="AB1452" s="115"/>
      <c r="AC1452" s="115"/>
      <c r="AD1452" s="115"/>
      <c r="AE1452" s="115"/>
      <c r="AF1452" s="115"/>
      <c r="AG1452" s="115"/>
      <c r="AH1452" s="115"/>
      <c r="AI1452" s="115"/>
      <c r="AJ1452" s="115"/>
      <c r="AK1452" s="115"/>
      <c r="AL1452" s="115"/>
      <c r="AM1452" s="115"/>
      <c r="AN1452" s="115"/>
      <c r="AO1452" s="115"/>
      <c r="AP1452" s="115"/>
      <c r="AQ1452" s="115"/>
      <c r="AR1452" s="115"/>
      <c r="AS1452" s="115"/>
      <c r="AT1452" s="115"/>
      <c r="AU1452" s="115"/>
      <c r="AV1452" s="115"/>
      <c r="AW1452" s="115"/>
      <c r="AX1452" s="115"/>
      <c r="AY1452" s="115"/>
      <c r="AZ1452" s="115"/>
      <c r="BA1452" s="115"/>
      <c r="BB1452" s="115"/>
      <c r="BC1452" s="115"/>
      <c r="BD1452" s="115"/>
      <c r="BE1452" s="115"/>
      <c r="BF1452" s="122"/>
      <c r="BG1452" s="122"/>
      <c r="BH1452" s="122"/>
      <c r="BI1452" s="115"/>
      <c r="BJ1452" s="115"/>
      <c r="BK1452" s="115"/>
      <c r="BL1452" s="115"/>
      <c r="BM1452" s="115"/>
      <c r="BN1452" s="115"/>
      <c r="BO1452" s="115"/>
      <c r="BP1452" s="115"/>
      <c r="BQ1452" s="115"/>
      <c r="BR1452" s="115"/>
      <c r="BS1452" s="115"/>
      <c r="BT1452" s="115"/>
      <c r="BU1452" s="115"/>
      <c r="BV1452" s="115"/>
      <c r="BW1452" s="26"/>
      <c r="BX1452" s="25"/>
      <c r="CA1452" s="114"/>
    </row>
    <row r="1453" spans="1:79" x14ac:dyDescent="0.4">
      <c r="A1453" s="115"/>
      <c r="B1453" s="115"/>
      <c r="C1453" s="115"/>
      <c r="D1453" s="115"/>
      <c r="E1453" s="115"/>
      <c r="F1453" s="115"/>
      <c r="G1453" s="115"/>
      <c r="H1453" s="115"/>
      <c r="I1453" s="115"/>
      <c r="J1453" s="115"/>
      <c r="K1453" s="115"/>
      <c r="L1453" s="115"/>
      <c r="M1453" s="115"/>
      <c r="N1453" s="115"/>
      <c r="O1453" s="115"/>
      <c r="P1453" s="115"/>
      <c r="Q1453" s="115"/>
      <c r="R1453" s="115"/>
      <c r="S1453" s="115"/>
      <c r="T1453" s="115"/>
      <c r="U1453" s="115"/>
      <c r="V1453" s="115"/>
      <c r="W1453" s="115"/>
      <c r="X1453" s="115"/>
      <c r="Y1453" s="115"/>
      <c r="Z1453" s="115"/>
      <c r="AA1453" s="115"/>
      <c r="AB1453" s="115"/>
      <c r="AC1453" s="115"/>
      <c r="AD1453" s="115"/>
      <c r="AE1453" s="115"/>
      <c r="AF1453" s="115"/>
      <c r="AG1453" s="115"/>
      <c r="AH1453" s="115"/>
      <c r="AI1453" s="115"/>
      <c r="AJ1453" s="115"/>
      <c r="AK1453" s="115"/>
      <c r="AL1453" s="115"/>
      <c r="AM1453" s="115"/>
      <c r="AN1453" s="115"/>
      <c r="AO1453" s="115"/>
      <c r="AP1453" s="115"/>
      <c r="AQ1453" s="115"/>
      <c r="AR1453" s="115"/>
      <c r="AS1453" s="115"/>
      <c r="AT1453" s="115"/>
      <c r="AU1453" s="115"/>
      <c r="AV1453" s="115"/>
      <c r="AW1453" s="115"/>
      <c r="AX1453" s="115"/>
      <c r="AY1453" s="115"/>
      <c r="AZ1453" s="115"/>
      <c r="BA1453" s="115"/>
      <c r="BB1453" s="115"/>
      <c r="BC1453" s="115"/>
      <c r="BD1453" s="115"/>
      <c r="BE1453" s="115"/>
      <c r="BF1453" s="122"/>
      <c r="BG1453" s="122"/>
      <c r="BH1453" s="122"/>
      <c r="BI1453" s="115"/>
      <c r="BJ1453" s="115"/>
      <c r="BK1453" s="115"/>
      <c r="BL1453" s="115"/>
      <c r="BM1453" s="115"/>
      <c r="BN1453" s="115"/>
      <c r="BO1453" s="115"/>
      <c r="BP1453" s="115"/>
      <c r="BQ1453" s="115"/>
      <c r="BR1453" s="115"/>
      <c r="BS1453" s="115"/>
      <c r="BT1453" s="115"/>
      <c r="BU1453" s="115"/>
      <c r="BV1453" s="115"/>
      <c r="BW1453" s="26"/>
      <c r="BX1453" s="13"/>
      <c r="CA1453" s="114"/>
    </row>
    <row r="1454" spans="1:79" x14ac:dyDescent="0.4">
      <c r="A1454" s="115"/>
      <c r="B1454" s="115"/>
      <c r="C1454" s="115"/>
      <c r="D1454" s="115"/>
      <c r="E1454" s="115"/>
      <c r="F1454" s="115"/>
      <c r="G1454" s="115"/>
      <c r="H1454" s="115"/>
      <c r="I1454" s="115"/>
      <c r="J1454" s="115"/>
      <c r="K1454" s="115"/>
      <c r="L1454" s="115"/>
      <c r="M1454" s="115"/>
      <c r="N1454" s="115"/>
      <c r="O1454" s="115"/>
      <c r="P1454" s="115"/>
      <c r="Q1454" s="115"/>
      <c r="R1454" s="115"/>
      <c r="S1454" s="115"/>
      <c r="T1454" s="115"/>
      <c r="U1454" s="115"/>
      <c r="V1454" s="115"/>
      <c r="W1454" s="115"/>
      <c r="X1454" s="115"/>
      <c r="Y1454" s="115"/>
      <c r="Z1454" s="115"/>
      <c r="AA1454" s="115"/>
      <c r="AB1454" s="115"/>
      <c r="AC1454" s="115"/>
      <c r="AD1454" s="115"/>
      <c r="AE1454" s="115"/>
      <c r="AF1454" s="115"/>
      <c r="AG1454" s="115"/>
      <c r="AH1454" s="115"/>
      <c r="AI1454" s="115"/>
      <c r="AJ1454" s="115"/>
      <c r="AK1454" s="115"/>
      <c r="AL1454" s="115"/>
      <c r="AM1454" s="115"/>
      <c r="AN1454" s="115"/>
      <c r="AO1454" s="115"/>
      <c r="AP1454" s="115"/>
      <c r="AQ1454" s="115"/>
      <c r="AR1454" s="115"/>
      <c r="AS1454" s="115"/>
      <c r="AT1454" s="115"/>
      <c r="AU1454" s="115"/>
      <c r="AV1454" s="115"/>
      <c r="AW1454" s="115"/>
      <c r="AX1454" s="115"/>
      <c r="AY1454" s="115"/>
      <c r="AZ1454" s="115"/>
      <c r="BA1454" s="115"/>
      <c r="BB1454" s="115"/>
      <c r="BC1454" s="115"/>
      <c r="BD1454" s="115"/>
      <c r="BE1454" s="115"/>
      <c r="BF1454" s="122"/>
      <c r="BG1454" s="122"/>
      <c r="BH1454" s="122"/>
      <c r="BI1454" s="115"/>
      <c r="BJ1454" s="115"/>
      <c r="BK1454" s="115"/>
      <c r="BL1454" s="115"/>
      <c r="BM1454" s="115"/>
      <c r="BN1454" s="115"/>
      <c r="BO1454" s="115"/>
      <c r="BP1454" s="115"/>
      <c r="BQ1454" s="115"/>
      <c r="BR1454" s="115"/>
      <c r="BS1454" s="115"/>
      <c r="BT1454" s="115"/>
      <c r="BU1454" s="115"/>
      <c r="BV1454" s="115"/>
      <c r="BW1454" s="26"/>
      <c r="BX1454" s="13"/>
      <c r="CA1454" s="114"/>
    </row>
    <row r="1455" spans="1:79" x14ac:dyDescent="0.4">
      <c r="A1455" s="115"/>
      <c r="B1455" s="115"/>
      <c r="C1455" s="115"/>
      <c r="D1455" s="115"/>
      <c r="E1455" s="115"/>
      <c r="F1455" s="115"/>
      <c r="G1455" s="115"/>
      <c r="H1455" s="115"/>
      <c r="I1455" s="115"/>
      <c r="J1455" s="115"/>
      <c r="K1455" s="115"/>
      <c r="L1455" s="115"/>
      <c r="M1455" s="115"/>
      <c r="N1455" s="115"/>
      <c r="O1455" s="115"/>
      <c r="P1455" s="115"/>
      <c r="Q1455" s="115"/>
      <c r="R1455" s="115"/>
      <c r="S1455" s="115"/>
      <c r="T1455" s="115"/>
      <c r="U1455" s="115"/>
      <c r="V1455" s="115"/>
      <c r="W1455" s="115"/>
      <c r="X1455" s="115"/>
      <c r="Y1455" s="115"/>
      <c r="Z1455" s="115"/>
      <c r="AA1455" s="115"/>
      <c r="AB1455" s="115"/>
      <c r="AC1455" s="115"/>
      <c r="AD1455" s="115"/>
      <c r="AE1455" s="115"/>
      <c r="AF1455" s="115"/>
      <c r="AG1455" s="115"/>
      <c r="AH1455" s="115"/>
      <c r="AI1455" s="115"/>
      <c r="AJ1455" s="115"/>
      <c r="AK1455" s="115"/>
      <c r="AL1455" s="115"/>
      <c r="AM1455" s="115"/>
      <c r="AN1455" s="115"/>
      <c r="AO1455" s="115"/>
      <c r="AP1455" s="115"/>
      <c r="AQ1455" s="115"/>
      <c r="AR1455" s="115"/>
      <c r="AS1455" s="115"/>
      <c r="AT1455" s="115"/>
      <c r="AU1455" s="115"/>
      <c r="AV1455" s="115"/>
      <c r="AW1455" s="115"/>
      <c r="AX1455" s="115"/>
      <c r="AY1455" s="115"/>
      <c r="AZ1455" s="115"/>
      <c r="BA1455" s="115"/>
      <c r="BB1455" s="115"/>
      <c r="BC1455" s="115"/>
      <c r="BD1455" s="115"/>
      <c r="BE1455" s="115"/>
      <c r="BF1455" s="122"/>
      <c r="BG1455" s="122"/>
      <c r="BH1455" s="122"/>
      <c r="BI1455" s="115"/>
      <c r="BJ1455" s="115"/>
      <c r="BK1455" s="115"/>
      <c r="BL1455" s="115"/>
      <c r="BM1455" s="115"/>
      <c r="BN1455" s="115"/>
      <c r="BO1455" s="115"/>
      <c r="BP1455" s="115"/>
      <c r="BQ1455" s="115"/>
      <c r="BR1455" s="115"/>
      <c r="BS1455" s="115"/>
      <c r="BT1455" s="115"/>
      <c r="BU1455" s="115"/>
      <c r="BV1455" s="115"/>
      <c r="BW1455" s="26"/>
      <c r="BX1455" s="13"/>
      <c r="CA1455" s="114"/>
    </row>
    <row r="1456" spans="1:79" x14ac:dyDescent="0.4">
      <c r="A1456" s="115"/>
      <c r="B1456" s="115"/>
      <c r="C1456" s="115"/>
      <c r="D1456" s="115"/>
      <c r="E1456" s="115"/>
      <c r="F1456" s="115"/>
      <c r="G1456" s="115"/>
      <c r="H1456" s="115"/>
      <c r="I1456" s="115"/>
      <c r="J1456" s="115"/>
      <c r="K1456" s="115"/>
      <c r="L1456" s="115"/>
      <c r="M1456" s="115"/>
      <c r="N1456" s="115"/>
      <c r="O1456" s="115"/>
      <c r="P1456" s="115"/>
      <c r="Q1456" s="115"/>
      <c r="R1456" s="115"/>
      <c r="S1456" s="115"/>
      <c r="T1456" s="115"/>
      <c r="U1456" s="115"/>
      <c r="V1456" s="115"/>
      <c r="W1456" s="115"/>
      <c r="X1456" s="115"/>
      <c r="Y1456" s="115"/>
      <c r="Z1456" s="115"/>
      <c r="AA1456" s="115"/>
      <c r="AB1456" s="115"/>
      <c r="AC1456" s="115"/>
      <c r="AD1456" s="115"/>
      <c r="AE1456" s="115"/>
      <c r="AF1456" s="115"/>
      <c r="AG1456" s="115"/>
      <c r="AH1456" s="115"/>
      <c r="AI1456" s="115"/>
      <c r="AJ1456" s="115"/>
      <c r="AK1456" s="115"/>
      <c r="AL1456" s="115"/>
      <c r="AM1456" s="115"/>
      <c r="AN1456" s="115"/>
      <c r="AO1456" s="115"/>
      <c r="AP1456" s="115"/>
      <c r="AQ1456" s="115"/>
      <c r="AR1456" s="115"/>
      <c r="AS1456" s="115"/>
      <c r="AT1456" s="115"/>
      <c r="AU1456" s="115"/>
      <c r="AV1456" s="115"/>
      <c r="AW1456" s="115"/>
      <c r="AX1456" s="115"/>
      <c r="AY1456" s="115"/>
      <c r="AZ1456" s="115"/>
      <c r="BA1456" s="115"/>
      <c r="BB1456" s="115"/>
      <c r="BC1456" s="115"/>
      <c r="BD1456" s="115"/>
      <c r="BE1456" s="115"/>
      <c r="BF1456" s="122"/>
      <c r="BG1456" s="122"/>
      <c r="BH1456" s="122"/>
      <c r="BI1456" s="115"/>
      <c r="BJ1456" s="115"/>
      <c r="BK1456" s="115"/>
      <c r="BL1456" s="115"/>
      <c r="BM1456" s="115"/>
      <c r="BN1456" s="115"/>
      <c r="BO1456" s="115"/>
      <c r="BP1456" s="115"/>
      <c r="BQ1456" s="115"/>
      <c r="BR1456" s="115"/>
      <c r="BS1456" s="115"/>
      <c r="BT1456" s="115"/>
      <c r="BU1456" s="115"/>
      <c r="BV1456" s="115"/>
      <c r="BW1456" s="26"/>
      <c r="BX1456" s="13"/>
      <c r="CA1456" s="114"/>
    </row>
    <row r="1457" spans="1:79" x14ac:dyDescent="0.4">
      <c r="A1457" s="115"/>
      <c r="B1457" s="115"/>
      <c r="C1457" s="115"/>
      <c r="D1457" s="115"/>
      <c r="E1457" s="115"/>
      <c r="F1457" s="115"/>
      <c r="G1457" s="115"/>
      <c r="H1457" s="115"/>
      <c r="I1457" s="115"/>
      <c r="J1457" s="115"/>
      <c r="K1457" s="115"/>
      <c r="L1457" s="115"/>
      <c r="M1457" s="115"/>
      <c r="N1457" s="115"/>
      <c r="O1457" s="115"/>
      <c r="P1457" s="115"/>
      <c r="Q1457" s="115"/>
      <c r="R1457" s="115"/>
      <c r="S1457" s="115"/>
      <c r="T1457" s="115"/>
      <c r="U1457" s="115"/>
      <c r="V1457" s="115"/>
      <c r="W1457" s="115"/>
      <c r="X1457" s="115"/>
      <c r="Y1457" s="115"/>
      <c r="Z1457" s="115"/>
      <c r="AA1457" s="115"/>
      <c r="AB1457" s="115"/>
      <c r="AC1457" s="115"/>
      <c r="AD1457" s="115"/>
      <c r="AE1457" s="115"/>
      <c r="AF1457" s="115"/>
      <c r="AG1457" s="115"/>
      <c r="AH1457" s="115"/>
      <c r="AI1457" s="115"/>
      <c r="AJ1457" s="115"/>
      <c r="AK1457" s="115"/>
      <c r="AL1457" s="115"/>
      <c r="AM1457" s="115"/>
      <c r="AN1457" s="115"/>
      <c r="AO1457" s="115"/>
      <c r="AP1457" s="115"/>
      <c r="AQ1457" s="115"/>
      <c r="AR1457" s="115"/>
      <c r="AS1457" s="115"/>
      <c r="AT1457" s="115"/>
      <c r="AU1457" s="115"/>
      <c r="AV1457" s="115"/>
      <c r="AW1457" s="115"/>
      <c r="AX1457" s="115"/>
      <c r="AY1457" s="115"/>
      <c r="AZ1457" s="115"/>
      <c r="BA1457" s="115"/>
      <c r="BB1457" s="115"/>
      <c r="BC1457" s="115"/>
      <c r="BD1457" s="115"/>
      <c r="BE1457" s="115"/>
      <c r="BF1457" s="122"/>
      <c r="BG1457" s="122"/>
      <c r="BH1457" s="122"/>
      <c r="BI1457" s="115"/>
      <c r="BJ1457" s="115"/>
      <c r="BK1457" s="115"/>
      <c r="BL1457" s="115"/>
      <c r="BM1457" s="115"/>
      <c r="BN1457" s="115"/>
      <c r="BO1457" s="115"/>
      <c r="BP1457" s="115"/>
      <c r="BQ1457" s="115"/>
      <c r="BR1457" s="115"/>
      <c r="BS1457" s="115"/>
      <c r="BT1457" s="115"/>
      <c r="BU1457" s="115"/>
      <c r="BV1457" s="115"/>
      <c r="BW1457" s="26"/>
      <c r="BX1457" s="13"/>
      <c r="CA1457" s="114"/>
    </row>
    <row r="1458" spans="1:79" x14ac:dyDescent="0.4">
      <c r="A1458" s="115"/>
      <c r="B1458" s="115"/>
      <c r="C1458" s="115"/>
      <c r="D1458" s="115"/>
      <c r="E1458" s="115"/>
      <c r="F1458" s="115"/>
      <c r="G1458" s="115"/>
      <c r="H1458" s="115"/>
      <c r="I1458" s="115"/>
      <c r="J1458" s="115"/>
      <c r="K1458" s="115"/>
      <c r="L1458" s="115"/>
      <c r="M1458" s="115"/>
      <c r="N1458" s="115"/>
      <c r="O1458" s="115"/>
      <c r="P1458" s="115"/>
      <c r="Q1458" s="115"/>
      <c r="R1458" s="115"/>
      <c r="S1458" s="115"/>
      <c r="T1458" s="115"/>
      <c r="U1458" s="115"/>
      <c r="V1458" s="115"/>
      <c r="W1458" s="115"/>
      <c r="X1458" s="115"/>
      <c r="Y1458" s="115"/>
      <c r="Z1458" s="115"/>
      <c r="AA1458" s="115"/>
      <c r="AB1458" s="115"/>
      <c r="AC1458" s="115"/>
      <c r="AD1458" s="115"/>
      <c r="AE1458" s="115"/>
      <c r="AF1458" s="115"/>
      <c r="AG1458" s="115"/>
      <c r="AH1458" s="115"/>
      <c r="AI1458" s="115"/>
      <c r="AJ1458" s="115"/>
      <c r="AK1458" s="115"/>
      <c r="AL1458" s="115"/>
      <c r="AM1458" s="115"/>
      <c r="AN1458" s="115"/>
      <c r="AO1458" s="115"/>
      <c r="AP1458" s="115"/>
      <c r="AQ1458" s="115"/>
      <c r="AR1458" s="115"/>
      <c r="AS1458" s="115"/>
      <c r="AT1458" s="115"/>
      <c r="AU1458" s="115"/>
      <c r="AV1458" s="115"/>
      <c r="AW1458" s="115"/>
      <c r="AX1458" s="115"/>
      <c r="AY1458" s="115"/>
      <c r="AZ1458" s="115"/>
      <c r="BA1458" s="115"/>
      <c r="BB1458" s="115"/>
      <c r="BC1458" s="115"/>
      <c r="BD1458" s="115"/>
      <c r="BE1458" s="115"/>
      <c r="BF1458" s="122"/>
      <c r="BG1458" s="122"/>
      <c r="BH1458" s="122"/>
      <c r="BI1458" s="115"/>
      <c r="BJ1458" s="115"/>
      <c r="BK1458" s="115"/>
      <c r="BL1458" s="115"/>
      <c r="BM1458" s="115"/>
      <c r="BN1458" s="115"/>
      <c r="BO1458" s="115"/>
      <c r="BP1458" s="115"/>
      <c r="BQ1458" s="115"/>
      <c r="BR1458" s="115"/>
      <c r="BS1458" s="115"/>
      <c r="BT1458" s="115"/>
      <c r="BU1458" s="115"/>
      <c r="BV1458" s="115"/>
      <c r="BW1458" s="26"/>
      <c r="BX1458" s="13"/>
      <c r="CA1458" s="114"/>
    </row>
    <row r="1459" spans="1:79" x14ac:dyDescent="0.4">
      <c r="A1459" s="115"/>
      <c r="B1459" s="115"/>
      <c r="C1459" s="115"/>
      <c r="D1459" s="115"/>
      <c r="E1459" s="115"/>
      <c r="F1459" s="115"/>
      <c r="G1459" s="115"/>
      <c r="H1459" s="115"/>
      <c r="I1459" s="115"/>
      <c r="J1459" s="115"/>
      <c r="K1459" s="115"/>
      <c r="L1459" s="115"/>
      <c r="M1459" s="115"/>
      <c r="N1459" s="115"/>
      <c r="O1459" s="115"/>
      <c r="P1459" s="115"/>
      <c r="Q1459" s="115"/>
      <c r="R1459" s="115"/>
      <c r="S1459" s="115"/>
      <c r="T1459" s="115"/>
      <c r="U1459" s="115"/>
      <c r="V1459" s="115"/>
      <c r="W1459" s="115"/>
      <c r="X1459" s="115"/>
      <c r="Y1459" s="115"/>
      <c r="Z1459" s="115"/>
      <c r="AA1459" s="115"/>
      <c r="AB1459" s="115"/>
      <c r="AC1459" s="115"/>
      <c r="AD1459" s="115"/>
      <c r="AE1459" s="115"/>
      <c r="AF1459" s="115"/>
      <c r="AG1459" s="115"/>
      <c r="AH1459" s="115"/>
      <c r="AI1459" s="115"/>
      <c r="AJ1459" s="115"/>
      <c r="AK1459" s="115"/>
      <c r="AL1459" s="115"/>
      <c r="AM1459" s="115"/>
      <c r="AN1459" s="115"/>
      <c r="AO1459" s="115"/>
      <c r="AP1459" s="115"/>
      <c r="AQ1459" s="115"/>
      <c r="AR1459" s="115"/>
      <c r="AS1459" s="115"/>
      <c r="AT1459" s="115"/>
      <c r="AU1459" s="115"/>
      <c r="AV1459" s="115"/>
      <c r="AW1459" s="115"/>
      <c r="AX1459" s="115"/>
      <c r="AY1459" s="115"/>
      <c r="AZ1459" s="115"/>
      <c r="BA1459" s="115"/>
      <c r="BB1459" s="115"/>
      <c r="BC1459" s="115"/>
      <c r="BD1459" s="115"/>
      <c r="BE1459" s="115"/>
      <c r="BF1459" s="122"/>
      <c r="BG1459" s="122"/>
      <c r="BH1459" s="122"/>
      <c r="BI1459" s="115"/>
      <c r="BJ1459" s="115"/>
      <c r="BK1459" s="115"/>
      <c r="BL1459" s="115"/>
      <c r="BM1459" s="115"/>
      <c r="BN1459" s="115"/>
      <c r="BO1459" s="115"/>
      <c r="BP1459" s="115"/>
      <c r="BQ1459" s="115"/>
      <c r="BR1459" s="115"/>
      <c r="BS1459" s="115"/>
      <c r="BT1459" s="115"/>
      <c r="BU1459" s="115"/>
      <c r="BV1459" s="115"/>
      <c r="BW1459" s="26"/>
      <c r="BX1459" s="13"/>
      <c r="CA1459" s="114"/>
    </row>
    <row r="1460" spans="1:79" x14ac:dyDescent="0.4">
      <c r="A1460" s="115"/>
      <c r="B1460" s="115"/>
      <c r="C1460" s="115"/>
      <c r="D1460" s="115"/>
      <c r="E1460" s="115"/>
      <c r="F1460" s="115"/>
      <c r="G1460" s="115"/>
      <c r="H1460" s="115"/>
      <c r="I1460" s="115"/>
      <c r="J1460" s="115"/>
      <c r="K1460" s="115"/>
      <c r="L1460" s="115"/>
      <c r="M1460" s="115"/>
      <c r="N1460" s="115"/>
      <c r="O1460" s="115"/>
      <c r="P1460" s="115"/>
      <c r="Q1460" s="115"/>
      <c r="R1460" s="115"/>
      <c r="S1460" s="115"/>
      <c r="T1460" s="115"/>
      <c r="U1460" s="115"/>
      <c r="V1460" s="115"/>
      <c r="W1460" s="115"/>
      <c r="X1460" s="115"/>
      <c r="Y1460" s="115"/>
      <c r="Z1460" s="115"/>
      <c r="AA1460" s="115"/>
      <c r="AB1460" s="115"/>
      <c r="AC1460" s="115"/>
      <c r="AD1460" s="115"/>
      <c r="AE1460" s="115"/>
      <c r="AF1460" s="115"/>
      <c r="AG1460" s="115"/>
      <c r="AH1460" s="115"/>
      <c r="AI1460" s="115"/>
      <c r="AJ1460" s="115"/>
      <c r="AK1460" s="115"/>
      <c r="AL1460" s="115"/>
      <c r="AM1460" s="115"/>
      <c r="AN1460" s="115"/>
      <c r="AO1460" s="115"/>
      <c r="AP1460" s="115"/>
      <c r="AQ1460" s="115"/>
      <c r="AR1460" s="115"/>
      <c r="AS1460" s="115"/>
      <c r="AT1460" s="115"/>
      <c r="AU1460" s="115"/>
      <c r="AV1460" s="115"/>
      <c r="AW1460" s="115"/>
      <c r="AX1460" s="115"/>
      <c r="AY1460" s="115"/>
      <c r="AZ1460" s="115"/>
      <c r="BA1460" s="115"/>
      <c r="BB1460" s="115"/>
      <c r="BC1460" s="115"/>
      <c r="BD1460" s="115"/>
      <c r="BE1460" s="115"/>
      <c r="BF1460" s="122"/>
      <c r="BG1460" s="122"/>
      <c r="BH1460" s="122"/>
      <c r="BI1460" s="115"/>
      <c r="BJ1460" s="115"/>
      <c r="BK1460" s="115"/>
      <c r="BL1460" s="115"/>
      <c r="BM1460" s="115"/>
      <c r="BN1460" s="115"/>
      <c r="BO1460" s="115"/>
      <c r="BP1460" s="115"/>
      <c r="BQ1460" s="115"/>
      <c r="BR1460" s="115"/>
      <c r="BS1460" s="115"/>
      <c r="BT1460" s="115"/>
      <c r="BU1460" s="115"/>
      <c r="BV1460" s="115"/>
      <c r="BW1460" s="26"/>
      <c r="BX1460" s="13"/>
      <c r="CA1460" s="114"/>
    </row>
    <row r="1461" spans="1:79" x14ac:dyDescent="0.4">
      <c r="A1461" s="115"/>
      <c r="B1461" s="115"/>
      <c r="C1461" s="115"/>
      <c r="D1461" s="115"/>
      <c r="E1461" s="115"/>
      <c r="F1461" s="115"/>
      <c r="G1461" s="115"/>
      <c r="H1461" s="115"/>
      <c r="I1461" s="115"/>
      <c r="J1461" s="115"/>
      <c r="K1461" s="115"/>
      <c r="L1461" s="115"/>
      <c r="M1461" s="115"/>
      <c r="N1461" s="115"/>
      <c r="O1461" s="115"/>
      <c r="P1461" s="115"/>
      <c r="Q1461" s="115"/>
      <c r="R1461" s="115"/>
      <c r="S1461" s="115"/>
      <c r="T1461" s="115"/>
      <c r="U1461" s="115"/>
      <c r="V1461" s="115"/>
      <c r="W1461" s="115"/>
      <c r="X1461" s="115"/>
      <c r="Y1461" s="115"/>
      <c r="Z1461" s="115"/>
      <c r="AA1461" s="115"/>
      <c r="AB1461" s="115"/>
      <c r="AC1461" s="115"/>
      <c r="AD1461" s="115"/>
      <c r="AE1461" s="115"/>
      <c r="AF1461" s="115"/>
      <c r="AG1461" s="115"/>
      <c r="AH1461" s="115"/>
      <c r="AI1461" s="115"/>
      <c r="AJ1461" s="115"/>
      <c r="AK1461" s="115"/>
      <c r="AL1461" s="115"/>
      <c r="AM1461" s="115"/>
      <c r="AN1461" s="115"/>
      <c r="AO1461" s="115"/>
      <c r="AP1461" s="115"/>
      <c r="AQ1461" s="115"/>
      <c r="AR1461" s="115"/>
      <c r="AS1461" s="115"/>
      <c r="AT1461" s="115"/>
      <c r="AU1461" s="115"/>
      <c r="AV1461" s="115"/>
      <c r="AW1461" s="115"/>
      <c r="AX1461" s="115"/>
      <c r="AY1461" s="115"/>
      <c r="AZ1461" s="115"/>
      <c r="BA1461" s="115"/>
      <c r="BB1461" s="115"/>
      <c r="BC1461" s="115"/>
      <c r="BD1461" s="115"/>
      <c r="BE1461" s="115"/>
      <c r="BF1461" s="122"/>
      <c r="BG1461" s="122"/>
      <c r="BH1461" s="122"/>
      <c r="BI1461" s="115"/>
      <c r="BJ1461" s="115"/>
      <c r="BK1461" s="115"/>
      <c r="BL1461" s="115"/>
      <c r="BM1461" s="115"/>
      <c r="BN1461" s="115"/>
      <c r="BO1461" s="115"/>
      <c r="BP1461" s="115"/>
      <c r="BQ1461" s="115"/>
      <c r="BR1461" s="115"/>
      <c r="BS1461" s="115"/>
      <c r="BT1461" s="115"/>
      <c r="BU1461" s="115"/>
      <c r="BV1461" s="115"/>
      <c r="BW1461" s="26"/>
      <c r="BX1461" s="13"/>
      <c r="CA1461" s="114"/>
    </row>
    <row r="1462" spans="1:79" x14ac:dyDescent="0.4">
      <c r="A1462" s="115"/>
      <c r="B1462" s="115"/>
      <c r="C1462" s="115"/>
      <c r="D1462" s="115"/>
      <c r="E1462" s="115"/>
      <c r="F1462" s="115"/>
      <c r="G1462" s="115"/>
      <c r="H1462" s="115"/>
      <c r="I1462" s="115"/>
      <c r="J1462" s="115"/>
      <c r="K1462" s="115"/>
      <c r="L1462" s="115"/>
      <c r="M1462" s="115"/>
      <c r="N1462" s="115"/>
      <c r="O1462" s="115"/>
      <c r="P1462" s="115"/>
      <c r="Q1462" s="115"/>
      <c r="R1462" s="115"/>
      <c r="S1462" s="115"/>
      <c r="T1462" s="115"/>
      <c r="U1462" s="115"/>
      <c r="V1462" s="115"/>
      <c r="W1462" s="115"/>
      <c r="X1462" s="115"/>
      <c r="Y1462" s="115"/>
      <c r="Z1462" s="115"/>
      <c r="AA1462" s="115"/>
      <c r="AB1462" s="115"/>
      <c r="AC1462" s="115"/>
      <c r="AD1462" s="115"/>
      <c r="AE1462" s="115"/>
      <c r="AF1462" s="115"/>
      <c r="AG1462" s="115"/>
      <c r="AH1462" s="115"/>
      <c r="AI1462" s="115"/>
      <c r="AJ1462" s="115"/>
      <c r="AK1462" s="115"/>
      <c r="AL1462" s="115"/>
      <c r="AM1462" s="115"/>
      <c r="AN1462" s="115"/>
      <c r="AO1462" s="115"/>
      <c r="AP1462" s="115"/>
      <c r="AQ1462" s="115"/>
      <c r="AR1462" s="115"/>
      <c r="AS1462" s="115"/>
      <c r="AT1462" s="115"/>
      <c r="AU1462" s="115"/>
      <c r="AV1462" s="115"/>
      <c r="AW1462" s="115"/>
      <c r="AX1462" s="115"/>
      <c r="AY1462" s="115"/>
      <c r="AZ1462" s="115"/>
      <c r="BA1462" s="115"/>
      <c r="BB1462" s="115"/>
      <c r="BC1462" s="115"/>
      <c r="BD1462" s="115"/>
      <c r="BE1462" s="115"/>
      <c r="BF1462" s="122"/>
      <c r="BG1462" s="122"/>
      <c r="BH1462" s="122"/>
      <c r="BI1462" s="115"/>
      <c r="BJ1462" s="115"/>
      <c r="BK1462" s="115"/>
      <c r="BL1462" s="115"/>
      <c r="BM1462" s="115"/>
      <c r="BN1462" s="115"/>
      <c r="BO1462" s="115"/>
      <c r="BP1462" s="115"/>
      <c r="BQ1462" s="115"/>
      <c r="BR1462" s="115"/>
      <c r="BS1462" s="115"/>
      <c r="BT1462" s="115"/>
      <c r="BU1462" s="115"/>
      <c r="BV1462" s="115"/>
      <c r="BW1462" s="26"/>
      <c r="BX1462" s="13"/>
      <c r="CA1462" s="114"/>
    </row>
    <row r="1463" spans="1:79" x14ac:dyDescent="0.4">
      <c r="A1463" s="115"/>
      <c r="B1463" s="115"/>
      <c r="C1463" s="115"/>
      <c r="D1463" s="115"/>
      <c r="E1463" s="115"/>
      <c r="F1463" s="115"/>
      <c r="G1463" s="115"/>
      <c r="H1463" s="115"/>
      <c r="I1463" s="115"/>
      <c r="J1463" s="115"/>
      <c r="K1463" s="115"/>
      <c r="L1463" s="115"/>
      <c r="M1463" s="115"/>
      <c r="N1463" s="115"/>
      <c r="O1463" s="115"/>
      <c r="P1463" s="115"/>
      <c r="Q1463" s="115"/>
      <c r="R1463" s="115"/>
      <c r="S1463" s="115"/>
      <c r="T1463" s="115"/>
      <c r="U1463" s="115"/>
      <c r="V1463" s="115"/>
      <c r="W1463" s="115"/>
      <c r="X1463" s="115"/>
      <c r="Y1463" s="115"/>
      <c r="Z1463" s="115"/>
      <c r="AA1463" s="115"/>
      <c r="AB1463" s="115"/>
      <c r="AC1463" s="115"/>
      <c r="AD1463" s="115"/>
      <c r="AE1463" s="115"/>
      <c r="AF1463" s="115"/>
      <c r="AG1463" s="115"/>
      <c r="AH1463" s="115"/>
      <c r="AI1463" s="115"/>
      <c r="AJ1463" s="115"/>
      <c r="AK1463" s="115"/>
      <c r="AL1463" s="115"/>
      <c r="AM1463" s="115"/>
      <c r="AN1463" s="115"/>
      <c r="AO1463" s="115"/>
      <c r="AP1463" s="115"/>
      <c r="AQ1463" s="115"/>
      <c r="AR1463" s="115"/>
      <c r="AS1463" s="115"/>
      <c r="AT1463" s="115"/>
      <c r="AU1463" s="115"/>
      <c r="AV1463" s="115"/>
      <c r="AW1463" s="115"/>
      <c r="AX1463" s="115"/>
      <c r="AY1463" s="115"/>
      <c r="AZ1463" s="115"/>
      <c r="BA1463" s="115"/>
      <c r="BB1463" s="115"/>
      <c r="BC1463" s="115"/>
      <c r="BD1463" s="115"/>
      <c r="BE1463" s="115"/>
      <c r="BF1463" s="122"/>
      <c r="BG1463" s="122"/>
      <c r="BH1463" s="122"/>
      <c r="BI1463" s="115"/>
      <c r="BJ1463" s="115"/>
      <c r="BK1463" s="115"/>
      <c r="BL1463" s="115"/>
      <c r="BM1463" s="115"/>
      <c r="BN1463" s="115"/>
      <c r="BO1463" s="115"/>
      <c r="BP1463" s="115"/>
      <c r="BQ1463" s="115"/>
      <c r="BR1463" s="115"/>
      <c r="BS1463" s="115"/>
      <c r="BT1463" s="115"/>
      <c r="BU1463" s="115"/>
      <c r="BV1463" s="115"/>
      <c r="BW1463" s="26"/>
      <c r="BX1463" s="15"/>
      <c r="CA1463" s="114"/>
    </row>
    <row r="1464" spans="1:79" x14ac:dyDescent="0.4">
      <c r="A1464" s="115"/>
      <c r="B1464" s="115"/>
      <c r="C1464" s="115"/>
      <c r="D1464" s="115"/>
      <c r="E1464" s="115"/>
      <c r="F1464" s="115"/>
      <c r="G1464" s="115"/>
      <c r="H1464" s="115"/>
      <c r="I1464" s="115"/>
      <c r="J1464" s="115"/>
      <c r="K1464" s="115"/>
      <c r="L1464" s="115"/>
      <c r="M1464" s="115"/>
      <c r="N1464" s="115"/>
      <c r="O1464" s="115"/>
      <c r="P1464" s="115"/>
      <c r="Q1464" s="115"/>
      <c r="R1464" s="115"/>
      <c r="S1464" s="115"/>
      <c r="T1464" s="115"/>
      <c r="U1464" s="115"/>
      <c r="V1464" s="115"/>
      <c r="W1464" s="115"/>
      <c r="X1464" s="115"/>
      <c r="Y1464" s="115"/>
      <c r="Z1464" s="115"/>
      <c r="AA1464" s="115"/>
      <c r="AB1464" s="115"/>
      <c r="AC1464" s="115"/>
      <c r="AD1464" s="115"/>
      <c r="AE1464" s="115"/>
      <c r="AF1464" s="115"/>
      <c r="AG1464" s="115"/>
      <c r="AH1464" s="115"/>
      <c r="AI1464" s="115"/>
      <c r="AJ1464" s="115"/>
      <c r="AK1464" s="115"/>
      <c r="AL1464" s="115"/>
      <c r="AM1464" s="115"/>
      <c r="AN1464" s="115"/>
      <c r="AO1464" s="115"/>
      <c r="AP1464" s="115"/>
      <c r="AQ1464" s="115"/>
      <c r="AR1464" s="115"/>
      <c r="AS1464" s="115"/>
      <c r="AT1464" s="115"/>
      <c r="AU1464" s="115"/>
      <c r="AV1464" s="115"/>
      <c r="AW1464" s="115"/>
      <c r="AX1464" s="115"/>
      <c r="AY1464" s="115"/>
      <c r="AZ1464" s="115"/>
      <c r="BA1464" s="115"/>
      <c r="BB1464" s="115"/>
      <c r="BC1464" s="115"/>
      <c r="BD1464" s="115"/>
      <c r="BE1464" s="115"/>
      <c r="BF1464" s="122"/>
      <c r="BG1464" s="122"/>
      <c r="BH1464" s="122"/>
      <c r="BI1464" s="115"/>
      <c r="BJ1464" s="115"/>
      <c r="BK1464" s="115"/>
      <c r="BL1464" s="115"/>
      <c r="BM1464" s="115"/>
      <c r="BN1464" s="115"/>
      <c r="BO1464" s="115"/>
      <c r="BP1464" s="115"/>
      <c r="BQ1464" s="115"/>
      <c r="BR1464" s="115"/>
      <c r="BS1464" s="115"/>
      <c r="BT1464" s="115"/>
      <c r="BU1464" s="115"/>
      <c r="BV1464" s="115"/>
      <c r="BW1464" s="26"/>
      <c r="BX1464" s="15"/>
      <c r="CA1464" s="114"/>
    </row>
    <row r="1465" spans="1:79" x14ac:dyDescent="0.4">
      <c r="A1465" s="115"/>
      <c r="B1465" s="115"/>
      <c r="C1465" s="115"/>
      <c r="D1465" s="115"/>
      <c r="E1465" s="115"/>
      <c r="F1465" s="115"/>
      <c r="G1465" s="115"/>
      <c r="H1465" s="115"/>
      <c r="I1465" s="115"/>
      <c r="J1465" s="115"/>
      <c r="K1465" s="115"/>
      <c r="L1465" s="115"/>
      <c r="M1465" s="115"/>
      <c r="N1465" s="115"/>
      <c r="O1465" s="115"/>
      <c r="P1465" s="115"/>
      <c r="Q1465" s="115"/>
      <c r="R1465" s="115"/>
      <c r="S1465" s="115"/>
      <c r="T1465" s="115"/>
      <c r="U1465" s="115"/>
      <c r="V1465" s="115"/>
      <c r="W1465" s="115"/>
      <c r="X1465" s="115"/>
      <c r="Y1465" s="115"/>
      <c r="Z1465" s="115"/>
      <c r="AA1465" s="115"/>
      <c r="AB1465" s="115"/>
      <c r="AC1465" s="115"/>
      <c r="AD1465" s="115"/>
      <c r="AE1465" s="115"/>
      <c r="AF1465" s="115"/>
      <c r="AG1465" s="115"/>
      <c r="AH1465" s="115"/>
      <c r="AI1465" s="115"/>
      <c r="AJ1465" s="115"/>
      <c r="AK1465" s="115"/>
      <c r="AL1465" s="115"/>
      <c r="AM1465" s="115"/>
      <c r="AN1465" s="115"/>
      <c r="AO1465" s="115"/>
      <c r="AP1465" s="115"/>
      <c r="AQ1465" s="115"/>
      <c r="AR1465" s="115"/>
      <c r="AS1465" s="115"/>
      <c r="AT1465" s="115"/>
      <c r="AU1465" s="115"/>
      <c r="AV1465" s="115"/>
      <c r="AW1465" s="115"/>
      <c r="AX1465" s="115"/>
      <c r="AY1465" s="115"/>
      <c r="AZ1465" s="115"/>
      <c r="BA1465" s="115"/>
      <c r="BB1465" s="115"/>
      <c r="BC1465" s="115"/>
      <c r="BD1465" s="115"/>
      <c r="BE1465" s="115"/>
      <c r="BF1465" s="122"/>
      <c r="BG1465" s="122"/>
      <c r="BH1465" s="122"/>
      <c r="BI1465" s="115"/>
      <c r="BJ1465" s="115"/>
      <c r="BK1465" s="115"/>
      <c r="BL1465" s="115"/>
      <c r="BM1465" s="115"/>
      <c r="BN1465" s="115"/>
      <c r="BO1465" s="115"/>
      <c r="BP1465" s="115"/>
      <c r="BQ1465" s="115"/>
      <c r="BR1465" s="115"/>
      <c r="BS1465" s="115"/>
      <c r="BT1465" s="115"/>
      <c r="BU1465" s="115"/>
      <c r="BV1465" s="115"/>
      <c r="BW1465" s="26"/>
      <c r="BX1465" s="15"/>
      <c r="CA1465" s="114"/>
    </row>
    <row r="1466" spans="1:79" x14ac:dyDescent="0.4">
      <c r="A1466" s="115"/>
      <c r="B1466" s="115"/>
      <c r="C1466" s="115"/>
      <c r="D1466" s="115"/>
      <c r="E1466" s="115"/>
      <c r="F1466" s="115"/>
      <c r="G1466" s="115"/>
      <c r="H1466" s="115"/>
      <c r="I1466" s="115"/>
      <c r="J1466" s="115"/>
      <c r="K1466" s="115"/>
      <c r="L1466" s="115"/>
      <c r="M1466" s="115"/>
      <c r="N1466" s="115"/>
      <c r="O1466" s="115"/>
      <c r="P1466" s="115"/>
      <c r="Q1466" s="115"/>
      <c r="R1466" s="115"/>
      <c r="S1466" s="115"/>
      <c r="T1466" s="115"/>
      <c r="U1466" s="115"/>
      <c r="V1466" s="115"/>
      <c r="W1466" s="115"/>
      <c r="X1466" s="115"/>
      <c r="Y1466" s="115"/>
      <c r="Z1466" s="115"/>
      <c r="AA1466" s="115"/>
      <c r="AB1466" s="115"/>
      <c r="AC1466" s="115"/>
      <c r="AD1466" s="115"/>
      <c r="AE1466" s="115"/>
      <c r="AF1466" s="115"/>
      <c r="AG1466" s="115"/>
      <c r="AH1466" s="115"/>
      <c r="AI1466" s="115"/>
      <c r="AJ1466" s="115"/>
      <c r="AK1466" s="115"/>
      <c r="AL1466" s="115"/>
      <c r="AM1466" s="115"/>
      <c r="AN1466" s="115"/>
      <c r="AO1466" s="115"/>
      <c r="AP1466" s="115"/>
      <c r="AQ1466" s="115"/>
      <c r="AR1466" s="115"/>
      <c r="AS1466" s="115"/>
      <c r="AT1466" s="115"/>
      <c r="AU1466" s="115"/>
      <c r="AV1466" s="115"/>
      <c r="AW1466" s="115"/>
      <c r="AX1466" s="115"/>
      <c r="AY1466" s="115"/>
      <c r="AZ1466" s="115"/>
      <c r="BA1466" s="115"/>
      <c r="BB1466" s="115"/>
      <c r="BC1466" s="115"/>
      <c r="BD1466" s="115"/>
      <c r="BE1466" s="115"/>
      <c r="BF1466" s="122"/>
      <c r="BG1466" s="122"/>
      <c r="BH1466" s="122"/>
      <c r="BI1466" s="115"/>
      <c r="BJ1466" s="115"/>
      <c r="BK1466" s="115"/>
      <c r="BL1466" s="115"/>
      <c r="BM1466" s="115"/>
      <c r="BN1466" s="115"/>
      <c r="BO1466" s="115"/>
      <c r="BP1466" s="115"/>
      <c r="BQ1466" s="115"/>
      <c r="BR1466" s="115"/>
      <c r="BS1466" s="115"/>
      <c r="BT1466" s="115"/>
      <c r="BU1466" s="115"/>
      <c r="BV1466" s="115"/>
      <c r="BW1466" s="26"/>
      <c r="BX1466" s="15"/>
      <c r="CA1466" s="114"/>
    </row>
    <row r="1467" spans="1:79" x14ac:dyDescent="0.4">
      <c r="A1467" s="115"/>
      <c r="B1467" s="115"/>
      <c r="C1467" s="115"/>
      <c r="D1467" s="115"/>
      <c r="E1467" s="115"/>
      <c r="F1467" s="115"/>
      <c r="G1467" s="115"/>
      <c r="H1467" s="115"/>
      <c r="I1467" s="115"/>
      <c r="J1467" s="115"/>
      <c r="K1467" s="115"/>
      <c r="L1467" s="115"/>
      <c r="M1467" s="115"/>
      <c r="N1467" s="115"/>
      <c r="O1467" s="115"/>
      <c r="P1467" s="115"/>
      <c r="Q1467" s="115"/>
      <c r="R1467" s="115"/>
      <c r="S1467" s="115"/>
      <c r="T1467" s="115"/>
      <c r="U1467" s="115"/>
      <c r="V1467" s="115"/>
      <c r="W1467" s="115"/>
      <c r="X1467" s="115"/>
      <c r="Y1467" s="115"/>
      <c r="Z1467" s="115"/>
      <c r="AA1467" s="115"/>
      <c r="AB1467" s="115"/>
      <c r="AC1467" s="115"/>
      <c r="AD1467" s="115"/>
      <c r="AE1467" s="115"/>
      <c r="AF1467" s="115"/>
      <c r="AG1467" s="115"/>
      <c r="AH1467" s="115"/>
      <c r="AI1467" s="115"/>
      <c r="AJ1467" s="115"/>
      <c r="AK1467" s="115"/>
      <c r="AL1467" s="115"/>
      <c r="AM1467" s="115"/>
      <c r="AN1467" s="115"/>
      <c r="AO1467" s="115"/>
      <c r="AP1467" s="115"/>
      <c r="AQ1467" s="115"/>
      <c r="AR1467" s="115"/>
      <c r="AS1467" s="115"/>
      <c r="AT1467" s="115"/>
      <c r="AU1467" s="115"/>
      <c r="AV1467" s="115"/>
      <c r="AW1467" s="115"/>
      <c r="AX1467" s="115"/>
      <c r="AY1467" s="115"/>
      <c r="AZ1467" s="115"/>
      <c r="BA1467" s="115"/>
      <c r="BB1467" s="115"/>
      <c r="BC1467" s="115"/>
      <c r="BD1467" s="115"/>
      <c r="BE1467" s="115"/>
      <c r="BF1467" s="122"/>
      <c r="BG1467" s="122"/>
      <c r="BH1467" s="122"/>
      <c r="BI1467" s="115"/>
      <c r="BJ1467" s="115"/>
      <c r="BK1467" s="115"/>
      <c r="BL1467" s="115"/>
      <c r="BM1467" s="115"/>
      <c r="BN1467" s="115"/>
      <c r="BO1467" s="115"/>
      <c r="BP1467" s="115"/>
      <c r="BQ1467" s="115"/>
      <c r="BR1467" s="115"/>
      <c r="BS1467" s="115"/>
      <c r="BT1467" s="115"/>
      <c r="BU1467" s="115"/>
      <c r="BV1467" s="115"/>
      <c r="BW1467" s="26"/>
      <c r="BX1467" s="13"/>
      <c r="CA1467" s="114"/>
    </row>
    <row r="1468" spans="1:79" x14ac:dyDescent="0.4">
      <c r="A1468" s="115"/>
      <c r="B1468" s="115"/>
      <c r="C1468" s="115"/>
      <c r="D1468" s="115"/>
      <c r="E1468" s="115"/>
      <c r="F1468" s="115"/>
      <c r="G1468" s="115"/>
      <c r="H1468" s="115"/>
      <c r="I1468" s="115"/>
      <c r="J1468" s="115"/>
      <c r="K1468" s="115"/>
      <c r="L1468" s="115"/>
      <c r="M1468" s="115"/>
      <c r="N1468" s="115"/>
      <c r="O1468" s="115"/>
      <c r="P1468" s="115"/>
      <c r="Q1468" s="115"/>
      <c r="R1468" s="115"/>
      <c r="S1468" s="115"/>
      <c r="T1468" s="115"/>
      <c r="U1468" s="115"/>
      <c r="V1468" s="115"/>
      <c r="W1468" s="115"/>
      <c r="X1468" s="115"/>
      <c r="Y1468" s="115"/>
      <c r="Z1468" s="115"/>
      <c r="AA1468" s="115"/>
      <c r="AB1468" s="115"/>
      <c r="AC1468" s="115"/>
      <c r="AD1468" s="115"/>
      <c r="AE1468" s="115"/>
      <c r="AF1468" s="115"/>
      <c r="AG1468" s="115"/>
      <c r="AH1468" s="115"/>
      <c r="AI1468" s="115"/>
      <c r="AJ1468" s="115"/>
      <c r="AK1468" s="115"/>
      <c r="AL1468" s="115"/>
      <c r="AM1468" s="115"/>
      <c r="AN1468" s="115"/>
      <c r="AO1468" s="115"/>
      <c r="AP1468" s="115"/>
      <c r="AQ1468" s="115"/>
      <c r="AR1468" s="115"/>
      <c r="AS1468" s="115"/>
      <c r="AT1468" s="115"/>
      <c r="AU1468" s="115"/>
      <c r="AV1468" s="115"/>
      <c r="AW1468" s="115"/>
      <c r="AX1468" s="115"/>
      <c r="AY1468" s="115"/>
      <c r="AZ1468" s="115"/>
      <c r="BA1468" s="115"/>
      <c r="BB1468" s="115"/>
      <c r="BC1468" s="115"/>
      <c r="BD1468" s="115"/>
      <c r="BE1468" s="115"/>
      <c r="BF1468" s="122"/>
      <c r="BG1468" s="122"/>
      <c r="BH1468" s="122"/>
      <c r="BI1468" s="115"/>
      <c r="BJ1468" s="115"/>
      <c r="BK1468" s="115"/>
      <c r="BL1468" s="115"/>
      <c r="BM1468" s="115"/>
      <c r="BN1468" s="115"/>
      <c r="BO1468" s="115"/>
      <c r="BP1468" s="115"/>
      <c r="BQ1468" s="115"/>
      <c r="BR1468" s="115"/>
      <c r="BS1468" s="115"/>
      <c r="BT1468" s="115"/>
      <c r="BU1468" s="115"/>
      <c r="BV1468" s="115"/>
      <c r="BW1468" s="26"/>
      <c r="BX1468" s="15"/>
      <c r="CA1468" s="114"/>
    </row>
    <row r="1469" spans="1:79" x14ac:dyDescent="0.4">
      <c r="A1469" s="115"/>
      <c r="B1469" s="115"/>
      <c r="C1469" s="115"/>
      <c r="D1469" s="115"/>
      <c r="E1469" s="115"/>
      <c r="F1469" s="115"/>
      <c r="G1469" s="115"/>
      <c r="H1469" s="115"/>
      <c r="I1469" s="115"/>
      <c r="J1469" s="115"/>
      <c r="K1469" s="115"/>
      <c r="L1469" s="115"/>
      <c r="M1469" s="115"/>
      <c r="N1469" s="115"/>
      <c r="O1469" s="115"/>
      <c r="P1469" s="115"/>
      <c r="Q1469" s="115"/>
      <c r="R1469" s="115"/>
      <c r="S1469" s="115"/>
      <c r="T1469" s="115"/>
      <c r="U1469" s="115"/>
      <c r="V1469" s="115"/>
      <c r="W1469" s="115"/>
      <c r="X1469" s="115"/>
      <c r="Y1469" s="115"/>
      <c r="Z1469" s="115"/>
      <c r="AA1469" s="115"/>
      <c r="AB1469" s="115"/>
      <c r="AC1469" s="115"/>
      <c r="AD1469" s="115"/>
      <c r="AE1469" s="115"/>
      <c r="AF1469" s="115"/>
      <c r="AG1469" s="115"/>
      <c r="AH1469" s="115"/>
      <c r="AI1469" s="115"/>
      <c r="AJ1469" s="115"/>
      <c r="AK1469" s="115"/>
      <c r="AL1469" s="115"/>
      <c r="AM1469" s="115"/>
      <c r="AN1469" s="115"/>
      <c r="AO1469" s="115"/>
      <c r="AP1469" s="115"/>
      <c r="AQ1469" s="115"/>
      <c r="AR1469" s="115"/>
      <c r="AS1469" s="115"/>
      <c r="AT1469" s="115"/>
      <c r="AU1469" s="115"/>
      <c r="AV1469" s="115"/>
      <c r="AW1469" s="115"/>
      <c r="AX1469" s="115"/>
      <c r="AY1469" s="115"/>
      <c r="AZ1469" s="115"/>
      <c r="BA1469" s="115"/>
      <c r="BB1469" s="115"/>
      <c r="BC1469" s="115"/>
      <c r="BD1469" s="115"/>
      <c r="BE1469" s="115"/>
      <c r="BF1469" s="122"/>
      <c r="BG1469" s="122"/>
      <c r="BH1469" s="122"/>
      <c r="BI1469" s="115"/>
      <c r="BJ1469" s="115"/>
      <c r="BK1469" s="115"/>
      <c r="BL1469" s="115"/>
      <c r="BM1469" s="115"/>
      <c r="BN1469" s="115"/>
      <c r="BO1469" s="115"/>
      <c r="BP1469" s="115"/>
      <c r="BQ1469" s="115"/>
      <c r="BR1469" s="115"/>
      <c r="BS1469" s="115"/>
      <c r="BT1469" s="115"/>
      <c r="BU1469" s="115"/>
      <c r="BV1469" s="115"/>
      <c r="BW1469" s="26"/>
      <c r="BX1469" s="15"/>
      <c r="CA1469" s="114"/>
    </row>
    <row r="1470" spans="1:79" x14ac:dyDescent="0.4">
      <c r="A1470" s="115"/>
      <c r="B1470" s="115"/>
      <c r="C1470" s="115"/>
      <c r="D1470" s="115"/>
      <c r="E1470" s="115"/>
      <c r="F1470" s="115"/>
      <c r="G1470" s="115"/>
      <c r="H1470" s="115"/>
      <c r="I1470" s="115"/>
      <c r="J1470" s="115"/>
      <c r="K1470" s="115"/>
      <c r="L1470" s="115"/>
      <c r="M1470" s="115"/>
      <c r="N1470" s="115"/>
      <c r="O1470" s="115"/>
      <c r="P1470" s="115"/>
      <c r="Q1470" s="115"/>
      <c r="R1470" s="115"/>
      <c r="S1470" s="115"/>
      <c r="T1470" s="115"/>
      <c r="U1470" s="115"/>
      <c r="V1470" s="115"/>
      <c r="W1470" s="115"/>
      <c r="X1470" s="115"/>
      <c r="Y1470" s="115"/>
      <c r="Z1470" s="115"/>
      <c r="AA1470" s="115"/>
      <c r="AB1470" s="115"/>
      <c r="AC1470" s="115"/>
      <c r="AD1470" s="115"/>
      <c r="AE1470" s="115"/>
      <c r="AF1470" s="115"/>
      <c r="AG1470" s="115"/>
      <c r="AH1470" s="115"/>
      <c r="AI1470" s="115"/>
      <c r="AJ1470" s="115"/>
      <c r="AK1470" s="115"/>
      <c r="AL1470" s="115"/>
      <c r="AM1470" s="115"/>
      <c r="AN1470" s="115"/>
      <c r="AO1470" s="115"/>
      <c r="AP1470" s="115"/>
      <c r="AQ1470" s="115"/>
      <c r="AR1470" s="115"/>
      <c r="AS1470" s="115"/>
      <c r="AT1470" s="115"/>
      <c r="AU1470" s="115"/>
      <c r="AV1470" s="115"/>
      <c r="AW1470" s="115"/>
      <c r="AX1470" s="115"/>
      <c r="AY1470" s="115"/>
      <c r="AZ1470" s="115"/>
      <c r="BA1470" s="115"/>
      <c r="BB1470" s="115"/>
      <c r="BC1470" s="115"/>
      <c r="BD1470" s="115"/>
      <c r="BE1470" s="115"/>
      <c r="BF1470" s="122"/>
      <c r="BG1470" s="122"/>
      <c r="BH1470" s="122"/>
      <c r="BI1470" s="115"/>
      <c r="BJ1470" s="115"/>
      <c r="BK1470" s="115"/>
      <c r="BL1470" s="115"/>
      <c r="BM1470" s="115"/>
      <c r="BN1470" s="115"/>
      <c r="BO1470" s="115"/>
      <c r="BP1470" s="115"/>
      <c r="BQ1470" s="115"/>
      <c r="BR1470" s="115"/>
      <c r="BS1470" s="115"/>
      <c r="BT1470" s="115"/>
      <c r="BU1470" s="115"/>
      <c r="BV1470" s="115"/>
      <c r="BW1470" s="26"/>
      <c r="BX1470" s="15"/>
      <c r="CA1470" s="114"/>
    </row>
    <row r="1471" spans="1:79" x14ac:dyDescent="0.4">
      <c r="A1471" s="115"/>
      <c r="B1471" s="115"/>
      <c r="C1471" s="115"/>
      <c r="D1471" s="115"/>
      <c r="E1471" s="115"/>
      <c r="F1471" s="115"/>
      <c r="G1471" s="115"/>
      <c r="H1471" s="115"/>
      <c r="I1471" s="115"/>
      <c r="J1471" s="115"/>
      <c r="K1471" s="115"/>
      <c r="L1471" s="115"/>
      <c r="M1471" s="115"/>
      <c r="N1471" s="115"/>
      <c r="O1471" s="115"/>
      <c r="P1471" s="115"/>
      <c r="Q1471" s="115"/>
      <c r="R1471" s="115"/>
      <c r="S1471" s="115"/>
      <c r="T1471" s="115"/>
      <c r="U1471" s="115"/>
      <c r="V1471" s="115"/>
      <c r="W1471" s="115"/>
      <c r="X1471" s="115"/>
      <c r="Y1471" s="115"/>
      <c r="Z1471" s="115"/>
      <c r="AA1471" s="115"/>
      <c r="AB1471" s="115"/>
      <c r="AC1471" s="115"/>
      <c r="AD1471" s="115"/>
      <c r="AE1471" s="115"/>
      <c r="AF1471" s="115"/>
      <c r="AG1471" s="115"/>
      <c r="AH1471" s="115"/>
      <c r="AI1471" s="115"/>
      <c r="AJ1471" s="115"/>
      <c r="AK1471" s="115"/>
      <c r="AL1471" s="115"/>
      <c r="AM1471" s="115"/>
      <c r="AN1471" s="115"/>
      <c r="AO1471" s="115"/>
      <c r="AP1471" s="115"/>
      <c r="AQ1471" s="115"/>
      <c r="AR1471" s="115"/>
      <c r="AS1471" s="115"/>
      <c r="AT1471" s="115"/>
      <c r="AU1471" s="115"/>
      <c r="AV1471" s="115"/>
      <c r="AW1471" s="115"/>
      <c r="AX1471" s="115"/>
      <c r="AY1471" s="115"/>
      <c r="AZ1471" s="115"/>
      <c r="BA1471" s="115"/>
      <c r="BB1471" s="115"/>
      <c r="BC1471" s="115"/>
      <c r="BD1471" s="115"/>
      <c r="BE1471" s="115"/>
      <c r="BF1471" s="122"/>
      <c r="BG1471" s="122"/>
      <c r="BH1471" s="122"/>
      <c r="BI1471" s="115"/>
      <c r="BJ1471" s="115"/>
      <c r="BK1471" s="115"/>
      <c r="BL1471" s="115"/>
      <c r="BM1471" s="115"/>
      <c r="BN1471" s="115"/>
      <c r="BO1471" s="115"/>
      <c r="BP1471" s="115"/>
      <c r="BQ1471" s="115"/>
      <c r="BR1471" s="115"/>
      <c r="BS1471" s="115"/>
      <c r="BT1471" s="115"/>
      <c r="BU1471" s="115"/>
      <c r="BV1471" s="115"/>
      <c r="BW1471" s="26"/>
      <c r="BX1471" s="15"/>
      <c r="CA1471" s="114"/>
    </row>
    <row r="1472" spans="1:79" x14ac:dyDescent="0.4">
      <c r="A1472" s="115"/>
      <c r="B1472" s="115"/>
      <c r="C1472" s="115"/>
      <c r="D1472" s="115"/>
      <c r="E1472" s="115"/>
      <c r="F1472" s="115"/>
      <c r="G1472" s="115"/>
      <c r="H1472" s="115"/>
      <c r="I1472" s="115"/>
      <c r="J1472" s="115"/>
      <c r="K1472" s="115"/>
      <c r="L1472" s="115"/>
      <c r="M1472" s="115"/>
      <c r="N1472" s="115"/>
      <c r="O1472" s="115"/>
      <c r="P1472" s="115"/>
      <c r="Q1472" s="115"/>
      <c r="R1472" s="115"/>
      <c r="S1472" s="115"/>
      <c r="T1472" s="115"/>
      <c r="U1472" s="115"/>
      <c r="V1472" s="115"/>
      <c r="W1472" s="115"/>
      <c r="X1472" s="115"/>
      <c r="Y1472" s="115"/>
      <c r="Z1472" s="115"/>
      <c r="AA1472" s="115"/>
      <c r="AB1472" s="115"/>
      <c r="AC1472" s="115"/>
      <c r="AD1472" s="115"/>
      <c r="AE1472" s="115"/>
      <c r="AF1472" s="115"/>
      <c r="AG1472" s="115"/>
      <c r="AH1472" s="115"/>
      <c r="AI1472" s="115"/>
      <c r="AJ1472" s="115"/>
      <c r="AK1472" s="115"/>
      <c r="AL1472" s="115"/>
      <c r="AM1472" s="115"/>
      <c r="AN1472" s="115"/>
      <c r="AO1472" s="115"/>
      <c r="AP1472" s="115"/>
      <c r="AQ1472" s="115"/>
      <c r="AR1472" s="115"/>
      <c r="AS1472" s="115"/>
      <c r="AT1472" s="115"/>
      <c r="AU1472" s="115"/>
      <c r="AV1472" s="115"/>
      <c r="AW1472" s="115"/>
      <c r="AX1472" s="115"/>
      <c r="AY1472" s="115"/>
      <c r="AZ1472" s="115"/>
      <c r="BA1472" s="115"/>
      <c r="BB1472" s="115"/>
      <c r="BC1472" s="115"/>
      <c r="BD1472" s="115"/>
      <c r="BE1472" s="115"/>
      <c r="BF1472" s="122"/>
      <c r="BG1472" s="122"/>
      <c r="BH1472" s="122"/>
      <c r="BI1472" s="115"/>
      <c r="BJ1472" s="115"/>
      <c r="BK1472" s="115"/>
      <c r="BL1472" s="115"/>
      <c r="BM1472" s="115"/>
      <c r="BN1472" s="115"/>
      <c r="BO1472" s="115"/>
      <c r="BP1472" s="115"/>
      <c r="BQ1472" s="115"/>
      <c r="BR1472" s="115"/>
      <c r="BS1472" s="115"/>
      <c r="BT1472" s="115"/>
      <c r="BU1472" s="115"/>
      <c r="BV1472" s="115"/>
      <c r="BW1472" s="26"/>
      <c r="BX1472" s="15"/>
      <c r="CA1472" s="114"/>
    </row>
    <row r="1473" spans="1:79" x14ac:dyDescent="0.4">
      <c r="A1473" s="115"/>
      <c r="B1473" s="115"/>
      <c r="C1473" s="115"/>
      <c r="D1473" s="115"/>
      <c r="E1473" s="115"/>
      <c r="F1473" s="115"/>
      <c r="G1473" s="115"/>
      <c r="H1473" s="115"/>
      <c r="I1473" s="115"/>
      <c r="J1473" s="115"/>
      <c r="K1473" s="115"/>
      <c r="L1473" s="115"/>
      <c r="M1473" s="115"/>
      <c r="N1473" s="115"/>
      <c r="O1473" s="115"/>
      <c r="P1473" s="115"/>
      <c r="Q1473" s="115"/>
      <c r="R1473" s="115"/>
      <c r="S1473" s="115"/>
      <c r="T1473" s="115"/>
      <c r="U1473" s="115"/>
      <c r="V1473" s="115"/>
      <c r="W1473" s="115"/>
      <c r="X1473" s="115"/>
      <c r="Y1473" s="115"/>
      <c r="Z1473" s="115"/>
      <c r="AA1473" s="115"/>
      <c r="AB1473" s="115"/>
      <c r="AC1473" s="115"/>
      <c r="AD1473" s="115"/>
      <c r="AE1473" s="115"/>
      <c r="AF1473" s="115"/>
      <c r="AG1473" s="115"/>
      <c r="AH1473" s="115"/>
      <c r="AI1473" s="115"/>
      <c r="AJ1473" s="115"/>
      <c r="AK1473" s="115"/>
      <c r="AL1473" s="115"/>
      <c r="AM1473" s="115"/>
      <c r="AN1473" s="115"/>
      <c r="AO1473" s="115"/>
      <c r="AP1473" s="115"/>
      <c r="AQ1473" s="115"/>
      <c r="AR1473" s="115"/>
      <c r="AS1473" s="115"/>
      <c r="AT1473" s="115"/>
      <c r="AU1473" s="115"/>
      <c r="AV1473" s="115"/>
      <c r="AW1473" s="115"/>
      <c r="AX1473" s="115"/>
      <c r="AY1473" s="115"/>
      <c r="AZ1473" s="115"/>
      <c r="BA1473" s="115"/>
      <c r="BB1473" s="115"/>
      <c r="BC1473" s="115"/>
      <c r="BD1473" s="115"/>
      <c r="BE1473" s="115"/>
      <c r="BF1473" s="122"/>
      <c r="BG1473" s="122"/>
      <c r="BH1473" s="122"/>
      <c r="BI1473" s="115"/>
      <c r="BJ1473" s="115"/>
      <c r="BK1473" s="115"/>
      <c r="BL1473" s="115"/>
      <c r="BM1473" s="115"/>
      <c r="BN1473" s="115"/>
      <c r="BO1473" s="115"/>
      <c r="BP1473" s="115"/>
      <c r="BQ1473" s="115"/>
      <c r="BR1473" s="115"/>
      <c r="BS1473" s="115"/>
      <c r="BT1473" s="115"/>
      <c r="BU1473" s="115"/>
      <c r="BV1473" s="115"/>
      <c r="BW1473" s="26"/>
      <c r="BX1473" s="105"/>
      <c r="CA1473" s="114"/>
    </row>
    <row r="1474" spans="1:79" x14ac:dyDescent="0.4">
      <c r="A1474" s="115"/>
      <c r="B1474" s="115"/>
      <c r="C1474" s="115"/>
      <c r="D1474" s="115"/>
      <c r="E1474" s="115"/>
      <c r="F1474" s="115"/>
      <c r="G1474" s="115"/>
      <c r="H1474" s="115"/>
      <c r="I1474" s="115"/>
      <c r="J1474" s="115"/>
      <c r="K1474" s="115"/>
      <c r="L1474" s="115"/>
      <c r="M1474" s="115"/>
      <c r="N1474" s="115"/>
      <c r="O1474" s="115"/>
      <c r="P1474" s="115"/>
      <c r="Q1474" s="115"/>
      <c r="R1474" s="115"/>
      <c r="S1474" s="115"/>
      <c r="T1474" s="115"/>
      <c r="U1474" s="115"/>
      <c r="V1474" s="115"/>
      <c r="W1474" s="115"/>
      <c r="X1474" s="115"/>
      <c r="Y1474" s="115"/>
      <c r="Z1474" s="115"/>
      <c r="AA1474" s="115"/>
      <c r="AB1474" s="115"/>
      <c r="AC1474" s="115"/>
      <c r="AD1474" s="115"/>
      <c r="AE1474" s="115"/>
      <c r="AF1474" s="115"/>
      <c r="AG1474" s="115"/>
      <c r="AH1474" s="115"/>
      <c r="AI1474" s="115"/>
      <c r="AJ1474" s="115"/>
      <c r="AK1474" s="115"/>
      <c r="AL1474" s="115"/>
      <c r="AM1474" s="115"/>
      <c r="AN1474" s="115"/>
      <c r="AO1474" s="115"/>
      <c r="AP1474" s="115"/>
      <c r="AQ1474" s="115"/>
      <c r="AR1474" s="115"/>
      <c r="AS1474" s="115"/>
      <c r="AT1474" s="115"/>
      <c r="AU1474" s="115"/>
      <c r="AV1474" s="115"/>
      <c r="AW1474" s="115"/>
      <c r="AX1474" s="115"/>
      <c r="AY1474" s="115"/>
      <c r="AZ1474" s="115"/>
      <c r="BA1474" s="115"/>
      <c r="BB1474" s="115"/>
      <c r="BC1474" s="115"/>
      <c r="BD1474" s="115"/>
      <c r="BE1474" s="115"/>
      <c r="BF1474" s="122"/>
      <c r="BG1474" s="122"/>
      <c r="BH1474" s="122"/>
      <c r="BI1474" s="115"/>
      <c r="BJ1474" s="115"/>
      <c r="BK1474" s="115"/>
      <c r="BL1474" s="115"/>
      <c r="BM1474" s="115"/>
      <c r="BN1474" s="115"/>
      <c r="BO1474" s="115"/>
      <c r="BP1474" s="115"/>
      <c r="BQ1474" s="115"/>
      <c r="BR1474" s="115"/>
      <c r="BS1474" s="115"/>
      <c r="BT1474" s="115"/>
      <c r="BU1474" s="115"/>
      <c r="BV1474" s="115"/>
      <c r="BW1474" s="17"/>
      <c r="BX1474" s="15"/>
      <c r="CA1474" s="114"/>
    </row>
    <row r="1475" spans="1:79" x14ac:dyDescent="0.4">
      <c r="A1475" s="115"/>
      <c r="B1475" s="115"/>
      <c r="C1475" s="115"/>
      <c r="D1475" s="115"/>
      <c r="E1475" s="115"/>
      <c r="F1475" s="115"/>
      <c r="G1475" s="115"/>
      <c r="H1475" s="115"/>
      <c r="I1475" s="115"/>
      <c r="J1475" s="115"/>
      <c r="K1475" s="115"/>
      <c r="L1475" s="115"/>
      <c r="M1475" s="115"/>
      <c r="N1475" s="115"/>
      <c r="O1475" s="115"/>
      <c r="P1475" s="115"/>
      <c r="Q1475" s="115"/>
      <c r="R1475" s="115"/>
      <c r="S1475" s="115"/>
      <c r="T1475" s="115"/>
      <c r="U1475" s="115"/>
      <c r="V1475" s="115"/>
      <c r="W1475" s="115"/>
      <c r="X1475" s="115"/>
      <c r="Y1475" s="115"/>
      <c r="Z1475" s="115"/>
      <c r="AA1475" s="115"/>
      <c r="AB1475" s="115"/>
      <c r="AC1475" s="115"/>
      <c r="AD1475" s="115"/>
      <c r="AE1475" s="115"/>
      <c r="AF1475" s="115"/>
      <c r="AG1475" s="115"/>
      <c r="AH1475" s="115"/>
      <c r="AI1475" s="115"/>
      <c r="AJ1475" s="115"/>
      <c r="AK1475" s="115"/>
      <c r="AL1475" s="115"/>
      <c r="AM1475" s="115"/>
      <c r="AN1475" s="115"/>
      <c r="AO1475" s="115"/>
      <c r="AP1475" s="115"/>
      <c r="AQ1475" s="115"/>
      <c r="AR1475" s="115"/>
      <c r="AS1475" s="115"/>
      <c r="AT1475" s="115"/>
      <c r="AU1475" s="115"/>
      <c r="AV1475" s="115"/>
      <c r="AW1475" s="115"/>
      <c r="AX1475" s="115"/>
      <c r="AY1475" s="115"/>
      <c r="AZ1475" s="115"/>
      <c r="BA1475" s="115"/>
      <c r="BB1475" s="115"/>
      <c r="BC1475" s="115"/>
      <c r="BD1475" s="115"/>
      <c r="BE1475" s="115"/>
      <c r="BF1475" s="122"/>
      <c r="BG1475" s="122"/>
      <c r="BH1475" s="122"/>
      <c r="BI1475" s="115"/>
      <c r="BJ1475" s="115"/>
      <c r="BK1475" s="115"/>
      <c r="BL1475" s="115"/>
      <c r="BM1475" s="115"/>
      <c r="BN1475" s="115"/>
      <c r="BO1475" s="115"/>
      <c r="BP1475" s="115"/>
      <c r="BQ1475" s="115"/>
      <c r="BR1475" s="115"/>
      <c r="BS1475" s="115"/>
      <c r="BT1475" s="115"/>
      <c r="BU1475" s="115"/>
      <c r="BV1475" s="115"/>
      <c r="BW1475" s="26"/>
      <c r="BX1475" s="15"/>
      <c r="CA1475" s="114"/>
    </row>
    <row r="1476" spans="1:79" x14ac:dyDescent="0.4">
      <c r="A1476" s="115"/>
      <c r="B1476" s="115"/>
      <c r="C1476" s="115"/>
      <c r="D1476" s="115"/>
      <c r="E1476" s="115"/>
      <c r="F1476" s="115"/>
      <c r="G1476" s="115"/>
      <c r="H1476" s="115"/>
      <c r="I1476" s="115"/>
      <c r="J1476" s="115"/>
      <c r="K1476" s="115"/>
      <c r="L1476" s="115"/>
      <c r="M1476" s="115"/>
      <c r="N1476" s="115"/>
      <c r="O1476" s="115"/>
      <c r="P1476" s="115"/>
      <c r="Q1476" s="115"/>
      <c r="R1476" s="115"/>
      <c r="S1476" s="115"/>
      <c r="T1476" s="115"/>
      <c r="U1476" s="115"/>
      <c r="V1476" s="115"/>
      <c r="W1476" s="115"/>
      <c r="X1476" s="115"/>
      <c r="Y1476" s="115"/>
      <c r="Z1476" s="115"/>
      <c r="AA1476" s="115"/>
      <c r="AB1476" s="115"/>
      <c r="AC1476" s="115"/>
      <c r="AD1476" s="115"/>
      <c r="AE1476" s="115"/>
      <c r="AF1476" s="115"/>
      <c r="AG1476" s="115"/>
      <c r="AH1476" s="115"/>
      <c r="AI1476" s="115"/>
      <c r="AJ1476" s="115"/>
      <c r="AK1476" s="115"/>
      <c r="AL1476" s="115"/>
      <c r="AM1476" s="115"/>
      <c r="AN1476" s="115"/>
      <c r="AO1476" s="115"/>
      <c r="AP1476" s="115"/>
      <c r="AQ1476" s="115"/>
      <c r="AR1476" s="115"/>
      <c r="AS1476" s="115"/>
      <c r="AT1476" s="115"/>
      <c r="AU1476" s="115"/>
      <c r="AV1476" s="115"/>
      <c r="AW1476" s="115"/>
      <c r="AX1476" s="115"/>
      <c r="AY1476" s="115"/>
      <c r="AZ1476" s="115"/>
      <c r="BA1476" s="115"/>
      <c r="BB1476" s="115"/>
      <c r="BC1476" s="115"/>
      <c r="BD1476" s="115"/>
      <c r="BE1476" s="115"/>
      <c r="BF1476" s="122"/>
      <c r="BG1476" s="122"/>
      <c r="BH1476" s="122"/>
      <c r="BI1476" s="115"/>
      <c r="BJ1476" s="115"/>
      <c r="BK1476" s="115"/>
      <c r="BL1476" s="115"/>
      <c r="BM1476" s="115"/>
      <c r="BN1476" s="115"/>
      <c r="BO1476" s="115"/>
      <c r="BP1476" s="115"/>
      <c r="BQ1476" s="115"/>
      <c r="BR1476" s="115"/>
      <c r="BS1476" s="115"/>
      <c r="BT1476" s="115"/>
      <c r="BU1476" s="115"/>
      <c r="BV1476" s="115"/>
      <c r="BW1476" s="26"/>
      <c r="BX1476" s="15"/>
      <c r="CA1476" s="114"/>
    </row>
    <row r="1477" spans="1:79" x14ac:dyDescent="0.4">
      <c r="A1477" s="115"/>
      <c r="B1477" s="115"/>
      <c r="C1477" s="115"/>
      <c r="D1477" s="115"/>
      <c r="E1477" s="115"/>
      <c r="F1477" s="115"/>
      <c r="G1477" s="115"/>
      <c r="H1477" s="115"/>
      <c r="I1477" s="115"/>
      <c r="J1477" s="115"/>
      <c r="K1477" s="115"/>
      <c r="L1477" s="115"/>
      <c r="M1477" s="115"/>
      <c r="N1477" s="115"/>
      <c r="O1477" s="115"/>
      <c r="P1477" s="115"/>
      <c r="Q1477" s="115"/>
      <c r="R1477" s="115"/>
      <c r="S1477" s="115"/>
      <c r="T1477" s="115"/>
      <c r="U1477" s="115"/>
      <c r="V1477" s="115"/>
      <c r="W1477" s="115"/>
      <c r="X1477" s="115"/>
      <c r="Y1477" s="115"/>
      <c r="Z1477" s="115"/>
      <c r="AA1477" s="115"/>
      <c r="AB1477" s="115"/>
      <c r="AC1477" s="115"/>
      <c r="AD1477" s="115"/>
      <c r="AE1477" s="115"/>
      <c r="AF1477" s="115"/>
      <c r="AG1477" s="115"/>
      <c r="AH1477" s="115"/>
      <c r="AI1477" s="115"/>
      <c r="AJ1477" s="115"/>
      <c r="AK1477" s="115"/>
      <c r="AL1477" s="115"/>
      <c r="AM1477" s="115"/>
      <c r="AN1477" s="115"/>
      <c r="AO1477" s="115"/>
      <c r="AP1477" s="115"/>
      <c r="AQ1477" s="115"/>
      <c r="AR1477" s="115"/>
      <c r="AS1477" s="115"/>
      <c r="AT1477" s="115"/>
      <c r="AU1477" s="115"/>
      <c r="AV1477" s="115"/>
      <c r="AW1477" s="115"/>
      <c r="AX1477" s="115"/>
      <c r="AY1477" s="115"/>
      <c r="AZ1477" s="115"/>
      <c r="BA1477" s="115"/>
      <c r="BB1477" s="115"/>
      <c r="BC1477" s="115"/>
      <c r="BD1477" s="115"/>
      <c r="BE1477" s="115"/>
      <c r="BF1477" s="122"/>
      <c r="BG1477" s="122"/>
      <c r="BH1477" s="122"/>
      <c r="BI1477" s="115"/>
      <c r="BJ1477" s="115"/>
      <c r="BK1477" s="115"/>
      <c r="BL1477" s="115"/>
      <c r="BM1477" s="115"/>
      <c r="BN1477" s="115"/>
      <c r="BO1477" s="115"/>
      <c r="BP1477" s="115"/>
      <c r="BQ1477" s="115"/>
      <c r="BR1477" s="115"/>
      <c r="BS1477" s="115"/>
      <c r="BT1477" s="115"/>
      <c r="BU1477" s="115"/>
      <c r="BV1477" s="115"/>
      <c r="BW1477" s="26"/>
      <c r="BX1477" s="105"/>
      <c r="CA1477" s="114"/>
    </row>
    <row r="1478" spans="1:79" x14ac:dyDescent="0.4">
      <c r="BW1478" s="26"/>
      <c r="BX1478" s="15"/>
      <c r="CA1478" s="114"/>
    </row>
    <row r="1479" spans="1:79" x14ac:dyDescent="0.4">
      <c r="BG1479" s="122"/>
      <c r="BH1479" s="122"/>
      <c r="BI1479" s="115"/>
      <c r="BJ1479" s="115"/>
      <c r="BK1479" s="115"/>
      <c r="BL1479" s="115"/>
      <c r="BM1479" s="115"/>
      <c r="BN1479" s="115"/>
      <c r="BO1479" s="115"/>
      <c r="BP1479" s="115"/>
      <c r="BQ1479" s="115"/>
      <c r="BR1479" s="115"/>
      <c r="BS1479" s="115"/>
      <c r="BT1479" s="115"/>
      <c r="BU1479" s="115"/>
      <c r="BV1479" s="115"/>
      <c r="BW1479" s="26"/>
      <c r="BX1479" s="15"/>
      <c r="CA1479" s="114"/>
    </row>
    <row r="1480" spans="1:79" x14ac:dyDescent="0.4">
      <c r="BC1480" s="115"/>
      <c r="BD1480" s="115"/>
      <c r="BE1480" s="115"/>
      <c r="BF1480" s="122"/>
      <c r="BG1480" s="122"/>
      <c r="BH1480" s="122"/>
      <c r="BI1480" s="115"/>
      <c r="BJ1480" s="115"/>
      <c r="BK1480" s="115"/>
      <c r="BL1480" s="115"/>
      <c r="BM1480" s="115"/>
      <c r="BN1480" s="115"/>
      <c r="BO1480" s="115"/>
      <c r="BP1480" s="115"/>
      <c r="BQ1480" s="115"/>
      <c r="BR1480" s="115"/>
      <c r="BS1480" s="115"/>
      <c r="BT1480" s="115"/>
      <c r="BU1480" s="115"/>
      <c r="BV1480" s="115"/>
      <c r="BW1480" s="26"/>
      <c r="BX1480" s="15"/>
      <c r="CA1480" s="114"/>
    </row>
    <row r="1481" spans="1:79" x14ac:dyDescent="0.4">
      <c r="B1481" s="115"/>
      <c r="C1481" s="115"/>
      <c r="D1481" s="115"/>
      <c r="E1481" s="115"/>
      <c r="F1481" s="115"/>
      <c r="G1481" s="115"/>
      <c r="H1481" s="115"/>
      <c r="I1481" s="115"/>
      <c r="J1481" s="115"/>
      <c r="K1481" s="115"/>
      <c r="L1481" s="115"/>
      <c r="M1481" s="115"/>
      <c r="N1481" s="115"/>
      <c r="O1481" s="115"/>
      <c r="P1481" s="115"/>
      <c r="Q1481" s="115"/>
      <c r="R1481" s="115"/>
      <c r="S1481" s="115"/>
      <c r="T1481" s="115"/>
      <c r="U1481" s="115"/>
      <c r="V1481" s="115"/>
      <c r="W1481" s="115"/>
      <c r="X1481" s="115"/>
      <c r="Y1481" s="115"/>
      <c r="Z1481" s="115"/>
      <c r="AA1481" s="115"/>
      <c r="AB1481" s="115"/>
      <c r="AC1481" s="115"/>
      <c r="AD1481" s="115"/>
      <c r="AE1481" s="115"/>
      <c r="AF1481" s="115"/>
      <c r="AG1481" s="115"/>
      <c r="AH1481" s="115"/>
      <c r="AI1481" s="115"/>
      <c r="AJ1481" s="115"/>
      <c r="AK1481" s="115"/>
      <c r="AL1481" s="115"/>
      <c r="AM1481" s="115"/>
      <c r="AN1481" s="115"/>
      <c r="AO1481" s="115"/>
      <c r="AP1481" s="115"/>
      <c r="AQ1481" s="115"/>
      <c r="AR1481" s="115"/>
      <c r="AS1481" s="115"/>
      <c r="AT1481" s="115"/>
      <c r="AU1481" s="115"/>
      <c r="AV1481" s="115"/>
      <c r="AW1481" s="115"/>
      <c r="AX1481" s="115"/>
      <c r="AY1481" s="115"/>
      <c r="AZ1481" s="115"/>
      <c r="BA1481" s="115"/>
      <c r="BB1481" s="115"/>
      <c r="BC1481" s="115"/>
      <c r="BD1481" s="115"/>
      <c r="BE1481" s="115"/>
      <c r="BF1481" s="122"/>
      <c r="BG1481" s="122"/>
      <c r="BH1481" s="122"/>
      <c r="BI1481" s="115"/>
      <c r="BJ1481" s="115"/>
      <c r="BK1481" s="115"/>
      <c r="BL1481" s="115"/>
      <c r="BM1481" s="115"/>
      <c r="BN1481" s="115"/>
      <c r="BO1481" s="115"/>
      <c r="BP1481" s="115"/>
      <c r="BQ1481" s="115"/>
      <c r="BR1481" s="115"/>
      <c r="BS1481" s="115"/>
      <c r="BT1481" s="115"/>
      <c r="BU1481" s="115"/>
      <c r="BV1481" s="115"/>
      <c r="BW1481" s="26"/>
      <c r="BX1481" s="15"/>
      <c r="CA1481" s="114"/>
    </row>
    <row r="1482" spans="1:79" x14ac:dyDescent="0.4">
      <c r="B1482" s="115"/>
      <c r="C1482" s="115"/>
      <c r="D1482" s="115"/>
      <c r="E1482" s="115"/>
      <c r="F1482" s="115"/>
      <c r="G1482" s="115"/>
      <c r="H1482" s="115"/>
      <c r="I1482" s="115"/>
      <c r="J1482" s="115"/>
      <c r="K1482" s="115"/>
      <c r="L1482" s="115"/>
      <c r="M1482" s="115"/>
      <c r="N1482" s="115"/>
      <c r="O1482" s="115"/>
      <c r="P1482" s="115"/>
      <c r="Q1482" s="115"/>
      <c r="R1482" s="115"/>
      <c r="S1482" s="115"/>
      <c r="T1482" s="115"/>
      <c r="U1482" s="115"/>
      <c r="V1482" s="115"/>
      <c r="W1482" s="115"/>
      <c r="X1482" s="115"/>
      <c r="Y1482" s="115"/>
      <c r="Z1482" s="115"/>
      <c r="AA1482" s="115"/>
      <c r="AB1482" s="115"/>
      <c r="AC1482" s="115"/>
      <c r="AD1482" s="115"/>
      <c r="AE1482" s="115"/>
      <c r="AF1482" s="115"/>
      <c r="AG1482" s="115"/>
      <c r="AH1482" s="115"/>
      <c r="AI1482" s="115"/>
      <c r="AJ1482" s="115"/>
      <c r="AK1482" s="115"/>
      <c r="AL1482" s="115"/>
      <c r="AM1482" s="115"/>
      <c r="AN1482" s="115"/>
      <c r="AO1482" s="115"/>
      <c r="AP1482" s="115"/>
      <c r="AQ1482" s="115"/>
      <c r="AR1482" s="115"/>
      <c r="AS1482" s="115"/>
      <c r="AT1482" s="115"/>
      <c r="AU1482" s="115"/>
      <c r="AV1482" s="115"/>
      <c r="AW1482" s="115"/>
      <c r="AX1482" s="115"/>
      <c r="AY1482" s="115"/>
      <c r="AZ1482" s="115"/>
      <c r="BA1482" s="115"/>
      <c r="BB1482" s="115"/>
      <c r="BC1482" s="115"/>
      <c r="BD1482" s="115"/>
      <c r="BE1482" s="115"/>
      <c r="BF1482" s="122"/>
      <c r="BG1482" s="122"/>
      <c r="BH1482" s="122"/>
      <c r="BI1482" s="115"/>
      <c r="BJ1482" s="115"/>
      <c r="BK1482" s="115"/>
      <c r="BL1482" s="115"/>
      <c r="BM1482" s="115"/>
      <c r="BN1482" s="115"/>
      <c r="BO1482" s="115"/>
      <c r="BP1482" s="115"/>
      <c r="BQ1482" s="115"/>
      <c r="BR1482" s="115"/>
      <c r="BS1482" s="115"/>
      <c r="BT1482" s="115"/>
      <c r="BU1482" s="115"/>
      <c r="BV1482" s="115"/>
      <c r="BW1482" s="17"/>
      <c r="BX1482" s="15"/>
      <c r="CA1482" s="114"/>
    </row>
    <row r="1483" spans="1:79" x14ac:dyDescent="0.4">
      <c r="B1483" s="115"/>
      <c r="C1483" s="115"/>
      <c r="D1483" s="115"/>
      <c r="E1483" s="115"/>
      <c r="F1483" s="115"/>
      <c r="G1483" s="115"/>
      <c r="H1483" s="115"/>
      <c r="I1483" s="115"/>
      <c r="J1483" s="115"/>
      <c r="K1483" s="115"/>
      <c r="L1483" s="115"/>
      <c r="M1483" s="115"/>
      <c r="N1483" s="115"/>
      <c r="O1483" s="115"/>
      <c r="P1483" s="115"/>
      <c r="Q1483" s="115"/>
      <c r="R1483" s="115"/>
      <c r="S1483" s="115"/>
      <c r="T1483" s="115"/>
      <c r="U1483" s="115"/>
      <c r="V1483" s="115"/>
      <c r="W1483" s="115"/>
      <c r="X1483" s="115"/>
      <c r="Y1483" s="115"/>
      <c r="Z1483" s="115"/>
      <c r="AA1483" s="115"/>
      <c r="AB1483" s="115"/>
      <c r="AC1483" s="115"/>
      <c r="AD1483" s="115"/>
      <c r="AE1483" s="115"/>
      <c r="AF1483" s="115"/>
      <c r="AG1483" s="115"/>
      <c r="AH1483" s="115"/>
      <c r="AI1483" s="115"/>
      <c r="AJ1483" s="115"/>
      <c r="AK1483" s="115"/>
      <c r="AL1483" s="115"/>
      <c r="AM1483" s="115"/>
      <c r="AN1483" s="115"/>
      <c r="AO1483" s="115"/>
      <c r="AP1483" s="115"/>
      <c r="AQ1483" s="115"/>
      <c r="AR1483" s="115"/>
      <c r="AS1483" s="115"/>
      <c r="AT1483" s="115"/>
      <c r="AU1483" s="115"/>
      <c r="AV1483" s="115"/>
      <c r="AW1483" s="115"/>
      <c r="AX1483" s="115"/>
      <c r="AY1483" s="115"/>
      <c r="AZ1483" s="115"/>
      <c r="BA1483" s="115"/>
      <c r="BB1483" s="115"/>
      <c r="BC1483" s="115"/>
      <c r="BD1483" s="115"/>
      <c r="BE1483" s="115"/>
      <c r="BF1483" s="122"/>
      <c r="BG1483" s="122"/>
      <c r="BH1483" s="122"/>
      <c r="BI1483" s="115"/>
      <c r="BJ1483" s="115"/>
      <c r="BK1483" s="115"/>
      <c r="BL1483" s="115"/>
      <c r="BM1483" s="115"/>
      <c r="BN1483" s="115"/>
      <c r="BO1483" s="115"/>
      <c r="BP1483" s="115"/>
      <c r="BQ1483" s="115"/>
      <c r="BR1483" s="115"/>
      <c r="BS1483" s="115"/>
      <c r="BT1483" s="115"/>
      <c r="BU1483" s="115"/>
      <c r="BV1483" s="115"/>
      <c r="BW1483" s="26"/>
      <c r="BX1483" s="15"/>
      <c r="CA1483" s="114"/>
    </row>
    <row r="1484" spans="1:79" x14ac:dyDescent="0.4">
      <c r="B1484" s="115"/>
      <c r="C1484" s="115"/>
      <c r="D1484" s="115"/>
      <c r="E1484" s="115"/>
      <c r="F1484" s="115"/>
      <c r="G1484" s="115"/>
      <c r="H1484" s="115"/>
      <c r="I1484" s="115"/>
      <c r="J1484" s="115"/>
      <c r="K1484" s="115"/>
      <c r="L1484" s="115"/>
      <c r="M1484" s="115"/>
      <c r="N1484" s="115"/>
      <c r="O1484" s="115"/>
      <c r="P1484" s="115"/>
      <c r="Q1484" s="115"/>
      <c r="R1484" s="115"/>
      <c r="S1484" s="115"/>
      <c r="T1484" s="115"/>
      <c r="U1484" s="115"/>
      <c r="V1484" s="115"/>
      <c r="W1484" s="115"/>
      <c r="X1484" s="115"/>
      <c r="Y1484" s="115"/>
      <c r="Z1484" s="115"/>
      <c r="AA1484" s="115"/>
      <c r="AB1484" s="115"/>
      <c r="AC1484" s="115"/>
      <c r="AD1484" s="115"/>
      <c r="AE1484" s="115"/>
      <c r="AF1484" s="115"/>
      <c r="AG1484" s="115"/>
      <c r="AH1484" s="115"/>
      <c r="AI1484" s="115"/>
      <c r="AJ1484" s="115"/>
      <c r="AK1484" s="115"/>
      <c r="AL1484" s="115"/>
      <c r="AM1484" s="115"/>
      <c r="AN1484" s="115"/>
      <c r="AO1484" s="115"/>
      <c r="AP1484" s="115"/>
      <c r="AQ1484" s="115"/>
      <c r="AR1484" s="115"/>
      <c r="AS1484" s="115"/>
      <c r="AT1484" s="115"/>
      <c r="AU1484" s="115"/>
      <c r="AV1484" s="115"/>
      <c r="AW1484" s="115"/>
      <c r="AX1484" s="115"/>
      <c r="AY1484" s="115"/>
      <c r="AZ1484" s="115"/>
      <c r="BA1484" s="115"/>
      <c r="BB1484" s="115"/>
      <c r="BC1484" s="115"/>
      <c r="BD1484" s="115"/>
      <c r="BE1484" s="115"/>
      <c r="BF1484" s="122"/>
      <c r="BG1484" s="122"/>
      <c r="BH1484" s="122"/>
      <c r="BI1484" s="115"/>
      <c r="BJ1484" s="115"/>
      <c r="BK1484" s="115"/>
      <c r="BL1484" s="115"/>
      <c r="BM1484" s="115"/>
      <c r="BN1484" s="115"/>
      <c r="BO1484" s="115"/>
      <c r="BP1484" s="115"/>
      <c r="BQ1484" s="115"/>
      <c r="BR1484" s="115"/>
      <c r="BS1484" s="115"/>
      <c r="BT1484" s="115"/>
      <c r="BU1484" s="115"/>
      <c r="BV1484" s="115"/>
      <c r="BW1484" s="26"/>
      <c r="BX1484" s="15"/>
      <c r="CA1484" s="114"/>
    </row>
    <row r="1485" spans="1:79" x14ac:dyDescent="0.4">
      <c r="B1485" s="115"/>
      <c r="C1485" s="115"/>
      <c r="D1485" s="115"/>
      <c r="E1485" s="115"/>
      <c r="F1485" s="115"/>
      <c r="G1485" s="115"/>
      <c r="H1485" s="115"/>
      <c r="I1485" s="115"/>
      <c r="J1485" s="115"/>
      <c r="K1485" s="115"/>
      <c r="L1485" s="115"/>
      <c r="M1485" s="115"/>
      <c r="N1485" s="115"/>
      <c r="O1485" s="115"/>
      <c r="P1485" s="115"/>
      <c r="Q1485" s="115"/>
      <c r="R1485" s="115"/>
      <c r="S1485" s="115"/>
      <c r="T1485" s="115"/>
      <c r="U1485" s="115"/>
      <c r="V1485" s="115"/>
      <c r="W1485" s="115"/>
      <c r="X1485" s="115"/>
      <c r="Y1485" s="115"/>
      <c r="Z1485" s="115"/>
      <c r="AA1485" s="115"/>
      <c r="AB1485" s="115"/>
      <c r="AC1485" s="115"/>
      <c r="AD1485" s="115"/>
      <c r="AE1485" s="115"/>
      <c r="AF1485" s="115"/>
      <c r="AG1485" s="115"/>
      <c r="AH1485" s="115"/>
      <c r="AI1485" s="115"/>
      <c r="AJ1485" s="115"/>
      <c r="AK1485" s="115"/>
      <c r="AL1485" s="115"/>
      <c r="AM1485" s="115"/>
      <c r="AN1485" s="115"/>
      <c r="AO1485" s="115"/>
      <c r="AP1485" s="115"/>
      <c r="AQ1485" s="115"/>
      <c r="AR1485" s="115"/>
      <c r="AS1485" s="115"/>
      <c r="AT1485" s="115"/>
      <c r="AU1485" s="115"/>
      <c r="AV1485" s="115"/>
      <c r="AW1485" s="115"/>
      <c r="AX1485" s="115"/>
      <c r="AY1485" s="115"/>
      <c r="AZ1485" s="115"/>
      <c r="BA1485" s="115"/>
      <c r="BB1485" s="115"/>
      <c r="BC1485" s="115"/>
      <c r="BD1485" s="115"/>
      <c r="BE1485" s="115"/>
      <c r="BF1485" s="122"/>
      <c r="BG1485" s="122"/>
      <c r="BH1485" s="122"/>
      <c r="BI1485" s="115"/>
      <c r="BJ1485" s="115"/>
      <c r="BK1485" s="115"/>
      <c r="BL1485" s="115"/>
      <c r="BM1485" s="115"/>
      <c r="BN1485" s="115"/>
      <c r="BO1485" s="115"/>
      <c r="BP1485" s="115"/>
      <c r="BQ1485" s="115"/>
      <c r="BR1485" s="115"/>
      <c r="BS1485" s="115"/>
      <c r="BT1485" s="115"/>
      <c r="BU1485" s="115"/>
      <c r="BV1485" s="115"/>
      <c r="BW1485" s="26"/>
      <c r="BX1485" s="15"/>
      <c r="CA1485" s="114"/>
    </row>
    <row r="1486" spans="1:79" x14ac:dyDescent="0.4">
      <c r="B1486" s="115"/>
      <c r="C1486" s="115"/>
      <c r="D1486" s="115"/>
      <c r="E1486" s="115"/>
      <c r="F1486" s="115"/>
      <c r="G1486" s="115"/>
      <c r="H1486" s="115"/>
      <c r="I1486" s="115"/>
      <c r="J1486" s="115"/>
      <c r="K1486" s="115"/>
      <c r="L1486" s="115"/>
      <c r="M1486" s="115"/>
      <c r="N1486" s="115"/>
      <c r="O1486" s="115"/>
      <c r="P1486" s="115"/>
      <c r="Q1486" s="115"/>
      <c r="R1486" s="115"/>
      <c r="S1486" s="115"/>
      <c r="T1486" s="115"/>
      <c r="U1486" s="115"/>
      <c r="V1486" s="115"/>
      <c r="W1486" s="115"/>
      <c r="X1486" s="115"/>
      <c r="Y1486" s="115"/>
      <c r="Z1486" s="115"/>
      <c r="AA1486" s="115"/>
      <c r="AB1486" s="115"/>
      <c r="AC1486" s="115"/>
      <c r="AD1486" s="115"/>
      <c r="AE1486" s="115"/>
      <c r="AF1486" s="115"/>
      <c r="AG1486" s="115"/>
      <c r="AH1486" s="115"/>
      <c r="AI1486" s="115"/>
      <c r="AJ1486" s="115"/>
      <c r="AK1486" s="115"/>
      <c r="AL1486" s="115"/>
      <c r="AM1486" s="115"/>
      <c r="AN1486" s="115"/>
      <c r="AO1486" s="115"/>
      <c r="AP1486" s="115"/>
      <c r="AQ1486" s="115"/>
      <c r="AR1486" s="115"/>
      <c r="AS1486" s="115"/>
      <c r="AT1486" s="115"/>
      <c r="AU1486" s="115"/>
      <c r="AV1486" s="115"/>
      <c r="AW1486" s="115"/>
      <c r="AX1486" s="115"/>
      <c r="AY1486" s="115"/>
      <c r="AZ1486" s="115"/>
      <c r="BA1486" s="115"/>
      <c r="BB1486" s="115"/>
      <c r="BC1486" s="115"/>
      <c r="BD1486" s="115"/>
      <c r="BE1486" s="115"/>
      <c r="BF1486" s="122"/>
      <c r="BG1486" s="122"/>
      <c r="BH1486" s="122"/>
      <c r="BI1486" s="115"/>
      <c r="BJ1486" s="115"/>
      <c r="BK1486" s="115"/>
      <c r="BL1486" s="115"/>
      <c r="BM1486" s="115"/>
      <c r="BN1486" s="115"/>
      <c r="BO1486" s="115"/>
      <c r="BP1486" s="115"/>
      <c r="BQ1486" s="115"/>
      <c r="BR1486" s="115"/>
      <c r="BS1486" s="115"/>
      <c r="BT1486" s="115"/>
      <c r="BU1486" s="115"/>
      <c r="BV1486" s="115"/>
      <c r="BW1486" s="26"/>
      <c r="BX1486" s="15"/>
      <c r="CA1486" s="114"/>
    </row>
    <row r="1487" spans="1:79" x14ac:dyDescent="0.4">
      <c r="B1487" s="115"/>
      <c r="C1487" s="115"/>
      <c r="D1487" s="115"/>
      <c r="E1487" s="115"/>
      <c r="F1487" s="115"/>
      <c r="G1487" s="115"/>
      <c r="H1487" s="115"/>
      <c r="I1487" s="115"/>
      <c r="J1487" s="115"/>
      <c r="K1487" s="115"/>
      <c r="L1487" s="115"/>
      <c r="M1487" s="115"/>
      <c r="N1487" s="115"/>
      <c r="O1487" s="115"/>
      <c r="P1487" s="115"/>
      <c r="Q1487" s="115"/>
      <c r="R1487" s="115"/>
      <c r="S1487" s="115"/>
      <c r="T1487" s="115"/>
      <c r="U1487" s="115"/>
      <c r="V1487" s="115"/>
      <c r="W1487" s="115"/>
      <c r="X1487" s="115"/>
      <c r="Y1487" s="115"/>
      <c r="Z1487" s="115"/>
      <c r="AA1487" s="115"/>
      <c r="AB1487" s="115"/>
      <c r="AC1487" s="115"/>
      <c r="AD1487" s="115"/>
      <c r="AE1487" s="115"/>
      <c r="AF1487" s="115"/>
      <c r="AG1487" s="115"/>
      <c r="AH1487" s="115"/>
      <c r="AI1487" s="115"/>
      <c r="AJ1487" s="115"/>
      <c r="AK1487" s="115"/>
      <c r="AL1487" s="115"/>
      <c r="AM1487" s="115"/>
      <c r="AN1487" s="115"/>
      <c r="AO1487" s="115"/>
      <c r="AP1487" s="115"/>
      <c r="AQ1487" s="115"/>
      <c r="AR1487" s="115"/>
      <c r="AS1487" s="115"/>
      <c r="AT1487" s="115"/>
      <c r="AU1487" s="115"/>
      <c r="AV1487" s="115"/>
      <c r="AW1487" s="115"/>
      <c r="AX1487" s="115"/>
      <c r="AY1487" s="115"/>
      <c r="AZ1487" s="115"/>
      <c r="BA1487" s="115"/>
      <c r="BB1487" s="115"/>
      <c r="BC1487" s="115"/>
      <c r="BD1487" s="115"/>
      <c r="BE1487" s="115"/>
      <c r="BF1487" s="122"/>
      <c r="BG1487" s="122"/>
      <c r="BH1487" s="122"/>
      <c r="BI1487" s="115"/>
      <c r="BJ1487" s="115"/>
      <c r="BK1487" s="115"/>
      <c r="BL1487" s="115"/>
      <c r="BM1487" s="115"/>
      <c r="BN1487" s="115"/>
      <c r="BO1487" s="115"/>
      <c r="BP1487" s="115"/>
      <c r="BQ1487" s="115"/>
      <c r="BR1487" s="115"/>
      <c r="BS1487" s="115"/>
      <c r="BT1487" s="115"/>
      <c r="BU1487" s="115"/>
      <c r="BV1487" s="115"/>
      <c r="BW1487" s="26"/>
      <c r="BX1487" s="15"/>
      <c r="CA1487" s="114"/>
    </row>
    <row r="1488" spans="1:79" x14ac:dyDescent="0.4">
      <c r="B1488" s="115"/>
      <c r="C1488" s="115"/>
      <c r="D1488" s="115"/>
      <c r="E1488" s="115"/>
      <c r="F1488" s="115"/>
      <c r="G1488" s="115"/>
      <c r="H1488" s="115"/>
      <c r="I1488" s="115"/>
      <c r="J1488" s="115"/>
      <c r="K1488" s="115"/>
      <c r="L1488" s="115"/>
      <c r="M1488" s="115"/>
      <c r="N1488" s="115"/>
      <c r="O1488" s="115"/>
      <c r="P1488" s="115"/>
      <c r="Q1488" s="115"/>
      <c r="R1488" s="115"/>
      <c r="S1488" s="115"/>
      <c r="T1488" s="115"/>
      <c r="U1488" s="115"/>
      <c r="V1488" s="115"/>
      <c r="W1488" s="115"/>
      <c r="X1488" s="115"/>
      <c r="Y1488" s="115"/>
      <c r="Z1488" s="115"/>
      <c r="AA1488" s="115"/>
      <c r="AB1488" s="115"/>
      <c r="AC1488" s="115"/>
      <c r="AD1488" s="115"/>
      <c r="AE1488" s="115"/>
      <c r="AF1488" s="115"/>
      <c r="AG1488" s="115"/>
      <c r="AH1488" s="115"/>
      <c r="AI1488" s="115"/>
      <c r="AJ1488" s="115"/>
      <c r="AK1488" s="115"/>
      <c r="AL1488" s="115"/>
      <c r="AM1488" s="115"/>
      <c r="AN1488" s="115"/>
      <c r="AO1488" s="115"/>
      <c r="AP1488" s="115"/>
      <c r="AQ1488" s="115"/>
      <c r="AR1488" s="115"/>
      <c r="AS1488" s="115"/>
      <c r="AT1488" s="115"/>
      <c r="AU1488" s="115"/>
      <c r="AV1488" s="115"/>
      <c r="AW1488" s="115"/>
      <c r="AX1488" s="115"/>
      <c r="AY1488" s="115"/>
      <c r="AZ1488" s="115"/>
      <c r="BA1488" s="115"/>
      <c r="BB1488" s="115"/>
      <c r="BC1488" s="115"/>
      <c r="BD1488" s="115"/>
      <c r="BE1488" s="115"/>
      <c r="BF1488" s="122"/>
      <c r="BG1488" s="122"/>
      <c r="BH1488" s="122"/>
      <c r="BI1488" s="115"/>
      <c r="BJ1488" s="115"/>
      <c r="BK1488" s="115"/>
      <c r="BL1488" s="115"/>
      <c r="BM1488" s="115"/>
      <c r="BN1488" s="115"/>
      <c r="BO1488" s="115"/>
      <c r="BP1488" s="115"/>
      <c r="BQ1488" s="115"/>
      <c r="BR1488" s="115"/>
      <c r="BS1488" s="115"/>
      <c r="BT1488" s="115"/>
      <c r="BU1488" s="115"/>
      <c r="BV1488" s="115"/>
      <c r="BW1488" s="26"/>
      <c r="BX1488" s="15"/>
      <c r="CA1488" s="114"/>
    </row>
    <row r="1489" spans="2:79" x14ac:dyDescent="0.4">
      <c r="B1489" s="115"/>
      <c r="C1489" s="115"/>
      <c r="D1489" s="115"/>
      <c r="E1489" s="115"/>
      <c r="F1489" s="115"/>
      <c r="G1489" s="115"/>
      <c r="H1489" s="115"/>
      <c r="I1489" s="115"/>
      <c r="J1489" s="115"/>
      <c r="K1489" s="115"/>
      <c r="L1489" s="115"/>
      <c r="M1489" s="115"/>
      <c r="N1489" s="115"/>
      <c r="O1489" s="115"/>
      <c r="P1489" s="115"/>
      <c r="Q1489" s="115"/>
      <c r="R1489" s="115"/>
      <c r="S1489" s="115"/>
      <c r="T1489" s="115"/>
      <c r="U1489" s="115"/>
      <c r="V1489" s="115"/>
      <c r="W1489" s="115"/>
      <c r="X1489" s="115"/>
      <c r="Y1489" s="115"/>
      <c r="Z1489" s="115"/>
      <c r="AA1489" s="115"/>
      <c r="AB1489" s="115"/>
      <c r="AC1489" s="115"/>
      <c r="AD1489" s="115"/>
      <c r="AE1489" s="115"/>
      <c r="AF1489" s="115"/>
      <c r="AG1489" s="115"/>
      <c r="AH1489" s="115"/>
      <c r="AI1489" s="115"/>
      <c r="AJ1489" s="115"/>
      <c r="AK1489" s="115"/>
      <c r="AL1489" s="115"/>
      <c r="AM1489" s="115"/>
      <c r="AN1489" s="115"/>
      <c r="AO1489" s="115"/>
      <c r="AP1489" s="115"/>
      <c r="AQ1489" s="115"/>
      <c r="AR1489" s="115"/>
      <c r="AS1489" s="115"/>
      <c r="AT1489" s="115"/>
      <c r="AU1489" s="115"/>
      <c r="AV1489" s="115"/>
      <c r="AW1489" s="115"/>
      <c r="AX1489" s="115"/>
      <c r="AY1489" s="115"/>
      <c r="AZ1489" s="115"/>
      <c r="BA1489" s="115"/>
      <c r="BB1489" s="115"/>
      <c r="BC1489" s="115"/>
      <c r="BD1489" s="115"/>
      <c r="BE1489" s="115"/>
      <c r="BF1489" s="122"/>
      <c r="BG1489" s="122"/>
      <c r="BH1489" s="122"/>
      <c r="BI1489" s="115"/>
      <c r="BJ1489" s="115"/>
      <c r="BK1489" s="115"/>
      <c r="BL1489" s="115"/>
      <c r="BM1489" s="115"/>
      <c r="BN1489" s="115"/>
      <c r="BO1489" s="115"/>
      <c r="BP1489" s="115"/>
      <c r="BQ1489" s="115"/>
      <c r="BR1489" s="115"/>
      <c r="BS1489" s="115"/>
      <c r="BT1489" s="115"/>
      <c r="BU1489" s="115"/>
      <c r="BV1489" s="115"/>
      <c r="BW1489" s="26"/>
      <c r="BX1489" s="15"/>
      <c r="CA1489" s="114"/>
    </row>
    <row r="1490" spans="2:79" x14ac:dyDescent="0.4">
      <c r="B1490" s="115"/>
      <c r="C1490" s="115"/>
      <c r="D1490" s="115"/>
      <c r="E1490" s="115"/>
      <c r="F1490" s="115"/>
      <c r="G1490" s="115"/>
      <c r="H1490" s="115"/>
      <c r="I1490" s="115"/>
      <c r="J1490" s="115"/>
      <c r="K1490" s="115"/>
      <c r="L1490" s="115"/>
      <c r="M1490" s="115"/>
      <c r="N1490" s="115"/>
      <c r="O1490" s="115"/>
      <c r="P1490" s="115"/>
      <c r="Q1490" s="115"/>
      <c r="R1490" s="115"/>
      <c r="S1490" s="115"/>
      <c r="T1490" s="115"/>
      <c r="U1490" s="115"/>
      <c r="V1490" s="115"/>
      <c r="W1490" s="115"/>
      <c r="X1490" s="115"/>
      <c r="Y1490" s="115"/>
      <c r="Z1490" s="115"/>
      <c r="AA1490" s="115"/>
      <c r="AB1490" s="115"/>
      <c r="AC1490" s="115"/>
      <c r="AD1490" s="115"/>
      <c r="AE1490" s="115"/>
      <c r="AF1490" s="115"/>
      <c r="AG1490" s="115"/>
      <c r="AH1490" s="115"/>
      <c r="AI1490" s="115"/>
      <c r="AJ1490" s="115"/>
      <c r="AK1490" s="115"/>
      <c r="AL1490" s="115"/>
      <c r="AM1490" s="115"/>
      <c r="AN1490" s="115"/>
      <c r="AO1490" s="115"/>
      <c r="AP1490" s="115"/>
      <c r="AQ1490" s="115"/>
      <c r="AR1490" s="115"/>
      <c r="AS1490" s="115"/>
      <c r="AT1490" s="115"/>
      <c r="AU1490" s="115"/>
      <c r="AV1490" s="115"/>
      <c r="AW1490" s="115"/>
      <c r="AX1490" s="115"/>
      <c r="AY1490" s="115"/>
      <c r="AZ1490" s="115"/>
      <c r="BA1490" s="115"/>
      <c r="BB1490" s="115"/>
      <c r="BC1490" s="115"/>
      <c r="BD1490" s="115"/>
      <c r="BE1490" s="115"/>
      <c r="BF1490" s="122"/>
      <c r="BG1490" s="122"/>
      <c r="BH1490" s="122"/>
      <c r="BI1490" s="115"/>
      <c r="BJ1490" s="115"/>
      <c r="BK1490" s="115"/>
      <c r="BL1490" s="115"/>
      <c r="BM1490" s="115"/>
      <c r="BN1490" s="115"/>
      <c r="BO1490" s="115"/>
      <c r="BP1490" s="115"/>
      <c r="BQ1490" s="115"/>
      <c r="BR1490" s="115"/>
      <c r="BS1490" s="115"/>
      <c r="BT1490" s="115"/>
      <c r="BU1490" s="115"/>
      <c r="BV1490" s="115"/>
      <c r="BW1490" s="17"/>
      <c r="BX1490" s="15"/>
      <c r="CA1490" s="114"/>
    </row>
    <row r="1491" spans="2:79" x14ac:dyDescent="0.4">
      <c r="B1491" s="115"/>
      <c r="C1491" s="115"/>
      <c r="D1491" s="115"/>
      <c r="E1491" s="115"/>
      <c r="F1491" s="115"/>
      <c r="G1491" s="115"/>
      <c r="H1491" s="115"/>
      <c r="I1491" s="115"/>
      <c r="J1491" s="115"/>
      <c r="K1491" s="115"/>
      <c r="L1491" s="115"/>
      <c r="M1491" s="115"/>
      <c r="N1491" s="115"/>
      <c r="O1491" s="115"/>
      <c r="P1491" s="115"/>
      <c r="Q1491" s="115"/>
      <c r="R1491" s="115"/>
      <c r="S1491" s="115"/>
      <c r="T1491" s="115"/>
      <c r="U1491" s="115"/>
      <c r="V1491" s="115"/>
      <c r="W1491" s="115"/>
      <c r="X1491" s="115"/>
      <c r="Y1491" s="115"/>
      <c r="Z1491" s="115"/>
      <c r="AA1491" s="115"/>
      <c r="AB1491" s="115"/>
      <c r="AC1491" s="115"/>
      <c r="AD1491" s="115"/>
      <c r="AE1491" s="115"/>
      <c r="AF1491" s="115"/>
      <c r="AG1491" s="115"/>
      <c r="AH1491" s="115"/>
      <c r="AI1491" s="115"/>
      <c r="AJ1491" s="115"/>
      <c r="AK1491" s="115"/>
      <c r="AL1491" s="115"/>
      <c r="AM1491" s="115"/>
      <c r="AN1491" s="115"/>
      <c r="AO1491" s="115"/>
      <c r="AP1491" s="115"/>
      <c r="AQ1491" s="115"/>
      <c r="AR1491" s="115"/>
      <c r="AS1491" s="115"/>
      <c r="AT1491" s="115"/>
      <c r="AU1491" s="115"/>
      <c r="AV1491" s="115"/>
      <c r="AW1491" s="115"/>
      <c r="AX1491" s="115"/>
      <c r="AY1491" s="115"/>
      <c r="AZ1491" s="115"/>
      <c r="BA1491" s="115"/>
      <c r="BB1491" s="115"/>
      <c r="BC1491" s="115"/>
      <c r="BD1491" s="115"/>
      <c r="BE1491" s="115"/>
      <c r="BF1491" s="122"/>
      <c r="BG1491" s="122"/>
      <c r="BH1491" s="122"/>
      <c r="BI1491" s="115"/>
      <c r="BJ1491" s="115"/>
      <c r="BK1491" s="115"/>
      <c r="BL1491" s="115"/>
      <c r="BM1491" s="115"/>
      <c r="BN1491" s="115"/>
      <c r="BO1491" s="115"/>
      <c r="BP1491" s="115"/>
      <c r="BQ1491" s="115"/>
      <c r="BR1491" s="115"/>
      <c r="BS1491" s="115"/>
      <c r="BT1491" s="115"/>
      <c r="BU1491" s="115"/>
      <c r="BV1491" s="115"/>
      <c r="BW1491" s="26"/>
      <c r="BX1491" s="15"/>
      <c r="CA1491" s="114"/>
    </row>
    <row r="1492" spans="2:79" x14ac:dyDescent="0.4">
      <c r="B1492" s="115"/>
      <c r="C1492" s="115"/>
      <c r="D1492" s="115"/>
      <c r="E1492" s="115"/>
      <c r="F1492" s="115"/>
      <c r="G1492" s="115"/>
      <c r="H1492" s="115"/>
      <c r="I1492" s="115"/>
      <c r="J1492" s="115"/>
      <c r="K1492" s="115"/>
      <c r="L1492" s="115"/>
      <c r="M1492" s="115"/>
      <c r="N1492" s="115"/>
      <c r="O1492" s="115"/>
      <c r="P1492" s="115"/>
      <c r="Q1492" s="115"/>
      <c r="R1492" s="115"/>
      <c r="S1492" s="115"/>
      <c r="T1492" s="115"/>
      <c r="U1492" s="115"/>
      <c r="V1492" s="115"/>
      <c r="W1492" s="115"/>
      <c r="X1492" s="115"/>
      <c r="Y1492" s="115"/>
      <c r="Z1492" s="115"/>
      <c r="AA1492" s="115"/>
      <c r="AB1492" s="115"/>
      <c r="AC1492" s="115"/>
      <c r="AD1492" s="115"/>
      <c r="AE1492" s="115"/>
      <c r="AF1492" s="115"/>
      <c r="AG1492" s="115"/>
      <c r="AH1492" s="115"/>
      <c r="AI1492" s="115"/>
      <c r="AJ1492" s="115"/>
      <c r="AK1492" s="115"/>
      <c r="AL1492" s="115"/>
      <c r="AM1492" s="115"/>
      <c r="AN1492" s="115"/>
      <c r="AO1492" s="115"/>
      <c r="AP1492" s="115"/>
      <c r="AQ1492" s="115"/>
      <c r="AR1492" s="115"/>
      <c r="AS1492" s="115"/>
      <c r="AT1492" s="115"/>
      <c r="AU1492" s="115"/>
      <c r="AV1492" s="115"/>
      <c r="AW1492" s="115"/>
      <c r="AX1492" s="115"/>
      <c r="AY1492" s="115"/>
      <c r="AZ1492" s="115"/>
      <c r="BA1492" s="115"/>
      <c r="BB1492" s="115"/>
      <c r="BC1492" s="115"/>
      <c r="BD1492" s="115"/>
      <c r="BE1492" s="115"/>
      <c r="BF1492" s="122"/>
      <c r="BG1492" s="122"/>
      <c r="BH1492" s="122"/>
      <c r="BI1492" s="115"/>
      <c r="BJ1492" s="115"/>
      <c r="BK1492" s="115"/>
      <c r="BL1492" s="115"/>
      <c r="BM1492" s="115"/>
      <c r="BN1492" s="115"/>
      <c r="BO1492" s="115"/>
      <c r="BP1492" s="115"/>
      <c r="BQ1492" s="115"/>
      <c r="BR1492" s="115"/>
      <c r="BS1492" s="115"/>
      <c r="BT1492" s="115"/>
      <c r="BU1492" s="115"/>
      <c r="BV1492" s="115"/>
      <c r="BW1492" s="26"/>
      <c r="BX1492" s="15"/>
      <c r="CA1492" s="114"/>
    </row>
    <row r="1493" spans="2:79" x14ac:dyDescent="0.4">
      <c r="B1493" s="115"/>
      <c r="C1493" s="115"/>
      <c r="D1493" s="115"/>
      <c r="E1493" s="115"/>
      <c r="F1493" s="115"/>
      <c r="G1493" s="115"/>
      <c r="H1493" s="115"/>
      <c r="I1493" s="115"/>
      <c r="J1493" s="115"/>
      <c r="K1493" s="115"/>
      <c r="L1493" s="115"/>
      <c r="M1493" s="115"/>
      <c r="N1493" s="115"/>
      <c r="O1493" s="115"/>
      <c r="P1493" s="115"/>
      <c r="Q1493" s="115"/>
      <c r="R1493" s="115"/>
      <c r="S1493" s="115"/>
      <c r="T1493" s="115"/>
      <c r="U1493" s="115"/>
      <c r="V1493" s="115"/>
      <c r="W1493" s="115"/>
      <c r="X1493" s="115"/>
      <c r="Y1493" s="115"/>
      <c r="Z1493" s="115"/>
      <c r="AA1493" s="115"/>
      <c r="AB1493" s="115"/>
      <c r="AC1493" s="115"/>
      <c r="AD1493" s="115"/>
      <c r="AE1493" s="115"/>
      <c r="AF1493" s="115"/>
      <c r="AG1493" s="115"/>
      <c r="AH1493" s="115"/>
      <c r="AI1493" s="115"/>
      <c r="AJ1493" s="115"/>
      <c r="AK1493" s="115"/>
      <c r="AL1493" s="115"/>
      <c r="AM1493" s="115"/>
      <c r="AN1493" s="115"/>
      <c r="AO1493" s="115"/>
      <c r="AP1493" s="115"/>
      <c r="AQ1493" s="115"/>
      <c r="AR1493" s="115"/>
      <c r="AS1493" s="115"/>
      <c r="AT1493" s="115"/>
      <c r="AU1493" s="115"/>
      <c r="AV1493" s="115"/>
      <c r="AW1493" s="115"/>
      <c r="AX1493" s="115"/>
      <c r="AY1493" s="115"/>
      <c r="AZ1493" s="115"/>
      <c r="BA1493" s="115"/>
      <c r="BB1493" s="115"/>
      <c r="BC1493" s="115"/>
      <c r="BD1493" s="115"/>
      <c r="BE1493" s="115"/>
      <c r="BF1493" s="122"/>
      <c r="BG1493" s="122"/>
      <c r="BH1493" s="122"/>
      <c r="BI1493" s="115"/>
      <c r="BJ1493" s="115"/>
      <c r="BK1493" s="115"/>
      <c r="BL1493" s="115"/>
      <c r="BM1493" s="115"/>
      <c r="BN1493" s="115"/>
      <c r="BO1493" s="115"/>
      <c r="BP1493" s="115"/>
      <c r="BQ1493" s="115"/>
      <c r="BR1493" s="115"/>
      <c r="BS1493" s="115"/>
      <c r="BT1493" s="115"/>
      <c r="BU1493" s="115"/>
      <c r="BV1493" s="115"/>
      <c r="BW1493" s="26"/>
      <c r="BX1493" s="15"/>
      <c r="CA1493" s="114"/>
    </row>
    <row r="1494" spans="2:79" x14ac:dyDescent="0.4">
      <c r="B1494" s="115"/>
      <c r="C1494" s="115"/>
      <c r="D1494" s="115"/>
      <c r="E1494" s="115"/>
      <c r="F1494" s="115"/>
      <c r="G1494" s="115"/>
      <c r="H1494" s="115"/>
      <c r="I1494" s="115"/>
      <c r="J1494" s="115"/>
      <c r="K1494" s="115"/>
      <c r="L1494" s="115"/>
      <c r="M1494" s="115"/>
      <c r="N1494" s="115"/>
      <c r="O1494" s="115"/>
      <c r="P1494" s="115"/>
      <c r="Q1494" s="115"/>
      <c r="R1494" s="115"/>
      <c r="S1494" s="115"/>
      <c r="T1494" s="115"/>
      <c r="U1494" s="115"/>
      <c r="V1494" s="115"/>
      <c r="W1494" s="115"/>
      <c r="X1494" s="115"/>
      <c r="Y1494" s="115"/>
      <c r="Z1494" s="115"/>
      <c r="AA1494" s="115"/>
      <c r="AB1494" s="115"/>
      <c r="AC1494" s="115"/>
      <c r="AD1494" s="115"/>
      <c r="AE1494" s="115"/>
      <c r="AF1494" s="115"/>
      <c r="AG1494" s="115"/>
      <c r="AH1494" s="115"/>
      <c r="AI1494" s="115"/>
      <c r="AJ1494" s="115"/>
      <c r="AK1494" s="115"/>
      <c r="AL1494" s="115"/>
      <c r="AM1494" s="115"/>
      <c r="AN1494" s="115"/>
      <c r="AO1494" s="115"/>
      <c r="AP1494" s="115"/>
      <c r="AQ1494" s="115"/>
      <c r="AR1494" s="115"/>
      <c r="AS1494" s="115"/>
      <c r="AT1494" s="115"/>
      <c r="AU1494" s="115"/>
      <c r="AV1494" s="115"/>
      <c r="AW1494" s="115"/>
      <c r="AX1494" s="115"/>
      <c r="AY1494" s="115"/>
      <c r="AZ1494" s="115"/>
      <c r="BA1494" s="115"/>
      <c r="BB1494" s="115"/>
      <c r="BC1494" s="115"/>
      <c r="BD1494" s="115"/>
      <c r="BE1494" s="115"/>
      <c r="BF1494" s="122"/>
      <c r="BG1494" s="122"/>
      <c r="BH1494" s="122"/>
      <c r="BI1494" s="115"/>
      <c r="BJ1494" s="115"/>
      <c r="BK1494" s="115"/>
      <c r="BL1494" s="115"/>
      <c r="BM1494" s="115"/>
      <c r="BN1494" s="115"/>
      <c r="BO1494" s="115"/>
      <c r="BP1494" s="115"/>
      <c r="BQ1494" s="115"/>
      <c r="BR1494" s="115"/>
      <c r="BS1494" s="115"/>
      <c r="BT1494" s="115"/>
      <c r="BU1494" s="115"/>
      <c r="BV1494" s="115"/>
      <c r="BW1494" s="26"/>
      <c r="BX1494" s="15"/>
      <c r="CA1494" s="114"/>
    </row>
    <row r="1495" spans="2:79" x14ac:dyDescent="0.4">
      <c r="B1495" s="115"/>
      <c r="C1495" s="115"/>
      <c r="D1495" s="115"/>
      <c r="E1495" s="115"/>
      <c r="F1495" s="115"/>
      <c r="G1495" s="115"/>
      <c r="H1495" s="115"/>
      <c r="I1495" s="115"/>
      <c r="J1495" s="115"/>
      <c r="K1495" s="115"/>
      <c r="L1495" s="115"/>
      <c r="M1495" s="115"/>
      <c r="N1495" s="115"/>
      <c r="O1495" s="115"/>
      <c r="P1495" s="115"/>
      <c r="Q1495" s="115"/>
      <c r="R1495" s="115"/>
      <c r="S1495" s="115"/>
      <c r="T1495" s="115"/>
      <c r="U1495" s="115"/>
      <c r="V1495" s="115"/>
      <c r="W1495" s="115"/>
      <c r="X1495" s="115"/>
      <c r="Y1495" s="115"/>
      <c r="Z1495" s="115"/>
      <c r="AA1495" s="115"/>
      <c r="AB1495" s="115"/>
      <c r="AC1495" s="115"/>
      <c r="AD1495" s="115"/>
      <c r="AE1495" s="115"/>
      <c r="AF1495" s="115"/>
      <c r="AG1495" s="115"/>
      <c r="AH1495" s="115"/>
      <c r="AI1495" s="115"/>
      <c r="AJ1495" s="115"/>
      <c r="AK1495" s="115"/>
      <c r="AL1495" s="115"/>
      <c r="AM1495" s="115"/>
      <c r="AN1495" s="115"/>
      <c r="AO1495" s="115"/>
      <c r="AP1495" s="115"/>
      <c r="AQ1495" s="115"/>
      <c r="AR1495" s="115"/>
      <c r="AS1495" s="115"/>
      <c r="AT1495" s="115"/>
      <c r="AU1495" s="115"/>
      <c r="AV1495" s="115"/>
      <c r="AW1495" s="115"/>
      <c r="AX1495" s="115"/>
      <c r="AY1495" s="115"/>
      <c r="AZ1495" s="115"/>
      <c r="BA1495" s="115"/>
      <c r="BB1495" s="115"/>
      <c r="BC1495" s="115"/>
      <c r="BD1495" s="115"/>
      <c r="BE1495" s="115"/>
      <c r="BF1495" s="122"/>
      <c r="BG1495" s="122"/>
      <c r="BH1495" s="122"/>
      <c r="BI1495" s="115"/>
      <c r="BJ1495" s="115"/>
      <c r="BK1495" s="115"/>
      <c r="BL1495" s="115"/>
      <c r="BM1495" s="115"/>
      <c r="BN1495" s="115"/>
      <c r="BO1495" s="115"/>
      <c r="BP1495" s="115"/>
      <c r="BQ1495" s="115"/>
      <c r="BR1495" s="115"/>
      <c r="BS1495" s="115"/>
      <c r="BT1495" s="115"/>
      <c r="BU1495" s="115"/>
      <c r="BV1495" s="115"/>
      <c r="BW1495" s="26"/>
      <c r="BX1495" s="15"/>
      <c r="CA1495" s="114"/>
    </row>
    <row r="1496" spans="2:79" x14ac:dyDescent="0.4">
      <c r="B1496" s="115"/>
      <c r="C1496" s="115"/>
      <c r="D1496" s="115"/>
      <c r="E1496" s="115"/>
      <c r="F1496" s="115"/>
      <c r="G1496" s="115"/>
      <c r="H1496" s="115"/>
      <c r="I1496" s="115"/>
      <c r="J1496" s="115"/>
      <c r="K1496" s="115"/>
      <c r="L1496" s="115"/>
      <c r="M1496" s="115"/>
      <c r="N1496" s="115"/>
      <c r="O1496" s="115"/>
      <c r="P1496" s="115"/>
      <c r="Q1496" s="115"/>
      <c r="R1496" s="115"/>
      <c r="S1496" s="115"/>
      <c r="T1496" s="115"/>
      <c r="U1496" s="115"/>
      <c r="V1496" s="115"/>
      <c r="W1496" s="115"/>
      <c r="X1496" s="115"/>
      <c r="Y1496" s="115"/>
      <c r="Z1496" s="115"/>
      <c r="AA1496" s="115"/>
      <c r="AB1496" s="115"/>
      <c r="AC1496" s="115"/>
      <c r="AD1496" s="115"/>
      <c r="AE1496" s="115"/>
      <c r="AF1496" s="115"/>
      <c r="AG1496" s="115"/>
      <c r="AH1496" s="115"/>
      <c r="AI1496" s="115"/>
      <c r="AJ1496" s="115"/>
      <c r="AK1496" s="115"/>
      <c r="AL1496" s="115"/>
      <c r="AM1496" s="115"/>
      <c r="AN1496" s="115"/>
      <c r="AO1496" s="115"/>
      <c r="AP1496" s="115"/>
      <c r="AQ1496" s="115"/>
      <c r="AR1496" s="115"/>
      <c r="AS1496" s="115"/>
      <c r="AT1496" s="115"/>
      <c r="AU1496" s="115"/>
      <c r="AV1496" s="115"/>
      <c r="AW1496" s="115"/>
      <c r="AX1496" s="115"/>
      <c r="AY1496" s="115"/>
      <c r="AZ1496" s="115"/>
      <c r="BA1496" s="115"/>
      <c r="BB1496" s="115"/>
      <c r="BC1496" s="115"/>
      <c r="BD1496" s="115"/>
      <c r="BE1496" s="115"/>
      <c r="BF1496" s="122"/>
      <c r="BG1496" s="122"/>
      <c r="BH1496" s="122"/>
      <c r="BI1496" s="115"/>
      <c r="BJ1496" s="115"/>
      <c r="BK1496" s="115"/>
      <c r="BL1496" s="115"/>
      <c r="BM1496" s="115"/>
      <c r="BN1496" s="115"/>
      <c r="BO1496" s="115"/>
      <c r="BP1496" s="115"/>
      <c r="BQ1496" s="115"/>
      <c r="BR1496" s="115"/>
      <c r="BS1496" s="115"/>
      <c r="BT1496" s="115"/>
      <c r="BU1496" s="115"/>
      <c r="BV1496" s="115"/>
      <c r="BW1496" s="26"/>
      <c r="BX1496" s="15"/>
      <c r="CA1496" s="114"/>
    </row>
    <row r="1497" spans="2:79" x14ac:dyDescent="0.4">
      <c r="B1497" s="115"/>
      <c r="C1497" s="115"/>
      <c r="D1497" s="115"/>
      <c r="E1497" s="115"/>
      <c r="F1497" s="115"/>
      <c r="G1497" s="115"/>
      <c r="H1497" s="115"/>
      <c r="I1497" s="115"/>
      <c r="J1497" s="115"/>
      <c r="K1497" s="115"/>
      <c r="L1497" s="115"/>
      <c r="M1497" s="115"/>
      <c r="N1497" s="115"/>
      <c r="O1497" s="115"/>
      <c r="P1497" s="115"/>
      <c r="Q1497" s="115"/>
      <c r="R1497" s="115"/>
      <c r="S1497" s="115"/>
      <c r="T1497" s="115"/>
      <c r="U1497" s="115"/>
      <c r="V1497" s="115"/>
      <c r="W1497" s="115"/>
      <c r="X1497" s="115"/>
      <c r="Y1497" s="115"/>
      <c r="Z1497" s="115"/>
      <c r="AA1497" s="115"/>
      <c r="AB1497" s="115"/>
      <c r="AC1497" s="115"/>
      <c r="AD1497" s="115"/>
      <c r="AE1497" s="115"/>
      <c r="AF1497" s="115"/>
      <c r="AG1497" s="115"/>
      <c r="AH1497" s="115"/>
      <c r="AI1497" s="115"/>
      <c r="AJ1497" s="115"/>
      <c r="AK1497" s="115"/>
      <c r="AL1497" s="115"/>
      <c r="AM1497" s="115"/>
      <c r="AN1497" s="115"/>
      <c r="AO1497" s="115"/>
      <c r="AP1497" s="115"/>
      <c r="AQ1497" s="115"/>
      <c r="AR1497" s="115"/>
      <c r="AS1497" s="115"/>
      <c r="AT1497" s="115"/>
      <c r="AU1497" s="115"/>
      <c r="AV1497" s="115"/>
      <c r="AW1497" s="115"/>
      <c r="AX1497" s="115"/>
      <c r="AY1497" s="115"/>
      <c r="AZ1497" s="115"/>
      <c r="BA1497" s="115"/>
      <c r="BB1497" s="115"/>
      <c r="BC1497" s="115"/>
      <c r="BD1497" s="115"/>
      <c r="BE1497" s="115"/>
      <c r="BF1497" s="122"/>
      <c r="BG1497" s="122"/>
      <c r="BH1497" s="122"/>
      <c r="BI1497" s="115"/>
      <c r="BJ1497" s="115"/>
      <c r="BK1497" s="115"/>
      <c r="BL1497" s="115"/>
      <c r="BM1497" s="115"/>
      <c r="BN1497" s="115"/>
      <c r="BO1497" s="115"/>
      <c r="BP1497" s="115"/>
      <c r="BQ1497" s="115"/>
      <c r="BR1497" s="115"/>
      <c r="BS1497" s="115"/>
      <c r="BT1497" s="115"/>
      <c r="BU1497" s="115"/>
      <c r="BV1497" s="115"/>
      <c r="BW1497" s="26"/>
      <c r="BX1497" s="15"/>
      <c r="CA1497" s="114"/>
    </row>
    <row r="1498" spans="2:79" x14ac:dyDescent="0.4">
      <c r="B1498" s="115"/>
      <c r="C1498" s="115"/>
      <c r="D1498" s="115"/>
      <c r="E1498" s="115"/>
      <c r="F1498" s="115"/>
      <c r="G1498" s="115"/>
      <c r="H1498" s="115"/>
      <c r="I1498" s="115"/>
      <c r="J1498" s="115"/>
      <c r="K1498" s="115"/>
      <c r="L1498" s="115"/>
      <c r="M1498" s="115"/>
      <c r="N1498" s="115"/>
      <c r="O1498" s="115"/>
      <c r="P1498" s="115"/>
      <c r="Q1498" s="115"/>
      <c r="R1498" s="115"/>
      <c r="S1498" s="115"/>
      <c r="T1498" s="115"/>
      <c r="U1498" s="115"/>
      <c r="V1498" s="115"/>
      <c r="W1498" s="115"/>
      <c r="X1498" s="115"/>
      <c r="Y1498" s="115"/>
      <c r="Z1498" s="115"/>
      <c r="AA1498" s="115"/>
      <c r="AB1498" s="115"/>
      <c r="AC1498" s="115"/>
      <c r="AD1498" s="115"/>
      <c r="AE1498" s="115"/>
      <c r="AF1498" s="115"/>
      <c r="AG1498" s="115"/>
      <c r="AH1498" s="115"/>
      <c r="AI1498" s="115"/>
      <c r="AJ1498" s="115"/>
      <c r="AK1498" s="115"/>
      <c r="AL1498" s="115"/>
      <c r="AM1498" s="115"/>
      <c r="AN1498" s="115"/>
      <c r="AO1498" s="115"/>
      <c r="AP1498" s="115"/>
      <c r="AQ1498" s="115"/>
      <c r="AR1498" s="115"/>
      <c r="AS1498" s="115"/>
      <c r="AT1498" s="115"/>
      <c r="AU1498" s="115"/>
      <c r="AV1498" s="115"/>
      <c r="AW1498" s="115"/>
      <c r="AX1498" s="115"/>
      <c r="AY1498" s="115"/>
      <c r="AZ1498" s="115"/>
      <c r="BA1498" s="115"/>
      <c r="BB1498" s="115"/>
      <c r="BC1498" s="115"/>
      <c r="BD1498" s="115"/>
      <c r="BE1498" s="115"/>
      <c r="BF1498" s="122"/>
      <c r="BG1498" s="122"/>
      <c r="BH1498" s="122"/>
      <c r="BI1498" s="115"/>
      <c r="BJ1498" s="115"/>
      <c r="BK1498" s="115"/>
      <c r="BL1498" s="115"/>
      <c r="BM1498" s="115"/>
      <c r="BN1498" s="115"/>
      <c r="BO1498" s="115"/>
      <c r="BP1498" s="115"/>
      <c r="BQ1498" s="115"/>
      <c r="BR1498" s="115"/>
      <c r="BS1498" s="115"/>
      <c r="BT1498" s="115"/>
      <c r="BU1498" s="115"/>
      <c r="BV1498" s="115"/>
      <c r="BW1498" s="17"/>
      <c r="BX1498" s="15"/>
      <c r="CA1498" s="114"/>
    </row>
    <row r="1499" spans="2:79" x14ac:dyDescent="0.4">
      <c r="B1499" s="115"/>
      <c r="C1499" s="115"/>
      <c r="D1499" s="115"/>
      <c r="E1499" s="115"/>
      <c r="F1499" s="115"/>
      <c r="G1499" s="115"/>
      <c r="H1499" s="115"/>
      <c r="I1499" s="115"/>
      <c r="J1499" s="115"/>
      <c r="K1499" s="115"/>
      <c r="L1499" s="115"/>
      <c r="M1499" s="115"/>
      <c r="N1499" s="115"/>
      <c r="O1499" s="115"/>
      <c r="P1499" s="115"/>
      <c r="Q1499" s="115"/>
      <c r="R1499" s="115"/>
      <c r="S1499" s="115"/>
      <c r="T1499" s="115"/>
      <c r="U1499" s="115"/>
      <c r="V1499" s="115"/>
      <c r="W1499" s="115"/>
      <c r="X1499" s="115"/>
      <c r="Y1499" s="115"/>
      <c r="Z1499" s="115"/>
      <c r="AA1499" s="115"/>
      <c r="AB1499" s="115"/>
      <c r="AC1499" s="115"/>
      <c r="AD1499" s="115"/>
      <c r="AE1499" s="115"/>
      <c r="AF1499" s="115"/>
      <c r="AG1499" s="115"/>
      <c r="AH1499" s="115"/>
      <c r="AI1499" s="115"/>
      <c r="AJ1499" s="115"/>
      <c r="AK1499" s="115"/>
      <c r="AL1499" s="115"/>
      <c r="AM1499" s="115"/>
      <c r="AN1499" s="115"/>
      <c r="AO1499" s="115"/>
      <c r="AP1499" s="115"/>
      <c r="AQ1499" s="115"/>
      <c r="AR1499" s="115"/>
      <c r="AS1499" s="115"/>
      <c r="AT1499" s="115"/>
      <c r="AU1499" s="115"/>
      <c r="AV1499" s="115"/>
      <c r="AW1499" s="115"/>
      <c r="AX1499" s="115"/>
      <c r="AY1499" s="115"/>
      <c r="AZ1499" s="115"/>
      <c r="BA1499" s="115"/>
      <c r="BB1499" s="115"/>
      <c r="BC1499" s="115"/>
      <c r="BD1499" s="115"/>
      <c r="BE1499" s="115"/>
      <c r="BF1499" s="122"/>
      <c r="BG1499" s="122"/>
      <c r="BH1499" s="122"/>
      <c r="BI1499" s="115"/>
      <c r="BJ1499" s="115"/>
      <c r="BK1499" s="115"/>
      <c r="BL1499" s="115"/>
      <c r="BM1499" s="115"/>
      <c r="BN1499" s="115"/>
      <c r="BO1499" s="115"/>
      <c r="BP1499" s="115"/>
      <c r="BQ1499" s="115"/>
      <c r="BR1499" s="115"/>
      <c r="BS1499" s="115"/>
      <c r="BT1499" s="115"/>
      <c r="BU1499" s="115"/>
      <c r="BV1499" s="115"/>
      <c r="BW1499" s="26"/>
      <c r="BX1499" s="15"/>
      <c r="CA1499" s="114"/>
    </row>
    <row r="1500" spans="2:79" x14ac:dyDescent="0.4">
      <c r="B1500" s="115"/>
      <c r="C1500" s="115"/>
      <c r="D1500" s="115"/>
      <c r="E1500" s="115"/>
      <c r="F1500" s="115"/>
      <c r="G1500" s="115"/>
      <c r="H1500" s="115"/>
      <c r="I1500" s="115"/>
      <c r="J1500" s="115"/>
      <c r="K1500" s="115"/>
      <c r="L1500" s="115"/>
      <c r="M1500" s="115"/>
      <c r="N1500" s="115"/>
      <c r="O1500" s="115"/>
      <c r="P1500" s="115"/>
      <c r="Q1500" s="115"/>
      <c r="R1500" s="115"/>
      <c r="S1500" s="115"/>
      <c r="T1500" s="115"/>
      <c r="U1500" s="115"/>
      <c r="V1500" s="115"/>
      <c r="W1500" s="115"/>
      <c r="X1500" s="115"/>
      <c r="Y1500" s="115"/>
      <c r="Z1500" s="115"/>
      <c r="AA1500" s="115"/>
      <c r="AB1500" s="115"/>
      <c r="AC1500" s="115"/>
      <c r="AD1500" s="115"/>
      <c r="AE1500" s="115"/>
      <c r="AF1500" s="115"/>
      <c r="AG1500" s="115"/>
      <c r="AH1500" s="115"/>
      <c r="AI1500" s="115"/>
      <c r="AJ1500" s="115"/>
      <c r="AK1500" s="115"/>
      <c r="AL1500" s="115"/>
      <c r="AM1500" s="115"/>
      <c r="AN1500" s="115"/>
      <c r="AO1500" s="115"/>
      <c r="AP1500" s="115"/>
      <c r="AQ1500" s="115"/>
      <c r="AR1500" s="115"/>
      <c r="AS1500" s="115"/>
      <c r="AT1500" s="115"/>
      <c r="AU1500" s="115"/>
      <c r="AV1500" s="115"/>
      <c r="AW1500" s="115"/>
      <c r="AX1500" s="115"/>
      <c r="AY1500" s="115"/>
      <c r="AZ1500" s="115"/>
      <c r="BA1500" s="115"/>
      <c r="BB1500" s="115"/>
      <c r="BC1500" s="115"/>
      <c r="BD1500" s="115"/>
      <c r="BE1500" s="115"/>
      <c r="BF1500" s="122"/>
      <c r="BG1500" s="122"/>
      <c r="BH1500" s="122"/>
      <c r="BI1500" s="115"/>
      <c r="BJ1500" s="115"/>
      <c r="BK1500" s="115"/>
      <c r="BL1500" s="115"/>
      <c r="BM1500" s="115"/>
      <c r="BN1500" s="115"/>
      <c r="BO1500" s="115"/>
      <c r="BP1500" s="115"/>
      <c r="BQ1500" s="115"/>
      <c r="BR1500" s="115"/>
      <c r="BS1500" s="115"/>
      <c r="BT1500" s="115"/>
      <c r="BU1500" s="115"/>
      <c r="BV1500" s="115"/>
      <c r="BW1500" s="26"/>
      <c r="BX1500" s="15"/>
      <c r="CA1500" s="114"/>
    </row>
    <row r="1501" spans="2:79" x14ac:dyDescent="0.4">
      <c r="B1501" s="115"/>
      <c r="C1501" s="115"/>
      <c r="D1501" s="115"/>
      <c r="E1501" s="115"/>
      <c r="F1501" s="115"/>
      <c r="G1501" s="115"/>
      <c r="H1501" s="115"/>
      <c r="I1501" s="115"/>
      <c r="J1501" s="115"/>
      <c r="K1501" s="115"/>
      <c r="L1501" s="115"/>
      <c r="M1501" s="115"/>
      <c r="N1501" s="115"/>
      <c r="O1501" s="115"/>
      <c r="P1501" s="115"/>
      <c r="Q1501" s="115"/>
      <c r="R1501" s="115"/>
      <c r="S1501" s="115"/>
      <c r="T1501" s="115"/>
      <c r="U1501" s="115"/>
      <c r="V1501" s="115"/>
      <c r="W1501" s="115"/>
      <c r="X1501" s="115"/>
      <c r="Y1501" s="115"/>
      <c r="Z1501" s="115"/>
      <c r="AA1501" s="115"/>
      <c r="AB1501" s="115"/>
      <c r="AC1501" s="115"/>
      <c r="AD1501" s="115"/>
      <c r="AE1501" s="115"/>
      <c r="AF1501" s="115"/>
      <c r="AG1501" s="115"/>
      <c r="AH1501" s="115"/>
      <c r="AI1501" s="115"/>
      <c r="AJ1501" s="115"/>
      <c r="AK1501" s="115"/>
      <c r="AL1501" s="115"/>
      <c r="AM1501" s="115"/>
      <c r="AN1501" s="115"/>
      <c r="AO1501" s="115"/>
      <c r="AP1501" s="115"/>
      <c r="AQ1501" s="115"/>
      <c r="AR1501" s="115"/>
      <c r="AS1501" s="115"/>
      <c r="AT1501" s="115"/>
      <c r="AU1501" s="115"/>
      <c r="AV1501" s="115"/>
      <c r="AW1501" s="115"/>
      <c r="AX1501" s="115"/>
      <c r="AY1501" s="115"/>
      <c r="AZ1501" s="115"/>
      <c r="BA1501" s="115"/>
      <c r="BB1501" s="115"/>
      <c r="BC1501" s="115"/>
      <c r="BD1501" s="115"/>
      <c r="BE1501" s="115"/>
      <c r="BF1501" s="122"/>
      <c r="BG1501" s="122"/>
      <c r="BH1501" s="122"/>
      <c r="BI1501" s="115"/>
      <c r="BJ1501" s="115"/>
      <c r="BK1501" s="115"/>
      <c r="BL1501" s="115"/>
      <c r="BM1501" s="115"/>
      <c r="BN1501" s="115"/>
      <c r="BO1501" s="115"/>
      <c r="BP1501" s="115"/>
      <c r="BQ1501" s="115"/>
      <c r="BR1501" s="115"/>
      <c r="BS1501" s="115"/>
      <c r="BT1501" s="115"/>
      <c r="BU1501" s="115"/>
      <c r="BV1501" s="115"/>
      <c r="BW1501" s="26"/>
      <c r="BX1501" s="15"/>
      <c r="CA1501" s="114"/>
    </row>
    <row r="1502" spans="2:79" x14ac:dyDescent="0.4">
      <c r="B1502" s="115"/>
      <c r="C1502" s="115"/>
      <c r="D1502" s="115"/>
      <c r="E1502" s="115"/>
      <c r="F1502" s="115"/>
      <c r="G1502" s="115"/>
      <c r="H1502" s="115"/>
      <c r="I1502" s="115"/>
      <c r="J1502" s="115"/>
      <c r="K1502" s="115"/>
      <c r="L1502" s="115"/>
      <c r="M1502" s="115"/>
      <c r="N1502" s="115"/>
      <c r="O1502" s="115"/>
      <c r="P1502" s="115"/>
      <c r="Q1502" s="115"/>
      <c r="R1502" s="115"/>
      <c r="S1502" s="115"/>
      <c r="T1502" s="115"/>
      <c r="U1502" s="115"/>
      <c r="V1502" s="115"/>
      <c r="W1502" s="115"/>
      <c r="X1502" s="115"/>
      <c r="Y1502" s="115"/>
      <c r="Z1502" s="115"/>
      <c r="AA1502" s="115"/>
      <c r="AB1502" s="115"/>
      <c r="AC1502" s="115"/>
      <c r="AD1502" s="115"/>
      <c r="AE1502" s="115"/>
      <c r="AF1502" s="115"/>
      <c r="AG1502" s="115"/>
      <c r="AH1502" s="115"/>
      <c r="AI1502" s="115"/>
      <c r="AJ1502" s="115"/>
      <c r="AK1502" s="115"/>
      <c r="AL1502" s="115"/>
      <c r="AM1502" s="115"/>
      <c r="AN1502" s="115"/>
      <c r="AO1502" s="115"/>
      <c r="AP1502" s="115"/>
      <c r="AQ1502" s="115"/>
      <c r="AR1502" s="115"/>
      <c r="AS1502" s="115"/>
      <c r="AT1502" s="115"/>
      <c r="AU1502" s="115"/>
      <c r="AV1502" s="115"/>
      <c r="AW1502" s="115"/>
      <c r="AX1502" s="115"/>
      <c r="AY1502" s="115"/>
      <c r="AZ1502" s="115"/>
      <c r="BA1502" s="115"/>
      <c r="BB1502" s="115"/>
      <c r="BC1502" s="115"/>
      <c r="BD1502" s="115"/>
      <c r="BE1502" s="115"/>
      <c r="BF1502" s="122"/>
      <c r="BG1502" s="122"/>
      <c r="BH1502" s="122"/>
      <c r="BI1502" s="115"/>
      <c r="BJ1502" s="115"/>
      <c r="BK1502" s="115"/>
      <c r="BL1502" s="115"/>
      <c r="BM1502" s="115"/>
      <c r="BN1502" s="115"/>
      <c r="BO1502" s="115"/>
      <c r="BP1502" s="115"/>
      <c r="BQ1502" s="115"/>
      <c r="BR1502" s="115"/>
      <c r="BS1502" s="115"/>
      <c r="BT1502" s="115"/>
      <c r="BU1502" s="115"/>
      <c r="BV1502" s="115"/>
      <c r="BW1502" s="26"/>
      <c r="BX1502" s="15"/>
      <c r="CA1502" s="114"/>
    </row>
    <row r="1503" spans="2:79" x14ac:dyDescent="0.4">
      <c r="B1503" s="115"/>
      <c r="C1503" s="115"/>
      <c r="D1503" s="115"/>
      <c r="E1503" s="115"/>
      <c r="F1503" s="115"/>
      <c r="G1503" s="115"/>
      <c r="H1503" s="115"/>
      <c r="I1503" s="115"/>
      <c r="J1503" s="115"/>
      <c r="K1503" s="115"/>
      <c r="L1503" s="115"/>
      <c r="M1503" s="115"/>
      <c r="N1503" s="115"/>
      <c r="O1503" s="115"/>
      <c r="P1503" s="115"/>
      <c r="Q1503" s="115"/>
      <c r="R1503" s="115"/>
      <c r="S1503" s="115"/>
      <c r="T1503" s="115"/>
      <c r="U1503" s="115"/>
      <c r="V1503" s="115"/>
      <c r="W1503" s="115"/>
      <c r="X1503" s="115"/>
      <c r="Y1503" s="115"/>
      <c r="Z1503" s="115"/>
      <c r="AA1503" s="115"/>
      <c r="AB1503" s="115"/>
      <c r="AC1503" s="115"/>
      <c r="AD1503" s="115"/>
      <c r="AE1503" s="115"/>
      <c r="AF1503" s="115"/>
      <c r="AG1503" s="115"/>
      <c r="AH1503" s="115"/>
      <c r="AI1503" s="115"/>
      <c r="AJ1503" s="115"/>
      <c r="AK1503" s="115"/>
      <c r="AL1503" s="115"/>
      <c r="AM1503" s="115"/>
      <c r="AN1503" s="115"/>
      <c r="AO1503" s="115"/>
      <c r="AP1503" s="115"/>
      <c r="AQ1503" s="115"/>
      <c r="AR1503" s="115"/>
      <c r="AS1503" s="115"/>
      <c r="AT1503" s="115"/>
      <c r="AU1503" s="115"/>
      <c r="AV1503" s="115"/>
      <c r="AW1503" s="115"/>
      <c r="AX1503" s="115"/>
      <c r="AY1503" s="115"/>
      <c r="AZ1503" s="115"/>
      <c r="BA1503" s="115"/>
      <c r="BB1503" s="115"/>
      <c r="BC1503" s="115"/>
      <c r="BD1503" s="115"/>
      <c r="BE1503" s="115"/>
      <c r="BF1503" s="122"/>
      <c r="BG1503" s="122"/>
      <c r="BH1503" s="122"/>
      <c r="BI1503" s="115"/>
      <c r="BJ1503" s="115"/>
      <c r="BK1503" s="115"/>
      <c r="BL1503" s="115"/>
      <c r="BM1503" s="115"/>
      <c r="BN1503" s="115"/>
      <c r="BO1503" s="115"/>
      <c r="BP1503" s="115"/>
      <c r="BQ1503" s="115"/>
      <c r="BR1503" s="115"/>
      <c r="BS1503" s="115"/>
      <c r="BT1503" s="115"/>
      <c r="BU1503" s="115"/>
      <c r="BV1503" s="115"/>
      <c r="BW1503" s="26"/>
      <c r="BX1503" s="15"/>
      <c r="CA1503" s="114"/>
    </row>
    <row r="1504" spans="2:79" x14ac:dyDescent="0.4">
      <c r="B1504" s="115"/>
      <c r="C1504" s="115"/>
      <c r="D1504" s="115"/>
      <c r="E1504" s="115"/>
      <c r="F1504" s="115"/>
      <c r="G1504" s="115"/>
      <c r="H1504" s="115"/>
      <c r="I1504" s="115"/>
      <c r="J1504" s="115"/>
      <c r="K1504" s="115"/>
      <c r="L1504" s="115"/>
      <c r="M1504" s="115"/>
      <c r="N1504" s="115"/>
      <c r="O1504" s="115"/>
      <c r="P1504" s="115"/>
      <c r="Q1504" s="115"/>
      <c r="R1504" s="115"/>
      <c r="S1504" s="115"/>
      <c r="T1504" s="115"/>
      <c r="U1504" s="115"/>
      <c r="V1504" s="115"/>
      <c r="W1504" s="115"/>
      <c r="X1504" s="115"/>
      <c r="Y1504" s="115"/>
      <c r="Z1504" s="115"/>
      <c r="AA1504" s="115"/>
      <c r="AB1504" s="115"/>
      <c r="AC1504" s="115"/>
      <c r="AD1504" s="115"/>
      <c r="AE1504" s="115"/>
      <c r="AF1504" s="115"/>
      <c r="AG1504" s="115"/>
      <c r="AH1504" s="115"/>
      <c r="AI1504" s="115"/>
      <c r="AJ1504" s="115"/>
      <c r="AK1504" s="115"/>
      <c r="AL1504" s="115"/>
      <c r="AM1504" s="115"/>
      <c r="AN1504" s="115"/>
      <c r="AO1504" s="115"/>
      <c r="AP1504" s="115"/>
      <c r="AQ1504" s="115"/>
      <c r="AR1504" s="115"/>
      <c r="AS1504" s="115"/>
      <c r="AT1504" s="115"/>
      <c r="AU1504" s="115"/>
      <c r="AV1504" s="115"/>
      <c r="AW1504" s="115"/>
      <c r="AX1504" s="115"/>
      <c r="AY1504" s="115"/>
      <c r="AZ1504" s="115"/>
      <c r="BA1504" s="115"/>
      <c r="BB1504" s="115"/>
      <c r="BC1504" s="115"/>
      <c r="BD1504" s="115"/>
      <c r="BE1504" s="115"/>
      <c r="BF1504" s="122"/>
      <c r="BG1504" s="122"/>
      <c r="BH1504" s="122"/>
      <c r="BI1504" s="115"/>
      <c r="BJ1504" s="115"/>
      <c r="BK1504" s="115"/>
      <c r="BL1504" s="115"/>
      <c r="BM1504" s="115"/>
      <c r="BN1504" s="115"/>
      <c r="BO1504" s="115"/>
      <c r="BP1504" s="115"/>
      <c r="BQ1504" s="115"/>
      <c r="BR1504" s="115"/>
      <c r="BS1504" s="115"/>
      <c r="BT1504" s="115"/>
      <c r="BU1504" s="115"/>
      <c r="BV1504" s="115"/>
      <c r="BW1504" s="26"/>
      <c r="BX1504" s="15"/>
      <c r="CA1504" s="114"/>
    </row>
    <row r="1505" spans="1:79" x14ac:dyDescent="0.4">
      <c r="B1505" s="115"/>
      <c r="C1505" s="115"/>
      <c r="D1505" s="115"/>
      <c r="E1505" s="115"/>
      <c r="F1505" s="115"/>
      <c r="G1505" s="115"/>
      <c r="H1505" s="115"/>
      <c r="I1505" s="115"/>
      <c r="J1505" s="115"/>
      <c r="K1505" s="115"/>
      <c r="L1505" s="115"/>
      <c r="M1505" s="115"/>
      <c r="N1505" s="115"/>
      <c r="O1505" s="115"/>
      <c r="P1505" s="115"/>
      <c r="Q1505" s="115"/>
      <c r="R1505" s="115"/>
      <c r="S1505" s="115"/>
      <c r="T1505" s="115"/>
      <c r="U1505" s="115"/>
      <c r="V1505" s="115"/>
      <c r="W1505" s="115"/>
      <c r="X1505" s="115"/>
      <c r="Y1505" s="115"/>
      <c r="Z1505" s="115"/>
      <c r="AA1505" s="115"/>
      <c r="AB1505" s="115"/>
      <c r="AC1505" s="115"/>
      <c r="AD1505" s="115"/>
      <c r="AE1505" s="115"/>
      <c r="AF1505" s="115"/>
      <c r="AG1505" s="115"/>
      <c r="AH1505" s="115"/>
      <c r="AI1505" s="115"/>
      <c r="AJ1505" s="115"/>
      <c r="AK1505" s="115"/>
      <c r="AL1505" s="115"/>
      <c r="AM1505" s="115"/>
      <c r="AN1505" s="115"/>
      <c r="AO1505" s="115"/>
      <c r="AP1505" s="115"/>
      <c r="AQ1505" s="115"/>
      <c r="AR1505" s="115"/>
      <c r="AS1505" s="115"/>
      <c r="AT1505" s="115"/>
      <c r="AU1505" s="115"/>
      <c r="AV1505" s="115"/>
      <c r="AW1505" s="115"/>
      <c r="AX1505" s="115"/>
      <c r="AY1505" s="115"/>
      <c r="AZ1505" s="115"/>
      <c r="BA1505" s="115"/>
      <c r="BB1505" s="115"/>
      <c r="BC1505" s="115"/>
      <c r="BD1505" s="115"/>
      <c r="BE1505" s="115"/>
      <c r="BF1505" s="122"/>
      <c r="BG1505" s="122"/>
      <c r="BH1505" s="122"/>
      <c r="BI1505" s="115"/>
      <c r="BJ1505" s="115"/>
      <c r="BK1505" s="115"/>
      <c r="BL1505" s="115"/>
      <c r="BM1505" s="115"/>
      <c r="BN1505" s="115"/>
      <c r="BO1505" s="115"/>
      <c r="BP1505" s="115"/>
      <c r="BQ1505" s="115"/>
      <c r="BR1505" s="115"/>
      <c r="BS1505" s="115"/>
      <c r="BT1505" s="115"/>
      <c r="BU1505" s="115"/>
      <c r="BV1505" s="115"/>
      <c r="BW1505" s="26"/>
      <c r="BX1505" s="15"/>
      <c r="CA1505" s="114"/>
    </row>
    <row r="1506" spans="1:79" x14ac:dyDescent="0.4">
      <c r="B1506" s="115"/>
      <c r="C1506" s="115"/>
      <c r="D1506" s="115"/>
      <c r="E1506" s="115"/>
      <c r="F1506" s="115"/>
      <c r="G1506" s="115"/>
      <c r="H1506" s="115"/>
      <c r="I1506" s="115"/>
      <c r="J1506" s="115"/>
      <c r="K1506" s="115"/>
      <c r="L1506" s="115"/>
      <c r="M1506" s="115"/>
      <c r="N1506" s="115"/>
      <c r="O1506" s="115"/>
      <c r="P1506" s="115"/>
      <c r="Q1506" s="115"/>
      <c r="R1506" s="115"/>
      <c r="S1506" s="115"/>
      <c r="T1506" s="115"/>
      <c r="U1506" s="115"/>
      <c r="V1506" s="115"/>
      <c r="W1506" s="115"/>
      <c r="X1506" s="115"/>
      <c r="Y1506" s="115"/>
      <c r="Z1506" s="115"/>
      <c r="AA1506" s="115"/>
      <c r="AB1506" s="115"/>
      <c r="AC1506" s="115"/>
      <c r="AD1506" s="115"/>
      <c r="AE1506" s="115"/>
      <c r="AF1506" s="115"/>
      <c r="AG1506" s="115"/>
      <c r="AH1506" s="115"/>
      <c r="AI1506" s="115"/>
      <c r="AJ1506" s="115"/>
      <c r="AK1506" s="115"/>
      <c r="AL1506" s="115"/>
      <c r="AM1506" s="115"/>
      <c r="AN1506" s="115"/>
      <c r="AO1506" s="115"/>
      <c r="AP1506" s="115"/>
      <c r="AQ1506" s="115"/>
      <c r="AR1506" s="115"/>
      <c r="AS1506" s="115"/>
      <c r="AT1506" s="115"/>
      <c r="AU1506" s="115"/>
      <c r="AV1506" s="115"/>
      <c r="AW1506" s="115"/>
      <c r="AX1506" s="115"/>
      <c r="AY1506" s="115"/>
      <c r="AZ1506" s="115"/>
      <c r="BA1506" s="115"/>
      <c r="BB1506" s="115"/>
      <c r="BC1506" s="115"/>
      <c r="BD1506" s="115"/>
      <c r="BE1506" s="115"/>
      <c r="BF1506" s="122"/>
      <c r="BG1506" s="122"/>
      <c r="BH1506" s="122"/>
      <c r="BI1506" s="115"/>
      <c r="BJ1506" s="115"/>
      <c r="BK1506" s="115"/>
      <c r="BL1506" s="115"/>
      <c r="BM1506" s="115"/>
      <c r="BN1506" s="115"/>
      <c r="BO1506" s="115"/>
      <c r="BP1506" s="115"/>
      <c r="BQ1506" s="115"/>
      <c r="BR1506" s="115"/>
      <c r="BS1506" s="115"/>
      <c r="BT1506" s="115"/>
      <c r="BU1506" s="115"/>
      <c r="BV1506" s="115"/>
      <c r="BW1506" s="26"/>
      <c r="BX1506" s="15"/>
      <c r="CA1506" s="114"/>
    </row>
    <row r="1507" spans="1:79" x14ac:dyDescent="0.4">
      <c r="B1507" s="115"/>
      <c r="C1507" s="115"/>
      <c r="D1507" s="115"/>
      <c r="E1507" s="115"/>
      <c r="F1507" s="115"/>
      <c r="G1507" s="115"/>
      <c r="H1507" s="115"/>
      <c r="I1507" s="115"/>
      <c r="J1507" s="115"/>
      <c r="K1507" s="115"/>
      <c r="L1507" s="115"/>
      <c r="M1507" s="115"/>
      <c r="N1507" s="115"/>
      <c r="O1507" s="115"/>
      <c r="P1507" s="115"/>
      <c r="Q1507" s="115"/>
      <c r="R1507" s="115"/>
      <c r="S1507" s="115"/>
      <c r="T1507" s="115"/>
      <c r="U1507" s="115"/>
      <c r="V1507" s="115"/>
      <c r="W1507" s="115"/>
      <c r="X1507" s="115"/>
      <c r="Y1507" s="115"/>
      <c r="Z1507" s="115"/>
      <c r="AA1507" s="115"/>
      <c r="AB1507" s="115"/>
      <c r="AC1507" s="115"/>
      <c r="AD1507" s="115"/>
      <c r="AE1507" s="115"/>
      <c r="AF1507" s="115"/>
      <c r="AG1507" s="115"/>
      <c r="AH1507" s="115"/>
      <c r="AI1507" s="115"/>
      <c r="AJ1507" s="115"/>
      <c r="AK1507" s="115"/>
      <c r="AL1507" s="115"/>
      <c r="AM1507" s="115"/>
      <c r="AN1507" s="115"/>
      <c r="AO1507" s="115"/>
      <c r="AP1507" s="115"/>
      <c r="AQ1507" s="115"/>
      <c r="AR1507" s="115"/>
      <c r="AS1507" s="115"/>
      <c r="AT1507" s="115"/>
      <c r="AU1507" s="115"/>
      <c r="AV1507" s="115"/>
      <c r="AW1507" s="115"/>
      <c r="AX1507" s="115"/>
      <c r="AY1507" s="115"/>
      <c r="AZ1507" s="115"/>
      <c r="BA1507" s="115"/>
      <c r="BB1507" s="115"/>
      <c r="BC1507" s="115"/>
      <c r="BD1507" s="115"/>
      <c r="BE1507" s="115"/>
      <c r="BF1507" s="122"/>
      <c r="BG1507" s="122"/>
      <c r="BH1507" s="122"/>
      <c r="BI1507" s="115"/>
      <c r="BJ1507" s="115"/>
      <c r="BK1507" s="115"/>
      <c r="BL1507" s="115"/>
      <c r="BM1507" s="115"/>
      <c r="BN1507" s="115"/>
      <c r="BO1507" s="115"/>
      <c r="BP1507" s="115"/>
      <c r="BQ1507" s="115"/>
      <c r="BR1507" s="115"/>
      <c r="BS1507" s="115"/>
      <c r="BT1507" s="115"/>
      <c r="BU1507" s="115"/>
      <c r="BV1507" s="115"/>
      <c r="BW1507" s="17"/>
      <c r="BX1507" s="15"/>
      <c r="CA1507" s="114"/>
    </row>
    <row r="1508" spans="1:79" x14ac:dyDescent="0.4">
      <c r="B1508" s="115"/>
      <c r="C1508" s="115"/>
      <c r="D1508" s="115"/>
      <c r="E1508" s="115"/>
      <c r="F1508" s="115"/>
      <c r="G1508" s="115"/>
      <c r="H1508" s="115"/>
      <c r="I1508" s="115"/>
      <c r="J1508" s="115"/>
      <c r="K1508" s="115"/>
      <c r="L1508" s="115"/>
      <c r="M1508" s="115"/>
      <c r="N1508" s="115"/>
      <c r="O1508" s="115"/>
      <c r="P1508" s="115"/>
      <c r="Q1508" s="115"/>
      <c r="R1508" s="115"/>
      <c r="S1508" s="115"/>
      <c r="T1508" s="115"/>
      <c r="U1508" s="115"/>
      <c r="V1508" s="115"/>
      <c r="W1508" s="115"/>
      <c r="X1508" s="115"/>
      <c r="Y1508" s="115"/>
      <c r="Z1508" s="115"/>
      <c r="AA1508" s="115"/>
      <c r="AB1508" s="115"/>
      <c r="AC1508" s="115"/>
      <c r="AD1508" s="115"/>
      <c r="AE1508" s="115"/>
      <c r="AF1508" s="115"/>
      <c r="AG1508" s="115"/>
      <c r="AH1508" s="115"/>
      <c r="AI1508" s="115"/>
      <c r="AJ1508" s="115"/>
      <c r="AK1508" s="115"/>
      <c r="AL1508" s="115"/>
      <c r="AM1508" s="115"/>
      <c r="AN1508" s="115"/>
      <c r="AO1508" s="115"/>
      <c r="AP1508" s="115"/>
      <c r="AQ1508" s="115"/>
      <c r="AR1508" s="115"/>
      <c r="AS1508" s="115"/>
      <c r="AT1508" s="115"/>
      <c r="AU1508" s="115"/>
      <c r="AV1508" s="115"/>
      <c r="AW1508" s="115"/>
      <c r="AX1508" s="115"/>
      <c r="AY1508" s="115"/>
      <c r="AZ1508" s="115"/>
      <c r="BA1508" s="115"/>
      <c r="BB1508" s="115"/>
      <c r="BC1508" s="115"/>
      <c r="BD1508" s="115"/>
      <c r="BE1508" s="115"/>
      <c r="BF1508" s="122"/>
      <c r="BG1508" s="122"/>
      <c r="BH1508" s="122"/>
      <c r="BI1508" s="115"/>
      <c r="BJ1508" s="115"/>
      <c r="BK1508" s="115"/>
      <c r="BL1508" s="115"/>
      <c r="BM1508" s="115"/>
      <c r="BN1508" s="115"/>
      <c r="BO1508" s="115"/>
      <c r="BP1508" s="115"/>
      <c r="BQ1508" s="115"/>
      <c r="BR1508" s="115"/>
      <c r="BS1508" s="115"/>
      <c r="BT1508" s="115"/>
      <c r="BU1508" s="115"/>
      <c r="BV1508" s="115"/>
      <c r="BW1508" s="26"/>
      <c r="BX1508" s="15"/>
      <c r="CA1508" s="114"/>
    </row>
    <row r="1509" spans="1:79" x14ac:dyDescent="0.4">
      <c r="B1509" s="115"/>
      <c r="C1509" s="115"/>
      <c r="D1509" s="115"/>
      <c r="E1509" s="115"/>
      <c r="F1509" s="115"/>
      <c r="G1509" s="115"/>
      <c r="H1509" s="115"/>
      <c r="I1509" s="115"/>
      <c r="J1509" s="115"/>
      <c r="K1509" s="115"/>
      <c r="L1509" s="115"/>
      <c r="M1509" s="115"/>
      <c r="N1509" s="115"/>
      <c r="O1509" s="115"/>
      <c r="P1509" s="115"/>
      <c r="Q1509" s="115"/>
      <c r="R1509" s="115"/>
      <c r="S1509" s="115"/>
      <c r="T1509" s="115"/>
      <c r="U1509" s="115"/>
      <c r="V1509" s="115"/>
      <c r="W1509" s="115"/>
      <c r="X1509" s="115"/>
      <c r="Y1509" s="115"/>
      <c r="Z1509" s="115"/>
      <c r="AA1509" s="115"/>
      <c r="AB1509" s="115"/>
      <c r="AC1509" s="115"/>
      <c r="AD1509" s="115"/>
      <c r="AE1509" s="115"/>
      <c r="AF1509" s="115"/>
      <c r="AG1509" s="115"/>
      <c r="AH1509" s="115"/>
      <c r="AI1509" s="115"/>
      <c r="AJ1509" s="115"/>
      <c r="AK1509" s="115"/>
      <c r="AL1509" s="115"/>
      <c r="AM1509" s="115"/>
      <c r="AN1509" s="115"/>
      <c r="AO1509" s="115"/>
      <c r="AP1509" s="115"/>
      <c r="AQ1509" s="115"/>
      <c r="AR1509" s="115"/>
      <c r="AS1509" s="115"/>
      <c r="AT1509" s="115"/>
      <c r="AU1509" s="115"/>
      <c r="AV1509" s="115"/>
      <c r="AW1509" s="115"/>
      <c r="AX1509" s="115"/>
      <c r="AY1509" s="115"/>
      <c r="AZ1509" s="115"/>
      <c r="BA1509" s="115"/>
      <c r="BB1509" s="115"/>
      <c r="BC1509" s="115"/>
      <c r="BD1509" s="115"/>
      <c r="BE1509" s="115"/>
      <c r="BF1509" s="122"/>
      <c r="BG1509" s="122"/>
      <c r="BH1509" s="122"/>
      <c r="BI1509" s="115"/>
      <c r="BJ1509" s="115"/>
      <c r="BK1509" s="115"/>
      <c r="BL1509" s="115"/>
      <c r="BM1509" s="115"/>
      <c r="BN1509" s="115"/>
      <c r="BO1509" s="115"/>
      <c r="BP1509" s="115"/>
      <c r="BQ1509" s="115"/>
      <c r="BR1509" s="115"/>
      <c r="BS1509" s="115"/>
      <c r="BT1509" s="115"/>
      <c r="BU1509" s="115"/>
      <c r="BV1509" s="115"/>
      <c r="BW1509" s="17"/>
      <c r="BX1509" s="15"/>
      <c r="CA1509" s="114"/>
    </row>
    <row r="1510" spans="1:79" x14ac:dyDescent="0.4">
      <c r="B1510" s="115"/>
      <c r="C1510" s="115"/>
      <c r="D1510" s="115"/>
      <c r="E1510" s="115"/>
      <c r="F1510" s="115"/>
      <c r="G1510" s="115"/>
      <c r="H1510" s="115"/>
      <c r="I1510" s="115"/>
      <c r="J1510" s="115"/>
      <c r="K1510" s="115"/>
      <c r="L1510" s="115"/>
      <c r="M1510" s="115"/>
      <c r="N1510" s="115"/>
      <c r="O1510" s="115"/>
      <c r="P1510" s="115"/>
      <c r="Q1510" s="115"/>
      <c r="R1510" s="115"/>
      <c r="S1510" s="115"/>
      <c r="T1510" s="115"/>
      <c r="U1510" s="115"/>
      <c r="V1510" s="115"/>
      <c r="W1510" s="115"/>
      <c r="X1510" s="115"/>
      <c r="Y1510" s="115"/>
      <c r="Z1510" s="115"/>
      <c r="AA1510" s="115"/>
      <c r="AB1510" s="115"/>
      <c r="AC1510" s="115"/>
      <c r="AD1510" s="115"/>
      <c r="AE1510" s="115"/>
      <c r="AF1510" s="115"/>
      <c r="AG1510" s="115"/>
      <c r="AH1510" s="115"/>
      <c r="AI1510" s="115"/>
      <c r="AJ1510" s="115"/>
      <c r="AK1510" s="115"/>
      <c r="AL1510" s="115"/>
      <c r="AM1510" s="115"/>
      <c r="AN1510" s="115"/>
      <c r="AO1510" s="115"/>
      <c r="AP1510" s="115"/>
      <c r="AQ1510" s="115"/>
      <c r="AR1510" s="115"/>
      <c r="AS1510" s="115"/>
      <c r="AT1510" s="115"/>
      <c r="AU1510" s="115"/>
      <c r="AV1510" s="115"/>
      <c r="AW1510" s="115"/>
      <c r="AX1510" s="115"/>
      <c r="AY1510" s="115"/>
      <c r="AZ1510" s="115"/>
      <c r="BA1510" s="115"/>
      <c r="BB1510" s="115"/>
      <c r="BC1510" s="115"/>
      <c r="BD1510" s="115"/>
      <c r="BE1510" s="115"/>
      <c r="BF1510" s="122"/>
      <c r="BG1510" s="122"/>
      <c r="BH1510" s="122"/>
      <c r="BI1510" s="115"/>
      <c r="BJ1510" s="115"/>
      <c r="BK1510" s="115"/>
      <c r="BL1510" s="115"/>
      <c r="BM1510" s="115"/>
      <c r="BN1510" s="115"/>
      <c r="BO1510" s="115"/>
      <c r="BP1510" s="115"/>
      <c r="BQ1510" s="115"/>
      <c r="BR1510" s="115"/>
      <c r="BS1510" s="115"/>
      <c r="BT1510" s="115"/>
      <c r="BU1510" s="115"/>
      <c r="BV1510" s="115"/>
      <c r="BW1510" s="26"/>
      <c r="BX1510" s="15"/>
      <c r="CA1510" s="114"/>
    </row>
    <row r="1511" spans="1:79" x14ac:dyDescent="0.4">
      <c r="B1511" s="115"/>
      <c r="C1511" s="115"/>
      <c r="D1511" s="115"/>
      <c r="E1511" s="115"/>
      <c r="F1511" s="115"/>
      <c r="G1511" s="115"/>
      <c r="H1511" s="115"/>
      <c r="I1511" s="115"/>
      <c r="J1511" s="115"/>
      <c r="K1511" s="115"/>
      <c r="L1511" s="115"/>
      <c r="M1511" s="115"/>
      <c r="N1511" s="115"/>
      <c r="O1511" s="115"/>
      <c r="P1511" s="115"/>
      <c r="Q1511" s="115"/>
      <c r="R1511" s="115"/>
      <c r="S1511" s="115"/>
      <c r="T1511" s="115"/>
      <c r="U1511" s="115"/>
      <c r="V1511" s="115"/>
      <c r="W1511" s="115"/>
      <c r="X1511" s="115"/>
      <c r="Y1511" s="115"/>
      <c r="Z1511" s="115"/>
      <c r="AA1511" s="115"/>
      <c r="AB1511" s="115"/>
      <c r="AC1511" s="115"/>
      <c r="AD1511" s="115"/>
      <c r="AE1511" s="115"/>
      <c r="AF1511" s="115"/>
      <c r="AG1511" s="115"/>
      <c r="AH1511" s="115"/>
      <c r="AI1511" s="115"/>
      <c r="AJ1511" s="115"/>
      <c r="AK1511" s="115"/>
      <c r="AL1511" s="115"/>
      <c r="AM1511" s="115"/>
      <c r="AN1511" s="115"/>
      <c r="AO1511" s="115"/>
      <c r="AP1511" s="115"/>
      <c r="AQ1511" s="115"/>
      <c r="AR1511" s="115"/>
      <c r="AS1511" s="115"/>
      <c r="AT1511" s="115"/>
      <c r="AU1511" s="115"/>
      <c r="AV1511" s="115"/>
      <c r="AW1511" s="115"/>
      <c r="AX1511" s="115"/>
      <c r="AY1511" s="115"/>
      <c r="AZ1511" s="115"/>
      <c r="BA1511" s="115"/>
      <c r="BB1511" s="115"/>
      <c r="BC1511" s="115"/>
      <c r="BD1511" s="115"/>
      <c r="BE1511" s="115"/>
      <c r="BF1511" s="122"/>
      <c r="BG1511" s="122"/>
      <c r="BH1511" s="122"/>
      <c r="BI1511" s="115"/>
      <c r="BJ1511" s="115"/>
      <c r="BK1511" s="115"/>
      <c r="BL1511" s="115"/>
      <c r="BM1511" s="115"/>
      <c r="BN1511" s="115"/>
      <c r="BO1511" s="115"/>
      <c r="BP1511" s="115"/>
      <c r="BQ1511" s="115"/>
      <c r="BR1511" s="115"/>
      <c r="BS1511" s="115"/>
      <c r="BT1511" s="115"/>
      <c r="BU1511" s="115"/>
      <c r="BV1511" s="115"/>
      <c r="BW1511" s="17"/>
      <c r="BX1511" s="15"/>
      <c r="CA1511" s="114"/>
    </row>
    <row r="1512" spans="1:79" x14ac:dyDescent="0.4">
      <c r="B1512" s="115"/>
      <c r="C1512" s="115"/>
      <c r="D1512" s="115"/>
      <c r="E1512" s="115"/>
      <c r="F1512" s="115"/>
      <c r="G1512" s="115"/>
      <c r="H1512" s="115"/>
      <c r="I1512" s="115"/>
      <c r="J1512" s="115"/>
      <c r="K1512" s="115"/>
      <c r="L1512" s="115"/>
      <c r="M1512" s="115"/>
      <c r="N1512" s="115"/>
      <c r="O1512" s="115"/>
      <c r="P1512" s="115"/>
      <c r="Q1512" s="115"/>
      <c r="R1512" s="115"/>
      <c r="S1512" s="115"/>
      <c r="T1512" s="115"/>
      <c r="U1512" s="115"/>
      <c r="V1512" s="115"/>
      <c r="W1512" s="115"/>
      <c r="X1512" s="115"/>
      <c r="Y1512" s="115"/>
      <c r="Z1512" s="115"/>
      <c r="AA1512" s="115"/>
      <c r="AB1512" s="115"/>
      <c r="AC1512" s="115"/>
      <c r="AD1512" s="115"/>
      <c r="AE1512" s="115"/>
      <c r="AF1512" s="115"/>
      <c r="AG1512" s="115"/>
      <c r="AH1512" s="115"/>
      <c r="AI1512" s="115"/>
      <c r="AJ1512" s="115"/>
      <c r="AK1512" s="115"/>
      <c r="AL1512" s="115"/>
      <c r="AM1512" s="115"/>
      <c r="AN1512" s="115"/>
      <c r="AO1512" s="115"/>
      <c r="AP1512" s="115"/>
      <c r="AQ1512" s="115"/>
      <c r="AR1512" s="115"/>
      <c r="AS1512" s="115"/>
      <c r="AT1512" s="115"/>
      <c r="AU1512" s="115"/>
      <c r="AV1512" s="115"/>
      <c r="AW1512" s="115"/>
      <c r="AX1512" s="115"/>
      <c r="AY1512" s="115"/>
      <c r="AZ1512" s="115"/>
      <c r="BA1512" s="115"/>
      <c r="BB1512" s="115"/>
      <c r="BC1512" s="115"/>
      <c r="BD1512" s="115"/>
      <c r="BE1512" s="115"/>
      <c r="BF1512" s="122"/>
      <c r="BG1512" s="122"/>
      <c r="BH1512" s="122"/>
      <c r="BI1512" s="115"/>
      <c r="BJ1512" s="115"/>
      <c r="BK1512" s="115"/>
      <c r="BL1512" s="115"/>
      <c r="BM1512" s="115"/>
      <c r="BN1512" s="115"/>
      <c r="BO1512" s="115"/>
      <c r="BP1512" s="115"/>
      <c r="BQ1512" s="115"/>
      <c r="BR1512" s="115"/>
      <c r="BS1512" s="115"/>
      <c r="BT1512" s="115"/>
      <c r="BU1512" s="115"/>
      <c r="BV1512" s="115"/>
      <c r="BW1512" s="26"/>
      <c r="BX1512" s="15"/>
      <c r="CA1512" s="114"/>
    </row>
    <row r="1513" spans="1:79" x14ac:dyDescent="0.4">
      <c r="B1513" s="115"/>
      <c r="C1513" s="115"/>
      <c r="D1513" s="115"/>
      <c r="E1513" s="115"/>
      <c r="F1513" s="115"/>
      <c r="G1513" s="115"/>
      <c r="H1513" s="115"/>
      <c r="I1513" s="115"/>
      <c r="J1513" s="115"/>
      <c r="K1513" s="115"/>
      <c r="L1513" s="115"/>
      <c r="M1513" s="115"/>
      <c r="N1513" s="115"/>
      <c r="O1513" s="115"/>
      <c r="P1513" s="115"/>
      <c r="Q1513" s="115"/>
      <c r="R1513" s="115"/>
      <c r="S1513" s="115"/>
      <c r="T1513" s="115"/>
      <c r="U1513" s="115"/>
      <c r="V1513" s="115"/>
      <c r="W1513" s="115"/>
      <c r="X1513" s="115"/>
      <c r="Y1513" s="115"/>
      <c r="Z1513" s="115"/>
      <c r="AA1513" s="115"/>
      <c r="AB1513" s="115"/>
      <c r="AC1513" s="115"/>
      <c r="AD1513" s="115"/>
      <c r="AE1513" s="115"/>
      <c r="AF1513" s="115"/>
      <c r="AG1513" s="115"/>
      <c r="AH1513" s="115"/>
      <c r="AI1513" s="115"/>
      <c r="AJ1513" s="115"/>
      <c r="AK1513" s="115"/>
      <c r="AL1513" s="115"/>
      <c r="AM1513" s="115"/>
      <c r="AN1513" s="115"/>
      <c r="AO1513" s="115"/>
      <c r="AP1513" s="115"/>
      <c r="AQ1513" s="115"/>
      <c r="AR1513" s="115"/>
      <c r="AS1513" s="115"/>
      <c r="AT1513" s="115"/>
      <c r="AU1513" s="115"/>
      <c r="AV1513" s="115"/>
      <c r="AW1513" s="115"/>
      <c r="AX1513" s="115"/>
      <c r="AY1513" s="115"/>
      <c r="AZ1513" s="115"/>
      <c r="BA1513" s="115"/>
      <c r="BB1513" s="115"/>
      <c r="BC1513" s="115"/>
      <c r="BD1513" s="115"/>
      <c r="BE1513" s="115"/>
      <c r="BF1513" s="122"/>
      <c r="BG1513" s="122"/>
      <c r="BH1513" s="122"/>
      <c r="BI1513" s="115"/>
      <c r="BJ1513" s="115"/>
      <c r="BK1513" s="115"/>
      <c r="BL1513" s="115"/>
      <c r="BM1513" s="115"/>
      <c r="BN1513" s="115"/>
      <c r="BO1513" s="115"/>
      <c r="BP1513" s="115"/>
      <c r="BQ1513" s="115"/>
      <c r="BR1513" s="115"/>
      <c r="BS1513" s="115"/>
      <c r="BT1513" s="115"/>
      <c r="BU1513" s="115"/>
      <c r="BV1513" s="115"/>
      <c r="BW1513" s="26"/>
      <c r="BX1513" s="15"/>
      <c r="CA1513" s="114"/>
    </row>
    <row r="1514" spans="1:79" x14ac:dyDescent="0.4">
      <c r="B1514" s="115"/>
      <c r="C1514" s="115"/>
      <c r="D1514" s="115"/>
      <c r="E1514" s="115"/>
      <c r="F1514" s="115"/>
      <c r="G1514" s="115"/>
      <c r="H1514" s="115"/>
      <c r="I1514" s="115"/>
      <c r="J1514" s="115"/>
      <c r="K1514" s="115"/>
      <c r="L1514" s="115"/>
      <c r="M1514" s="115"/>
      <c r="N1514" s="115"/>
      <c r="O1514" s="115"/>
      <c r="P1514" s="115"/>
      <c r="Q1514" s="115"/>
      <c r="R1514" s="115"/>
      <c r="S1514" s="115"/>
      <c r="T1514" s="115"/>
      <c r="U1514" s="115"/>
      <c r="V1514" s="115"/>
      <c r="W1514" s="115"/>
      <c r="X1514" s="115"/>
      <c r="Y1514" s="115"/>
      <c r="Z1514" s="115"/>
      <c r="AA1514" s="115"/>
      <c r="AB1514" s="115"/>
      <c r="AC1514" s="115"/>
      <c r="AD1514" s="115"/>
      <c r="AE1514" s="115"/>
      <c r="AF1514" s="115"/>
      <c r="AG1514" s="115"/>
      <c r="AH1514" s="115"/>
      <c r="AI1514" s="115"/>
      <c r="AJ1514" s="115"/>
      <c r="AK1514" s="115"/>
      <c r="AL1514" s="115"/>
      <c r="AM1514" s="115"/>
      <c r="AN1514" s="115"/>
      <c r="AO1514" s="115"/>
      <c r="AP1514" s="115"/>
      <c r="AQ1514" s="115"/>
      <c r="AR1514" s="115"/>
      <c r="AS1514" s="115"/>
      <c r="AT1514" s="115"/>
      <c r="AU1514" s="115"/>
      <c r="AV1514" s="115"/>
      <c r="AW1514" s="115"/>
      <c r="AX1514" s="115"/>
      <c r="AY1514" s="115"/>
      <c r="AZ1514" s="115"/>
      <c r="BA1514" s="115"/>
      <c r="BB1514" s="115"/>
      <c r="BC1514" s="115"/>
      <c r="BD1514" s="115"/>
      <c r="BE1514" s="115"/>
      <c r="BF1514" s="122"/>
      <c r="BG1514" s="122"/>
      <c r="BH1514" s="122"/>
      <c r="BI1514" s="115"/>
      <c r="BJ1514" s="115"/>
      <c r="BK1514" s="115"/>
      <c r="BL1514" s="115"/>
      <c r="BM1514" s="115"/>
      <c r="BN1514" s="115"/>
      <c r="BO1514" s="115"/>
      <c r="BP1514" s="115"/>
      <c r="BQ1514" s="115"/>
      <c r="BR1514" s="115"/>
      <c r="BS1514" s="115"/>
      <c r="BT1514" s="115"/>
      <c r="BU1514" s="115"/>
      <c r="BV1514" s="115"/>
      <c r="BW1514" s="17"/>
      <c r="BX1514" s="15"/>
      <c r="CA1514" s="114"/>
    </row>
    <row r="1515" spans="1:79" x14ac:dyDescent="0.4">
      <c r="B1515" s="115"/>
      <c r="C1515" s="115"/>
      <c r="D1515" s="115"/>
      <c r="E1515" s="115"/>
      <c r="F1515" s="115"/>
      <c r="G1515" s="115"/>
      <c r="H1515" s="115"/>
      <c r="I1515" s="115"/>
      <c r="J1515" s="115"/>
      <c r="K1515" s="115"/>
      <c r="L1515" s="115"/>
      <c r="M1515" s="115"/>
      <c r="N1515" s="115"/>
      <c r="O1515" s="115"/>
      <c r="P1515" s="115"/>
      <c r="Q1515" s="115"/>
      <c r="R1515" s="115"/>
      <c r="S1515" s="115"/>
      <c r="T1515" s="115"/>
      <c r="U1515" s="115"/>
      <c r="V1515" s="115"/>
      <c r="W1515" s="115"/>
      <c r="X1515" s="115"/>
      <c r="Y1515" s="115"/>
      <c r="Z1515" s="115"/>
      <c r="AA1515" s="115"/>
      <c r="AB1515" s="115"/>
      <c r="AC1515" s="115"/>
      <c r="AD1515" s="115"/>
      <c r="AE1515" s="115"/>
      <c r="AF1515" s="115"/>
      <c r="AG1515" s="115"/>
      <c r="AH1515" s="115"/>
      <c r="AI1515" s="115"/>
      <c r="AJ1515" s="115"/>
      <c r="AK1515" s="115"/>
      <c r="AL1515" s="115"/>
      <c r="AM1515" s="115"/>
      <c r="AN1515" s="115"/>
      <c r="AO1515" s="115"/>
      <c r="AP1515" s="115"/>
      <c r="AQ1515" s="115"/>
      <c r="AR1515" s="115"/>
      <c r="AS1515" s="115"/>
      <c r="AT1515" s="115"/>
      <c r="AU1515" s="115"/>
      <c r="AV1515" s="115"/>
      <c r="AW1515" s="115"/>
      <c r="AX1515" s="115"/>
      <c r="AY1515" s="115"/>
      <c r="AZ1515" s="115"/>
      <c r="BA1515" s="115"/>
      <c r="BB1515" s="115"/>
      <c r="BC1515" s="115"/>
      <c r="BD1515" s="115"/>
      <c r="BE1515" s="115"/>
      <c r="BF1515" s="122"/>
      <c r="BG1515" s="122"/>
      <c r="BH1515" s="122"/>
      <c r="BI1515" s="115"/>
      <c r="BJ1515" s="115"/>
      <c r="BK1515" s="115"/>
      <c r="BL1515" s="115"/>
      <c r="BM1515" s="115"/>
      <c r="BN1515" s="115"/>
      <c r="BO1515" s="115"/>
      <c r="BP1515" s="115"/>
      <c r="BQ1515" s="115"/>
      <c r="BR1515" s="115"/>
      <c r="BS1515" s="115"/>
      <c r="BT1515" s="115"/>
      <c r="BU1515" s="115"/>
      <c r="BV1515" s="115"/>
      <c r="BW1515" s="26"/>
      <c r="BX1515" s="15"/>
      <c r="CA1515" s="114"/>
    </row>
    <row r="1516" spans="1:79" x14ac:dyDescent="0.4">
      <c r="B1516" s="115"/>
      <c r="C1516" s="115"/>
      <c r="D1516" s="115"/>
      <c r="E1516" s="115"/>
      <c r="F1516" s="115"/>
      <c r="G1516" s="115"/>
      <c r="H1516" s="115"/>
      <c r="I1516" s="115"/>
      <c r="J1516" s="115"/>
      <c r="K1516" s="115"/>
      <c r="L1516" s="115"/>
      <c r="M1516" s="115"/>
      <c r="N1516" s="115"/>
      <c r="O1516" s="115"/>
      <c r="P1516" s="115"/>
      <c r="Q1516" s="115"/>
      <c r="R1516" s="115"/>
      <c r="S1516" s="115"/>
      <c r="T1516" s="115"/>
      <c r="U1516" s="115"/>
      <c r="V1516" s="115"/>
      <c r="W1516" s="115"/>
      <c r="X1516" s="115"/>
      <c r="Y1516" s="115"/>
      <c r="Z1516" s="115"/>
      <c r="AA1516" s="115"/>
      <c r="AB1516" s="115"/>
      <c r="AC1516" s="115"/>
      <c r="AD1516" s="115"/>
      <c r="AE1516" s="115"/>
      <c r="AF1516" s="115"/>
      <c r="AG1516" s="115"/>
      <c r="AH1516" s="115"/>
      <c r="AI1516" s="115"/>
      <c r="AJ1516" s="115"/>
      <c r="AK1516" s="115"/>
      <c r="AL1516" s="115"/>
      <c r="AM1516" s="115"/>
      <c r="AN1516" s="115"/>
      <c r="AO1516" s="115"/>
      <c r="AP1516" s="115"/>
      <c r="AQ1516" s="115"/>
      <c r="AR1516" s="115"/>
      <c r="AS1516" s="115"/>
      <c r="AT1516" s="115"/>
      <c r="AU1516" s="115"/>
      <c r="AV1516" s="115"/>
      <c r="AW1516" s="115"/>
      <c r="AX1516" s="115"/>
      <c r="AY1516" s="115"/>
      <c r="AZ1516" s="115"/>
      <c r="BA1516" s="115"/>
      <c r="BB1516" s="115"/>
      <c r="BC1516" s="115"/>
      <c r="BD1516" s="115"/>
      <c r="BE1516" s="115"/>
      <c r="BF1516" s="122"/>
      <c r="BG1516" s="122"/>
      <c r="BH1516" s="122"/>
      <c r="BI1516" s="115"/>
      <c r="BJ1516" s="115"/>
      <c r="BK1516" s="115"/>
      <c r="BL1516" s="115"/>
      <c r="BM1516" s="115"/>
      <c r="BN1516" s="115"/>
      <c r="BO1516" s="115"/>
      <c r="BP1516" s="115"/>
      <c r="BQ1516" s="115"/>
      <c r="BR1516" s="115"/>
      <c r="BS1516" s="115"/>
      <c r="BT1516" s="115"/>
      <c r="BU1516" s="115"/>
      <c r="BV1516" s="115"/>
      <c r="BW1516" s="26"/>
      <c r="BX1516" s="15"/>
      <c r="CA1516" s="114"/>
    </row>
    <row r="1517" spans="1:79" x14ac:dyDescent="0.4">
      <c r="A1517" s="115"/>
      <c r="B1517" s="115"/>
      <c r="C1517" s="115"/>
      <c r="D1517" s="115"/>
      <c r="E1517" s="115"/>
      <c r="F1517" s="115"/>
      <c r="G1517" s="115"/>
      <c r="H1517" s="115"/>
      <c r="I1517" s="115"/>
      <c r="J1517" s="115"/>
      <c r="K1517" s="115"/>
      <c r="L1517" s="115"/>
      <c r="M1517" s="115"/>
      <c r="N1517" s="115"/>
      <c r="O1517" s="115"/>
      <c r="P1517" s="115"/>
      <c r="Q1517" s="115"/>
      <c r="R1517" s="115"/>
      <c r="S1517" s="115"/>
      <c r="T1517" s="115"/>
      <c r="U1517" s="115"/>
      <c r="V1517" s="115"/>
      <c r="W1517" s="115"/>
      <c r="X1517" s="115"/>
      <c r="Y1517" s="115"/>
      <c r="Z1517" s="115"/>
      <c r="AA1517" s="115"/>
      <c r="AB1517" s="115"/>
      <c r="AC1517" s="115"/>
      <c r="AD1517" s="115"/>
      <c r="AE1517" s="115"/>
      <c r="AF1517" s="115"/>
      <c r="AG1517" s="115"/>
      <c r="AH1517" s="115"/>
      <c r="AI1517" s="115"/>
      <c r="AJ1517" s="115"/>
      <c r="AK1517" s="115"/>
      <c r="AL1517" s="115"/>
      <c r="AM1517" s="115"/>
      <c r="AN1517" s="115"/>
      <c r="AO1517" s="115"/>
      <c r="AP1517" s="115"/>
      <c r="AQ1517" s="115"/>
      <c r="AR1517" s="115"/>
      <c r="AS1517" s="115"/>
      <c r="AT1517" s="115"/>
      <c r="AU1517" s="115"/>
      <c r="AV1517" s="115"/>
      <c r="AW1517" s="115"/>
      <c r="AX1517" s="115"/>
      <c r="AY1517" s="115"/>
      <c r="AZ1517" s="115"/>
      <c r="BA1517" s="115"/>
      <c r="BB1517" s="115"/>
      <c r="BC1517" s="115"/>
      <c r="BD1517" s="115"/>
      <c r="BE1517" s="115"/>
      <c r="BF1517" s="122"/>
      <c r="BG1517" s="122"/>
      <c r="BH1517" s="122"/>
      <c r="BI1517" s="115"/>
      <c r="BJ1517" s="115"/>
      <c r="BK1517" s="115"/>
      <c r="BL1517" s="115"/>
      <c r="BM1517" s="115"/>
      <c r="BN1517" s="115"/>
      <c r="BO1517" s="115"/>
      <c r="BP1517" s="115"/>
      <c r="BQ1517" s="115"/>
      <c r="BR1517" s="115"/>
      <c r="BS1517" s="115"/>
      <c r="BT1517" s="115"/>
      <c r="BU1517" s="115"/>
      <c r="BV1517" s="115"/>
      <c r="BW1517" s="26"/>
      <c r="BX1517" s="105"/>
      <c r="CA1517" s="114"/>
    </row>
    <row r="1518" spans="1:79" x14ac:dyDescent="0.4">
      <c r="A1518" s="115"/>
      <c r="B1518" s="115"/>
      <c r="C1518" s="115"/>
      <c r="D1518" s="115"/>
      <c r="E1518" s="115"/>
      <c r="F1518" s="115"/>
      <c r="G1518" s="115"/>
      <c r="H1518" s="115"/>
      <c r="I1518" s="115"/>
      <c r="J1518" s="115"/>
      <c r="K1518" s="115"/>
      <c r="L1518" s="115"/>
      <c r="M1518" s="115"/>
      <c r="N1518" s="115"/>
      <c r="O1518" s="115"/>
      <c r="P1518" s="115"/>
      <c r="Q1518" s="115"/>
      <c r="R1518" s="115"/>
      <c r="S1518" s="115"/>
      <c r="T1518" s="115"/>
      <c r="U1518" s="115"/>
      <c r="V1518" s="115"/>
      <c r="W1518" s="115"/>
      <c r="X1518" s="115"/>
      <c r="Y1518" s="115"/>
      <c r="Z1518" s="115"/>
      <c r="AA1518" s="115"/>
      <c r="AB1518" s="115"/>
      <c r="AC1518" s="115"/>
      <c r="AD1518" s="115"/>
      <c r="AE1518" s="115"/>
      <c r="AF1518" s="115"/>
      <c r="AG1518" s="115"/>
      <c r="AH1518" s="115"/>
      <c r="AI1518" s="115"/>
      <c r="AJ1518" s="115"/>
      <c r="AK1518" s="115"/>
      <c r="AL1518" s="115"/>
      <c r="AM1518" s="115"/>
      <c r="AN1518" s="115"/>
      <c r="AO1518" s="115"/>
      <c r="AP1518" s="115"/>
      <c r="AQ1518" s="115"/>
      <c r="AR1518" s="115"/>
      <c r="AS1518" s="115"/>
      <c r="AT1518" s="115"/>
      <c r="AU1518" s="115"/>
      <c r="AV1518" s="115"/>
      <c r="AW1518" s="115"/>
      <c r="AX1518" s="115"/>
      <c r="AY1518" s="115"/>
      <c r="AZ1518" s="115"/>
      <c r="BA1518" s="115"/>
      <c r="BB1518" s="115"/>
      <c r="BC1518" s="115"/>
      <c r="BD1518" s="115"/>
      <c r="BE1518" s="115"/>
      <c r="BF1518" s="122"/>
      <c r="BG1518" s="122"/>
      <c r="BH1518" s="122"/>
      <c r="BI1518" s="115"/>
      <c r="BJ1518" s="115"/>
      <c r="BK1518" s="115"/>
      <c r="BL1518" s="115"/>
      <c r="BM1518" s="115"/>
      <c r="BN1518" s="115"/>
      <c r="BO1518" s="115"/>
      <c r="BP1518" s="115"/>
      <c r="BQ1518" s="115"/>
      <c r="BR1518" s="115"/>
      <c r="BS1518" s="115"/>
      <c r="BT1518" s="115"/>
      <c r="BU1518" s="115"/>
      <c r="BV1518" s="115"/>
      <c r="BW1518" s="17"/>
      <c r="BX1518" s="15"/>
      <c r="CA1518" s="114"/>
    </row>
    <row r="1519" spans="1:79" x14ac:dyDescent="0.4">
      <c r="A1519" s="115"/>
      <c r="B1519" s="115"/>
      <c r="C1519" s="115"/>
      <c r="D1519" s="115"/>
      <c r="E1519" s="115"/>
      <c r="F1519" s="115"/>
      <c r="G1519" s="115"/>
      <c r="H1519" s="115"/>
      <c r="I1519" s="115"/>
      <c r="J1519" s="115"/>
      <c r="K1519" s="115"/>
      <c r="L1519" s="115"/>
      <c r="M1519" s="115"/>
      <c r="N1519" s="115"/>
      <c r="O1519" s="115"/>
      <c r="P1519" s="115"/>
      <c r="Q1519" s="115"/>
      <c r="R1519" s="115"/>
      <c r="S1519" s="115"/>
      <c r="T1519" s="115"/>
      <c r="U1519" s="115"/>
      <c r="V1519" s="115"/>
      <c r="W1519" s="115"/>
      <c r="X1519" s="115"/>
      <c r="Y1519" s="115"/>
      <c r="Z1519" s="115"/>
      <c r="AA1519" s="115"/>
      <c r="AB1519" s="115"/>
      <c r="AC1519" s="115"/>
      <c r="AD1519" s="115"/>
      <c r="AE1519" s="115"/>
      <c r="AF1519" s="115"/>
      <c r="AG1519" s="115"/>
      <c r="AH1519" s="115"/>
      <c r="AI1519" s="115"/>
      <c r="AJ1519" s="115"/>
      <c r="AK1519" s="115"/>
      <c r="AL1519" s="115"/>
      <c r="AM1519" s="115"/>
      <c r="AN1519" s="115"/>
      <c r="AO1519" s="115"/>
      <c r="AP1519" s="115"/>
      <c r="AQ1519" s="115"/>
      <c r="AR1519" s="115"/>
      <c r="AS1519" s="115"/>
      <c r="AT1519" s="115"/>
      <c r="AU1519" s="115"/>
      <c r="AV1519" s="115"/>
      <c r="AW1519" s="115"/>
      <c r="AX1519" s="115"/>
      <c r="AY1519" s="115"/>
      <c r="AZ1519" s="115"/>
      <c r="BA1519" s="115"/>
      <c r="BB1519" s="115"/>
      <c r="BC1519" s="115"/>
      <c r="BD1519" s="115"/>
      <c r="BE1519" s="115"/>
      <c r="BF1519" s="122"/>
      <c r="BG1519" s="122"/>
      <c r="BH1519" s="122"/>
      <c r="BI1519" s="115"/>
      <c r="BJ1519" s="115"/>
      <c r="BK1519" s="115"/>
      <c r="BL1519" s="115"/>
      <c r="BM1519" s="115"/>
      <c r="BN1519" s="115"/>
      <c r="BO1519" s="115"/>
      <c r="BP1519" s="115"/>
      <c r="BQ1519" s="115"/>
      <c r="BR1519" s="115"/>
      <c r="BS1519" s="115"/>
      <c r="BT1519" s="115"/>
      <c r="BU1519" s="115"/>
      <c r="BV1519" s="115"/>
      <c r="BW1519" s="17"/>
      <c r="BX1519" s="15"/>
      <c r="CA1519" s="114"/>
    </row>
    <row r="1520" spans="1:79" x14ac:dyDescent="0.4">
      <c r="A1520" s="115"/>
      <c r="B1520" s="115"/>
      <c r="C1520" s="115"/>
      <c r="D1520" s="115"/>
      <c r="E1520" s="115"/>
      <c r="F1520" s="115"/>
      <c r="G1520" s="115"/>
      <c r="H1520" s="115"/>
      <c r="I1520" s="115"/>
      <c r="J1520" s="115"/>
      <c r="K1520" s="115"/>
      <c r="L1520" s="115"/>
      <c r="M1520" s="115"/>
      <c r="N1520" s="115"/>
      <c r="O1520" s="115"/>
      <c r="P1520" s="115"/>
      <c r="Q1520" s="115"/>
      <c r="R1520" s="115"/>
      <c r="S1520" s="115"/>
      <c r="T1520" s="115"/>
      <c r="U1520" s="115"/>
      <c r="V1520" s="115"/>
      <c r="W1520" s="115"/>
      <c r="X1520" s="115"/>
      <c r="Y1520" s="115"/>
      <c r="Z1520" s="115"/>
      <c r="AA1520" s="115"/>
      <c r="AB1520" s="115"/>
      <c r="AC1520" s="115"/>
      <c r="AD1520" s="115"/>
      <c r="AE1520" s="115"/>
      <c r="AF1520" s="115"/>
      <c r="AG1520" s="115"/>
      <c r="AH1520" s="115"/>
      <c r="AI1520" s="115"/>
      <c r="AJ1520" s="115"/>
      <c r="AK1520" s="115"/>
      <c r="AL1520" s="115"/>
      <c r="AM1520" s="115"/>
      <c r="AN1520" s="115"/>
      <c r="AO1520" s="115"/>
      <c r="AP1520" s="115"/>
      <c r="AQ1520" s="115"/>
      <c r="AR1520" s="115"/>
      <c r="AS1520" s="115"/>
      <c r="AT1520" s="115"/>
      <c r="AU1520" s="115"/>
      <c r="AV1520" s="115"/>
      <c r="AW1520" s="115"/>
      <c r="AX1520" s="115"/>
      <c r="AY1520" s="115"/>
      <c r="AZ1520" s="115"/>
      <c r="BA1520" s="115"/>
      <c r="BB1520" s="115"/>
      <c r="BC1520" s="115"/>
      <c r="BD1520" s="115"/>
      <c r="BE1520" s="115"/>
      <c r="BF1520" s="122"/>
      <c r="BG1520" s="122"/>
      <c r="BH1520" s="122"/>
      <c r="BI1520" s="115"/>
      <c r="BJ1520" s="115"/>
      <c r="BK1520" s="115"/>
      <c r="BL1520" s="115"/>
      <c r="BM1520" s="115"/>
      <c r="BN1520" s="115"/>
      <c r="BO1520" s="115"/>
      <c r="BP1520" s="115"/>
      <c r="BQ1520" s="115"/>
      <c r="BR1520" s="115"/>
      <c r="BS1520" s="115"/>
      <c r="BT1520" s="115"/>
      <c r="BU1520" s="115"/>
      <c r="BV1520" s="115"/>
      <c r="BW1520" s="26"/>
      <c r="BX1520" s="15"/>
      <c r="CA1520" s="114"/>
    </row>
    <row r="1521" spans="1:79" x14ac:dyDescent="0.4">
      <c r="A1521" s="115"/>
      <c r="B1521" s="115"/>
      <c r="C1521" s="115"/>
      <c r="D1521" s="115"/>
      <c r="E1521" s="115"/>
      <c r="F1521" s="115"/>
      <c r="G1521" s="115"/>
      <c r="H1521" s="115"/>
      <c r="I1521" s="115"/>
      <c r="J1521" s="115"/>
      <c r="K1521" s="115"/>
      <c r="L1521" s="115"/>
      <c r="M1521" s="115"/>
      <c r="N1521" s="115"/>
      <c r="O1521" s="115"/>
      <c r="P1521" s="115"/>
      <c r="Q1521" s="115"/>
      <c r="R1521" s="115"/>
      <c r="S1521" s="115"/>
      <c r="T1521" s="115"/>
      <c r="U1521" s="115"/>
      <c r="V1521" s="115"/>
      <c r="W1521" s="115"/>
      <c r="X1521" s="115"/>
      <c r="Y1521" s="115"/>
      <c r="Z1521" s="115"/>
      <c r="AA1521" s="115"/>
      <c r="AB1521" s="115"/>
      <c r="AC1521" s="115"/>
      <c r="AD1521" s="115"/>
      <c r="AE1521" s="115"/>
      <c r="AF1521" s="115"/>
      <c r="AG1521" s="115"/>
      <c r="AH1521" s="115"/>
      <c r="AI1521" s="115"/>
      <c r="AJ1521" s="115"/>
      <c r="AK1521" s="115"/>
      <c r="AL1521" s="115"/>
      <c r="AM1521" s="115"/>
      <c r="AN1521" s="115"/>
      <c r="AO1521" s="115"/>
      <c r="AP1521" s="115"/>
      <c r="AQ1521" s="115"/>
      <c r="AR1521" s="115"/>
      <c r="AS1521" s="115"/>
      <c r="AT1521" s="115"/>
      <c r="AU1521" s="115"/>
      <c r="AV1521" s="115"/>
      <c r="AW1521" s="115"/>
      <c r="AX1521" s="115"/>
      <c r="AY1521" s="115"/>
      <c r="AZ1521" s="115"/>
      <c r="BA1521" s="115"/>
      <c r="BB1521" s="115"/>
      <c r="BC1521" s="115"/>
      <c r="BD1521" s="115"/>
      <c r="BE1521" s="115"/>
      <c r="BF1521" s="122"/>
      <c r="BG1521" s="122"/>
      <c r="BH1521" s="122"/>
      <c r="BI1521" s="115"/>
      <c r="BJ1521" s="115"/>
      <c r="BK1521" s="115"/>
      <c r="BL1521" s="115"/>
      <c r="BM1521" s="115"/>
      <c r="BN1521" s="115"/>
      <c r="BO1521" s="115"/>
      <c r="BP1521" s="115"/>
      <c r="BQ1521" s="115"/>
      <c r="BR1521" s="115"/>
      <c r="BS1521" s="115"/>
      <c r="BT1521" s="115"/>
      <c r="BU1521" s="115"/>
      <c r="BV1521" s="115"/>
      <c r="BW1521" s="26"/>
      <c r="BX1521" s="15"/>
      <c r="CA1521" s="114"/>
    </row>
    <row r="1522" spans="1:79" x14ac:dyDescent="0.4">
      <c r="A1522" s="115"/>
      <c r="B1522" s="115"/>
      <c r="C1522" s="115"/>
      <c r="D1522" s="115"/>
      <c r="E1522" s="115"/>
      <c r="F1522" s="115"/>
      <c r="G1522" s="115"/>
      <c r="H1522" s="115"/>
      <c r="I1522" s="115"/>
      <c r="J1522" s="115"/>
      <c r="K1522" s="115"/>
      <c r="L1522" s="115"/>
      <c r="M1522" s="115"/>
      <c r="N1522" s="115"/>
      <c r="O1522" s="115"/>
      <c r="P1522" s="115"/>
      <c r="Q1522" s="115"/>
      <c r="R1522" s="115"/>
      <c r="S1522" s="115"/>
      <c r="T1522" s="115"/>
      <c r="U1522" s="115"/>
      <c r="V1522" s="115"/>
      <c r="W1522" s="115"/>
      <c r="X1522" s="115"/>
      <c r="Y1522" s="115"/>
      <c r="Z1522" s="115"/>
      <c r="AA1522" s="115"/>
      <c r="AB1522" s="115"/>
      <c r="AC1522" s="115"/>
      <c r="AD1522" s="115"/>
      <c r="AE1522" s="115"/>
      <c r="AF1522" s="115"/>
      <c r="AG1522" s="115"/>
      <c r="AH1522" s="115"/>
      <c r="AI1522" s="115"/>
      <c r="AJ1522" s="115"/>
      <c r="AK1522" s="115"/>
      <c r="AL1522" s="115"/>
      <c r="AM1522" s="115"/>
      <c r="AN1522" s="115"/>
      <c r="AO1522" s="115"/>
      <c r="AP1522" s="115"/>
      <c r="AQ1522" s="115"/>
      <c r="AR1522" s="115"/>
      <c r="AS1522" s="115"/>
      <c r="AT1522" s="115"/>
      <c r="AU1522" s="115"/>
      <c r="AV1522" s="115"/>
      <c r="AW1522" s="115"/>
      <c r="AX1522" s="115"/>
      <c r="AY1522" s="115"/>
      <c r="AZ1522" s="115"/>
      <c r="BA1522" s="115"/>
      <c r="BB1522" s="115"/>
      <c r="BC1522" s="115"/>
      <c r="BD1522" s="115"/>
      <c r="BE1522" s="115"/>
      <c r="BF1522" s="122"/>
      <c r="BG1522" s="122"/>
      <c r="BH1522" s="122"/>
      <c r="BI1522" s="115"/>
      <c r="BJ1522" s="115"/>
      <c r="BK1522" s="115"/>
      <c r="BL1522" s="115"/>
      <c r="BM1522" s="115"/>
      <c r="BN1522" s="115"/>
      <c r="BO1522" s="115"/>
      <c r="BP1522" s="115"/>
      <c r="BQ1522" s="115"/>
      <c r="BR1522" s="115"/>
      <c r="BS1522" s="115"/>
      <c r="BT1522" s="115"/>
      <c r="BU1522" s="115"/>
      <c r="BV1522" s="115"/>
      <c r="BW1522" s="26"/>
      <c r="BX1522" s="15"/>
      <c r="CA1522" s="114"/>
    </row>
    <row r="1523" spans="1:79" x14ac:dyDescent="0.4">
      <c r="A1523" s="115"/>
      <c r="B1523" s="115"/>
      <c r="C1523" s="115"/>
      <c r="D1523" s="115"/>
      <c r="E1523" s="115"/>
      <c r="F1523" s="115"/>
      <c r="G1523" s="115"/>
      <c r="H1523" s="115"/>
      <c r="I1523" s="115"/>
      <c r="J1523" s="115"/>
      <c r="K1523" s="115"/>
      <c r="L1523" s="115"/>
      <c r="M1523" s="115"/>
      <c r="N1523" s="115"/>
      <c r="O1523" s="115"/>
      <c r="P1523" s="115"/>
      <c r="Q1523" s="115"/>
      <c r="R1523" s="115"/>
      <c r="S1523" s="115"/>
      <c r="T1523" s="115"/>
      <c r="U1523" s="115"/>
      <c r="V1523" s="115"/>
      <c r="W1523" s="115"/>
      <c r="X1523" s="115"/>
      <c r="Y1523" s="115"/>
      <c r="Z1523" s="115"/>
      <c r="AA1523" s="115"/>
      <c r="AB1523" s="115"/>
      <c r="AC1523" s="115"/>
      <c r="AD1523" s="115"/>
      <c r="AE1523" s="115"/>
      <c r="AF1523" s="115"/>
      <c r="AG1523" s="115"/>
      <c r="AH1523" s="115"/>
      <c r="AI1523" s="115"/>
      <c r="AJ1523" s="115"/>
      <c r="AK1523" s="115"/>
      <c r="AL1523" s="115"/>
      <c r="AM1523" s="115"/>
      <c r="AN1523" s="115"/>
      <c r="AO1523" s="115"/>
      <c r="AP1523" s="115"/>
      <c r="AQ1523" s="115"/>
      <c r="AR1523" s="115"/>
      <c r="AS1523" s="115"/>
      <c r="AT1523" s="115"/>
      <c r="AU1523" s="115"/>
      <c r="AV1523" s="115"/>
      <c r="AW1523" s="115"/>
      <c r="AX1523" s="115"/>
      <c r="AY1523" s="115"/>
      <c r="AZ1523" s="115"/>
      <c r="BA1523" s="115"/>
      <c r="BB1523" s="115"/>
      <c r="BC1523" s="115"/>
      <c r="BD1523" s="115"/>
      <c r="BE1523" s="115"/>
      <c r="BF1523" s="122"/>
      <c r="BG1523" s="122"/>
      <c r="BH1523" s="122"/>
      <c r="BI1523" s="115"/>
      <c r="BJ1523" s="115"/>
      <c r="BK1523" s="115"/>
      <c r="BL1523" s="115"/>
      <c r="BM1523" s="115"/>
      <c r="BN1523" s="115"/>
      <c r="BO1523" s="115"/>
      <c r="BP1523" s="115"/>
      <c r="BQ1523" s="115"/>
      <c r="BR1523" s="115"/>
      <c r="BS1523" s="115"/>
      <c r="BT1523" s="115"/>
      <c r="BU1523" s="115"/>
      <c r="BV1523" s="115"/>
      <c r="BW1523" s="26"/>
      <c r="BX1523" s="15"/>
      <c r="CA1523" s="114"/>
    </row>
    <row r="1524" spans="1:79" x14ac:dyDescent="0.4">
      <c r="A1524" s="115"/>
      <c r="B1524" s="115"/>
      <c r="C1524" s="115"/>
      <c r="D1524" s="115"/>
      <c r="E1524" s="115"/>
      <c r="F1524" s="115"/>
      <c r="G1524" s="115"/>
      <c r="H1524" s="115"/>
      <c r="I1524" s="115"/>
      <c r="J1524" s="115"/>
      <c r="K1524" s="115"/>
      <c r="L1524" s="115"/>
      <c r="M1524" s="115"/>
      <c r="N1524" s="115"/>
      <c r="O1524" s="115"/>
      <c r="P1524" s="115"/>
      <c r="Q1524" s="115"/>
      <c r="R1524" s="115"/>
      <c r="S1524" s="115"/>
      <c r="T1524" s="115"/>
      <c r="U1524" s="115"/>
      <c r="V1524" s="115"/>
      <c r="W1524" s="115"/>
      <c r="X1524" s="115"/>
      <c r="Y1524" s="115"/>
      <c r="Z1524" s="115"/>
      <c r="AA1524" s="115"/>
      <c r="AB1524" s="115"/>
      <c r="AC1524" s="115"/>
      <c r="AD1524" s="115"/>
      <c r="AE1524" s="115"/>
      <c r="AF1524" s="115"/>
      <c r="AG1524" s="115"/>
      <c r="AH1524" s="115"/>
      <c r="AI1524" s="115"/>
      <c r="AJ1524" s="115"/>
      <c r="AK1524" s="115"/>
      <c r="AL1524" s="115"/>
      <c r="AM1524" s="115"/>
      <c r="AN1524" s="115"/>
      <c r="AO1524" s="115"/>
      <c r="AP1524" s="115"/>
      <c r="AQ1524" s="115"/>
      <c r="AR1524" s="115"/>
      <c r="AS1524" s="115"/>
      <c r="AT1524" s="115"/>
      <c r="AU1524" s="115"/>
      <c r="AV1524" s="115"/>
      <c r="AW1524" s="115"/>
      <c r="AX1524" s="115"/>
      <c r="AY1524" s="115"/>
      <c r="AZ1524" s="115"/>
      <c r="BA1524" s="115"/>
      <c r="BB1524" s="115"/>
      <c r="BC1524" s="115"/>
      <c r="BD1524" s="115"/>
      <c r="BE1524" s="115"/>
      <c r="BF1524" s="122"/>
      <c r="BG1524" s="122"/>
      <c r="BH1524" s="122"/>
      <c r="BI1524" s="115"/>
      <c r="BJ1524" s="115"/>
      <c r="BK1524" s="115"/>
      <c r="BL1524" s="115"/>
      <c r="BM1524" s="115"/>
      <c r="BN1524" s="115"/>
      <c r="BO1524" s="115"/>
      <c r="BP1524" s="115"/>
      <c r="BQ1524" s="115"/>
      <c r="BR1524" s="115"/>
      <c r="BS1524" s="115"/>
      <c r="BT1524" s="115"/>
      <c r="BU1524" s="115"/>
      <c r="BV1524" s="115"/>
      <c r="BW1524" s="26"/>
      <c r="BX1524" s="15"/>
      <c r="CA1524" s="114"/>
    </row>
    <row r="1525" spans="1:79" x14ac:dyDescent="0.4">
      <c r="A1525" s="115"/>
      <c r="B1525" s="115"/>
      <c r="C1525" s="115"/>
      <c r="D1525" s="115"/>
      <c r="E1525" s="115"/>
      <c r="F1525" s="115"/>
      <c r="G1525" s="115"/>
      <c r="H1525" s="115"/>
      <c r="I1525" s="115"/>
      <c r="J1525" s="115"/>
      <c r="K1525" s="115"/>
      <c r="L1525" s="115"/>
      <c r="M1525" s="115"/>
      <c r="N1525" s="115"/>
      <c r="O1525" s="115"/>
      <c r="P1525" s="115"/>
      <c r="Q1525" s="115"/>
      <c r="R1525" s="115"/>
      <c r="S1525" s="115"/>
      <c r="T1525" s="115"/>
      <c r="U1525" s="115"/>
      <c r="V1525" s="115"/>
      <c r="W1525" s="115"/>
      <c r="X1525" s="115"/>
      <c r="Y1525" s="115"/>
      <c r="Z1525" s="115"/>
      <c r="AA1525" s="115"/>
      <c r="AB1525" s="115"/>
      <c r="AC1525" s="115"/>
      <c r="AD1525" s="115"/>
      <c r="AE1525" s="115"/>
      <c r="AF1525" s="115"/>
      <c r="AG1525" s="115"/>
      <c r="AH1525" s="115"/>
      <c r="AI1525" s="115"/>
      <c r="AJ1525" s="115"/>
      <c r="AK1525" s="115"/>
      <c r="AL1525" s="115"/>
      <c r="AM1525" s="115"/>
      <c r="AN1525" s="115"/>
      <c r="AO1525" s="115"/>
      <c r="AP1525" s="115"/>
      <c r="AQ1525" s="115"/>
      <c r="AR1525" s="115"/>
      <c r="AS1525" s="115"/>
      <c r="AT1525" s="115"/>
      <c r="AU1525" s="115"/>
      <c r="AV1525" s="115"/>
      <c r="AW1525" s="115"/>
      <c r="AX1525" s="115"/>
      <c r="AY1525" s="115"/>
      <c r="AZ1525" s="115"/>
      <c r="BA1525" s="115"/>
      <c r="BB1525" s="115"/>
      <c r="BC1525" s="115"/>
      <c r="BD1525" s="115"/>
      <c r="BE1525" s="115"/>
      <c r="BF1525" s="122"/>
      <c r="BG1525" s="122"/>
      <c r="BH1525" s="122"/>
      <c r="BI1525" s="115"/>
      <c r="BJ1525" s="115"/>
      <c r="BK1525" s="115"/>
      <c r="BL1525" s="115"/>
      <c r="BM1525" s="115"/>
      <c r="BN1525" s="115"/>
      <c r="BO1525" s="115"/>
      <c r="BP1525" s="115"/>
      <c r="BQ1525" s="115"/>
      <c r="BR1525" s="115"/>
      <c r="BS1525" s="115"/>
      <c r="BT1525" s="115"/>
      <c r="BU1525" s="115"/>
      <c r="BV1525" s="115"/>
      <c r="BW1525" s="26"/>
      <c r="BX1525" s="15"/>
      <c r="CA1525" s="114"/>
    </row>
    <row r="1526" spans="1:79" x14ac:dyDescent="0.4">
      <c r="A1526" s="115"/>
      <c r="B1526" s="115"/>
      <c r="C1526" s="115"/>
      <c r="D1526" s="115"/>
      <c r="E1526" s="115"/>
      <c r="F1526" s="115"/>
      <c r="G1526" s="115"/>
      <c r="H1526" s="115"/>
      <c r="I1526" s="115"/>
      <c r="J1526" s="115"/>
      <c r="K1526" s="115"/>
      <c r="L1526" s="115"/>
      <c r="M1526" s="115"/>
      <c r="N1526" s="115"/>
      <c r="O1526" s="115"/>
      <c r="P1526" s="115"/>
      <c r="Q1526" s="115"/>
      <c r="R1526" s="115"/>
      <c r="S1526" s="115"/>
      <c r="T1526" s="115"/>
      <c r="U1526" s="115"/>
      <c r="V1526" s="115"/>
      <c r="W1526" s="115"/>
      <c r="X1526" s="115"/>
      <c r="Y1526" s="115"/>
      <c r="Z1526" s="115"/>
      <c r="AA1526" s="115"/>
      <c r="AB1526" s="115"/>
      <c r="AC1526" s="115"/>
      <c r="AD1526" s="115"/>
      <c r="AE1526" s="115"/>
      <c r="AF1526" s="115"/>
      <c r="AG1526" s="115"/>
      <c r="AH1526" s="115"/>
      <c r="AI1526" s="115"/>
      <c r="AJ1526" s="115"/>
      <c r="AK1526" s="115"/>
      <c r="AL1526" s="115"/>
      <c r="AM1526" s="115"/>
      <c r="AN1526" s="115"/>
      <c r="AO1526" s="115"/>
      <c r="AP1526" s="115"/>
      <c r="AQ1526" s="115"/>
      <c r="AR1526" s="115"/>
      <c r="AS1526" s="115"/>
      <c r="AT1526" s="115"/>
      <c r="AU1526" s="115"/>
      <c r="AV1526" s="115"/>
      <c r="AW1526" s="115"/>
      <c r="AX1526" s="115"/>
      <c r="AY1526" s="115"/>
      <c r="AZ1526" s="115"/>
      <c r="BA1526" s="115"/>
      <c r="BB1526" s="115"/>
      <c r="BC1526" s="115"/>
      <c r="BD1526" s="115"/>
      <c r="BE1526" s="115"/>
      <c r="BF1526" s="122"/>
      <c r="BG1526" s="122"/>
      <c r="BH1526" s="122"/>
      <c r="BI1526" s="115"/>
      <c r="BJ1526" s="115"/>
      <c r="BK1526" s="115"/>
      <c r="BL1526" s="115"/>
      <c r="BM1526" s="115"/>
      <c r="BN1526" s="115"/>
      <c r="BO1526" s="115"/>
      <c r="BP1526" s="115"/>
      <c r="BQ1526" s="115"/>
      <c r="BR1526" s="115"/>
      <c r="BS1526" s="115"/>
      <c r="BT1526" s="115"/>
      <c r="BU1526" s="115"/>
      <c r="BV1526" s="115"/>
      <c r="BW1526" s="26"/>
      <c r="BX1526" s="15"/>
      <c r="CA1526" s="114"/>
    </row>
    <row r="1527" spans="1:79" x14ac:dyDescent="0.4">
      <c r="A1527" s="115"/>
      <c r="B1527" s="115"/>
      <c r="C1527" s="115"/>
      <c r="D1527" s="115"/>
      <c r="E1527" s="115"/>
      <c r="F1527" s="115"/>
      <c r="G1527" s="115"/>
      <c r="H1527" s="115"/>
      <c r="I1527" s="115"/>
      <c r="J1527" s="115"/>
      <c r="K1527" s="115"/>
      <c r="L1527" s="115"/>
      <c r="M1527" s="115"/>
      <c r="N1527" s="115"/>
      <c r="O1527" s="115"/>
      <c r="P1527" s="115"/>
      <c r="Q1527" s="115"/>
      <c r="R1527" s="115"/>
      <c r="S1527" s="115"/>
      <c r="T1527" s="115"/>
      <c r="U1527" s="115"/>
      <c r="V1527" s="115"/>
      <c r="W1527" s="115"/>
      <c r="X1527" s="115"/>
      <c r="Y1527" s="115"/>
      <c r="Z1527" s="115"/>
      <c r="AA1527" s="115"/>
      <c r="AB1527" s="115"/>
      <c r="AC1527" s="115"/>
      <c r="AD1527" s="115"/>
      <c r="AE1527" s="115"/>
      <c r="AF1527" s="115"/>
      <c r="AG1527" s="115"/>
      <c r="AH1527" s="115"/>
      <c r="AI1527" s="115"/>
      <c r="AJ1527" s="115"/>
      <c r="AK1527" s="115"/>
      <c r="AL1527" s="115"/>
      <c r="AM1527" s="115"/>
      <c r="AN1527" s="115"/>
      <c r="AO1527" s="115"/>
      <c r="AP1527" s="115"/>
      <c r="AQ1527" s="115"/>
      <c r="AR1527" s="115"/>
      <c r="AS1527" s="115"/>
      <c r="AT1527" s="115"/>
      <c r="AU1527" s="115"/>
      <c r="AV1527" s="115"/>
      <c r="AW1527" s="115"/>
      <c r="AX1527" s="115"/>
      <c r="AY1527" s="115"/>
      <c r="AZ1527" s="115"/>
      <c r="BA1527" s="115"/>
      <c r="BB1527" s="115"/>
      <c r="BC1527" s="115"/>
      <c r="BD1527" s="115"/>
      <c r="BE1527" s="115"/>
      <c r="BF1527" s="122"/>
      <c r="BG1527" s="122"/>
      <c r="BH1527" s="122"/>
      <c r="BI1527" s="115"/>
      <c r="BJ1527" s="115"/>
      <c r="BK1527" s="115"/>
      <c r="BL1527" s="115"/>
      <c r="BM1527" s="115"/>
      <c r="BN1527" s="115"/>
      <c r="BO1527" s="115"/>
      <c r="BP1527" s="115"/>
      <c r="BQ1527" s="115"/>
      <c r="BR1527" s="115"/>
      <c r="BS1527" s="115"/>
      <c r="BT1527" s="115"/>
      <c r="BU1527" s="115"/>
      <c r="BV1527" s="115"/>
      <c r="BW1527" s="26"/>
      <c r="BX1527" s="15"/>
      <c r="CA1527" s="114"/>
    </row>
    <row r="1528" spans="1:79" x14ac:dyDescent="0.4">
      <c r="A1528" s="115"/>
      <c r="B1528" s="115"/>
      <c r="C1528" s="115"/>
      <c r="D1528" s="115"/>
      <c r="E1528" s="115"/>
      <c r="F1528" s="115"/>
      <c r="G1528" s="115"/>
      <c r="H1528" s="115"/>
      <c r="I1528" s="115"/>
      <c r="J1528" s="115"/>
      <c r="K1528" s="115"/>
      <c r="L1528" s="115"/>
      <c r="M1528" s="115"/>
      <c r="N1528" s="115"/>
      <c r="O1528" s="115"/>
      <c r="P1528" s="115"/>
      <c r="Q1528" s="115"/>
      <c r="R1528" s="115"/>
      <c r="S1528" s="115"/>
      <c r="T1528" s="115"/>
      <c r="U1528" s="115"/>
      <c r="V1528" s="115"/>
      <c r="W1528" s="115"/>
      <c r="X1528" s="115"/>
      <c r="Y1528" s="115"/>
      <c r="Z1528" s="115"/>
      <c r="AA1528" s="115"/>
      <c r="AB1528" s="115"/>
      <c r="AC1528" s="115"/>
      <c r="AD1528" s="115"/>
      <c r="AE1528" s="115"/>
      <c r="AF1528" s="115"/>
      <c r="AG1528" s="115"/>
      <c r="AH1528" s="115"/>
      <c r="AI1528" s="115"/>
      <c r="AJ1528" s="115"/>
      <c r="AK1528" s="115"/>
      <c r="AL1528" s="115"/>
      <c r="AM1528" s="115"/>
      <c r="AN1528" s="115"/>
      <c r="AO1528" s="115"/>
      <c r="AP1528" s="115"/>
      <c r="AQ1528" s="115"/>
      <c r="AR1528" s="115"/>
      <c r="AS1528" s="115"/>
      <c r="AT1528" s="115"/>
      <c r="AU1528" s="115"/>
      <c r="AV1528" s="115"/>
      <c r="AW1528" s="115"/>
      <c r="AX1528" s="115"/>
      <c r="AY1528" s="115"/>
      <c r="AZ1528" s="115"/>
      <c r="BA1528" s="115"/>
      <c r="BB1528" s="115"/>
      <c r="BC1528" s="115"/>
      <c r="BD1528" s="115"/>
      <c r="BE1528" s="115"/>
      <c r="BF1528" s="122"/>
      <c r="BG1528" s="122"/>
      <c r="BH1528" s="122"/>
      <c r="BI1528" s="115"/>
      <c r="BJ1528" s="115"/>
      <c r="BK1528" s="115"/>
      <c r="BL1528" s="115"/>
      <c r="BM1528" s="115"/>
      <c r="BN1528" s="115"/>
      <c r="BO1528" s="115"/>
      <c r="BP1528" s="115"/>
      <c r="BQ1528" s="115"/>
      <c r="BR1528" s="115"/>
      <c r="BS1528" s="115"/>
      <c r="BT1528" s="115"/>
      <c r="BU1528" s="115"/>
      <c r="BV1528" s="115"/>
      <c r="BW1528" s="26"/>
      <c r="BX1528" s="105"/>
      <c r="CA1528" s="114"/>
    </row>
    <row r="1529" spans="1:79" x14ac:dyDescent="0.4">
      <c r="A1529" s="115"/>
      <c r="B1529" s="115"/>
      <c r="C1529" s="115"/>
      <c r="D1529" s="115"/>
      <c r="E1529" s="115"/>
      <c r="F1529" s="115"/>
      <c r="G1529" s="115"/>
      <c r="H1529" s="115"/>
      <c r="I1529" s="115"/>
      <c r="J1529" s="115"/>
      <c r="K1529" s="115"/>
      <c r="L1529" s="115"/>
      <c r="M1529" s="115"/>
      <c r="N1529" s="115"/>
      <c r="O1529" s="115"/>
      <c r="P1529" s="115"/>
      <c r="Q1529" s="115"/>
      <c r="R1529" s="115"/>
      <c r="S1529" s="115"/>
      <c r="T1529" s="115"/>
      <c r="U1529" s="115"/>
      <c r="V1529" s="115"/>
      <c r="W1529" s="115"/>
      <c r="X1529" s="115"/>
      <c r="Y1529" s="115"/>
      <c r="Z1529" s="115"/>
      <c r="AA1529" s="115"/>
      <c r="AB1529" s="115"/>
      <c r="AC1529" s="115"/>
      <c r="AD1529" s="115"/>
      <c r="AE1529" s="115"/>
      <c r="AF1529" s="115"/>
      <c r="AG1529" s="115"/>
      <c r="AH1529" s="115"/>
      <c r="AI1529" s="115"/>
      <c r="AJ1529" s="115"/>
      <c r="AK1529" s="115"/>
      <c r="AL1529" s="115"/>
      <c r="AM1529" s="115"/>
      <c r="AN1529" s="115"/>
      <c r="AO1529" s="115"/>
      <c r="AP1529" s="115"/>
      <c r="AQ1529" s="115"/>
      <c r="AR1529" s="115"/>
      <c r="AS1529" s="115"/>
      <c r="AT1529" s="115"/>
      <c r="AU1529" s="115"/>
      <c r="AV1529" s="115"/>
      <c r="AW1529" s="115"/>
      <c r="AX1529" s="115"/>
      <c r="AY1529" s="115"/>
      <c r="AZ1529" s="115"/>
      <c r="BA1529" s="115"/>
      <c r="BB1529" s="115"/>
      <c r="BC1529" s="115"/>
      <c r="BD1529" s="115"/>
      <c r="BE1529" s="115"/>
      <c r="BF1529" s="122"/>
      <c r="BG1529" s="122"/>
      <c r="BH1529" s="122"/>
      <c r="BI1529" s="115"/>
      <c r="BJ1529" s="115"/>
      <c r="BK1529" s="115"/>
      <c r="BL1529" s="115"/>
      <c r="BM1529" s="115"/>
      <c r="BN1529" s="115"/>
      <c r="BO1529" s="115"/>
      <c r="BP1529" s="115"/>
      <c r="BQ1529" s="115"/>
      <c r="BR1529" s="115"/>
      <c r="BS1529" s="115"/>
      <c r="BT1529" s="115"/>
      <c r="BU1529" s="115"/>
      <c r="BV1529" s="115"/>
      <c r="BW1529" s="26"/>
      <c r="BX1529" s="15"/>
      <c r="CA1529" s="114"/>
    </row>
    <row r="1530" spans="1:79" x14ac:dyDescent="0.4">
      <c r="A1530" s="115"/>
      <c r="B1530" s="115"/>
      <c r="C1530" s="115"/>
      <c r="D1530" s="115"/>
      <c r="E1530" s="115"/>
      <c r="F1530" s="115"/>
      <c r="G1530" s="115"/>
      <c r="H1530" s="115"/>
      <c r="I1530" s="115"/>
      <c r="J1530" s="115"/>
      <c r="K1530" s="115"/>
      <c r="L1530" s="115"/>
      <c r="M1530" s="115"/>
      <c r="N1530" s="115"/>
      <c r="O1530" s="115"/>
      <c r="P1530" s="115"/>
      <c r="Q1530" s="115"/>
      <c r="R1530" s="115"/>
      <c r="S1530" s="115"/>
      <c r="T1530" s="115"/>
      <c r="U1530" s="115"/>
      <c r="V1530" s="115"/>
      <c r="W1530" s="115"/>
      <c r="X1530" s="115"/>
      <c r="Y1530" s="115"/>
      <c r="Z1530" s="115"/>
      <c r="AA1530" s="115"/>
      <c r="AB1530" s="115"/>
      <c r="AC1530" s="115"/>
      <c r="AD1530" s="115"/>
      <c r="AE1530" s="115"/>
      <c r="AF1530" s="115"/>
      <c r="AG1530" s="115"/>
      <c r="AH1530" s="115"/>
      <c r="AI1530" s="115"/>
      <c r="AJ1530" s="115"/>
      <c r="AK1530" s="115"/>
      <c r="AL1530" s="115"/>
      <c r="AM1530" s="115"/>
      <c r="AN1530" s="115"/>
      <c r="AO1530" s="115"/>
      <c r="AP1530" s="115"/>
      <c r="AQ1530" s="115"/>
      <c r="AR1530" s="115"/>
      <c r="AS1530" s="115"/>
      <c r="AT1530" s="115"/>
      <c r="AU1530" s="115"/>
      <c r="AV1530" s="115"/>
      <c r="AW1530" s="115"/>
      <c r="AX1530" s="115"/>
      <c r="AY1530" s="115"/>
      <c r="AZ1530" s="115"/>
      <c r="BA1530" s="115"/>
      <c r="BB1530" s="115"/>
      <c r="BC1530" s="115"/>
      <c r="BD1530" s="115"/>
      <c r="BE1530" s="115"/>
      <c r="BF1530" s="122"/>
      <c r="BG1530" s="122"/>
      <c r="BH1530" s="122"/>
      <c r="BI1530" s="115"/>
      <c r="BJ1530" s="115"/>
      <c r="BK1530" s="115"/>
      <c r="BL1530" s="115"/>
      <c r="BM1530" s="115"/>
      <c r="BN1530" s="115"/>
      <c r="BO1530" s="115"/>
      <c r="BP1530" s="115"/>
      <c r="BQ1530" s="115"/>
      <c r="BR1530" s="115"/>
      <c r="BS1530" s="115"/>
      <c r="BT1530" s="115"/>
      <c r="BU1530" s="115"/>
      <c r="BV1530" s="115"/>
      <c r="BW1530" s="26"/>
      <c r="BX1530" s="15"/>
      <c r="CA1530" s="114"/>
    </row>
    <row r="1531" spans="1:79" x14ac:dyDescent="0.4">
      <c r="A1531" s="115"/>
      <c r="B1531" s="115"/>
      <c r="C1531" s="115"/>
      <c r="D1531" s="115"/>
      <c r="E1531" s="115"/>
      <c r="F1531" s="115"/>
      <c r="G1531" s="115"/>
      <c r="H1531" s="115"/>
      <c r="I1531" s="115"/>
      <c r="J1531" s="115"/>
      <c r="K1531" s="115"/>
      <c r="L1531" s="115"/>
      <c r="M1531" s="115"/>
      <c r="N1531" s="115"/>
      <c r="O1531" s="115"/>
      <c r="P1531" s="115"/>
      <c r="Q1531" s="115"/>
      <c r="R1531" s="115"/>
      <c r="S1531" s="115"/>
      <c r="T1531" s="115"/>
      <c r="U1531" s="115"/>
      <c r="V1531" s="115"/>
      <c r="W1531" s="115"/>
      <c r="X1531" s="115"/>
      <c r="Y1531" s="115"/>
      <c r="Z1531" s="115"/>
      <c r="AA1531" s="115"/>
      <c r="AB1531" s="115"/>
      <c r="AC1531" s="115"/>
      <c r="AD1531" s="115"/>
      <c r="AE1531" s="115"/>
      <c r="AF1531" s="115"/>
      <c r="AG1531" s="115"/>
      <c r="AH1531" s="115"/>
      <c r="AI1531" s="115"/>
      <c r="AJ1531" s="115"/>
      <c r="AK1531" s="115"/>
      <c r="AL1531" s="115"/>
      <c r="AM1531" s="115"/>
      <c r="AN1531" s="115"/>
      <c r="AO1531" s="115"/>
      <c r="AP1531" s="115"/>
      <c r="AQ1531" s="115"/>
      <c r="AR1531" s="115"/>
      <c r="AS1531" s="115"/>
      <c r="AT1531" s="115"/>
      <c r="AU1531" s="115"/>
      <c r="AV1531" s="115"/>
      <c r="AW1531" s="115"/>
      <c r="AX1531" s="115"/>
      <c r="AY1531" s="115"/>
      <c r="AZ1531" s="115"/>
      <c r="BA1531" s="115"/>
      <c r="BB1531" s="115"/>
      <c r="BC1531" s="115"/>
      <c r="BD1531" s="115"/>
      <c r="BE1531" s="115"/>
      <c r="BF1531" s="122"/>
      <c r="BG1531" s="122"/>
      <c r="BH1531" s="122"/>
      <c r="BI1531" s="115"/>
      <c r="BJ1531" s="115"/>
      <c r="BK1531" s="115"/>
      <c r="BL1531" s="115"/>
      <c r="BM1531" s="115"/>
      <c r="BN1531" s="115"/>
      <c r="BO1531" s="115"/>
      <c r="BP1531" s="115"/>
      <c r="BQ1531" s="115"/>
      <c r="BR1531" s="115"/>
      <c r="BS1531" s="115"/>
      <c r="BT1531" s="115"/>
      <c r="BU1531" s="115"/>
      <c r="BV1531" s="115"/>
      <c r="BW1531" s="26"/>
      <c r="BX1531" s="13"/>
      <c r="CA1531" s="114"/>
    </row>
    <row r="1532" spans="1:79" x14ac:dyDescent="0.4">
      <c r="A1532" s="115"/>
      <c r="B1532" s="115"/>
      <c r="C1532" s="115"/>
      <c r="D1532" s="115"/>
      <c r="E1532" s="115"/>
      <c r="F1532" s="115"/>
      <c r="G1532" s="115"/>
      <c r="H1532" s="115"/>
      <c r="I1532" s="115"/>
      <c r="J1532" s="115"/>
      <c r="K1532" s="115"/>
      <c r="L1532" s="115"/>
      <c r="M1532" s="115"/>
      <c r="N1532" s="115"/>
      <c r="O1532" s="115"/>
      <c r="P1532" s="115"/>
      <c r="Q1532" s="115"/>
      <c r="R1532" s="115"/>
      <c r="S1532" s="115"/>
      <c r="T1532" s="115"/>
      <c r="U1532" s="115"/>
      <c r="V1532" s="115"/>
      <c r="W1532" s="115"/>
      <c r="X1532" s="115"/>
      <c r="Y1532" s="115"/>
      <c r="Z1532" s="115"/>
      <c r="AA1532" s="115"/>
      <c r="AB1532" s="115"/>
      <c r="AC1532" s="115"/>
      <c r="AD1532" s="115"/>
      <c r="AE1532" s="115"/>
      <c r="AF1532" s="115"/>
      <c r="AG1532" s="115"/>
      <c r="AH1532" s="115"/>
      <c r="AI1532" s="115"/>
      <c r="AJ1532" s="115"/>
      <c r="AK1532" s="115"/>
      <c r="AL1532" s="115"/>
      <c r="AM1532" s="115"/>
      <c r="AN1532" s="115"/>
      <c r="AO1532" s="115"/>
      <c r="AP1532" s="115"/>
      <c r="AQ1532" s="115"/>
      <c r="AR1532" s="115"/>
      <c r="AS1532" s="115"/>
      <c r="AT1532" s="115"/>
      <c r="AU1532" s="115"/>
      <c r="AV1532" s="115"/>
      <c r="AW1532" s="115"/>
      <c r="AX1532" s="115"/>
      <c r="AY1532" s="115"/>
      <c r="AZ1532" s="115"/>
      <c r="BA1532" s="115"/>
      <c r="BB1532" s="115"/>
      <c r="BC1532" s="115"/>
      <c r="BD1532" s="115"/>
      <c r="BE1532" s="115"/>
      <c r="BF1532" s="122"/>
      <c r="BG1532" s="122"/>
      <c r="BH1532" s="122"/>
      <c r="BI1532" s="115"/>
      <c r="BJ1532" s="115"/>
      <c r="BK1532" s="115"/>
      <c r="BL1532" s="115"/>
      <c r="BM1532" s="115"/>
      <c r="BN1532" s="115"/>
      <c r="BO1532" s="115"/>
      <c r="BP1532" s="115"/>
      <c r="BQ1532" s="115"/>
      <c r="BR1532" s="115"/>
      <c r="BS1532" s="115"/>
      <c r="BT1532" s="115"/>
      <c r="BU1532" s="115"/>
      <c r="BV1532" s="115"/>
      <c r="BW1532" s="17"/>
      <c r="BX1532" s="13"/>
      <c r="CA1532" s="114"/>
    </row>
    <row r="1533" spans="1:79" x14ac:dyDescent="0.4">
      <c r="A1533" s="115"/>
      <c r="B1533" s="115"/>
      <c r="C1533" s="115"/>
      <c r="D1533" s="115"/>
      <c r="E1533" s="115"/>
      <c r="F1533" s="115"/>
      <c r="G1533" s="115"/>
      <c r="H1533" s="115"/>
      <c r="I1533" s="115"/>
      <c r="J1533" s="115"/>
      <c r="K1533" s="115"/>
      <c r="L1533" s="115"/>
      <c r="M1533" s="115"/>
      <c r="N1533" s="115"/>
      <c r="O1533" s="115"/>
      <c r="P1533" s="115"/>
      <c r="Q1533" s="115"/>
      <c r="R1533" s="115"/>
      <c r="S1533" s="115"/>
      <c r="T1533" s="115"/>
      <c r="U1533" s="115"/>
      <c r="V1533" s="115"/>
      <c r="W1533" s="115"/>
      <c r="X1533" s="115"/>
      <c r="Y1533" s="115"/>
      <c r="Z1533" s="115"/>
      <c r="AA1533" s="115"/>
      <c r="AB1533" s="115"/>
      <c r="AC1533" s="115"/>
      <c r="AD1533" s="115"/>
      <c r="AE1533" s="115"/>
      <c r="AF1533" s="115"/>
      <c r="AG1533" s="115"/>
      <c r="AH1533" s="115"/>
      <c r="AI1533" s="115"/>
      <c r="AJ1533" s="115"/>
      <c r="AK1533" s="115"/>
      <c r="AL1533" s="115"/>
      <c r="AM1533" s="115"/>
      <c r="AN1533" s="115"/>
      <c r="AO1533" s="115"/>
      <c r="AP1533" s="115"/>
      <c r="AQ1533" s="115"/>
      <c r="AR1533" s="115"/>
      <c r="AS1533" s="115"/>
      <c r="AT1533" s="115"/>
      <c r="AU1533" s="115"/>
      <c r="AV1533" s="115"/>
      <c r="AW1533" s="115"/>
      <c r="AX1533" s="115"/>
      <c r="AY1533" s="115"/>
      <c r="AZ1533" s="115"/>
      <c r="BA1533" s="115"/>
      <c r="BB1533" s="115"/>
      <c r="BC1533" s="115"/>
      <c r="BD1533" s="115"/>
      <c r="BE1533" s="115"/>
      <c r="BF1533" s="122"/>
      <c r="BG1533" s="122"/>
      <c r="BH1533" s="122"/>
      <c r="BI1533" s="115"/>
      <c r="BJ1533" s="115"/>
      <c r="BK1533" s="115"/>
      <c r="BL1533" s="115"/>
      <c r="BM1533" s="115"/>
      <c r="BN1533" s="115"/>
      <c r="BO1533" s="115"/>
      <c r="BP1533" s="115"/>
      <c r="BQ1533" s="115"/>
      <c r="BR1533" s="115"/>
      <c r="BS1533" s="115"/>
      <c r="BT1533" s="115"/>
      <c r="BU1533" s="115"/>
      <c r="BV1533" s="115"/>
      <c r="BW1533" s="26"/>
      <c r="BX1533" s="13"/>
      <c r="CA1533" s="114"/>
    </row>
    <row r="1534" spans="1:79" x14ac:dyDescent="0.4">
      <c r="A1534" s="115"/>
      <c r="B1534" s="115"/>
      <c r="C1534" s="115"/>
      <c r="D1534" s="115"/>
      <c r="E1534" s="115"/>
      <c r="F1534" s="115"/>
      <c r="G1534" s="115"/>
      <c r="H1534" s="115"/>
      <c r="I1534" s="115"/>
      <c r="J1534" s="115"/>
      <c r="K1534" s="115"/>
      <c r="L1534" s="115"/>
      <c r="M1534" s="115"/>
      <c r="N1534" s="115"/>
      <c r="O1534" s="115"/>
      <c r="P1534" s="115"/>
      <c r="Q1534" s="115"/>
      <c r="R1534" s="115"/>
      <c r="S1534" s="115"/>
      <c r="T1534" s="115"/>
      <c r="U1534" s="115"/>
      <c r="V1534" s="115"/>
      <c r="W1534" s="115"/>
      <c r="X1534" s="115"/>
      <c r="Y1534" s="115"/>
      <c r="Z1534" s="115"/>
      <c r="AA1534" s="115"/>
      <c r="AB1534" s="115"/>
      <c r="AC1534" s="115"/>
      <c r="AD1534" s="115"/>
      <c r="AE1534" s="115"/>
      <c r="AF1534" s="115"/>
      <c r="AG1534" s="115"/>
      <c r="AH1534" s="115"/>
      <c r="AI1534" s="115"/>
      <c r="AJ1534" s="115"/>
      <c r="AK1534" s="115"/>
      <c r="AL1534" s="115"/>
      <c r="AM1534" s="115"/>
      <c r="AN1534" s="115"/>
      <c r="AO1534" s="115"/>
      <c r="AP1534" s="115"/>
      <c r="AQ1534" s="115"/>
      <c r="AR1534" s="115"/>
      <c r="AS1534" s="115"/>
      <c r="AT1534" s="115"/>
      <c r="AU1534" s="115"/>
      <c r="AV1534" s="115"/>
      <c r="AW1534" s="115"/>
      <c r="AX1534" s="115"/>
      <c r="AY1534" s="115"/>
      <c r="AZ1534" s="115"/>
      <c r="BA1534" s="115"/>
      <c r="BB1534" s="115"/>
      <c r="BC1534" s="115"/>
      <c r="BD1534" s="115"/>
      <c r="BE1534" s="115"/>
      <c r="BF1534" s="122"/>
      <c r="BG1534" s="122"/>
      <c r="BH1534" s="122"/>
      <c r="BI1534" s="115"/>
      <c r="BJ1534" s="115"/>
      <c r="BK1534" s="115"/>
      <c r="BL1534" s="115"/>
      <c r="BM1534" s="115"/>
      <c r="BN1534" s="115"/>
      <c r="BO1534" s="115"/>
      <c r="BP1534" s="115"/>
      <c r="BQ1534" s="115"/>
      <c r="BR1534" s="115"/>
      <c r="BS1534" s="115"/>
      <c r="BT1534" s="115"/>
      <c r="BU1534" s="115"/>
      <c r="BV1534" s="115"/>
      <c r="BW1534" s="26"/>
      <c r="BX1534" s="13"/>
      <c r="CA1534" s="114"/>
    </row>
    <row r="1535" spans="1:79" x14ac:dyDescent="0.4">
      <c r="A1535" s="115"/>
      <c r="B1535" s="115"/>
      <c r="C1535" s="115"/>
      <c r="D1535" s="115"/>
      <c r="E1535" s="115"/>
      <c r="F1535" s="115"/>
      <c r="G1535" s="115"/>
      <c r="H1535" s="115"/>
      <c r="I1535" s="115"/>
      <c r="J1535" s="115"/>
      <c r="K1535" s="115"/>
      <c r="L1535" s="115"/>
      <c r="M1535" s="115"/>
      <c r="N1535" s="115"/>
      <c r="O1535" s="115"/>
      <c r="P1535" s="115"/>
      <c r="Q1535" s="115"/>
      <c r="R1535" s="115"/>
      <c r="S1535" s="115"/>
      <c r="T1535" s="115"/>
      <c r="U1535" s="115"/>
      <c r="V1535" s="115"/>
      <c r="W1535" s="115"/>
      <c r="X1535" s="115"/>
      <c r="Y1535" s="115"/>
      <c r="Z1535" s="115"/>
      <c r="AA1535" s="115"/>
      <c r="AB1535" s="115"/>
      <c r="AC1535" s="115"/>
      <c r="AD1535" s="115"/>
      <c r="AE1535" s="115"/>
      <c r="AF1535" s="115"/>
      <c r="AG1535" s="115"/>
      <c r="AH1535" s="115"/>
      <c r="AI1535" s="115"/>
      <c r="AJ1535" s="115"/>
      <c r="AK1535" s="115"/>
      <c r="AL1535" s="115"/>
      <c r="AM1535" s="115"/>
      <c r="AN1535" s="115"/>
      <c r="AO1535" s="115"/>
      <c r="AP1535" s="115"/>
      <c r="AQ1535" s="115"/>
      <c r="AR1535" s="115"/>
      <c r="AS1535" s="115"/>
      <c r="AT1535" s="115"/>
      <c r="AU1535" s="115"/>
      <c r="AV1535" s="115"/>
      <c r="AW1535" s="115"/>
      <c r="AX1535" s="115"/>
      <c r="AY1535" s="115"/>
      <c r="AZ1535" s="115"/>
      <c r="BA1535" s="115"/>
      <c r="BB1535" s="115"/>
      <c r="BC1535" s="115"/>
      <c r="BD1535" s="115"/>
      <c r="BE1535" s="115"/>
      <c r="BF1535" s="122"/>
      <c r="BG1535" s="122"/>
      <c r="BH1535" s="122"/>
      <c r="BI1535" s="115"/>
      <c r="BJ1535" s="115"/>
      <c r="BK1535" s="115"/>
      <c r="BL1535" s="115"/>
      <c r="BM1535" s="115"/>
      <c r="BN1535" s="115"/>
      <c r="BO1535" s="115"/>
      <c r="BP1535" s="115"/>
      <c r="BQ1535" s="115"/>
      <c r="BR1535" s="115"/>
      <c r="BS1535" s="115"/>
      <c r="BT1535" s="115"/>
      <c r="BU1535" s="115"/>
      <c r="BV1535" s="115"/>
      <c r="BW1535" s="26"/>
      <c r="BX1535" s="13"/>
      <c r="CA1535" s="114"/>
    </row>
    <row r="1536" spans="1:79" x14ac:dyDescent="0.4">
      <c r="A1536" s="115"/>
      <c r="B1536" s="115"/>
      <c r="C1536" s="115"/>
      <c r="D1536" s="115"/>
      <c r="E1536" s="115"/>
      <c r="F1536" s="115"/>
      <c r="G1536" s="115"/>
      <c r="H1536" s="115"/>
      <c r="I1536" s="115"/>
      <c r="J1536" s="115"/>
      <c r="K1536" s="115"/>
      <c r="L1536" s="115"/>
      <c r="M1536" s="115"/>
      <c r="N1536" s="115"/>
      <c r="O1536" s="115"/>
      <c r="P1536" s="115"/>
      <c r="Q1536" s="115"/>
      <c r="R1536" s="115"/>
      <c r="S1536" s="115"/>
      <c r="T1536" s="115"/>
      <c r="U1536" s="115"/>
      <c r="V1536" s="115"/>
      <c r="W1536" s="115"/>
      <c r="X1536" s="115"/>
      <c r="Y1536" s="115"/>
      <c r="Z1536" s="115"/>
      <c r="AA1536" s="115"/>
      <c r="AB1536" s="115"/>
      <c r="AC1536" s="115"/>
      <c r="AD1536" s="115"/>
      <c r="AE1536" s="115"/>
      <c r="AF1536" s="115"/>
      <c r="AG1536" s="115"/>
      <c r="AH1536" s="115"/>
      <c r="AI1536" s="115"/>
      <c r="AJ1536" s="115"/>
      <c r="AK1536" s="115"/>
      <c r="AL1536" s="115"/>
      <c r="AM1536" s="115"/>
      <c r="AN1536" s="115"/>
      <c r="AO1536" s="115"/>
      <c r="AP1536" s="115"/>
      <c r="AQ1536" s="115"/>
      <c r="AR1536" s="115"/>
      <c r="AS1536" s="115"/>
      <c r="AT1536" s="115"/>
      <c r="AU1536" s="115"/>
      <c r="AV1536" s="115"/>
      <c r="AW1536" s="115"/>
      <c r="AX1536" s="115"/>
      <c r="AY1536" s="115"/>
      <c r="AZ1536" s="115"/>
      <c r="BA1536" s="115"/>
      <c r="BB1536" s="115"/>
      <c r="BC1536" s="115"/>
      <c r="BD1536" s="115"/>
      <c r="BE1536" s="115"/>
      <c r="BF1536" s="122"/>
      <c r="BG1536" s="122"/>
      <c r="BH1536" s="122"/>
      <c r="BI1536" s="115"/>
      <c r="BJ1536" s="115"/>
      <c r="BK1536" s="115"/>
      <c r="BL1536" s="115"/>
      <c r="BM1536" s="115"/>
      <c r="BN1536" s="115"/>
      <c r="BO1536" s="115"/>
      <c r="BP1536" s="115"/>
      <c r="BQ1536" s="115"/>
      <c r="BR1536" s="115"/>
      <c r="BS1536" s="115"/>
      <c r="BT1536" s="115"/>
      <c r="BU1536" s="115"/>
      <c r="BV1536" s="115"/>
      <c r="BW1536" s="26"/>
      <c r="BX1536" s="13"/>
      <c r="CA1536" s="114"/>
    </row>
    <row r="1537" spans="1:79" x14ac:dyDescent="0.4">
      <c r="A1537" s="115"/>
      <c r="B1537" s="115"/>
      <c r="C1537" s="115"/>
      <c r="D1537" s="115"/>
      <c r="E1537" s="115"/>
      <c r="F1537" s="115"/>
      <c r="G1537" s="115"/>
      <c r="H1537" s="115"/>
      <c r="I1537" s="115"/>
      <c r="J1537" s="115"/>
      <c r="K1537" s="115"/>
      <c r="L1537" s="115"/>
      <c r="M1537" s="115"/>
      <c r="N1537" s="115"/>
      <c r="O1537" s="115"/>
      <c r="P1537" s="115"/>
      <c r="Q1537" s="115"/>
      <c r="R1537" s="115"/>
      <c r="S1537" s="115"/>
      <c r="T1537" s="115"/>
      <c r="U1537" s="115"/>
      <c r="V1537" s="115"/>
      <c r="W1537" s="115"/>
      <c r="X1537" s="115"/>
      <c r="Y1537" s="115"/>
      <c r="Z1537" s="115"/>
      <c r="AA1537" s="115"/>
      <c r="AB1537" s="115"/>
      <c r="AC1537" s="115"/>
      <c r="AD1537" s="115"/>
      <c r="AE1537" s="115"/>
      <c r="AF1537" s="115"/>
      <c r="AG1537" s="115"/>
      <c r="AH1537" s="115"/>
      <c r="AI1537" s="115"/>
      <c r="AJ1537" s="115"/>
      <c r="AK1537" s="115"/>
      <c r="AL1537" s="115"/>
      <c r="AM1537" s="115"/>
      <c r="AN1537" s="115"/>
      <c r="AO1537" s="115"/>
      <c r="AP1537" s="115"/>
      <c r="AQ1537" s="115"/>
      <c r="AR1537" s="115"/>
      <c r="AS1537" s="115"/>
      <c r="AT1537" s="115"/>
      <c r="AU1537" s="115"/>
      <c r="AV1537" s="115"/>
      <c r="AW1537" s="115"/>
      <c r="AX1537" s="115"/>
      <c r="AY1537" s="115"/>
      <c r="AZ1537" s="115"/>
      <c r="BA1537" s="115"/>
      <c r="BB1537" s="115"/>
      <c r="BC1537" s="115"/>
      <c r="BD1537" s="115"/>
      <c r="BE1537" s="115"/>
      <c r="BF1537" s="122"/>
      <c r="BG1537" s="122"/>
      <c r="BH1537" s="122"/>
      <c r="BI1537" s="115"/>
      <c r="BJ1537" s="115"/>
      <c r="BK1537" s="115"/>
      <c r="BL1537" s="115"/>
      <c r="BM1537" s="115"/>
      <c r="BN1537" s="115"/>
      <c r="BO1537" s="115"/>
      <c r="BP1537" s="115"/>
      <c r="BQ1537" s="115"/>
      <c r="BR1537" s="115"/>
      <c r="BS1537" s="115"/>
      <c r="BT1537" s="115"/>
      <c r="BU1537" s="115"/>
      <c r="BV1537" s="115"/>
      <c r="BW1537" s="26"/>
      <c r="BX1537" s="13"/>
      <c r="CA1537" s="114"/>
    </row>
    <row r="1538" spans="1:79" x14ac:dyDescent="0.4">
      <c r="A1538" s="115"/>
      <c r="B1538" s="115"/>
      <c r="C1538" s="115"/>
      <c r="D1538" s="115"/>
      <c r="E1538" s="115"/>
      <c r="F1538" s="115"/>
      <c r="G1538" s="115"/>
      <c r="H1538" s="115"/>
      <c r="I1538" s="115"/>
      <c r="J1538" s="115"/>
      <c r="K1538" s="115"/>
      <c r="L1538" s="115"/>
      <c r="M1538" s="115"/>
      <c r="N1538" s="115"/>
      <c r="O1538" s="115"/>
      <c r="P1538" s="115"/>
      <c r="Q1538" s="115"/>
      <c r="R1538" s="115"/>
      <c r="S1538" s="115"/>
      <c r="T1538" s="115"/>
      <c r="U1538" s="115"/>
      <c r="V1538" s="115"/>
      <c r="W1538" s="115"/>
      <c r="X1538" s="115"/>
      <c r="Y1538" s="115"/>
      <c r="Z1538" s="115"/>
      <c r="AA1538" s="115"/>
      <c r="AB1538" s="115"/>
      <c r="AC1538" s="115"/>
      <c r="AD1538" s="115"/>
      <c r="AE1538" s="115"/>
      <c r="AF1538" s="115"/>
      <c r="AG1538" s="115"/>
      <c r="AH1538" s="115"/>
      <c r="AI1538" s="115"/>
      <c r="AJ1538" s="115"/>
      <c r="AK1538" s="115"/>
      <c r="AL1538" s="115"/>
      <c r="AM1538" s="115"/>
      <c r="AN1538" s="115"/>
      <c r="AO1538" s="115"/>
      <c r="AP1538" s="115"/>
      <c r="AQ1538" s="115"/>
      <c r="AR1538" s="115"/>
      <c r="AS1538" s="115"/>
      <c r="AT1538" s="115"/>
      <c r="AU1538" s="115"/>
      <c r="AV1538" s="115"/>
      <c r="AW1538" s="115"/>
      <c r="AX1538" s="115"/>
      <c r="AY1538" s="115"/>
      <c r="AZ1538" s="115"/>
      <c r="BA1538" s="115"/>
      <c r="BB1538" s="115"/>
      <c r="BC1538" s="115"/>
      <c r="BD1538" s="115"/>
      <c r="BE1538" s="115"/>
      <c r="BF1538" s="122"/>
      <c r="BG1538" s="122"/>
      <c r="BH1538" s="122"/>
      <c r="BI1538" s="115"/>
      <c r="BJ1538" s="115"/>
      <c r="BK1538" s="115"/>
      <c r="BL1538" s="115"/>
      <c r="BM1538" s="115"/>
      <c r="BN1538" s="115"/>
      <c r="BO1538" s="115"/>
      <c r="BP1538" s="115"/>
      <c r="BQ1538" s="115"/>
      <c r="BR1538" s="115"/>
      <c r="BS1538" s="115"/>
      <c r="BT1538" s="115"/>
      <c r="BU1538" s="115"/>
      <c r="BV1538" s="115"/>
      <c r="BW1538" s="26"/>
      <c r="BX1538" s="13"/>
      <c r="CA1538" s="114"/>
    </row>
    <row r="1539" spans="1:79" x14ac:dyDescent="0.4">
      <c r="A1539" s="115"/>
      <c r="B1539" s="115"/>
      <c r="C1539" s="115"/>
      <c r="D1539" s="115"/>
      <c r="E1539" s="115"/>
      <c r="F1539" s="115"/>
      <c r="G1539" s="115"/>
      <c r="H1539" s="115"/>
      <c r="I1539" s="115"/>
      <c r="J1539" s="115"/>
      <c r="K1539" s="115"/>
      <c r="L1539" s="115"/>
      <c r="M1539" s="115"/>
      <c r="N1539" s="115"/>
      <c r="O1539" s="115"/>
      <c r="P1539" s="115"/>
      <c r="Q1539" s="115"/>
      <c r="R1539" s="115"/>
      <c r="S1539" s="115"/>
      <c r="T1539" s="115"/>
      <c r="U1539" s="115"/>
      <c r="V1539" s="115"/>
      <c r="W1539" s="115"/>
      <c r="X1539" s="115"/>
      <c r="Y1539" s="115"/>
      <c r="Z1539" s="115"/>
      <c r="AA1539" s="115"/>
      <c r="AB1539" s="115"/>
      <c r="AC1539" s="115"/>
      <c r="AD1539" s="115"/>
      <c r="AE1539" s="115"/>
      <c r="AF1539" s="115"/>
      <c r="AG1539" s="115"/>
      <c r="AH1539" s="115"/>
      <c r="AI1539" s="115"/>
      <c r="AJ1539" s="115"/>
      <c r="AK1539" s="115"/>
      <c r="AL1539" s="115"/>
      <c r="AM1539" s="115"/>
      <c r="AN1539" s="115"/>
      <c r="AO1539" s="115"/>
      <c r="AP1539" s="115"/>
      <c r="AQ1539" s="115"/>
      <c r="AR1539" s="115"/>
      <c r="AS1539" s="115"/>
      <c r="AT1539" s="115"/>
      <c r="AU1539" s="115"/>
      <c r="AV1539" s="115"/>
      <c r="AW1539" s="115"/>
      <c r="AX1539" s="115"/>
      <c r="AY1539" s="115"/>
      <c r="AZ1539" s="115"/>
      <c r="BA1539" s="115"/>
      <c r="BB1539" s="115"/>
      <c r="BC1539" s="115"/>
      <c r="BD1539" s="115"/>
      <c r="BE1539" s="115"/>
      <c r="BF1539" s="122"/>
      <c r="BG1539" s="122"/>
      <c r="BH1539" s="122"/>
      <c r="BI1539" s="115"/>
      <c r="BJ1539" s="115"/>
      <c r="BK1539" s="115"/>
      <c r="BL1539" s="115"/>
      <c r="BM1539" s="115"/>
      <c r="BN1539" s="115"/>
      <c r="BO1539" s="115"/>
      <c r="BP1539" s="115"/>
      <c r="BQ1539" s="115"/>
      <c r="BR1539" s="115"/>
      <c r="BS1539" s="115"/>
      <c r="BT1539" s="115"/>
      <c r="BU1539" s="115"/>
      <c r="BV1539" s="115"/>
      <c r="BW1539" s="17"/>
      <c r="BX1539" s="13"/>
      <c r="CA1539" s="114"/>
    </row>
    <row r="1540" spans="1:79" x14ac:dyDescent="0.4">
      <c r="A1540" s="115"/>
      <c r="B1540" s="115"/>
      <c r="C1540" s="115"/>
      <c r="D1540" s="115"/>
      <c r="E1540" s="115"/>
      <c r="F1540" s="115"/>
      <c r="G1540" s="115"/>
      <c r="H1540" s="115"/>
      <c r="I1540" s="115"/>
      <c r="J1540" s="115"/>
      <c r="K1540" s="115"/>
      <c r="L1540" s="115"/>
      <c r="M1540" s="115"/>
      <c r="N1540" s="115"/>
      <c r="O1540" s="115"/>
      <c r="P1540" s="115"/>
      <c r="Q1540" s="115"/>
      <c r="R1540" s="115"/>
      <c r="S1540" s="115"/>
      <c r="T1540" s="115"/>
      <c r="U1540" s="115"/>
      <c r="V1540" s="115"/>
      <c r="W1540" s="115"/>
      <c r="X1540" s="115"/>
      <c r="Y1540" s="115"/>
      <c r="Z1540" s="115"/>
      <c r="AA1540" s="115"/>
      <c r="AB1540" s="115"/>
      <c r="AC1540" s="115"/>
      <c r="AD1540" s="115"/>
      <c r="AE1540" s="115"/>
      <c r="AF1540" s="115"/>
      <c r="AG1540" s="115"/>
      <c r="AH1540" s="115"/>
      <c r="AI1540" s="115"/>
      <c r="AJ1540" s="115"/>
      <c r="AK1540" s="115"/>
      <c r="AL1540" s="115"/>
      <c r="AM1540" s="115"/>
      <c r="AN1540" s="115"/>
      <c r="AO1540" s="115"/>
      <c r="AP1540" s="115"/>
      <c r="AQ1540" s="115"/>
      <c r="AR1540" s="115"/>
      <c r="AS1540" s="115"/>
      <c r="AT1540" s="115"/>
      <c r="AU1540" s="115"/>
      <c r="AV1540" s="115"/>
      <c r="AW1540" s="115"/>
      <c r="AX1540" s="115"/>
      <c r="AY1540" s="115"/>
      <c r="AZ1540" s="115"/>
      <c r="BA1540" s="115"/>
      <c r="BB1540" s="115"/>
      <c r="BC1540" s="115"/>
      <c r="BD1540" s="115"/>
      <c r="BE1540" s="115"/>
      <c r="BF1540" s="122"/>
      <c r="BG1540" s="122"/>
      <c r="BH1540" s="122"/>
      <c r="BI1540" s="115"/>
      <c r="BJ1540" s="115"/>
      <c r="BK1540" s="115"/>
      <c r="BL1540" s="115"/>
      <c r="BM1540" s="115"/>
      <c r="BN1540" s="115"/>
      <c r="BO1540" s="115"/>
      <c r="BP1540" s="115"/>
      <c r="BQ1540" s="115"/>
      <c r="BR1540" s="115"/>
      <c r="BS1540" s="115"/>
      <c r="BT1540" s="115"/>
      <c r="BU1540" s="115"/>
      <c r="BV1540" s="115"/>
      <c r="BW1540" s="26"/>
      <c r="BX1540" s="13"/>
      <c r="CA1540" s="114"/>
    </row>
    <row r="1541" spans="1:79" x14ac:dyDescent="0.4">
      <c r="A1541" s="115"/>
      <c r="B1541" s="115"/>
      <c r="C1541" s="115"/>
      <c r="D1541" s="115"/>
      <c r="E1541" s="115"/>
      <c r="F1541" s="115"/>
      <c r="G1541" s="115"/>
      <c r="H1541" s="115"/>
      <c r="I1541" s="115"/>
      <c r="J1541" s="115"/>
      <c r="K1541" s="115"/>
      <c r="L1541" s="115"/>
      <c r="M1541" s="115"/>
      <c r="N1541" s="115"/>
      <c r="O1541" s="115"/>
      <c r="P1541" s="115"/>
      <c r="Q1541" s="115"/>
      <c r="R1541" s="115"/>
      <c r="S1541" s="115"/>
      <c r="T1541" s="115"/>
      <c r="U1541" s="115"/>
      <c r="V1541" s="115"/>
      <c r="W1541" s="115"/>
      <c r="X1541" s="115"/>
      <c r="Y1541" s="115"/>
      <c r="Z1541" s="115"/>
      <c r="AA1541" s="115"/>
      <c r="AB1541" s="115"/>
      <c r="AC1541" s="115"/>
      <c r="AD1541" s="115"/>
      <c r="AE1541" s="115"/>
      <c r="AF1541" s="115"/>
      <c r="AG1541" s="115"/>
      <c r="AH1541" s="115"/>
      <c r="AI1541" s="115"/>
      <c r="AJ1541" s="115"/>
      <c r="AK1541" s="115"/>
      <c r="AL1541" s="115"/>
      <c r="AM1541" s="115"/>
      <c r="AN1541" s="115"/>
      <c r="AO1541" s="115"/>
      <c r="AP1541" s="115"/>
      <c r="AQ1541" s="115"/>
      <c r="AR1541" s="115"/>
      <c r="AS1541" s="115"/>
      <c r="AT1541" s="115"/>
      <c r="AU1541" s="115"/>
      <c r="AV1541" s="115"/>
      <c r="AW1541" s="115"/>
      <c r="AX1541" s="115"/>
      <c r="AY1541" s="115"/>
      <c r="AZ1541" s="115"/>
      <c r="BA1541" s="115"/>
      <c r="BB1541" s="115"/>
      <c r="BC1541" s="115"/>
      <c r="BD1541" s="115"/>
      <c r="BE1541" s="115"/>
      <c r="BF1541" s="122"/>
      <c r="BG1541" s="122"/>
      <c r="BH1541" s="122"/>
      <c r="BI1541" s="115"/>
      <c r="BJ1541" s="115"/>
      <c r="BK1541" s="115"/>
      <c r="BL1541" s="115"/>
      <c r="BM1541" s="115"/>
      <c r="BN1541" s="115"/>
      <c r="BO1541" s="115"/>
      <c r="BP1541" s="115"/>
      <c r="BQ1541" s="115"/>
      <c r="BR1541" s="115"/>
      <c r="BS1541" s="115"/>
      <c r="BT1541" s="115"/>
      <c r="BU1541" s="115"/>
      <c r="BV1541" s="115"/>
      <c r="BW1541" s="26"/>
      <c r="BX1541" s="13"/>
      <c r="CA1541" s="114"/>
    </row>
    <row r="1542" spans="1:79" x14ac:dyDescent="0.4">
      <c r="A1542" s="115"/>
      <c r="B1542" s="115"/>
      <c r="C1542" s="115"/>
      <c r="D1542" s="115"/>
      <c r="E1542" s="115"/>
      <c r="F1542" s="115"/>
      <c r="G1542" s="115"/>
      <c r="H1542" s="115"/>
      <c r="I1542" s="115"/>
      <c r="J1542" s="115"/>
      <c r="K1542" s="115"/>
      <c r="L1542" s="115"/>
      <c r="M1542" s="115"/>
      <c r="N1542" s="115"/>
      <c r="O1542" s="115"/>
      <c r="P1542" s="115"/>
      <c r="Q1542" s="115"/>
      <c r="R1542" s="115"/>
      <c r="S1542" s="115"/>
      <c r="T1542" s="115"/>
      <c r="U1542" s="115"/>
      <c r="V1542" s="115"/>
      <c r="W1542" s="115"/>
      <c r="X1542" s="115"/>
      <c r="Y1542" s="115"/>
      <c r="Z1542" s="115"/>
      <c r="AA1542" s="115"/>
      <c r="AB1542" s="115"/>
      <c r="AC1542" s="115"/>
      <c r="AD1542" s="115"/>
      <c r="AE1542" s="115"/>
      <c r="AF1542" s="115"/>
      <c r="AG1542" s="115"/>
      <c r="AH1542" s="115"/>
      <c r="AI1542" s="115"/>
      <c r="AJ1542" s="115"/>
      <c r="AK1542" s="115"/>
      <c r="AL1542" s="115"/>
      <c r="AM1542" s="115"/>
      <c r="AN1542" s="115"/>
      <c r="AO1542" s="115"/>
      <c r="AP1542" s="115"/>
      <c r="AQ1542" s="115"/>
      <c r="AR1542" s="115"/>
      <c r="AS1542" s="115"/>
      <c r="AT1542" s="115"/>
      <c r="AU1542" s="115"/>
      <c r="AV1542" s="115"/>
      <c r="AW1542" s="115"/>
      <c r="AX1542" s="115"/>
      <c r="AY1542" s="115"/>
      <c r="AZ1542" s="115"/>
      <c r="BA1542" s="115"/>
      <c r="BB1542" s="115"/>
      <c r="BC1542" s="115"/>
      <c r="BD1542" s="115"/>
      <c r="BE1542" s="115"/>
      <c r="BF1542" s="122"/>
      <c r="BG1542" s="122"/>
      <c r="BH1542" s="122"/>
      <c r="BI1542" s="115"/>
      <c r="BJ1542" s="115"/>
      <c r="BK1542" s="115"/>
      <c r="BL1542" s="115"/>
      <c r="BM1542" s="115"/>
      <c r="BN1542" s="115"/>
      <c r="BO1542" s="115"/>
      <c r="BP1542" s="115"/>
      <c r="BQ1542" s="115"/>
      <c r="BR1542" s="115"/>
      <c r="BS1542" s="115"/>
      <c r="BT1542" s="115"/>
      <c r="BU1542" s="115"/>
      <c r="BV1542" s="115"/>
      <c r="BW1542" s="26"/>
      <c r="BX1542" s="13"/>
      <c r="CA1542" s="114"/>
    </row>
    <row r="1543" spans="1:79" x14ac:dyDescent="0.4">
      <c r="A1543" s="115"/>
      <c r="B1543" s="115"/>
      <c r="C1543" s="115"/>
      <c r="D1543" s="115"/>
      <c r="E1543" s="115"/>
      <c r="F1543" s="115"/>
      <c r="G1543" s="115"/>
      <c r="H1543" s="115"/>
      <c r="I1543" s="115"/>
      <c r="J1543" s="115"/>
      <c r="K1543" s="115"/>
      <c r="L1543" s="115"/>
      <c r="M1543" s="115"/>
      <c r="N1543" s="115"/>
      <c r="O1543" s="115"/>
      <c r="P1543" s="115"/>
      <c r="Q1543" s="115"/>
      <c r="R1543" s="115"/>
      <c r="S1543" s="115"/>
      <c r="T1543" s="115"/>
      <c r="U1543" s="115"/>
      <c r="V1543" s="115"/>
      <c r="W1543" s="115"/>
      <c r="X1543" s="115"/>
      <c r="Y1543" s="115"/>
      <c r="Z1543" s="115"/>
      <c r="AA1543" s="115"/>
      <c r="AB1543" s="115"/>
      <c r="AC1543" s="115"/>
      <c r="AD1543" s="115"/>
      <c r="AE1543" s="115"/>
      <c r="AF1543" s="115"/>
      <c r="AG1543" s="115"/>
      <c r="AH1543" s="115"/>
      <c r="AI1543" s="115"/>
      <c r="AJ1543" s="115"/>
      <c r="AK1543" s="115"/>
      <c r="AL1543" s="115"/>
      <c r="AM1543" s="115"/>
      <c r="AN1543" s="115"/>
      <c r="AO1543" s="115"/>
      <c r="AP1543" s="115"/>
      <c r="AQ1543" s="115"/>
      <c r="AR1543" s="115"/>
      <c r="AS1543" s="115"/>
      <c r="AT1543" s="115"/>
      <c r="AU1543" s="115"/>
      <c r="AV1543" s="115"/>
      <c r="AW1543" s="115"/>
      <c r="AX1543" s="115"/>
      <c r="AY1543" s="115"/>
      <c r="AZ1543" s="115"/>
      <c r="BA1543" s="115"/>
      <c r="BB1543" s="115"/>
      <c r="BC1543" s="115"/>
      <c r="BD1543" s="115"/>
      <c r="BE1543" s="115"/>
      <c r="BF1543" s="122"/>
      <c r="BG1543" s="122"/>
      <c r="BH1543" s="122"/>
      <c r="BI1543" s="115"/>
      <c r="BJ1543" s="115"/>
      <c r="BK1543" s="115"/>
      <c r="BL1543" s="115"/>
      <c r="BM1543" s="115"/>
      <c r="BN1543" s="115"/>
      <c r="BO1543" s="115"/>
      <c r="BP1543" s="115"/>
      <c r="BQ1543" s="115"/>
      <c r="BR1543" s="115"/>
      <c r="BS1543" s="115"/>
      <c r="BT1543" s="115"/>
      <c r="BU1543" s="115"/>
      <c r="BV1543" s="115"/>
      <c r="BW1543" s="26"/>
      <c r="BX1543" s="13"/>
      <c r="CA1543" s="114"/>
    </row>
    <row r="1544" spans="1:79" x14ac:dyDescent="0.4">
      <c r="A1544" s="115"/>
      <c r="B1544" s="115"/>
      <c r="C1544" s="115"/>
      <c r="D1544" s="115"/>
      <c r="E1544" s="115"/>
      <c r="F1544" s="115"/>
      <c r="G1544" s="115"/>
      <c r="H1544" s="115"/>
      <c r="I1544" s="115"/>
      <c r="J1544" s="115"/>
      <c r="K1544" s="115"/>
      <c r="L1544" s="115"/>
      <c r="M1544" s="115"/>
      <c r="N1544" s="115"/>
      <c r="O1544" s="115"/>
      <c r="P1544" s="115"/>
      <c r="Q1544" s="115"/>
      <c r="R1544" s="115"/>
      <c r="S1544" s="115"/>
      <c r="T1544" s="115"/>
      <c r="U1544" s="115"/>
      <c r="V1544" s="115"/>
      <c r="W1544" s="115"/>
      <c r="X1544" s="115"/>
      <c r="Y1544" s="115"/>
      <c r="Z1544" s="115"/>
      <c r="AA1544" s="115"/>
      <c r="AB1544" s="115"/>
      <c r="AC1544" s="115"/>
      <c r="AD1544" s="115"/>
      <c r="AE1544" s="115"/>
      <c r="AF1544" s="115"/>
      <c r="AG1544" s="115"/>
      <c r="AH1544" s="115"/>
      <c r="AI1544" s="115"/>
      <c r="AJ1544" s="115"/>
      <c r="AK1544" s="115"/>
      <c r="AL1544" s="115"/>
      <c r="AM1544" s="115"/>
      <c r="AN1544" s="115"/>
      <c r="AO1544" s="115"/>
      <c r="AP1544" s="115"/>
      <c r="AQ1544" s="115"/>
      <c r="AR1544" s="115"/>
      <c r="AS1544" s="115"/>
      <c r="AT1544" s="115"/>
      <c r="AU1544" s="115"/>
      <c r="AV1544" s="115"/>
      <c r="AW1544" s="115"/>
      <c r="AX1544" s="115"/>
      <c r="AY1544" s="115"/>
      <c r="AZ1544" s="115"/>
      <c r="BA1544" s="115"/>
      <c r="BB1544" s="115"/>
      <c r="BC1544" s="115"/>
      <c r="BD1544" s="115"/>
      <c r="BE1544" s="115"/>
      <c r="BF1544" s="122"/>
      <c r="BG1544" s="122"/>
      <c r="BH1544" s="122"/>
      <c r="BI1544" s="115"/>
      <c r="BJ1544" s="115"/>
      <c r="BK1544" s="115"/>
      <c r="BL1544" s="115"/>
      <c r="BM1544" s="115"/>
      <c r="BN1544" s="115"/>
      <c r="BO1544" s="115"/>
      <c r="BP1544" s="115"/>
      <c r="BQ1544" s="115"/>
      <c r="BR1544" s="115"/>
      <c r="BS1544" s="115"/>
      <c r="BT1544" s="115"/>
      <c r="BU1544" s="115"/>
      <c r="BV1544" s="115"/>
      <c r="BW1544" s="26"/>
      <c r="BX1544" s="25"/>
      <c r="CA1544" s="114"/>
    </row>
    <row r="1545" spans="1:79" x14ac:dyDescent="0.4">
      <c r="A1545" s="115"/>
      <c r="B1545" s="115"/>
      <c r="C1545" s="115"/>
      <c r="D1545" s="115"/>
      <c r="E1545" s="115"/>
      <c r="F1545" s="115"/>
      <c r="G1545" s="115"/>
      <c r="H1545" s="115"/>
      <c r="I1545" s="115"/>
      <c r="J1545" s="115"/>
      <c r="K1545" s="115"/>
      <c r="L1545" s="115"/>
      <c r="M1545" s="115"/>
      <c r="N1545" s="115"/>
      <c r="O1545" s="115"/>
      <c r="P1545" s="115"/>
      <c r="Q1545" s="115"/>
      <c r="R1545" s="115"/>
      <c r="S1545" s="115"/>
      <c r="T1545" s="115"/>
      <c r="U1545" s="115"/>
      <c r="V1545" s="115"/>
      <c r="W1545" s="115"/>
      <c r="X1545" s="115"/>
      <c r="Y1545" s="115"/>
      <c r="Z1545" s="115"/>
      <c r="AA1545" s="115"/>
      <c r="AB1545" s="115"/>
      <c r="AC1545" s="115"/>
      <c r="AD1545" s="115"/>
      <c r="AE1545" s="115"/>
      <c r="AF1545" s="115"/>
      <c r="AG1545" s="115"/>
      <c r="AH1545" s="115"/>
      <c r="AI1545" s="115"/>
      <c r="AJ1545" s="115"/>
      <c r="AK1545" s="115"/>
      <c r="AL1545" s="115"/>
      <c r="AM1545" s="115"/>
      <c r="AN1545" s="115"/>
      <c r="AO1545" s="115"/>
      <c r="AP1545" s="115"/>
      <c r="AQ1545" s="115"/>
      <c r="AR1545" s="115"/>
      <c r="AS1545" s="115"/>
      <c r="AT1545" s="115"/>
      <c r="AU1545" s="115"/>
      <c r="AV1545" s="115"/>
      <c r="AW1545" s="115"/>
      <c r="AX1545" s="115"/>
      <c r="AY1545" s="115"/>
      <c r="AZ1545" s="115"/>
      <c r="BA1545" s="115"/>
      <c r="BB1545" s="115"/>
      <c r="BC1545" s="115"/>
      <c r="BD1545" s="115"/>
      <c r="BE1545" s="115"/>
      <c r="BF1545" s="122"/>
      <c r="BG1545" s="122"/>
      <c r="BH1545" s="122"/>
      <c r="BI1545" s="115"/>
      <c r="BJ1545" s="115"/>
      <c r="BK1545" s="115"/>
      <c r="BL1545" s="115"/>
      <c r="BM1545" s="115"/>
      <c r="BN1545" s="115"/>
      <c r="BO1545" s="115"/>
      <c r="BP1545" s="115"/>
      <c r="BQ1545" s="115"/>
      <c r="BR1545" s="115"/>
      <c r="BS1545" s="115"/>
      <c r="BT1545" s="115"/>
      <c r="BU1545" s="115"/>
      <c r="BV1545" s="115"/>
      <c r="BW1545" s="17"/>
      <c r="BX1545" s="13"/>
      <c r="CA1545" s="114"/>
    </row>
    <row r="1546" spans="1:79" x14ac:dyDescent="0.4">
      <c r="A1546" s="115"/>
      <c r="B1546" s="115"/>
      <c r="C1546" s="115"/>
      <c r="D1546" s="115"/>
      <c r="E1546" s="115"/>
      <c r="F1546" s="115"/>
      <c r="G1546" s="115"/>
      <c r="H1546" s="115"/>
      <c r="I1546" s="115"/>
      <c r="J1546" s="115"/>
      <c r="K1546" s="115"/>
      <c r="L1546" s="115"/>
      <c r="M1546" s="115"/>
      <c r="N1546" s="115"/>
      <c r="O1546" s="115"/>
      <c r="P1546" s="115"/>
      <c r="Q1546" s="115"/>
      <c r="R1546" s="115"/>
      <c r="S1546" s="115"/>
      <c r="T1546" s="115"/>
      <c r="U1546" s="115"/>
      <c r="V1546" s="115"/>
      <c r="W1546" s="115"/>
      <c r="X1546" s="115"/>
      <c r="Y1546" s="115"/>
      <c r="Z1546" s="115"/>
      <c r="AA1546" s="115"/>
      <c r="AB1546" s="115"/>
      <c r="AC1546" s="115"/>
      <c r="AD1546" s="115"/>
      <c r="AE1546" s="115"/>
      <c r="AF1546" s="115"/>
      <c r="AG1546" s="115"/>
      <c r="AH1546" s="115"/>
      <c r="AI1546" s="115"/>
      <c r="AJ1546" s="115"/>
      <c r="AK1546" s="115"/>
      <c r="AL1546" s="115"/>
      <c r="AM1546" s="115"/>
      <c r="AN1546" s="115"/>
      <c r="AO1546" s="115"/>
      <c r="AP1546" s="115"/>
      <c r="AQ1546" s="115"/>
      <c r="AR1546" s="115"/>
      <c r="AS1546" s="115"/>
      <c r="AT1546" s="115"/>
      <c r="AU1546" s="115"/>
      <c r="AV1546" s="115"/>
      <c r="AW1546" s="115"/>
      <c r="AX1546" s="115"/>
      <c r="AY1546" s="115"/>
      <c r="AZ1546" s="115"/>
      <c r="BA1546" s="115"/>
      <c r="BB1546" s="115"/>
      <c r="BC1546" s="115"/>
      <c r="BD1546" s="115"/>
      <c r="BE1546" s="115"/>
      <c r="BF1546" s="122"/>
      <c r="BG1546" s="122"/>
      <c r="BH1546" s="122"/>
      <c r="BI1546" s="115"/>
      <c r="BJ1546" s="115"/>
      <c r="BK1546" s="115"/>
      <c r="BL1546" s="115"/>
      <c r="BM1546" s="115"/>
      <c r="BN1546" s="115"/>
      <c r="BO1546" s="115"/>
      <c r="BP1546" s="115"/>
      <c r="BQ1546" s="115"/>
      <c r="BR1546" s="115"/>
      <c r="BS1546" s="115"/>
      <c r="BT1546" s="115"/>
      <c r="BU1546" s="115"/>
      <c r="BV1546" s="115"/>
      <c r="BW1546" s="26"/>
      <c r="BX1546" s="15"/>
      <c r="CA1546" s="114"/>
    </row>
    <row r="1547" spans="1:79" x14ac:dyDescent="0.4">
      <c r="A1547" s="115"/>
      <c r="B1547" s="115"/>
      <c r="C1547" s="115"/>
      <c r="D1547" s="115"/>
      <c r="E1547" s="115"/>
      <c r="F1547" s="115"/>
      <c r="G1547" s="115"/>
      <c r="H1547" s="115"/>
      <c r="I1547" s="115"/>
      <c r="J1547" s="115"/>
      <c r="K1547" s="115"/>
      <c r="L1547" s="115"/>
      <c r="M1547" s="115"/>
      <c r="N1547" s="115"/>
      <c r="O1547" s="115"/>
      <c r="P1547" s="115"/>
      <c r="Q1547" s="115"/>
      <c r="R1547" s="115"/>
      <c r="S1547" s="115"/>
      <c r="T1547" s="115"/>
      <c r="U1547" s="115"/>
      <c r="V1547" s="115"/>
      <c r="W1547" s="115"/>
      <c r="X1547" s="115"/>
      <c r="Y1547" s="115"/>
      <c r="Z1547" s="115"/>
      <c r="AA1547" s="115"/>
      <c r="AB1547" s="115"/>
      <c r="AC1547" s="115"/>
      <c r="AD1547" s="115"/>
      <c r="AE1547" s="115"/>
      <c r="AF1547" s="115"/>
      <c r="AG1547" s="115"/>
      <c r="AH1547" s="115"/>
      <c r="AI1547" s="115"/>
      <c r="AJ1547" s="115"/>
      <c r="AK1547" s="115"/>
      <c r="AL1547" s="115"/>
      <c r="AM1547" s="115"/>
      <c r="AN1547" s="115"/>
      <c r="AO1547" s="115"/>
      <c r="AP1547" s="115"/>
      <c r="AQ1547" s="115"/>
      <c r="AR1547" s="115"/>
      <c r="AS1547" s="115"/>
      <c r="AT1547" s="115"/>
      <c r="AU1547" s="115"/>
      <c r="AV1547" s="115"/>
      <c r="AW1547" s="115"/>
      <c r="AX1547" s="115"/>
      <c r="AY1547" s="115"/>
      <c r="AZ1547" s="115"/>
      <c r="BA1547" s="115"/>
      <c r="BB1547" s="115"/>
      <c r="BC1547" s="115"/>
      <c r="BD1547" s="115"/>
      <c r="BE1547" s="115"/>
      <c r="BF1547" s="122"/>
      <c r="BG1547" s="122"/>
      <c r="BH1547" s="122"/>
      <c r="BI1547" s="115"/>
      <c r="BJ1547" s="115"/>
      <c r="BK1547" s="115"/>
      <c r="BL1547" s="115"/>
      <c r="BM1547" s="115"/>
      <c r="BN1547" s="115"/>
      <c r="BO1547" s="115"/>
      <c r="BP1547" s="115"/>
      <c r="BQ1547" s="115"/>
      <c r="BR1547" s="115"/>
      <c r="BS1547" s="115"/>
      <c r="BT1547" s="115"/>
      <c r="BU1547" s="115"/>
      <c r="BV1547" s="115"/>
      <c r="BW1547" s="26"/>
      <c r="BX1547" s="15"/>
      <c r="CA1547" s="114"/>
    </row>
    <row r="1548" spans="1:79" x14ac:dyDescent="0.4">
      <c r="A1548" s="115"/>
      <c r="B1548" s="115"/>
      <c r="C1548" s="115"/>
      <c r="D1548" s="115"/>
      <c r="E1548" s="115"/>
      <c r="F1548" s="115"/>
      <c r="G1548" s="115"/>
      <c r="H1548" s="115"/>
      <c r="I1548" s="115"/>
      <c r="J1548" s="115"/>
      <c r="K1548" s="115"/>
      <c r="L1548" s="115"/>
      <c r="M1548" s="115"/>
      <c r="N1548" s="115"/>
      <c r="O1548" s="115"/>
      <c r="P1548" s="115"/>
      <c r="Q1548" s="115"/>
      <c r="R1548" s="115"/>
      <c r="S1548" s="115"/>
      <c r="T1548" s="115"/>
      <c r="U1548" s="115"/>
      <c r="V1548" s="115"/>
      <c r="W1548" s="115"/>
      <c r="X1548" s="115"/>
      <c r="Y1548" s="115"/>
      <c r="Z1548" s="115"/>
      <c r="AA1548" s="115"/>
      <c r="AB1548" s="115"/>
      <c r="AC1548" s="115"/>
      <c r="AD1548" s="115"/>
      <c r="AE1548" s="115"/>
      <c r="AF1548" s="115"/>
      <c r="AG1548" s="115"/>
      <c r="AH1548" s="115"/>
      <c r="AI1548" s="115"/>
      <c r="AJ1548" s="115"/>
      <c r="AK1548" s="115"/>
      <c r="AL1548" s="115"/>
      <c r="AM1548" s="115"/>
      <c r="AN1548" s="115"/>
      <c r="AO1548" s="115"/>
      <c r="AP1548" s="115"/>
      <c r="AQ1548" s="115"/>
      <c r="AR1548" s="115"/>
      <c r="AS1548" s="115"/>
      <c r="AT1548" s="115"/>
      <c r="AU1548" s="115"/>
      <c r="AV1548" s="115"/>
      <c r="AW1548" s="115"/>
      <c r="AX1548" s="115"/>
      <c r="AY1548" s="115"/>
      <c r="AZ1548" s="115"/>
      <c r="BA1548" s="115"/>
      <c r="BB1548" s="115"/>
      <c r="BC1548" s="115"/>
      <c r="BD1548" s="115"/>
      <c r="BE1548" s="115"/>
      <c r="BF1548" s="122"/>
      <c r="BG1548" s="122"/>
      <c r="BH1548" s="122"/>
      <c r="BI1548" s="115"/>
      <c r="BJ1548" s="115"/>
      <c r="BK1548" s="115"/>
      <c r="BL1548" s="115"/>
      <c r="BM1548" s="115"/>
      <c r="BN1548" s="115"/>
      <c r="BO1548" s="115"/>
      <c r="BP1548" s="115"/>
      <c r="BQ1548" s="115"/>
      <c r="BR1548" s="115"/>
      <c r="BS1548" s="115"/>
      <c r="BT1548" s="115"/>
      <c r="BU1548" s="115"/>
      <c r="BV1548" s="115"/>
      <c r="BW1548" s="17"/>
      <c r="BX1548" s="15"/>
      <c r="CA1548" s="114"/>
    </row>
    <row r="1549" spans="1:79" x14ac:dyDescent="0.4">
      <c r="A1549" s="115"/>
      <c r="B1549" s="115"/>
      <c r="C1549" s="115"/>
      <c r="D1549" s="115"/>
      <c r="E1549" s="115"/>
      <c r="F1549" s="115"/>
      <c r="G1549" s="115"/>
      <c r="H1549" s="115"/>
      <c r="I1549" s="115"/>
      <c r="J1549" s="115"/>
      <c r="K1549" s="115"/>
      <c r="L1549" s="115"/>
      <c r="M1549" s="115"/>
      <c r="N1549" s="115"/>
      <c r="O1549" s="115"/>
      <c r="P1549" s="115"/>
      <c r="Q1549" s="115"/>
      <c r="R1549" s="115"/>
      <c r="S1549" s="115"/>
      <c r="T1549" s="115"/>
      <c r="U1549" s="115"/>
      <c r="V1549" s="115"/>
      <c r="W1549" s="115"/>
      <c r="X1549" s="115"/>
      <c r="Y1549" s="115"/>
      <c r="Z1549" s="115"/>
      <c r="AA1549" s="115"/>
      <c r="AB1549" s="115"/>
      <c r="AC1549" s="115"/>
      <c r="AD1549" s="115"/>
      <c r="AE1549" s="115"/>
      <c r="AF1549" s="115"/>
      <c r="AG1549" s="115"/>
      <c r="AH1549" s="115"/>
      <c r="AI1549" s="115"/>
      <c r="AJ1549" s="115"/>
      <c r="AK1549" s="115"/>
      <c r="AL1549" s="115"/>
      <c r="AM1549" s="115"/>
      <c r="AN1549" s="115"/>
      <c r="AO1549" s="115"/>
      <c r="AP1549" s="115"/>
      <c r="AQ1549" s="115"/>
      <c r="AR1549" s="115"/>
      <c r="AS1549" s="115"/>
      <c r="AT1549" s="115"/>
      <c r="AU1549" s="115"/>
      <c r="AV1549" s="115"/>
      <c r="AW1549" s="115"/>
      <c r="AX1549" s="115"/>
      <c r="AY1549" s="115"/>
      <c r="AZ1549" s="115"/>
      <c r="BA1549" s="115"/>
      <c r="BB1549" s="115"/>
      <c r="BC1549" s="115"/>
      <c r="BD1549" s="115"/>
      <c r="BE1549" s="115"/>
      <c r="BF1549" s="122"/>
      <c r="BG1549" s="122"/>
      <c r="BH1549" s="122"/>
      <c r="BI1549" s="115"/>
      <c r="BJ1549" s="115"/>
      <c r="BK1549" s="115"/>
      <c r="BL1549" s="115"/>
      <c r="BM1549" s="115"/>
      <c r="BN1549" s="115"/>
      <c r="BO1549" s="115"/>
      <c r="BP1549" s="115"/>
      <c r="BQ1549" s="115"/>
      <c r="BR1549" s="115"/>
      <c r="BS1549" s="115"/>
      <c r="BT1549" s="115"/>
      <c r="BU1549" s="115"/>
      <c r="BV1549" s="115"/>
      <c r="BW1549" s="26"/>
      <c r="BX1549" s="15"/>
      <c r="CA1549" s="114"/>
    </row>
    <row r="1550" spans="1:79" x14ac:dyDescent="0.4">
      <c r="A1550" s="115"/>
      <c r="B1550" s="115"/>
      <c r="C1550" s="115"/>
      <c r="D1550" s="115"/>
      <c r="E1550" s="115"/>
      <c r="F1550" s="115"/>
      <c r="G1550" s="115"/>
      <c r="H1550" s="115"/>
      <c r="I1550" s="115"/>
      <c r="J1550" s="115"/>
      <c r="K1550" s="115"/>
      <c r="L1550" s="115"/>
      <c r="M1550" s="115"/>
      <c r="N1550" s="115"/>
      <c r="O1550" s="115"/>
      <c r="P1550" s="115"/>
      <c r="Q1550" s="115"/>
      <c r="R1550" s="115"/>
      <c r="S1550" s="115"/>
      <c r="T1550" s="115"/>
      <c r="U1550" s="115"/>
      <c r="V1550" s="115"/>
      <c r="W1550" s="115"/>
      <c r="X1550" s="115"/>
      <c r="Y1550" s="115"/>
      <c r="Z1550" s="115"/>
      <c r="AA1550" s="115"/>
      <c r="AB1550" s="115"/>
      <c r="AC1550" s="115"/>
      <c r="AD1550" s="115"/>
      <c r="AE1550" s="115"/>
      <c r="AF1550" s="115"/>
      <c r="AG1550" s="115"/>
      <c r="AH1550" s="115"/>
      <c r="AI1550" s="115"/>
      <c r="AJ1550" s="115"/>
      <c r="AK1550" s="115"/>
      <c r="AL1550" s="115"/>
      <c r="AM1550" s="115"/>
      <c r="AN1550" s="115"/>
      <c r="AO1550" s="115"/>
      <c r="AP1550" s="115"/>
      <c r="AQ1550" s="115"/>
      <c r="AR1550" s="115"/>
      <c r="AS1550" s="115"/>
      <c r="AT1550" s="115"/>
      <c r="AU1550" s="115"/>
      <c r="AV1550" s="115"/>
      <c r="AW1550" s="115"/>
      <c r="AX1550" s="115"/>
      <c r="AY1550" s="115"/>
      <c r="AZ1550" s="115"/>
      <c r="BA1550" s="115"/>
      <c r="BB1550" s="115"/>
      <c r="BC1550" s="115"/>
      <c r="BD1550" s="115"/>
      <c r="BE1550" s="115"/>
      <c r="BF1550" s="122"/>
      <c r="BG1550" s="122"/>
      <c r="BH1550" s="122"/>
      <c r="BI1550" s="115"/>
      <c r="BJ1550" s="115"/>
      <c r="BK1550" s="115"/>
      <c r="BL1550" s="115"/>
      <c r="BM1550" s="115"/>
      <c r="BN1550" s="115"/>
      <c r="BO1550" s="115"/>
      <c r="BP1550" s="115"/>
      <c r="BQ1550" s="115"/>
      <c r="BR1550" s="115"/>
      <c r="BS1550" s="115"/>
      <c r="BT1550" s="115"/>
      <c r="BU1550" s="115"/>
      <c r="BV1550" s="115"/>
      <c r="BW1550" s="26"/>
      <c r="BX1550" s="15"/>
      <c r="CA1550" s="114"/>
    </row>
    <row r="1551" spans="1:79" x14ac:dyDescent="0.4">
      <c r="A1551" s="115"/>
      <c r="B1551" s="115"/>
      <c r="C1551" s="115"/>
      <c r="D1551" s="115"/>
      <c r="E1551" s="115"/>
      <c r="F1551" s="115"/>
      <c r="G1551" s="115"/>
      <c r="H1551" s="115"/>
      <c r="I1551" s="115"/>
      <c r="J1551" s="115"/>
      <c r="K1551" s="115"/>
      <c r="L1551" s="115"/>
      <c r="M1551" s="115"/>
      <c r="N1551" s="115"/>
      <c r="O1551" s="115"/>
      <c r="P1551" s="115"/>
      <c r="Q1551" s="115"/>
      <c r="R1551" s="115"/>
      <c r="S1551" s="115"/>
      <c r="T1551" s="115"/>
      <c r="U1551" s="115"/>
      <c r="V1551" s="115"/>
      <c r="W1551" s="115"/>
      <c r="X1551" s="115"/>
      <c r="Y1551" s="115"/>
      <c r="Z1551" s="115"/>
      <c r="AA1551" s="115"/>
      <c r="AB1551" s="115"/>
      <c r="AC1551" s="115"/>
      <c r="AD1551" s="115"/>
      <c r="AE1551" s="115"/>
      <c r="AF1551" s="115"/>
      <c r="AG1551" s="115"/>
      <c r="AH1551" s="115"/>
      <c r="AI1551" s="115"/>
      <c r="AJ1551" s="115"/>
      <c r="AK1551" s="115"/>
      <c r="AL1551" s="115"/>
      <c r="AM1551" s="115"/>
      <c r="AN1551" s="115"/>
      <c r="AO1551" s="115"/>
      <c r="AP1551" s="115"/>
      <c r="AQ1551" s="115"/>
      <c r="AR1551" s="115"/>
      <c r="AS1551" s="115"/>
      <c r="AT1551" s="115"/>
      <c r="AU1551" s="115"/>
      <c r="AV1551" s="115"/>
      <c r="AW1551" s="115"/>
      <c r="AX1551" s="115"/>
      <c r="AY1551" s="115"/>
      <c r="AZ1551" s="115"/>
      <c r="BA1551" s="115"/>
      <c r="BB1551" s="115"/>
      <c r="BC1551" s="115"/>
      <c r="BD1551" s="115"/>
      <c r="BE1551" s="115"/>
      <c r="BF1551" s="122"/>
      <c r="BG1551" s="122"/>
      <c r="BH1551" s="122"/>
      <c r="BI1551" s="115"/>
      <c r="BJ1551" s="115"/>
      <c r="BK1551" s="115"/>
      <c r="BL1551" s="115"/>
      <c r="BM1551" s="115"/>
      <c r="BN1551" s="115"/>
      <c r="BO1551" s="115"/>
      <c r="BP1551" s="115"/>
      <c r="BQ1551" s="115"/>
      <c r="BR1551" s="115"/>
      <c r="BS1551" s="115"/>
      <c r="BT1551" s="115"/>
      <c r="BU1551" s="115"/>
      <c r="BV1551" s="115"/>
      <c r="BW1551" s="26"/>
      <c r="BX1551" s="13"/>
      <c r="CA1551" s="114"/>
    </row>
    <row r="1552" spans="1:79" x14ac:dyDescent="0.4">
      <c r="A1552" s="115"/>
      <c r="B1552" s="115"/>
      <c r="C1552" s="115"/>
      <c r="D1552" s="115"/>
      <c r="E1552" s="115"/>
      <c r="F1552" s="115"/>
      <c r="G1552" s="115"/>
      <c r="H1552" s="115"/>
      <c r="I1552" s="115"/>
      <c r="J1552" s="115"/>
      <c r="K1552" s="115"/>
      <c r="L1552" s="115"/>
      <c r="M1552" s="115"/>
      <c r="N1552" s="115"/>
      <c r="O1552" s="115"/>
      <c r="P1552" s="115"/>
      <c r="Q1552" s="115"/>
      <c r="R1552" s="115"/>
      <c r="S1552" s="115"/>
      <c r="T1552" s="115"/>
      <c r="U1552" s="115"/>
      <c r="V1552" s="115"/>
      <c r="W1552" s="115"/>
      <c r="X1552" s="115"/>
      <c r="Y1552" s="115"/>
      <c r="Z1552" s="115"/>
      <c r="AA1552" s="115"/>
      <c r="AB1552" s="115"/>
      <c r="AC1552" s="115"/>
      <c r="AD1552" s="115"/>
      <c r="AE1552" s="115"/>
      <c r="AF1552" s="115"/>
      <c r="AG1552" s="115"/>
      <c r="AH1552" s="115"/>
      <c r="AI1552" s="115"/>
      <c r="AJ1552" s="115"/>
      <c r="AK1552" s="115"/>
      <c r="AL1552" s="115"/>
      <c r="AM1552" s="115"/>
      <c r="AN1552" s="115"/>
      <c r="AO1552" s="115"/>
      <c r="AP1552" s="115"/>
      <c r="AQ1552" s="115"/>
      <c r="AR1552" s="115"/>
      <c r="AS1552" s="115"/>
      <c r="AT1552" s="115"/>
      <c r="AU1552" s="115"/>
      <c r="AV1552" s="115"/>
      <c r="AW1552" s="115"/>
      <c r="AX1552" s="115"/>
      <c r="AY1552" s="115"/>
      <c r="AZ1552" s="115"/>
      <c r="BA1552" s="115"/>
      <c r="BB1552" s="115"/>
      <c r="BC1552" s="115"/>
      <c r="BD1552" s="115"/>
      <c r="BE1552" s="115"/>
      <c r="BF1552" s="122"/>
      <c r="BG1552" s="122"/>
      <c r="BH1552" s="122"/>
      <c r="BI1552" s="115"/>
      <c r="BJ1552" s="115"/>
      <c r="BK1552" s="115"/>
      <c r="BL1552" s="115"/>
      <c r="BM1552" s="115"/>
      <c r="BN1552" s="115"/>
      <c r="BO1552" s="115"/>
      <c r="BP1552" s="115"/>
      <c r="BQ1552" s="115"/>
      <c r="BR1552" s="115"/>
      <c r="BS1552" s="115"/>
      <c r="BT1552" s="115"/>
      <c r="BU1552" s="115"/>
      <c r="BV1552" s="115"/>
      <c r="BW1552" s="26"/>
      <c r="BX1552" s="13"/>
      <c r="CA1552" s="114"/>
    </row>
    <row r="1553" spans="1:79" x14ac:dyDescent="0.4">
      <c r="A1553" s="115"/>
      <c r="B1553" s="115"/>
      <c r="C1553" s="115"/>
      <c r="D1553" s="115"/>
      <c r="E1553" s="115"/>
      <c r="F1553" s="115"/>
      <c r="G1553" s="115"/>
      <c r="H1553" s="115"/>
      <c r="I1553" s="115"/>
      <c r="J1553" s="115"/>
      <c r="K1553" s="115"/>
      <c r="L1553" s="115"/>
      <c r="M1553" s="115"/>
      <c r="N1553" s="115"/>
      <c r="O1553" s="115"/>
      <c r="P1553" s="115"/>
      <c r="Q1553" s="115"/>
      <c r="R1553" s="115"/>
      <c r="S1553" s="115"/>
      <c r="T1553" s="115"/>
      <c r="U1553" s="115"/>
      <c r="V1553" s="115"/>
      <c r="W1553" s="115"/>
      <c r="X1553" s="115"/>
      <c r="Y1553" s="115"/>
      <c r="Z1553" s="115"/>
      <c r="AA1553" s="115"/>
      <c r="AB1553" s="115"/>
      <c r="AC1553" s="115"/>
      <c r="AD1553" s="115"/>
      <c r="AE1553" s="115"/>
      <c r="AF1553" s="115"/>
      <c r="AG1553" s="115"/>
      <c r="AH1553" s="115"/>
      <c r="AI1553" s="115"/>
      <c r="AJ1553" s="115"/>
      <c r="AK1553" s="115"/>
      <c r="AL1553" s="115"/>
      <c r="AM1553" s="115"/>
      <c r="AN1553" s="115"/>
      <c r="AO1553" s="115"/>
      <c r="AP1553" s="115"/>
      <c r="AQ1553" s="115"/>
      <c r="AR1553" s="115"/>
      <c r="AS1553" s="115"/>
      <c r="AT1553" s="115"/>
      <c r="AU1553" s="115"/>
      <c r="AV1553" s="115"/>
      <c r="AW1553" s="115"/>
      <c r="AX1553" s="115"/>
      <c r="AY1553" s="115"/>
      <c r="AZ1553" s="115"/>
      <c r="BA1553" s="115"/>
      <c r="BB1553" s="115"/>
      <c r="BC1553" s="115"/>
      <c r="BD1553" s="115"/>
      <c r="BE1553" s="115"/>
      <c r="BF1553" s="122"/>
      <c r="BG1553" s="122"/>
      <c r="BH1553" s="122"/>
      <c r="BI1553" s="115"/>
      <c r="BJ1553" s="115"/>
      <c r="BK1553" s="115"/>
      <c r="BL1553" s="115"/>
      <c r="BM1553" s="115"/>
      <c r="BN1553" s="115"/>
      <c r="BO1553" s="115"/>
      <c r="BP1553" s="115"/>
      <c r="BQ1553" s="115"/>
      <c r="BR1553" s="115"/>
      <c r="BS1553" s="115"/>
      <c r="BT1553" s="115"/>
      <c r="BU1553" s="115"/>
      <c r="BV1553" s="115"/>
      <c r="BW1553" s="26"/>
      <c r="BX1553" s="13"/>
      <c r="CA1553" s="114"/>
    </row>
    <row r="1554" spans="1:79" x14ac:dyDescent="0.4">
      <c r="A1554" s="115"/>
      <c r="B1554" s="115"/>
      <c r="C1554" s="115"/>
      <c r="D1554" s="115"/>
      <c r="E1554" s="115"/>
      <c r="F1554" s="115"/>
      <c r="G1554" s="115"/>
      <c r="H1554" s="115"/>
      <c r="I1554" s="115"/>
      <c r="J1554" s="115"/>
      <c r="K1554" s="115"/>
      <c r="L1554" s="115"/>
      <c r="M1554" s="115"/>
      <c r="N1554" s="115"/>
      <c r="O1554" s="115"/>
      <c r="P1554" s="115"/>
      <c r="Q1554" s="115"/>
      <c r="R1554" s="115"/>
      <c r="S1554" s="115"/>
      <c r="T1554" s="115"/>
      <c r="U1554" s="115"/>
      <c r="V1554" s="115"/>
      <c r="W1554" s="115"/>
      <c r="X1554" s="115"/>
      <c r="Y1554" s="115"/>
      <c r="Z1554" s="115"/>
      <c r="AA1554" s="115"/>
      <c r="AB1554" s="115"/>
      <c r="AC1554" s="115"/>
      <c r="AD1554" s="115"/>
      <c r="AE1554" s="115"/>
      <c r="AF1554" s="115"/>
      <c r="AG1554" s="115"/>
      <c r="AH1554" s="115"/>
      <c r="AI1554" s="115"/>
      <c r="AJ1554" s="115"/>
      <c r="AK1554" s="115"/>
      <c r="AL1554" s="115"/>
      <c r="AM1554" s="115"/>
      <c r="AN1554" s="115"/>
      <c r="AO1554" s="115"/>
      <c r="AP1554" s="115"/>
      <c r="AQ1554" s="115"/>
      <c r="AR1554" s="115"/>
      <c r="AS1554" s="115"/>
      <c r="AT1554" s="115"/>
      <c r="AU1554" s="115"/>
      <c r="AV1554" s="115"/>
      <c r="AW1554" s="115"/>
      <c r="AX1554" s="115"/>
      <c r="AY1554" s="115"/>
      <c r="AZ1554" s="115"/>
      <c r="BA1554" s="115"/>
      <c r="BB1554" s="115"/>
      <c r="BC1554" s="115"/>
      <c r="BD1554" s="115"/>
      <c r="BE1554" s="115"/>
      <c r="BF1554" s="122"/>
      <c r="BG1554" s="122"/>
      <c r="BH1554" s="122"/>
      <c r="BI1554" s="115"/>
      <c r="BJ1554" s="115"/>
      <c r="BK1554" s="115"/>
      <c r="BL1554" s="115"/>
      <c r="BM1554" s="115"/>
      <c r="BN1554" s="115"/>
      <c r="BO1554" s="115"/>
      <c r="BP1554" s="115"/>
      <c r="BQ1554" s="115"/>
      <c r="BR1554" s="115"/>
      <c r="BS1554" s="115"/>
      <c r="BT1554" s="115"/>
      <c r="BU1554" s="115"/>
      <c r="BV1554" s="115"/>
      <c r="BW1554" s="26"/>
      <c r="BX1554" s="13"/>
      <c r="CA1554" s="114"/>
    </row>
    <row r="1555" spans="1:79" x14ac:dyDescent="0.4">
      <c r="A1555" s="115"/>
      <c r="B1555" s="115"/>
      <c r="C1555" s="115"/>
      <c r="D1555" s="115"/>
      <c r="E1555" s="115"/>
      <c r="F1555" s="115"/>
      <c r="G1555" s="115"/>
      <c r="H1555" s="115"/>
      <c r="I1555" s="115"/>
      <c r="J1555" s="115"/>
      <c r="K1555" s="115"/>
      <c r="L1555" s="115"/>
      <c r="M1555" s="115"/>
      <c r="N1555" s="115"/>
      <c r="O1555" s="115"/>
      <c r="P1555" s="115"/>
      <c r="Q1555" s="115"/>
      <c r="R1555" s="115"/>
      <c r="S1555" s="115"/>
      <c r="T1555" s="115"/>
      <c r="U1555" s="115"/>
      <c r="V1555" s="115"/>
      <c r="W1555" s="115"/>
      <c r="X1555" s="115"/>
      <c r="Y1555" s="115"/>
      <c r="Z1555" s="115"/>
      <c r="AA1555" s="115"/>
      <c r="AB1555" s="115"/>
      <c r="AC1555" s="115"/>
      <c r="AD1555" s="115"/>
      <c r="AE1555" s="115"/>
      <c r="AF1555" s="115"/>
      <c r="AG1555" s="115"/>
      <c r="AH1555" s="115"/>
      <c r="AI1555" s="115"/>
      <c r="AJ1555" s="115"/>
      <c r="AK1555" s="115"/>
      <c r="AL1555" s="115"/>
      <c r="AM1555" s="115"/>
      <c r="AN1555" s="115"/>
      <c r="AO1555" s="115"/>
      <c r="AP1555" s="115"/>
      <c r="AQ1555" s="115"/>
      <c r="AR1555" s="115"/>
      <c r="AS1555" s="115"/>
      <c r="AT1555" s="115"/>
      <c r="AU1555" s="115"/>
      <c r="AV1555" s="115"/>
      <c r="AW1555" s="115"/>
      <c r="AX1555" s="115"/>
      <c r="AY1555" s="115"/>
      <c r="AZ1555" s="115"/>
      <c r="BA1555" s="115"/>
      <c r="BB1555" s="115"/>
      <c r="BC1555" s="115"/>
      <c r="BD1555" s="115"/>
      <c r="BE1555" s="115"/>
      <c r="BF1555" s="122"/>
      <c r="BG1555" s="122"/>
      <c r="BH1555" s="122"/>
      <c r="BI1555" s="115"/>
      <c r="BJ1555" s="115"/>
      <c r="BK1555" s="115"/>
      <c r="BL1555" s="115"/>
      <c r="BM1555" s="115"/>
      <c r="BN1555" s="115"/>
      <c r="BO1555" s="115"/>
      <c r="BP1555" s="115"/>
      <c r="BQ1555" s="115"/>
      <c r="BR1555" s="115"/>
      <c r="BS1555" s="115"/>
      <c r="BT1555" s="115"/>
      <c r="BU1555" s="115"/>
      <c r="BV1555" s="115"/>
      <c r="BW1555" s="26"/>
      <c r="BX1555" s="13"/>
      <c r="CA1555" s="114"/>
    </row>
    <row r="1556" spans="1:79" x14ac:dyDescent="0.4">
      <c r="A1556" s="115"/>
      <c r="B1556" s="115"/>
      <c r="C1556" s="115"/>
      <c r="D1556" s="115"/>
      <c r="E1556" s="115"/>
      <c r="F1556" s="115"/>
      <c r="G1556" s="115"/>
      <c r="H1556" s="115"/>
      <c r="I1556" s="115"/>
      <c r="J1556" s="115"/>
      <c r="K1556" s="115"/>
      <c r="L1556" s="115"/>
      <c r="M1556" s="115"/>
      <c r="N1556" s="115"/>
      <c r="O1556" s="115"/>
      <c r="P1556" s="115"/>
      <c r="Q1556" s="115"/>
      <c r="R1556" s="115"/>
      <c r="S1556" s="115"/>
      <c r="T1556" s="115"/>
      <c r="U1556" s="115"/>
      <c r="V1556" s="115"/>
      <c r="W1556" s="115"/>
      <c r="X1556" s="115"/>
      <c r="Y1556" s="115"/>
      <c r="Z1556" s="115"/>
      <c r="AA1556" s="115"/>
      <c r="AB1556" s="115"/>
      <c r="AC1556" s="115"/>
      <c r="AD1556" s="115"/>
      <c r="AE1556" s="115"/>
      <c r="AF1556" s="115"/>
      <c r="AG1556" s="115"/>
      <c r="AH1556" s="115"/>
      <c r="AI1556" s="115"/>
      <c r="AJ1556" s="115"/>
      <c r="AK1556" s="115"/>
      <c r="AL1556" s="115"/>
      <c r="AM1556" s="115"/>
      <c r="AN1556" s="115"/>
      <c r="AO1556" s="115"/>
      <c r="AP1556" s="115"/>
      <c r="AQ1556" s="115"/>
      <c r="AR1556" s="115"/>
      <c r="AS1556" s="115"/>
      <c r="AT1556" s="115"/>
      <c r="AU1556" s="115"/>
      <c r="AV1556" s="115"/>
      <c r="AW1556" s="115"/>
      <c r="AX1556" s="115"/>
      <c r="AY1556" s="115"/>
      <c r="AZ1556" s="115"/>
      <c r="BA1556" s="115"/>
      <c r="BB1556" s="115"/>
      <c r="BC1556" s="115"/>
      <c r="BD1556" s="115"/>
      <c r="BE1556" s="115"/>
      <c r="BF1556" s="122"/>
      <c r="BG1556" s="122"/>
      <c r="BH1556" s="122"/>
      <c r="BI1556" s="115"/>
      <c r="BJ1556" s="115"/>
      <c r="BK1556" s="115"/>
      <c r="BL1556" s="115"/>
      <c r="BM1556" s="115"/>
      <c r="BN1556" s="115"/>
      <c r="BO1556" s="115"/>
      <c r="BP1556" s="115"/>
      <c r="BQ1556" s="115"/>
      <c r="BR1556" s="115"/>
      <c r="BS1556" s="115"/>
      <c r="BT1556" s="115"/>
      <c r="BU1556" s="115"/>
      <c r="BV1556" s="115"/>
      <c r="BW1556" s="26"/>
      <c r="BX1556" s="13"/>
      <c r="CA1556" s="114"/>
    </row>
    <row r="1557" spans="1:79" x14ac:dyDescent="0.4">
      <c r="A1557" s="115"/>
      <c r="B1557" s="115"/>
      <c r="C1557" s="115"/>
      <c r="D1557" s="115"/>
      <c r="E1557" s="115"/>
      <c r="F1557" s="115"/>
      <c r="G1557" s="115"/>
      <c r="H1557" s="115"/>
      <c r="I1557" s="115"/>
      <c r="J1557" s="115"/>
      <c r="K1557" s="115"/>
      <c r="L1557" s="115"/>
      <c r="M1557" s="115"/>
      <c r="N1557" s="115"/>
      <c r="O1557" s="115"/>
      <c r="P1557" s="115"/>
      <c r="Q1557" s="115"/>
      <c r="R1557" s="115"/>
      <c r="S1557" s="115"/>
      <c r="T1557" s="115"/>
      <c r="U1557" s="115"/>
      <c r="V1557" s="115"/>
      <c r="W1557" s="115"/>
      <c r="X1557" s="115"/>
      <c r="Y1557" s="115"/>
      <c r="Z1557" s="115"/>
      <c r="AA1557" s="115"/>
      <c r="AB1557" s="115"/>
      <c r="AC1557" s="115"/>
      <c r="AD1557" s="115"/>
      <c r="AE1557" s="115"/>
      <c r="AF1557" s="115"/>
      <c r="AG1557" s="115"/>
      <c r="AH1557" s="115"/>
      <c r="AI1557" s="115"/>
      <c r="AJ1557" s="115"/>
      <c r="AK1557" s="115"/>
      <c r="AL1557" s="115"/>
      <c r="AM1557" s="115"/>
      <c r="AN1557" s="115"/>
      <c r="AO1557" s="115"/>
      <c r="AP1557" s="115"/>
      <c r="AQ1557" s="115"/>
      <c r="AR1557" s="115"/>
      <c r="AS1557" s="115"/>
      <c r="AT1557" s="115"/>
      <c r="AU1557" s="115"/>
      <c r="AV1557" s="115"/>
      <c r="AW1557" s="115"/>
      <c r="AX1557" s="115"/>
      <c r="AY1557" s="115"/>
      <c r="AZ1557" s="115"/>
      <c r="BA1557" s="115"/>
      <c r="BB1557" s="115"/>
      <c r="BC1557" s="115"/>
      <c r="BD1557" s="115"/>
      <c r="BE1557" s="115"/>
      <c r="BF1557" s="122"/>
      <c r="BG1557" s="122"/>
      <c r="BH1557" s="122"/>
      <c r="BI1557" s="115"/>
      <c r="BJ1557" s="115"/>
      <c r="BK1557" s="115"/>
      <c r="BL1557" s="115"/>
      <c r="BM1557" s="115"/>
      <c r="BN1557" s="115"/>
      <c r="BO1557" s="115"/>
      <c r="BP1557" s="115"/>
      <c r="BQ1557" s="115"/>
      <c r="BR1557" s="115"/>
      <c r="BS1557" s="115"/>
      <c r="BT1557" s="115"/>
      <c r="BU1557" s="115"/>
      <c r="BV1557" s="115"/>
      <c r="BW1557" s="26"/>
      <c r="BX1557" s="13"/>
      <c r="CA1557" s="114"/>
    </row>
    <row r="1558" spans="1:79" x14ac:dyDescent="0.4">
      <c r="A1558" s="115"/>
      <c r="B1558" s="115"/>
      <c r="C1558" s="115"/>
      <c r="D1558" s="115"/>
      <c r="E1558" s="115"/>
      <c r="F1558" s="115"/>
      <c r="G1558" s="115"/>
      <c r="H1558" s="115"/>
      <c r="I1558" s="115"/>
      <c r="J1558" s="115"/>
      <c r="K1558" s="115"/>
      <c r="L1558" s="115"/>
      <c r="M1558" s="115"/>
      <c r="N1558" s="115"/>
      <c r="O1558" s="115"/>
      <c r="P1558" s="115"/>
      <c r="Q1558" s="115"/>
      <c r="R1558" s="115"/>
      <c r="S1558" s="115"/>
      <c r="T1558" s="115"/>
      <c r="U1558" s="115"/>
      <c r="V1558" s="115"/>
      <c r="W1558" s="115"/>
      <c r="X1558" s="115"/>
      <c r="Y1558" s="115"/>
      <c r="Z1558" s="115"/>
      <c r="AA1558" s="115"/>
      <c r="AB1558" s="115"/>
      <c r="AC1558" s="115"/>
      <c r="AD1558" s="115"/>
      <c r="AE1558" s="115"/>
      <c r="AF1558" s="115"/>
      <c r="AG1558" s="115"/>
      <c r="AH1558" s="115"/>
      <c r="AI1558" s="115"/>
      <c r="AJ1558" s="115"/>
      <c r="AK1558" s="115"/>
      <c r="AL1558" s="115"/>
      <c r="AM1558" s="115"/>
      <c r="AN1558" s="115"/>
      <c r="AO1558" s="115"/>
      <c r="AP1558" s="115"/>
      <c r="AQ1558" s="115"/>
      <c r="AR1558" s="115"/>
      <c r="AS1558" s="115"/>
      <c r="AT1558" s="115"/>
      <c r="AU1558" s="115"/>
      <c r="AV1558" s="115"/>
      <c r="AW1558" s="115"/>
      <c r="AX1558" s="115"/>
      <c r="AY1558" s="115"/>
      <c r="AZ1558" s="115"/>
      <c r="BA1558" s="115"/>
      <c r="BB1558" s="115"/>
      <c r="BC1558" s="115"/>
      <c r="BD1558" s="115"/>
      <c r="BE1558" s="115"/>
      <c r="BF1558" s="122"/>
      <c r="BG1558" s="122"/>
      <c r="BH1558" s="122"/>
      <c r="BI1558" s="115"/>
      <c r="BJ1558" s="115"/>
      <c r="BK1558" s="115"/>
      <c r="BL1558" s="115"/>
      <c r="BM1558" s="115"/>
      <c r="BN1558" s="115"/>
      <c r="BO1558" s="115"/>
      <c r="BP1558" s="115"/>
      <c r="BQ1558" s="115"/>
      <c r="BR1558" s="115"/>
      <c r="BS1558" s="115"/>
      <c r="BT1558" s="115"/>
      <c r="BU1558" s="115"/>
      <c r="BV1558" s="115"/>
      <c r="BW1558" s="26"/>
      <c r="BX1558" s="13"/>
      <c r="CA1558" s="114"/>
    </row>
    <row r="1559" spans="1:79" x14ac:dyDescent="0.4">
      <c r="A1559" s="115"/>
      <c r="B1559" s="115"/>
      <c r="C1559" s="115"/>
      <c r="D1559" s="115"/>
      <c r="E1559" s="115"/>
      <c r="F1559" s="115"/>
      <c r="G1559" s="115"/>
      <c r="H1559" s="115"/>
      <c r="I1559" s="115"/>
      <c r="J1559" s="115"/>
      <c r="K1559" s="115"/>
      <c r="L1559" s="115"/>
      <c r="M1559" s="115"/>
      <c r="N1559" s="115"/>
      <c r="O1559" s="115"/>
      <c r="P1559" s="115"/>
      <c r="Q1559" s="115"/>
      <c r="R1559" s="115"/>
      <c r="S1559" s="115"/>
      <c r="T1559" s="115"/>
      <c r="U1559" s="115"/>
      <c r="V1559" s="115"/>
      <c r="W1559" s="115"/>
      <c r="X1559" s="115"/>
      <c r="Y1559" s="115"/>
      <c r="Z1559" s="115"/>
      <c r="AA1559" s="115"/>
      <c r="AB1559" s="115"/>
      <c r="AC1559" s="115"/>
      <c r="AD1559" s="115"/>
      <c r="AE1559" s="115"/>
      <c r="AF1559" s="115"/>
      <c r="AG1559" s="115"/>
      <c r="AH1559" s="115"/>
      <c r="AI1559" s="115"/>
      <c r="AJ1559" s="115"/>
      <c r="AK1559" s="115"/>
      <c r="AL1559" s="115"/>
      <c r="AM1559" s="115"/>
      <c r="AN1559" s="115"/>
      <c r="AO1559" s="115"/>
      <c r="AP1559" s="115"/>
      <c r="AQ1559" s="115"/>
      <c r="AR1559" s="115"/>
      <c r="AS1559" s="115"/>
      <c r="AT1559" s="115"/>
      <c r="AU1559" s="115"/>
      <c r="AV1559" s="115"/>
      <c r="AW1559" s="115"/>
      <c r="AX1559" s="115"/>
      <c r="AY1559" s="115"/>
      <c r="AZ1559" s="115"/>
      <c r="BA1559" s="115"/>
      <c r="BB1559" s="115"/>
      <c r="BC1559" s="115"/>
      <c r="BD1559" s="115"/>
      <c r="BE1559" s="115"/>
      <c r="BF1559" s="122"/>
      <c r="BG1559" s="122"/>
      <c r="BH1559" s="122"/>
      <c r="BI1559" s="115"/>
      <c r="BJ1559" s="115"/>
      <c r="BK1559" s="115"/>
      <c r="BL1559" s="115"/>
      <c r="BM1559" s="115"/>
      <c r="BN1559" s="115"/>
      <c r="BO1559" s="115"/>
      <c r="BP1559" s="115"/>
      <c r="BQ1559" s="115"/>
      <c r="BR1559" s="115"/>
      <c r="BS1559" s="115"/>
      <c r="BT1559" s="115"/>
      <c r="BU1559" s="115"/>
      <c r="BV1559" s="115"/>
      <c r="BW1559" s="17"/>
      <c r="BX1559" s="13"/>
      <c r="CA1559" s="114"/>
    </row>
    <row r="1560" spans="1:79" x14ac:dyDescent="0.4">
      <c r="A1560" s="115"/>
      <c r="B1560" s="115"/>
      <c r="C1560" s="115"/>
      <c r="D1560" s="115"/>
      <c r="E1560" s="115"/>
      <c r="F1560" s="115"/>
      <c r="G1560" s="115"/>
      <c r="H1560" s="115"/>
      <c r="I1560" s="115"/>
      <c r="J1560" s="115"/>
      <c r="K1560" s="115"/>
      <c r="L1560" s="115"/>
      <c r="M1560" s="115"/>
      <c r="N1560" s="115"/>
      <c r="O1560" s="115"/>
      <c r="P1560" s="115"/>
      <c r="Q1560" s="115"/>
      <c r="R1560" s="115"/>
      <c r="S1560" s="115"/>
      <c r="T1560" s="115"/>
      <c r="U1560" s="115"/>
      <c r="V1560" s="115"/>
      <c r="W1560" s="115"/>
      <c r="X1560" s="115"/>
      <c r="Y1560" s="115"/>
      <c r="Z1560" s="115"/>
      <c r="AA1560" s="115"/>
      <c r="AB1560" s="115"/>
      <c r="AC1560" s="115"/>
      <c r="AD1560" s="115"/>
      <c r="AE1560" s="115"/>
      <c r="AF1560" s="115"/>
      <c r="AG1560" s="115"/>
      <c r="AH1560" s="115"/>
      <c r="AI1560" s="115"/>
      <c r="AJ1560" s="115"/>
      <c r="AK1560" s="115"/>
      <c r="AL1560" s="115"/>
      <c r="AM1560" s="115"/>
      <c r="AN1560" s="115"/>
      <c r="AO1560" s="115"/>
      <c r="AP1560" s="115"/>
      <c r="AQ1560" s="115"/>
      <c r="AR1560" s="115"/>
      <c r="AS1560" s="115"/>
      <c r="AT1560" s="115"/>
      <c r="AU1560" s="115"/>
      <c r="AV1560" s="115"/>
      <c r="AW1560" s="115"/>
      <c r="AX1560" s="115"/>
      <c r="AY1560" s="115"/>
      <c r="AZ1560" s="115"/>
      <c r="BA1560" s="115"/>
      <c r="BB1560" s="115"/>
      <c r="BC1560" s="115"/>
      <c r="BD1560" s="115"/>
      <c r="BE1560" s="115"/>
      <c r="BF1560" s="122"/>
      <c r="BG1560" s="122"/>
      <c r="BH1560" s="122"/>
      <c r="BI1560" s="115"/>
      <c r="BJ1560" s="115"/>
      <c r="BK1560" s="115"/>
      <c r="BL1560" s="115"/>
      <c r="BM1560" s="115"/>
      <c r="BN1560" s="115"/>
      <c r="BO1560" s="115"/>
      <c r="BP1560" s="115"/>
      <c r="BQ1560" s="115"/>
      <c r="BR1560" s="115"/>
      <c r="BS1560" s="115"/>
      <c r="BT1560" s="115"/>
      <c r="BU1560" s="115"/>
      <c r="BV1560" s="115"/>
      <c r="BW1560" s="26"/>
      <c r="BX1560" s="13"/>
      <c r="CA1560" s="114"/>
    </row>
    <row r="1561" spans="1:79" x14ac:dyDescent="0.4">
      <c r="A1561" s="115"/>
      <c r="B1561" s="115"/>
      <c r="C1561" s="115"/>
      <c r="D1561" s="115"/>
      <c r="E1561" s="115"/>
      <c r="F1561" s="115"/>
      <c r="G1561" s="115"/>
      <c r="H1561" s="115"/>
      <c r="I1561" s="115"/>
      <c r="J1561" s="115"/>
      <c r="K1561" s="115"/>
      <c r="L1561" s="115"/>
      <c r="M1561" s="115"/>
      <c r="N1561" s="115"/>
      <c r="O1561" s="115"/>
      <c r="P1561" s="115"/>
      <c r="Q1561" s="115"/>
      <c r="R1561" s="115"/>
      <c r="S1561" s="115"/>
      <c r="T1561" s="115"/>
      <c r="U1561" s="115"/>
      <c r="V1561" s="115"/>
      <c r="W1561" s="115"/>
      <c r="X1561" s="115"/>
      <c r="Y1561" s="115"/>
      <c r="Z1561" s="115"/>
      <c r="AA1561" s="115"/>
      <c r="AB1561" s="115"/>
      <c r="AC1561" s="115"/>
      <c r="AD1561" s="115"/>
      <c r="AE1561" s="115"/>
      <c r="AF1561" s="115"/>
      <c r="AG1561" s="115"/>
      <c r="AH1561" s="115"/>
      <c r="AI1561" s="115"/>
      <c r="AJ1561" s="115"/>
      <c r="AK1561" s="115"/>
      <c r="AL1561" s="115"/>
      <c r="AM1561" s="115"/>
      <c r="AN1561" s="115"/>
      <c r="AO1561" s="115"/>
      <c r="AP1561" s="115"/>
      <c r="AQ1561" s="115"/>
      <c r="AR1561" s="115"/>
      <c r="AS1561" s="115"/>
      <c r="AT1561" s="115"/>
      <c r="AU1561" s="115"/>
      <c r="AV1561" s="115"/>
      <c r="AW1561" s="115"/>
      <c r="AX1561" s="115"/>
      <c r="AY1561" s="115"/>
      <c r="AZ1561" s="115"/>
      <c r="BA1561" s="115"/>
      <c r="BB1561" s="115"/>
      <c r="BC1561" s="115"/>
      <c r="BD1561" s="115"/>
      <c r="BE1561" s="115"/>
      <c r="BF1561" s="122"/>
      <c r="BG1561" s="122"/>
      <c r="BH1561" s="122"/>
      <c r="BI1561" s="115"/>
      <c r="BJ1561" s="115"/>
      <c r="BK1561" s="115"/>
      <c r="BL1561" s="115"/>
      <c r="BM1561" s="115"/>
      <c r="BN1561" s="115"/>
      <c r="BO1561" s="115"/>
      <c r="BP1561" s="115"/>
      <c r="BQ1561" s="115"/>
      <c r="BR1561" s="115"/>
      <c r="BS1561" s="115"/>
      <c r="BT1561" s="115"/>
      <c r="BU1561" s="115"/>
      <c r="BV1561" s="115"/>
      <c r="BW1561" s="17"/>
      <c r="BX1561" s="13"/>
      <c r="CA1561" s="114"/>
    </row>
    <row r="1562" spans="1:79" x14ac:dyDescent="0.4">
      <c r="A1562" s="115"/>
      <c r="B1562" s="115"/>
      <c r="C1562" s="115"/>
      <c r="D1562" s="115"/>
      <c r="E1562" s="115"/>
      <c r="F1562" s="115"/>
      <c r="G1562" s="115"/>
      <c r="H1562" s="115"/>
      <c r="I1562" s="115"/>
      <c r="J1562" s="115"/>
      <c r="K1562" s="115"/>
      <c r="L1562" s="115"/>
      <c r="M1562" s="115"/>
      <c r="N1562" s="115"/>
      <c r="O1562" s="115"/>
      <c r="P1562" s="115"/>
      <c r="Q1562" s="115"/>
      <c r="R1562" s="115"/>
      <c r="S1562" s="115"/>
      <c r="T1562" s="115"/>
      <c r="U1562" s="115"/>
      <c r="V1562" s="115"/>
      <c r="W1562" s="115"/>
      <c r="X1562" s="115"/>
      <c r="Y1562" s="115"/>
      <c r="Z1562" s="115"/>
      <c r="AA1562" s="115"/>
      <c r="AB1562" s="115"/>
      <c r="AC1562" s="115"/>
      <c r="AD1562" s="115"/>
      <c r="AE1562" s="115"/>
      <c r="AF1562" s="115"/>
      <c r="AG1562" s="115"/>
      <c r="AH1562" s="115"/>
      <c r="AI1562" s="115"/>
      <c r="AJ1562" s="115"/>
      <c r="AK1562" s="115"/>
      <c r="AL1562" s="115"/>
      <c r="AM1562" s="115"/>
      <c r="AN1562" s="115"/>
      <c r="AO1562" s="115"/>
      <c r="AP1562" s="115"/>
      <c r="AQ1562" s="115"/>
      <c r="AR1562" s="115"/>
      <c r="AS1562" s="115"/>
      <c r="AT1562" s="115"/>
      <c r="AU1562" s="115"/>
      <c r="AV1562" s="115"/>
      <c r="AW1562" s="115"/>
      <c r="AX1562" s="115"/>
      <c r="AY1562" s="115"/>
      <c r="AZ1562" s="115"/>
      <c r="BA1562" s="115"/>
      <c r="BB1562" s="115"/>
      <c r="BC1562" s="115"/>
      <c r="BD1562" s="115"/>
      <c r="BE1562" s="115"/>
      <c r="BF1562" s="122"/>
      <c r="BG1562" s="122"/>
      <c r="BH1562" s="122"/>
      <c r="BI1562" s="115"/>
      <c r="BJ1562" s="115"/>
      <c r="BK1562" s="115"/>
      <c r="BL1562" s="115"/>
      <c r="BM1562" s="115"/>
      <c r="BN1562" s="115"/>
      <c r="BO1562" s="115"/>
      <c r="BP1562" s="115"/>
      <c r="BQ1562" s="115"/>
      <c r="BR1562" s="115"/>
      <c r="BS1562" s="115"/>
      <c r="BT1562" s="115"/>
      <c r="BU1562" s="115"/>
      <c r="BV1562" s="115"/>
      <c r="BW1562" s="26"/>
      <c r="BX1562" s="13"/>
      <c r="CA1562" s="114"/>
    </row>
    <row r="1563" spans="1:79" x14ac:dyDescent="0.4">
      <c r="A1563" s="115"/>
      <c r="B1563" s="115"/>
      <c r="C1563" s="115"/>
      <c r="D1563" s="115"/>
      <c r="E1563" s="115"/>
      <c r="F1563" s="115"/>
      <c r="G1563" s="115"/>
      <c r="H1563" s="115"/>
      <c r="I1563" s="115"/>
      <c r="J1563" s="115"/>
      <c r="K1563" s="115"/>
      <c r="L1563" s="115"/>
      <c r="M1563" s="115"/>
      <c r="N1563" s="115"/>
      <c r="O1563" s="115"/>
      <c r="P1563" s="115"/>
      <c r="Q1563" s="115"/>
      <c r="R1563" s="115"/>
      <c r="S1563" s="115"/>
      <c r="T1563" s="115"/>
      <c r="U1563" s="115"/>
      <c r="V1563" s="115"/>
      <c r="W1563" s="115"/>
      <c r="X1563" s="115"/>
      <c r="Y1563" s="115"/>
      <c r="Z1563" s="115"/>
      <c r="AA1563" s="115"/>
      <c r="AB1563" s="115"/>
      <c r="AC1563" s="115"/>
      <c r="AD1563" s="115"/>
      <c r="AE1563" s="115"/>
      <c r="AF1563" s="115"/>
      <c r="AG1563" s="115"/>
      <c r="AH1563" s="115"/>
      <c r="AI1563" s="115"/>
      <c r="AJ1563" s="115"/>
      <c r="AK1563" s="115"/>
      <c r="AL1563" s="115"/>
      <c r="AM1563" s="115"/>
      <c r="AN1563" s="115"/>
      <c r="AO1563" s="115"/>
      <c r="AP1563" s="115"/>
      <c r="AQ1563" s="115"/>
      <c r="AR1563" s="115"/>
      <c r="AS1563" s="115"/>
      <c r="AT1563" s="115"/>
      <c r="AU1563" s="115"/>
      <c r="AV1563" s="115"/>
      <c r="AW1563" s="115"/>
      <c r="AX1563" s="115"/>
      <c r="AY1563" s="115"/>
      <c r="AZ1563" s="115"/>
      <c r="BA1563" s="115"/>
      <c r="BB1563" s="115"/>
      <c r="BC1563" s="115"/>
      <c r="BD1563" s="115"/>
      <c r="BE1563" s="115"/>
      <c r="BF1563" s="122"/>
      <c r="BG1563" s="122"/>
      <c r="BH1563" s="122"/>
      <c r="BI1563" s="115"/>
      <c r="BJ1563" s="115"/>
      <c r="BK1563" s="115"/>
      <c r="BL1563" s="115"/>
      <c r="BM1563" s="115"/>
      <c r="BN1563" s="115"/>
      <c r="BO1563" s="115"/>
      <c r="BP1563" s="115"/>
      <c r="BQ1563" s="115"/>
      <c r="BR1563" s="115"/>
      <c r="BS1563" s="115"/>
      <c r="BT1563" s="115"/>
      <c r="BU1563" s="115"/>
      <c r="BV1563" s="115"/>
      <c r="BW1563" s="26"/>
      <c r="BX1563" s="13"/>
      <c r="CA1563" s="114"/>
    </row>
    <row r="1564" spans="1:79" x14ac:dyDescent="0.4">
      <c r="A1564" s="115"/>
      <c r="B1564" s="115"/>
      <c r="C1564" s="115"/>
      <c r="D1564" s="115"/>
      <c r="E1564" s="115"/>
      <c r="F1564" s="115"/>
      <c r="G1564" s="115"/>
      <c r="H1564" s="115"/>
      <c r="I1564" s="115"/>
      <c r="J1564" s="115"/>
      <c r="K1564" s="115"/>
      <c r="L1564" s="115"/>
      <c r="M1564" s="115"/>
      <c r="N1564" s="115"/>
      <c r="O1564" s="115"/>
      <c r="P1564" s="115"/>
      <c r="Q1564" s="115"/>
      <c r="R1564" s="115"/>
      <c r="S1564" s="115"/>
      <c r="T1564" s="115"/>
      <c r="U1564" s="115"/>
      <c r="V1564" s="115"/>
      <c r="W1564" s="115"/>
      <c r="X1564" s="115"/>
      <c r="Y1564" s="115"/>
      <c r="Z1564" s="115"/>
      <c r="AA1564" s="115"/>
      <c r="AB1564" s="115"/>
      <c r="AC1564" s="115"/>
      <c r="AD1564" s="115"/>
      <c r="AE1564" s="115"/>
      <c r="AF1564" s="115"/>
      <c r="AG1564" s="115"/>
      <c r="AH1564" s="115"/>
      <c r="AI1564" s="115"/>
      <c r="AJ1564" s="115"/>
      <c r="AK1564" s="115"/>
      <c r="AL1564" s="115"/>
      <c r="AM1564" s="115"/>
      <c r="AN1564" s="115"/>
      <c r="AO1564" s="115"/>
      <c r="AP1564" s="115"/>
      <c r="AQ1564" s="115"/>
      <c r="AR1564" s="115"/>
      <c r="AS1564" s="115"/>
      <c r="AT1564" s="115"/>
      <c r="AU1564" s="115"/>
      <c r="AV1564" s="115"/>
      <c r="AW1564" s="115"/>
      <c r="AX1564" s="115"/>
      <c r="AY1564" s="115"/>
      <c r="AZ1564" s="115"/>
      <c r="BA1564" s="115"/>
      <c r="BB1564" s="115"/>
      <c r="BC1564" s="115"/>
      <c r="BD1564" s="115"/>
      <c r="BE1564" s="115"/>
      <c r="BF1564" s="122"/>
      <c r="BG1564" s="122"/>
      <c r="BH1564" s="122"/>
      <c r="BI1564" s="115"/>
      <c r="BJ1564" s="115"/>
      <c r="BK1564" s="115"/>
      <c r="BL1564" s="115"/>
      <c r="BM1564" s="115"/>
      <c r="BN1564" s="115"/>
      <c r="BO1564" s="115"/>
      <c r="BP1564" s="115"/>
      <c r="BQ1564" s="115"/>
      <c r="BR1564" s="115"/>
      <c r="BS1564" s="115"/>
      <c r="BT1564" s="115"/>
      <c r="BU1564" s="115"/>
      <c r="BV1564" s="115"/>
      <c r="BW1564" s="26"/>
      <c r="BX1564" s="13"/>
      <c r="CA1564" s="114"/>
    </row>
    <row r="1565" spans="1:79" x14ac:dyDescent="0.4">
      <c r="A1565" s="115"/>
      <c r="B1565" s="115"/>
      <c r="C1565" s="115"/>
      <c r="D1565" s="115"/>
      <c r="E1565" s="115"/>
      <c r="F1565" s="115"/>
      <c r="G1565" s="115"/>
      <c r="H1565" s="115"/>
      <c r="I1565" s="115"/>
      <c r="J1565" s="115"/>
      <c r="K1565" s="115"/>
      <c r="L1565" s="115"/>
      <c r="M1565" s="115"/>
      <c r="N1565" s="115"/>
      <c r="O1565" s="115"/>
      <c r="P1565" s="115"/>
      <c r="Q1565" s="115"/>
      <c r="R1565" s="115"/>
      <c r="S1565" s="115"/>
      <c r="T1565" s="115"/>
      <c r="U1565" s="115"/>
      <c r="V1565" s="115"/>
      <c r="W1565" s="115"/>
      <c r="X1565" s="115"/>
      <c r="Y1565" s="115"/>
      <c r="Z1565" s="115"/>
      <c r="AA1565" s="115"/>
      <c r="AB1565" s="115"/>
      <c r="AC1565" s="115"/>
      <c r="AD1565" s="115"/>
      <c r="AE1565" s="115"/>
      <c r="AF1565" s="115"/>
      <c r="AG1565" s="115"/>
      <c r="AH1565" s="115"/>
      <c r="AI1565" s="115"/>
      <c r="AJ1565" s="115"/>
      <c r="AK1565" s="115"/>
      <c r="AL1565" s="115"/>
      <c r="AM1565" s="115"/>
      <c r="AN1565" s="115"/>
      <c r="AO1565" s="115"/>
      <c r="AP1565" s="115"/>
      <c r="AQ1565" s="115"/>
      <c r="AR1565" s="115"/>
      <c r="AS1565" s="115"/>
      <c r="AT1565" s="115"/>
      <c r="AU1565" s="115"/>
      <c r="AV1565" s="115"/>
      <c r="AW1565" s="115"/>
      <c r="AX1565" s="115"/>
      <c r="AY1565" s="115"/>
      <c r="AZ1565" s="115"/>
      <c r="BA1565" s="115"/>
      <c r="BB1565" s="115"/>
      <c r="BC1565" s="115"/>
      <c r="BD1565" s="115"/>
      <c r="BE1565" s="115"/>
      <c r="BF1565" s="122"/>
      <c r="BG1565" s="122"/>
      <c r="BH1565" s="122"/>
      <c r="BI1565" s="115"/>
      <c r="BJ1565" s="115"/>
      <c r="BK1565" s="115"/>
      <c r="BL1565" s="115"/>
      <c r="BM1565" s="115"/>
      <c r="BN1565" s="115"/>
      <c r="BO1565" s="115"/>
      <c r="BP1565" s="115"/>
      <c r="BQ1565" s="115"/>
      <c r="BR1565" s="115"/>
      <c r="BS1565" s="115"/>
      <c r="BT1565" s="115"/>
      <c r="BU1565" s="115"/>
      <c r="BV1565" s="115"/>
      <c r="BW1565" s="26"/>
      <c r="BX1565" s="15"/>
      <c r="CA1565" s="114"/>
    </row>
    <row r="1566" spans="1:79" x14ac:dyDescent="0.4">
      <c r="A1566" s="115"/>
      <c r="B1566" s="115"/>
      <c r="C1566" s="115"/>
      <c r="D1566" s="115"/>
      <c r="E1566" s="115"/>
      <c r="F1566" s="115"/>
      <c r="G1566" s="115"/>
      <c r="H1566" s="115"/>
      <c r="I1566" s="115"/>
      <c r="J1566" s="115"/>
      <c r="K1566" s="115"/>
      <c r="L1566" s="115"/>
      <c r="M1566" s="115"/>
      <c r="N1566" s="115"/>
      <c r="O1566" s="115"/>
      <c r="P1566" s="115"/>
      <c r="Q1566" s="115"/>
      <c r="R1566" s="115"/>
      <c r="S1566" s="115"/>
      <c r="T1566" s="115"/>
      <c r="U1566" s="115"/>
      <c r="V1566" s="115"/>
      <c r="W1566" s="115"/>
      <c r="X1566" s="115"/>
      <c r="Y1566" s="115"/>
      <c r="Z1566" s="115"/>
      <c r="AA1566" s="115"/>
      <c r="AB1566" s="115"/>
      <c r="AC1566" s="115"/>
      <c r="AD1566" s="115"/>
      <c r="AE1566" s="115"/>
      <c r="AF1566" s="115"/>
      <c r="AG1566" s="115"/>
      <c r="AH1566" s="115"/>
      <c r="AI1566" s="115"/>
      <c r="AJ1566" s="115"/>
      <c r="AK1566" s="115"/>
      <c r="AL1566" s="115"/>
      <c r="AM1566" s="115"/>
      <c r="AN1566" s="115"/>
      <c r="AO1566" s="115"/>
      <c r="AP1566" s="115"/>
      <c r="AQ1566" s="115"/>
      <c r="AR1566" s="115"/>
      <c r="AS1566" s="115"/>
      <c r="AT1566" s="115"/>
      <c r="AU1566" s="115"/>
      <c r="AV1566" s="115"/>
      <c r="AW1566" s="115"/>
      <c r="AX1566" s="115"/>
      <c r="AY1566" s="115"/>
      <c r="AZ1566" s="115"/>
      <c r="BA1566" s="115"/>
      <c r="BB1566" s="115"/>
      <c r="BC1566" s="115"/>
      <c r="BD1566" s="115"/>
      <c r="BE1566" s="115"/>
      <c r="BF1566" s="122"/>
      <c r="BG1566" s="122"/>
      <c r="BH1566" s="122"/>
      <c r="BI1566" s="115"/>
      <c r="BJ1566" s="115"/>
      <c r="BK1566" s="115"/>
      <c r="BL1566" s="115"/>
      <c r="BM1566" s="115"/>
      <c r="BN1566" s="115"/>
      <c r="BO1566" s="115"/>
      <c r="BP1566" s="115"/>
      <c r="BQ1566" s="115"/>
      <c r="BR1566" s="115"/>
      <c r="BS1566" s="115"/>
      <c r="BT1566" s="115"/>
      <c r="BU1566" s="115"/>
      <c r="BV1566" s="115"/>
      <c r="BW1566" s="26"/>
      <c r="BX1566" s="15"/>
      <c r="CA1566" s="114"/>
    </row>
    <row r="1567" spans="1:79" x14ac:dyDescent="0.4">
      <c r="A1567" s="115"/>
      <c r="B1567" s="115"/>
      <c r="C1567" s="115"/>
      <c r="D1567" s="115"/>
      <c r="E1567" s="115"/>
      <c r="F1567" s="115"/>
      <c r="G1567" s="115"/>
      <c r="H1567" s="115"/>
      <c r="I1567" s="115"/>
      <c r="J1567" s="115"/>
      <c r="K1567" s="115"/>
      <c r="L1567" s="115"/>
      <c r="M1567" s="115"/>
      <c r="N1567" s="115"/>
      <c r="O1567" s="115"/>
      <c r="P1567" s="115"/>
      <c r="Q1567" s="115"/>
      <c r="R1567" s="115"/>
      <c r="S1567" s="115"/>
      <c r="T1567" s="115"/>
      <c r="U1567" s="115"/>
      <c r="V1567" s="115"/>
      <c r="W1567" s="115"/>
      <c r="X1567" s="115"/>
      <c r="Y1567" s="115"/>
      <c r="Z1567" s="115"/>
      <c r="AA1567" s="115"/>
      <c r="AB1567" s="115"/>
      <c r="AC1567" s="115"/>
      <c r="AD1567" s="115"/>
      <c r="AE1567" s="115"/>
      <c r="AF1567" s="115"/>
      <c r="AG1567" s="115"/>
      <c r="AH1567" s="115"/>
      <c r="AI1567" s="115"/>
      <c r="AJ1567" s="115"/>
      <c r="AK1567" s="115"/>
      <c r="AL1567" s="115"/>
      <c r="AM1567" s="115"/>
      <c r="AN1567" s="115"/>
      <c r="AO1567" s="115"/>
      <c r="AP1567" s="115"/>
      <c r="AQ1567" s="115"/>
      <c r="AR1567" s="115"/>
      <c r="AS1567" s="115"/>
      <c r="AT1567" s="115"/>
      <c r="AU1567" s="115"/>
      <c r="AV1567" s="115"/>
      <c r="AW1567" s="115"/>
      <c r="AX1567" s="115"/>
      <c r="AY1567" s="115"/>
      <c r="AZ1567" s="115"/>
      <c r="BA1567" s="115"/>
      <c r="BB1567" s="115"/>
      <c r="BC1567" s="115"/>
      <c r="BD1567" s="115"/>
      <c r="BE1567" s="115"/>
      <c r="BF1567" s="122"/>
      <c r="BG1567" s="122"/>
      <c r="BH1567" s="122"/>
      <c r="BI1567" s="115"/>
      <c r="BJ1567" s="115"/>
      <c r="BK1567" s="115"/>
      <c r="BL1567" s="115"/>
      <c r="BM1567" s="115"/>
      <c r="BN1567" s="115"/>
      <c r="BO1567" s="115"/>
      <c r="BP1567" s="115"/>
      <c r="BQ1567" s="115"/>
      <c r="BR1567" s="115"/>
      <c r="BS1567" s="115"/>
      <c r="BT1567" s="115"/>
      <c r="BU1567" s="115"/>
      <c r="BV1567" s="115"/>
      <c r="BW1567" s="26"/>
      <c r="BX1567" s="15"/>
      <c r="CA1567" s="114"/>
    </row>
    <row r="1568" spans="1:79" x14ac:dyDescent="0.4">
      <c r="A1568" s="115"/>
      <c r="B1568" s="115"/>
      <c r="C1568" s="115"/>
      <c r="D1568" s="115"/>
      <c r="E1568" s="115"/>
      <c r="F1568" s="115"/>
      <c r="G1568" s="115"/>
      <c r="H1568" s="115"/>
      <c r="I1568" s="115"/>
      <c r="J1568" s="115"/>
      <c r="K1568" s="115"/>
      <c r="L1568" s="115"/>
      <c r="M1568" s="115"/>
      <c r="N1568" s="115"/>
      <c r="O1568" s="115"/>
      <c r="P1568" s="115"/>
      <c r="Q1568" s="115"/>
      <c r="R1568" s="115"/>
      <c r="S1568" s="115"/>
      <c r="T1568" s="115"/>
      <c r="U1568" s="115"/>
      <c r="V1568" s="115"/>
      <c r="W1568" s="115"/>
      <c r="X1568" s="115"/>
      <c r="Y1568" s="115"/>
      <c r="Z1568" s="115"/>
      <c r="AA1568" s="115"/>
      <c r="AB1568" s="115"/>
      <c r="AC1568" s="115"/>
      <c r="AD1568" s="115"/>
      <c r="AE1568" s="115"/>
      <c r="AF1568" s="115"/>
      <c r="AG1568" s="115"/>
      <c r="AH1568" s="115"/>
      <c r="AI1568" s="115"/>
      <c r="AJ1568" s="115"/>
      <c r="AK1568" s="115"/>
      <c r="AL1568" s="115"/>
      <c r="AM1568" s="115"/>
      <c r="AN1568" s="115"/>
      <c r="AO1568" s="115"/>
      <c r="AP1568" s="115"/>
      <c r="AQ1568" s="115"/>
      <c r="AR1568" s="115"/>
      <c r="AS1568" s="115"/>
      <c r="AT1568" s="115"/>
      <c r="AU1568" s="115"/>
      <c r="AV1568" s="115"/>
      <c r="AW1568" s="115"/>
      <c r="AX1568" s="115"/>
      <c r="AY1568" s="115"/>
      <c r="AZ1568" s="115"/>
      <c r="BA1568" s="115"/>
      <c r="BB1568" s="115"/>
      <c r="BC1568" s="115"/>
      <c r="BD1568" s="115"/>
      <c r="BE1568" s="115"/>
      <c r="BF1568" s="122"/>
      <c r="BG1568" s="122"/>
      <c r="BH1568" s="122"/>
      <c r="BI1568" s="115"/>
      <c r="BJ1568" s="115"/>
      <c r="BK1568" s="115"/>
      <c r="BL1568" s="115"/>
      <c r="BM1568" s="115"/>
      <c r="BN1568" s="115"/>
      <c r="BO1568" s="115"/>
      <c r="BP1568" s="115"/>
      <c r="BQ1568" s="115"/>
      <c r="BR1568" s="115"/>
      <c r="BS1568" s="115"/>
      <c r="BT1568" s="115"/>
      <c r="BU1568" s="115"/>
      <c r="BV1568" s="115"/>
      <c r="BW1568" s="26"/>
      <c r="BX1568" s="13"/>
      <c r="CA1568" s="114"/>
    </row>
    <row r="1569" spans="1:80" x14ac:dyDescent="0.4">
      <c r="A1569" s="115"/>
      <c r="B1569" s="115"/>
      <c r="C1569" s="115"/>
      <c r="D1569" s="115"/>
      <c r="E1569" s="115"/>
      <c r="F1569" s="115"/>
      <c r="G1569" s="115"/>
      <c r="H1569" s="115"/>
      <c r="I1569" s="115"/>
      <c r="J1569" s="115"/>
      <c r="K1569" s="115"/>
      <c r="L1569" s="115"/>
      <c r="M1569" s="115"/>
      <c r="N1569" s="115"/>
      <c r="O1569" s="115"/>
      <c r="P1569" s="115"/>
      <c r="Q1569" s="115"/>
      <c r="R1569" s="115"/>
      <c r="S1569" s="115"/>
      <c r="T1569" s="115"/>
      <c r="U1569" s="115"/>
      <c r="V1569" s="115"/>
      <c r="W1569" s="115"/>
      <c r="X1569" s="115"/>
      <c r="Y1569" s="115"/>
      <c r="Z1569" s="115"/>
      <c r="AA1569" s="115"/>
      <c r="AB1569" s="115"/>
      <c r="AC1569" s="115"/>
      <c r="AD1569" s="115"/>
      <c r="AE1569" s="115"/>
      <c r="AF1569" s="115"/>
      <c r="AG1569" s="115"/>
      <c r="AH1569" s="115"/>
      <c r="AI1569" s="115"/>
      <c r="AJ1569" s="115"/>
      <c r="AK1569" s="115"/>
      <c r="AL1569" s="115"/>
      <c r="AM1569" s="115"/>
      <c r="AN1569" s="115"/>
      <c r="AO1569" s="115"/>
      <c r="AP1569" s="115"/>
      <c r="AQ1569" s="115"/>
      <c r="AR1569" s="115"/>
      <c r="AS1569" s="115"/>
      <c r="AT1569" s="115"/>
      <c r="AU1569" s="115"/>
      <c r="AV1569" s="115"/>
      <c r="AW1569" s="115"/>
      <c r="AX1569" s="115"/>
      <c r="AY1569" s="115"/>
      <c r="AZ1569" s="115"/>
      <c r="BA1569" s="115"/>
      <c r="BB1569" s="115"/>
      <c r="BC1569" s="115"/>
      <c r="BD1569" s="115"/>
      <c r="BE1569" s="115"/>
      <c r="BF1569" s="122"/>
      <c r="BG1569" s="122"/>
      <c r="BH1569" s="122"/>
      <c r="BI1569" s="115"/>
      <c r="BJ1569" s="115"/>
      <c r="BK1569" s="115"/>
      <c r="BL1569" s="115"/>
      <c r="BM1569" s="115"/>
      <c r="BN1569" s="115"/>
      <c r="BO1569" s="115"/>
      <c r="BP1569" s="115"/>
      <c r="BQ1569" s="115"/>
      <c r="BR1569" s="115"/>
      <c r="BS1569" s="115"/>
      <c r="BT1569" s="115"/>
      <c r="BU1569" s="115"/>
      <c r="BV1569" s="115"/>
      <c r="BW1569" s="26"/>
      <c r="BX1569" s="15"/>
      <c r="CA1569" s="114"/>
    </row>
    <row r="1570" spans="1:80" x14ac:dyDescent="0.4">
      <c r="A1570" s="115"/>
      <c r="B1570" s="115"/>
      <c r="C1570" s="115"/>
      <c r="D1570" s="115"/>
      <c r="E1570" s="115"/>
      <c r="F1570" s="115"/>
      <c r="G1570" s="115"/>
      <c r="H1570" s="115"/>
      <c r="I1570" s="115"/>
      <c r="J1570" s="115"/>
      <c r="K1570" s="115"/>
      <c r="L1570" s="115"/>
      <c r="M1570" s="115"/>
      <c r="N1570" s="115"/>
      <c r="O1570" s="115"/>
      <c r="P1570" s="115"/>
      <c r="Q1570" s="115"/>
      <c r="R1570" s="115"/>
      <c r="S1570" s="115"/>
      <c r="T1570" s="115"/>
      <c r="U1570" s="115"/>
      <c r="V1570" s="115"/>
      <c r="W1570" s="115"/>
      <c r="X1570" s="115"/>
      <c r="Y1570" s="115"/>
      <c r="Z1570" s="115"/>
      <c r="AA1570" s="115"/>
      <c r="AB1570" s="115"/>
      <c r="AC1570" s="115"/>
      <c r="AD1570" s="115"/>
      <c r="AE1570" s="115"/>
      <c r="AF1570" s="115"/>
      <c r="AG1570" s="115"/>
      <c r="AH1570" s="115"/>
      <c r="AI1570" s="115"/>
      <c r="AJ1570" s="115"/>
      <c r="AK1570" s="115"/>
      <c r="AL1570" s="115"/>
      <c r="AM1570" s="115"/>
      <c r="AN1570" s="115"/>
      <c r="AO1570" s="115"/>
      <c r="AP1570" s="115"/>
      <c r="AQ1570" s="115"/>
      <c r="AR1570" s="115"/>
      <c r="AS1570" s="115"/>
      <c r="AT1570" s="115"/>
      <c r="AU1570" s="115"/>
      <c r="AV1570" s="115"/>
      <c r="AW1570" s="115"/>
      <c r="AX1570" s="115"/>
      <c r="AY1570" s="115"/>
      <c r="AZ1570" s="115"/>
      <c r="BA1570" s="115"/>
      <c r="BB1570" s="115"/>
      <c r="BC1570" s="115"/>
      <c r="BD1570" s="115"/>
      <c r="BE1570" s="115"/>
      <c r="BF1570" s="122"/>
      <c r="BG1570" s="122"/>
      <c r="BH1570" s="122"/>
      <c r="BI1570" s="115"/>
      <c r="BJ1570" s="115"/>
      <c r="BK1570" s="115"/>
      <c r="BL1570" s="115"/>
      <c r="BM1570" s="115"/>
      <c r="BN1570" s="115"/>
      <c r="BO1570" s="115"/>
      <c r="BP1570" s="115"/>
      <c r="BQ1570" s="115"/>
      <c r="BR1570" s="115"/>
      <c r="BS1570" s="115"/>
      <c r="BT1570" s="115"/>
      <c r="BU1570" s="115"/>
      <c r="BV1570" s="115"/>
      <c r="BW1570" s="26"/>
      <c r="BX1570" s="15"/>
      <c r="CA1570" s="114"/>
      <c r="CB1570" s="120"/>
    </row>
    <row r="1571" spans="1:80" x14ac:dyDescent="0.4">
      <c r="A1571" s="115"/>
      <c r="B1571" s="115"/>
      <c r="C1571" s="115"/>
      <c r="D1571" s="115"/>
      <c r="E1571" s="115"/>
      <c r="F1571" s="115"/>
      <c r="G1571" s="115"/>
      <c r="H1571" s="115"/>
      <c r="I1571" s="115"/>
      <c r="J1571" s="115"/>
      <c r="K1571" s="115"/>
      <c r="L1571" s="115"/>
      <c r="M1571" s="115"/>
      <c r="N1571" s="115"/>
      <c r="O1571" s="115"/>
      <c r="P1571" s="115"/>
      <c r="Q1571" s="115"/>
      <c r="R1571" s="115"/>
      <c r="S1571" s="115"/>
      <c r="T1571" s="115"/>
      <c r="U1571" s="115"/>
      <c r="V1571" s="115"/>
      <c r="W1571" s="115"/>
      <c r="X1571" s="115"/>
      <c r="Y1571" s="115"/>
      <c r="Z1571" s="115"/>
      <c r="AA1571" s="115"/>
      <c r="AB1571" s="115"/>
      <c r="AC1571" s="115"/>
      <c r="AD1571" s="115"/>
      <c r="AE1571" s="115"/>
      <c r="AF1571" s="115"/>
      <c r="AG1571" s="115"/>
      <c r="AH1571" s="115"/>
      <c r="AI1571" s="115"/>
      <c r="AJ1571" s="115"/>
      <c r="AK1571" s="115"/>
      <c r="AL1571" s="115"/>
      <c r="AM1571" s="115"/>
      <c r="AN1571" s="115"/>
      <c r="AO1571" s="115"/>
      <c r="AP1571" s="115"/>
      <c r="AQ1571" s="115"/>
      <c r="AR1571" s="115"/>
      <c r="AS1571" s="115"/>
      <c r="AT1571" s="115"/>
      <c r="AU1571" s="115"/>
      <c r="AV1571" s="115"/>
      <c r="AW1571" s="115"/>
      <c r="AX1571" s="115"/>
      <c r="AY1571" s="115"/>
      <c r="AZ1571" s="115"/>
      <c r="BA1571" s="115"/>
      <c r="BB1571" s="115"/>
      <c r="BC1571" s="115"/>
      <c r="BD1571" s="115"/>
      <c r="BE1571" s="115"/>
      <c r="BF1571" s="122"/>
      <c r="BG1571" s="122"/>
      <c r="BH1571" s="122"/>
      <c r="BI1571" s="115"/>
      <c r="BJ1571" s="115"/>
      <c r="BK1571" s="115"/>
      <c r="BL1571" s="115"/>
      <c r="BM1571" s="115"/>
      <c r="BN1571" s="115"/>
      <c r="BO1571" s="115"/>
      <c r="BP1571" s="115"/>
      <c r="BQ1571" s="115"/>
      <c r="BR1571" s="115"/>
      <c r="BS1571" s="115"/>
      <c r="BT1571" s="115"/>
      <c r="BU1571" s="115"/>
      <c r="BV1571" s="115"/>
      <c r="BW1571" s="26"/>
      <c r="BX1571" s="15"/>
      <c r="CA1571" s="114"/>
      <c r="CB1571" s="120"/>
    </row>
    <row r="1572" spans="1:80" x14ac:dyDescent="0.4">
      <c r="A1572" s="115"/>
      <c r="B1572" s="115"/>
      <c r="C1572" s="115"/>
      <c r="D1572" s="115"/>
      <c r="E1572" s="115"/>
      <c r="F1572" s="115"/>
      <c r="G1572" s="115"/>
      <c r="H1572" s="115"/>
      <c r="I1572" s="115"/>
      <c r="J1572" s="115"/>
      <c r="K1572" s="115"/>
      <c r="L1572" s="115"/>
      <c r="M1572" s="115"/>
      <c r="N1572" s="115"/>
      <c r="O1572" s="115"/>
      <c r="P1572" s="115"/>
      <c r="Q1572" s="115"/>
      <c r="R1572" s="115"/>
      <c r="S1572" s="115"/>
      <c r="T1572" s="115"/>
      <c r="U1572" s="115"/>
      <c r="V1572" s="115"/>
      <c r="W1572" s="115"/>
      <c r="X1572" s="115"/>
      <c r="Y1572" s="115"/>
      <c r="Z1572" s="115"/>
      <c r="AA1572" s="115"/>
      <c r="AB1572" s="115"/>
      <c r="AC1572" s="115"/>
      <c r="AD1572" s="115"/>
      <c r="AE1572" s="115"/>
      <c r="AF1572" s="115"/>
      <c r="AG1572" s="115"/>
      <c r="AH1572" s="115"/>
      <c r="AI1572" s="115"/>
      <c r="AJ1572" s="115"/>
      <c r="AK1572" s="115"/>
      <c r="AL1572" s="115"/>
      <c r="AM1572" s="115"/>
      <c r="AN1572" s="115"/>
      <c r="AO1572" s="115"/>
      <c r="AP1572" s="115"/>
      <c r="AQ1572" s="115"/>
      <c r="AR1572" s="115"/>
      <c r="AS1572" s="115"/>
      <c r="AT1572" s="115"/>
      <c r="AU1572" s="115"/>
      <c r="AV1572" s="115"/>
      <c r="AW1572" s="115"/>
      <c r="AX1572" s="115"/>
      <c r="AY1572" s="115"/>
      <c r="AZ1572" s="115"/>
      <c r="BA1572" s="115"/>
      <c r="BB1572" s="115"/>
      <c r="BC1572" s="115"/>
      <c r="BD1572" s="115"/>
      <c r="BE1572" s="115"/>
      <c r="BF1572" s="122"/>
      <c r="BG1572" s="122"/>
      <c r="BH1572" s="122"/>
      <c r="BI1572" s="115"/>
      <c r="BJ1572" s="115"/>
      <c r="BK1572" s="115"/>
      <c r="BL1572" s="115"/>
      <c r="BM1572" s="115"/>
      <c r="BN1572" s="115"/>
      <c r="BO1572" s="115"/>
      <c r="BP1572" s="115"/>
      <c r="BQ1572" s="115"/>
      <c r="BR1572" s="115"/>
      <c r="BS1572" s="115"/>
      <c r="BT1572" s="115"/>
      <c r="BU1572" s="115"/>
      <c r="BV1572" s="115"/>
      <c r="BW1572" s="26"/>
      <c r="BX1572" s="15"/>
      <c r="CA1572" s="114"/>
      <c r="CB1572" s="120"/>
    </row>
    <row r="1573" spans="1:80" x14ac:dyDescent="0.4">
      <c r="A1573" s="115"/>
      <c r="B1573" s="115"/>
      <c r="C1573" s="115"/>
      <c r="D1573" s="115"/>
      <c r="E1573" s="115"/>
      <c r="F1573" s="115"/>
      <c r="G1573" s="115"/>
      <c r="H1573" s="115"/>
      <c r="I1573" s="115"/>
      <c r="J1573" s="115"/>
      <c r="K1573" s="115"/>
      <c r="L1573" s="115"/>
      <c r="M1573" s="115"/>
      <c r="N1573" s="115"/>
      <c r="O1573" s="115"/>
      <c r="P1573" s="115"/>
      <c r="Q1573" s="115"/>
      <c r="R1573" s="115"/>
      <c r="S1573" s="115"/>
      <c r="T1573" s="115"/>
      <c r="U1573" s="115"/>
      <c r="V1573" s="115"/>
      <c r="W1573" s="115"/>
      <c r="X1573" s="115"/>
      <c r="Y1573" s="115"/>
      <c r="Z1573" s="115"/>
      <c r="AA1573" s="115"/>
      <c r="AB1573" s="115"/>
      <c r="AC1573" s="115"/>
      <c r="AD1573" s="115"/>
      <c r="AE1573" s="115"/>
      <c r="AF1573" s="115"/>
      <c r="AG1573" s="115"/>
      <c r="AH1573" s="115"/>
      <c r="AI1573" s="115"/>
      <c r="AJ1573" s="115"/>
      <c r="AK1573" s="115"/>
      <c r="AL1573" s="115"/>
      <c r="AM1573" s="115"/>
      <c r="AN1573" s="115"/>
      <c r="AO1573" s="115"/>
      <c r="AP1573" s="115"/>
      <c r="AQ1573" s="115"/>
      <c r="AR1573" s="115"/>
      <c r="AS1573" s="115"/>
      <c r="AT1573" s="115"/>
      <c r="AU1573" s="115"/>
      <c r="AV1573" s="115"/>
      <c r="AW1573" s="115"/>
      <c r="AX1573" s="115"/>
      <c r="AY1573" s="115"/>
      <c r="AZ1573" s="115"/>
      <c r="BA1573" s="115"/>
      <c r="BB1573" s="115"/>
      <c r="BC1573" s="115"/>
      <c r="BD1573" s="115"/>
      <c r="BE1573" s="115"/>
      <c r="BF1573" s="122"/>
      <c r="BG1573" s="122"/>
      <c r="BH1573" s="122"/>
      <c r="BI1573" s="115"/>
      <c r="BJ1573" s="115"/>
      <c r="BK1573" s="115"/>
      <c r="BL1573" s="115"/>
      <c r="BM1573" s="115"/>
      <c r="BN1573" s="115"/>
      <c r="BO1573" s="115"/>
      <c r="BP1573" s="115"/>
      <c r="BQ1573" s="115"/>
      <c r="BR1573" s="115"/>
      <c r="BS1573" s="115"/>
      <c r="BT1573" s="115"/>
      <c r="BU1573" s="115"/>
      <c r="BV1573" s="115"/>
      <c r="BW1573" s="26"/>
      <c r="BX1573" s="15"/>
      <c r="CA1573" s="114"/>
      <c r="CB1573" s="120"/>
    </row>
    <row r="1574" spans="1:80" x14ac:dyDescent="0.4">
      <c r="A1574" s="115"/>
      <c r="B1574" s="115"/>
      <c r="C1574" s="115"/>
      <c r="D1574" s="115"/>
      <c r="E1574" s="115"/>
      <c r="F1574" s="115"/>
      <c r="G1574" s="115"/>
      <c r="H1574" s="115"/>
      <c r="I1574" s="115"/>
      <c r="J1574" s="115"/>
      <c r="K1574" s="115"/>
      <c r="L1574" s="115"/>
      <c r="M1574" s="115"/>
      <c r="N1574" s="115"/>
      <c r="O1574" s="115"/>
      <c r="P1574" s="115"/>
      <c r="Q1574" s="115"/>
      <c r="R1574" s="115"/>
      <c r="S1574" s="115"/>
      <c r="T1574" s="115"/>
      <c r="U1574" s="115"/>
      <c r="V1574" s="115"/>
      <c r="W1574" s="115"/>
      <c r="X1574" s="115"/>
      <c r="Y1574" s="115"/>
      <c r="Z1574" s="115"/>
      <c r="AA1574" s="115"/>
      <c r="AB1574" s="115"/>
      <c r="AC1574" s="115"/>
      <c r="AD1574" s="115"/>
      <c r="AE1574" s="115"/>
      <c r="AF1574" s="115"/>
      <c r="AG1574" s="115"/>
      <c r="AH1574" s="115"/>
      <c r="AI1574" s="115"/>
      <c r="AJ1574" s="115"/>
      <c r="AK1574" s="115"/>
      <c r="AL1574" s="115"/>
      <c r="AM1574" s="115"/>
      <c r="AN1574" s="115"/>
      <c r="AO1574" s="115"/>
      <c r="AP1574" s="115"/>
      <c r="AQ1574" s="115"/>
      <c r="AR1574" s="115"/>
      <c r="AS1574" s="115"/>
      <c r="AT1574" s="115"/>
      <c r="AU1574" s="115"/>
      <c r="AV1574" s="115"/>
      <c r="AW1574" s="115"/>
      <c r="AX1574" s="115"/>
      <c r="AY1574" s="115"/>
      <c r="AZ1574" s="115"/>
      <c r="BA1574" s="115"/>
      <c r="BB1574" s="115"/>
      <c r="BC1574" s="115"/>
      <c r="BD1574" s="115"/>
      <c r="BE1574" s="115"/>
      <c r="BF1574" s="122"/>
      <c r="BG1574" s="122"/>
      <c r="BH1574" s="122"/>
      <c r="BI1574" s="115"/>
      <c r="BJ1574" s="115"/>
      <c r="BK1574" s="115"/>
      <c r="BL1574" s="115"/>
      <c r="BM1574" s="115"/>
      <c r="BN1574" s="115"/>
      <c r="BO1574" s="115"/>
      <c r="BP1574" s="115"/>
      <c r="BQ1574" s="115"/>
      <c r="BR1574" s="115"/>
      <c r="BS1574" s="115"/>
      <c r="BT1574" s="115"/>
      <c r="BU1574" s="115"/>
      <c r="BV1574" s="115"/>
      <c r="BW1574" s="26"/>
      <c r="BX1574" s="15"/>
      <c r="CA1574" s="114"/>
      <c r="CB1574" s="120"/>
    </row>
    <row r="1575" spans="1:80" x14ac:dyDescent="0.4">
      <c r="A1575" s="115"/>
      <c r="B1575" s="115"/>
      <c r="C1575" s="115"/>
      <c r="D1575" s="115"/>
      <c r="E1575" s="115"/>
      <c r="F1575" s="115"/>
      <c r="G1575" s="115"/>
      <c r="H1575" s="115"/>
      <c r="I1575" s="115"/>
      <c r="J1575" s="115"/>
      <c r="K1575" s="115"/>
      <c r="L1575" s="115"/>
      <c r="M1575" s="115"/>
      <c r="N1575" s="115"/>
      <c r="O1575" s="115"/>
      <c r="P1575" s="115"/>
      <c r="Q1575" s="115"/>
      <c r="R1575" s="115"/>
      <c r="S1575" s="115"/>
      <c r="T1575" s="115"/>
      <c r="U1575" s="115"/>
      <c r="V1575" s="115"/>
      <c r="W1575" s="115"/>
      <c r="X1575" s="115"/>
      <c r="Y1575" s="115"/>
      <c r="Z1575" s="115"/>
      <c r="AA1575" s="115"/>
      <c r="AB1575" s="115"/>
      <c r="AC1575" s="115"/>
      <c r="AD1575" s="115"/>
      <c r="AE1575" s="115"/>
      <c r="AF1575" s="115"/>
      <c r="AG1575" s="115"/>
      <c r="AH1575" s="115"/>
      <c r="AI1575" s="115"/>
      <c r="AJ1575" s="115"/>
      <c r="AK1575" s="115"/>
      <c r="AL1575" s="115"/>
      <c r="AM1575" s="115"/>
      <c r="AN1575" s="115"/>
      <c r="AO1575" s="115"/>
      <c r="AP1575" s="115"/>
      <c r="AQ1575" s="115"/>
      <c r="AR1575" s="115"/>
      <c r="AS1575" s="115"/>
      <c r="AT1575" s="115"/>
      <c r="AU1575" s="115"/>
      <c r="AV1575" s="115"/>
      <c r="AW1575" s="115"/>
      <c r="AX1575" s="115"/>
      <c r="AY1575" s="115"/>
      <c r="AZ1575" s="115"/>
      <c r="BA1575" s="115"/>
      <c r="BB1575" s="115"/>
      <c r="BC1575" s="115"/>
      <c r="BD1575" s="115"/>
      <c r="BE1575" s="115"/>
      <c r="BF1575" s="122"/>
      <c r="BG1575" s="122"/>
      <c r="BH1575" s="122"/>
      <c r="BI1575" s="115"/>
      <c r="BJ1575" s="115"/>
      <c r="BK1575" s="115"/>
      <c r="BL1575" s="115"/>
      <c r="BM1575" s="115"/>
      <c r="BN1575" s="115"/>
      <c r="BO1575" s="115"/>
      <c r="BP1575" s="115"/>
      <c r="BQ1575" s="115"/>
      <c r="BR1575" s="115"/>
      <c r="BS1575" s="115"/>
      <c r="BT1575" s="115"/>
      <c r="BU1575" s="115"/>
      <c r="BV1575" s="115"/>
      <c r="BW1575" s="26"/>
      <c r="BX1575" s="15"/>
      <c r="CA1575" s="114"/>
      <c r="CB1575" s="120"/>
    </row>
    <row r="1576" spans="1:80" x14ac:dyDescent="0.4">
      <c r="A1576" s="115"/>
      <c r="B1576" s="115"/>
      <c r="C1576" s="115"/>
      <c r="D1576" s="115"/>
      <c r="E1576" s="115"/>
      <c r="F1576" s="115"/>
      <c r="G1576" s="115"/>
      <c r="H1576" s="115"/>
      <c r="I1576" s="115"/>
      <c r="J1576" s="115"/>
      <c r="K1576" s="115"/>
      <c r="L1576" s="115"/>
      <c r="M1576" s="115"/>
      <c r="N1576" s="115"/>
      <c r="O1576" s="115"/>
      <c r="P1576" s="115"/>
      <c r="Q1576" s="115"/>
      <c r="R1576" s="115"/>
      <c r="S1576" s="115"/>
      <c r="T1576" s="115"/>
      <c r="U1576" s="115"/>
      <c r="V1576" s="115"/>
      <c r="W1576" s="115"/>
      <c r="X1576" s="115"/>
      <c r="Y1576" s="115"/>
      <c r="Z1576" s="115"/>
      <c r="AA1576" s="115"/>
      <c r="AB1576" s="115"/>
      <c r="AC1576" s="115"/>
      <c r="AD1576" s="115"/>
      <c r="AE1576" s="115"/>
      <c r="AF1576" s="115"/>
      <c r="AG1576" s="115"/>
      <c r="AH1576" s="115"/>
      <c r="AI1576" s="115"/>
      <c r="AJ1576" s="115"/>
      <c r="AK1576" s="115"/>
      <c r="AL1576" s="115"/>
      <c r="AM1576" s="115"/>
      <c r="AN1576" s="115"/>
      <c r="AO1576" s="115"/>
      <c r="AP1576" s="115"/>
      <c r="AQ1576" s="115"/>
      <c r="AR1576" s="115"/>
      <c r="AS1576" s="115"/>
      <c r="AT1576" s="115"/>
      <c r="AU1576" s="115"/>
      <c r="AV1576" s="115"/>
      <c r="AW1576" s="115"/>
      <c r="AX1576" s="115"/>
      <c r="AY1576" s="115"/>
      <c r="AZ1576" s="115"/>
      <c r="BA1576" s="115"/>
      <c r="BB1576" s="115"/>
      <c r="BC1576" s="115"/>
      <c r="BD1576" s="115"/>
      <c r="BE1576" s="115"/>
      <c r="BF1576" s="122"/>
      <c r="BG1576" s="122"/>
      <c r="BH1576" s="122"/>
      <c r="BI1576" s="115"/>
      <c r="BJ1576" s="115"/>
      <c r="BK1576" s="115"/>
      <c r="BL1576" s="115"/>
      <c r="BM1576" s="115"/>
      <c r="BN1576" s="115"/>
      <c r="BO1576" s="115"/>
      <c r="BP1576" s="115"/>
      <c r="BQ1576" s="115"/>
      <c r="BR1576" s="115"/>
      <c r="BS1576" s="115"/>
      <c r="BT1576" s="115"/>
      <c r="BU1576" s="115"/>
      <c r="BV1576" s="115"/>
      <c r="BW1576" s="26"/>
      <c r="BX1576" s="15"/>
      <c r="CA1576" s="114"/>
      <c r="CB1576" s="120"/>
    </row>
    <row r="1577" spans="1:80" x14ac:dyDescent="0.4">
      <c r="A1577" s="115"/>
      <c r="B1577" s="115"/>
      <c r="C1577" s="115"/>
      <c r="D1577" s="115"/>
      <c r="E1577" s="115"/>
      <c r="F1577" s="115"/>
      <c r="G1577" s="115"/>
      <c r="H1577" s="115"/>
      <c r="I1577" s="115"/>
      <c r="J1577" s="115"/>
      <c r="K1577" s="115"/>
      <c r="L1577" s="115"/>
      <c r="M1577" s="115"/>
      <c r="N1577" s="115"/>
      <c r="O1577" s="115"/>
      <c r="P1577" s="115"/>
      <c r="Q1577" s="115"/>
      <c r="R1577" s="115"/>
      <c r="S1577" s="115"/>
      <c r="T1577" s="115"/>
      <c r="U1577" s="115"/>
      <c r="V1577" s="115"/>
      <c r="W1577" s="115"/>
      <c r="X1577" s="115"/>
      <c r="Y1577" s="115"/>
      <c r="Z1577" s="115"/>
      <c r="AA1577" s="115"/>
      <c r="AB1577" s="115"/>
      <c r="AC1577" s="115"/>
      <c r="AD1577" s="115"/>
      <c r="AE1577" s="115"/>
      <c r="AF1577" s="115"/>
      <c r="AG1577" s="115"/>
      <c r="AH1577" s="115"/>
      <c r="AI1577" s="115"/>
      <c r="AJ1577" s="115"/>
      <c r="AK1577" s="115"/>
      <c r="AL1577" s="115"/>
      <c r="AM1577" s="115"/>
      <c r="AN1577" s="115"/>
      <c r="AO1577" s="115"/>
      <c r="AP1577" s="115"/>
      <c r="AQ1577" s="115"/>
      <c r="AR1577" s="115"/>
      <c r="AS1577" s="115"/>
      <c r="AT1577" s="115"/>
      <c r="AU1577" s="115"/>
      <c r="AV1577" s="115"/>
      <c r="AW1577" s="115"/>
      <c r="AX1577" s="115"/>
      <c r="AY1577" s="115"/>
      <c r="AZ1577" s="115"/>
      <c r="BA1577" s="115"/>
      <c r="BB1577" s="115"/>
      <c r="BC1577" s="115"/>
      <c r="BD1577" s="115"/>
      <c r="BE1577" s="115"/>
      <c r="BF1577" s="122"/>
      <c r="BG1577" s="122"/>
      <c r="BH1577" s="122"/>
      <c r="BI1577" s="115"/>
      <c r="BJ1577" s="115"/>
      <c r="BK1577" s="115"/>
      <c r="BL1577" s="115"/>
      <c r="BM1577" s="115"/>
      <c r="BN1577" s="115"/>
      <c r="BO1577" s="115"/>
      <c r="BP1577" s="115"/>
      <c r="BQ1577" s="115"/>
      <c r="BR1577" s="115"/>
      <c r="BS1577" s="115"/>
      <c r="BT1577" s="115"/>
      <c r="BU1577" s="115"/>
      <c r="BV1577" s="115"/>
      <c r="BW1577" s="17"/>
      <c r="BX1577" s="15"/>
      <c r="CA1577" s="114"/>
      <c r="CB1577" s="120"/>
    </row>
    <row r="1578" spans="1:80" x14ac:dyDescent="0.4">
      <c r="A1578" s="115"/>
      <c r="B1578" s="115"/>
      <c r="C1578" s="115"/>
      <c r="D1578" s="115"/>
      <c r="E1578" s="115"/>
      <c r="F1578" s="115"/>
      <c r="G1578" s="115"/>
      <c r="H1578" s="115"/>
      <c r="I1578" s="115"/>
      <c r="J1578" s="115"/>
      <c r="K1578" s="115"/>
      <c r="L1578" s="115"/>
      <c r="M1578" s="115"/>
      <c r="N1578" s="115"/>
      <c r="O1578" s="115"/>
      <c r="P1578" s="115"/>
      <c r="Q1578" s="115"/>
      <c r="R1578" s="115"/>
      <c r="S1578" s="115"/>
      <c r="T1578" s="115"/>
      <c r="U1578" s="115"/>
      <c r="V1578" s="115"/>
      <c r="W1578" s="115"/>
      <c r="X1578" s="115"/>
      <c r="Y1578" s="115"/>
      <c r="Z1578" s="115"/>
      <c r="AA1578" s="115"/>
      <c r="AB1578" s="115"/>
      <c r="AC1578" s="115"/>
      <c r="AD1578" s="115"/>
      <c r="AE1578" s="115"/>
      <c r="AF1578" s="115"/>
      <c r="AG1578" s="115"/>
      <c r="AH1578" s="115"/>
      <c r="AI1578" s="115"/>
      <c r="AJ1578" s="115"/>
      <c r="AK1578" s="115"/>
      <c r="AL1578" s="115"/>
      <c r="AM1578" s="115"/>
      <c r="AN1578" s="115"/>
      <c r="AO1578" s="115"/>
      <c r="AP1578" s="115"/>
      <c r="AQ1578" s="115"/>
      <c r="AR1578" s="115"/>
      <c r="AS1578" s="115"/>
      <c r="AT1578" s="115"/>
      <c r="AU1578" s="115"/>
      <c r="AV1578" s="115"/>
      <c r="AW1578" s="115"/>
      <c r="AX1578" s="115"/>
      <c r="AY1578" s="115"/>
      <c r="AZ1578" s="115"/>
      <c r="BA1578" s="115"/>
      <c r="BB1578" s="115"/>
      <c r="BC1578" s="115"/>
      <c r="BD1578" s="115"/>
      <c r="BE1578" s="115"/>
      <c r="BF1578" s="122"/>
      <c r="BG1578" s="122"/>
      <c r="BH1578" s="122"/>
      <c r="BI1578" s="115"/>
      <c r="BJ1578" s="115"/>
      <c r="BK1578" s="115"/>
      <c r="BL1578" s="115"/>
      <c r="BM1578" s="115"/>
      <c r="BN1578" s="115"/>
      <c r="BO1578" s="115"/>
      <c r="BP1578" s="115"/>
      <c r="BQ1578" s="115"/>
      <c r="BR1578" s="115"/>
      <c r="BS1578" s="115"/>
      <c r="BT1578" s="115"/>
      <c r="BU1578" s="115"/>
      <c r="BV1578" s="115"/>
      <c r="BW1578" s="26"/>
      <c r="BX1578" s="15"/>
      <c r="CA1578" s="114"/>
      <c r="CB1578" s="120"/>
    </row>
    <row r="1579" spans="1:80" x14ac:dyDescent="0.4">
      <c r="A1579" s="115"/>
      <c r="B1579" s="115"/>
      <c r="C1579" s="115"/>
      <c r="D1579" s="115"/>
      <c r="E1579" s="115"/>
      <c r="F1579" s="115"/>
      <c r="G1579" s="115"/>
      <c r="H1579" s="115"/>
      <c r="I1579" s="115"/>
      <c r="J1579" s="115"/>
      <c r="K1579" s="115"/>
      <c r="L1579" s="115"/>
      <c r="M1579" s="115"/>
      <c r="N1579" s="115"/>
      <c r="O1579" s="115"/>
      <c r="P1579" s="115"/>
      <c r="Q1579" s="115"/>
      <c r="R1579" s="115"/>
      <c r="S1579" s="115"/>
      <c r="T1579" s="115"/>
      <c r="U1579" s="115"/>
      <c r="V1579" s="115"/>
      <c r="W1579" s="115"/>
      <c r="X1579" s="115"/>
      <c r="Y1579" s="115"/>
      <c r="Z1579" s="115"/>
      <c r="AA1579" s="115"/>
      <c r="AB1579" s="115"/>
      <c r="AC1579" s="115"/>
      <c r="AD1579" s="115"/>
      <c r="AE1579" s="115"/>
      <c r="AF1579" s="115"/>
      <c r="AG1579" s="115"/>
      <c r="AH1579" s="115"/>
      <c r="AI1579" s="115"/>
      <c r="AJ1579" s="115"/>
      <c r="AK1579" s="115"/>
      <c r="AL1579" s="115"/>
      <c r="AM1579" s="115"/>
      <c r="AN1579" s="115"/>
      <c r="AO1579" s="115"/>
      <c r="AP1579" s="115"/>
      <c r="AQ1579" s="115"/>
      <c r="AR1579" s="115"/>
      <c r="AS1579" s="115"/>
      <c r="AT1579" s="115"/>
      <c r="AU1579" s="115"/>
      <c r="AV1579" s="115"/>
      <c r="AW1579" s="115"/>
      <c r="AX1579" s="115"/>
      <c r="AY1579" s="115"/>
      <c r="AZ1579" s="115"/>
      <c r="BA1579" s="115"/>
      <c r="BB1579" s="115"/>
      <c r="BC1579" s="115"/>
      <c r="BD1579" s="115"/>
      <c r="BE1579" s="115"/>
      <c r="BF1579" s="122"/>
      <c r="BG1579" s="122"/>
      <c r="BH1579" s="122"/>
      <c r="BI1579" s="115"/>
      <c r="BJ1579" s="115"/>
      <c r="BK1579" s="115"/>
      <c r="BL1579" s="115"/>
      <c r="BM1579" s="115"/>
      <c r="BN1579" s="115"/>
      <c r="BO1579" s="115"/>
      <c r="BP1579" s="115"/>
      <c r="BQ1579" s="115"/>
      <c r="BR1579" s="115"/>
      <c r="BS1579" s="115"/>
      <c r="BT1579" s="115"/>
      <c r="BU1579" s="115"/>
      <c r="BV1579" s="115"/>
      <c r="BW1579" s="26"/>
      <c r="BX1579" s="15"/>
      <c r="CA1579" s="114"/>
    </row>
    <row r="1580" spans="1:80" x14ac:dyDescent="0.4">
      <c r="BW1580" s="26"/>
      <c r="BX1580" s="15"/>
      <c r="CA1580" s="114"/>
    </row>
    <row r="1581" spans="1:80" x14ac:dyDescent="0.4">
      <c r="BJ1581" s="115"/>
      <c r="BK1581" s="115"/>
      <c r="BL1581" s="115"/>
      <c r="BM1581" s="115"/>
      <c r="BN1581" s="115"/>
      <c r="BO1581" s="115"/>
      <c r="BP1581" s="115"/>
      <c r="BQ1581" s="115"/>
      <c r="BR1581" s="115"/>
      <c r="BS1581" s="115"/>
      <c r="BT1581" s="115"/>
      <c r="BU1581" s="115"/>
      <c r="BV1581" s="115"/>
      <c r="BW1581" s="17"/>
      <c r="BX1581" s="15"/>
      <c r="CA1581" s="114"/>
    </row>
    <row r="1582" spans="1:80" x14ac:dyDescent="0.4">
      <c r="BJ1582" s="115"/>
      <c r="BK1582" s="115"/>
      <c r="BL1582" s="115"/>
      <c r="BM1582" s="115"/>
      <c r="BN1582" s="115"/>
      <c r="BO1582" s="115"/>
      <c r="BP1582" s="115"/>
      <c r="BQ1582" s="115"/>
      <c r="BR1582" s="115"/>
      <c r="BS1582" s="115"/>
      <c r="BT1582" s="115"/>
      <c r="BU1582" s="115"/>
      <c r="BV1582" s="115"/>
      <c r="BW1582" s="17"/>
      <c r="BX1582" s="15"/>
      <c r="CA1582" s="114"/>
    </row>
    <row r="1583" spans="1:80" x14ac:dyDescent="0.4">
      <c r="BH1583" s="122"/>
      <c r="BI1583" s="115"/>
      <c r="BJ1583" s="115"/>
      <c r="BK1583" s="115"/>
      <c r="BL1583" s="115"/>
      <c r="BM1583" s="115"/>
      <c r="BN1583" s="115"/>
      <c r="BO1583" s="115"/>
      <c r="BP1583" s="115"/>
      <c r="BQ1583" s="115"/>
      <c r="BR1583" s="115"/>
      <c r="BS1583" s="115"/>
      <c r="BT1583" s="115"/>
      <c r="BU1583" s="115"/>
      <c r="BV1583" s="115"/>
      <c r="BW1583" s="17"/>
      <c r="BX1583" s="15"/>
      <c r="CA1583" s="114"/>
    </row>
    <row r="1584" spans="1:80" x14ac:dyDescent="0.4">
      <c r="BC1584" s="115"/>
      <c r="BD1584" s="115"/>
      <c r="BE1584" s="115"/>
      <c r="BF1584" s="122"/>
      <c r="BG1584" s="122"/>
      <c r="BH1584" s="122"/>
      <c r="BI1584" s="115"/>
      <c r="BJ1584" s="115"/>
      <c r="BK1584" s="115"/>
      <c r="BL1584" s="115"/>
      <c r="BM1584" s="115"/>
      <c r="BN1584" s="115"/>
      <c r="BO1584" s="115"/>
      <c r="BP1584" s="115"/>
      <c r="BQ1584" s="115"/>
      <c r="BR1584" s="115"/>
      <c r="BS1584" s="115"/>
      <c r="BT1584" s="115"/>
      <c r="BU1584" s="115"/>
      <c r="BV1584" s="115"/>
      <c r="BW1584" s="26"/>
      <c r="BX1584" s="15"/>
      <c r="CA1584" s="114"/>
    </row>
    <row r="1585" spans="4:83" x14ac:dyDescent="0.4">
      <c r="BC1585" s="115"/>
      <c r="BD1585" s="115"/>
      <c r="BE1585" s="115"/>
      <c r="BF1585" s="122"/>
      <c r="BG1585" s="122"/>
      <c r="BH1585" s="122"/>
      <c r="BI1585" s="115"/>
      <c r="BJ1585" s="115"/>
      <c r="BK1585" s="115"/>
      <c r="BL1585" s="115"/>
      <c r="BM1585" s="115"/>
      <c r="BN1585" s="115"/>
      <c r="BO1585" s="115"/>
      <c r="BP1585" s="115"/>
      <c r="BQ1585" s="115"/>
      <c r="BR1585" s="115"/>
      <c r="BS1585" s="115"/>
      <c r="BT1585" s="115"/>
      <c r="BU1585" s="115"/>
      <c r="BV1585" s="115"/>
      <c r="BW1585" s="17"/>
      <c r="BX1585" s="15"/>
      <c r="CA1585" s="114"/>
    </row>
    <row r="1586" spans="4:83" x14ac:dyDescent="0.4">
      <c r="BB1586" s="115"/>
      <c r="BC1586" s="115"/>
      <c r="BD1586" s="115"/>
      <c r="BE1586" s="115"/>
      <c r="BF1586" s="122"/>
      <c r="BG1586" s="122"/>
      <c r="BH1586" s="122"/>
      <c r="BI1586" s="115"/>
      <c r="BJ1586" s="115"/>
      <c r="BK1586" s="115"/>
      <c r="BL1586" s="115"/>
      <c r="BM1586" s="115"/>
      <c r="BN1586" s="115"/>
      <c r="BO1586" s="115"/>
      <c r="BP1586" s="115"/>
      <c r="BQ1586" s="115"/>
      <c r="BR1586" s="115"/>
      <c r="BS1586" s="115"/>
      <c r="BT1586" s="115"/>
      <c r="BU1586" s="115"/>
      <c r="BV1586" s="115"/>
      <c r="BW1586" s="26"/>
      <c r="BX1586" s="15"/>
      <c r="CA1586" s="114"/>
    </row>
    <row r="1587" spans="4:83" x14ac:dyDescent="0.4">
      <c r="BB1587" s="115"/>
      <c r="BC1587" s="115"/>
      <c r="BD1587" s="115"/>
      <c r="BE1587" s="115"/>
      <c r="BF1587" s="122"/>
      <c r="BG1587" s="122"/>
      <c r="BH1587" s="122"/>
      <c r="BI1587" s="115"/>
      <c r="BJ1587" s="115"/>
      <c r="BK1587" s="115"/>
      <c r="BL1587" s="115"/>
      <c r="BM1587" s="115"/>
      <c r="BN1587" s="115"/>
      <c r="BO1587" s="115"/>
      <c r="BP1587" s="115"/>
      <c r="BQ1587" s="115"/>
      <c r="BR1587" s="115"/>
      <c r="BS1587" s="115"/>
      <c r="BT1587" s="115"/>
      <c r="BU1587" s="115"/>
      <c r="BV1587" s="115"/>
      <c r="BW1587" s="17"/>
      <c r="BX1587" s="15"/>
      <c r="CA1587" s="114"/>
    </row>
    <row r="1588" spans="4:83" x14ac:dyDescent="0.4">
      <c r="BB1588" s="115"/>
      <c r="BC1588" s="115"/>
      <c r="BD1588" s="115"/>
      <c r="BE1588" s="115"/>
      <c r="BF1588" s="122"/>
      <c r="BG1588" s="122"/>
      <c r="BH1588" s="122"/>
      <c r="BI1588" s="115"/>
      <c r="BJ1588" s="115"/>
      <c r="BK1588" s="115"/>
      <c r="BL1588" s="115"/>
      <c r="BM1588" s="115"/>
      <c r="BN1588" s="115"/>
      <c r="BO1588" s="115"/>
      <c r="BP1588" s="115"/>
      <c r="BQ1588" s="115"/>
      <c r="BR1588" s="115"/>
      <c r="BS1588" s="115"/>
      <c r="BT1588" s="115"/>
      <c r="BU1588" s="115"/>
      <c r="BV1588" s="115"/>
      <c r="BW1588" s="17"/>
      <c r="BX1588" s="15"/>
      <c r="CA1588" s="114"/>
    </row>
    <row r="1589" spans="4:83" x14ac:dyDescent="0.4">
      <c r="BB1589" s="115"/>
      <c r="BC1589" s="115"/>
      <c r="BD1589" s="115"/>
      <c r="BE1589" s="115"/>
      <c r="BF1589" s="122"/>
      <c r="BG1589" s="122"/>
      <c r="BH1589" s="122"/>
      <c r="BI1589" s="115"/>
      <c r="BJ1589" s="115"/>
      <c r="BK1589" s="115"/>
      <c r="BL1589" s="115"/>
      <c r="BM1589" s="115"/>
      <c r="BN1589" s="115"/>
      <c r="BO1589" s="115"/>
      <c r="BP1589" s="115"/>
      <c r="BQ1589" s="115"/>
      <c r="BR1589" s="115"/>
      <c r="BS1589" s="115"/>
      <c r="BT1589" s="115"/>
      <c r="BU1589" s="115"/>
      <c r="BV1589" s="115"/>
      <c r="BW1589" s="17"/>
      <c r="BX1589" s="15"/>
      <c r="CA1589" s="114"/>
    </row>
    <row r="1590" spans="4:83" x14ac:dyDescent="0.4">
      <c r="BB1590" s="115"/>
      <c r="BC1590" s="115"/>
      <c r="BD1590" s="115"/>
      <c r="BE1590" s="115"/>
      <c r="BF1590" s="122"/>
      <c r="BG1590" s="122"/>
      <c r="BH1590" s="122"/>
      <c r="BI1590" s="115"/>
      <c r="BJ1590" s="115"/>
      <c r="BK1590" s="115"/>
      <c r="BL1590" s="115"/>
      <c r="BM1590" s="115"/>
      <c r="BN1590" s="115"/>
      <c r="BO1590" s="115"/>
      <c r="BP1590" s="115"/>
      <c r="BQ1590" s="115"/>
      <c r="BR1590" s="115"/>
      <c r="BS1590" s="115"/>
      <c r="BT1590" s="115"/>
      <c r="BU1590" s="115"/>
      <c r="BV1590" s="115"/>
      <c r="BW1590" s="26"/>
      <c r="BX1590" s="15"/>
      <c r="CA1590" s="114"/>
    </row>
    <row r="1591" spans="4:83" x14ac:dyDescent="0.4">
      <c r="BB1591" s="115"/>
      <c r="BC1591" s="115"/>
      <c r="BD1591" s="115"/>
      <c r="BE1591" s="115"/>
      <c r="BF1591" s="122"/>
      <c r="BG1591" s="122"/>
      <c r="BH1591" s="122"/>
      <c r="BI1591" s="115"/>
      <c r="BJ1591" s="115"/>
      <c r="BK1591" s="115"/>
      <c r="BL1591" s="115"/>
      <c r="BM1591" s="115"/>
      <c r="BN1591" s="115"/>
      <c r="BO1591" s="115"/>
      <c r="BP1591" s="115"/>
      <c r="BQ1591" s="115"/>
      <c r="BR1591" s="115"/>
      <c r="BS1591" s="115"/>
      <c r="BT1591" s="115"/>
      <c r="BU1591" s="115"/>
      <c r="BV1591" s="115"/>
      <c r="BW1591" s="17"/>
      <c r="BX1591" s="15"/>
      <c r="CA1591" s="114"/>
    </row>
    <row r="1592" spans="4:83" ht="19.5" x14ac:dyDescent="0.4">
      <c r="BW1592" s="26"/>
      <c r="BX1592" s="15"/>
      <c r="CB1592" s="116"/>
      <c r="CC1592" s="116"/>
      <c r="CD1592" s="116"/>
      <c r="CE1592" s="116"/>
    </row>
    <row r="1593" spans="4:83" ht="19.5" x14ac:dyDescent="0.4">
      <c r="BG1593" s="122"/>
      <c r="BH1593" s="122"/>
      <c r="BI1593" s="115"/>
      <c r="BJ1593" s="115"/>
      <c r="BK1593" s="115"/>
      <c r="BL1593" s="115"/>
      <c r="BM1593" s="115"/>
      <c r="BN1593" s="115"/>
      <c r="BO1593" s="115"/>
      <c r="BP1593" s="115"/>
      <c r="BQ1593" s="115"/>
      <c r="BR1593" s="115"/>
      <c r="BS1593" s="115"/>
      <c r="BT1593" s="115"/>
      <c r="BU1593" s="115"/>
      <c r="BV1593" s="115"/>
      <c r="BW1593" s="17"/>
      <c r="BX1593" s="15"/>
      <c r="CB1593" s="117"/>
      <c r="CC1593" s="116"/>
      <c r="CD1593" s="116"/>
      <c r="CE1593" s="116"/>
    </row>
    <row r="1594" spans="4:83" ht="19.5" x14ac:dyDescent="0.4">
      <c r="AY1594" s="115"/>
      <c r="AZ1594" s="115"/>
      <c r="BA1594" s="115"/>
      <c r="BB1594" s="115"/>
      <c r="BC1594" s="115"/>
      <c r="BD1594" s="115"/>
      <c r="BE1594" s="115"/>
      <c r="BF1594" s="122"/>
      <c r="BG1594" s="122"/>
      <c r="BH1594" s="122"/>
      <c r="BI1594" s="115"/>
      <c r="BJ1594" s="115"/>
      <c r="BK1594" s="115"/>
      <c r="BL1594" s="115"/>
      <c r="BM1594" s="115"/>
      <c r="BN1594" s="115"/>
      <c r="BO1594" s="115"/>
      <c r="BP1594" s="115"/>
      <c r="BQ1594" s="115"/>
      <c r="BR1594" s="115"/>
      <c r="BS1594" s="115"/>
      <c r="BT1594" s="115"/>
      <c r="BU1594" s="115"/>
      <c r="BV1594" s="115"/>
      <c r="BW1594" s="26"/>
      <c r="BX1594" s="15"/>
      <c r="CB1594" s="117"/>
      <c r="CC1594" s="116"/>
      <c r="CD1594" s="116"/>
      <c r="CE1594" s="116"/>
    </row>
    <row r="1595" spans="4:83" ht="19.5" x14ac:dyDescent="0.4">
      <c r="D1595" s="115"/>
      <c r="E1595" s="115"/>
      <c r="F1595" s="115"/>
      <c r="G1595" s="115"/>
      <c r="H1595" s="115"/>
      <c r="I1595" s="115"/>
      <c r="J1595" s="115"/>
      <c r="K1595" s="115"/>
      <c r="L1595" s="115"/>
      <c r="M1595" s="115"/>
      <c r="N1595" s="115"/>
      <c r="O1595" s="115"/>
      <c r="P1595" s="115"/>
      <c r="Q1595" s="115"/>
      <c r="R1595" s="115"/>
      <c r="S1595" s="115"/>
      <c r="T1595" s="115"/>
      <c r="U1595" s="115"/>
      <c r="V1595" s="115"/>
      <c r="W1595" s="115"/>
      <c r="X1595" s="115"/>
      <c r="Y1595" s="115"/>
      <c r="Z1595" s="115"/>
      <c r="AA1595" s="115"/>
      <c r="AB1595" s="115"/>
      <c r="AC1595" s="115"/>
      <c r="AD1595" s="115"/>
      <c r="AE1595" s="115"/>
      <c r="AF1595" s="115"/>
      <c r="AG1595" s="115"/>
      <c r="AH1595" s="115"/>
      <c r="AI1595" s="115"/>
      <c r="AJ1595" s="115"/>
      <c r="AK1595" s="115"/>
      <c r="AL1595" s="115"/>
      <c r="AM1595" s="115"/>
      <c r="AN1595" s="115"/>
      <c r="AO1595" s="115"/>
      <c r="AP1595" s="115"/>
      <c r="AQ1595" s="115"/>
      <c r="AR1595" s="115"/>
      <c r="AS1595" s="115"/>
      <c r="AT1595" s="115"/>
      <c r="AU1595" s="115"/>
      <c r="AV1595" s="115"/>
      <c r="AW1595" s="115"/>
      <c r="AX1595" s="115"/>
      <c r="AY1595" s="115"/>
      <c r="AZ1595" s="115"/>
      <c r="BA1595" s="115"/>
      <c r="BB1595" s="115"/>
      <c r="BC1595" s="115"/>
      <c r="BD1595" s="115"/>
      <c r="BE1595" s="115"/>
      <c r="BF1595" s="122"/>
      <c r="BG1595" s="122"/>
      <c r="BH1595" s="122"/>
      <c r="BI1595" s="115"/>
      <c r="BJ1595" s="115"/>
      <c r="BK1595" s="115"/>
      <c r="BL1595" s="115"/>
      <c r="BM1595" s="115"/>
      <c r="BN1595" s="115"/>
      <c r="BO1595" s="115"/>
      <c r="BP1595" s="115"/>
      <c r="BQ1595" s="115"/>
      <c r="BR1595" s="115"/>
      <c r="BS1595" s="115"/>
      <c r="BT1595" s="115"/>
      <c r="BU1595" s="115"/>
      <c r="BV1595" s="115"/>
      <c r="BW1595" s="26"/>
      <c r="BX1595" s="13"/>
      <c r="CB1595" s="117"/>
      <c r="CC1595" s="116"/>
      <c r="CD1595" s="116"/>
      <c r="CE1595" s="116"/>
    </row>
    <row r="1596" spans="4:83" ht="19.5" x14ac:dyDescent="0.4">
      <c r="D1596" s="115"/>
      <c r="E1596" s="115"/>
      <c r="F1596" s="115"/>
      <c r="G1596" s="115"/>
      <c r="H1596" s="115"/>
      <c r="I1596" s="115"/>
      <c r="J1596" s="115"/>
      <c r="K1596" s="115"/>
      <c r="L1596" s="115"/>
      <c r="M1596" s="115"/>
      <c r="N1596" s="115"/>
      <c r="O1596" s="115"/>
      <c r="P1596" s="115"/>
      <c r="Q1596" s="115"/>
      <c r="R1596" s="115"/>
      <c r="S1596" s="115"/>
      <c r="T1596" s="115"/>
      <c r="U1596" s="115"/>
      <c r="V1596" s="115"/>
      <c r="W1596" s="115"/>
      <c r="X1596" s="115"/>
      <c r="Y1596" s="115"/>
      <c r="Z1596" s="115"/>
      <c r="AA1596" s="115"/>
      <c r="AB1596" s="115"/>
      <c r="AC1596" s="115"/>
      <c r="AD1596" s="115"/>
      <c r="AE1596" s="115"/>
      <c r="AF1596" s="115"/>
      <c r="AG1596" s="115"/>
      <c r="AH1596" s="115"/>
      <c r="AI1596" s="115"/>
      <c r="AJ1596" s="115"/>
      <c r="AK1596" s="115"/>
      <c r="AL1596" s="115"/>
      <c r="AM1596" s="115"/>
      <c r="AN1596" s="115"/>
      <c r="AO1596" s="115"/>
      <c r="AP1596" s="115"/>
      <c r="AQ1596" s="115"/>
      <c r="AR1596" s="115"/>
      <c r="AS1596" s="115"/>
      <c r="AT1596" s="115"/>
      <c r="AU1596" s="115"/>
      <c r="AV1596" s="115"/>
      <c r="AW1596" s="115"/>
      <c r="AX1596" s="115"/>
      <c r="AY1596" s="115"/>
      <c r="AZ1596" s="115"/>
      <c r="BA1596" s="115"/>
      <c r="BB1596" s="115"/>
      <c r="BC1596" s="115"/>
      <c r="BD1596" s="115"/>
      <c r="BE1596" s="115"/>
      <c r="BF1596" s="122"/>
      <c r="BG1596" s="122"/>
      <c r="BH1596" s="122"/>
      <c r="BI1596" s="115"/>
      <c r="BJ1596" s="115"/>
      <c r="BK1596" s="115"/>
      <c r="BL1596" s="115"/>
      <c r="BM1596" s="115"/>
      <c r="BN1596" s="115"/>
      <c r="BO1596" s="115"/>
      <c r="BP1596" s="115"/>
      <c r="BQ1596" s="115"/>
      <c r="BR1596" s="115"/>
      <c r="BS1596" s="115"/>
      <c r="BT1596" s="115"/>
      <c r="BU1596" s="115"/>
      <c r="BV1596" s="115"/>
      <c r="BW1596" s="26"/>
      <c r="BX1596" s="15"/>
      <c r="CB1596" s="117"/>
      <c r="CC1596" s="116"/>
      <c r="CD1596" s="116"/>
      <c r="CE1596" s="116"/>
    </row>
    <row r="1597" spans="4:83" ht="19.5" x14ac:dyDescent="0.4">
      <c r="D1597" s="115"/>
      <c r="E1597" s="115"/>
      <c r="F1597" s="115"/>
      <c r="G1597" s="115"/>
      <c r="H1597" s="115"/>
      <c r="I1597" s="115"/>
      <c r="J1597" s="115"/>
      <c r="K1597" s="115"/>
      <c r="L1597" s="115"/>
      <c r="M1597" s="115"/>
      <c r="N1597" s="115"/>
      <c r="O1597" s="115"/>
      <c r="P1597" s="115"/>
      <c r="Q1597" s="115"/>
      <c r="R1597" s="115"/>
      <c r="S1597" s="115"/>
      <c r="T1597" s="115"/>
      <c r="U1597" s="115"/>
      <c r="V1597" s="115"/>
      <c r="W1597" s="115"/>
      <c r="X1597" s="115"/>
      <c r="Y1597" s="115"/>
      <c r="Z1597" s="115"/>
      <c r="AA1597" s="115"/>
      <c r="AB1597" s="115"/>
      <c r="AC1597" s="115"/>
      <c r="AD1597" s="115"/>
      <c r="AE1597" s="115"/>
      <c r="AF1597" s="115"/>
      <c r="AG1597" s="115"/>
      <c r="AH1597" s="115"/>
      <c r="AI1597" s="115"/>
      <c r="AJ1597" s="115"/>
      <c r="AK1597" s="115"/>
      <c r="AL1597" s="115"/>
      <c r="AM1597" s="115"/>
      <c r="AN1597" s="115"/>
      <c r="AO1597" s="115"/>
      <c r="AP1597" s="115"/>
      <c r="AQ1597" s="115"/>
      <c r="AR1597" s="115"/>
      <c r="AS1597" s="115"/>
      <c r="AT1597" s="115"/>
      <c r="AU1597" s="115"/>
      <c r="AV1597" s="115"/>
      <c r="AW1597" s="115"/>
      <c r="AX1597" s="115"/>
      <c r="AY1597" s="115"/>
      <c r="AZ1597" s="115"/>
      <c r="BA1597" s="115"/>
      <c r="BB1597" s="115"/>
      <c r="BC1597" s="115"/>
      <c r="BD1597" s="115"/>
      <c r="BE1597" s="115"/>
      <c r="BF1597" s="122"/>
      <c r="BG1597" s="122"/>
      <c r="BH1597" s="122"/>
      <c r="BI1597" s="115"/>
      <c r="BJ1597" s="115"/>
      <c r="BK1597" s="115"/>
      <c r="BL1597" s="115"/>
      <c r="BM1597" s="115"/>
      <c r="BN1597" s="115"/>
      <c r="BO1597" s="115"/>
      <c r="BP1597" s="115"/>
      <c r="BQ1597" s="115"/>
      <c r="BR1597" s="115"/>
      <c r="BS1597" s="115"/>
      <c r="BT1597" s="115"/>
      <c r="BU1597" s="115"/>
      <c r="BV1597" s="115"/>
      <c r="BW1597" s="17"/>
      <c r="BX1597" s="15"/>
      <c r="CB1597" s="117"/>
      <c r="CC1597" s="116"/>
      <c r="CD1597" s="116"/>
      <c r="CE1597" s="116"/>
    </row>
    <row r="1598" spans="4:83" ht="19.5" x14ac:dyDescent="0.4">
      <c r="D1598" s="115"/>
      <c r="E1598" s="115"/>
      <c r="F1598" s="115"/>
      <c r="G1598" s="115"/>
      <c r="H1598" s="115"/>
      <c r="I1598" s="115"/>
      <c r="J1598" s="115"/>
      <c r="K1598" s="115"/>
      <c r="L1598" s="115"/>
      <c r="M1598" s="115"/>
      <c r="N1598" s="115"/>
      <c r="O1598" s="115"/>
      <c r="P1598" s="115"/>
      <c r="Q1598" s="115"/>
      <c r="R1598" s="115"/>
      <c r="S1598" s="115"/>
      <c r="T1598" s="115"/>
      <c r="U1598" s="115"/>
      <c r="V1598" s="115"/>
      <c r="W1598" s="115"/>
      <c r="X1598" s="115"/>
      <c r="Y1598" s="115"/>
      <c r="Z1598" s="115"/>
      <c r="AA1598" s="115"/>
      <c r="AB1598" s="115"/>
      <c r="AC1598" s="115"/>
      <c r="AD1598" s="115"/>
      <c r="AE1598" s="115"/>
      <c r="AF1598" s="115"/>
      <c r="AG1598" s="115"/>
      <c r="AH1598" s="115"/>
      <c r="AI1598" s="115"/>
      <c r="AJ1598" s="115"/>
      <c r="AK1598" s="115"/>
      <c r="AL1598" s="115"/>
      <c r="AM1598" s="115"/>
      <c r="AN1598" s="115"/>
      <c r="AO1598" s="115"/>
      <c r="AP1598" s="115"/>
      <c r="AQ1598" s="115"/>
      <c r="AR1598" s="115"/>
      <c r="AS1598" s="115"/>
      <c r="AT1598" s="115"/>
      <c r="AU1598" s="115"/>
      <c r="AV1598" s="115"/>
      <c r="AW1598" s="115"/>
      <c r="AX1598" s="115"/>
      <c r="AY1598" s="115"/>
      <c r="AZ1598" s="115"/>
      <c r="BA1598" s="115"/>
      <c r="BB1598" s="115"/>
      <c r="BC1598" s="115"/>
      <c r="BD1598" s="115"/>
      <c r="BE1598" s="115"/>
      <c r="BF1598" s="122"/>
      <c r="BG1598" s="122"/>
      <c r="BH1598" s="122"/>
      <c r="BI1598" s="115"/>
      <c r="BJ1598" s="115"/>
      <c r="BK1598" s="115"/>
      <c r="BL1598" s="115"/>
      <c r="BM1598" s="115"/>
      <c r="BN1598" s="115"/>
      <c r="BO1598" s="115"/>
      <c r="BP1598" s="115"/>
      <c r="BQ1598" s="115"/>
      <c r="BR1598" s="115"/>
      <c r="BS1598" s="115"/>
      <c r="BT1598" s="115"/>
      <c r="BU1598" s="115"/>
      <c r="BV1598" s="115"/>
      <c r="BW1598" s="26"/>
      <c r="BX1598" s="15"/>
      <c r="CB1598" s="117"/>
      <c r="CC1598" s="116"/>
      <c r="CD1598" s="116"/>
      <c r="CE1598" s="116"/>
    </row>
    <row r="1599" spans="4:83" ht="19.5" x14ac:dyDescent="0.4">
      <c r="D1599" s="115"/>
      <c r="E1599" s="115"/>
      <c r="F1599" s="115"/>
      <c r="G1599" s="115"/>
      <c r="H1599" s="115"/>
      <c r="I1599" s="115"/>
      <c r="J1599" s="115"/>
      <c r="K1599" s="115"/>
      <c r="L1599" s="115"/>
      <c r="M1599" s="115"/>
      <c r="N1599" s="115"/>
      <c r="O1599" s="115"/>
      <c r="P1599" s="115"/>
      <c r="Q1599" s="115"/>
      <c r="R1599" s="115"/>
      <c r="S1599" s="115"/>
      <c r="T1599" s="115"/>
      <c r="U1599" s="115"/>
      <c r="V1599" s="115"/>
      <c r="W1599" s="115"/>
      <c r="X1599" s="115"/>
      <c r="Y1599" s="115"/>
      <c r="Z1599" s="115"/>
      <c r="AA1599" s="115"/>
      <c r="AB1599" s="115"/>
      <c r="AC1599" s="115"/>
      <c r="AD1599" s="115"/>
      <c r="AE1599" s="115"/>
      <c r="AF1599" s="115"/>
      <c r="AG1599" s="115"/>
      <c r="AH1599" s="115"/>
      <c r="AI1599" s="115"/>
      <c r="AJ1599" s="115"/>
      <c r="AK1599" s="115"/>
      <c r="AL1599" s="115"/>
      <c r="AM1599" s="115"/>
      <c r="AN1599" s="115"/>
      <c r="AO1599" s="115"/>
      <c r="AP1599" s="115"/>
      <c r="AQ1599" s="115"/>
      <c r="AR1599" s="115"/>
      <c r="AS1599" s="115"/>
      <c r="AT1599" s="115"/>
      <c r="AU1599" s="115"/>
      <c r="AV1599" s="115"/>
      <c r="AW1599" s="115"/>
      <c r="AX1599" s="115"/>
      <c r="AY1599" s="115"/>
      <c r="AZ1599" s="115"/>
      <c r="BA1599" s="115"/>
      <c r="BB1599" s="115"/>
      <c r="BC1599" s="115"/>
      <c r="BD1599" s="115"/>
      <c r="BE1599" s="115"/>
      <c r="BF1599" s="122"/>
      <c r="BG1599" s="122"/>
      <c r="BH1599" s="122"/>
      <c r="BI1599" s="115"/>
      <c r="BJ1599" s="115"/>
      <c r="BK1599" s="115"/>
      <c r="BL1599" s="115"/>
      <c r="BM1599" s="115"/>
      <c r="BN1599" s="115"/>
      <c r="BO1599" s="115"/>
      <c r="BP1599" s="115"/>
      <c r="BQ1599" s="115"/>
      <c r="BR1599" s="115"/>
      <c r="BS1599" s="115"/>
      <c r="BT1599" s="115"/>
      <c r="BU1599" s="115"/>
      <c r="BV1599" s="115"/>
      <c r="BW1599" s="26"/>
      <c r="BX1599" s="15"/>
      <c r="CB1599" s="117"/>
      <c r="CC1599" s="116"/>
      <c r="CD1599" s="116"/>
      <c r="CE1599" s="116"/>
    </row>
    <row r="1600" spans="4:83" ht="19.5" x14ac:dyDescent="0.4">
      <c r="D1600" s="115"/>
      <c r="E1600" s="115"/>
      <c r="F1600" s="115"/>
      <c r="G1600" s="115"/>
      <c r="H1600" s="115"/>
      <c r="I1600" s="115"/>
      <c r="J1600" s="115"/>
      <c r="K1600" s="115"/>
      <c r="L1600" s="115"/>
      <c r="M1600" s="115"/>
      <c r="N1600" s="115"/>
      <c r="O1600" s="115"/>
      <c r="P1600" s="115"/>
      <c r="Q1600" s="115"/>
      <c r="R1600" s="115"/>
      <c r="S1600" s="115"/>
      <c r="T1600" s="115"/>
      <c r="U1600" s="115"/>
      <c r="V1600" s="115"/>
      <c r="W1600" s="115"/>
      <c r="X1600" s="115"/>
      <c r="Y1600" s="115"/>
      <c r="Z1600" s="115"/>
      <c r="AA1600" s="115"/>
      <c r="AB1600" s="115"/>
      <c r="AC1600" s="115"/>
      <c r="AD1600" s="115"/>
      <c r="AE1600" s="115"/>
      <c r="AF1600" s="115"/>
      <c r="AG1600" s="115"/>
      <c r="AH1600" s="115"/>
      <c r="AI1600" s="115"/>
      <c r="AJ1600" s="115"/>
      <c r="AK1600" s="115"/>
      <c r="AL1600" s="115"/>
      <c r="AM1600" s="115"/>
      <c r="AN1600" s="115"/>
      <c r="AO1600" s="115"/>
      <c r="AP1600" s="115"/>
      <c r="AQ1600" s="115"/>
      <c r="AR1600" s="115"/>
      <c r="AS1600" s="115"/>
      <c r="AT1600" s="115"/>
      <c r="AU1600" s="115"/>
      <c r="AV1600" s="115"/>
      <c r="AW1600" s="115"/>
      <c r="AX1600" s="115"/>
      <c r="AY1600" s="115"/>
      <c r="AZ1600" s="115"/>
      <c r="BA1600" s="115"/>
      <c r="BB1600" s="115"/>
      <c r="BC1600" s="115"/>
      <c r="BD1600" s="115"/>
      <c r="BE1600" s="115"/>
      <c r="BF1600" s="122"/>
      <c r="BG1600" s="122"/>
      <c r="BH1600" s="122"/>
      <c r="BI1600" s="115"/>
      <c r="BJ1600" s="115"/>
      <c r="BK1600" s="115"/>
      <c r="BL1600" s="115"/>
      <c r="BM1600" s="115"/>
      <c r="BN1600" s="115"/>
      <c r="BO1600" s="115"/>
      <c r="BP1600" s="115"/>
      <c r="BQ1600" s="115"/>
      <c r="BR1600" s="115"/>
      <c r="BS1600" s="115"/>
      <c r="BT1600" s="115"/>
      <c r="BU1600" s="115"/>
      <c r="BV1600" s="115"/>
      <c r="BW1600" s="17"/>
      <c r="BX1600" s="15"/>
      <c r="CB1600" s="117"/>
      <c r="CC1600" s="116"/>
      <c r="CD1600" s="116"/>
      <c r="CE1600" s="116"/>
    </row>
    <row r="1601" spans="1:83" ht="19.5" x14ac:dyDescent="0.4">
      <c r="D1601" s="115"/>
      <c r="E1601" s="115"/>
      <c r="F1601" s="115"/>
      <c r="G1601" s="115"/>
      <c r="H1601" s="115"/>
      <c r="I1601" s="115"/>
      <c r="J1601" s="115"/>
      <c r="K1601" s="115"/>
      <c r="L1601" s="115"/>
      <c r="M1601" s="115"/>
      <c r="N1601" s="115"/>
      <c r="O1601" s="115"/>
      <c r="P1601" s="115"/>
      <c r="Q1601" s="115"/>
      <c r="R1601" s="115"/>
      <c r="S1601" s="115"/>
      <c r="T1601" s="115"/>
      <c r="U1601" s="115"/>
      <c r="V1601" s="115"/>
      <c r="W1601" s="115"/>
      <c r="X1601" s="115"/>
      <c r="Y1601" s="115"/>
      <c r="Z1601" s="115"/>
      <c r="AA1601" s="115"/>
      <c r="AB1601" s="115"/>
      <c r="AC1601" s="115"/>
      <c r="AD1601" s="115"/>
      <c r="AE1601" s="115"/>
      <c r="AF1601" s="115"/>
      <c r="AG1601" s="115"/>
      <c r="AH1601" s="115"/>
      <c r="AI1601" s="115"/>
      <c r="AJ1601" s="115"/>
      <c r="AK1601" s="115"/>
      <c r="AL1601" s="115"/>
      <c r="AM1601" s="115"/>
      <c r="AN1601" s="115"/>
      <c r="AO1601" s="115"/>
      <c r="AP1601" s="115"/>
      <c r="AQ1601" s="115"/>
      <c r="AR1601" s="115"/>
      <c r="AS1601" s="115"/>
      <c r="AT1601" s="115"/>
      <c r="AU1601" s="115"/>
      <c r="AV1601" s="115"/>
      <c r="AW1601" s="115"/>
      <c r="AX1601" s="115"/>
      <c r="AY1601" s="115"/>
      <c r="AZ1601" s="115"/>
      <c r="BA1601" s="115"/>
      <c r="BB1601" s="115"/>
      <c r="BC1601" s="115"/>
      <c r="BD1601" s="115"/>
      <c r="BE1601" s="115"/>
      <c r="BF1601" s="122"/>
      <c r="BG1601" s="122"/>
      <c r="BH1601" s="122"/>
      <c r="BI1601" s="115"/>
      <c r="BJ1601" s="115"/>
      <c r="BK1601" s="115"/>
      <c r="BL1601" s="115"/>
      <c r="BM1601" s="115"/>
      <c r="BN1601" s="115"/>
      <c r="BO1601" s="115"/>
      <c r="BP1601" s="115"/>
      <c r="BQ1601" s="115"/>
      <c r="BR1601" s="115"/>
      <c r="BS1601" s="115"/>
      <c r="BT1601" s="115"/>
      <c r="BU1601" s="115"/>
      <c r="BV1601" s="115"/>
      <c r="BW1601" s="26"/>
      <c r="BX1601" s="15"/>
      <c r="CB1601" s="117"/>
      <c r="CC1601" s="116"/>
      <c r="CD1601" s="116"/>
      <c r="CE1601" s="116"/>
    </row>
    <row r="1602" spans="1:83" ht="19.5" x14ac:dyDescent="0.4">
      <c r="BW1602" s="26"/>
      <c r="BX1602" s="15"/>
      <c r="CB1602" s="117"/>
      <c r="CC1602" s="116"/>
      <c r="CD1602" s="116"/>
      <c r="CE1602" s="116"/>
    </row>
    <row r="1603" spans="1:83" ht="19.5" x14ac:dyDescent="0.4">
      <c r="BG1603" s="122"/>
      <c r="BH1603" s="122"/>
      <c r="BI1603" s="115"/>
      <c r="BJ1603" s="115"/>
      <c r="BK1603" s="115"/>
      <c r="BL1603" s="115"/>
      <c r="BM1603" s="115"/>
      <c r="BN1603" s="115"/>
      <c r="BO1603" s="115"/>
      <c r="BP1603" s="115"/>
      <c r="BQ1603" s="115"/>
      <c r="BR1603" s="115"/>
      <c r="BS1603" s="115"/>
      <c r="BT1603" s="115"/>
      <c r="BU1603" s="115"/>
      <c r="BV1603" s="115"/>
      <c r="BW1603" s="17"/>
      <c r="BX1603" s="15"/>
      <c r="CB1603" s="117"/>
      <c r="CC1603" s="116"/>
      <c r="CD1603" s="116"/>
      <c r="CE1603" s="116"/>
    </row>
    <row r="1604" spans="1:83" ht="19.5" x14ac:dyDescent="0.4">
      <c r="BD1604" s="115"/>
      <c r="BE1604" s="115"/>
      <c r="BF1604" s="122"/>
      <c r="BG1604" s="122"/>
      <c r="BH1604" s="122"/>
      <c r="BI1604" s="115"/>
      <c r="BJ1604" s="115"/>
      <c r="BK1604" s="115"/>
      <c r="BL1604" s="115"/>
      <c r="BM1604" s="115"/>
      <c r="BN1604" s="115"/>
      <c r="BO1604" s="115"/>
      <c r="BP1604" s="115"/>
      <c r="BQ1604" s="115"/>
      <c r="BR1604" s="115"/>
      <c r="BS1604" s="115"/>
      <c r="BT1604" s="115"/>
      <c r="BU1604" s="115"/>
      <c r="BV1604" s="115"/>
      <c r="BW1604" s="26"/>
      <c r="BX1604" s="15"/>
      <c r="CB1604" s="117"/>
      <c r="CC1604" s="116"/>
      <c r="CD1604" s="116"/>
      <c r="CE1604" s="116"/>
    </row>
    <row r="1605" spans="1:83" ht="19.5" x14ac:dyDescent="0.4">
      <c r="BD1605" s="115"/>
      <c r="BE1605" s="115"/>
      <c r="BF1605" s="122"/>
      <c r="BG1605" s="122"/>
      <c r="BH1605" s="122"/>
      <c r="BI1605" s="115"/>
      <c r="BJ1605" s="115"/>
      <c r="BK1605" s="115"/>
      <c r="BL1605" s="115"/>
      <c r="BM1605" s="115"/>
      <c r="BN1605" s="115"/>
      <c r="BO1605" s="115"/>
      <c r="BP1605" s="115"/>
      <c r="BQ1605" s="115"/>
      <c r="BR1605" s="115"/>
      <c r="BS1605" s="115"/>
      <c r="BT1605" s="115"/>
      <c r="BU1605" s="115"/>
      <c r="BV1605" s="115"/>
      <c r="BW1605" s="17"/>
      <c r="BX1605" s="15"/>
      <c r="CB1605" s="117"/>
      <c r="CC1605" s="116"/>
      <c r="CD1605" s="116"/>
      <c r="CE1605" s="116"/>
    </row>
    <row r="1606" spans="1:83" ht="19.5" x14ac:dyDescent="0.4">
      <c r="BC1606" s="115"/>
      <c r="BD1606" s="115"/>
      <c r="BE1606" s="115"/>
      <c r="BF1606" s="122"/>
      <c r="BG1606" s="122"/>
      <c r="BH1606" s="122"/>
      <c r="BI1606" s="115"/>
      <c r="BJ1606" s="115"/>
      <c r="BK1606" s="115"/>
      <c r="BL1606" s="115"/>
      <c r="BM1606" s="115"/>
      <c r="BN1606" s="115"/>
      <c r="BO1606" s="115"/>
      <c r="BP1606" s="115"/>
      <c r="BQ1606" s="115"/>
      <c r="BR1606" s="115"/>
      <c r="BS1606" s="115"/>
      <c r="BT1606" s="115"/>
      <c r="BU1606" s="115"/>
      <c r="BV1606" s="115"/>
      <c r="BW1606" s="26"/>
      <c r="BX1606" s="15"/>
      <c r="CB1606" s="117"/>
      <c r="CC1606" s="116"/>
      <c r="CD1606" s="116"/>
      <c r="CE1606" s="116"/>
    </row>
    <row r="1607" spans="1:83" ht="19.5" x14ac:dyDescent="0.4">
      <c r="A1607" s="115"/>
      <c r="B1607" s="115"/>
      <c r="C1607" s="115"/>
      <c r="D1607" s="115"/>
      <c r="E1607" s="115"/>
      <c r="F1607" s="115"/>
      <c r="G1607" s="115"/>
      <c r="H1607" s="115"/>
      <c r="I1607" s="115"/>
      <c r="J1607" s="115"/>
      <c r="K1607" s="115"/>
      <c r="L1607" s="115"/>
      <c r="M1607" s="115"/>
      <c r="N1607" s="115"/>
      <c r="O1607" s="115"/>
      <c r="P1607" s="115"/>
      <c r="Q1607" s="115"/>
      <c r="R1607" s="115"/>
      <c r="S1607" s="115"/>
      <c r="T1607" s="115"/>
      <c r="U1607" s="115"/>
      <c r="V1607" s="115"/>
      <c r="W1607" s="115"/>
      <c r="X1607" s="115"/>
      <c r="Y1607" s="115"/>
      <c r="Z1607" s="115"/>
      <c r="AA1607" s="115"/>
      <c r="AB1607" s="115"/>
      <c r="AC1607" s="115"/>
      <c r="AD1607" s="115"/>
      <c r="AE1607" s="115"/>
      <c r="AF1607" s="115"/>
      <c r="AG1607" s="115"/>
      <c r="AH1607" s="115"/>
      <c r="AI1607" s="115"/>
      <c r="AJ1607" s="115"/>
      <c r="AK1607" s="115"/>
      <c r="AL1607" s="115"/>
      <c r="AM1607" s="115"/>
      <c r="AN1607" s="115"/>
      <c r="AO1607" s="115"/>
      <c r="AP1607" s="115"/>
      <c r="AQ1607" s="115"/>
      <c r="AR1607" s="115"/>
      <c r="AS1607" s="115"/>
      <c r="AT1607" s="115"/>
      <c r="AU1607" s="115"/>
      <c r="AV1607" s="115"/>
      <c r="AW1607" s="115"/>
      <c r="AX1607" s="115"/>
      <c r="AY1607" s="115"/>
      <c r="AZ1607" s="115"/>
      <c r="BA1607" s="115"/>
      <c r="BB1607" s="115"/>
      <c r="BC1607" s="115"/>
      <c r="BD1607" s="115"/>
      <c r="BE1607" s="115"/>
      <c r="BF1607" s="122"/>
      <c r="BG1607" s="122"/>
      <c r="BH1607" s="122"/>
      <c r="BI1607" s="115"/>
      <c r="BJ1607" s="115"/>
      <c r="BK1607" s="115"/>
      <c r="BL1607" s="115"/>
      <c r="BM1607" s="115"/>
      <c r="BN1607" s="115"/>
      <c r="BO1607" s="115"/>
      <c r="BP1607" s="115"/>
      <c r="BQ1607" s="115"/>
      <c r="BR1607" s="115"/>
      <c r="BS1607" s="115"/>
      <c r="BT1607" s="115"/>
      <c r="BU1607" s="115"/>
      <c r="BV1607" s="115"/>
      <c r="BW1607" s="26"/>
      <c r="BX1607" s="15"/>
      <c r="CB1607" s="117"/>
      <c r="CC1607" s="116"/>
      <c r="CD1607" s="116"/>
      <c r="CE1607" s="116"/>
    </row>
    <row r="1608" spans="1:83" ht="19.5" x14ac:dyDescent="0.4">
      <c r="A1608" s="115"/>
      <c r="B1608" s="115"/>
      <c r="C1608" s="115"/>
      <c r="D1608" s="115"/>
      <c r="E1608" s="115"/>
      <c r="F1608" s="115"/>
      <c r="G1608" s="115"/>
      <c r="H1608" s="115"/>
      <c r="I1608" s="115"/>
      <c r="J1608" s="115"/>
      <c r="K1608" s="115"/>
      <c r="L1608" s="115"/>
      <c r="M1608" s="115"/>
      <c r="N1608" s="115"/>
      <c r="O1608" s="115"/>
      <c r="P1608" s="115"/>
      <c r="Q1608" s="115"/>
      <c r="R1608" s="115"/>
      <c r="S1608" s="115"/>
      <c r="T1608" s="115"/>
      <c r="U1608" s="115"/>
      <c r="V1608" s="115"/>
      <c r="W1608" s="115"/>
      <c r="X1608" s="115"/>
      <c r="Y1608" s="115"/>
      <c r="Z1608" s="115"/>
      <c r="AA1608" s="115"/>
      <c r="AB1608" s="115"/>
      <c r="AC1608" s="115"/>
      <c r="AD1608" s="115"/>
      <c r="AE1608" s="115"/>
      <c r="AF1608" s="115"/>
      <c r="AG1608" s="115"/>
      <c r="AH1608" s="115"/>
      <c r="AI1608" s="115"/>
      <c r="AJ1608" s="115"/>
      <c r="AK1608" s="115"/>
      <c r="AL1608" s="115"/>
      <c r="AM1608" s="115"/>
      <c r="AN1608" s="115"/>
      <c r="AO1608" s="115"/>
      <c r="AP1608" s="115"/>
      <c r="AQ1608" s="115"/>
      <c r="AR1608" s="115"/>
      <c r="AS1608" s="115"/>
      <c r="AT1608" s="115"/>
      <c r="AU1608" s="115"/>
      <c r="AV1608" s="115"/>
      <c r="AW1608" s="115"/>
      <c r="AX1608" s="115"/>
      <c r="AY1608" s="115"/>
      <c r="AZ1608" s="115"/>
      <c r="BA1608" s="115"/>
      <c r="BB1608" s="115"/>
      <c r="BC1608" s="115"/>
      <c r="BD1608" s="115"/>
      <c r="BE1608" s="115"/>
      <c r="BF1608" s="122"/>
      <c r="BG1608" s="122"/>
      <c r="BH1608" s="122"/>
      <c r="BI1608" s="115"/>
      <c r="BJ1608" s="115"/>
      <c r="BK1608" s="115"/>
      <c r="BL1608" s="115"/>
      <c r="BM1608" s="115"/>
      <c r="BN1608" s="115"/>
      <c r="BO1608" s="115"/>
      <c r="BP1608" s="115"/>
      <c r="BQ1608" s="115"/>
      <c r="BR1608" s="115"/>
      <c r="BS1608" s="115"/>
      <c r="BT1608" s="115"/>
      <c r="BU1608" s="115"/>
      <c r="BV1608" s="115"/>
      <c r="BW1608" s="26"/>
      <c r="BX1608" s="15"/>
      <c r="CB1608" s="117"/>
      <c r="CC1608" s="116"/>
      <c r="CD1608" s="116"/>
      <c r="CE1608" s="116"/>
    </row>
    <row r="1609" spans="1:83" ht="19.5" x14ac:dyDescent="0.4">
      <c r="A1609" s="115"/>
      <c r="B1609" s="115"/>
      <c r="C1609" s="115"/>
      <c r="D1609" s="115"/>
      <c r="E1609" s="115"/>
      <c r="F1609" s="115"/>
      <c r="G1609" s="115"/>
      <c r="H1609" s="115"/>
      <c r="I1609" s="115"/>
      <c r="J1609" s="115"/>
      <c r="K1609" s="115"/>
      <c r="L1609" s="115"/>
      <c r="M1609" s="115"/>
      <c r="N1609" s="115"/>
      <c r="O1609" s="115"/>
      <c r="P1609" s="115"/>
      <c r="Q1609" s="115"/>
      <c r="R1609" s="115"/>
      <c r="S1609" s="115"/>
      <c r="T1609" s="115"/>
      <c r="U1609" s="115"/>
      <c r="V1609" s="115"/>
      <c r="W1609" s="115"/>
      <c r="X1609" s="115"/>
      <c r="Y1609" s="115"/>
      <c r="Z1609" s="115"/>
      <c r="AA1609" s="115"/>
      <c r="AB1609" s="115"/>
      <c r="AC1609" s="115"/>
      <c r="AD1609" s="115"/>
      <c r="AE1609" s="115"/>
      <c r="AF1609" s="115"/>
      <c r="AG1609" s="115"/>
      <c r="AH1609" s="115"/>
      <c r="AI1609" s="115"/>
      <c r="AJ1609" s="115"/>
      <c r="AK1609" s="115"/>
      <c r="AL1609" s="115"/>
      <c r="AM1609" s="115"/>
      <c r="AN1609" s="115"/>
      <c r="AO1609" s="115"/>
      <c r="AP1609" s="115"/>
      <c r="AQ1609" s="115"/>
      <c r="AR1609" s="115"/>
      <c r="AS1609" s="115"/>
      <c r="AT1609" s="115"/>
      <c r="AU1609" s="115"/>
      <c r="AV1609" s="115"/>
      <c r="AW1609" s="115"/>
      <c r="AX1609" s="115"/>
      <c r="AY1609" s="115"/>
      <c r="AZ1609" s="115"/>
      <c r="BA1609" s="115"/>
      <c r="BB1609" s="115"/>
      <c r="BC1609" s="115"/>
      <c r="BD1609" s="115"/>
      <c r="BE1609" s="115"/>
      <c r="BF1609" s="122"/>
      <c r="BG1609" s="122"/>
      <c r="BH1609" s="122"/>
      <c r="BI1609" s="115"/>
      <c r="BJ1609" s="115"/>
      <c r="BK1609" s="115"/>
      <c r="BL1609" s="115"/>
      <c r="BM1609" s="115"/>
      <c r="BN1609" s="115"/>
      <c r="BO1609" s="115"/>
      <c r="BP1609" s="115"/>
      <c r="BQ1609" s="115"/>
      <c r="BR1609" s="115"/>
      <c r="BS1609" s="115"/>
      <c r="BT1609" s="115"/>
      <c r="BU1609" s="115"/>
      <c r="BV1609" s="115"/>
      <c r="BW1609" s="26"/>
      <c r="BX1609" s="15"/>
      <c r="CB1609" s="117"/>
      <c r="CC1609" s="116"/>
      <c r="CD1609" s="116"/>
      <c r="CE1609" s="116"/>
    </row>
    <row r="1610" spans="1:83" ht="19.5" x14ac:dyDescent="0.4">
      <c r="A1610" s="115"/>
      <c r="B1610" s="115"/>
      <c r="C1610" s="115"/>
      <c r="D1610" s="115"/>
      <c r="E1610" s="115"/>
      <c r="F1610" s="115"/>
      <c r="G1610" s="115"/>
      <c r="H1610" s="115"/>
      <c r="I1610" s="115"/>
      <c r="J1610" s="115"/>
      <c r="K1610" s="115"/>
      <c r="L1610" s="115"/>
      <c r="M1610" s="115"/>
      <c r="N1610" s="115"/>
      <c r="O1610" s="115"/>
      <c r="P1610" s="115"/>
      <c r="Q1610" s="115"/>
      <c r="R1610" s="115"/>
      <c r="S1610" s="115"/>
      <c r="T1610" s="115"/>
      <c r="U1610" s="115"/>
      <c r="V1610" s="115"/>
      <c r="W1610" s="115"/>
      <c r="X1610" s="115"/>
      <c r="Y1610" s="115"/>
      <c r="Z1610" s="115"/>
      <c r="AA1610" s="115"/>
      <c r="AB1610" s="115"/>
      <c r="AC1610" s="115"/>
      <c r="AD1610" s="115"/>
      <c r="AE1610" s="115"/>
      <c r="AF1610" s="115"/>
      <c r="AG1610" s="115"/>
      <c r="AH1610" s="115"/>
      <c r="AI1610" s="115"/>
      <c r="AJ1610" s="115"/>
      <c r="AK1610" s="115"/>
      <c r="AL1610" s="115"/>
      <c r="AM1610" s="115"/>
      <c r="AN1610" s="115"/>
      <c r="AO1610" s="115"/>
      <c r="AP1610" s="115"/>
      <c r="AQ1610" s="115"/>
      <c r="AR1610" s="115"/>
      <c r="AS1610" s="115"/>
      <c r="AT1610" s="115"/>
      <c r="AU1610" s="115"/>
      <c r="AV1610" s="115"/>
      <c r="AW1610" s="115"/>
      <c r="AX1610" s="115"/>
      <c r="AY1610" s="115"/>
      <c r="AZ1610" s="115"/>
      <c r="BA1610" s="115"/>
      <c r="BB1610" s="115"/>
      <c r="BC1610" s="115"/>
      <c r="BD1610" s="115"/>
      <c r="BE1610" s="115"/>
      <c r="BF1610" s="122"/>
      <c r="BG1610" s="122"/>
      <c r="BH1610" s="122"/>
      <c r="BI1610" s="115"/>
      <c r="BJ1610" s="115"/>
      <c r="BK1610" s="115"/>
      <c r="BL1610" s="115"/>
      <c r="BM1610" s="115"/>
      <c r="BN1610" s="115"/>
      <c r="BO1610" s="115"/>
      <c r="BP1610" s="115"/>
      <c r="BQ1610" s="115"/>
      <c r="BR1610" s="115"/>
      <c r="BS1610" s="115"/>
      <c r="BT1610" s="115"/>
      <c r="BU1610" s="115"/>
      <c r="BV1610" s="115"/>
      <c r="BW1610" s="26"/>
      <c r="BX1610" s="105"/>
      <c r="CB1610" s="117"/>
      <c r="CC1610" s="116"/>
      <c r="CD1610" s="116"/>
      <c r="CE1610" s="116"/>
    </row>
    <row r="1611" spans="1:83" ht="19.5" x14ac:dyDescent="0.4">
      <c r="A1611" s="115"/>
      <c r="B1611" s="115"/>
      <c r="C1611" s="115"/>
      <c r="D1611" s="115"/>
      <c r="E1611" s="115"/>
      <c r="F1611" s="115"/>
      <c r="G1611" s="115"/>
      <c r="H1611" s="115"/>
      <c r="I1611" s="115"/>
      <c r="J1611" s="115"/>
      <c r="K1611" s="115"/>
      <c r="L1611" s="115"/>
      <c r="M1611" s="115"/>
      <c r="N1611" s="115"/>
      <c r="O1611" s="115"/>
      <c r="P1611" s="115"/>
      <c r="Q1611" s="115"/>
      <c r="R1611" s="115"/>
      <c r="S1611" s="115"/>
      <c r="T1611" s="115"/>
      <c r="U1611" s="115"/>
      <c r="V1611" s="115"/>
      <c r="W1611" s="115"/>
      <c r="X1611" s="115"/>
      <c r="Y1611" s="115"/>
      <c r="Z1611" s="115"/>
      <c r="AA1611" s="115"/>
      <c r="AB1611" s="115"/>
      <c r="AC1611" s="115"/>
      <c r="AD1611" s="115"/>
      <c r="AE1611" s="115"/>
      <c r="AF1611" s="115"/>
      <c r="AG1611" s="115"/>
      <c r="AH1611" s="115"/>
      <c r="AI1611" s="115"/>
      <c r="AJ1611" s="115"/>
      <c r="AK1611" s="115"/>
      <c r="AL1611" s="115"/>
      <c r="AM1611" s="115"/>
      <c r="AN1611" s="115"/>
      <c r="AO1611" s="115"/>
      <c r="AP1611" s="115"/>
      <c r="AQ1611" s="115"/>
      <c r="AR1611" s="115"/>
      <c r="AS1611" s="115"/>
      <c r="AT1611" s="115"/>
      <c r="AU1611" s="115"/>
      <c r="AV1611" s="115"/>
      <c r="AW1611" s="115"/>
      <c r="AX1611" s="115"/>
      <c r="AY1611" s="115"/>
      <c r="AZ1611" s="115"/>
      <c r="BA1611" s="115"/>
      <c r="BB1611" s="115"/>
      <c r="BC1611" s="115"/>
      <c r="BD1611" s="115"/>
      <c r="BE1611" s="115"/>
      <c r="BF1611" s="122"/>
      <c r="BG1611" s="122"/>
      <c r="BH1611" s="122"/>
      <c r="BI1611" s="115"/>
      <c r="BJ1611" s="115"/>
      <c r="BK1611" s="115"/>
      <c r="BL1611" s="115"/>
      <c r="BM1611" s="115"/>
      <c r="BN1611" s="115"/>
      <c r="BO1611" s="115"/>
      <c r="BP1611" s="115"/>
      <c r="BQ1611" s="115"/>
      <c r="BR1611" s="115"/>
      <c r="BS1611" s="115"/>
      <c r="BT1611" s="115"/>
      <c r="BU1611" s="115"/>
      <c r="BV1611" s="115"/>
      <c r="BW1611" s="26"/>
      <c r="BX1611" s="105"/>
      <c r="CB1611" s="117"/>
      <c r="CC1611" s="116"/>
      <c r="CD1611" s="116"/>
      <c r="CE1611" s="116"/>
    </row>
    <row r="1612" spans="1:83" ht="19.5" x14ac:dyDescent="0.4">
      <c r="BW1612" s="26"/>
      <c r="BX1612" s="13"/>
      <c r="CB1612" s="117"/>
      <c r="CC1612" s="116"/>
      <c r="CD1612" s="116"/>
      <c r="CE1612" s="116"/>
    </row>
    <row r="1613" spans="1:83" ht="19.5" x14ac:dyDescent="0.4">
      <c r="BD1613" s="115"/>
      <c r="BE1613" s="115"/>
      <c r="BF1613" s="122"/>
      <c r="BG1613" s="122"/>
      <c r="BH1613" s="122"/>
      <c r="BI1613" s="115"/>
      <c r="BJ1613" s="115"/>
      <c r="BK1613" s="115"/>
      <c r="BL1613" s="115"/>
      <c r="BM1613" s="115"/>
      <c r="BN1613" s="115"/>
      <c r="BO1613" s="115"/>
      <c r="BP1613" s="115"/>
      <c r="BQ1613" s="115"/>
      <c r="BR1613" s="115"/>
      <c r="BS1613" s="115"/>
      <c r="BT1613" s="115"/>
      <c r="BU1613" s="115"/>
      <c r="BV1613" s="115"/>
      <c r="BW1613" s="26"/>
      <c r="BX1613" s="13"/>
      <c r="CB1613" s="117"/>
      <c r="CC1613" s="116"/>
      <c r="CD1613" s="116"/>
      <c r="CE1613" s="116"/>
    </row>
    <row r="1614" spans="1:83" ht="19.5" x14ac:dyDescent="0.4">
      <c r="AY1614" s="115"/>
      <c r="AZ1614" s="115"/>
      <c r="BA1614" s="115"/>
      <c r="BB1614" s="115"/>
      <c r="BC1614" s="115"/>
      <c r="BD1614" s="115"/>
      <c r="BE1614" s="115"/>
      <c r="BF1614" s="122"/>
      <c r="BG1614" s="122"/>
      <c r="BH1614" s="122"/>
      <c r="BI1614" s="115"/>
      <c r="BJ1614" s="115"/>
      <c r="BK1614" s="115"/>
      <c r="BL1614" s="115"/>
      <c r="BM1614" s="115"/>
      <c r="BN1614" s="115"/>
      <c r="BO1614" s="115"/>
      <c r="BP1614" s="115"/>
      <c r="BQ1614" s="115"/>
      <c r="BR1614" s="115"/>
      <c r="BS1614" s="115"/>
      <c r="BT1614" s="115"/>
      <c r="BU1614" s="115"/>
      <c r="BV1614" s="115"/>
      <c r="BW1614" s="26"/>
      <c r="BX1614" s="13"/>
      <c r="CB1614" s="117"/>
      <c r="CC1614" s="116"/>
      <c r="CD1614" s="116"/>
      <c r="CE1614" s="116"/>
    </row>
    <row r="1615" spans="1:83" ht="19.5" x14ac:dyDescent="0.4">
      <c r="BW1615" s="26"/>
      <c r="BX1615" s="13"/>
      <c r="CB1615" s="117"/>
      <c r="CC1615" s="116"/>
      <c r="CD1615" s="116"/>
      <c r="CE1615" s="116"/>
    </row>
    <row r="1616" spans="1:83" ht="19.5" x14ac:dyDescent="0.4">
      <c r="E1616" s="115"/>
      <c r="F1616" s="115"/>
      <c r="G1616" s="115"/>
      <c r="H1616" s="115"/>
      <c r="I1616" s="115"/>
      <c r="J1616" s="115"/>
      <c r="K1616" s="115"/>
      <c r="L1616" s="115"/>
      <c r="M1616" s="115"/>
      <c r="N1616" s="115"/>
      <c r="O1616" s="115"/>
      <c r="P1616" s="115"/>
      <c r="Q1616" s="115"/>
      <c r="R1616" s="115"/>
      <c r="S1616" s="115"/>
      <c r="T1616" s="115"/>
      <c r="U1616" s="115"/>
      <c r="V1616" s="115"/>
      <c r="W1616" s="115"/>
      <c r="X1616" s="115"/>
      <c r="Y1616" s="115"/>
      <c r="Z1616" s="115"/>
      <c r="AA1616" s="115"/>
      <c r="AB1616" s="115"/>
      <c r="AC1616" s="115"/>
      <c r="AD1616" s="115"/>
      <c r="AE1616" s="115"/>
      <c r="AF1616" s="115"/>
      <c r="AG1616" s="115"/>
      <c r="AH1616" s="115"/>
      <c r="AI1616" s="115"/>
      <c r="AJ1616" s="115"/>
      <c r="AK1616" s="115"/>
      <c r="AL1616" s="115"/>
      <c r="AM1616" s="115"/>
      <c r="AN1616" s="115"/>
      <c r="AO1616" s="115"/>
      <c r="AP1616" s="115"/>
      <c r="AQ1616" s="115"/>
      <c r="AR1616" s="115"/>
      <c r="AS1616" s="115"/>
      <c r="AT1616" s="115"/>
      <c r="AU1616" s="115"/>
      <c r="AV1616" s="115"/>
      <c r="AW1616" s="115"/>
      <c r="AX1616" s="115"/>
      <c r="AY1616" s="115"/>
      <c r="AZ1616" s="115"/>
      <c r="BA1616" s="115"/>
      <c r="BB1616" s="115"/>
      <c r="BC1616" s="115"/>
      <c r="BD1616" s="115"/>
      <c r="BE1616" s="115"/>
      <c r="BF1616" s="122"/>
      <c r="BG1616" s="122"/>
      <c r="BH1616" s="122"/>
      <c r="BI1616" s="115"/>
      <c r="BJ1616" s="115"/>
      <c r="BK1616" s="115"/>
      <c r="BL1616" s="115"/>
      <c r="BM1616" s="115"/>
      <c r="BN1616" s="115"/>
      <c r="BO1616" s="115"/>
      <c r="BP1616" s="115"/>
      <c r="BQ1616" s="115"/>
      <c r="BR1616" s="115"/>
      <c r="BS1616" s="115"/>
      <c r="BT1616" s="115"/>
      <c r="BU1616" s="115"/>
      <c r="BV1616" s="115"/>
      <c r="BW1616" s="26"/>
      <c r="BX1616" s="13"/>
      <c r="CB1616" s="117"/>
      <c r="CC1616" s="116"/>
      <c r="CD1616" s="116"/>
      <c r="CE1616" s="116"/>
    </row>
    <row r="1617" spans="3:83" ht="19.5" x14ac:dyDescent="0.4">
      <c r="E1617" s="115"/>
      <c r="F1617" s="115"/>
      <c r="G1617" s="115"/>
      <c r="H1617" s="115"/>
      <c r="I1617" s="115"/>
      <c r="J1617" s="115"/>
      <c r="K1617" s="115"/>
      <c r="L1617" s="115"/>
      <c r="M1617" s="115"/>
      <c r="N1617" s="115"/>
      <c r="O1617" s="115"/>
      <c r="P1617" s="115"/>
      <c r="Q1617" s="115"/>
      <c r="R1617" s="115"/>
      <c r="S1617" s="115"/>
      <c r="T1617" s="115"/>
      <c r="U1617" s="115"/>
      <c r="V1617" s="115"/>
      <c r="W1617" s="115"/>
      <c r="X1617" s="115"/>
      <c r="Y1617" s="115"/>
      <c r="Z1617" s="115"/>
      <c r="AA1617" s="115"/>
      <c r="AB1617" s="115"/>
      <c r="AC1617" s="115"/>
      <c r="AD1617" s="115"/>
      <c r="AE1617" s="115"/>
      <c r="AF1617" s="115"/>
      <c r="AG1617" s="115"/>
      <c r="AH1617" s="115"/>
      <c r="AI1617" s="115"/>
      <c r="AJ1617" s="115"/>
      <c r="AK1617" s="115"/>
      <c r="AL1617" s="115"/>
      <c r="AM1617" s="115"/>
      <c r="AN1617" s="115"/>
      <c r="AO1617" s="115"/>
      <c r="AP1617" s="115"/>
      <c r="AQ1617" s="115"/>
      <c r="AR1617" s="115"/>
      <c r="AS1617" s="115"/>
      <c r="AT1617" s="115"/>
      <c r="AU1617" s="115"/>
      <c r="AV1617" s="115"/>
      <c r="AW1617" s="115"/>
      <c r="AX1617" s="115"/>
      <c r="AY1617" s="115"/>
      <c r="AZ1617" s="115"/>
      <c r="BA1617" s="115"/>
      <c r="BB1617" s="115"/>
      <c r="BC1617" s="115"/>
      <c r="BD1617" s="115"/>
      <c r="BE1617" s="115"/>
      <c r="BF1617" s="122"/>
      <c r="BG1617" s="122"/>
      <c r="BH1617" s="122"/>
      <c r="BI1617" s="115"/>
      <c r="BJ1617" s="115"/>
      <c r="BK1617" s="115"/>
      <c r="BL1617" s="115"/>
      <c r="BM1617" s="115"/>
      <c r="BN1617" s="115"/>
      <c r="BO1617" s="115"/>
      <c r="BP1617" s="115"/>
      <c r="BQ1617" s="115"/>
      <c r="BR1617" s="115"/>
      <c r="BS1617" s="115"/>
      <c r="BT1617" s="115"/>
      <c r="BU1617" s="115"/>
      <c r="BV1617" s="115"/>
      <c r="BW1617" s="26"/>
      <c r="BX1617" s="13"/>
      <c r="CB1617" s="117"/>
      <c r="CC1617" s="116"/>
      <c r="CD1617" s="116"/>
      <c r="CE1617" s="116"/>
    </row>
    <row r="1618" spans="3:83" ht="19.5" x14ac:dyDescent="0.4">
      <c r="C1618" s="115"/>
      <c r="D1618" s="115"/>
      <c r="E1618" s="115"/>
      <c r="F1618" s="115"/>
      <c r="G1618" s="115"/>
      <c r="H1618" s="115"/>
      <c r="I1618" s="115"/>
      <c r="J1618" s="115"/>
      <c r="K1618" s="115"/>
      <c r="L1618" s="115"/>
      <c r="M1618" s="115"/>
      <c r="N1618" s="115"/>
      <c r="O1618" s="115"/>
      <c r="P1618" s="115"/>
      <c r="Q1618" s="115"/>
      <c r="R1618" s="115"/>
      <c r="S1618" s="115"/>
      <c r="T1618" s="115"/>
      <c r="U1618" s="115"/>
      <c r="V1618" s="115"/>
      <c r="W1618" s="115"/>
      <c r="X1618" s="115"/>
      <c r="Y1618" s="115"/>
      <c r="Z1618" s="115"/>
      <c r="AA1618" s="115"/>
      <c r="AB1618" s="115"/>
      <c r="AC1618" s="115"/>
      <c r="AD1618" s="115"/>
      <c r="AE1618" s="115"/>
      <c r="AF1618" s="115"/>
      <c r="AG1618" s="115"/>
      <c r="AH1618" s="115"/>
      <c r="AI1618" s="115"/>
      <c r="AJ1618" s="115"/>
      <c r="AK1618" s="115"/>
      <c r="AL1618" s="115"/>
      <c r="AM1618" s="115"/>
      <c r="AN1618" s="115"/>
      <c r="AO1618" s="115"/>
      <c r="AP1618" s="115"/>
      <c r="AQ1618" s="115"/>
      <c r="AR1618" s="115"/>
      <c r="AS1618" s="115"/>
      <c r="AT1618" s="115"/>
      <c r="AU1618" s="115"/>
      <c r="AV1618" s="115"/>
      <c r="AW1618" s="115"/>
      <c r="AX1618" s="115"/>
      <c r="AY1618" s="115"/>
      <c r="AZ1618" s="115"/>
      <c r="BA1618" s="115"/>
      <c r="BB1618" s="115"/>
      <c r="BC1618" s="115"/>
      <c r="BD1618" s="115"/>
      <c r="BE1618" s="115"/>
      <c r="BF1618" s="122"/>
      <c r="BG1618" s="122"/>
      <c r="BH1618" s="122"/>
      <c r="BI1618" s="115"/>
      <c r="BJ1618" s="115"/>
      <c r="BK1618" s="115"/>
      <c r="BL1618" s="115"/>
      <c r="BM1618" s="115"/>
      <c r="BN1618" s="115"/>
      <c r="BO1618" s="115"/>
      <c r="BP1618" s="115"/>
      <c r="BQ1618" s="115"/>
      <c r="BR1618" s="115"/>
      <c r="BS1618" s="115"/>
      <c r="BT1618" s="115"/>
      <c r="BU1618" s="115"/>
      <c r="BV1618" s="115"/>
      <c r="BW1618" s="26"/>
      <c r="BX1618" s="13"/>
      <c r="CB1618" s="117"/>
      <c r="CC1618" s="116"/>
      <c r="CD1618" s="116"/>
      <c r="CE1618" s="116"/>
    </row>
    <row r="1619" spans="3:83" ht="19.5" x14ac:dyDescent="0.4">
      <c r="C1619" s="115"/>
      <c r="D1619" s="115"/>
      <c r="E1619" s="115"/>
      <c r="F1619" s="115"/>
      <c r="G1619" s="115"/>
      <c r="H1619" s="115"/>
      <c r="I1619" s="115"/>
      <c r="J1619" s="115"/>
      <c r="K1619" s="115"/>
      <c r="L1619" s="115"/>
      <c r="M1619" s="115"/>
      <c r="N1619" s="115"/>
      <c r="O1619" s="115"/>
      <c r="P1619" s="115"/>
      <c r="Q1619" s="115"/>
      <c r="R1619" s="115"/>
      <c r="S1619" s="115"/>
      <c r="T1619" s="115"/>
      <c r="U1619" s="115"/>
      <c r="V1619" s="115"/>
      <c r="W1619" s="115"/>
      <c r="X1619" s="115"/>
      <c r="Y1619" s="115"/>
      <c r="Z1619" s="115"/>
      <c r="AA1619" s="115"/>
      <c r="AB1619" s="115"/>
      <c r="AC1619" s="115"/>
      <c r="AD1619" s="115"/>
      <c r="AE1619" s="115"/>
      <c r="AF1619" s="115"/>
      <c r="AG1619" s="115"/>
      <c r="AH1619" s="115"/>
      <c r="AI1619" s="115"/>
      <c r="AJ1619" s="115"/>
      <c r="AK1619" s="115"/>
      <c r="AL1619" s="115"/>
      <c r="AM1619" s="115"/>
      <c r="AN1619" s="115"/>
      <c r="AO1619" s="115"/>
      <c r="AP1619" s="115"/>
      <c r="AQ1619" s="115"/>
      <c r="AR1619" s="115"/>
      <c r="AS1619" s="115"/>
      <c r="AT1619" s="115"/>
      <c r="AU1619" s="115"/>
      <c r="AV1619" s="115"/>
      <c r="AW1619" s="115"/>
      <c r="AX1619" s="115"/>
      <c r="AY1619" s="115"/>
      <c r="AZ1619" s="115"/>
      <c r="BA1619" s="115"/>
      <c r="BB1619" s="115"/>
      <c r="BC1619" s="115"/>
      <c r="BD1619" s="115"/>
      <c r="BE1619" s="115"/>
      <c r="BF1619" s="122"/>
      <c r="BG1619" s="122"/>
      <c r="BH1619" s="122"/>
      <c r="BI1619" s="115"/>
      <c r="BJ1619" s="115"/>
      <c r="BK1619" s="115"/>
      <c r="BL1619" s="115"/>
      <c r="BM1619" s="115"/>
      <c r="BN1619" s="115"/>
      <c r="BO1619" s="115"/>
      <c r="BP1619" s="115"/>
      <c r="BQ1619" s="115"/>
      <c r="BR1619" s="115"/>
      <c r="BS1619" s="115"/>
      <c r="BT1619" s="115"/>
      <c r="BU1619" s="115"/>
      <c r="BV1619" s="115"/>
      <c r="BW1619" s="26"/>
      <c r="BX1619" s="13"/>
      <c r="CB1619" s="117"/>
      <c r="CC1619" s="116"/>
      <c r="CD1619" s="116"/>
      <c r="CE1619" s="116"/>
    </row>
    <row r="1620" spans="3:83" ht="19.5" x14ac:dyDescent="0.4">
      <c r="C1620" s="115"/>
      <c r="D1620" s="115"/>
      <c r="E1620" s="115"/>
      <c r="F1620" s="115"/>
      <c r="G1620" s="115"/>
      <c r="H1620" s="115"/>
      <c r="I1620" s="115"/>
      <c r="J1620" s="115"/>
      <c r="K1620" s="115"/>
      <c r="L1620" s="115"/>
      <c r="M1620" s="115"/>
      <c r="N1620" s="115"/>
      <c r="O1620" s="115"/>
      <c r="P1620" s="115"/>
      <c r="Q1620" s="115"/>
      <c r="R1620" s="115"/>
      <c r="S1620" s="115"/>
      <c r="T1620" s="115"/>
      <c r="U1620" s="115"/>
      <c r="V1620" s="115"/>
      <c r="W1620" s="115"/>
      <c r="X1620" s="115"/>
      <c r="Y1620" s="115"/>
      <c r="Z1620" s="115"/>
      <c r="AA1620" s="115"/>
      <c r="AB1620" s="115"/>
      <c r="AC1620" s="115"/>
      <c r="AD1620" s="115"/>
      <c r="AE1620" s="115"/>
      <c r="AF1620" s="115"/>
      <c r="AG1620" s="115"/>
      <c r="AH1620" s="115"/>
      <c r="AI1620" s="115"/>
      <c r="AJ1620" s="115"/>
      <c r="AK1620" s="115"/>
      <c r="AL1620" s="115"/>
      <c r="AM1620" s="115"/>
      <c r="AN1620" s="115"/>
      <c r="AO1620" s="115"/>
      <c r="AP1620" s="115"/>
      <c r="AQ1620" s="115"/>
      <c r="AR1620" s="115"/>
      <c r="AS1620" s="115"/>
      <c r="AT1620" s="115"/>
      <c r="AU1620" s="115"/>
      <c r="AV1620" s="115"/>
      <c r="AW1620" s="115"/>
      <c r="AX1620" s="115"/>
      <c r="AY1620" s="115"/>
      <c r="AZ1620" s="115"/>
      <c r="BA1620" s="115"/>
      <c r="BB1620" s="115"/>
      <c r="BC1620" s="115"/>
      <c r="BD1620" s="115"/>
      <c r="BE1620" s="115"/>
      <c r="BF1620" s="122"/>
      <c r="BG1620" s="122"/>
      <c r="BH1620" s="122"/>
      <c r="BI1620" s="115"/>
      <c r="BJ1620" s="115"/>
      <c r="BK1620" s="115"/>
      <c r="BL1620" s="115"/>
      <c r="BM1620" s="115"/>
      <c r="BN1620" s="115"/>
      <c r="BO1620" s="115"/>
      <c r="BP1620" s="115"/>
      <c r="BQ1620" s="115"/>
      <c r="BR1620" s="115"/>
      <c r="BS1620" s="115"/>
      <c r="BT1620" s="115"/>
      <c r="BU1620" s="115"/>
      <c r="BV1620" s="115"/>
      <c r="BW1620" s="26"/>
      <c r="BX1620" s="13"/>
      <c r="CB1620" s="117"/>
      <c r="CC1620" s="116"/>
      <c r="CD1620" s="116"/>
      <c r="CE1620" s="116"/>
    </row>
    <row r="1621" spans="3:83" ht="19.5" x14ac:dyDescent="0.4">
      <c r="C1621" s="115"/>
      <c r="D1621" s="115"/>
      <c r="E1621" s="115"/>
      <c r="F1621" s="115"/>
      <c r="G1621" s="115"/>
      <c r="H1621" s="115"/>
      <c r="I1621" s="115"/>
      <c r="J1621" s="115"/>
      <c r="K1621" s="115"/>
      <c r="L1621" s="115"/>
      <c r="M1621" s="115"/>
      <c r="N1621" s="115"/>
      <c r="O1621" s="115"/>
      <c r="P1621" s="115"/>
      <c r="Q1621" s="115"/>
      <c r="R1621" s="115"/>
      <c r="S1621" s="115"/>
      <c r="T1621" s="115"/>
      <c r="U1621" s="115"/>
      <c r="V1621" s="115"/>
      <c r="W1621" s="115"/>
      <c r="X1621" s="115"/>
      <c r="Y1621" s="115"/>
      <c r="Z1621" s="115"/>
      <c r="AA1621" s="115"/>
      <c r="AB1621" s="115"/>
      <c r="AC1621" s="115"/>
      <c r="AD1621" s="115"/>
      <c r="AE1621" s="115"/>
      <c r="AF1621" s="115"/>
      <c r="AG1621" s="115"/>
      <c r="AH1621" s="115"/>
      <c r="AI1621" s="115"/>
      <c r="AJ1621" s="115"/>
      <c r="AK1621" s="115"/>
      <c r="AL1621" s="115"/>
      <c r="AM1621" s="115"/>
      <c r="AN1621" s="115"/>
      <c r="AO1621" s="115"/>
      <c r="AP1621" s="115"/>
      <c r="AQ1621" s="115"/>
      <c r="AR1621" s="115"/>
      <c r="AS1621" s="115"/>
      <c r="AT1621" s="115"/>
      <c r="AU1621" s="115"/>
      <c r="AV1621" s="115"/>
      <c r="AW1621" s="115"/>
      <c r="AX1621" s="115"/>
      <c r="AY1621" s="115"/>
      <c r="AZ1621" s="115"/>
      <c r="BA1621" s="115"/>
      <c r="BB1621" s="115"/>
      <c r="BC1621" s="115"/>
      <c r="BD1621" s="115"/>
      <c r="BE1621" s="115"/>
      <c r="BF1621" s="122"/>
      <c r="BG1621" s="122"/>
      <c r="BH1621" s="122"/>
      <c r="BI1621" s="115"/>
      <c r="BJ1621" s="115"/>
      <c r="BK1621" s="115"/>
      <c r="BL1621" s="115"/>
      <c r="BM1621" s="115"/>
      <c r="BN1621" s="115"/>
      <c r="BO1621" s="115"/>
      <c r="BP1621" s="115"/>
      <c r="BQ1621" s="115"/>
      <c r="BR1621" s="115"/>
      <c r="BS1621" s="115"/>
      <c r="BT1621" s="115"/>
      <c r="BU1621" s="115"/>
      <c r="BV1621" s="115"/>
      <c r="BW1621" s="26"/>
      <c r="BX1621" s="13"/>
      <c r="CB1621" s="117"/>
      <c r="CC1621" s="116"/>
      <c r="CD1621" s="116"/>
      <c r="CE1621" s="116"/>
    </row>
    <row r="1622" spans="3:83" ht="19.5" x14ac:dyDescent="0.4">
      <c r="C1622" s="115"/>
      <c r="D1622" s="115"/>
      <c r="E1622" s="115"/>
      <c r="F1622" s="115"/>
      <c r="G1622" s="115"/>
      <c r="H1622" s="115"/>
      <c r="I1622" s="115"/>
      <c r="J1622" s="115"/>
      <c r="K1622" s="115"/>
      <c r="L1622" s="115"/>
      <c r="M1622" s="115"/>
      <c r="N1622" s="115"/>
      <c r="O1622" s="115"/>
      <c r="P1622" s="115"/>
      <c r="Q1622" s="115"/>
      <c r="R1622" s="115"/>
      <c r="S1622" s="115"/>
      <c r="T1622" s="115"/>
      <c r="U1622" s="115"/>
      <c r="V1622" s="115"/>
      <c r="W1622" s="115"/>
      <c r="X1622" s="115"/>
      <c r="Y1622" s="115"/>
      <c r="Z1622" s="115"/>
      <c r="AA1622" s="115"/>
      <c r="AB1622" s="115"/>
      <c r="AC1622" s="115"/>
      <c r="AD1622" s="115"/>
      <c r="AE1622" s="115"/>
      <c r="AF1622" s="115"/>
      <c r="AG1622" s="115"/>
      <c r="AH1622" s="115"/>
      <c r="AI1622" s="115"/>
      <c r="AJ1622" s="115"/>
      <c r="AK1622" s="115"/>
      <c r="AL1622" s="115"/>
      <c r="AM1622" s="115"/>
      <c r="AN1622" s="115"/>
      <c r="AO1622" s="115"/>
      <c r="AP1622" s="115"/>
      <c r="AQ1622" s="115"/>
      <c r="AR1622" s="115"/>
      <c r="AS1622" s="115"/>
      <c r="AT1622" s="115"/>
      <c r="AU1622" s="115"/>
      <c r="AV1622" s="115"/>
      <c r="AW1622" s="115"/>
      <c r="AX1622" s="115"/>
      <c r="AY1622" s="115"/>
      <c r="AZ1622" s="115"/>
      <c r="BA1622" s="115"/>
      <c r="BB1622" s="115"/>
      <c r="BC1622" s="115"/>
      <c r="BD1622" s="115"/>
      <c r="BE1622" s="115"/>
      <c r="BF1622" s="122"/>
      <c r="BG1622" s="122"/>
      <c r="BH1622" s="122"/>
      <c r="BI1622" s="115"/>
      <c r="BJ1622" s="115"/>
      <c r="BK1622" s="115"/>
      <c r="BL1622" s="115"/>
      <c r="BM1622" s="115"/>
      <c r="BN1622" s="115"/>
      <c r="BO1622" s="115"/>
      <c r="BP1622" s="115"/>
      <c r="BQ1622" s="115"/>
      <c r="BR1622" s="115"/>
      <c r="BS1622" s="115"/>
      <c r="BT1622" s="115"/>
      <c r="BU1622" s="115"/>
      <c r="BV1622" s="115"/>
      <c r="BW1622" s="26"/>
      <c r="BX1622" s="13"/>
      <c r="CB1622" s="117"/>
      <c r="CC1622" s="116"/>
      <c r="CD1622" s="116"/>
      <c r="CE1622" s="116"/>
    </row>
    <row r="1623" spans="3:83" ht="19.5" x14ac:dyDescent="0.4">
      <c r="C1623" s="115"/>
      <c r="D1623" s="115"/>
      <c r="E1623" s="115"/>
      <c r="F1623" s="115"/>
      <c r="G1623" s="115"/>
      <c r="H1623" s="115"/>
      <c r="I1623" s="115"/>
      <c r="J1623" s="115"/>
      <c r="K1623" s="115"/>
      <c r="L1623" s="115"/>
      <c r="M1623" s="115"/>
      <c r="N1623" s="115"/>
      <c r="O1623" s="115"/>
      <c r="P1623" s="115"/>
      <c r="Q1623" s="115"/>
      <c r="R1623" s="115"/>
      <c r="S1623" s="115"/>
      <c r="T1623" s="115"/>
      <c r="U1623" s="115"/>
      <c r="V1623" s="115"/>
      <c r="W1623" s="115"/>
      <c r="X1623" s="115"/>
      <c r="Y1623" s="115"/>
      <c r="Z1623" s="115"/>
      <c r="AA1623" s="115"/>
      <c r="AB1623" s="115"/>
      <c r="AC1623" s="115"/>
      <c r="AD1623" s="115"/>
      <c r="AE1623" s="115"/>
      <c r="AF1623" s="115"/>
      <c r="AG1623" s="115"/>
      <c r="AH1623" s="115"/>
      <c r="AI1623" s="115"/>
      <c r="AJ1623" s="115"/>
      <c r="AK1623" s="115"/>
      <c r="AL1623" s="115"/>
      <c r="AM1623" s="115"/>
      <c r="AN1623" s="115"/>
      <c r="AO1623" s="115"/>
      <c r="AP1623" s="115"/>
      <c r="AQ1623" s="115"/>
      <c r="AR1623" s="115"/>
      <c r="AS1623" s="115"/>
      <c r="AT1623" s="115"/>
      <c r="AU1623" s="115"/>
      <c r="AV1623" s="115"/>
      <c r="AW1623" s="115"/>
      <c r="AX1623" s="115"/>
      <c r="AY1623" s="115"/>
      <c r="AZ1623" s="115"/>
      <c r="BA1623" s="115"/>
      <c r="BB1623" s="115"/>
      <c r="BC1623" s="115"/>
      <c r="BD1623" s="115"/>
      <c r="BE1623" s="115"/>
      <c r="BF1623" s="122"/>
      <c r="BG1623" s="122"/>
      <c r="BH1623" s="122"/>
      <c r="BI1623" s="115"/>
      <c r="BJ1623" s="115"/>
      <c r="BK1623" s="115"/>
      <c r="BL1623" s="115"/>
      <c r="BM1623" s="115"/>
      <c r="BN1623" s="115"/>
      <c r="BO1623" s="115"/>
      <c r="BP1623" s="115"/>
      <c r="BQ1623" s="115"/>
      <c r="BR1623" s="115"/>
      <c r="BS1623" s="115"/>
      <c r="BT1623" s="115"/>
      <c r="BU1623" s="115"/>
      <c r="BV1623" s="115"/>
      <c r="BW1623" s="26"/>
      <c r="BX1623" s="13"/>
      <c r="CB1623" s="117"/>
      <c r="CC1623" s="116"/>
      <c r="CD1623" s="116"/>
      <c r="CE1623" s="116"/>
    </row>
    <row r="1624" spans="3:83" ht="19.5" x14ac:dyDescent="0.4">
      <c r="BW1624" s="26"/>
      <c r="BX1624" s="15"/>
      <c r="CB1624" s="117"/>
      <c r="CC1624" s="116"/>
      <c r="CD1624" s="116"/>
      <c r="CE1624" s="116"/>
    </row>
    <row r="1625" spans="3:83" ht="19.5" x14ac:dyDescent="0.4">
      <c r="D1625" s="115"/>
      <c r="E1625" s="115"/>
      <c r="F1625" s="115"/>
      <c r="G1625" s="115"/>
      <c r="H1625" s="115"/>
      <c r="I1625" s="115"/>
      <c r="J1625" s="115"/>
      <c r="K1625" s="115"/>
      <c r="L1625" s="115"/>
      <c r="M1625" s="115"/>
      <c r="N1625" s="115"/>
      <c r="O1625" s="115"/>
      <c r="P1625" s="115"/>
      <c r="Q1625" s="115"/>
      <c r="R1625" s="115"/>
      <c r="S1625" s="115"/>
      <c r="T1625" s="115"/>
      <c r="U1625" s="115"/>
      <c r="V1625" s="115"/>
      <c r="W1625" s="115"/>
      <c r="X1625" s="115"/>
      <c r="Y1625" s="115"/>
      <c r="Z1625" s="115"/>
      <c r="AA1625" s="115"/>
      <c r="AB1625" s="115"/>
      <c r="AC1625" s="115"/>
      <c r="AD1625" s="115"/>
      <c r="AE1625" s="115"/>
      <c r="AF1625" s="115"/>
      <c r="AG1625" s="115"/>
      <c r="AH1625" s="115"/>
      <c r="AI1625" s="115"/>
      <c r="AJ1625" s="115"/>
      <c r="AK1625" s="115"/>
      <c r="AL1625" s="115"/>
      <c r="AM1625" s="115"/>
      <c r="AN1625" s="115"/>
      <c r="AO1625" s="115"/>
      <c r="AP1625" s="115"/>
      <c r="AQ1625" s="115"/>
      <c r="AR1625" s="115"/>
      <c r="AS1625" s="115"/>
      <c r="AT1625" s="115"/>
      <c r="AU1625" s="115"/>
      <c r="AV1625" s="115"/>
      <c r="AW1625" s="115"/>
      <c r="AX1625" s="115"/>
      <c r="AY1625" s="115"/>
      <c r="AZ1625" s="115"/>
      <c r="BA1625" s="115"/>
      <c r="BB1625" s="115"/>
      <c r="BC1625" s="115"/>
      <c r="BD1625" s="115"/>
      <c r="BE1625" s="115"/>
      <c r="BF1625" s="122"/>
      <c r="BG1625" s="122"/>
      <c r="BH1625" s="122"/>
      <c r="BI1625" s="115"/>
      <c r="BJ1625" s="115"/>
      <c r="BK1625" s="115"/>
      <c r="BL1625" s="115"/>
      <c r="BM1625" s="115"/>
      <c r="BN1625" s="115"/>
      <c r="BO1625" s="115"/>
      <c r="BP1625" s="115"/>
      <c r="BQ1625" s="115"/>
      <c r="BR1625" s="115"/>
      <c r="BS1625" s="115"/>
      <c r="BT1625" s="115"/>
      <c r="BU1625" s="115"/>
      <c r="BV1625" s="115"/>
      <c r="BW1625" s="26"/>
      <c r="BX1625" s="15"/>
      <c r="CB1625" s="117"/>
      <c r="CC1625" s="116"/>
      <c r="CD1625" s="116"/>
      <c r="CE1625" s="116"/>
    </row>
    <row r="1626" spans="3:83" ht="19.5" x14ac:dyDescent="0.4">
      <c r="D1626" s="115"/>
      <c r="E1626" s="115"/>
      <c r="F1626" s="115"/>
      <c r="G1626" s="115"/>
      <c r="H1626" s="115"/>
      <c r="I1626" s="115"/>
      <c r="J1626" s="115"/>
      <c r="K1626" s="115"/>
      <c r="L1626" s="115"/>
      <c r="M1626" s="115"/>
      <c r="N1626" s="115"/>
      <c r="O1626" s="115"/>
      <c r="P1626" s="115"/>
      <c r="Q1626" s="115"/>
      <c r="R1626" s="115"/>
      <c r="S1626" s="115"/>
      <c r="T1626" s="115"/>
      <c r="U1626" s="115"/>
      <c r="V1626" s="115"/>
      <c r="W1626" s="115"/>
      <c r="X1626" s="115"/>
      <c r="Y1626" s="115"/>
      <c r="Z1626" s="115"/>
      <c r="AA1626" s="115"/>
      <c r="AB1626" s="115"/>
      <c r="AC1626" s="115"/>
      <c r="AD1626" s="115"/>
      <c r="AE1626" s="115"/>
      <c r="AF1626" s="115"/>
      <c r="AG1626" s="115"/>
      <c r="AH1626" s="115"/>
      <c r="AI1626" s="115"/>
      <c r="AJ1626" s="115"/>
      <c r="AK1626" s="115"/>
      <c r="AL1626" s="115"/>
      <c r="AM1626" s="115"/>
      <c r="AN1626" s="115"/>
      <c r="AO1626" s="115"/>
      <c r="AP1626" s="115"/>
      <c r="AQ1626" s="115"/>
      <c r="AR1626" s="115"/>
      <c r="AS1626" s="115"/>
      <c r="AT1626" s="115"/>
      <c r="AU1626" s="115"/>
      <c r="AV1626" s="115"/>
      <c r="AW1626" s="115"/>
      <c r="AX1626" s="115"/>
      <c r="AY1626" s="115"/>
      <c r="AZ1626" s="115"/>
      <c r="BA1626" s="115"/>
      <c r="BB1626" s="115"/>
      <c r="BC1626" s="115"/>
      <c r="BD1626" s="115"/>
      <c r="BE1626" s="115"/>
      <c r="BF1626" s="122"/>
      <c r="BG1626" s="122"/>
      <c r="BH1626" s="122"/>
      <c r="BI1626" s="115"/>
      <c r="BJ1626" s="115"/>
      <c r="BK1626" s="115"/>
      <c r="BL1626" s="115"/>
      <c r="BM1626" s="115"/>
      <c r="BN1626" s="115"/>
      <c r="BO1626" s="115"/>
      <c r="BP1626" s="115"/>
      <c r="BQ1626" s="115"/>
      <c r="BR1626" s="115"/>
      <c r="BS1626" s="115"/>
      <c r="BT1626" s="115"/>
      <c r="BU1626" s="115"/>
      <c r="BV1626" s="115"/>
      <c r="BW1626" s="17"/>
      <c r="BX1626" s="15"/>
      <c r="CB1626" s="117"/>
      <c r="CC1626" s="116"/>
      <c r="CD1626" s="116"/>
      <c r="CE1626" s="116"/>
    </row>
    <row r="1627" spans="3:83" ht="19.5" x14ac:dyDescent="0.4">
      <c r="BW1627" s="26"/>
      <c r="BX1627" s="15"/>
      <c r="CB1627" s="117"/>
      <c r="CC1627" s="116"/>
      <c r="CD1627" s="116"/>
      <c r="CE1627" s="116"/>
    </row>
    <row r="1628" spans="3:83" ht="19.5" x14ac:dyDescent="0.4">
      <c r="BW1628" s="26"/>
      <c r="BX1628" s="13"/>
      <c r="CB1628" s="117"/>
      <c r="CC1628" s="116"/>
      <c r="CD1628" s="116"/>
      <c r="CE1628" s="116"/>
    </row>
    <row r="1629" spans="3:83" ht="19.5" x14ac:dyDescent="0.4">
      <c r="BC1629" s="115"/>
      <c r="BD1629" s="115"/>
      <c r="BE1629" s="115"/>
      <c r="BF1629" s="122"/>
      <c r="BG1629" s="122"/>
      <c r="BH1629" s="122"/>
      <c r="BI1629" s="115"/>
      <c r="BJ1629" s="115"/>
      <c r="BK1629" s="115"/>
      <c r="BL1629" s="115"/>
      <c r="BM1629" s="115"/>
      <c r="BN1629" s="115"/>
      <c r="BO1629" s="115"/>
      <c r="BP1629" s="115"/>
      <c r="BQ1629" s="115"/>
      <c r="BR1629" s="115"/>
      <c r="BS1629" s="115"/>
      <c r="BT1629" s="115"/>
      <c r="BU1629" s="115"/>
      <c r="BV1629" s="115"/>
      <c r="BW1629" s="26"/>
      <c r="BX1629" s="13"/>
      <c r="CB1629" s="117"/>
      <c r="CC1629" s="116"/>
      <c r="CD1629" s="116"/>
      <c r="CE1629" s="116"/>
    </row>
    <row r="1630" spans="3:83" ht="19.5" x14ac:dyDescent="0.4">
      <c r="D1630" s="115"/>
      <c r="E1630" s="115"/>
      <c r="F1630" s="115"/>
      <c r="G1630" s="115"/>
      <c r="H1630" s="115"/>
      <c r="I1630" s="115"/>
      <c r="J1630" s="115"/>
      <c r="K1630" s="115"/>
      <c r="L1630" s="115"/>
      <c r="M1630" s="115"/>
      <c r="N1630" s="115"/>
      <c r="O1630" s="115"/>
      <c r="P1630" s="115"/>
      <c r="Q1630" s="115"/>
      <c r="R1630" s="115"/>
      <c r="S1630" s="115"/>
      <c r="T1630" s="115"/>
      <c r="U1630" s="115"/>
      <c r="V1630" s="115"/>
      <c r="W1630" s="115"/>
      <c r="X1630" s="115"/>
      <c r="Y1630" s="115"/>
      <c r="Z1630" s="115"/>
      <c r="AA1630" s="115"/>
      <c r="AB1630" s="115"/>
      <c r="AC1630" s="115"/>
      <c r="AD1630" s="115"/>
      <c r="AE1630" s="115"/>
      <c r="AF1630" s="115"/>
      <c r="AG1630" s="115"/>
      <c r="AH1630" s="115"/>
      <c r="AI1630" s="115"/>
      <c r="AJ1630" s="115"/>
      <c r="AK1630" s="115"/>
      <c r="AL1630" s="115"/>
      <c r="AM1630" s="115"/>
      <c r="AN1630" s="115"/>
      <c r="AO1630" s="115"/>
      <c r="AP1630" s="115"/>
      <c r="AQ1630" s="115"/>
      <c r="AR1630" s="115"/>
      <c r="AS1630" s="115"/>
      <c r="AT1630" s="115"/>
      <c r="AU1630" s="115"/>
      <c r="AV1630" s="115"/>
      <c r="AW1630" s="115"/>
      <c r="AX1630" s="115"/>
      <c r="AY1630" s="115"/>
      <c r="AZ1630" s="115"/>
      <c r="BA1630" s="115"/>
      <c r="BB1630" s="115"/>
      <c r="BC1630" s="115"/>
      <c r="BD1630" s="115"/>
      <c r="BE1630" s="115"/>
      <c r="BF1630" s="122"/>
      <c r="BG1630" s="122"/>
      <c r="BH1630" s="122"/>
      <c r="BI1630" s="115"/>
      <c r="BJ1630" s="115"/>
      <c r="BK1630" s="115"/>
      <c r="BL1630" s="115"/>
      <c r="BM1630" s="115"/>
      <c r="BN1630" s="115"/>
      <c r="BO1630" s="115"/>
      <c r="BP1630" s="115"/>
      <c r="BQ1630" s="115"/>
      <c r="BR1630" s="115"/>
      <c r="BS1630" s="115"/>
      <c r="BT1630" s="115"/>
      <c r="BU1630" s="115"/>
      <c r="BV1630" s="115"/>
      <c r="BW1630" s="26"/>
      <c r="BX1630" s="13"/>
      <c r="CB1630" s="117"/>
      <c r="CC1630" s="116"/>
      <c r="CD1630" s="116"/>
      <c r="CE1630" s="116"/>
    </row>
    <row r="1631" spans="3:83" ht="19.5" x14ac:dyDescent="0.4">
      <c r="D1631" s="115"/>
      <c r="E1631" s="115"/>
      <c r="F1631" s="115"/>
      <c r="G1631" s="115"/>
      <c r="H1631" s="115"/>
      <c r="I1631" s="115"/>
      <c r="J1631" s="115"/>
      <c r="K1631" s="115"/>
      <c r="L1631" s="115"/>
      <c r="M1631" s="115"/>
      <c r="N1631" s="115"/>
      <c r="O1631" s="115"/>
      <c r="P1631" s="115"/>
      <c r="Q1631" s="115"/>
      <c r="R1631" s="115"/>
      <c r="S1631" s="115"/>
      <c r="T1631" s="115"/>
      <c r="U1631" s="115"/>
      <c r="V1631" s="115"/>
      <c r="W1631" s="115"/>
      <c r="X1631" s="115"/>
      <c r="Y1631" s="115"/>
      <c r="Z1631" s="115"/>
      <c r="AA1631" s="115"/>
      <c r="AB1631" s="115"/>
      <c r="AC1631" s="115"/>
      <c r="AD1631" s="115"/>
      <c r="AE1631" s="115"/>
      <c r="AF1631" s="115"/>
      <c r="AG1631" s="115"/>
      <c r="AH1631" s="115"/>
      <c r="AI1631" s="115"/>
      <c r="AJ1631" s="115"/>
      <c r="AK1631" s="115"/>
      <c r="AL1631" s="115"/>
      <c r="AM1631" s="115"/>
      <c r="AN1631" s="115"/>
      <c r="AO1631" s="115"/>
      <c r="AP1631" s="115"/>
      <c r="AQ1631" s="115"/>
      <c r="AR1631" s="115"/>
      <c r="AS1631" s="115"/>
      <c r="AT1631" s="115"/>
      <c r="AU1631" s="115"/>
      <c r="AV1631" s="115"/>
      <c r="AW1631" s="115"/>
      <c r="AX1631" s="115"/>
      <c r="AY1631" s="115"/>
      <c r="AZ1631" s="115"/>
      <c r="BA1631" s="115"/>
      <c r="BB1631" s="115"/>
      <c r="BC1631" s="115"/>
      <c r="BD1631" s="115"/>
      <c r="BE1631" s="115"/>
      <c r="BF1631" s="122"/>
      <c r="BG1631" s="122"/>
      <c r="BH1631" s="122"/>
      <c r="BI1631" s="115"/>
      <c r="BJ1631" s="115"/>
      <c r="BK1631" s="115"/>
      <c r="BL1631" s="115"/>
      <c r="BM1631" s="115"/>
      <c r="BN1631" s="115"/>
      <c r="BO1631" s="115"/>
      <c r="BP1631" s="115"/>
      <c r="BQ1631" s="115"/>
      <c r="BR1631" s="115"/>
      <c r="BS1631" s="115"/>
      <c r="BT1631" s="115"/>
      <c r="BU1631" s="115"/>
      <c r="BV1631" s="115"/>
      <c r="BW1631" s="17"/>
      <c r="BX1631" s="13"/>
      <c r="CB1631" s="117"/>
      <c r="CC1631" s="116"/>
      <c r="CD1631" s="116"/>
      <c r="CE1631" s="116"/>
    </row>
    <row r="1632" spans="3:83" ht="19.5" x14ac:dyDescent="0.4">
      <c r="D1632" s="115"/>
      <c r="E1632" s="115"/>
      <c r="F1632" s="115"/>
      <c r="G1632" s="115"/>
      <c r="H1632" s="115"/>
      <c r="I1632" s="115"/>
      <c r="J1632" s="115"/>
      <c r="K1632" s="115"/>
      <c r="L1632" s="115"/>
      <c r="M1632" s="115"/>
      <c r="N1632" s="115"/>
      <c r="O1632" s="115"/>
      <c r="P1632" s="115"/>
      <c r="Q1632" s="115"/>
      <c r="R1632" s="115"/>
      <c r="S1632" s="115"/>
      <c r="T1632" s="115"/>
      <c r="U1632" s="115"/>
      <c r="V1632" s="115"/>
      <c r="W1632" s="115"/>
      <c r="X1632" s="115"/>
      <c r="Y1632" s="115"/>
      <c r="Z1632" s="115"/>
      <c r="AA1632" s="115"/>
      <c r="AB1632" s="115"/>
      <c r="AC1632" s="115"/>
      <c r="AD1632" s="115"/>
      <c r="AE1632" s="115"/>
      <c r="AF1632" s="115"/>
      <c r="AG1632" s="115"/>
      <c r="AH1632" s="115"/>
      <c r="AI1632" s="115"/>
      <c r="AJ1632" s="115"/>
      <c r="AK1632" s="115"/>
      <c r="AL1632" s="115"/>
      <c r="AM1632" s="115"/>
      <c r="AN1632" s="115"/>
      <c r="AO1632" s="115"/>
      <c r="AP1632" s="115"/>
      <c r="AQ1632" s="115"/>
      <c r="AR1632" s="115"/>
      <c r="AS1632" s="115"/>
      <c r="AT1632" s="115"/>
      <c r="AU1632" s="115"/>
      <c r="AV1632" s="115"/>
      <c r="AW1632" s="115"/>
      <c r="AX1632" s="115"/>
      <c r="AY1632" s="115"/>
      <c r="AZ1632" s="115"/>
      <c r="BA1632" s="115"/>
      <c r="BB1632" s="115"/>
      <c r="BC1632" s="115"/>
      <c r="BD1632" s="115"/>
      <c r="BE1632" s="115"/>
      <c r="BF1632" s="122"/>
      <c r="BG1632" s="122"/>
      <c r="BH1632" s="122"/>
      <c r="BI1632" s="115"/>
      <c r="BJ1632" s="115"/>
      <c r="BK1632" s="115"/>
      <c r="BL1632" s="115"/>
      <c r="BM1632" s="115"/>
      <c r="BN1632" s="115"/>
      <c r="BO1632" s="115"/>
      <c r="BP1632" s="115"/>
      <c r="BQ1632" s="115"/>
      <c r="BR1632" s="115"/>
      <c r="BS1632" s="115"/>
      <c r="BT1632" s="115"/>
      <c r="BU1632" s="115"/>
      <c r="BV1632" s="115"/>
      <c r="BW1632" s="26"/>
      <c r="BX1632" s="25"/>
      <c r="CB1632" s="117"/>
      <c r="CC1632" s="116"/>
      <c r="CD1632" s="116"/>
      <c r="CE1632" s="116"/>
    </row>
    <row r="1633" spans="1:83" ht="19.5" x14ac:dyDescent="0.4">
      <c r="D1633" s="115"/>
      <c r="E1633" s="115"/>
      <c r="F1633" s="115"/>
      <c r="G1633" s="115"/>
      <c r="H1633" s="115"/>
      <c r="I1633" s="115"/>
      <c r="J1633" s="115"/>
      <c r="K1633" s="115"/>
      <c r="L1633" s="115"/>
      <c r="M1633" s="115"/>
      <c r="N1633" s="115"/>
      <c r="O1633" s="115"/>
      <c r="P1633" s="115"/>
      <c r="Q1633" s="115"/>
      <c r="R1633" s="115"/>
      <c r="S1633" s="115"/>
      <c r="T1633" s="115"/>
      <c r="U1633" s="115"/>
      <c r="V1633" s="115"/>
      <c r="W1633" s="115"/>
      <c r="X1633" s="115"/>
      <c r="Y1633" s="115"/>
      <c r="Z1633" s="115"/>
      <c r="AA1633" s="115"/>
      <c r="AB1633" s="115"/>
      <c r="AC1633" s="115"/>
      <c r="AD1633" s="115"/>
      <c r="AE1633" s="115"/>
      <c r="AF1633" s="115"/>
      <c r="AG1633" s="115"/>
      <c r="AH1633" s="115"/>
      <c r="AI1633" s="115"/>
      <c r="AJ1633" s="115"/>
      <c r="AK1633" s="115"/>
      <c r="AL1633" s="115"/>
      <c r="AM1633" s="115"/>
      <c r="AN1633" s="115"/>
      <c r="AO1633" s="115"/>
      <c r="AP1633" s="115"/>
      <c r="AQ1633" s="115"/>
      <c r="AR1633" s="115"/>
      <c r="AS1633" s="115"/>
      <c r="AT1633" s="115"/>
      <c r="AU1633" s="115"/>
      <c r="AV1633" s="115"/>
      <c r="AW1633" s="115"/>
      <c r="AX1633" s="115"/>
      <c r="AY1633" s="115"/>
      <c r="AZ1633" s="115"/>
      <c r="BA1633" s="115"/>
      <c r="BB1633" s="115"/>
      <c r="BC1633" s="115"/>
      <c r="BD1633" s="115"/>
      <c r="BE1633" s="115"/>
      <c r="BF1633" s="122"/>
      <c r="BG1633" s="122"/>
      <c r="BH1633" s="122"/>
      <c r="BI1633" s="115"/>
      <c r="BJ1633" s="115"/>
      <c r="BK1633" s="115"/>
      <c r="BL1633" s="115"/>
      <c r="BM1633" s="115"/>
      <c r="BN1633" s="115"/>
      <c r="BO1633" s="115"/>
      <c r="BP1633" s="115"/>
      <c r="BQ1633" s="115"/>
      <c r="BR1633" s="115"/>
      <c r="BS1633" s="115"/>
      <c r="BT1633" s="115"/>
      <c r="BU1633" s="115"/>
      <c r="BV1633" s="115"/>
      <c r="BW1633" s="17"/>
      <c r="BX1633" s="13"/>
      <c r="CB1633" s="117"/>
      <c r="CC1633" s="116"/>
      <c r="CD1633" s="116"/>
      <c r="CE1633" s="116"/>
    </row>
    <row r="1634" spans="1:83" ht="19.5" x14ac:dyDescent="0.4">
      <c r="D1634" s="115"/>
      <c r="E1634" s="115"/>
      <c r="F1634" s="115"/>
      <c r="G1634" s="115"/>
      <c r="H1634" s="115"/>
      <c r="I1634" s="115"/>
      <c r="J1634" s="115"/>
      <c r="K1634" s="115"/>
      <c r="L1634" s="115"/>
      <c r="M1634" s="115"/>
      <c r="N1634" s="115"/>
      <c r="O1634" s="115"/>
      <c r="P1634" s="115"/>
      <c r="Q1634" s="115"/>
      <c r="R1634" s="115"/>
      <c r="S1634" s="115"/>
      <c r="T1634" s="115"/>
      <c r="U1634" s="115"/>
      <c r="V1634" s="115"/>
      <c r="W1634" s="115"/>
      <c r="X1634" s="115"/>
      <c r="Y1634" s="115"/>
      <c r="Z1634" s="115"/>
      <c r="AA1634" s="115"/>
      <c r="AB1634" s="115"/>
      <c r="AC1634" s="115"/>
      <c r="AD1634" s="115"/>
      <c r="AE1634" s="115"/>
      <c r="AF1634" s="115"/>
      <c r="AG1634" s="115"/>
      <c r="AH1634" s="115"/>
      <c r="AI1634" s="115"/>
      <c r="AJ1634" s="115"/>
      <c r="AK1634" s="115"/>
      <c r="AL1634" s="115"/>
      <c r="AM1634" s="115"/>
      <c r="AN1634" s="115"/>
      <c r="AO1634" s="115"/>
      <c r="AP1634" s="115"/>
      <c r="AQ1634" s="115"/>
      <c r="AR1634" s="115"/>
      <c r="AS1634" s="115"/>
      <c r="AT1634" s="115"/>
      <c r="AU1634" s="115"/>
      <c r="AV1634" s="115"/>
      <c r="AW1634" s="115"/>
      <c r="AX1634" s="115"/>
      <c r="AY1634" s="115"/>
      <c r="AZ1634" s="115"/>
      <c r="BA1634" s="115"/>
      <c r="BB1634" s="115"/>
      <c r="BC1634" s="115"/>
      <c r="BD1634" s="115"/>
      <c r="BE1634" s="115"/>
      <c r="BF1634" s="122"/>
      <c r="BG1634" s="122"/>
      <c r="BH1634" s="122"/>
      <c r="BI1634" s="115"/>
      <c r="BJ1634" s="115"/>
      <c r="BK1634" s="115"/>
      <c r="BL1634" s="115"/>
      <c r="BM1634" s="115"/>
      <c r="BN1634" s="115"/>
      <c r="BO1634" s="115"/>
      <c r="BP1634" s="115"/>
      <c r="BQ1634" s="115"/>
      <c r="BR1634" s="115"/>
      <c r="BS1634" s="115"/>
      <c r="BT1634" s="115"/>
      <c r="BU1634" s="115"/>
      <c r="BV1634" s="115"/>
      <c r="BW1634" s="26"/>
      <c r="BX1634" s="13"/>
      <c r="CB1634" s="117"/>
      <c r="CC1634" s="116"/>
      <c r="CD1634" s="116"/>
      <c r="CE1634" s="116"/>
    </row>
    <row r="1635" spans="1:83" ht="19.5" x14ac:dyDescent="0.4">
      <c r="A1635" s="115"/>
      <c r="B1635" s="115"/>
      <c r="C1635" s="115"/>
      <c r="D1635" s="115"/>
      <c r="E1635" s="115"/>
      <c r="F1635" s="115"/>
      <c r="G1635" s="115"/>
      <c r="H1635" s="115"/>
      <c r="I1635" s="115"/>
      <c r="J1635" s="115"/>
      <c r="K1635" s="115"/>
      <c r="L1635" s="115"/>
      <c r="M1635" s="115"/>
      <c r="N1635" s="115"/>
      <c r="O1635" s="115"/>
      <c r="P1635" s="115"/>
      <c r="Q1635" s="115"/>
      <c r="R1635" s="115"/>
      <c r="S1635" s="115"/>
      <c r="T1635" s="115"/>
      <c r="U1635" s="115"/>
      <c r="V1635" s="115"/>
      <c r="W1635" s="115"/>
      <c r="X1635" s="115"/>
      <c r="Y1635" s="115"/>
      <c r="Z1635" s="115"/>
      <c r="AA1635" s="115"/>
      <c r="AB1635" s="115"/>
      <c r="AC1635" s="115"/>
      <c r="AD1635" s="115"/>
      <c r="AE1635" s="115"/>
      <c r="AF1635" s="115"/>
      <c r="AG1635" s="115"/>
      <c r="AH1635" s="115"/>
      <c r="AI1635" s="115"/>
      <c r="AJ1635" s="115"/>
      <c r="AK1635" s="115"/>
      <c r="AL1635" s="115"/>
      <c r="AM1635" s="115"/>
      <c r="AN1635" s="115"/>
      <c r="AO1635" s="115"/>
      <c r="AP1635" s="115"/>
      <c r="AQ1635" s="115"/>
      <c r="AR1635" s="115"/>
      <c r="AS1635" s="115"/>
      <c r="AT1635" s="115"/>
      <c r="AU1635" s="115"/>
      <c r="AV1635" s="115"/>
      <c r="AW1635" s="115"/>
      <c r="AX1635" s="115"/>
      <c r="AY1635" s="115"/>
      <c r="AZ1635" s="115"/>
      <c r="BA1635" s="115"/>
      <c r="BB1635" s="115"/>
      <c r="BC1635" s="115"/>
      <c r="BD1635" s="115"/>
      <c r="BE1635" s="115"/>
      <c r="BF1635" s="122"/>
      <c r="BG1635" s="122"/>
      <c r="BH1635" s="122"/>
      <c r="BI1635" s="115"/>
      <c r="BJ1635" s="115"/>
      <c r="BK1635" s="115"/>
      <c r="BL1635" s="115"/>
      <c r="BM1635" s="115"/>
      <c r="BN1635" s="115"/>
      <c r="BO1635" s="115"/>
      <c r="BP1635" s="115"/>
      <c r="BQ1635" s="115"/>
      <c r="BR1635" s="115"/>
      <c r="BS1635" s="115"/>
      <c r="BT1635" s="115"/>
      <c r="BU1635" s="115"/>
      <c r="BV1635" s="115"/>
      <c r="BW1635" s="26"/>
      <c r="BX1635" s="13"/>
      <c r="CB1635" s="117"/>
      <c r="CC1635" s="116"/>
      <c r="CD1635" s="116"/>
      <c r="CE1635" s="116"/>
    </row>
    <row r="1636" spans="1:83" ht="19.5" x14ac:dyDescent="0.4">
      <c r="A1636" s="115"/>
      <c r="B1636" s="115"/>
      <c r="C1636" s="115"/>
      <c r="D1636" s="115"/>
      <c r="E1636" s="115"/>
      <c r="F1636" s="115"/>
      <c r="G1636" s="115"/>
      <c r="H1636" s="115"/>
      <c r="I1636" s="115"/>
      <c r="J1636" s="115"/>
      <c r="K1636" s="115"/>
      <c r="L1636" s="115"/>
      <c r="M1636" s="115"/>
      <c r="N1636" s="115"/>
      <c r="O1636" s="115"/>
      <c r="P1636" s="115"/>
      <c r="Q1636" s="115"/>
      <c r="R1636" s="115"/>
      <c r="S1636" s="115"/>
      <c r="T1636" s="115"/>
      <c r="U1636" s="115"/>
      <c r="V1636" s="115"/>
      <c r="W1636" s="115"/>
      <c r="X1636" s="115"/>
      <c r="Y1636" s="115"/>
      <c r="Z1636" s="115"/>
      <c r="AA1636" s="115"/>
      <c r="AB1636" s="115"/>
      <c r="AC1636" s="115"/>
      <c r="AD1636" s="115"/>
      <c r="AE1636" s="115"/>
      <c r="AF1636" s="115"/>
      <c r="AG1636" s="115"/>
      <c r="AH1636" s="115"/>
      <c r="AI1636" s="115"/>
      <c r="AJ1636" s="115"/>
      <c r="AK1636" s="115"/>
      <c r="AL1636" s="115"/>
      <c r="AM1636" s="115"/>
      <c r="AN1636" s="115"/>
      <c r="AO1636" s="115"/>
      <c r="AP1636" s="115"/>
      <c r="AQ1636" s="115"/>
      <c r="AR1636" s="115"/>
      <c r="AS1636" s="115"/>
      <c r="AT1636" s="115"/>
      <c r="AU1636" s="115"/>
      <c r="AV1636" s="115"/>
      <c r="AW1636" s="115"/>
      <c r="AX1636" s="115"/>
      <c r="AY1636" s="115"/>
      <c r="AZ1636" s="115"/>
      <c r="BA1636" s="115"/>
      <c r="BB1636" s="115"/>
      <c r="BC1636" s="115"/>
      <c r="BD1636" s="115"/>
      <c r="BE1636" s="115"/>
      <c r="BF1636" s="122"/>
      <c r="BG1636" s="122"/>
      <c r="BH1636" s="122"/>
      <c r="BI1636" s="115"/>
      <c r="BJ1636" s="115"/>
      <c r="BK1636" s="115"/>
      <c r="BL1636" s="115"/>
      <c r="BM1636" s="115"/>
      <c r="BN1636" s="115"/>
      <c r="BO1636" s="115"/>
      <c r="BP1636" s="115"/>
      <c r="BQ1636" s="115"/>
      <c r="BR1636" s="115"/>
      <c r="BS1636" s="115"/>
      <c r="BT1636" s="115"/>
      <c r="BU1636" s="115"/>
      <c r="BV1636" s="115"/>
      <c r="BW1636" s="26"/>
      <c r="BX1636" s="13"/>
      <c r="CB1636" s="117"/>
      <c r="CC1636" s="116"/>
      <c r="CD1636" s="116"/>
      <c r="CE1636" s="116"/>
    </row>
    <row r="1637" spans="1:83" ht="19.5" x14ac:dyDescent="0.4">
      <c r="A1637" s="115"/>
      <c r="B1637" s="115"/>
      <c r="C1637" s="115"/>
      <c r="D1637" s="115"/>
      <c r="E1637" s="115"/>
      <c r="F1637" s="115"/>
      <c r="G1637" s="115"/>
      <c r="H1637" s="115"/>
      <c r="I1637" s="115"/>
      <c r="J1637" s="115"/>
      <c r="K1637" s="115"/>
      <c r="L1637" s="115"/>
      <c r="M1637" s="115"/>
      <c r="N1637" s="115"/>
      <c r="O1637" s="115"/>
      <c r="P1637" s="115"/>
      <c r="Q1637" s="115"/>
      <c r="R1637" s="115"/>
      <c r="S1637" s="115"/>
      <c r="T1637" s="115"/>
      <c r="U1637" s="115"/>
      <c r="V1637" s="115"/>
      <c r="W1637" s="115"/>
      <c r="X1637" s="115"/>
      <c r="Y1637" s="115"/>
      <c r="Z1637" s="115"/>
      <c r="AA1637" s="115"/>
      <c r="AB1637" s="115"/>
      <c r="AC1637" s="115"/>
      <c r="AD1637" s="115"/>
      <c r="AE1637" s="115"/>
      <c r="AF1637" s="115"/>
      <c r="AG1637" s="115"/>
      <c r="AH1637" s="115"/>
      <c r="AI1637" s="115"/>
      <c r="AJ1637" s="115"/>
      <c r="AK1637" s="115"/>
      <c r="AL1637" s="115"/>
      <c r="AM1637" s="115"/>
      <c r="AN1637" s="115"/>
      <c r="AO1637" s="115"/>
      <c r="AP1637" s="115"/>
      <c r="AQ1637" s="115"/>
      <c r="AR1637" s="115"/>
      <c r="AS1637" s="115"/>
      <c r="AT1637" s="115"/>
      <c r="AU1637" s="115"/>
      <c r="AV1637" s="115"/>
      <c r="AW1637" s="115"/>
      <c r="AX1637" s="115"/>
      <c r="AY1637" s="115"/>
      <c r="AZ1637" s="115"/>
      <c r="BA1637" s="115"/>
      <c r="BB1637" s="115"/>
      <c r="BC1637" s="115"/>
      <c r="BD1637" s="115"/>
      <c r="BE1637" s="115"/>
      <c r="BF1637" s="122"/>
      <c r="BG1637" s="122"/>
      <c r="BH1637" s="122"/>
      <c r="BI1637" s="115"/>
      <c r="BJ1637" s="115"/>
      <c r="BK1637" s="115"/>
      <c r="BL1637" s="115"/>
      <c r="BM1637" s="115"/>
      <c r="BN1637" s="115"/>
      <c r="BO1637" s="115"/>
      <c r="BP1637" s="115"/>
      <c r="BQ1637" s="115"/>
      <c r="BR1637" s="115"/>
      <c r="BS1637" s="115"/>
      <c r="BT1637" s="115"/>
      <c r="BU1637" s="115"/>
      <c r="BV1637" s="115"/>
      <c r="BW1637" s="26"/>
      <c r="BX1637" s="13"/>
      <c r="CB1637" s="117"/>
      <c r="CC1637" s="116"/>
      <c r="CD1637" s="116"/>
      <c r="CE1637" s="116"/>
    </row>
    <row r="1638" spans="1:83" ht="19.5" x14ac:dyDescent="0.4">
      <c r="A1638" s="115"/>
      <c r="B1638" s="115"/>
      <c r="C1638" s="115"/>
      <c r="D1638" s="115"/>
      <c r="E1638" s="115"/>
      <c r="F1638" s="115"/>
      <c r="G1638" s="115"/>
      <c r="H1638" s="115"/>
      <c r="I1638" s="115"/>
      <c r="J1638" s="115"/>
      <c r="K1638" s="115"/>
      <c r="L1638" s="115"/>
      <c r="M1638" s="115"/>
      <c r="N1638" s="115"/>
      <c r="O1638" s="115"/>
      <c r="P1638" s="115"/>
      <c r="Q1638" s="115"/>
      <c r="R1638" s="115"/>
      <c r="S1638" s="115"/>
      <c r="T1638" s="115"/>
      <c r="U1638" s="115"/>
      <c r="V1638" s="115"/>
      <c r="W1638" s="115"/>
      <c r="X1638" s="115"/>
      <c r="Y1638" s="115"/>
      <c r="Z1638" s="115"/>
      <c r="AA1638" s="115"/>
      <c r="AB1638" s="115"/>
      <c r="AC1638" s="115"/>
      <c r="AD1638" s="115"/>
      <c r="AE1638" s="115"/>
      <c r="AF1638" s="115"/>
      <c r="AG1638" s="115"/>
      <c r="AH1638" s="115"/>
      <c r="AI1638" s="115"/>
      <c r="AJ1638" s="115"/>
      <c r="AK1638" s="115"/>
      <c r="AL1638" s="115"/>
      <c r="AM1638" s="115"/>
      <c r="AN1638" s="115"/>
      <c r="AO1638" s="115"/>
      <c r="AP1638" s="115"/>
      <c r="AQ1638" s="115"/>
      <c r="AR1638" s="115"/>
      <c r="AS1638" s="115"/>
      <c r="AT1638" s="115"/>
      <c r="AU1638" s="115"/>
      <c r="AV1638" s="115"/>
      <c r="AW1638" s="115"/>
      <c r="AX1638" s="115"/>
      <c r="AY1638" s="115"/>
      <c r="AZ1638" s="115"/>
      <c r="BA1638" s="115"/>
      <c r="BB1638" s="115"/>
      <c r="BC1638" s="115"/>
      <c r="BD1638" s="115"/>
      <c r="BE1638" s="115"/>
      <c r="BF1638" s="122"/>
      <c r="BG1638" s="122"/>
      <c r="BH1638" s="122"/>
      <c r="BI1638" s="115"/>
      <c r="BJ1638" s="115"/>
      <c r="BK1638" s="115"/>
      <c r="BL1638" s="115"/>
      <c r="BM1638" s="115"/>
      <c r="BN1638" s="115"/>
      <c r="BO1638" s="115"/>
      <c r="BP1638" s="115"/>
      <c r="BQ1638" s="115"/>
      <c r="BR1638" s="115"/>
      <c r="BS1638" s="115"/>
      <c r="BT1638" s="115"/>
      <c r="BU1638" s="115"/>
      <c r="BV1638" s="115"/>
      <c r="BW1638" s="26"/>
      <c r="BX1638" s="13"/>
      <c r="CB1638" s="117"/>
      <c r="CC1638" s="116"/>
      <c r="CD1638" s="116"/>
      <c r="CE1638" s="116"/>
    </row>
    <row r="1639" spans="1:83" ht="19.5" x14ac:dyDescent="0.4">
      <c r="A1639" s="115"/>
      <c r="B1639" s="115"/>
      <c r="C1639" s="115"/>
      <c r="D1639" s="115"/>
      <c r="E1639" s="115"/>
      <c r="F1639" s="115"/>
      <c r="G1639" s="115"/>
      <c r="H1639" s="115"/>
      <c r="I1639" s="115"/>
      <c r="J1639" s="115"/>
      <c r="K1639" s="115"/>
      <c r="L1639" s="115"/>
      <c r="M1639" s="115"/>
      <c r="N1639" s="115"/>
      <c r="O1639" s="115"/>
      <c r="P1639" s="115"/>
      <c r="Q1639" s="115"/>
      <c r="R1639" s="115"/>
      <c r="S1639" s="115"/>
      <c r="T1639" s="115"/>
      <c r="U1639" s="115"/>
      <c r="V1639" s="115"/>
      <c r="W1639" s="115"/>
      <c r="X1639" s="115"/>
      <c r="Y1639" s="115"/>
      <c r="Z1639" s="115"/>
      <c r="AA1639" s="115"/>
      <c r="AB1639" s="115"/>
      <c r="AC1639" s="115"/>
      <c r="AD1639" s="115"/>
      <c r="AE1639" s="115"/>
      <c r="AF1639" s="115"/>
      <c r="AG1639" s="115"/>
      <c r="AH1639" s="115"/>
      <c r="AI1639" s="115"/>
      <c r="AJ1639" s="115"/>
      <c r="AK1639" s="115"/>
      <c r="AL1639" s="115"/>
      <c r="AM1639" s="115"/>
      <c r="AN1639" s="115"/>
      <c r="AO1639" s="115"/>
      <c r="AP1639" s="115"/>
      <c r="AQ1639" s="115"/>
      <c r="AR1639" s="115"/>
      <c r="AS1639" s="115"/>
      <c r="AT1639" s="115"/>
      <c r="AU1639" s="115"/>
      <c r="AV1639" s="115"/>
      <c r="AW1639" s="115"/>
      <c r="AX1639" s="115"/>
      <c r="AY1639" s="115"/>
      <c r="AZ1639" s="115"/>
      <c r="BA1639" s="115"/>
      <c r="BB1639" s="115"/>
      <c r="BC1639" s="115"/>
      <c r="BD1639" s="115"/>
      <c r="BE1639" s="115"/>
      <c r="BF1639" s="122"/>
      <c r="BG1639" s="122"/>
      <c r="BH1639" s="122"/>
      <c r="BI1639" s="115"/>
      <c r="BJ1639" s="115"/>
      <c r="BK1639" s="115"/>
      <c r="BL1639" s="115"/>
      <c r="BM1639" s="115"/>
      <c r="BN1639" s="115"/>
      <c r="BO1639" s="115"/>
      <c r="BP1639" s="115"/>
      <c r="BQ1639" s="115"/>
      <c r="BR1639" s="115"/>
      <c r="BS1639" s="115"/>
      <c r="BT1639" s="115"/>
      <c r="BU1639" s="115"/>
      <c r="BV1639" s="115"/>
      <c r="BW1639" s="26"/>
      <c r="BX1639" s="13"/>
      <c r="CB1639" s="117"/>
      <c r="CC1639" s="116"/>
      <c r="CD1639" s="116"/>
      <c r="CE1639" s="116"/>
    </row>
    <row r="1640" spans="1:83" ht="19.5" x14ac:dyDescent="0.4">
      <c r="A1640" s="115"/>
      <c r="B1640" s="115"/>
      <c r="C1640" s="115"/>
      <c r="D1640" s="115"/>
      <c r="E1640" s="115"/>
      <c r="F1640" s="115"/>
      <c r="G1640" s="115"/>
      <c r="H1640" s="115"/>
      <c r="I1640" s="115"/>
      <c r="J1640" s="115"/>
      <c r="K1640" s="115"/>
      <c r="L1640" s="115"/>
      <c r="M1640" s="115"/>
      <c r="N1640" s="115"/>
      <c r="O1640" s="115"/>
      <c r="P1640" s="115"/>
      <c r="Q1640" s="115"/>
      <c r="R1640" s="115"/>
      <c r="S1640" s="115"/>
      <c r="T1640" s="115"/>
      <c r="U1640" s="115"/>
      <c r="V1640" s="115"/>
      <c r="W1640" s="115"/>
      <c r="X1640" s="115"/>
      <c r="Y1640" s="115"/>
      <c r="Z1640" s="115"/>
      <c r="AA1640" s="115"/>
      <c r="AB1640" s="115"/>
      <c r="AC1640" s="115"/>
      <c r="AD1640" s="115"/>
      <c r="AE1640" s="115"/>
      <c r="AF1640" s="115"/>
      <c r="AG1640" s="115"/>
      <c r="AH1640" s="115"/>
      <c r="AI1640" s="115"/>
      <c r="AJ1640" s="115"/>
      <c r="AK1640" s="115"/>
      <c r="AL1640" s="115"/>
      <c r="AM1640" s="115"/>
      <c r="AN1640" s="115"/>
      <c r="AO1640" s="115"/>
      <c r="AP1640" s="115"/>
      <c r="AQ1640" s="115"/>
      <c r="AR1640" s="115"/>
      <c r="AS1640" s="115"/>
      <c r="AT1640" s="115"/>
      <c r="AU1640" s="115"/>
      <c r="AV1640" s="115"/>
      <c r="AW1640" s="115"/>
      <c r="AX1640" s="115"/>
      <c r="AY1640" s="115"/>
      <c r="AZ1640" s="115"/>
      <c r="BA1640" s="115"/>
      <c r="BB1640" s="115"/>
      <c r="BC1640" s="115"/>
      <c r="BD1640" s="115"/>
      <c r="BE1640" s="115"/>
      <c r="BF1640" s="122"/>
      <c r="BG1640" s="122"/>
      <c r="BH1640" s="122"/>
      <c r="BI1640" s="115"/>
      <c r="BJ1640" s="115"/>
      <c r="BK1640" s="115"/>
      <c r="BL1640" s="115"/>
      <c r="BM1640" s="115"/>
      <c r="BN1640" s="115"/>
      <c r="BO1640" s="115"/>
      <c r="BP1640" s="115"/>
      <c r="BQ1640" s="115"/>
      <c r="BR1640" s="115"/>
      <c r="BS1640" s="115"/>
      <c r="BT1640" s="115"/>
      <c r="BU1640" s="115"/>
      <c r="BV1640" s="115"/>
      <c r="BW1640" s="26"/>
      <c r="BX1640" s="13"/>
      <c r="CB1640" s="117"/>
      <c r="CC1640" s="116"/>
      <c r="CD1640" s="116"/>
      <c r="CE1640" s="116"/>
    </row>
    <row r="1641" spans="1:83" ht="19.5" x14ac:dyDescent="0.4">
      <c r="A1641" s="115"/>
      <c r="B1641" s="115"/>
      <c r="C1641" s="115"/>
      <c r="D1641" s="115"/>
      <c r="E1641" s="115"/>
      <c r="F1641" s="115"/>
      <c r="G1641" s="115"/>
      <c r="H1641" s="115"/>
      <c r="I1641" s="115"/>
      <c r="J1641" s="115"/>
      <c r="K1641" s="115"/>
      <c r="L1641" s="115"/>
      <c r="M1641" s="115"/>
      <c r="N1641" s="115"/>
      <c r="O1641" s="115"/>
      <c r="P1641" s="115"/>
      <c r="Q1641" s="115"/>
      <c r="R1641" s="115"/>
      <c r="S1641" s="115"/>
      <c r="T1641" s="115"/>
      <c r="U1641" s="115"/>
      <c r="V1641" s="115"/>
      <c r="W1641" s="115"/>
      <c r="X1641" s="115"/>
      <c r="Y1641" s="115"/>
      <c r="Z1641" s="115"/>
      <c r="AA1641" s="115"/>
      <c r="AB1641" s="115"/>
      <c r="AC1641" s="115"/>
      <c r="AD1641" s="115"/>
      <c r="AE1641" s="115"/>
      <c r="AF1641" s="115"/>
      <c r="AG1641" s="115"/>
      <c r="AH1641" s="115"/>
      <c r="AI1641" s="115"/>
      <c r="AJ1641" s="115"/>
      <c r="AK1641" s="115"/>
      <c r="AL1641" s="115"/>
      <c r="AM1641" s="115"/>
      <c r="AN1641" s="115"/>
      <c r="AO1641" s="115"/>
      <c r="AP1641" s="115"/>
      <c r="AQ1641" s="115"/>
      <c r="AR1641" s="115"/>
      <c r="AS1641" s="115"/>
      <c r="AT1641" s="115"/>
      <c r="AU1641" s="115"/>
      <c r="AV1641" s="115"/>
      <c r="AW1641" s="115"/>
      <c r="AX1641" s="115"/>
      <c r="AY1641" s="115"/>
      <c r="AZ1641" s="115"/>
      <c r="BA1641" s="115"/>
      <c r="BB1641" s="115"/>
      <c r="BC1641" s="115"/>
      <c r="BD1641" s="115"/>
      <c r="BE1641" s="115"/>
      <c r="BF1641" s="122"/>
      <c r="BG1641" s="122"/>
      <c r="BH1641" s="122"/>
      <c r="BI1641" s="115"/>
      <c r="BJ1641" s="115"/>
      <c r="BK1641" s="115"/>
      <c r="BL1641" s="115"/>
      <c r="BM1641" s="115"/>
      <c r="BN1641" s="115"/>
      <c r="BO1641" s="115"/>
      <c r="BP1641" s="115"/>
      <c r="BQ1641" s="115"/>
      <c r="BR1641" s="115"/>
      <c r="BS1641" s="115"/>
      <c r="BT1641" s="115"/>
      <c r="BU1641" s="115"/>
      <c r="BV1641" s="115"/>
      <c r="BW1641" s="26"/>
      <c r="BX1641" s="13"/>
      <c r="CB1641" s="117"/>
      <c r="CC1641" s="116"/>
      <c r="CD1641" s="116"/>
      <c r="CE1641" s="116"/>
    </row>
    <row r="1642" spans="1:83" ht="19.5" x14ac:dyDescent="0.4">
      <c r="A1642" s="115"/>
      <c r="B1642" s="115"/>
      <c r="C1642" s="115"/>
      <c r="D1642" s="115"/>
      <c r="E1642" s="115"/>
      <c r="F1642" s="115"/>
      <c r="G1642" s="115"/>
      <c r="H1642" s="115"/>
      <c r="I1642" s="115"/>
      <c r="J1642" s="115"/>
      <c r="K1642" s="115"/>
      <c r="L1642" s="115"/>
      <c r="M1642" s="115"/>
      <c r="N1642" s="115"/>
      <c r="O1642" s="115"/>
      <c r="P1642" s="115"/>
      <c r="Q1642" s="115"/>
      <c r="R1642" s="115"/>
      <c r="S1642" s="115"/>
      <c r="T1642" s="115"/>
      <c r="U1642" s="115"/>
      <c r="V1642" s="115"/>
      <c r="W1642" s="115"/>
      <c r="X1642" s="115"/>
      <c r="Y1642" s="115"/>
      <c r="Z1642" s="115"/>
      <c r="AA1642" s="115"/>
      <c r="AB1642" s="115"/>
      <c r="AC1642" s="115"/>
      <c r="AD1642" s="115"/>
      <c r="AE1642" s="115"/>
      <c r="AF1642" s="115"/>
      <c r="AG1642" s="115"/>
      <c r="AH1642" s="115"/>
      <c r="AI1642" s="115"/>
      <c r="AJ1642" s="115"/>
      <c r="AK1642" s="115"/>
      <c r="AL1642" s="115"/>
      <c r="AM1642" s="115"/>
      <c r="AN1642" s="115"/>
      <c r="AO1642" s="115"/>
      <c r="AP1642" s="115"/>
      <c r="AQ1642" s="115"/>
      <c r="AR1642" s="115"/>
      <c r="AS1642" s="115"/>
      <c r="AT1642" s="115"/>
      <c r="AU1642" s="115"/>
      <c r="AV1642" s="115"/>
      <c r="AW1642" s="115"/>
      <c r="AX1642" s="115"/>
      <c r="AY1642" s="115"/>
      <c r="AZ1642" s="115"/>
      <c r="BA1642" s="115"/>
      <c r="BB1642" s="115"/>
      <c r="BC1642" s="115"/>
      <c r="BD1642" s="115"/>
      <c r="BE1642" s="115"/>
      <c r="BF1642" s="122"/>
      <c r="BG1642" s="122"/>
      <c r="BH1642" s="122"/>
      <c r="BI1642" s="115"/>
      <c r="BJ1642" s="115"/>
      <c r="BK1642" s="115"/>
      <c r="BL1642" s="115"/>
      <c r="BM1642" s="115"/>
      <c r="BN1642" s="115"/>
      <c r="BO1642" s="115"/>
      <c r="BP1642" s="115"/>
      <c r="BQ1642" s="115"/>
      <c r="BR1642" s="115"/>
      <c r="BS1642" s="115"/>
      <c r="BT1642" s="115"/>
      <c r="BU1642" s="115"/>
      <c r="BV1642" s="115"/>
      <c r="BW1642" s="26"/>
      <c r="BX1642" s="15"/>
      <c r="CB1642" s="117"/>
      <c r="CC1642" s="116"/>
      <c r="CD1642" s="116"/>
      <c r="CE1642" s="116"/>
    </row>
    <row r="1643" spans="1:83" ht="19.5" x14ac:dyDescent="0.4">
      <c r="A1643" s="115"/>
      <c r="B1643" s="115"/>
      <c r="C1643" s="115"/>
      <c r="D1643" s="115"/>
      <c r="E1643" s="115"/>
      <c r="F1643" s="115"/>
      <c r="G1643" s="115"/>
      <c r="H1643" s="115"/>
      <c r="I1643" s="115"/>
      <c r="J1643" s="115"/>
      <c r="K1643" s="115"/>
      <c r="L1643" s="115"/>
      <c r="M1643" s="115"/>
      <c r="N1643" s="115"/>
      <c r="O1643" s="115"/>
      <c r="P1643" s="115"/>
      <c r="Q1643" s="115"/>
      <c r="R1643" s="115"/>
      <c r="S1643" s="115"/>
      <c r="T1643" s="115"/>
      <c r="U1643" s="115"/>
      <c r="V1643" s="115"/>
      <c r="W1643" s="115"/>
      <c r="X1643" s="115"/>
      <c r="Y1643" s="115"/>
      <c r="Z1643" s="115"/>
      <c r="AA1643" s="115"/>
      <c r="AB1643" s="115"/>
      <c r="AC1643" s="115"/>
      <c r="AD1643" s="115"/>
      <c r="AE1643" s="115"/>
      <c r="AF1643" s="115"/>
      <c r="AG1643" s="115"/>
      <c r="AH1643" s="115"/>
      <c r="AI1643" s="115"/>
      <c r="AJ1643" s="115"/>
      <c r="AK1643" s="115"/>
      <c r="AL1643" s="115"/>
      <c r="AM1643" s="115"/>
      <c r="AN1643" s="115"/>
      <c r="AO1643" s="115"/>
      <c r="AP1643" s="115"/>
      <c r="AQ1643" s="115"/>
      <c r="AR1643" s="115"/>
      <c r="AS1643" s="115"/>
      <c r="AT1643" s="115"/>
      <c r="AU1643" s="115"/>
      <c r="AV1643" s="115"/>
      <c r="AW1643" s="115"/>
      <c r="AX1643" s="115"/>
      <c r="AY1643" s="115"/>
      <c r="AZ1643" s="115"/>
      <c r="BA1643" s="115"/>
      <c r="BB1643" s="115"/>
      <c r="BC1643" s="115"/>
      <c r="BD1643" s="115"/>
      <c r="BE1643" s="115"/>
      <c r="BF1643" s="122"/>
      <c r="BG1643" s="122"/>
      <c r="BH1643" s="122"/>
      <c r="BI1643" s="115"/>
      <c r="BJ1643" s="115"/>
      <c r="BK1643" s="115"/>
      <c r="BL1643" s="115"/>
      <c r="BM1643" s="115"/>
      <c r="BN1643" s="115"/>
      <c r="BO1643" s="115"/>
      <c r="BP1643" s="115"/>
      <c r="BQ1643" s="115"/>
      <c r="BR1643" s="115"/>
      <c r="BS1643" s="115"/>
      <c r="BT1643" s="115"/>
      <c r="BU1643" s="115"/>
      <c r="BV1643" s="115"/>
      <c r="BW1643" s="26"/>
      <c r="BX1643" s="15"/>
      <c r="CB1643" s="117"/>
      <c r="CC1643" s="116"/>
      <c r="CD1643" s="116"/>
      <c r="CE1643" s="116"/>
    </row>
    <row r="1644" spans="1:83" ht="19.5" x14ac:dyDescent="0.4">
      <c r="A1644" s="115"/>
      <c r="B1644" s="115"/>
      <c r="C1644" s="115"/>
      <c r="D1644" s="115"/>
      <c r="E1644" s="115"/>
      <c r="F1644" s="115"/>
      <c r="G1644" s="115"/>
      <c r="H1644" s="115"/>
      <c r="I1644" s="115"/>
      <c r="J1644" s="115"/>
      <c r="K1644" s="115"/>
      <c r="L1644" s="115"/>
      <c r="M1644" s="115"/>
      <c r="N1644" s="115"/>
      <c r="O1644" s="115"/>
      <c r="P1644" s="115"/>
      <c r="Q1644" s="115"/>
      <c r="R1644" s="115"/>
      <c r="S1644" s="115"/>
      <c r="T1644" s="115"/>
      <c r="U1644" s="115"/>
      <c r="V1644" s="115"/>
      <c r="W1644" s="115"/>
      <c r="X1644" s="115"/>
      <c r="Y1644" s="115"/>
      <c r="Z1644" s="115"/>
      <c r="AA1644" s="115"/>
      <c r="AB1644" s="115"/>
      <c r="AC1644" s="115"/>
      <c r="AD1644" s="115"/>
      <c r="AE1644" s="115"/>
      <c r="AF1644" s="115"/>
      <c r="AG1644" s="115"/>
      <c r="AH1644" s="115"/>
      <c r="AI1644" s="115"/>
      <c r="AJ1644" s="115"/>
      <c r="AK1644" s="115"/>
      <c r="AL1644" s="115"/>
      <c r="AM1644" s="115"/>
      <c r="AN1644" s="115"/>
      <c r="AO1644" s="115"/>
      <c r="AP1644" s="115"/>
      <c r="AQ1644" s="115"/>
      <c r="AR1644" s="115"/>
      <c r="AS1644" s="115"/>
      <c r="AT1644" s="115"/>
      <c r="AU1644" s="115"/>
      <c r="AV1644" s="115"/>
      <c r="AW1644" s="115"/>
      <c r="AX1644" s="115"/>
      <c r="AY1644" s="115"/>
      <c r="AZ1644" s="115"/>
      <c r="BA1644" s="115"/>
      <c r="BB1644" s="115"/>
      <c r="BC1644" s="115"/>
      <c r="BD1644" s="115"/>
      <c r="BE1644" s="115"/>
      <c r="BF1644" s="122"/>
      <c r="BG1644" s="122"/>
      <c r="BH1644" s="122"/>
      <c r="BI1644" s="115"/>
      <c r="BJ1644" s="115"/>
      <c r="BK1644" s="115"/>
      <c r="BL1644" s="115"/>
      <c r="BM1644" s="115"/>
      <c r="BN1644" s="115"/>
      <c r="BO1644" s="115"/>
      <c r="BP1644" s="115"/>
      <c r="BQ1644" s="115"/>
      <c r="BR1644" s="115"/>
      <c r="BS1644" s="115"/>
      <c r="BT1644" s="115"/>
      <c r="BU1644" s="115"/>
      <c r="BV1644" s="115"/>
      <c r="BW1644" s="26"/>
      <c r="BX1644" s="15"/>
      <c r="CB1644" s="117"/>
      <c r="CC1644" s="116"/>
      <c r="CD1644" s="116"/>
      <c r="CE1644" s="116"/>
    </row>
    <row r="1645" spans="1:83" ht="19.5" x14ac:dyDescent="0.4">
      <c r="A1645" s="115"/>
      <c r="B1645" s="115"/>
      <c r="C1645" s="115"/>
      <c r="D1645" s="115"/>
      <c r="E1645" s="115"/>
      <c r="F1645" s="115"/>
      <c r="G1645" s="115"/>
      <c r="H1645" s="115"/>
      <c r="I1645" s="115"/>
      <c r="J1645" s="115"/>
      <c r="K1645" s="115"/>
      <c r="L1645" s="115"/>
      <c r="M1645" s="115"/>
      <c r="N1645" s="115"/>
      <c r="O1645" s="115"/>
      <c r="P1645" s="115"/>
      <c r="Q1645" s="115"/>
      <c r="R1645" s="115"/>
      <c r="S1645" s="115"/>
      <c r="T1645" s="115"/>
      <c r="U1645" s="115"/>
      <c r="V1645" s="115"/>
      <c r="W1645" s="115"/>
      <c r="X1645" s="115"/>
      <c r="Y1645" s="115"/>
      <c r="Z1645" s="115"/>
      <c r="AA1645" s="115"/>
      <c r="AB1645" s="115"/>
      <c r="AC1645" s="115"/>
      <c r="AD1645" s="115"/>
      <c r="AE1645" s="115"/>
      <c r="AF1645" s="115"/>
      <c r="AG1645" s="115"/>
      <c r="AH1645" s="115"/>
      <c r="AI1645" s="115"/>
      <c r="AJ1645" s="115"/>
      <c r="AK1645" s="115"/>
      <c r="AL1645" s="115"/>
      <c r="AM1645" s="115"/>
      <c r="AN1645" s="115"/>
      <c r="AO1645" s="115"/>
      <c r="AP1645" s="115"/>
      <c r="AQ1645" s="115"/>
      <c r="AR1645" s="115"/>
      <c r="AS1645" s="115"/>
      <c r="AT1645" s="115"/>
      <c r="AU1645" s="115"/>
      <c r="AV1645" s="115"/>
      <c r="AW1645" s="115"/>
      <c r="AX1645" s="115"/>
      <c r="AY1645" s="115"/>
      <c r="AZ1645" s="115"/>
      <c r="BA1645" s="115"/>
      <c r="BB1645" s="115"/>
      <c r="BC1645" s="115"/>
      <c r="BD1645" s="115"/>
      <c r="BE1645" s="115"/>
      <c r="BF1645" s="122"/>
      <c r="BG1645" s="122"/>
      <c r="BH1645" s="122"/>
      <c r="BI1645" s="115"/>
      <c r="BJ1645" s="115"/>
      <c r="BK1645" s="115"/>
      <c r="BL1645" s="115"/>
      <c r="BM1645" s="115"/>
      <c r="BN1645" s="115"/>
      <c r="BO1645" s="115"/>
      <c r="BP1645" s="115"/>
      <c r="BQ1645" s="115"/>
      <c r="BR1645" s="115"/>
      <c r="BS1645" s="115"/>
      <c r="BT1645" s="115"/>
      <c r="BU1645" s="115"/>
      <c r="BV1645" s="115"/>
      <c r="BW1645" s="26"/>
      <c r="BX1645" s="15"/>
      <c r="CB1645" s="117"/>
      <c r="CC1645" s="116"/>
      <c r="CD1645" s="116"/>
      <c r="CE1645" s="116"/>
    </row>
    <row r="1646" spans="1:83" ht="19.5" x14ac:dyDescent="0.4">
      <c r="A1646" s="115"/>
      <c r="B1646" s="115"/>
      <c r="C1646" s="115"/>
      <c r="D1646" s="115"/>
      <c r="E1646" s="115"/>
      <c r="F1646" s="115"/>
      <c r="G1646" s="115"/>
      <c r="H1646" s="115"/>
      <c r="I1646" s="115"/>
      <c r="J1646" s="115"/>
      <c r="K1646" s="115"/>
      <c r="L1646" s="115"/>
      <c r="M1646" s="115"/>
      <c r="N1646" s="115"/>
      <c r="O1646" s="115"/>
      <c r="P1646" s="115"/>
      <c r="Q1646" s="115"/>
      <c r="R1646" s="115"/>
      <c r="S1646" s="115"/>
      <c r="T1646" s="115"/>
      <c r="U1646" s="115"/>
      <c r="V1646" s="115"/>
      <c r="W1646" s="115"/>
      <c r="X1646" s="115"/>
      <c r="Y1646" s="115"/>
      <c r="Z1646" s="115"/>
      <c r="AA1646" s="115"/>
      <c r="AB1646" s="115"/>
      <c r="AC1646" s="115"/>
      <c r="AD1646" s="115"/>
      <c r="AE1646" s="115"/>
      <c r="AF1646" s="115"/>
      <c r="AG1646" s="115"/>
      <c r="AH1646" s="115"/>
      <c r="AI1646" s="115"/>
      <c r="AJ1646" s="115"/>
      <c r="AK1646" s="115"/>
      <c r="AL1646" s="115"/>
      <c r="AM1646" s="115"/>
      <c r="AN1646" s="115"/>
      <c r="AO1646" s="115"/>
      <c r="AP1646" s="115"/>
      <c r="AQ1646" s="115"/>
      <c r="AR1646" s="115"/>
      <c r="AS1646" s="115"/>
      <c r="AT1646" s="115"/>
      <c r="AU1646" s="115"/>
      <c r="AV1646" s="115"/>
      <c r="AW1646" s="115"/>
      <c r="AX1646" s="115"/>
      <c r="AY1646" s="115"/>
      <c r="AZ1646" s="115"/>
      <c r="BA1646" s="115"/>
      <c r="BB1646" s="115"/>
      <c r="BC1646" s="115"/>
      <c r="BD1646" s="115"/>
      <c r="BE1646" s="115"/>
      <c r="BF1646" s="122"/>
      <c r="BG1646" s="122"/>
      <c r="BH1646" s="122"/>
      <c r="BI1646" s="115"/>
      <c r="BJ1646" s="115"/>
      <c r="BK1646" s="115"/>
      <c r="BL1646" s="115"/>
      <c r="BM1646" s="115"/>
      <c r="BN1646" s="115"/>
      <c r="BO1646" s="115"/>
      <c r="BP1646" s="115"/>
      <c r="BQ1646" s="115"/>
      <c r="BR1646" s="115"/>
      <c r="BS1646" s="115"/>
      <c r="BT1646" s="115"/>
      <c r="BU1646" s="115"/>
      <c r="BV1646" s="115"/>
      <c r="BW1646" s="26"/>
      <c r="BX1646" s="25"/>
      <c r="CB1646" s="117"/>
      <c r="CC1646" s="116"/>
      <c r="CD1646" s="116"/>
      <c r="CE1646" s="116"/>
    </row>
    <row r="1647" spans="1:83" ht="19.5" x14ac:dyDescent="0.4">
      <c r="BW1647" s="26"/>
      <c r="BX1647" s="15"/>
      <c r="CB1647" s="117"/>
      <c r="CC1647" s="116"/>
      <c r="CD1647" s="116"/>
      <c r="CE1647" s="116"/>
    </row>
    <row r="1648" spans="1:83" ht="19.5" x14ac:dyDescent="0.4">
      <c r="BE1648" s="115"/>
      <c r="BF1648" s="122"/>
      <c r="BG1648" s="122"/>
      <c r="BH1648" s="122"/>
      <c r="BI1648" s="115"/>
      <c r="BJ1648" s="115"/>
      <c r="BK1648" s="115"/>
      <c r="BL1648" s="115"/>
      <c r="BM1648" s="115"/>
      <c r="BN1648" s="115"/>
      <c r="BO1648" s="115"/>
      <c r="BP1648" s="115"/>
      <c r="BQ1648" s="115"/>
      <c r="BR1648" s="115"/>
      <c r="BS1648" s="115"/>
      <c r="BT1648" s="115"/>
      <c r="BU1648" s="115"/>
      <c r="BV1648" s="115"/>
      <c r="BW1648" s="26"/>
      <c r="BX1648" s="15"/>
      <c r="CB1648" s="117"/>
      <c r="CC1648" s="116"/>
      <c r="CD1648" s="116"/>
      <c r="CE1648" s="116"/>
    </row>
    <row r="1649" spans="1:83" ht="19.5" x14ac:dyDescent="0.4">
      <c r="BC1649" s="115"/>
      <c r="BD1649" s="115"/>
      <c r="BE1649" s="115"/>
      <c r="BF1649" s="122"/>
      <c r="BG1649" s="122"/>
      <c r="BH1649" s="122"/>
      <c r="BI1649" s="115"/>
      <c r="BJ1649" s="115"/>
      <c r="BK1649" s="115"/>
      <c r="BL1649" s="115"/>
      <c r="BM1649" s="115"/>
      <c r="BN1649" s="115"/>
      <c r="BO1649" s="115"/>
      <c r="BP1649" s="115"/>
      <c r="BQ1649" s="115"/>
      <c r="BR1649" s="115"/>
      <c r="BS1649" s="115"/>
      <c r="BT1649" s="115"/>
      <c r="BU1649" s="115"/>
      <c r="BV1649" s="115"/>
      <c r="BW1649" s="26"/>
      <c r="BX1649" s="15"/>
      <c r="CB1649" s="117"/>
      <c r="CC1649" s="116"/>
      <c r="CD1649" s="116"/>
      <c r="CE1649" s="116"/>
    </row>
    <row r="1650" spans="1:83" ht="19.5" x14ac:dyDescent="0.4">
      <c r="BC1650" s="115"/>
      <c r="BD1650" s="115"/>
      <c r="BE1650" s="115"/>
      <c r="BF1650" s="122"/>
      <c r="BG1650" s="122"/>
      <c r="BH1650" s="122"/>
      <c r="BI1650" s="115"/>
      <c r="BJ1650" s="115"/>
      <c r="BK1650" s="115"/>
      <c r="BL1650" s="115"/>
      <c r="BM1650" s="115"/>
      <c r="BN1650" s="115"/>
      <c r="BO1650" s="115"/>
      <c r="BP1650" s="115"/>
      <c r="BQ1650" s="115"/>
      <c r="BR1650" s="115"/>
      <c r="BS1650" s="115"/>
      <c r="BT1650" s="115"/>
      <c r="BU1650" s="115"/>
      <c r="BV1650" s="115"/>
      <c r="BW1650" s="17"/>
      <c r="BX1650" s="15"/>
      <c r="CB1650" s="117"/>
      <c r="CC1650" s="116"/>
      <c r="CD1650" s="116"/>
      <c r="CE1650" s="116"/>
    </row>
    <row r="1651" spans="1:83" ht="19.5" x14ac:dyDescent="0.4">
      <c r="AZ1651" s="115"/>
      <c r="BA1651" s="115"/>
      <c r="BB1651" s="115"/>
      <c r="BC1651" s="115"/>
      <c r="BD1651" s="115"/>
      <c r="BE1651" s="115"/>
      <c r="BF1651" s="122"/>
      <c r="BG1651" s="122"/>
      <c r="BH1651" s="122"/>
      <c r="BI1651" s="115"/>
      <c r="BJ1651" s="115"/>
      <c r="BK1651" s="115"/>
      <c r="BL1651" s="115"/>
      <c r="BM1651" s="115"/>
      <c r="BN1651" s="115"/>
      <c r="BO1651" s="115"/>
      <c r="BP1651" s="115"/>
      <c r="BQ1651" s="115"/>
      <c r="BR1651" s="115"/>
      <c r="BS1651" s="115"/>
      <c r="BT1651" s="115"/>
      <c r="BU1651" s="115"/>
      <c r="BV1651" s="115"/>
      <c r="BW1651" s="26"/>
      <c r="BX1651" s="15"/>
      <c r="CB1651" s="117"/>
      <c r="CC1651" s="116"/>
      <c r="CD1651" s="116"/>
      <c r="CE1651" s="116"/>
    </row>
    <row r="1652" spans="1:83" ht="19.5" x14ac:dyDescent="0.4">
      <c r="AZ1652" s="115"/>
      <c r="BA1652" s="115"/>
      <c r="BB1652" s="115"/>
      <c r="BC1652" s="115"/>
      <c r="BD1652" s="115"/>
      <c r="BE1652" s="115"/>
      <c r="BF1652" s="122"/>
      <c r="BG1652" s="122"/>
      <c r="BH1652" s="122"/>
      <c r="BI1652" s="115"/>
      <c r="BJ1652" s="115"/>
      <c r="BK1652" s="115"/>
      <c r="BL1652" s="115"/>
      <c r="BM1652" s="115"/>
      <c r="BN1652" s="115"/>
      <c r="BO1652" s="115"/>
      <c r="BP1652" s="115"/>
      <c r="BQ1652" s="115"/>
      <c r="BR1652" s="115"/>
      <c r="BS1652" s="115"/>
      <c r="BT1652" s="115"/>
      <c r="BU1652" s="115"/>
      <c r="BV1652" s="115"/>
      <c r="BW1652" s="17"/>
      <c r="BX1652" s="15"/>
      <c r="CB1652" s="117"/>
      <c r="CC1652" s="116"/>
      <c r="CD1652" s="116"/>
      <c r="CE1652" s="116"/>
    </row>
    <row r="1653" spans="1:83" ht="19.5" x14ac:dyDescent="0.4">
      <c r="AZ1653" s="115"/>
      <c r="BA1653" s="115"/>
      <c r="BB1653" s="115"/>
      <c r="BC1653" s="115"/>
      <c r="BD1653" s="115"/>
      <c r="BE1653" s="115"/>
      <c r="BF1653" s="122"/>
      <c r="BG1653" s="122"/>
      <c r="BH1653" s="122"/>
      <c r="BI1653" s="115"/>
      <c r="BJ1653" s="115"/>
      <c r="BK1653" s="115"/>
      <c r="BL1653" s="115"/>
      <c r="BM1653" s="115"/>
      <c r="BN1653" s="115"/>
      <c r="BO1653" s="115"/>
      <c r="BP1653" s="115"/>
      <c r="BQ1653" s="115"/>
      <c r="BR1653" s="115"/>
      <c r="BS1653" s="115"/>
      <c r="BT1653" s="115"/>
      <c r="BU1653" s="115"/>
      <c r="BV1653" s="115"/>
      <c r="BW1653" s="26"/>
      <c r="BX1653" s="15"/>
      <c r="CB1653" s="117"/>
      <c r="CC1653" s="116"/>
      <c r="CD1653" s="116"/>
      <c r="CE1653" s="116"/>
    </row>
    <row r="1654" spans="1:83" ht="19.5" x14ac:dyDescent="0.4">
      <c r="AZ1654" s="115"/>
      <c r="BA1654" s="115"/>
      <c r="BB1654" s="115"/>
      <c r="BC1654" s="115"/>
      <c r="BD1654" s="115"/>
      <c r="BE1654" s="115"/>
      <c r="BF1654" s="122"/>
      <c r="BG1654" s="122"/>
      <c r="BH1654" s="122"/>
      <c r="BI1654" s="115"/>
      <c r="BJ1654" s="115"/>
      <c r="BK1654" s="115"/>
      <c r="BL1654" s="115"/>
      <c r="BM1654" s="115"/>
      <c r="BN1654" s="115"/>
      <c r="BO1654" s="115"/>
      <c r="BP1654" s="115"/>
      <c r="BQ1654" s="115"/>
      <c r="BR1654" s="115"/>
      <c r="BS1654" s="115"/>
      <c r="BT1654" s="115"/>
      <c r="BU1654" s="115"/>
      <c r="BV1654" s="115"/>
      <c r="BW1654" s="17"/>
      <c r="BX1654" s="13"/>
      <c r="CB1654" s="117"/>
      <c r="CC1654" s="116"/>
      <c r="CD1654" s="116"/>
      <c r="CE1654" s="116"/>
    </row>
    <row r="1655" spans="1:83" ht="19.5" x14ac:dyDescent="0.4">
      <c r="AZ1655" s="115"/>
      <c r="BA1655" s="115"/>
      <c r="BB1655" s="115"/>
      <c r="BC1655" s="115"/>
      <c r="BD1655" s="115"/>
      <c r="BE1655" s="115"/>
      <c r="BF1655" s="122"/>
      <c r="BG1655" s="122"/>
      <c r="BH1655" s="122"/>
      <c r="BI1655" s="115"/>
      <c r="BJ1655" s="115"/>
      <c r="BK1655" s="115"/>
      <c r="BL1655" s="115"/>
      <c r="BM1655" s="115"/>
      <c r="BN1655" s="115"/>
      <c r="BO1655" s="115"/>
      <c r="BP1655" s="115"/>
      <c r="BQ1655" s="115"/>
      <c r="BR1655" s="115"/>
      <c r="BS1655" s="115"/>
      <c r="BT1655" s="115"/>
      <c r="BU1655" s="115"/>
      <c r="BV1655" s="115"/>
      <c r="BW1655" s="17"/>
      <c r="BX1655" s="13"/>
      <c r="CB1655" s="117"/>
      <c r="CC1655" s="116"/>
      <c r="CD1655" s="116"/>
      <c r="CE1655" s="116"/>
    </row>
    <row r="1656" spans="1:83" ht="19.5" x14ac:dyDescent="0.4">
      <c r="BW1656" s="26"/>
      <c r="BX1656" s="13"/>
      <c r="CB1656" s="117"/>
      <c r="CC1656" s="116"/>
      <c r="CD1656" s="116"/>
      <c r="CE1656" s="116"/>
    </row>
    <row r="1657" spans="1:83" ht="19.5" x14ac:dyDescent="0.4">
      <c r="BE1657" s="115"/>
      <c r="BF1657" s="122"/>
      <c r="BG1657" s="122"/>
      <c r="BH1657" s="122"/>
      <c r="BI1657" s="115"/>
      <c r="BJ1657" s="115"/>
      <c r="BK1657" s="115"/>
      <c r="BL1657" s="115"/>
      <c r="BM1657" s="115"/>
      <c r="BN1657" s="115"/>
      <c r="BO1657" s="115"/>
      <c r="BP1657" s="115"/>
      <c r="BQ1657" s="115"/>
      <c r="BR1657" s="115"/>
      <c r="BS1657" s="115"/>
      <c r="BT1657" s="115"/>
      <c r="BU1657" s="115"/>
      <c r="BV1657" s="115"/>
      <c r="BW1657" s="17"/>
      <c r="BX1657" s="13"/>
      <c r="CB1657" s="117"/>
      <c r="CC1657" s="116"/>
      <c r="CD1657" s="116"/>
      <c r="CE1657" s="116"/>
    </row>
    <row r="1658" spans="1:83" ht="19.5" x14ac:dyDescent="0.4">
      <c r="A1658" s="115"/>
      <c r="B1658" s="115"/>
      <c r="C1658" s="115"/>
      <c r="D1658" s="115"/>
      <c r="E1658" s="115"/>
      <c r="F1658" s="115"/>
      <c r="G1658" s="115"/>
      <c r="H1658" s="115"/>
      <c r="I1658" s="115"/>
      <c r="J1658" s="115"/>
      <c r="K1658" s="115"/>
      <c r="L1658" s="115"/>
      <c r="M1658" s="115"/>
      <c r="N1658" s="115"/>
      <c r="O1658" s="115"/>
      <c r="P1658" s="115"/>
      <c r="Q1658" s="115"/>
      <c r="R1658" s="115"/>
      <c r="S1658" s="115"/>
      <c r="T1658" s="115"/>
      <c r="U1658" s="115"/>
      <c r="V1658" s="115"/>
      <c r="W1658" s="115"/>
      <c r="X1658" s="115"/>
      <c r="Y1658" s="115"/>
      <c r="Z1658" s="115"/>
      <c r="AA1658" s="115"/>
      <c r="AB1658" s="115"/>
      <c r="AC1658" s="115"/>
      <c r="AD1658" s="115"/>
      <c r="AE1658" s="115"/>
      <c r="AF1658" s="115"/>
      <c r="AG1658" s="115"/>
      <c r="AH1658" s="115"/>
      <c r="AI1658" s="115"/>
      <c r="AJ1658" s="115"/>
      <c r="AK1658" s="115"/>
      <c r="AL1658" s="115"/>
      <c r="AM1658" s="115"/>
      <c r="AN1658" s="115"/>
      <c r="AO1658" s="115"/>
      <c r="AP1658" s="115"/>
      <c r="AQ1658" s="115"/>
      <c r="AR1658" s="115"/>
      <c r="AS1658" s="115"/>
      <c r="AT1658" s="115"/>
      <c r="AU1658" s="115"/>
      <c r="AV1658" s="115"/>
      <c r="AW1658" s="115"/>
      <c r="AX1658" s="115"/>
      <c r="AY1658" s="115"/>
      <c r="AZ1658" s="115"/>
      <c r="BA1658" s="115"/>
      <c r="BB1658" s="115"/>
      <c r="BC1658" s="115"/>
      <c r="BD1658" s="115"/>
      <c r="BE1658" s="115"/>
      <c r="BF1658" s="122"/>
      <c r="BG1658" s="122"/>
      <c r="BH1658" s="122"/>
      <c r="BI1658" s="115"/>
      <c r="BJ1658" s="115"/>
      <c r="BK1658" s="115"/>
      <c r="BL1658" s="115"/>
      <c r="BM1658" s="115"/>
      <c r="BN1658" s="115"/>
      <c r="BO1658" s="115"/>
      <c r="BP1658" s="115"/>
      <c r="BQ1658" s="115"/>
      <c r="BR1658" s="115"/>
      <c r="BS1658" s="115"/>
      <c r="BT1658" s="115"/>
      <c r="BU1658" s="115"/>
      <c r="BV1658" s="115"/>
      <c r="BW1658" s="26"/>
      <c r="BX1658" s="13"/>
      <c r="CB1658" s="117"/>
      <c r="CC1658" s="116"/>
      <c r="CD1658" s="116"/>
      <c r="CE1658" s="116"/>
    </row>
    <row r="1659" spans="1:83" ht="19.5" x14ac:dyDescent="0.4">
      <c r="A1659" s="115"/>
      <c r="B1659" s="115"/>
      <c r="C1659" s="115"/>
      <c r="D1659" s="115"/>
      <c r="E1659" s="115"/>
      <c r="F1659" s="115"/>
      <c r="G1659" s="115"/>
      <c r="H1659" s="115"/>
      <c r="I1659" s="115"/>
      <c r="J1659" s="115"/>
      <c r="K1659" s="115"/>
      <c r="L1659" s="115"/>
      <c r="M1659" s="115"/>
      <c r="N1659" s="115"/>
      <c r="O1659" s="115"/>
      <c r="P1659" s="115"/>
      <c r="Q1659" s="115"/>
      <c r="R1659" s="115"/>
      <c r="S1659" s="115"/>
      <c r="T1659" s="115"/>
      <c r="U1659" s="115"/>
      <c r="V1659" s="115"/>
      <c r="W1659" s="115"/>
      <c r="X1659" s="115"/>
      <c r="Y1659" s="115"/>
      <c r="Z1659" s="115"/>
      <c r="AA1659" s="115"/>
      <c r="AB1659" s="115"/>
      <c r="AC1659" s="115"/>
      <c r="AD1659" s="115"/>
      <c r="AE1659" s="115"/>
      <c r="AF1659" s="115"/>
      <c r="AG1659" s="115"/>
      <c r="AH1659" s="115"/>
      <c r="AI1659" s="115"/>
      <c r="AJ1659" s="115"/>
      <c r="AK1659" s="115"/>
      <c r="AL1659" s="115"/>
      <c r="AM1659" s="115"/>
      <c r="AN1659" s="115"/>
      <c r="AO1659" s="115"/>
      <c r="AP1659" s="115"/>
      <c r="AQ1659" s="115"/>
      <c r="AR1659" s="115"/>
      <c r="AS1659" s="115"/>
      <c r="AT1659" s="115"/>
      <c r="AU1659" s="115"/>
      <c r="AV1659" s="115"/>
      <c r="AW1659" s="115"/>
      <c r="AX1659" s="115"/>
      <c r="AY1659" s="115"/>
      <c r="AZ1659" s="115"/>
      <c r="BA1659" s="115"/>
      <c r="BB1659" s="115"/>
      <c r="BC1659" s="115"/>
      <c r="BD1659" s="115"/>
      <c r="BE1659" s="115"/>
      <c r="BF1659" s="122"/>
      <c r="BG1659" s="122"/>
      <c r="BH1659" s="122"/>
      <c r="BI1659" s="115"/>
      <c r="BJ1659" s="115"/>
      <c r="BK1659" s="115"/>
      <c r="BL1659" s="115"/>
      <c r="BM1659" s="115"/>
      <c r="BN1659" s="115"/>
      <c r="BO1659" s="115"/>
      <c r="BP1659" s="115"/>
      <c r="BQ1659" s="115"/>
      <c r="BR1659" s="115"/>
      <c r="BS1659" s="115"/>
      <c r="BT1659" s="115"/>
      <c r="BU1659" s="115"/>
      <c r="BV1659" s="115"/>
      <c r="BW1659" s="26"/>
      <c r="BX1659" s="13"/>
      <c r="CB1659" s="117"/>
      <c r="CC1659" s="116"/>
      <c r="CD1659" s="116"/>
      <c r="CE1659" s="116"/>
    </row>
    <row r="1660" spans="1:83" ht="19.5" x14ac:dyDescent="0.4">
      <c r="A1660" s="115"/>
      <c r="B1660" s="115"/>
      <c r="C1660" s="115"/>
      <c r="D1660" s="115"/>
      <c r="E1660" s="115"/>
      <c r="F1660" s="115"/>
      <c r="G1660" s="115"/>
      <c r="H1660" s="115"/>
      <c r="I1660" s="115"/>
      <c r="J1660" s="115"/>
      <c r="K1660" s="115"/>
      <c r="L1660" s="115"/>
      <c r="M1660" s="115"/>
      <c r="N1660" s="115"/>
      <c r="O1660" s="115"/>
      <c r="P1660" s="115"/>
      <c r="Q1660" s="115"/>
      <c r="R1660" s="115"/>
      <c r="S1660" s="115"/>
      <c r="T1660" s="115"/>
      <c r="U1660" s="115"/>
      <c r="V1660" s="115"/>
      <c r="W1660" s="115"/>
      <c r="X1660" s="115"/>
      <c r="Y1660" s="115"/>
      <c r="Z1660" s="115"/>
      <c r="AA1660" s="115"/>
      <c r="AB1660" s="115"/>
      <c r="AC1660" s="115"/>
      <c r="AD1660" s="115"/>
      <c r="AE1660" s="115"/>
      <c r="AF1660" s="115"/>
      <c r="AG1660" s="115"/>
      <c r="AH1660" s="115"/>
      <c r="AI1660" s="115"/>
      <c r="AJ1660" s="115"/>
      <c r="AK1660" s="115"/>
      <c r="AL1660" s="115"/>
      <c r="AM1660" s="115"/>
      <c r="AN1660" s="115"/>
      <c r="AO1660" s="115"/>
      <c r="AP1660" s="115"/>
      <c r="AQ1660" s="115"/>
      <c r="AR1660" s="115"/>
      <c r="AS1660" s="115"/>
      <c r="AT1660" s="115"/>
      <c r="AU1660" s="115"/>
      <c r="AV1660" s="115"/>
      <c r="AW1660" s="115"/>
      <c r="AX1660" s="115"/>
      <c r="AY1660" s="115"/>
      <c r="AZ1660" s="115"/>
      <c r="BA1660" s="115"/>
      <c r="BB1660" s="115"/>
      <c r="BC1660" s="115"/>
      <c r="BD1660" s="115"/>
      <c r="BE1660" s="115"/>
      <c r="BF1660" s="122"/>
      <c r="BG1660" s="122"/>
      <c r="BH1660" s="122"/>
      <c r="BI1660" s="115"/>
      <c r="BJ1660" s="115"/>
      <c r="BK1660" s="115"/>
      <c r="BL1660" s="115"/>
      <c r="BM1660" s="115"/>
      <c r="BN1660" s="115"/>
      <c r="BO1660" s="115"/>
      <c r="BP1660" s="115"/>
      <c r="BQ1660" s="115"/>
      <c r="BR1660" s="115"/>
      <c r="BS1660" s="115"/>
      <c r="BT1660" s="115"/>
      <c r="BU1660" s="115"/>
      <c r="BV1660" s="115"/>
      <c r="BW1660" s="26"/>
      <c r="BX1660" s="13"/>
      <c r="CB1660" s="117"/>
      <c r="CC1660" s="116"/>
      <c r="CD1660" s="116"/>
      <c r="CE1660" s="116"/>
    </row>
    <row r="1661" spans="1:83" ht="19.5" x14ac:dyDescent="0.4">
      <c r="A1661" s="115"/>
      <c r="B1661" s="115"/>
      <c r="C1661" s="115"/>
      <c r="D1661" s="115"/>
      <c r="E1661" s="115"/>
      <c r="F1661" s="115"/>
      <c r="G1661" s="115"/>
      <c r="H1661" s="115"/>
      <c r="I1661" s="115"/>
      <c r="J1661" s="115"/>
      <c r="K1661" s="115"/>
      <c r="L1661" s="115"/>
      <c r="M1661" s="115"/>
      <c r="N1661" s="115"/>
      <c r="O1661" s="115"/>
      <c r="P1661" s="115"/>
      <c r="Q1661" s="115"/>
      <c r="R1661" s="115"/>
      <c r="S1661" s="115"/>
      <c r="T1661" s="115"/>
      <c r="U1661" s="115"/>
      <c r="V1661" s="115"/>
      <c r="W1661" s="115"/>
      <c r="X1661" s="115"/>
      <c r="Y1661" s="115"/>
      <c r="Z1661" s="115"/>
      <c r="AA1661" s="115"/>
      <c r="AB1661" s="115"/>
      <c r="AC1661" s="115"/>
      <c r="AD1661" s="115"/>
      <c r="AE1661" s="115"/>
      <c r="AF1661" s="115"/>
      <c r="AG1661" s="115"/>
      <c r="AH1661" s="115"/>
      <c r="AI1661" s="115"/>
      <c r="AJ1661" s="115"/>
      <c r="AK1661" s="115"/>
      <c r="AL1661" s="115"/>
      <c r="AM1661" s="115"/>
      <c r="AN1661" s="115"/>
      <c r="AO1661" s="115"/>
      <c r="AP1661" s="115"/>
      <c r="AQ1661" s="115"/>
      <c r="AR1661" s="115"/>
      <c r="AS1661" s="115"/>
      <c r="AT1661" s="115"/>
      <c r="AU1661" s="115"/>
      <c r="AV1661" s="115"/>
      <c r="AW1661" s="115"/>
      <c r="AX1661" s="115"/>
      <c r="AY1661" s="115"/>
      <c r="AZ1661" s="115"/>
      <c r="BA1661" s="115"/>
      <c r="BB1661" s="115"/>
      <c r="BC1661" s="115"/>
      <c r="BD1661" s="115"/>
      <c r="BE1661" s="115"/>
      <c r="BF1661" s="122"/>
      <c r="BG1661" s="122"/>
      <c r="BH1661" s="122"/>
      <c r="BI1661" s="115"/>
      <c r="BJ1661" s="115"/>
      <c r="BK1661" s="115"/>
      <c r="BL1661" s="115"/>
      <c r="BM1661" s="115"/>
      <c r="BN1661" s="115"/>
      <c r="BO1661" s="115"/>
      <c r="BP1661" s="115"/>
      <c r="BQ1661" s="115"/>
      <c r="BR1661" s="115"/>
      <c r="BS1661" s="115"/>
      <c r="BT1661" s="115"/>
      <c r="BU1661" s="115"/>
      <c r="BV1661" s="115"/>
      <c r="BW1661" s="26"/>
      <c r="BX1661" s="13"/>
      <c r="CB1661" s="117"/>
      <c r="CC1661" s="116"/>
      <c r="CD1661" s="116"/>
      <c r="CE1661" s="116"/>
    </row>
    <row r="1662" spans="1:83" ht="19.5" x14ac:dyDescent="0.4">
      <c r="A1662" s="115"/>
      <c r="B1662" s="115"/>
      <c r="C1662" s="115"/>
      <c r="D1662" s="115"/>
      <c r="E1662" s="115"/>
      <c r="F1662" s="115"/>
      <c r="G1662" s="115"/>
      <c r="H1662" s="115"/>
      <c r="I1662" s="115"/>
      <c r="J1662" s="115"/>
      <c r="K1662" s="115"/>
      <c r="L1662" s="115"/>
      <c r="M1662" s="115"/>
      <c r="N1662" s="115"/>
      <c r="O1662" s="115"/>
      <c r="P1662" s="115"/>
      <c r="Q1662" s="115"/>
      <c r="R1662" s="115"/>
      <c r="S1662" s="115"/>
      <c r="T1662" s="115"/>
      <c r="U1662" s="115"/>
      <c r="V1662" s="115"/>
      <c r="W1662" s="115"/>
      <c r="X1662" s="115"/>
      <c r="Y1662" s="115"/>
      <c r="Z1662" s="115"/>
      <c r="AA1662" s="115"/>
      <c r="AB1662" s="115"/>
      <c r="AC1662" s="115"/>
      <c r="AD1662" s="115"/>
      <c r="AE1662" s="115"/>
      <c r="AF1662" s="115"/>
      <c r="AG1662" s="115"/>
      <c r="AH1662" s="115"/>
      <c r="AI1662" s="115"/>
      <c r="AJ1662" s="115"/>
      <c r="AK1662" s="115"/>
      <c r="AL1662" s="115"/>
      <c r="AM1662" s="115"/>
      <c r="AN1662" s="115"/>
      <c r="AO1662" s="115"/>
      <c r="AP1662" s="115"/>
      <c r="AQ1662" s="115"/>
      <c r="AR1662" s="115"/>
      <c r="AS1662" s="115"/>
      <c r="AT1662" s="115"/>
      <c r="AU1662" s="115"/>
      <c r="AV1662" s="115"/>
      <c r="AW1662" s="115"/>
      <c r="AX1662" s="115"/>
      <c r="AY1662" s="115"/>
      <c r="AZ1662" s="115"/>
      <c r="BA1662" s="115"/>
      <c r="BB1662" s="115"/>
      <c r="BC1662" s="115"/>
      <c r="BD1662" s="115"/>
      <c r="BE1662" s="115"/>
      <c r="BF1662" s="122"/>
      <c r="BG1662" s="122"/>
      <c r="BH1662" s="122"/>
      <c r="BI1662" s="115"/>
      <c r="BJ1662" s="115"/>
      <c r="BK1662" s="115"/>
      <c r="BL1662" s="115"/>
      <c r="BM1662" s="115"/>
      <c r="BN1662" s="115"/>
      <c r="BO1662" s="115"/>
      <c r="BP1662" s="115"/>
      <c r="BQ1662" s="115"/>
      <c r="BR1662" s="115"/>
      <c r="BS1662" s="115"/>
      <c r="BT1662" s="115"/>
      <c r="BU1662" s="115"/>
      <c r="BV1662" s="115"/>
      <c r="BW1662" s="17"/>
      <c r="BX1662" s="13"/>
      <c r="CB1662" s="117"/>
      <c r="CC1662" s="116"/>
      <c r="CD1662" s="116"/>
      <c r="CE1662" s="116"/>
    </row>
    <row r="1663" spans="1:83" ht="19.5" x14ac:dyDescent="0.4">
      <c r="A1663" s="115"/>
      <c r="B1663" s="115"/>
      <c r="C1663" s="115"/>
      <c r="D1663" s="115"/>
      <c r="E1663" s="115"/>
      <c r="F1663" s="115"/>
      <c r="G1663" s="115"/>
      <c r="H1663" s="115"/>
      <c r="I1663" s="115"/>
      <c r="J1663" s="115"/>
      <c r="K1663" s="115"/>
      <c r="L1663" s="115"/>
      <c r="M1663" s="115"/>
      <c r="N1663" s="115"/>
      <c r="O1663" s="115"/>
      <c r="P1663" s="115"/>
      <c r="Q1663" s="115"/>
      <c r="R1663" s="115"/>
      <c r="S1663" s="115"/>
      <c r="T1663" s="115"/>
      <c r="U1663" s="115"/>
      <c r="V1663" s="115"/>
      <c r="W1663" s="115"/>
      <c r="X1663" s="115"/>
      <c r="Y1663" s="115"/>
      <c r="Z1663" s="115"/>
      <c r="AA1663" s="115"/>
      <c r="AB1663" s="115"/>
      <c r="AC1663" s="115"/>
      <c r="AD1663" s="115"/>
      <c r="AE1663" s="115"/>
      <c r="AF1663" s="115"/>
      <c r="AG1663" s="115"/>
      <c r="AH1663" s="115"/>
      <c r="AI1663" s="115"/>
      <c r="AJ1663" s="115"/>
      <c r="AK1663" s="115"/>
      <c r="AL1663" s="115"/>
      <c r="AM1663" s="115"/>
      <c r="AN1663" s="115"/>
      <c r="AO1663" s="115"/>
      <c r="AP1663" s="115"/>
      <c r="AQ1663" s="115"/>
      <c r="AR1663" s="115"/>
      <c r="AS1663" s="115"/>
      <c r="AT1663" s="115"/>
      <c r="AU1663" s="115"/>
      <c r="AV1663" s="115"/>
      <c r="AW1663" s="115"/>
      <c r="AX1663" s="115"/>
      <c r="AY1663" s="115"/>
      <c r="AZ1663" s="115"/>
      <c r="BA1663" s="115"/>
      <c r="BB1663" s="115"/>
      <c r="BC1663" s="115"/>
      <c r="BD1663" s="115"/>
      <c r="BE1663" s="115"/>
      <c r="BF1663" s="122"/>
      <c r="BG1663" s="122"/>
      <c r="BH1663" s="122"/>
      <c r="BI1663" s="115"/>
      <c r="BJ1663" s="115"/>
      <c r="BK1663" s="115"/>
      <c r="BL1663" s="115"/>
      <c r="BM1663" s="115"/>
      <c r="BN1663" s="115"/>
      <c r="BO1663" s="115"/>
      <c r="BP1663" s="115"/>
      <c r="BQ1663" s="115"/>
      <c r="BR1663" s="115"/>
      <c r="BS1663" s="115"/>
      <c r="BT1663" s="115"/>
      <c r="BU1663" s="115"/>
      <c r="BV1663" s="115"/>
      <c r="BW1663" s="26"/>
      <c r="BX1663" s="13"/>
      <c r="CB1663" s="117"/>
      <c r="CC1663" s="116"/>
      <c r="CD1663" s="116"/>
      <c r="CE1663" s="116"/>
    </row>
    <row r="1664" spans="1:83" ht="19.5" x14ac:dyDescent="0.4">
      <c r="A1664" s="115"/>
      <c r="B1664" s="115"/>
      <c r="C1664" s="115"/>
      <c r="D1664" s="115"/>
      <c r="E1664" s="115"/>
      <c r="F1664" s="115"/>
      <c r="G1664" s="115"/>
      <c r="H1664" s="115"/>
      <c r="I1664" s="115"/>
      <c r="J1664" s="115"/>
      <c r="K1664" s="115"/>
      <c r="L1664" s="115"/>
      <c r="M1664" s="115"/>
      <c r="N1664" s="115"/>
      <c r="O1664" s="115"/>
      <c r="P1664" s="115"/>
      <c r="Q1664" s="115"/>
      <c r="R1664" s="115"/>
      <c r="S1664" s="115"/>
      <c r="T1664" s="115"/>
      <c r="U1664" s="115"/>
      <c r="V1664" s="115"/>
      <c r="W1664" s="115"/>
      <c r="X1664" s="115"/>
      <c r="Y1664" s="115"/>
      <c r="Z1664" s="115"/>
      <c r="AA1664" s="115"/>
      <c r="AB1664" s="115"/>
      <c r="AC1664" s="115"/>
      <c r="AD1664" s="115"/>
      <c r="AE1664" s="115"/>
      <c r="AF1664" s="115"/>
      <c r="AG1664" s="115"/>
      <c r="AH1664" s="115"/>
      <c r="AI1664" s="115"/>
      <c r="AJ1664" s="115"/>
      <c r="AK1664" s="115"/>
      <c r="AL1664" s="115"/>
      <c r="AM1664" s="115"/>
      <c r="AN1664" s="115"/>
      <c r="AO1664" s="115"/>
      <c r="AP1664" s="115"/>
      <c r="AQ1664" s="115"/>
      <c r="AR1664" s="115"/>
      <c r="AS1664" s="115"/>
      <c r="AT1664" s="115"/>
      <c r="AU1664" s="115"/>
      <c r="AV1664" s="115"/>
      <c r="AW1664" s="115"/>
      <c r="AX1664" s="115"/>
      <c r="AY1664" s="115"/>
      <c r="AZ1664" s="115"/>
      <c r="BA1664" s="115"/>
      <c r="BB1664" s="115"/>
      <c r="BC1664" s="115"/>
      <c r="BD1664" s="115"/>
      <c r="BE1664" s="115"/>
      <c r="BF1664" s="122"/>
      <c r="BG1664" s="122"/>
      <c r="BH1664" s="122"/>
      <c r="BI1664" s="115"/>
      <c r="BJ1664" s="115"/>
      <c r="BK1664" s="115"/>
      <c r="BL1664" s="115"/>
      <c r="BM1664" s="115"/>
      <c r="BN1664" s="115"/>
      <c r="BO1664" s="115"/>
      <c r="BP1664" s="115"/>
      <c r="BQ1664" s="115"/>
      <c r="BR1664" s="115"/>
      <c r="BS1664" s="115"/>
      <c r="BT1664" s="115"/>
      <c r="BU1664" s="115"/>
      <c r="BV1664" s="115"/>
      <c r="BW1664" s="26"/>
      <c r="BX1664" s="15"/>
      <c r="CB1664" s="117"/>
      <c r="CC1664" s="116"/>
      <c r="CD1664" s="116"/>
      <c r="CE1664" s="116"/>
    </row>
    <row r="1665" spans="1:83" ht="19.5" x14ac:dyDescent="0.4">
      <c r="BW1665" s="26"/>
      <c r="BX1665" s="15"/>
      <c r="CB1665" s="117"/>
      <c r="CC1665" s="116"/>
      <c r="CD1665" s="116"/>
      <c r="CE1665" s="116"/>
    </row>
    <row r="1666" spans="1:83" ht="19.5" x14ac:dyDescent="0.4">
      <c r="BD1666" s="115"/>
      <c r="BE1666" s="115"/>
      <c r="BF1666" s="122"/>
      <c r="BG1666" s="122"/>
      <c r="BH1666" s="122"/>
      <c r="BI1666" s="115"/>
      <c r="BJ1666" s="115"/>
      <c r="BK1666" s="115"/>
      <c r="BL1666" s="115"/>
      <c r="BM1666" s="115"/>
      <c r="BN1666" s="115"/>
      <c r="BO1666" s="115"/>
      <c r="BP1666" s="115"/>
      <c r="BQ1666" s="115"/>
      <c r="BR1666" s="115"/>
      <c r="BS1666" s="115"/>
      <c r="BT1666" s="115"/>
      <c r="BU1666" s="115"/>
      <c r="BV1666" s="115"/>
      <c r="BW1666" s="26"/>
      <c r="BX1666" s="13"/>
      <c r="CB1666" s="117"/>
      <c r="CC1666" s="116"/>
      <c r="CD1666" s="116"/>
      <c r="CE1666" s="116"/>
    </row>
    <row r="1667" spans="1:83" ht="19.5" x14ac:dyDescent="0.4">
      <c r="BB1667" s="115"/>
      <c r="BC1667" s="115"/>
      <c r="BD1667" s="115"/>
      <c r="BE1667" s="115"/>
      <c r="BF1667" s="122"/>
      <c r="BG1667" s="122"/>
      <c r="BH1667" s="122"/>
      <c r="BI1667" s="115"/>
      <c r="BJ1667" s="115"/>
      <c r="BK1667" s="115"/>
      <c r="BL1667" s="115"/>
      <c r="BM1667" s="115"/>
      <c r="BN1667" s="115"/>
      <c r="BO1667" s="115"/>
      <c r="BP1667" s="115"/>
      <c r="BQ1667" s="115"/>
      <c r="BR1667" s="115"/>
      <c r="BS1667" s="115"/>
      <c r="BT1667" s="115"/>
      <c r="BU1667" s="115"/>
      <c r="BV1667" s="115"/>
      <c r="BW1667" s="26"/>
      <c r="BX1667" s="15"/>
      <c r="CB1667" s="117"/>
      <c r="CC1667" s="116"/>
      <c r="CD1667" s="116"/>
      <c r="CE1667" s="116"/>
    </row>
    <row r="1668" spans="1:83" ht="19.5" x14ac:dyDescent="0.4">
      <c r="BB1668" s="115"/>
      <c r="BC1668" s="115"/>
      <c r="BD1668" s="115"/>
      <c r="BE1668" s="115"/>
      <c r="BF1668" s="122"/>
      <c r="BG1668" s="122"/>
      <c r="BH1668" s="122"/>
      <c r="BI1668" s="115"/>
      <c r="BJ1668" s="115"/>
      <c r="BK1668" s="115"/>
      <c r="BL1668" s="115"/>
      <c r="BM1668" s="115"/>
      <c r="BN1668" s="115"/>
      <c r="BO1668" s="115"/>
      <c r="BP1668" s="115"/>
      <c r="BQ1668" s="115"/>
      <c r="BR1668" s="115"/>
      <c r="BS1668" s="115"/>
      <c r="BT1668" s="115"/>
      <c r="BU1668" s="115"/>
      <c r="BV1668" s="115"/>
      <c r="BW1668" s="26"/>
      <c r="BX1668" s="15"/>
      <c r="CB1668" s="117"/>
      <c r="CC1668" s="116"/>
      <c r="CD1668" s="116"/>
      <c r="CE1668" s="116"/>
    </row>
    <row r="1669" spans="1:83" ht="19.5" x14ac:dyDescent="0.4">
      <c r="BB1669" s="115"/>
      <c r="BC1669" s="115"/>
      <c r="BD1669" s="115"/>
      <c r="BE1669" s="115"/>
      <c r="BF1669" s="122"/>
      <c r="BG1669" s="122"/>
      <c r="BH1669" s="122"/>
      <c r="BI1669" s="115"/>
      <c r="BJ1669" s="115"/>
      <c r="BK1669" s="115"/>
      <c r="BL1669" s="115"/>
      <c r="BM1669" s="115"/>
      <c r="BN1669" s="115"/>
      <c r="BO1669" s="115"/>
      <c r="BP1669" s="115"/>
      <c r="BQ1669" s="115"/>
      <c r="BR1669" s="115"/>
      <c r="BS1669" s="115"/>
      <c r="BT1669" s="115"/>
      <c r="BU1669" s="115"/>
      <c r="BV1669" s="115"/>
      <c r="BW1669" s="17"/>
      <c r="BX1669" s="15"/>
      <c r="CB1669" s="117"/>
      <c r="CC1669" s="116"/>
      <c r="CD1669" s="116"/>
      <c r="CE1669" s="116"/>
    </row>
    <row r="1670" spans="1:83" ht="19.5" x14ac:dyDescent="0.4">
      <c r="BA1670" s="115"/>
      <c r="BB1670" s="115"/>
      <c r="BC1670" s="115"/>
      <c r="BD1670" s="115"/>
      <c r="BE1670" s="115"/>
      <c r="BF1670" s="122"/>
      <c r="BG1670" s="122"/>
      <c r="BH1670" s="122"/>
      <c r="BI1670" s="115"/>
      <c r="BJ1670" s="115"/>
      <c r="BK1670" s="115"/>
      <c r="BL1670" s="115"/>
      <c r="BM1670" s="115"/>
      <c r="BN1670" s="115"/>
      <c r="BO1670" s="115"/>
      <c r="BP1670" s="115"/>
      <c r="BQ1670" s="115"/>
      <c r="BR1670" s="115"/>
      <c r="BS1670" s="115"/>
      <c r="BT1670" s="115"/>
      <c r="BU1670" s="115"/>
      <c r="BV1670" s="115"/>
      <c r="BW1670" s="26"/>
      <c r="BX1670" s="15"/>
      <c r="CB1670" s="117"/>
      <c r="CC1670" s="116"/>
      <c r="CD1670" s="116"/>
      <c r="CE1670" s="116"/>
    </row>
    <row r="1671" spans="1:83" ht="19.5" x14ac:dyDescent="0.4">
      <c r="BA1671" s="115"/>
      <c r="BB1671" s="115"/>
      <c r="BC1671" s="115"/>
      <c r="BD1671" s="115"/>
      <c r="BE1671" s="115"/>
      <c r="BF1671" s="122"/>
      <c r="BG1671" s="122"/>
      <c r="BH1671" s="122"/>
      <c r="BI1671" s="115"/>
      <c r="BJ1671" s="115"/>
      <c r="BK1671" s="115"/>
      <c r="BL1671" s="115"/>
      <c r="BM1671" s="115"/>
      <c r="BN1671" s="115"/>
      <c r="BO1671" s="115"/>
      <c r="BP1671" s="115"/>
      <c r="BQ1671" s="115"/>
      <c r="BR1671" s="115"/>
      <c r="BS1671" s="115"/>
      <c r="BT1671" s="115"/>
      <c r="BU1671" s="115"/>
      <c r="BV1671" s="115"/>
      <c r="BW1671" s="26"/>
      <c r="BX1671" s="15"/>
      <c r="CB1671" s="117"/>
      <c r="CC1671" s="116"/>
      <c r="CD1671" s="116"/>
      <c r="CE1671" s="116"/>
    </row>
    <row r="1672" spans="1:83" ht="19.5" x14ac:dyDescent="0.4">
      <c r="BA1672" s="115"/>
      <c r="BB1672" s="115"/>
      <c r="BC1672" s="115"/>
      <c r="BD1672" s="115"/>
      <c r="BE1672" s="115"/>
      <c r="BF1672" s="122"/>
      <c r="BG1672" s="122"/>
      <c r="BH1672" s="122"/>
      <c r="BI1672" s="115"/>
      <c r="BJ1672" s="115"/>
      <c r="BK1672" s="115"/>
      <c r="BL1672" s="115"/>
      <c r="BM1672" s="115"/>
      <c r="BN1672" s="115"/>
      <c r="BO1672" s="115"/>
      <c r="BP1672" s="115"/>
      <c r="BQ1672" s="115"/>
      <c r="BR1672" s="115"/>
      <c r="BS1672" s="115"/>
      <c r="BT1672" s="115"/>
      <c r="BU1672" s="115"/>
      <c r="BV1672" s="115"/>
      <c r="BW1672" s="26"/>
      <c r="BX1672" s="105"/>
      <c r="CB1672" s="117"/>
      <c r="CC1672" s="116"/>
      <c r="CD1672" s="116"/>
      <c r="CE1672" s="116"/>
    </row>
    <row r="1673" spans="1:83" ht="19.5" x14ac:dyDescent="0.4">
      <c r="BA1673" s="115"/>
      <c r="BB1673" s="115"/>
      <c r="BC1673" s="115"/>
      <c r="BD1673" s="115"/>
      <c r="BE1673" s="115"/>
      <c r="BF1673" s="122"/>
      <c r="BG1673" s="122"/>
      <c r="BH1673" s="122"/>
      <c r="BI1673" s="115"/>
      <c r="BJ1673" s="115"/>
      <c r="BK1673" s="115"/>
      <c r="BL1673" s="115"/>
      <c r="BM1673" s="115"/>
      <c r="BN1673" s="115"/>
      <c r="BO1673" s="115"/>
      <c r="BP1673" s="115"/>
      <c r="BQ1673" s="115"/>
      <c r="BR1673" s="115"/>
      <c r="BS1673" s="115"/>
      <c r="BT1673" s="115"/>
      <c r="BU1673" s="115"/>
      <c r="BV1673" s="115"/>
      <c r="BW1673" s="17"/>
      <c r="BX1673" s="15"/>
      <c r="CB1673" s="117"/>
      <c r="CC1673" s="116"/>
      <c r="CD1673" s="116"/>
      <c r="CE1673" s="116"/>
    </row>
    <row r="1674" spans="1:83" ht="19.5" x14ac:dyDescent="0.4">
      <c r="BA1674" s="115"/>
      <c r="BB1674" s="115"/>
      <c r="BC1674" s="115"/>
      <c r="BD1674" s="115"/>
      <c r="BE1674" s="115"/>
      <c r="BF1674" s="122"/>
      <c r="BG1674" s="122"/>
      <c r="BH1674" s="122"/>
      <c r="BI1674" s="115"/>
      <c r="BJ1674" s="115"/>
      <c r="BK1674" s="115"/>
      <c r="BL1674" s="115"/>
      <c r="BM1674" s="115"/>
      <c r="BN1674" s="115"/>
      <c r="BO1674" s="115"/>
      <c r="BP1674" s="115"/>
      <c r="BQ1674" s="115"/>
      <c r="BR1674" s="115"/>
      <c r="BS1674" s="115"/>
      <c r="BT1674" s="115"/>
      <c r="BU1674" s="115"/>
      <c r="BV1674" s="115"/>
      <c r="BW1674" s="26"/>
      <c r="BX1674" s="15"/>
      <c r="CB1674" s="117"/>
      <c r="CC1674" s="116"/>
      <c r="CD1674" s="116"/>
      <c r="CE1674" s="116"/>
    </row>
    <row r="1675" spans="1:83" ht="19.5" x14ac:dyDescent="0.4">
      <c r="BA1675" s="115"/>
      <c r="BB1675" s="115"/>
      <c r="BC1675" s="115"/>
      <c r="BD1675" s="115"/>
      <c r="BE1675" s="115"/>
      <c r="BF1675" s="122"/>
      <c r="BG1675" s="122"/>
      <c r="BH1675" s="122"/>
      <c r="BI1675" s="115"/>
      <c r="BJ1675" s="115"/>
      <c r="BK1675" s="115"/>
      <c r="BL1675" s="115"/>
      <c r="BM1675" s="115"/>
      <c r="BN1675" s="115"/>
      <c r="BO1675" s="115"/>
      <c r="BP1675" s="115"/>
      <c r="BQ1675" s="115"/>
      <c r="BR1675" s="115"/>
      <c r="BS1675" s="115"/>
      <c r="BT1675" s="115"/>
      <c r="BU1675" s="115"/>
      <c r="BV1675" s="115"/>
      <c r="BW1675" s="17"/>
      <c r="BX1675" s="15"/>
      <c r="CB1675" s="117"/>
      <c r="CC1675" s="116"/>
      <c r="CD1675" s="116"/>
      <c r="CE1675" s="116"/>
    </row>
    <row r="1676" spans="1:83" ht="19.5" x14ac:dyDescent="0.4">
      <c r="E1676" s="115"/>
      <c r="F1676" s="115"/>
      <c r="G1676" s="115"/>
      <c r="H1676" s="115"/>
      <c r="I1676" s="115"/>
      <c r="J1676" s="115"/>
      <c r="K1676" s="115"/>
      <c r="L1676" s="115"/>
      <c r="M1676" s="115"/>
      <c r="N1676" s="115"/>
      <c r="O1676" s="115"/>
      <c r="P1676" s="115"/>
      <c r="Q1676" s="115"/>
      <c r="R1676" s="115"/>
      <c r="S1676" s="115"/>
      <c r="T1676" s="115"/>
      <c r="U1676" s="115"/>
      <c r="V1676" s="115"/>
      <c r="W1676" s="115"/>
      <c r="X1676" s="115"/>
      <c r="Y1676" s="115"/>
      <c r="Z1676" s="115"/>
      <c r="AA1676" s="115"/>
      <c r="AB1676" s="115"/>
      <c r="AC1676" s="115"/>
      <c r="AD1676" s="115"/>
      <c r="AE1676" s="115"/>
      <c r="AF1676" s="115"/>
      <c r="AG1676" s="115"/>
      <c r="AH1676" s="115"/>
      <c r="AI1676" s="115"/>
      <c r="AJ1676" s="115"/>
      <c r="AK1676" s="115"/>
      <c r="AL1676" s="115"/>
      <c r="AM1676" s="115"/>
      <c r="AN1676" s="115"/>
      <c r="AO1676" s="115"/>
      <c r="AP1676" s="115"/>
      <c r="AQ1676" s="115"/>
      <c r="AR1676" s="115"/>
      <c r="AS1676" s="115"/>
      <c r="AT1676" s="115"/>
      <c r="AU1676" s="115"/>
      <c r="AV1676" s="115"/>
      <c r="AW1676" s="115"/>
      <c r="AX1676" s="115"/>
      <c r="AY1676" s="115"/>
      <c r="AZ1676" s="115"/>
      <c r="BA1676" s="115"/>
      <c r="BB1676" s="115"/>
      <c r="BC1676" s="115"/>
      <c r="BD1676" s="115"/>
      <c r="BE1676" s="115"/>
      <c r="BF1676" s="122"/>
      <c r="BG1676" s="122"/>
      <c r="BH1676" s="122"/>
      <c r="BI1676" s="115"/>
      <c r="BJ1676" s="115"/>
      <c r="BK1676" s="115"/>
      <c r="BL1676" s="115"/>
      <c r="BM1676" s="115"/>
      <c r="BN1676" s="115"/>
      <c r="BO1676" s="115"/>
      <c r="BP1676" s="115"/>
      <c r="BQ1676" s="115"/>
      <c r="BR1676" s="115"/>
      <c r="BS1676" s="115"/>
      <c r="BT1676" s="115"/>
      <c r="BU1676" s="115"/>
      <c r="BV1676" s="115"/>
      <c r="BW1676" s="26"/>
      <c r="BX1676" s="15"/>
      <c r="CB1676" s="117"/>
      <c r="CC1676" s="116"/>
      <c r="CD1676" s="116"/>
      <c r="CE1676" s="116"/>
    </row>
    <row r="1677" spans="1:83" ht="19.5" x14ac:dyDescent="0.4">
      <c r="E1677" s="115"/>
      <c r="F1677" s="115"/>
      <c r="G1677" s="115"/>
      <c r="H1677" s="115"/>
      <c r="I1677" s="115"/>
      <c r="J1677" s="115"/>
      <c r="K1677" s="115"/>
      <c r="L1677" s="115"/>
      <c r="M1677" s="115"/>
      <c r="N1677" s="115"/>
      <c r="O1677" s="115"/>
      <c r="P1677" s="115"/>
      <c r="Q1677" s="115"/>
      <c r="R1677" s="115"/>
      <c r="S1677" s="115"/>
      <c r="T1677" s="115"/>
      <c r="U1677" s="115"/>
      <c r="V1677" s="115"/>
      <c r="W1677" s="115"/>
      <c r="X1677" s="115"/>
      <c r="Y1677" s="115"/>
      <c r="Z1677" s="115"/>
      <c r="AA1677" s="115"/>
      <c r="AB1677" s="115"/>
      <c r="AC1677" s="115"/>
      <c r="AD1677" s="115"/>
      <c r="AE1677" s="115"/>
      <c r="AF1677" s="115"/>
      <c r="AG1677" s="115"/>
      <c r="AH1677" s="115"/>
      <c r="AI1677" s="115"/>
      <c r="AJ1677" s="115"/>
      <c r="AK1677" s="115"/>
      <c r="AL1677" s="115"/>
      <c r="AM1677" s="115"/>
      <c r="AN1677" s="115"/>
      <c r="AO1677" s="115"/>
      <c r="AP1677" s="115"/>
      <c r="AQ1677" s="115"/>
      <c r="AR1677" s="115"/>
      <c r="AS1677" s="115"/>
      <c r="AT1677" s="115"/>
      <c r="AU1677" s="115"/>
      <c r="AV1677" s="115"/>
      <c r="AW1677" s="115"/>
      <c r="AX1677" s="115"/>
      <c r="AY1677" s="115"/>
      <c r="AZ1677" s="115"/>
      <c r="BA1677" s="115"/>
      <c r="BB1677" s="115"/>
      <c r="BC1677" s="115"/>
      <c r="BD1677" s="115"/>
      <c r="BE1677" s="115"/>
      <c r="BF1677" s="122"/>
      <c r="BG1677" s="122"/>
      <c r="BH1677" s="122"/>
      <c r="BI1677" s="115"/>
      <c r="BJ1677" s="115"/>
      <c r="BK1677" s="115"/>
      <c r="BL1677" s="115"/>
      <c r="BM1677" s="115"/>
      <c r="BN1677" s="115"/>
      <c r="BO1677" s="115"/>
      <c r="BP1677" s="115"/>
      <c r="BQ1677" s="115"/>
      <c r="BR1677" s="115"/>
      <c r="BS1677" s="115"/>
      <c r="BT1677" s="115"/>
      <c r="BU1677" s="115"/>
      <c r="BV1677" s="115"/>
      <c r="BW1677" s="17"/>
      <c r="BX1677" s="15"/>
      <c r="CB1677" s="117"/>
      <c r="CC1677" s="116"/>
      <c r="CD1677" s="116"/>
      <c r="CE1677" s="116"/>
    </row>
    <row r="1678" spans="1:83" ht="19.5" x14ac:dyDescent="0.4">
      <c r="E1678" s="115"/>
      <c r="F1678" s="115"/>
      <c r="G1678" s="115"/>
      <c r="H1678" s="115"/>
      <c r="I1678" s="115"/>
      <c r="J1678" s="115"/>
      <c r="K1678" s="115"/>
      <c r="L1678" s="115"/>
      <c r="M1678" s="115"/>
      <c r="N1678" s="115"/>
      <c r="O1678" s="115"/>
      <c r="P1678" s="115"/>
      <c r="Q1678" s="115"/>
      <c r="R1678" s="115"/>
      <c r="S1678" s="115"/>
      <c r="T1678" s="115"/>
      <c r="U1678" s="115"/>
      <c r="V1678" s="115"/>
      <c r="W1678" s="115"/>
      <c r="X1678" s="115"/>
      <c r="Y1678" s="115"/>
      <c r="Z1678" s="115"/>
      <c r="AA1678" s="115"/>
      <c r="AB1678" s="115"/>
      <c r="AC1678" s="115"/>
      <c r="AD1678" s="115"/>
      <c r="AE1678" s="115"/>
      <c r="AF1678" s="115"/>
      <c r="AG1678" s="115"/>
      <c r="AH1678" s="115"/>
      <c r="AI1678" s="115"/>
      <c r="AJ1678" s="115"/>
      <c r="AK1678" s="115"/>
      <c r="AL1678" s="115"/>
      <c r="AM1678" s="115"/>
      <c r="AN1678" s="115"/>
      <c r="AO1678" s="115"/>
      <c r="AP1678" s="115"/>
      <c r="AQ1678" s="115"/>
      <c r="AR1678" s="115"/>
      <c r="AS1678" s="115"/>
      <c r="AT1678" s="115"/>
      <c r="AU1678" s="115"/>
      <c r="AV1678" s="115"/>
      <c r="AW1678" s="115"/>
      <c r="AX1678" s="115"/>
      <c r="AY1678" s="115"/>
      <c r="AZ1678" s="115"/>
      <c r="BA1678" s="115"/>
      <c r="BB1678" s="115"/>
      <c r="BC1678" s="115"/>
      <c r="BD1678" s="115"/>
      <c r="BE1678" s="115"/>
      <c r="BF1678" s="122"/>
      <c r="BG1678" s="122"/>
      <c r="BH1678" s="122"/>
      <c r="BI1678" s="115"/>
      <c r="BJ1678" s="115"/>
      <c r="BK1678" s="115"/>
      <c r="BL1678" s="115"/>
      <c r="BM1678" s="115"/>
      <c r="BN1678" s="115"/>
      <c r="BO1678" s="115"/>
      <c r="BP1678" s="115"/>
      <c r="BQ1678" s="115"/>
      <c r="BR1678" s="115"/>
      <c r="BS1678" s="115"/>
      <c r="BT1678" s="115"/>
      <c r="BU1678" s="115"/>
      <c r="BV1678" s="115"/>
      <c r="BW1678" s="26"/>
      <c r="BX1678" s="15"/>
      <c r="CB1678" s="117"/>
      <c r="CC1678" s="116"/>
      <c r="CD1678" s="116"/>
      <c r="CE1678" s="116"/>
    </row>
    <row r="1679" spans="1:83" ht="19.5" x14ac:dyDescent="0.4">
      <c r="E1679" s="115"/>
      <c r="F1679" s="115"/>
      <c r="G1679" s="115"/>
      <c r="H1679" s="115"/>
      <c r="I1679" s="115"/>
      <c r="J1679" s="115"/>
      <c r="K1679" s="115"/>
      <c r="L1679" s="115"/>
      <c r="M1679" s="115"/>
      <c r="N1679" s="115"/>
      <c r="O1679" s="115"/>
      <c r="P1679" s="115"/>
      <c r="Q1679" s="115"/>
      <c r="R1679" s="115"/>
      <c r="S1679" s="115"/>
      <c r="T1679" s="115"/>
      <c r="U1679" s="115"/>
      <c r="V1679" s="115"/>
      <c r="W1679" s="115"/>
      <c r="X1679" s="115"/>
      <c r="Y1679" s="115"/>
      <c r="Z1679" s="115"/>
      <c r="AA1679" s="115"/>
      <c r="AB1679" s="115"/>
      <c r="AC1679" s="115"/>
      <c r="AD1679" s="115"/>
      <c r="AE1679" s="115"/>
      <c r="AF1679" s="115"/>
      <c r="AG1679" s="115"/>
      <c r="AH1679" s="115"/>
      <c r="AI1679" s="115"/>
      <c r="AJ1679" s="115"/>
      <c r="AK1679" s="115"/>
      <c r="AL1679" s="115"/>
      <c r="AM1679" s="115"/>
      <c r="AN1679" s="115"/>
      <c r="AO1679" s="115"/>
      <c r="AP1679" s="115"/>
      <c r="AQ1679" s="115"/>
      <c r="AR1679" s="115"/>
      <c r="AS1679" s="115"/>
      <c r="AT1679" s="115"/>
      <c r="AU1679" s="115"/>
      <c r="AV1679" s="115"/>
      <c r="AW1679" s="115"/>
      <c r="AX1679" s="115"/>
      <c r="AY1679" s="115"/>
      <c r="AZ1679" s="115"/>
      <c r="BA1679" s="115"/>
      <c r="BB1679" s="115"/>
      <c r="BC1679" s="115"/>
      <c r="BD1679" s="115"/>
      <c r="BE1679" s="115"/>
      <c r="BF1679" s="122"/>
      <c r="BG1679" s="122"/>
      <c r="BH1679" s="122"/>
      <c r="BI1679" s="115"/>
      <c r="BJ1679" s="115"/>
      <c r="BK1679" s="115"/>
      <c r="BL1679" s="115"/>
      <c r="BM1679" s="115"/>
      <c r="BN1679" s="115"/>
      <c r="BO1679" s="115"/>
      <c r="BP1679" s="115"/>
      <c r="BQ1679" s="115"/>
      <c r="BR1679" s="115"/>
      <c r="BS1679" s="115"/>
      <c r="BT1679" s="115"/>
      <c r="BU1679" s="115"/>
      <c r="BV1679" s="115"/>
      <c r="BW1679" s="17"/>
      <c r="BX1679" s="15"/>
      <c r="CB1679" s="117"/>
      <c r="CC1679" s="116"/>
      <c r="CD1679" s="116"/>
      <c r="CE1679" s="116"/>
    </row>
    <row r="1680" spans="1:83" ht="19.5" x14ac:dyDescent="0.4">
      <c r="A1680" s="115"/>
      <c r="B1680" s="115"/>
      <c r="C1680" s="115"/>
      <c r="D1680" s="115"/>
      <c r="E1680" s="115"/>
      <c r="F1680" s="115"/>
      <c r="G1680" s="115"/>
      <c r="H1680" s="115"/>
      <c r="I1680" s="115"/>
      <c r="J1680" s="115"/>
      <c r="K1680" s="115"/>
      <c r="L1680" s="115"/>
      <c r="M1680" s="115"/>
      <c r="N1680" s="115"/>
      <c r="O1680" s="115"/>
      <c r="P1680" s="115"/>
      <c r="Q1680" s="115"/>
      <c r="R1680" s="115"/>
      <c r="S1680" s="115"/>
      <c r="T1680" s="115"/>
      <c r="U1680" s="115"/>
      <c r="V1680" s="115"/>
      <c r="W1680" s="115"/>
      <c r="X1680" s="115"/>
      <c r="Y1680" s="115"/>
      <c r="Z1680" s="115"/>
      <c r="AA1680" s="115"/>
      <c r="AB1680" s="115"/>
      <c r="AC1680" s="115"/>
      <c r="AD1680" s="115"/>
      <c r="AE1680" s="115"/>
      <c r="AF1680" s="115"/>
      <c r="AG1680" s="115"/>
      <c r="AH1680" s="115"/>
      <c r="AI1680" s="115"/>
      <c r="AJ1680" s="115"/>
      <c r="AK1680" s="115"/>
      <c r="AL1680" s="115"/>
      <c r="AM1680" s="115"/>
      <c r="AN1680" s="115"/>
      <c r="AO1680" s="115"/>
      <c r="AP1680" s="115"/>
      <c r="AQ1680" s="115"/>
      <c r="AR1680" s="115"/>
      <c r="AS1680" s="115"/>
      <c r="AT1680" s="115"/>
      <c r="AU1680" s="115"/>
      <c r="AV1680" s="115"/>
      <c r="AW1680" s="115"/>
      <c r="AX1680" s="115"/>
      <c r="AY1680" s="115"/>
      <c r="AZ1680" s="115"/>
      <c r="BA1680" s="115"/>
      <c r="BB1680" s="115"/>
      <c r="BC1680" s="115"/>
      <c r="BD1680" s="115"/>
      <c r="BE1680" s="115"/>
      <c r="BF1680" s="122"/>
      <c r="BG1680" s="122"/>
      <c r="BH1680" s="122"/>
      <c r="BI1680" s="115"/>
      <c r="BJ1680" s="115"/>
      <c r="BK1680" s="115"/>
      <c r="BL1680" s="115"/>
      <c r="BM1680" s="115"/>
      <c r="BN1680" s="115"/>
      <c r="BO1680" s="115"/>
      <c r="BP1680" s="115"/>
      <c r="BQ1680" s="115"/>
      <c r="BR1680" s="115"/>
      <c r="BS1680" s="115"/>
      <c r="BT1680" s="115"/>
      <c r="BU1680" s="115"/>
      <c r="BV1680" s="115"/>
      <c r="BW1680" s="26"/>
      <c r="BX1680" s="15"/>
      <c r="CB1680" s="117"/>
      <c r="CC1680" s="116"/>
      <c r="CD1680" s="116"/>
      <c r="CE1680" s="116"/>
    </row>
    <row r="1681" spans="1:83" ht="19.5" x14ac:dyDescent="0.4">
      <c r="A1681" s="115"/>
      <c r="B1681" s="115"/>
      <c r="C1681" s="115"/>
      <c r="D1681" s="115"/>
      <c r="E1681" s="115"/>
      <c r="F1681" s="115"/>
      <c r="G1681" s="115"/>
      <c r="H1681" s="115"/>
      <c r="I1681" s="115"/>
      <c r="J1681" s="115"/>
      <c r="K1681" s="115"/>
      <c r="L1681" s="115"/>
      <c r="M1681" s="115"/>
      <c r="N1681" s="115"/>
      <c r="O1681" s="115"/>
      <c r="P1681" s="115"/>
      <c r="Q1681" s="115"/>
      <c r="R1681" s="115"/>
      <c r="S1681" s="115"/>
      <c r="T1681" s="115"/>
      <c r="U1681" s="115"/>
      <c r="V1681" s="115"/>
      <c r="W1681" s="115"/>
      <c r="X1681" s="115"/>
      <c r="Y1681" s="115"/>
      <c r="Z1681" s="115"/>
      <c r="AA1681" s="115"/>
      <c r="AB1681" s="115"/>
      <c r="AC1681" s="115"/>
      <c r="AD1681" s="115"/>
      <c r="AE1681" s="115"/>
      <c r="AF1681" s="115"/>
      <c r="AG1681" s="115"/>
      <c r="AH1681" s="115"/>
      <c r="AI1681" s="115"/>
      <c r="AJ1681" s="115"/>
      <c r="AK1681" s="115"/>
      <c r="AL1681" s="115"/>
      <c r="AM1681" s="115"/>
      <c r="AN1681" s="115"/>
      <c r="AO1681" s="115"/>
      <c r="AP1681" s="115"/>
      <c r="AQ1681" s="115"/>
      <c r="AR1681" s="115"/>
      <c r="AS1681" s="115"/>
      <c r="AT1681" s="115"/>
      <c r="AU1681" s="115"/>
      <c r="AV1681" s="115"/>
      <c r="AW1681" s="115"/>
      <c r="AX1681" s="115"/>
      <c r="AY1681" s="115"/>
      <c r="AZ1681" s="115"/>
      <c r="BA1681" s="115"/>
      <c r="BB1681" s="115"/>
      <c r="BC1681" s="115"/>
      <c r="BD1681" s="115"/>
      <c r="BE1681" s="115"/>
      <c r="BF1681" s="122"/>
      <c r="BG1681" s="122"/>
      <c r="BH1681" s="122"/>
      <c r="BI1681" s="115"/>
      <c r="BJ1681" s="115"/>
      <c r="BK1681" s="115"/>
      <c r="BL1681" s="115"/>
      <c r="BM1681" s="115"/>
      <c r="BN1681" s="115"/>
      <c r="BO1681" s="115"/>
      <c r="BP1681" s="115"/>
      <c r="BQ1681" s="115"/>
      <c r="BR1681" s="115"/>
      <c r="BS1681" s="115"/>
      <c r="BT1681" s="115"/>
      <c r="BU1681" s="115"/>
      <c r="BV1681" s="115"/>
      <c r="BW1681" s="26"/>
      <c r="BX1681" s="15"/>
      <c r="CB1681" s="117"/>
      <c r="CC1681" s="116"/>
      <c r="CD1681" s="116"/>
      <c r="CE1681" s="116"/>
    </row>
    <row r="1682" spans="1:83" ht="19.5" x14ac:dyDescent="0.4">
      <c r="A1682" s="115"/>
      <c r="B1682" s="115"/>
      <c r="C1682" s="115"/>
      <c r="D1682" s="115"/>
      <c r="E1682" s="115"/>
      <c r="F1682" s="115"/>
      <c r="G1682" s="115"/>
      <c r="H1682" s="115"/>
      <c r="I1682" s="115"/>
      <c r="J1682" s="115"/>
      <c r="K1682" s="115"/>
      <c r="L1682" s="115"/>
      <c r="M1682" s="115"/>
      <c r="N1682" s="115"/>
      <c r="O1682" s="115"/>
      <c r="P1682" s="115"/>
      <c r="Q1682" s="115"/>
      <c r="R1682" s="115"/>
      <c r="S1682" s="115"/>
      <c r="T1682" s="115"/>
      <c r="U1682" s="115"/>
      <c r="V1682" s="115"/>
      <c r="W1682" s="115"/>
      <c r="X1682" s="115"/>
      <c r="Y1682" s="115"/>
      <c r="Z1682" s="115"/>
      <c r="AA1682" s="115"/>
      <c r="AB1682" s="115"/>
      <c r="AC1682" s="115"/>
      <c r="AD1682" s="115"/>
      <c r="AE1682" s="115"/>
      <c r="AF1682" s="115"/>
      <c r="AG1682" s="115"/>
      <c r="AH1682" s="115"/>
      <c r="AI1682" s="115"/>
      <c r="AJ1682" s="115"/>
      <c r="AK1682" s="115"/>
      <c r="AL1682" s="115"/>
      <c r="AM1682" s="115"/>
      <c r="AN1682" s="115"/>
      <c r="AO1682" s="115"/>
      <c r="AP1682" s="115"/>
      <c r="AQ1682" s="115"/>
      <c r="AR1682" s="115"/>
      <c r="AS1682" s="115"/>
      <c r="AT1682" s="115"/>
      <c r="AU1682" s="115"/>
      <c r="AV1682" s="115"/>
      <c r="AW1682" s="115"/>
      <c r="AX1682" s="115"/>
      <c r="AY1682" s="115"/>
      <c r="AZ1682" s="115"/>
      <c r="BA1682" s="115"/>
      <c r="BB1682" s="115"/>
      <c r="BC1682" s="115"/>
      <c r="BD1682" s="115"/>
      <c r="BE1682" s="115"/>
      <c r="BF1682" s="122"/>
      <c r="BG1682" s="122"/>
      <c r="BH1682" s="122"/>
      <c r="BI1682" s="115"/>
      <c r="BJ1682" s="115"/>
      <c r="BK1682" s="115"/>
      <c r="BL1682" s="115"/>
      <c r="BM1682" s="115"/>
      <c r="BN1682" s="115"/>
      <c r="BO1682" s="115"/>
      <c r="BP1682" s="115"/>
      <c r="BQ1682" s="115"/>
      <c r="BR1682" s="115"/>
      <c r="BS1682" s="115"/>
      <c r="BT1682" s="115"/>
      <c r="BU1682" s="115"/>
      <c r="BV1682" s="115"/>
      <c r="BW1682" s="26"/>
      <c r="BX1682" s="15"/>
      <c r="CB1682" s="117"/>
      <c r="CC1682" s="116"/>
      <c r="CD1682" s="116"/>
      <c r="CE1682" s="116"/>
    </row>
    <row r="1683" spans="1:83" ht="19.5" x14ac:dyDescent="0.4">
      <c r="A1683" s="115"/>
      <c r="B1683" s="115"/>
      <c r="C1683" s="115"/>
      <c r="D1683" s="115"/>
      <c r="E1683" s="115"/>
      <c r="F1683" s="115"/>
      <c r="G1683" s="115"/>
      <c r="H1683" s="115"/>
      <c r="I1683" s="115"/>
      <c r="J1683" s="115"/>
      <c r="K1683" s="115"/>
      <c r="L1683" s="115"/>
      <c r="M1683" s="115"/>
      <c r="N1683" s="115"/>
      <c r="O1683" s="115"/>
      <c r="P1683" s="115"/>
      <c r="Q1683" s="115"/>
      <c r="R1683" s="115"/>
      <c r="S1683" s="115"/>
      <c r="T1683" s="115"/>
      <c r="U1683" s="115"/>
      <c r="V1683" s="115"/>
      <c r="W1683" s="115"/>
      <c r="X1683" s="115"/>
      <c r="Y1683" s="115"/>
      <c r="Z1683" s="115"/>
      <c r="AA1683" s="115"/>
      <c r="AB1683" s="115"/>
      <c r="AC1683" s="115"/>
      <c r="AD1683" s="115"/>
      <c r="AE1683" s="115"/>
      <c r="AF1683" s="115"/>
      <c r="AG1683" s="115"/>
      <c r="AH1683" s="115"/>
      <c r="AI1683" s="115"/>
      <c r="AJ1683" s="115"/>
      <c r="AK1683" s="115"/>
      <c r="AL1683" s="115"/>
      <c r="AM1683" s="115"/>
      <c r="AN1683" s="115"/>
      <c r="AO1683" s="115"/>
      <c r="AP1683" s="115"/>
      <c r="AQ1683" s="115"/>
      <c r="AR1683" s="115"/>
      <c r="AS1683" s="115"/>
      <c r="AT1683" s="115"/>
      <c r="AU1683" s="115"/>
      <c r="AV1683" s="115"/>
      <c r="AW1683" s="115"/>
      <c r="AX1683" s="115"/>
      <c r="AY1683" s="115"/>
      <c r="AZ1683" s="115"/>
      <c r="BA1683" s="115"/>
      <c r="BB1683" s="115"/>
      <c r="BC1683" s="115"/>
      <c r="BD1683" s="115"/>
      <c r="BE1683" s="115"/>
      <c r="BF1683" s="122"/>
      <c r="BG1683" s="122"/>
      <c r="BH1683" s="122"/>
      <c r="BI1683" s="115"/>
      <c r="BJ1683" s="115"/>
      <c r="BK1683" s="115"/>
      <c r="BL1683" s="115"/>
      <c r="BM1683" s="115"/>
      <c r="BN1683" s="115"/>
      <c r="BO1683" s="115"/>
      <c r="BP1683" s="115"/>
      <c r="BQ1683" s="115"/>
      <c r="BR1683" s="115"/>
      <c r="BS1683" s="115"/>
      <c r="BT1683" s="115"/>
      <c r="BU1683" s="115"/>
      <c r="BV1683" s="115"/>
      <c r="BW1683" s="26"/>
      <c r="BX1683" s="15"/>
      <c r="CB1683" s="117"/>
      <c r="CC1683" s="116"/>
      <c r="CD1683" s="116"/>
      <c r="CE1683" s="116"/>
    </row>
    <row r="1684" spans="1:83" ht="19.5" x14ac:dyDescent="0.4">
      <c r="A1684" s="115"/>
      <c r="B1684" s="115"/>
      <c r="C1684" s="115"/>
      <c r="D1684" s="115"/>
      <c r="E1684" s="115"/>
      <c r="F1684" s="115"/>
      <c r="G1684" s="115"/>
      <c r="H1684" s="115"/>
      <c r="I1684" s="115"/>
      <c r="J1684" s="115"/>
      <c r="K1684" s="115"/>
      <c r="L1684" s="115"/>
      <c r="M1684" s="115"/>
      <c r="N1684" s="115"/>
      <c r="O1684" s="115"/>
      <c r="P1684" s="115"/>
      <c r="Q1684" s="115"/>
      <c r="R1684" s="115"/>
      <c r="S1684" s="115"/>
      <c r="T1684" s="115"/>
      <c r="U1684" s="115"/>
      <c r="V1684" s="115"/>
      <c r="W1684" s="115"/>
      <c r="X1684" s="115"/>
      <c r="Y1684" s="115"/>
      <c r="Z1684" s="115"/>
      <c r="AA1684" s="115"/>
      <c r="AB1684" s="115"/>
      <c r="AC1684" s="115"/>
      <c r="AD1684" s="115"/>
      <c r="AE1684" s="115"/>
      <c r="AF1684" s="115"/>
      <c r="AG1684" s="115"/>
      <c r="AH1684" s="115"/>
      <c r="AI1684" s="115"/>
      <c r="AJ1684" s="115"/>
      <c r="AK1684" s="115"/>
      <c r="AL1684" s="115"/>
      <c r="AM1684" s="115"/>
      <c r="AN1684" s="115"/>
      <c r="AO1684" s="115"/>
      <c r="AP1684" s="115"/>
      <c r="AQ1684" s="115"/>
      <c r="AR1684" s="115"/>
      <c r="AS1684" s="115"/>
      <c r="AT1684" s="115"/>
      <c r="AU1684" s="115"/>
      <c r="AV1684" s="115"/>
      <c r="AW1684" s="115"/>
      <c r="AX1684" s="115"/>
      <c r="AY1684" s="115"/>
      <c r="AZ1684" s="115"/>
      <c r="BA1684" s="115"/>
      <c r="BB1684" s="115"/>
      <c r="BC1684" s="115"/>
      <c r="BD1684" s="115"/>
      <c r="BE1684" s="115"/>
      <c r="BF1684" s="122"/>
      <c r="BG1684" s="122"/>
      <c r="BH1684" s="122"/>
      <c r="BI1684" s="115"/>
      <c r="BJ1684" s="115"/>
      <c r="BK1684" s="115"/>
      <c r="BL1684" s="115"/>
      <c r="BM1684" s="115"/>
      <c r="BN1684" s="115"/>
      <c r="BO1684" s="115"/>
      <c r="BP1684" s="115"/>
      <c r="BQ1684" s="115"/>
      <c r="BR1684" s="115"/>
      <c r="BS1684" s="115"/>
      <c r="BT1684" s="115"/>
      <c r="BU1684" s="115"/>
      <c r="BV1684" s="115"/>
      <c r="BW1684" s="26"/>
      <c r="BX1684" s="15"/>
      <c r="CB1684" s="117"/>
      <c r="CC1684" s="116"/>
      <c r="CD1684" s="116"/>
      <c r="CE1684" s="116"/>
    </row>
    <row r="1685" spans="1:83" ht="19.5" x14ac:dyDescent="0.4">
      <c r="A1685" s="115"/>
      <c r="B1685" s="115"/>
      <c r="C1685" s="115"/>
      <c r="D1685" s="115"/>
      <c r="E1685" s="115"/>
      <c r="F1685" s="115"/>
      <c r="G1685" s="115"/>
      <c r="H1685" s="115"/>
      <c r="I1685" s="115"/>
      <c r="J1685" s="115"/>
      <c r="K1685" s="115"/>
      <c r="L1685" s="115"/>
      <c r="M1685" s="115"/>
      <c r="N1685" s="115"/>
      <c r="O1685" s="115"/>
      <c r="P1685" s="115"/>
      <c r="Q1685" s="115"/>
      <c r="R1685" s="115"/>
      <c r="S1685" s="115"/>
      <c r="T1685" s="115"/>
      <c r="U1685" s="115"/>
      <c r="V1685" s="115"/>
      <c r="W1685" s="115"/>
      <c r="X1685" s="115"/>
      <c r="Y1685" s="115"/>
      <c r="Z1685" s="115"/>
      <c r="AA1685" s="115"/>
      <c r="AB1685" s="115"/>
      <c r="AC1685" s="115"/>
      <c r="AD1685" s="115"/>
      <c r="AE1685" s="115"/>
      <c r="AF1685" s="115"/>
      <c r="AG1685" s="115"/>
      <c r="AH1685" s="115"/>
      <c r="AI1685" s="115"/>
      <c r="AJ1685" s="115"/>
      <c r="AK1685" s="115"/>
      <c r="AL1685" s="115"/>
      <c r="AM1685" s="115"/>
      <c r="AN1685" s="115"/>
      <c r="AO1685" s="115"/>
      <c r="AP1685" s="115"/>
      <c r="AQ1685" s="115"/>
      <c r="AR1685" s="115"/>
      <c r="AS1685" s="115"/>
      <c r="AT1685" s="115"/>
      <c r="AU1685" s="115"/>
      <c r="AV1685" s="115"/>
      <c r="AW1685" s="115"/>
      <c r="AX1685" s="115"/>
      <c r="AY1685" s="115"/>
      <c r="AZ1685" s="115"/>
      <c r="BA1685" s="115"/>
      <c r="BB1685" s="115"/>
      <c r="BC1685" s="115"/>
      <c r="BD1685" s="115"/>
      <c r="BE1685" s="115"/>
      <c r="BF1685" s="122"/>
      <c r="BG1685" s="122"/>
      <c r="BH1685" s="122"/>
      <c r="BI1685" s="115"/>
      <c r="BJ1685" s="115"/>
      <c r="BK1685" s="115"/>
      <c r="BL1685" s="115"/>
      <c r="BM1685" s="115"/>
      <c r="BN1685" s="115"/>
      <c r="BO1685" s="115"/>
      <c r="BP1685" s="115"/>
      <c r="BQ1685" s="115"/>
      <c r="BR1685" s="115"/>
      <c r="BS1685" s="115"/>
      <c r="BT1685" s="115"/>
      <c r="BU1685" s="115"/>
      <c r="BV1685" s="115"/>
      <c r="BW1685" s="26"/>
      <c r="BX1685" s="15"/>
      <c r="CB1685" s="117"/>
      <c r="CC1685" s="116"/>
      <c r="CD1685" s="116"/>
      <c r="CE1685" s="116"/>
    </row>
    <row r="1686" spans="1:83" ht="19.5" x14ac:dyDescent="0.4">
      <c r="A1686" s="115"/>
      <c r="B1686" s="115"/>
      <c r="C1686" s="115"/>
      <c r="D1686" s="115"/>
      <c r="E1686" s="115"/>
      <c r="F1686" s="115"/>
      <c r="G1686" s="115"/>
      <c r="H1686" s="115"/>
      <c r="I1686" s="115"/>
      <c r="J1686" s="115"/>
      <c r="K1686" s="115"/>
      <c r="L1686" s="115"/>
      <c r="M1686" s="115"/>
      <c r="N1686" s="115"/>
      <c r="O1686" s="115"/>
      <c r="P1686" s="115"/>
      <c r="Q1686" s="115"/>
      <c r="R1686" s="115"/>
      <c r="S1686" s="115"/>
      <c r="T1686" s="115"/>
      <c r="U1686" s="115"/>
      <c r="V1686" s="115"/>
      <c r="W1686" s="115"/>
      <c r="X1686" s="115"/>
      <c r="Y1686" s="115"/>
      <c r="Z1686" s="115"/>
      <c r="AA1686" s="115"/>
      <c r="AB1686" s="115"/>
      <c r="AC1686" s="115"/>
      <c r="AD1686" s="115"/>
      <c r="AE1686" s="115"/>
      <c r="AF1686" s="115"/>
      <c r="AG1686" s="115"/>
      <c r="AH1686" s="115"/>
      <c r="AI1686" s="115"/>
      <c r="AJ1686" s="115"/>
      <c r="AK1686" s="115"/>
      <c r="AL1686" s="115"/>
      <c r="AM1686" s="115"/>
      <c r="AN1686" s="115"/>
      <c r="AO1686" s="115"/>
      <c r="AP1686" s="115"/>
      <c r="AQ1686" s="115"/>
      <c r="AR1686" s="115"/>
      <c r="AS1686" s="115"/>
      <c r="AT1686" s="115"/>
      <c r="AU1686" s="115"/>
      <c r="AV1686" s="115"/>
      <c r="AW1686" s="115"/>
      <c r="AX1686" s="115"/>
      <c r="AY1686" s="115"/>
      <c r="AZ1686" s="115"/>
      <c r="BA1686" s="115"/>
      <c r="BB1686" s="115"/>
      <c r="BC1686" s="115"/>
      <c r="BD1686" s="115"/>
      <c r="BE1686" s="115"/>
      <c r="BF1686" s="122"/>
      <c r="BG1686" s="122"/>
      <c r="BH1686" s="122"/>
      <c r="BI1686" s="115"/>
      <c r="BJ1686" s="115"/>
      <c r="BK1686" s="115"/>
      <c r="BL1686" s="115"/>
      <c r="BM1686" s="115"/>
      <c r="BN1686" s="115"/>
      <c r="BO1686" s="115"/>
      <c r="BP1686" s="115"/>
      <c r="BQ1686" s="115"/>
      <c r="BR1686" s="115"/>
      <c r="BS1686" s="115"/>
      <c r="BT1686" s="115"/>
      <c r="BU1686" s="115"/>
      <c r="BV1686" s="115"/>
      <c r="BW1686" s="17"/>
      <c r="BX1686" s="15"/>
      <c r="CB1686" s="117"/>
      <c r="CC1686" s="116"/>
      <c r="CD1686" s="116"/>
      <c r="CE1686" s="116"/>
    </row>
    <row r="1687" spans="1:83" ht="19.5" x14ac:dyDescent="0.4">
      <c r="A1687" s="115"/>
      <c r="B1687" s="115"/>
      <c r="C1687" s="115"/>
      <c r="D1687" s="115"/>
      <c r="E1687" s="115"/>
      <c r="F1687" s="115"/>
      <c r="G1687" s="115"/>
      <c r="H1687" s="115"/>
      <c r="I1687" s="115"/>
      <c r="J1687" s="115"/>
      <c r="K1687" s="115"/>
      <c r="L1687" s="115"/>
      <c r="M1687" s="115"/>
      <c r="N1687" s="115"/>
      <c r="O1687" s="115"/>
      <c r="P1687" s="115"/>
      <c r="Q1687" s="115"/>
      <c r="R1687" s="115"/>
      <c r="S1687" s="115"/>
      <c r="T1687" s="115"/>
      <c r="U1687" s="115"/>
      <c r="V1687" s="115"/>
      <c r="W1687" s="115"/>
      <c r="X1687" s="115"/>
      <c r="Y1687" s="115"/>
      <c r="Z1687" s="115"/>
      <c r="AA1687" s="115"/>
      <c r="AB1687" s="115"/>
      <c r="AC1687" s="115"/>
      <c r="AD1687" s="115"/>
      <c r="AE1687" s="115"/>
      <c r="AF1687" s="115"/>
      <c r="AG1687" s="115"/>
      <c r="AH1687" s="115"/>
      <c r="AI1687" s="115"/>
      <c r="AJ1687" s="115"/>
      <c r="AK1687" s="115"/>
      <c r="AL1687" s="115"/>
      <c r="AM1687" s="115"/>
      <c r="AN1687" s="115"/>
      <c r="AO1687" s="115"/>
      <c r="AP1687" s="115"/>
      <c r="AQ1687" s="115"/>
      <c r="AR1687" s="115"/>
      <c r="AS1687" s="115"/>
      <c r="AT1687" s="115"/>
      <c r="AU1687" s="115"/>
      <c r="AV1687" s="115"/>
      <c r="AW1687" s="115"/>
      <c r="AX1687" s="115"/>
      <c r="AY1687" s="115"/>
      <c r="AZ1687" s="115"/>
      <c r="BA1687" s="115"/>
      <c r="BB1687" s="115"/>
      <c r="BC1687" s="115"/>
      <c r="BD1687" s="115"/>
      <c r="BE1687" s="115"/>
      <c r="BF1687" s="122"/>
      <c r="BG1687" s="122"/>
      <c r="BH1687" s="122"/>
      <c r="BI1687" s="115"/>
      <c r="BJ1687" s="115"/>
      <c r="BK1687" s="115"/>
      <c r="BL1687" s="115"/>
      <c r="BM1687" s="115"/>
      <c r="BN1687" s="115"/>
      <c r="BO1687" s="115"/>
      <c r="BP1687" s="115"/>
      <c r="BQ1687" s="115"/>
      <c r="BR1687" s="115"/>
      <c r="BS1687" s="115"/>
      <c r="BT1687" s="115"/>
      <c r="BU1687" s="115"/>
      <c r="BV1687" s="115"/>
      <c r="BW1687" s="26"/>
      <c r="BX1687" s="15"/>
      <c r="CB1687" s="117"/>
      <c r="CC1687" s="116"/>
      <c r="CD1687" s="116"/>
      <c r="CE1687" s="116"/>
    </row>
    <row r="1688" spans="1:83" ht="19.5" x14ac:dyDescent="0.4">
      <c r="A1688" s="115"/>
      <c r="B1688" s="115"/>
      <c r="C1688" s="115"/>
      <c r="D1688" s="115"/>
      <c r="E1688" s="115"/>
      <c r="F1688" s="115"/>
      <c r="G1688" s="115"/>
      <c r="H1688" s="115"/>
      <c r="I1688" s="115"/>
      <c r="J1688" s="115"/>
      <c r="K1688" s="115"/>
      <c r="L1688" s="115"/>
      <c r="M1688" s="115"/>
      <c r="N1688" s="115"/>
      <c r="O1688" s="115"/>
      <c r="P1688" s="115"/>
      <c r="Q1688" s="115"/>
      <c r="R1688" s="115"/>
      <c r="S1688" s="115"/>
      <c r="T1688" s="115"/>
      <c r="U1688" s="115"/>
      <c r="V1688" s="115"/>
      <c r="W1688" s="115"/>
      <c r="X1688" s="115"/>
      <c r="Y1688" s="115"/>
      <c r="Z1688" s="115"/>
      <c r="AA1688" s="115"/>
      <c r="AB1688" s="115"/>
      <c r="AC1688" s="115"/>
      <c r="AD1688" s="115"/>
      <c r="AE1688" s="115"/>
      <c r="AF1688" s="115"/>
      <c r="AG1688" s="115"/>
      <c r="AH1688" s="115"/>
      <c r="AI1688" s="115"/>
      <c r="AJ1688" s="115"/>
      <c r="AK1688" s="115"/>
      <c r="AL1688" s="115"/>
      <c r="AM1688" s="115"/>
      <c r="AN1688" s="115"/>
      <c r="AO1688" s="115"/>
      <c r="AP1688" s="115"/>
      <c r="AQ1688" s="115"/>
      <c r="AR1688" s="115"/>
      <c r="AS1688" s="115"/>
      <c r="AT1688" s="115"/>
      <c r="AU1688" s="115"/>
      <c r="AV1688" s="115"/>
      <c r="AW1688" s="115"/>
      <c r="AX1688" s="115"/>
      <c r="AY1688" s="115"/>
      <c r="AZ1688" s="115"/>
      <c r="BA1688" s="115"/>
      <c r="BB1688" s="115"/>
      <c r="BC1688" s="115"/>
      <c r="BD1688" s="115"/>
      <c r="BE1688" s="115"/>
      <c r="BF1688" s="122"/>
      <c r="BG1688" s="122"/>
      <c r="BH1688" s="122"/>
      <c r="BI1688" s="115"/>
      <c r="BJ1688" s="115"/>
      <c r="BK1688" s="115"/>
      <c r="BL1688" s="115"/>
      <c r="BM1688" s="115"/>
      <c r="BN1688" s="115"/>
      <c r="BO1688" s="115"/>
      <c r="BP1688" s="115"/>
      <c r="BQ1688" s="115"/>
      <c r="BR1688" s="115"/>
      <c r="BS1688" s="115"/>
      <c r="BT1688" s="115"/>
      <c r="BU1688" s="115"/>
      <c r="BV1688" s="115"/>
      <c r="BW1688" s="17"/>
      <c r="BX1688" s="15"/>
      <c r="CB1688" s="117"/>
      <c r="CC1688" s="116"/>
      <c r="CD1688" s="116"/>
      <c r="CE1688" s="116"/>
    </row>
    <row r="1689" spans="1:83" ht="19.5" x14ac:dyDescent="0.4">
      <c r="A1689" s="115"/>
      <c r="B1689" s="115"/>
      <c r="C1689" s="115"/>
      <c r="D1689" s="115"/>
      <c r="E1689" s="115"/>
      <c r="F1689" s="115"/>
      <c r="G1689" s="115"/>
      <c r="H1689" s="115"/>
      <c r="I1689" s="115"/>
      <c r="J1689" s="115"/>
      <c r="K1689" s="115"/>
      <c r="L1689" s="115"/>
      <c r="M1689" s="115"/>
      <c r="N1689" s="115"/>
      <c r="O1689" s="115"/>
      <c r="P1689" s="115"/>
      <c r="Q1689" s="115"/>
      <c r="R1689" s="115"/>
      <c r="S1689" s="115"/>
      <c r="T1689" s="115"/>
      <c r="U1689" s="115"/>
      <c r="V1689" s="115"/>
      <c r="W1689" s="115"/>
      <c r="X1689" s="115"/>
      <c r="Y1689" s="115"/>
      <c r="Z1689" s="115"/>
      <c r="AA1689" s="115"/>
      <c r="AB1689" s="115"/>
      <c r="AC1689" s="115"/>
      <c r="AD1689" s="115"/>
      <c r="AE1689" s="115"/>
      <c r="AF1689" s="115"/>
      <c r="AG1689" s="115"/>
      <c r="AH1689" s="115"/>
      <c r="AI1689" s="115"/>
      <c r="AJ1689" s="115"/>
      <c r="AK1689" s="115"/>
      <c r="AL1689" s="115"/>
      <c r="AM1689" s="115"/>
      <c r="AN1689" s="115"/>
      <c r="AO1689" s="115"/>
      <c r="AP1689" s="115"/>
      <c r="AQ1689" s="115"/>
      <c r="AR1689" s="115"/>
      <c r="AS1689" s="115"/>
      <c r="AT1689" s="115"/>
      <c r="AU1689" s="115"/>
      <c r="AV1689" s="115"/>
      <c r="AW1689" s="115"/>
      <c r="AX1689" s="115"/>
      <c r="AY1689" s="115"/>
      <c r="AZ1689" s="115"/>
      <c r="BA1689" s="115"/>
      <c r="BB1689" s="115"/>
      <c r="BC1689" s="115"/>
      <c r="BD1689" s="115"/>
      <c r="BE1689" s="115"/>
      <c r="BF1689" s="122"/>
      <c r="BG1689" s="122"/>
      <c r="BH1689" s="122"/>
      <c r="BI1689" s="115"/>
      <c r="BJ1689" s="115"/>
      <c r="BK1689" s="115"/>
      <c r="BL1689" s="115"/>
      <c r="BM1689" s="115"/>
      <c r="BN1689" s="115"/>
      <c r="BO1689" s="115"/>
      <c r="BP1689" s="115"/>
      <c r="BQ1689" s="115"/>
      <c r="BR1689" s="115"/>
      <c r="BS1689" s="115"/>
      <c r="BT1689" s="115"/>
      <c r="BU1689" s="115"/>
      <c r="BV1689" s="115"/>
      <c r="BW1689" s="26"/>
      <c r="BX1689" s="15"/>
      <c r="CB1689" s="117"/>
      <c r="CC1689" s="116"/>
      <c r="CD1689" s="116"/>
      <c r="CE1689" s="116"/>
    </row>
    <row r="1690" spans="1:83" ht="19.5" x14ac:dyDescent="0.4">
      <c r="A1690" s="115"/>
      <c r="B1690" s="115"/>
      <c r="C1690" s="115"/>
      <c r="D1690" s="115"/>
      <c r="E1690" s="115"/>
      <c r="F1690" s="115"/>
      <c r="G1690" s="115"/>
      <c r="H1690" s="115"/>
      <c r="I1690" s="115"/>
      <c r="J1690" s="115"/>
      <c r="K1690" s="115"/>
      <c r="L1690" s="115"/>
      <c r="M1690" s="115"/>
      <c r="N1690" s="115"/>
      <c r="O1690" s="115"/>
      <c r="P1690" s="115"/>
      <c r="Q1690" s="115"/>
      <c r="R1690" s="115"/>
      <c r="S1690" s="115"/>
      <c r="T1690" s="115"/>
      <c r="U1690" s="115"/>
      <c r="V1690" s="115"/>
      <c r="W1690" s="115"/>
      <c r="X1690" s="115"/>
      <c r="Y1690" s="115"/>
      <c r="Z1690" s="115"/>
      <c r="AA1690" s="115"/>
      <c r="AB1690" s="115"/>
      <c r="AC1690" s="115"/>
      <c r="AD1690" s="115"/>
      <c r="AE1690" s="115"/>
      <c r="AF1690" s="115"/>
      <c r="AG1690" s="115"/>
      <c r="AH1690" s="115"/>
      <c r="AI1690" s="115"/>
      <c r="AJ1690" s="115"/>
      <c r="AK1690" s="115"/>
      <c r="AL1690" s="115"/>
      <c r="AM1690" s="115"/>
      <c r="AN1690" s="115"/>
      <c r="AO1690" s="115"/>
      <c r="AP1690" s="115"/>
      <c r="AQ1690" s="115"/>
      <c r="AR1690" s="115"/>
      <c r="AS1690" s="115"/>
      <c r="AT1690" s="115"/>
      <c r="AU1690" s="115"/>
      <c r="AV1690" s="115"/>
      <c r="AW1690" s="115"/>
      <c r="AX1690" s="115"/>
      <c r="AY1690" s="115"/>
      <c r="AZ1690" s="115"/>
      <c r="BA1690" s="115"/>
      <c r="BB1690" s="115"/>
      <c r="BC1690" s="115"/>
      <c r="BD1690" s="115"/>
      <c r="BE1690" s="115"/>
      <c r="BF1690" s="122"/>
      <c r="BG1690" s="122"/>
      <c r="BH1690" s="122"/>
      <c r="BI1690" s="115"/>
      <c r="BJ1690" s="115"/>
      <c r="BK1690" s="115"/>
      <c r="BL1690" s="115"/>
      <c r="BM1690" s="115"/>
      <c r="BN1690" s="115"/>
      <c r="BO1690" s="115"/>
      <c r="BP1690" s="115"/>
      <c r="BQ1690" s="115"/>
      <c r="BR1690" s="115"/>
      <c r="BS1690" s="115"/>
      <c r="BT1690" s="115"/>
      <c r="BU1690" s="115"/>
      <c r="BV1690" s="115"/>
      <c r="BW1690" s="20"/>
      <c r="BX1690" s="15"/>
      <c r="CB1690" s="117"/>
      <c r="CC1690" s="116"/>
      <c r="CD1690" s="116"/>
      <c r="CE1690" s="116"/>
    </row>
    <row r="1691" spans="1:83" ht="19.5" x14ac:dyDescent="0.4">
      <c r="A1691" s="115"/>
      <c r="B1691" s="115"/>
      <c r="C1691" s="115"/>
      <c r="D1691" s="115"/>
      <c r="E1691" s="115"/>
      <c r="F1691" s="115"/>
      <c r="G1691" s="115"/>
      <c r="H1691" s="115"/>
      <c r="I1691" s="115"/>
      <c r="J1691" s="115"/>
      <c r="K1691" s="115"/>
      <c r="L1691" s="115"/>
      <c r="M1691" s="115"/>
      <c r="N1691" s="115"/>
      <c r="O1691" s="115"/>
      <c r="P1691" s="115"/>
      <c r="Q1691" s="115"/>
      <c r="R1691" s="115"/>
      <c r="S1691" s="115"/>
      <c r="T1691" s="115"/>
      <c r="U1691" s="115"/>
      <c r="V1691" s="115"/>
      <c r="W1691" s="115"/>
      <c r="X1691" s="115"/>
      <c r="Y1691" s="115"/>
      <c r="Z1691" s="115"/>
      <c r="AA1691" s="115"/>
      <c r="AB1691" s="115"/>
      <c r="AC1691" s="115"/>
      <c r="AD1691" s="115"/>
      <c r="AE1691" s="115"/>
      <c r="AF1691" s="115"/>
      <c r="AG1691" s="115"/>
      <c r="AH1691" s="115"/>
      <c r="AI1691" s="115"/>
      <c r="AJ1691" s="115"/>
      <c r="AK1691" s="115"/>
      <c r="AL1691" s="115"/>
      <c r="AM1691" s="115"/>
      <c r="AN1691" s="115"/>
      <c r="AO1691" s="115"/>
      <c r="AP1691" s="115"/>
      <c r="AQ1691" s="115"/>
      <c r="AR1691" s="115"/>
      <c r="AS1691" s="115"/>
      <c r="AT1691" s="115"/>
      <c r="AU1691" s="115"/>
      <c r="AV1691" s="115"/>
      <c r="AW1691" s="115"/>
      <c r="AX1691" s="115"/>
      <c r="AY1691" s="115"/>
      <c r="AZ1691" s="115"/>
      <c r="BA1691" s="115"/>
      <c r="BB1691" s="115"/>
      <c r="BC1691" s="115"/>
      <c r="BD1691" s="115"/>
      <c r="BE1691" s="115"/>
      <c r="BF1691" s="122"/>
      <c r="BG1691" s="122"/>
      <c r="BH1691" s="122"/>
      <c r="BI1691" s="115"/>
      <c r="BJ1691" s="115"/>
      <c r="BK1691" s="115"/>
      <c r="BL1691" s="115"/>
      <c r="BM1691" s="115"/>
      <c r="BN1691" s="115"/>
      <c r="BO1691" s="115"/>
      <c r="BP1691" s="115"/>
      <c r="BQ1691" s="115"/>
      <c r="BR1691" s="115"/>
      <c r="BS1691" s="115"/>
      <c r="BT1691" s="115"/>
      <c r="BU1691" s="115"/>
      <c r="BV1691" s="115"/>
      <c r="BW1691" s="20"/>
      <c r="BX1691" s="15"/>
      <c r="CB1691" s="117"/>
      <c r="CC1691" s="116"/>
      <c r="CD1691" s="116"/>
      <c r="CE1691" s="116"/>
    </row>
    <row r="1692" spans="1:83" ht="19.5" x14ac:dyDescent="0.4">
      <c r="A1692" s="115"/>
      <c r="B1692" s="115"/>
      <c r="C1692" s="115"/>
      <c r="D1692" s="115"/>
      <c r="E1692" s="115"/>
      <c r="F1692" s="115"/>
      <c r="G1692" s="115"/>
      <c r="H1692" s="115"/>
      <c r="I1692" s="115"/>
      <c r="J1692" s="115"/>
      <c r="K1692" s="115"/>
      <c r="L1692" s="115"/>
      <c r="M1692" s="115"/>
      <c r="N1692" s="115"/>
      <c r="O1692" s="115"/>
      <c r="P1692" s="115"/>
      <c r="Q1692" s="115"/>
      <c r="R1692" s="115"/>
      <c r="S1692" s="115"/>
      <c r="T1692" s="115"/>
      <c r="U1692" s="115"/>
      <c r="V1692" s="115"/>
      <c r="W1692" s="115"/>
      <c r="X1692" s="115"/>
      <c r="Y1692" s="115"/>
      <c r="Z1692" s="115"/>
      <c r="AA1692" s="115"/>
      <c r="AB1692" s="115"/>
      <c r="AC1692" s="115"/>
      <c r="AD1692" s="115"/>
      <c r="AE1692" s="115"/>
      <c r="AF1692" s="115"/>
      <c r="AG1692" s="115"/>
      <c r="AH1692" s="115"/>
      <c r="AI1692" s="115"/>
      <c r="AJ1692" s="115"/>
      <c r="AK1692" s="115"/>
      <c r="AL1692" s="115"/>
      <c r="AM1692" s="115"/>
      <c r="AN1692" s="115"/>
      <c r="AO1692" s="115"/>
      <c r="AP1692" s="115"/>
      <c r="AQ1692" s="115"/>
      <c r="AR1692" s="115"/>
      <c r="AS1692" s="115"/>
      <c r="AT1692" s="115"/>
      <c r="AU1692" s="115"/>
      <c r="AV1692" s="115"/>
      <c r="AW1692" s="115"/>
      <c r="AX1692" s="115"/>
      <c r="AY1692" s="115"/>
      <c r="AZ1692" s="115"/>
      <c r="BA1692" s="115"/>
      <c r="BB1692" s="115"/>
      <c r="BC1692" s="115"/>
      <c r="BD1692" s="115"/>
      <c r="BE1692" s="115"/>
      <c r="BF1692" s="122"/>
      <c r="BG1692" s="122"/>
      <c r="BH1692" s="122"/>
      <c r="BI1692" s="115"/>
      <c r="BJ1692" s="115"/>
      <c r="BK1692" s="115"/>
      <c r="BL1692" s="115"/>
      <c r="BM1692" s="115"/>
      <c r="BN1692" s="115"/>
      <c r="BO1692" s="115"/>
      <c r="BP1692" s="115"/>
      <c r="BQ1692" s="115"/>
      <c r="BR1692" s="115"/>
      <c r="BS1692" s="115"/>
      <c r="BT1692" s="115"/>
      <c r="BU1692" s="115"/>
      <c r="BV1692" s="115"/>
      <c r="BW1692" s="20"/>
      <c r="BX1692" s="15"/>
      <c r="CB1692" s="117"/>
      <c r="CC1692" s="116"/>
      <c r="CD1692" s="116"/>
      <c r="CE1692" s="116"/>
    </row>
    <row r="1693" spans="1:83" ht="19.5" x14ac:dyDescent="0.4">
      <c r="A1693" s="115"/>
      <c r="B1693" s="115"/>
      <c r="C1693" s="115"/>
      <c r="D1693" s="115"/>
      <c r="E1693" s="115"/>
      <c r="F1693" s="115"/>
      <c r="G1693" s="115"/>
      <c r="H1693" s="115"/>
      <c r="I1693" s="115"/>
      <c r="J1693" s="115"/>
      <c r="K1693" s="115"/>
      <c r="L1693" s="115"/>
      <c r="M1693" s="115"/>
      <c r="N1693" s="115"/>
      <c r="O1693" s="115"/>
      <c r="P1693" s="115"/>
      <c r="Q1693" s="115"/>
      <c r="R1693" s="115"/>
      <c r="S1693" s="115"/>
      <c r="T1693" s="115"/>
      <c r="U1693" s="115"/>
      <c r="V1693" s="115"/>
      <c r="W1693" s="115"/>
      <c r="X1693" s="115"/>
      <c r="Y1693" s="115"/>
      <c r="Z1693" s="115"/>
      <c r="AA1693" s="115"/>
      <c r="AB1693" s="115"/>
      <c r="AC1693" s="115"/>
      <c r="AD1693" s="115"/>
      <c r="AE1693" s="115"/>
      <c r="AF1693" s="115"/>
      <c r="AG1693" s="115"/>
      <c r="AH1693" s="115"/>
      <c r="AI1693" s="115"/>
      <c r="AJ1693" s="115"/>
      <c r="AK1693" s="115"/>
      <c r="AL1693" s="115"/>
      <c r="AM1693" s="115"/>
      <c r="AN1693" s="115"/>
      <c r="AO1693" s="115"/>
      <c r="AP1693" s="115"/>
      <c r="AQ1693" s="115"/>
      <c r="AR1693" s="115"/>
      <c r="AS1693" s="115"/>
      <c r="AT1693" s="115"/>
      <c r="AU1693" s="115"/>
      <c r="AV1693" s="115"/>
      <c r="AW1693" s="115"/>
      <c r="AX1693" s="115"/>
      <c r="AY1693" s="115"/>
      <c r="AZ1693" s="115"/>
      <c r="BA1693" s="115"/>
      <c r="BB1693" s="115"/>
      <c r="BC1693" s="115"/>
      <c r="BD1693" s="115"/>
      <c r="BE1693" s="115"/>
      <c r="BF1693" s="122"/>
      <c r="BG1693" s="122"/>
      <c r="BH1693" s="122"/>
      <c r="BI1693" s="115"/>
      <c r="BJ1693" s="115"/>
      <c r="BK1693" s="115"/>
      <c r="BL1693" s="115"/>
      <c r="BM1693" s="115"/>
      <c r="BN1693" s="115"/>
      <c r="BO1693" s="115"/>
      <c r="BP1693" s="115"/>
      <c r="BQ1693" s="115"/>
      <c r="BR1693" s="115"/>
      <c r="BS1693" s="115"/>
      <c r="BT1693" s="115"/>
      <c r="BU1693" s="115"/>
      <c r="BV1693" s="115"/>
      <c r="BW1693" s="20"/>
      <c r="BX1693" s="15"/>
      <c r="CB1693" s="117"/>
      <c r="CC1693" s="116"/>
      <c r="CD1693" s="116"/>
      <c r="CE1693" s="116"/>
    </row>
    <row r="1694" spans="1:83" ht="19.5" x14ac:dyDescent="0.4">
      <c r="A1694" s="115"/>
      <c r="B1694" s="115"/>
      <c r="C1694" s="115"/>
      <c r="D1694" s="115"/>
      <c r="E1694" s="115"/>
      <c r="F1694" s="115"/>
      <c r="G1694" s="115"/>
      <c r="H1694" s="115"/>
      <c r="I1694" s="115"/>
      <c r="J1694" s="115"/>
      <c r="K1694" s="115"/>
      <c r="L1694" s="115"/>
      <c r="M1694" s="115"/>
      <c r="N1694" s="115"/>
      <c r="O1694" s="115"/>
      <c r="P1694" s="115"/>
      <c r="Q1694" s="115"/>
      <c r="R1694" s="115"/>
      <c r="S1694" s="115"/>
      <c r="T1694" s="115"/>
      <c r="U1694" s="115"/>
      <c r="V1694" s="115"/>
      <c r="W1694" s="115"/>
      <c r="X1694" s="115"/>
      <c r="Y1694" s="115"/>
      <c r="Z1694" s="115"/>
      <c r="AA1694" s="115"/>
      <c r="AB1694" s="115"/>
      <c r="AC1694" s="115"/>
      <c r="AD1694" s="115"/>
      <c r="AE1694" s="115"/>
      <c r="AF1694" s="115"/>
      <c r="AG1694" s="115"/>
      <c r="AH1694" s="115"/>
      <c r="AI1694" s="115"/>
      <c r="AJ1694" s="115"/>
      <c r="AK1694" s="115"/>
      <c r="AL1694" s="115"/>
      <c r="AM1694" s="115"/>
      <c r="AN1694" s="115"/>
      <c r="AO1694" s="115"/>
      <c r="AP1694" s="115"/>
      <c r="AQ1694" s="115"/>
      <c r="AR1694" s="115"/>
      <c r="AS1694" s="115"/>
      <c r="AT1694" s="115"/>
      <c r="AU1694" s="115"/>
      <c r="AV1694" s="115"/>
      <c r="AW1694" s="115"/>
      <c r="AX1694" s="115"/>
      <c r="AY1694" s="115"/>
      <c r="AZ1694" s="115"/>
      <c r="BA1694" s="115"/>
      <c r="BB1694" s="115"/>
      <c r="BC1694" s="115"/>
      <c r="BD1694" s="115"/>
      <c r="BE1694" s="115"/>
      <c r="BF1694" s="122"/>
      <c r="BG1694" s="122"/>
      <c r="BH1694" s="122"/>
      <c r="BI1694" s="115"/>
      <c r="BJ1694" s="115"/>
      <c r="BK1694" s="115"/>
      <c r="BL1694" s="115"/>
      <c r="BM1694" s="115"/>
      <c r="BN1694" s="115"/>
      <c r="BO1694" s="115"/>
      <c r="BP1694" s="115"/>
      <c r="BQ1694" s="115"/>
      <c r="BR1694" s="115"/>
      <c r="BS1694" s="115"/>
      <c r="BT1694" s="115"/>
      <c r="BU1694" s="115"/>
      <c r="BV1694" s="115"/>
      <c r="BW1694" s="25"/>
      <c r="BX1694" s="15"/>
      <c r="CB1694" s="117"/>
      <c r="CC1694" s="116"/>
      <c r="CD1694" s="116"/>
      <c r="CE1694" s="116"/>
    </row>
    <row r="1695" spans="1:83" ht="19.5" x14ac:dyDescent="0.4">
      <c r="A1695" s="115"/>
      <c r="B1695" s="115"/>
      <c r="C1695" s="115"/>
      <c r="D1695" s="115"/>
      <c r="E1695" s="115"/>
      <c r="F1695" s="115"/>
      <c r="G1695" s="115"/>
      <c r="H1695" s="115"/>
      <c r="I1695" s="115"/>
      <c r="J1695" s="115"/>
      <c r="K1695" s="115"/>
      <c r="L1695" s="115"/>
      <c r="M1695" s="115"/>
      <c r="N1695" s="115"/>
      <c r="O1695" s="115"/>
      <c r="P1695" s="115"/>
      <c r="Q1695" s="115"/>
      <c r="R1695" s="115"/>
      <c r="S1695" s="115"/>
      <c r="T1695" s="115"/>
      <c r="U1695" s="115"/>
      <c r="V1695" s="115"/>
      <c r="W1695" s="115"/>
      <c r="X1695" s="115"/>
      <c r="Y1695" s="115"/>
      <c r="Z1695" s="115"/>
      <c r="AA1695" s="115"/>
      <c r="AB1695" s="115"/>
      <c r="AC1695" s="115"/>
      <c r="AD1695" s="115"/>
      <c r="AE1695" s="115"/>
      <c r="AF1695" s="115"/>
      <c r="AG1695" s="115"/>
      <c r="AH1695" s="115"/>
      <c r="AI1695" s="115"/>
      <c r="AJ1695" s="115"/>
      <c r="AK1695" s="115"/>
      <c r="AL1695" s="115"/>
      <c r="AM1695" s="115"/>
      <c r="AN1695" s="115"/>
      <c r="AO1695" s="115"/>
      <c r="AP1695" s="115"/>
      <c r="AQ1695" s="115"/>
      <c r="AR1695" s="115"/>
      <c r="AS1695" s="115"/>
      <c r="AT1695" s="115"/>
      <c r="AU1695" s="115"/>
      <c r="AV1695" s="115"/>
      <c r="AW1695" s="115"/>
      <c r="AX1695" s="115"/>
      <c r="AY1695" s="115"/>
      <c r="AZ1695" s="115"/>
      <c r="BA1695" s="115"/>
      <c r="BB1695" s="115"/>
      <c r="BC1695" s="115"/>
      <c r="BD1695" s="115"/>
      <c r="BE1695" s="115"/>
      <c r="BF1695" s="122"/>
      <c r="BG1695" s="122"/>
      <c r="BH1695" s="122"/>
      <c r="BI1695" s="115"/>
      <c r="BJ1695" s="115"/>
      <c r="BK1695" s="115"/>
      <c r="BL1695" s="115"/>
      <c r="BM1695" s="115"/>
      <c r="BN1695" s="115"/>
      <c r="BO1695" s="115"/>
      <c r="BP1695" s="115"/>
      <c r="BQ1695" s="115"/>
      <c r="BR1695" s="115"/>
      <c r="BS1695" s="115"/>
      <c r="BT1695" s="115"/>
      <c r="BU1695" s="115"/>
      <c r="BV1695" s="115"/>
      <c r="BW1695" s="13"/>
      <c r="BX1695" s="15"/>
      <c r="CB1695" s="117"/>
      <c r="CC1695" s="116"/>
      <c r="CD1695" s="116"/>
      <c r="CE1695" s="116"/>
    </row>
    <row r="1696" spans="1:83" ht="19.5" x14ac:dyDescent="0.4">
      <c r="BW1696" s="25"/>
      <c r="BX1696" s="15"/>
      <c r="CB1696" s="117"/>
      <c r="CC1696" s="116"/>
      <c r="CD1696" s="116"/>
      <c r="CE1696" s="116"/>
    </row>
    <row r="1697" spans="1:83" ht="19.5" x14ac:dyDescent="0.4">
      <c r="BC1697" s="115"/>
      <c r="BD1697" s="115"/>
      <c r="BE1697" s="115"/>
      <c r="BF1697" s="122"/>
      <c r="BG1697" s="122"/>
      <c r="BH1697" s="122"/>
      <c r="BI1697" s="115"/>
      <c r="BJ1697" s="115"/>
      <c r="BK1697" s="115"/>
      <c r="BL1697" s="115"/>
      <c r="BM1697" s="115"/>
      <c r="BN1697" s="115"/>
      <c r="BO1697" s="115"/>
      <c r="BP1697" s="115"/>
      <c r="BQ1697" s="115"/>
      <c r="BR1697" s="115"/>
      <c r="BS1697" s="115"/>
      <c r="BT1697" s="115"/>
      <c r="BU1697" s="115"/>
      <c r="BV1697" s="115"/>
      <c r="BW1697" s="13"/>
      <c r="BX1697" s="15"/>
      <c r="CB1697" s="117"/>
      <c r="CC1697" s="116"/>
      <c r="CD1697" s="116"/>
      <c r="CE1697" s="116"/>
    </row>
    <row r="1698" spans="1:83" ht="19.5" x14ac:dyDescent="0.4">
      <c r="D1698" s="115"/>
      <c r="E1698" s="115"/>
      <c r="F1698" s="115"/>
      <c r="G1698" s="115"/>
      <c r="H1698" s="115"/>
      <c r="I1698" s="115"/>
      <c r="J1698" s="115"/>
      <c r="K1698" s="115"/>
      <c r="L1698" s="115"/>
      <c r="M1698" s="115"/>
      <c r="N1698" s="115"/>
      <c r="O1698" s="115"/>
      <c r="P1698" s="115"/>
      <c r="Q1698" s="115"/>
      <c r="R1698" s="115"/>
      <c r="S1698" s="115"/>
      <c r="T1698" s="115"/>
      <c r="U1698" s="115"/>
      <c r="V1698" s="115"/>
      <c r="W1698" s="115"/>
      <c r="X1698" s="115"/>
      <c r="Y1698" s="115"/>
      <c r="Z1698" s="115"/>
      <c r="AA1698" s="115"/>
      <c r="AB1698" s="115"/>
      <c r="AC1698" s="115"/>
      <c r="AD1698" s="115"/>
      <c r="AE1698" s="115"/>
      <c r="AF1698" s="115"/>
      <c r="AG1698" s="115"/>
      <c r="AH1698" s="115"/>
      <c r="AI1698" s="115"/>
      <c r="AJ1698" s="115"/>
      <c r="AK1698" s="115"/>
      <c r="AL1698" s="115"/>
      <c r="AM1698" s="115"/>
      <c r="AN1698" s="115"/>
      <c r="AO1698" s="115"/>
      <c r="AP1698" s="115"/>
      <c r="AQ1698" s="115"/>
      <c r="AR1698" s="115"/>
      <c r="AS1698" s="115"/>
      <c r="AT1698" s="115"/>
      <c r="AU1698" s="115"/>
      <c r="AV1698" s="115"/>
      <c r="AW1698" s="115"/>
      <c r="AX1698" s="115"/>
      <c r="AY1698" s="115"/>
      <c r="AZ1698" s="115"/>
      <c r="BA1698" s="115"/>
      <c r="BB1698" s="115"/>
      <c r="BC1698" s="115"/>
      <c r="BD1698" s="115"/>
      <c r="BE1698" s="115"/>
      <c r="BF1698" s="122"/>
      <c r="BG1698" s="122"/>
      <c r="BH1698" s="122"/>
      <c r="BI1698" s="115"/>
      <c r="BJ1698" s="115"/>
      <c r="BK1698" s="115"/>
      <c r="BL1698" s="115"/>
      <c r="BM1698" s="115"/>
      <c r="BN1698" s="115"/>
      <c r="BO1698" s="115"/>
      <c r="BP1698" s="115"/>
      <c r="BQ1698" s="115"/>
      <c r="BR1698" s="115"/>
      <c r="BS1698" s="115"/>
      <c r="BT1698" s="115"/>
      <c r="BU1698" s="115"/>
      <c r="BV1698" s="115"/>
      <c r="BW1698" s="25"/>
      <c r="BX1698" s="15"/>
      <c r="CB1698" s="117"/>
      <c r="CC1698" s="116"/>
      <c r="CD1698" s="116"/>
      <c r="CE1698" s="116"/>
    </row>
    <row r="1699" spans="1:83" ht="19.5" x14ac:dyDescent="0.4">
      <c r="A1699" s="115"/>
      <c r="B1699" s="115"/>
      <c r="C1699" s="115"/>
      <c r="D1699" s="115"/>
      <c r="E1699" s="115"/>
      <c r="F1699" s="115"/>
      <c r="G1699" s="115"/>
      <c r="H1699" s="115"/>
      <c r="I1699" s="115"/>
      <c r="J1699" s="115"/>
      <c r="K1699" s="115"/>
      <c r="L1699" s="115"/>
      <c r="M1699" s="115"/>
      <c r="N1699" s="115"/>
      <c r="O1699" s="115"/>
      <c r="P1699" s="115"/>
      <c r="Q1699" s="115"/>
      <c r="R1699" s="115"/>
      <c r="S1699" s="115"/>
      <c r="T1699" s="115"/>
      <c r="U1699" s="115"/>
      <c r="V1699" s="115"/>
      <c r="W1699" s="115"/>
      <c r="X1699" s="115"/>
      <c r="Y1699" s="115"/>
      <c r="Z1699" s="115"/>
      <c r="AA1699" s="115"/>
      <c r="AB1699" s="115"/>
      <c r="AC1699" s="115"/>
      <c r="AD1699" s="115"/>
      <c r="AE1699" s="115"/>
      <c r="AF1699" s="115"/>
      <c r="AG1699" s="115"/>
      <c r="AH1699" s="115"/>
      <c r="AI1699" s="115"/>
      <c r="AJ1699" s="115"/>
      <c r="AK1699" s="115"/>
      <c r="AL1699" s="115"/>
      <c r="AM1699" s="115"/>
      <c r="AN1699" s="115"/>
      <c r="AO1699" s="115"/>
      <c r="AP1699" s="115"/>
      <c r="AQ1699" s="115"/>
      <c r="AR1699" s="115"/>
      <c r="AS1699" s="115"/>
      <c r="AT1699" s="115"/>
      <c r="AU1699" s="115"/>
      <c r="AV1699" s="115"/>
      <c r="AW1699" s="115"/>
      <c r="AX1699" s="115"/>
      <c r="AY1699" s="115"/>
      <c r="AZ1699" s="115"/>
      <c r="BA1699" s="115"/>
      <c r="BB1699" s="115"/>
      <c r="BC1699" s="115"/>
      <c r="BD1699" s="115"/>
      <c r="BE1699" s="115"/>
      <c r="BF1699" s="122"/>
      <c r="BG1699" s="122"/>
      <c r="BH1699" s="122"/>
      <c r="BI1699" s="115"/>
      <c r="BJ1699" s="115"/>
      <c r="BK1699" s="115"/>
      <c r="BL1699" s="115"/>
      <c r="BM1699" s="115"/>
      <c r="BN1699" s="115"/>
      <c r="BO1699" s="115"/>
      <c r="BP1699" s="115"/>
      <c r="BQ1699" s="115"/>
      <c r="BR1699" s="115"/>
      <c r="BS1699" s="115"/>
      <c r="BT1699" s="115"/>
      <c r="BU1699" s="115"/>
      <c r="BV1699" s="115"/>
      <c r="BW1699" s="25"/>
      <c r="BX1699" s="15"/>
      <c r="CB1699" s="117"/>
      <c r="CC1699" s="116"/>
      <c r="CD1699" s="116"/>
      <c r="CE1699" s="116"/>
    </row>
    <row r="1700" spans="1:83" ht="19.5" x14ac:dyDescent="0.4">
      <c r="A1700" s="115"/>
      <c r="B1700" s="115"/>
      <c r="C1700" s="115"/>
      <c r="D1700" s="115"/>
      <c r="E1700" s="115"/>
      <c r="F1700" s="115"/>
      <c r="G1700" s="115"/>
      <c r="H1700" s="115"/>
      <c r="I1700" s="115"/>
      <c r="J1700" s="115"/>
      <c r="K1700" s="115"/>
      <c r="L1700" s="115"/>
      <c r="M1700" s="115"/>
      <c r="N1700" s="115"/>
      <c r="O1700" s="115"/>
      <c r="P1700" s="115"/>
      <c r="Q1700" s="115"/>
      <c r="R1700" s="115"/>
      <c r="S1700" s="115"/>
      <c r="T1700" s="115"/>
      <c r="U1700" s="115"/>
      <c r="V1700" s="115"/>
      <c r="W1700" s="115"/>
      <c r="X1700" s="115"/>
      <c r="Y1700" s="115"/>
      <c r="Z1700" s="115"/>
      <c r="AA1700" s="115"/>
      <c r="AB1700" s="115"/>
      <c r="AC1700" s="115"/>
      <c r="AD1700" s="115"/>
      <c r="AE1700" s="115"/>
      <c r="AF1700" s="115"/>
      <c r="AG1700" s="115"/>
      <c r="AH1700" s="115"/>
      <c r="AI1700" s="115"/>
      <c r="AJ1700" s="115"/>
      <c r="AK1700" s="115"/>
      <c r="AL1700" s="115"/>
      <c r="AM1700" s="115"/>
      <c r="AN1700" s="115"/>
      <c r="AO1700" s="115"/>
      <c r="AP1700" s="115"/>
      <c r="AQ1700" s="115"/>
      <c r="AR1700" s="115"/>
      <c r="AS1700" s="115"/>
      <c r="AT1700" s="115"/>
      <c r="AU1700" s="115"/>
      <c r="AV1700" s="115"/>
      <c r="AW1700" s="115"/>
      <c r="AX1700" s="115"/>
      <c r="AY1700" s="115"/>
      <c r="AZ1700" s="115"/>
      <c r="BA1700" s="115"/>
      <c r="BB1700" s="115"/>
      <c r="BC1700" s="115"/>
      <c r="BD1700" s="115"/>
      <c r="BE1700" s="115"/>
      <c r="BF1700" s="122"/>
      <c r="BG1700" s="122"/>
      <c r="BH1700" s="122"/>
      <c r="BI1700" s="115"/>
      <c r="BJ1700" s="115"/>
      <c r="BK1700" s="115"/>
      <c r="BL1700" s="115"/>
      <c r="BM1700" s="115"/>
      <c r="BN1700" s="115"/>
      <c r="BO1700" s="115"/>
      <c r="BP1700" s="115"/>
      <c r="BQ1700" s="115"/>
      <c r="BR1700" s="115"/>
      <c r="BS1700" s="115"/>
      <c r="BT1700" s="115"/>
      <c r="BU1700" s="115"/>
      <c r="BV1700" s="115"/>
      <c r="BW1700" s="13"/>
      <c r="BX1700" s="15"/>
      <c r="CB1700" s="117"/>
      <c r="CC1700" s="116"/>
      <c r="CD1700" s="116"/>
      <c r="CE1700" s="116"/>
    </row>
    <row r="1701" spans="1:83" ht="19.5" x14ac:dyDescent="0.4">
      <c r="A1701" s="115"/>
      <c r="B1701" s="115"/>
      <c r="C1701" s="115"/>
      <c r="D1701" s="115"/>
      <c r="E1701" s="115"/>
      <c r="F1701" s="115"/>
      <c r="G1701" s="115"/>
      <c r="H1701" s="115"/>
      <c r="I1701" s="115"/>
      <c r="J1701" s="115"/>
      <c r="K1701" s="115"/>
      <c r="L1701" s="115"/>
      <c r="M1701" s="115"/>
      <c r="N1701" s="115"/>
      <c r="O1701" s="115"/>
      <c r="P1701" s="115"/>
      <c r="Q1701" s="115"/>
      <c r="R1701" s="115"/>
      <c r="S1701" s="115"/>
      <c r="T1701" s="115"/>
      <c r="U1701" s="115"/>
      <c r="V1701" s="115"/>
      <c r="W1701" s="115"/>
      <c r="X1701" s="115"/>
      <c r="Y1701" s="115"/>
      <c r="Z1701" s="115"/>
      <c r="AA1701" s="115"/>
      <c r="AB1701" s="115"/>
      <c r="AC1701" s="115"/>
      <c r="AD1701" s="115"/>
      <c r="AE1701" s="115"/>
      <c r="AF1701" s="115"/>
      <c r="AG1701" s="115"/>
      <c r="AH1701" s="115"/>
      <c r="AI1701" s="115"/>
      <c r="AJ1701" s="115"/>
      <c r="AK1701" s="115"/>
      <c r="AL1701" s="115"/>
      <c r="AM1701" s="115"/>
      <c r="AN1701" s="115"/>
      <c r="AO1701" s="115"/>
      <c r="AP1701" s="115"/>
      <c r="AQ1701" s="115"/>
      <c r="AR1701" s="115"/>
      <c r="AS1701" s="115"/>
      <c r="AT1701" s="115"/>
      <c r="AU1701" s="115"/>
      <c r="AV1701" s="115"/>
      <c r="AW1701" s="115"/>
      <c r="AX1701" s="115"/>
      <c r="AY1701" s="115"/>
      <c r="AZ1701" s="115"/>
      <c r="BA1701" s="115"/>
      <c r="BB1701" s="115"/>
      <c r="BC1701" s="115"/>
      <c r="BD1701" s="115"/>
      <c r="BE1701" s="115"/>
      <c r="BF1701" s="122"/>
      <c r="BG1701" s="122"/>
      <c r="BH1701" s="122"/>
      <c r="BI1701" s="115"/>
      <c r="BJ1701" s="115"/>
      <c r="BK1701" s="115"/>
      <c r="BL1701" s="115"/>
      <c r="BM1701" s="115"/>
      <c r="BN1701" s="115"/>
      <c r="BO1701" s="115"/>
      <c r="BP1701" s="115"/>
      <c r="BQ1701" s="115"/>
      <c r="BR1701" s="115"/>
      <c r="BS1701" s="115"/>
      <c r="BT1701" s="115"/>
      <c r="BU1701" s="115"/>
      <c r="BV1701" s="115"/>
      <c r="BW1701" s="25"/>
      <c r="BX1701" s="15"/>
      <c r="CB1701" s="117"/>
      <c r="CC1701" s="116"/>
      <c r="CD1701" s="116"/>
      <c r="CE1701" s="116"/>
    </row>
    <row r="1702" spans="1:83" ht="19.5" x14ac:dyDescent="0.4">
      <c r="A1702" s="115"/>
      <c r="B1702" s="115"/>
      <c r="C1702" s="115"/>
      <c r="D1702" s="115"/>
      <c r="E1702" s="115"/>
      <c r="F1702" s="115"/>
      <c r="G1702" s="115"/>
      <c r="H1702" s="115"/>
      <c r="I1702" s="115"/>
      <c r="J1702" s="115"/>
      <c r="K1702" s="115"/>
      <c r="L1702" s="115"/>
      <c r="M1702" s="115"/>
      <c r="N1702" s="115"/>
      <c r="O1702" s="115"/>
      <c r="P1702" s="115"/>
      <c r="Q1702" s="115"/>
      <c r="R1702" s="115"/>
      <c r="S1702" s="115"/>
      <c r="T1702" s="115"/>
      <c r="U1702" s="115"/>
      <c r="V1702" s="115"/>
      <c r="W1702" s="115"/>
      <c r="X1702" s="115"/>
      <c r="Y1702" s="115"/>
      <c r="Z1702" s="115"/>
      <c r="AA1702" s="115"/>
      <c r="AB1702" s="115"/>
      <c r="AC1702" s="115"/>
      <c r="AD1702" s="115"/>
      <c r="AE1702" s="115"/>
      <c r="AF1702" s="115"/>
      <c r="AG1702" s="115"/>
      <c r="AH1702" s="115"/>
      <c r="AI1702" s="115"/>
      <c r="AJ1702" s="115"/>
      <c r="AK1702" s="115"/>
      <c r="AL1702" s="115"/>
      <c r="AM1702" s="115"/>
      <c r="AN1702" s="115"/>
      <c r="AO1702" s="115"/>
      <c r="AP1702" s="115"/>
      <c r="AQ1702" s="115"/>
      <c r="AR1702" s="115"/>
      <c r="AS1702" s="115"/>
      <c r="AT1702" s="115"/>
      <c r="AU1702" s="115"/>
      <c r="AV1702" s="115"/>
      <c r="AW1702" s="115"/>
      <c r="AX1702" s="115"/>
      <c r="AY1702" s="115"/>
      <c r="AZ1702" s="115"/>
      <c r="BA1702" s="115"/>
      <c r="BB1702" s="115"/>
      <c r="BC1702" s="115"/>
      <c r="BD1702" s="115"/>
      <c r="BE1702" s="115"/>
      <c r="BF1702" s="122"/>
      <c r="BG1702" s="122"/>
      <c r="BH1702" s="122"/>
      <c r="BI1702" s="115"/>
      <c r="BJ1702" s="115"/>
      <c r="BK1702" s="115"/>
      <c r="BL1702" s="115"/>
      <c r="BM1702" s="115"/>
      <c r="BN1702" s="115"/>
      <c r="BO1702" s="115"/>
      <c r="BP1702" s="115"/>
      <c r="BQ1702" s="115"/>
      <c r="BR1702" s="115"/>
      <c r="BS1702" s="115"/>
      <c r="BT1702" s="115"/>
      <c r="BU1702" s="115"/>
      <c r="BV1702" s="115"/>
      <c r="BW1702" s="13"/>
      <c r="BX1702" s="15"/>
      <c r="CB1702" s="117"/>
      <c r="CC1702" s="116"/>
      <c r="CD1702" s="116"/>
      <c r="CE1702" s="116"/>
    </row>
    <row r="1703" spans="1:83" ht="19.5" x14ac:dyDescent="0.4">
      <c r="A1703" s="115"/>
      <c r="B1703" s="115"/>
      <c r="C1703" s="115"/>
      <c r="D1703" s="115"/>
      <c r="E1703" s="115"/>
      <c r="F1703" s="115"/>
      <c r="G1703" s="115"/>
      <c r="H1703" s="115"/>
      <c r="I1703" s="115"/>
      <c r="J1703" s="115"/>
      <c r="K1703" s="115"/>
      <c r="L1703" s="115"/>
      <c r="M1703" s="115"/>
      <c r="N1703" s="115"/>
      <c r="O1703" s="115"/>
      <c r="P1703" s="115"/>
      <c r="Q1703" s="115"/>
      <c r="R1703" s="115"/>
      <c r="S1703" s="115"/>
      <c r="T1703" s="115"/>
      <c r="U1703" s="115"/>
      <c r="V1703" s="115"/>
      <c r="W1703" s="115"/>
      <c r="X1703" s="115"/>
      <c r="Y1703" s="115"/>
      <c r="Z1703" s="115"/>
      <c r="AA1703" s="115"/>
      <c r="AB1703" s="115"/>
      <c r="AC1703" s="115"/>
      <c r="AD1703" s="115"/>
      <c r="AE1703" s="115"/>
      <c r="AF1703" s="115"/>
      <c r="AG1703" s="115"/>
      <c r="AH1703" s="115"/>
      <c r="AI1703" s="115"/>
      <c r="AJ1703" s="115"/>
      <c r="AK1703" s="115"/>
      <c r="AL1703" s="115"/>
      <c r="AM1703" s="115"/>
      <c r="AN1703" s="115"/>
      <c r="AO1703" s="115"/>
      <c r="AP1703" s="115"/>
      <c r="AQ1703" s="115"/>
      <c r="AR1703" s="115"/>
      <c r="AS1703" s="115"/>
      <c r="AT1703" s="115"/>
      <c r="AU1703" s="115"/>
      <c r="AV1703" s="115"/>
      <c r="AW1703" s="115"/>
      <c r="AX1703" s="115"/>
      <c r="AY1703" s="115"/>
      <c r="AZ1703" s="115"/>
      <c r="BA1703" s="115"/>
      <c r="BB1703" s="115"/>
      <c r="BC1703" s="115"/>
      <c r="BD1703" s="115"/>
      <c r="BE1703" s="115"/>
      <c r="BF1703" s="122"/>
      <c r="BG1703" s="122"/>
      <c r="BH1703" s="122"/>
      <c r="BI1703" s="115"/>
      <c r="BJ1703" s="115"/>
      <c r="BK1703" s="115"/>
      <c r="BL1703" s="115"/>
      <c r="BM1703" s="115"/>
      <c r="BN1703" s="115"/>
      <c r="BO1703" s="115"/>
      <c r="BP1703" s="115"/>
      <c r="BQ1703" s="115"/>
      <c r="BR1703" s="115"/>
      <c r="BS1703" s="115"/>
      <c r="BT1703" s="115"/>
      <c r="BU1703" s="115"/>
      <c r="BV1703" s="115"/>
      <c r="BW1703" s="25"/>
      <c r="BX1703" s="15"/>
      <c r="CB1703" s="117"/>
      <c r="CC1703" s="116"/>
      <c r="CD1703" s="116"/>
      <c r="CE1703" s="116"/>
    </row>
    <row r="1704" spans="1:83" ht="19.5" x14ac:dyDescent="0.4">
      <c r="A1704" s="115"/>
      <c r="B1704" s="115"/>
      <c r="C1704" s="115"/>
      <c r="D1704" s="115"/>
      <c r="E1704" s="115"/>
      <c r="F1704" s="115"/>
      <c r="G1704" s="115"/>
      <c r="H1704" s="115"/>
      <c r="I1704" s="115"/>
      <c r="J1704" s="115"/>
      <c r="K1704" s="115"/>
      <c r="L1704" s="115"/>
      <c r="M1704" s="115"/>
      <c r="N1704" s="115"/>
      <c r="O1704" s="115"/>
      <c r="P1704" s="115"/>
      <c r="Q1704" s="115"/>
      <c r="R1704" s="115"/>
      <c r="S1704" s="115"/>
      <c r="T1704" s="115"/>
      <c r="U1704" s="115"/>
      <c r="V1704" s="115"/>
      <c r="W1704" s="115"/>
      <c r="X1704" s="115"/>
      <c r="Y1704" s="115"/>
      <c r="Z1704" s="115"/>
      <c r="AA1704" s="115"/>
      <c r="AB1704" s="115"/>
      <c r="AC1704" s="115"/>
      <c r="AD1704" s="115"/>
      <c r="AE1704" s="115"/>
      <c r="AF1704" s="115"/>
      <c r="AG1704" s="115"/>
      <c r="AH1704" s="115"/>
      <c r="AI1704" s="115"/>
      <c r="AJ1704" s="115"/>
      <c r="AK1704" s="115"/>
      <c r="AL1704" s="115"/>
      <c r="AM1704" s="115"/>
      <c r="AN1704" s="115"/>
      <c r="AO1704" s="115"/>
      <c r="AP1704" s="115"/>
      <c r="AQ1704" s="115"/>
      <c r="AR1704" s="115"/>
      <c r="AS1704" s="115"/>
      <c r="AT1704" s="115"/>
      <c r="AU1704" s="115"/>
      <c r="AV1704" s="115"/>
      <c r="AW1704" s="115"/>
      <c r="AX1704" s="115"/>
      <c r="AY1704" s="115"/>
      <c r="AZ1704" s="115"/>
      <c r="BA1704" s="115"/>
      <c r="BB1704" s="115"/>
      <c r="BC1704" s="115"/>
      <c r="BD1704" s="115"/>
      <c r="BE1704" s="115"/>
      <c r="BF1704" s="122"/>
      <c r="BG1704" s="122"/>
      <c r="BH1704" s="122"/>
      <c r="BI1704" s="115"/>
      <c r="BJ1704" s="115"/>
      <c r="BK1704" s="115"/>
      <c r="BL1704" s="115"/>
      <c r="BM1704" s="115"/>
      <c r="BN1704" s="115"/>
      <c r="BO1704" s="115"/>
      <c r="BP1704" s="115"/>
      <c r="BQ1704" s="115"/>
      <c r="BR1704" s="115"/>
      <c r="BS1704" s="115"/>
      <c r="BT1704" s="115"/>
      <c r="BU1704" s="115"/>
      <c r="BV1704" s="115"/>
      <c r="BW1704" s="26"/>
      <c r="BX1704" s="15"/>
      <c r="CB1704" s="117"/>
      <c r="CC1704" s="116"/>
      <c r="CD1704" s="116"/>
      <c r="CE1704" s="116"/>
    </row>
    <row r="1705" spans="1:83" ht="19.5" x14ac:dyDescent="0.4">
      <c r="A1705" s="115"/>
      <c r="B1705" s="115"/>
      <c r="C1705" s="115"/>
      <c r="D1705" s="115"/>
      <c r="E1705" s="115"/>
      <c r="F1705" s="115"/>
      <c r="G1705" s="115"/>
      <c r="H1705" s="115"/>
      <c r="I1705" s="115"/>
      <c r="J1705" s="115"/>
      <c r="K1705" s="115"/>
      <c r="L1705" s="115"/>
      <c r="M1705" s="115"/>
      <c r="N1705" s="115"/>
      <c r="O1705" s="115"/>
      <c r="P1705" s="115"/>
      <c r="Q1705" s="115"/>
      <c r="R1705" s="115"/>
      <c r="S1705" s="115"/>
      <c r="T1705" s="115"/>
      <c r="U1705" s="115"/>
      <c r="V1705" s="115"/>
      <c r="W1705" s="115"/>
      <c r="X1705" s="115"/>
      <c r="Y1705" s="115"/>
      <c r="Z1705" s="115"/>
      <c r="AA1705" s="115"/>
      <c r="AB1705" s="115"/>
      <c r="AC1705" s="115"/>
      <c r="AD1705" s="115"/>
      <c r="AE1705" s="115"/>
      <c r="AF1705" s="115"/>
      <c r="AG1705" s="115"/>
      <c r="AH1705" s="115"/>
      <c r="AI1705" s="115"/>
      <c r="AJ1705" s="115"/>
      <c r="AK1705" s="115"/>
      <c r="AL1705" s="115"/>
      <c r="AM1705" s="115"/>
      <c r="AN1705" s="115"/>
      <c r="AO1705" s="115"/>
      <c r="AP1705" s="115"/>
      <c r="AQ1705" s="115"/>
      <c r="AR1705" s="115"/>
      <c r="AS1705" s="115"/>
      <c r="AT1705" s="115"/>
      <c r="AU1705" s="115"/>
      <c r="AV1705" s="115"/>
      <c r="AW1705" s="115"/>
      <c r="AX1705" s="115"/>
      <c r="AY1705" s="115"/>
      <c r="AZ1705" s="115"/>
      <c r="BA1705" s="115"/>
      <c r="BB1705" s="115"/>
      <c r="BC1705" s="115"/>
      <c r="BD1705" s="115"/>
      <c r="BE1705" s="115"/>
      <c r="BF1705" s="122"/>
      <c r="BG1705" s="122"/>
      <c r="BH1705" s="122"/>
      <c r="BI1705" s="115"/>
      <c r="BJ1705" s="115"/>
      <c r="BK1705" s="115"/>
      <c r="BL1705" s="115"/>
      <c r="BM1705" s="115"/>
      <c r="BN1705" s="115"/>
      <c r="BO1705" s="115"/>
      <c r="BP1705" s="115"/>
      <c r="BQ1705" s="115"/>
      <c r="BR1705" s="115"/>
      <c r="BS1705" s="115"/>
      <c r="BT1705" s="115"/>
      <c r="BU1705" s="115"/>
      <c r="BV1705" s="115"/>
      <c r="BW1705" s="17"/>
      <c r="BX1705" s="13"/>
      <c r="CB1705" s="117"/>
      <c r="CC1705" s="116"/>
      <c r="CD1705" s="116"/>
      <c r="CE1705" s="116"/>
    </row>
    <row r="1706" spans="1:83" ht="19.5" x14ac:dyDescent="0.4">
      <c r="A1706" s="115"/>
      <c r="B1706" s="115"/>
      <c r="C1706" s="115"/>
      <c r="D1706" s="115"/>
      <c r="E1706" s="115"/>
      <c r="F1706" s="115"/>
      <c r="G1706" s="115"/>
      <c r="H1706" s="115"/>
      <c r="I1706" s="115"/>
      <c r="J1706" s="115"/>
      <c r="K1706" s="115"/>
      <c r="L1706" s="115"/>
      <c r="M1706" s="115"/>
      <c r="N1706" s="115"/>
      <c r="O1706" s="115"/>
      <c r="P1706" s="115"/>
      <c r="Q1706" s="115"/>
      <c r="R1706" s="115"/>
      <c r="S1706" s="115"/>
      <c r="T1706" s="115"/>
      <c r="U1706" s="115"/>
      <c r="V1706" s="115"/>
      <c r="W1706" s="115"/>
      <c r="X1706" s="115"/>
      <c r="Y1706" s="115"/>
      <c r="Z1706" s="115"/>
      <c r="AA1706" s="115"/>
      <c r="AB1706" s="115"/>
      <c r="AC1706" s="115"/>
      <c r="AD1706" s="115"/>
      <c r="AE1706" s="115"/>
      <c r="AF1706" s="115"/>
      <c r="AG1706" s="115"/>
      <c r="AH1706" s="115"/>
      <c r="AI1706" s="115"/>
      <c r="AJ1706" s="115"/>
      <c r="AK1706" s="115"/>
      <c r="AL1706" s="115"/>
      <c r="AM1706" s="115"/>
      <c r="AN1706" s="115"/>
      <c r="AO1706" s="115"/>
      <c r="AP1706" s="115"/>
      <c r="AQ1706" s="115"/>
      <c r="AR1706" s="115"/>
      <c r="AS1706" s="115"/>
      <c r="AT1706" s="115"/>
      <c r="AU1706" s="115"/>
      <c r="AV1706" s="115"/>
      <c r="AW1706" s="115"/>
      <c r="AX1706" s="115"/>
      <c r="AY1706" s="115"/>
      <c r="AZ1706" s="115"/>
      <c r="BA1706" s="115"/>
      <c r="BB1706" s="115"/>
      <c r="BC1706" s="115"/>
      <c r="BD1706" s="115"/>
      <c r="BE1706" s="115"/>
      <c r="BF1706" s="122"/>
      <c r="BG1706" s="122"/>
      <c r="BH1706" s="122"/>
      <c r="BI1706" s="115"/>
      <c r="BJ1706" s="115"/>
      <c r="BK1706" s="115"/>
      <c r="BL1706" s="115"/>
      <c r="BM1706" s="115"/>
      <c r="BN1706" s="115"/>
      <c r="BO1706" s="115"/>
      <c r="BP1706" s="115"/>
      <c r="BQ1706" s="115"/>
      <c r="BR1706" s="115"/>
      <c r="BS1706" s="115"/>
      <c r="BT1706" s="115"/>
      <c r="BU1706" s="115"/>
      <c r="BV1706" s="115"/>
      <c r="BW1706" s="26"/>
      <c r="BX1706" s="13"/>
      <c r="CB1706" s="117"/>
      <c r="CC1706" s="116"/>
      <c r="CD1706" s="116"/>
      <c r="CE1706" s="116"/>
    </row>
    <row r="1707" spans="1:83" ht="19.5" x14ac:dyDescent="0.4">
      <c r="A1707" s="115"/>
      <c r="B1707" s="115"/>
      <c r="C1707" s="115"/>
      <c r="D1707" s="115"/>
      <c r="E1707" s="115"/>
      <c r="F1707" s="115"/>
      <c r="G1707" s="115"/>
      <c r="H1707" s="115"/>
      <c r="I1707" s="115"/>
      <c r="J1707" s="115"/>
      <c r="K1707" s="115"/>
      <c r="L1707" s="115"/>
      <c r="M1707" s="115"/>
      <c r="N1707" s="115"/>
      <c r="O1707" s="115"/>
      <c r="P1707" s="115"/>
      <c r="Q1707" s="115"/>
      <c r="R1707" s="115"/>
      <c r="S1707" s="115"/>
      <c r="T1707" s="115"/>
      <c r="U1707" s="115"/>
      <c r="V1707" s="115"/>
      <c r="W1707" s="115"/>
      <c r="X1707" s="115"/>
      <c r="Y1707" s="115"/>
      <c r="Z1707" s="115"/>
      <c r="AA1707" s="115"/>
      <c r="AB1707" s="115"/>
      <c r="AC1707" s="115"/>
      <c r="AD1707" s="115"/>
      <c r="AE1707" s="115"/>
      <c r="AF1707" s="115"/>
      <c r="AG1707" s="115"/>
      <c r="AH1707" s="115"/>
      <c r="AI1707" s="115"/>
      <c r="AJ1707" s="115"/>
      <c r="AK1707" s="115"/>
      <c r="AL1707" s="115"/>
      <c r="AM1707" s="115"/>
      <c r="AN1707" s="115"/>
      <c r="AO1707" s="115"/>
      <c r="AP1707" s="115"/>
      <c r="AQ1707" s="115"/>
      <c r="AR1707" s="115"/>
      <c r="AS1707" s="115"/>
      <c r="AT1707" s="115"/>
      <c r="AU1707" s="115"/>
      <c r="AV1707" s="115"/>
      <c r="AW1707" s="115"/>
      <c r="AX1707" s="115"/>
      <c r="AY1707" s="115"/>
      <c r="AZ1707" s="115"/>
      <c r="BA1707" s="115"/>
      <c r="BB1707" s="115"/>
      <c r="BC1707" s="115"/>
      <c r="BD1707" s="115"/>
      <c r="BE1707" s="115"/>
      <c r="BF1707" s="122"/>
      <c r="BG1707" s="122"/>
      <c r="BH1707" s="122"/>
      <c r="BI1707" s="115"/>
      <c r="BJ1707" s="115"/>
      <c r="BK1707" s="115"/>
      <c r="BL1707" s="115"/>
      <c r="BM1707" s="115"/>
      <c r="BN1707" s="115"/>
      <c r="BO1707" s="115"/>
      <c r="BP1707" s="115"/>
      <c r="BQ1707" s="115"/>
      <c r="BR1707" s="115"/>
      <c r="BS1707" s="115"/>
      <c r="BT1707" s="115"/>
      <c r="BU1707" s="115"/>
      <c r="BV1707" s="115"/>
      <c r="BW1707" s="17"/>
      <c r="BX1707" s="13"/>
      <c r="CB1707" s="117"/>
      <c r="CC1707" s="116"/>
      <c r="CD1707" s="116"/>
      <c r="CE1707" s="116"/>
    </row>
    <row r="1708" spans="1:83" ht="19.5" x14ac:dyDescent="0.4">
      <c r="A1708" s="115"/>
      <c r="B1708" s="115"/>
      <c r="C1708" s="115"/>
      <c r="D1708" s="115"/>
      <c r="E1708" s="115"/>
      <c r="F1708" s="115"/>
      <c r="G1708" s="115"/>
      <c r="H1708" s="115"/>
      <c r="I1708" s="115"/>
      <c r="J1708" s="115"/>
      <c r="K1708" s="115"/>
      <c r="L1708" s="115"/>
      <c r="M1708" s="115"/>
      <c r="N1708" s="115"/>
      <c r="O1708" s="115"/>
      <c r="P1708" s="115"/>
      <c r="Q1708" s="115"/>
      <c r="R1708" s="115"/>
      <c r="S1708" s="115"/>
      <c r="T1708" s="115"/>
      <c r="U1708" s="115"/>
      <c r="V1708" s="115"/>
      <c r="W1708" s="115"/>
      <c r="X1708" s="115"/>
      <c r="Y1708" s="115"/>
      <c r="Z1708" s="115"/>
      <c r="AA1708" s="115"/>
      <c r="AB1708" s="115"/>
      <c r="AC1708" s="115"/>
      <c r="AD1708" s="115"/>
      <c r="AE1708" s="115"/>
      <c r="AF1708" s="115"/>
      <c r="AG1708" s="115"/>
      <c r="AH1708" s="115"/>
      <c r="AI1708" s="115"/>
      <c r="AJ1708" s="115"/>
      <c r="AK1708" s="115"/>
      <c r="AL1708" s="115"/>
      <c r="AM1708" s="115"/>
      <c r="AN1708" s="115"/>
      <c r="AO1708" s="115"/>
      <c r="AP1708" s="115"/>
      <c r="AQ1708" s="115"/>
      <c r="AR1708" s="115"/>
      <c r="AS1708" s="115"/>
      <c r="AT1708" s="115"/>
      <c r="AU1708" s="115"/>
      <c r="AV1708" s="115"/>
      <c r="AW1708" s="115"/>
      <c r="AX1708" s="115"/>
      <c r="AY1708" s="115"/>
      <c r="AZ1708" s="115"/>
      <c r="BA1708" s="115"/>
      <c r="BB1708" s="115"/>
      <c r="BC1708" s="115"/>
      <c r="BD1708" s="115"/>
      <c r="BE1708" s="115"/>
      <c r="BF1708" s="122"/>
      <c r="BG1708" s="122"/>
      <c r="BH1708" s="122"/>
      <c r="BI1708" s="115"/>
      <c r="BJ1708" s="115"/>
      <c r="BK1708" s="115"/>
      <c r="BL1708" s="115"/>
      <c r="BM1708" s="115"/>
      <c r="BN1708" s="115"/>
      <c r="BO1708" s="115"/>
      <c r="BP1708" s="115"/>
      <c r="BQ1708" s="115"/>
      <c r="BR1708" s="115"/>
      <c r="BS1708" s="115"/>
      <c r="BT1708" s="115"/>
      <c r="BU1708" s="115"/>
      <c r="BV1708" s="115"/>
      <c r="BW1708" s="26"/>
      <c r="BX1708" s="15"/>
      <c r="CB1708" s="117"/>
      <c r="CC1708" s="116"/>
      <c r="CD1708" s="116"/>
      <c r="CE1708" s="116"/>
    </row>
    <row r="1709" spans="1:83" ht="19.5" x14ac:dyDescent="0.4">
      <c r="A1709" s="115"/>
      <c r="B1709" s="115"/>
      <c r="C1709" s="115"/>
      <c r="D1709" s="115"/>
      <c r="E1709" s="115"/>
      <c r="F1709" s="115"/>
      <c r="G1709" s="115"/>
      <c r="H1709" s="115"/>
      <c r="I1709" s="115"/>
      <c r="J1709" s="115"/>
      <c r="K1709" s="115"/>
      <c r="L1709" s="115"/>
      <c r="M1709" s="115"/>
      <c r="N1709" s="115"/>
      <c r="O1709" s="115"/>
      <c r="P1709" s="115"/>
      <c r="Q1709" s="115"/>
      <c r="R1709" s="115"/>
      <c r="S1709" s="115"/>
      <c r="T1709" s="115"/>
      <c r="U1709" s="115"/>
      <c r="V1709" s="115"/>
      <c r="W1709" s="115"/>
      <c r="X1709" s="115"/>
      <c r="Y1709" s="115"/>
      <c r="Z1709" s="115"/>
      <c r="AA1709" s="115"/>
      <c r="AB1709" s="115"/>
      <c r="AC1709" s="115"/>
      <c r="AD1709" s="115"/>
      <c r="AE1709" s="115"/>
      <c r="AF1709" s="115"/>
      <c r="AG1709" s="115"/>
      <c r="AH1709" s="115"/>
      <c r="AI1709" s="115"/>
      <c r="AJ1709" s="115"/>
      <c r="AK1709" s="115"/>
      <c r="AL1709" s="115"/>
      <c r="AM1709" s="115"/>
      <c r="AN1709" s="115"/>
      <c r="AO1709" s="115"/>
      <c r="AP1709" s="115"/>
      <c r="AQ1709" s="115"/>
      <c r="AR1709" s="115"/>
      <c r="AS1709" s="115"/>
      <c r="AT1709" s="115"/>
      <c r="AU1709" s="115"/>
      <c r="AV1709" s="115"/>
      <c r="AW1709" s="115"/>
      <c r="AX1709" s="115"/>
      <c r="AY1709" s="115"/>
      <c r="AZ1709" s="115"/>
      <c r="BA1709" s="115"/>
      <c r="BB1709" s="115"/>
      <c r="BC1709" s="115"/>
      <c r="BD1709" s="115"/>
      <c r="BE1709" s="115"/>
      <c r="BF1709" s="122"/>
      <c r="BG1709" s="122"/>
      <c r="BH1709" s="122"/>
      <c r="BI1709" s="115"/>
      <c r="BJ1709" s="115"/>
      <c r="BK1709" s="115"/>
      <c r="BL1709" s="115"/>
      <c r="BM1709" s="115"/>
      <c r="BN1709" s="115"/>
      <c r="BO1709" s="115"/>
      <c r="BP1709" s="115"/>
      <c r="BQ1709" s="115"/>
      <c r="BR1709" s="115"/>
      <c r="BS1709" s="115"/>
      <c r="BT1709" s="115"/>
      <c r="BU1709" s="115"/>
      <c r="BV1709" s="115"/>
      <c r="BW1709" s="17"/>
      <c r="BX1709" s="15"/>
      <c r="CB1709" s="117"/>
      <c r="CC1709" s="116"/>
      <c r="CD1709" s="116"/>
      <c r="CE1709" s="116"/>
    </row>
    <row r="1710" spans="1:83" ht="19.5" x14ac:dyDescent="0.4">
      <c r="BW1710" s="26"/>
      <c r="BX1710" s="105"/>
      <c r="CB1710" s="117"/>
      <c r="CC1710" s="116"/>
      <c r="CD1710" s="116"/>
      <c r="CE1710" s="116"/>
    </row>
    <row r="1711" spans="1:83" ht="19.5" x14ac:dyDescent="0.4">
      <c r="BC1711" s="115"/>
      <c r="BD1711" s="115"/>
      <c r="BE1711" s="115"/>
      <c r="BF1711" s="122"/>
      <c r="BG1711" s="122"/>
      <c r="BH1711" s="122"/>
      <c r="BI1711" s="115"/>
      <c r="BJ1711" s="115"/>
      <c r="BK1711" s="115"/>
      <c r="BL1711" s="115"/>
      <c r="BM1711" s="115"/>
      <c r="BN1711" s="115"/>
      <c r="BO1711" s="115"/>
      <c r="BP1711" s="115"/>
      <c r="BQ1711" s="115"/>
      <c r="BR1711" s="115"/>
      <c r="BS1711" s="115"/>
      <c r="BT1711" s="115"/>
      <c r="BU1711" s="115"/>
      <c r="BV1711" s="115"/>
      <c r="BW1711" s="17"/>
      <c r="BX1711" s="15"/>
      <c r="CB1711" s="117"/>
      <c r="CC1711" s="116"/>
      <c r="CD1711" s="116"/>
      <c r="CE1711" s="116"/>
    </row>
    <row r="1712" spans="1:83" ht="19.5" x14ac:dyDescent="0.4">
      <c r="AZ1712" s="115"/>
      <c r="BA1712" s="115"/>
      <c r="BB1712" s="115"/>
      <c r="BC1712" s="115"/>
      <c r="BD1712" s="115"/>
      <c r="BE1712" s="115"/>
      <c r="BF1712" s="122"/>
      <c r="BG1712" s="122"/>
      <c r="BH1712" s="122"/>
      <c r="BI1712" s="115"/>
      <c r="BJ1712" s="115"/>
      <c r="BK1712" s="115"/>
      <c r="BL1712" s="115"/>
      <c r="BM1712" s="115"/>
      <c r="BN1712" s="115"/>
      <c r="BO1712" s="115"/>
      <c r="BP1712" s="115"/>
      <c r="BQ1712" s="115"/>
      <c r="BR1712" s="115"/>
      <c r="BS1712" s="115"/>
      <c r="BT1712" s="115"/>
      <c r="BU1712" s="115"/>
      <c r="BV1712" s="115"/>
      <c r="BW1712" s="26"/>
      <c r="BX1712" s="15"/>
      <c r="CB1712" s="117"/>
      <c r="CC1712" s="116"/>
      <c r="CD1712" s="116"/>
      <c r="CE1712" s="116"/>
    </row>
    <row r="1713" spans="1:83" ht="19.5" x14ac:dyDescent="0.4">
      <c r="AZ1713" s="115"/>
      <c r="BA1713" s="115"/>
      <c r="BB1713" s="115"/>
      <c r="BC1713" s="115"/>
      <c r="BD1713" s="115"/>
      <c r="BE1713" s="115"/>
      <c r="BF1713" s="122"/>
      <c r="BG1713" s="122"/>
      <c r="BH1713" s="122"/>
      <c r="BI1713" s="115"/>
      <c r="BJ1713" s="115"/>
      <c r="BK1713" s="115"/>
      <c r="BL1713" s="115"/>
      <c r="BM1713" s="115"/>
      <c r="BN1713" s="115"/>
      <c r="BO1713" s="115"/>
      <c r="BP1713" s="115"/>
      <c r="BQ1713" s="115"/>
      <c r="BR1713" s="115"/>
      <c r="BS1713" s="115"/>
      <c r="BT1713" s="115"/>
      <c r="BU1713" s="115"/>
      <c r="BV1713" s="115"/>
      <c r="BW1713" s="17"/>
      <c r="BX1713" s="15"/>
      <c r="CB1713" s="117"/>
      <c r="CC1713" s="116"/>
      <c r="CD1713" s="116"/>
      <c r="CE1713" s="116"/>
    </row>
    <row r="1714" spans="1:83" ht="19.5" x14ac:dyDescent="0.4">
      <c r="E1714" s="115"/>
      <c r="F1714" s="115"/>
      <c r="G1714" s="115"/>
      <c r="H1714" s="115"/>
      <c r="I1714" s="115"/>
      <c r="J1714" s="115"/>
      <c r="K1714" s="115"/>
      <c r="L1714" s="115"/>
      <c r="M1714" s="115"/>
      <c r="N1714" s="115"/>
      <c r="O1714" s="115"/>
      <c r="P1714" s="115"/>
      <c r="Q1714" s="115"/>
      <c r="R1714" s="115"/>
      <c r="S1714" s="115"/>
      <c r="T1714" s="115"/>
      <c r="U1714" s="115"/>
      <c r="V1714" s="115"/>
      <c r="W1714" s="115"/>
      <c r="X1714" s="115"/>
      <c r="Y1714" s="115"/>
      <c r="Z1714" s="115"/>
      <c r="AA1714" s="115"/>
      <c r="AB1714" s="115"/>
      <c r="AC1714" s="115"/>
      <c r="AD1714" s="115"/>
      <c r="AE1714" s="115"/>
      <c r="AF1714" s="115"/>
      <c r="AG1714" s="115"/>
      <c r="AH1714" s="115"/>
      <c r="AI1714" s="115"/>
      <c r="AJ1714" s="115"/>
      <c r="AK1714" s="115"/>
      <c r="AL1714" s="115"/>
      <c r="AM1714" s="115"/>
      <c r="AN1714" s="115"/>
      <c r="AO1714" s="115"/>
      <c r="AP1714" s="115"/>
      <c r="AQ1714" s="115"/>
      <c r="AR1714" s="115"/>
      <c r="AS1714" s="115"/>
      <c r="AT1714" s="115"/>
      <c r="AU1714" s="115"/>
      <c r="AV1714" s="115"/>
      <c r="AW1714" s="115"/>
      <c r="AX1714" s="115"/>
      <c r="AY1714" s="115"/>
      <c r="AZ1714" s="115"/>
      <c r="BA1714" s="115"/>
      <c r="BB1714" s="115"/>
      <c r="BC1714" s="115"/>
      <c r="BD1714" s="115"/>
      <c r="BE1714" s="115"/>
      <c r="BF1714" s="122"/>
      <c r="BG1714" s="122"/>
      <c r="BH1714" s="122"/>
      <c r="BI1714" s="115"/>
      <c r="BJ1714" s="115"/>
      <c r="BK1714" s="115"/>
      <c r="BL1714" s="115"/>
      <c r="BM1714" s="115"/>
      <c r="BN1714" s="115"/>
      <c r="BO1714" s="115"/>
      <c r="BP1714" s="115"/>
      <c r="BQ1714" s="115"/>
      <c r="BR1714" s="115"/>
      <c r="BS1714" s="115"/>
      <c r="BT1714" s="115"/>
      <c r="BU1714" s="115"/>
      <c r="BV1714" s="115"/>
      <c r="BW1714" s="26"/>
      <c r="BX1714" s="15"/>
      <c r="CB1714" s="117"/>
      <c r="CC1714" s="116"/>
      <c r="CD1714" s="116"/>
      <c r="CE1714" s="116"/>
    </row>
    <row r="1715" spans="1:83" ht="19.5" x14ac:dyDescent="0.4">
      <c r="E1715" s="115"/>
      <c r="F1715" s="115"/>
      <c r="G1715" s="115"/>
      <c r="H1715" s="115"/>
      <c r="I1715" s="115"/>
      <c r="J1715" s="115"/>
      <c r="K1715" s="115"/>
      <c r="L1715" s="115"/>
      <c r="M1715" s="115"/>
      <c r="N1715" s="115"/>
      <c r="O1715" s="115"/>
      <c r="P1715" s="115"/>
      <c r="Q1715" s="115"/>
      <c r="R1715" s="115"/>
      <c r="S1715" s="115"/>
      <c r="T1715" s="115"/>
      <c r="U1715" s="115"/>
      <c r="V1715" s="115"/>
      <c r="W1715" s="115"/>
      <c r="X1715" s="115"/>
      <c r="Y1715" s="115"/>
      <c r="Z1715" s="115"/>
      <c r="AA1715" s="115"/>
      <c r="AB1715" s="115"/>
      <c r="AC1715" s="115"/>
      <c r="AD1715" s="115"/>
      <c r="AE1715" s="115"/>
      <c r="AF1715" s="115"/>
      <c r="AG1715" s="115"/>
      <c r="AH1715" s="115"/>
      <c r="AI1715" s="115"/>
      <c r="AJ1715" s="115"/>
      <c r="AK1715" s="115"/>
      <c r="AL1715" s="115"/>
      <c r="AM1715" s="115"/>
      <c r="AN1715" s="115"/>
      <c r="AO1715" s="115"/>
      <c r="AP1715" s="115"/>
      <c r="AQ1715" s="115"/>
      <c r="AR1715" s="115"/>
      <c r="AS1715" s="115"/>
      <c r="AT1715" s="115"/>
      <c r="AU1715" s="115"/>
      <c r="AV1715" s="115"/>
      <c r="AW1715" s="115"/>
      <c r="AX1715" s="115"/>
      <c r="AY1715" s="115"/>
      <c r="AZ1715" s="115"/>
      <c r="BA1715" s="115"/>
      <c r="BB1715" s="115"/>
      <c r="BC1715" s="115"/>
      <c r="BD1715" s="115"/>
      <c r="BE1715" s="115"/>
      <c r="BF1715" s="122"/>
      <c r="BG1715" s="122"/>
      <c r="BH1715" s="122"/>
      <c r="BI1715" s="115"/>
      <c r="BJ1715" s="115"/>
      <c r="BK1715" s="115"/>
      <c r="BL1715" s="115"/>
      <c r="BM1715" s="115"/>
      <c r="BN1715" s="115"/>
      <c r="BO1715" s="115"/>
      <c r="BP1715" s="115"/>
      <c r="BQ1715" s="115"/>
      <c r="BR1715" s="115"/>
      <c r="BS1715" s="115"/>
      <c r="BT1715" s="115"/>
      <c r="BU1715" s="115"/>
      <c r="BV1715" s="115"/>
      <c r="BW1715" s="17"/>
      <c r="BX1715" s="15"/>
      <c r="CB1715" s="117"/>
      <c r="CC1715" s="116"/>
      <c r="CD1715" s="116"/>
      <c r="CE1715" s="116"/>
    </row>
    <row r="1716" spans="1:83" ht="19.5" x14ac:dyDescent="0.4">
      <c r="A1716" s="115"/>
      <c r="B1716" s="115"/>
      <c r="C1716" s="115"/>
      <c r="D1716" s="115"/>
      <c r="E1716" s="115"/>
      <c r="F1716" s="115"/>
      <c r="G1716" s="115"/>
      <c r="H1716" s="115"/>
      <c r="I1716" s="115"/>
      <c r="J1716" s="115"/>
      <c r="K1716" s="115"/>
      <c r="L1716" s="115"/>
      <c r="M1716" s="115"/>
      <c r="N1716" s="115"/>
      <c r="O1716" s="115"/>
      <c r="P1716" s="115"/>
      <c r="Q1716" s="115"/>
      <c r="R1716" s="115"/>
      <c r="S1716" s="115"/>
      <c r="T1716" s="115"/>
      <c r="U1716" s="115"/>
      <c r="V1716" s="115"/>
      <c r="W1716" s="115"/>
      <c r="X1716" s="115"/>
      <c r="Y1716" s="115"/>
      <c r="Z1716" s="115"/>
      <c r="AA1716" s="115"/>
      <c r="AB1716" s="115"/>
      <c r="AC1716" s="115"/>
      <c r="AD1716" s="115"/>
      <c r="AE1716" s="115"/>
      <c r="AF1716" s="115"/>
      <c r="AG1716" s="115"/>
      <c r="AH1716" s="115"/>
      <c r="AI1716" s="115"/>
      <c r="AJ1716" s="115"/>
      <c r="AK1716" s="115"/>
      <c r="AL1716" s="115"/>
      <c r="AM1716" s="115"/>
      <c r="AN1716" s="115"/>
      <c r="AO1716" s="115"/>
      <c r="AP1716" s="115"/>
      <c r="AQ1716" s="115"/>
      <c r="AR1716" s="115"/>
      <c r="AS1716" s="115"/>
      <c r="AT1716" s="115"/>
      <c r="AU1716" s="115"/>
      <c r="AV1716" s="115"/>
      <c r="AW1716" s="115"/>
      <c r="AX1716" s="115"/>
      <c r="AY1716" s="115"/>
      <c r="AZ1716" s="115"/>
      <c r="BA1716" s="115"/>
      <c r="BB1716" s="115"/>
      <c r="BC1716" s="115"/>
      <c r="BD1716" s="115"/>
      <c r="BE1716" s="115"/>
      <c r="BF1716" s="122"/>
      <c r="BG1716" s="122"/>
      <c r="BH1716" s="122"/>
      <c r="BI1716" s="115"/>
      <c r="BJ1716" s="115"/>
      <c r="BK1716" s="115"/>
      <c r="BL1716" s="115"/>
      <c r="BM1716" s="115"/>
      <c r="BN1716" s="115"/>
      <c r="BO1716" s="115"/>
      <c r="BP1716" s="115"/>
      <c r="BQ1716" s="115"/>
      <c r="BR1716" s="115"/>
      <c r="BS1716" s="115"/>
      <c r="BT1716" s="115"/>
      <c r="BU1716" s="115"/>
      <c r="BV1716" s="115"/>
      <c r="BW1716" s="26"/>
      <c r="BX1716" s="15"/>
      <c r="CB1716" s="117"/>
      <c r="CC1716" s="116"/>
      <c r="CD1716" s="116"/>
      <c r="CE1716" s="116"/>
    </row>
    <row r="1717" spans="1:83" ht="19.5" x14ac:dyDescent="0.4">
      <c r="A1717" s="115"/>
      <c r="B1717" s="115"/>
      <c r="C1717" s="115"/>
      <c r="D1717" s="115"/>
      <c r="E1717" s="115"/>
      <c r="F1717" s="115"/>
      <c r="G1717" s="115"/>
      <c r="H1717" s="115"/>
      <c r="I1717" s="115"/>
      <c r="J1717" s="115"/>
      <c r="K1717" s="115"/>
      <c r="L1717" s="115"/>
      <c r="M1717" s="115"/>
      <c r="N1717" s="115"/>
      <c r="O1717" s="115"/>
      <c r="P1717" s="115"/>
      <c r="Q1717" s="115"/>
      <c r="R1717" s="115"/>
      <c r="S1717" s="115"/>
      <c r="T1717" s="115"/>
      <c r="U1717" s="115"/>
      <c r="V1717" s="115"/>
      <c r="W1717" s="115"/>
      <c r="X1717" s="115"/>
      <c r="Y1717" s="115"/>
      <c r="Z1717" s="115"/>
      <c r="AA1717" s="115"/>
      <c r="AB1717" s="115"/>
      <c r="AC1717" s="115"/>
      <c r="AD1717" s="115"/>
      <c r="AE1717" s="115"/>
      <c r="AF1717" s="115"/>
      <c r="AG1717" s="115"/>
      <c r="AH1717" s="115"/>
      <c r="AI1717" s="115"/>
      <c r="AJ1717" s="115"/>
      <c r="AK1717" s="115"/>
      <c r="AL1717" s="115"/>
      <c r="AM1717" s="115"/>
      <c r="AN1717" s="115"/>
      <c r="AO1717" s="115"/>
      <c r="AP1717" s="115"/>
      <c r="AQ1717" s="115"/>
      <c r="AR1717" s="115"/>
      <c r="AS1717" s="115"/>
      <c r="AT1717" s="115"/>
      <c r="AU1717" s="115"/>
      <c r="AV1717" s="115"/>
      <c r="AW1717" s="115"/>
      <c r="AX1717" s="115"/>
      <c r="AY1717" s="115"/>
      <c r="AZ1717" s="115"/>
      <c r="BA1717" s="115"/>
      <c r="BB1717" s="115"/>
      <c r="BC1717" s="115"/>
      <c r="BD1717" s="115"/>
      <c r="BE1717" s="115"/>
      <c r="BF1717" s="122"/>
      <c r="BG1717" s="122"/>
      <c r="BH1717" s="122"/>
      <c r="BI1717" s="115"/>
      <c r="BJ1717" s="115"/>
      <c r="BK1717" s="115"/>
      <c r="BL1717" s="115"/>
      <c r="BM1717" s="115"/>
      <c r="BN1717" s="115"/>
      <c r="BO1717" s="115"/>
      <c r="BP1717" s="115"/>
      <c r="BQ1717" s="115"/>
      <c r="BR1717" s="115"/>
      <c r="BS1717" s="115"/>
      <c r="BT1717" s="115"/>
      <c r="BU1717" s="115"/>
      <c r="BV1717" s="115"/>
      <c r="BW1717" s="26"/>
      <c r="BX1717" s="15"/>
      <c r="CB1717" s="117"/>
      <c r="CC1717" s="116"/>
      <c r="CD1717" s="116"/>
      <c r="CE1717" s="116"/>
    </row>
    <row r="1718" spans="1:83" ht="19.5" x14ac:dyDescent="0.4">
      <c r="A1718" s="115"/>
      <c r="B1718" s="115"/>
      <c r="C1718" s="115"/>
      <c r="D1718" s="115"/>
      <c r="E1718" s="115"/>
      <c r="F1718" s="115"/>
      <c r="G1718" s="115"/>
      <c r="H1718" s="115"/>
      <c r="I1718" s="115"/>
      <c r="J1718" s="115"/>
      <c r="K1718" s="115"/>
      <c r="L1718" s="115"/>
      <c r="M1718" s="115"/>
      <c r="N1718" s="115"/>
      <c r="O1718" s="115"/>
      <c r="P1718" s="115"/>
      <c r="Q1718" s="115"/>
      <c r="R1718" s="115"/>
      <c r="S1718" s="115"/>
      <c r="T1718" s="115"/>
      <c r="U1718" s="115"/>
      <c r="V1718" s="115"/>
      <c r="W1718" s="115"/>
      <c r="X1718" s="115"/>
      <c r="Y1718" s="115"/>
      <c r="Z1718" s="115"/>
      <c r="AA1718" s="115"/>
      <c r="AB1718" s="115"/>
      <c r="AC1718" s="115"/>
      <c r="AD1718" s="115"/>
      <c r="AE1718" s="115"/>
      <c r="AF1718" s="115"/>
      <c r="AG1718" s="115"/>
      <c r="AH1718" s="115"/>
      <c r="AI1718" s="115"/>
      <c r="AJ1718" s="115"/>
      <c r="AK1718" s="115"/>
      <c r="AL1718" s="115"/>
      <c r="AM1718" s="115"/>
      <c r="AN1718" s="115"/>
      <c r="AO1718" s="115"/>
      <c r="AP1718" s="115"/>
      <c r="AQ1718" s="115"/>
      <c r="AR1718" s="115"/>
      <c r="AS1718" s="115"/>
      <c r="AT1718" s="115"/>
      <c r="AU1718" s="115"/>
      <c r="AV1718" s="115"/>
      <c r="AW1718" s="115"/>
      <c r="AX1718" s="115"/>
      <c r="AY1718" s="115"/>
      <c r="AZ1718" s="115"/>
      <c r="BA1718" s="115"/>
      <c r="BB1718" s="115"/>
      <c r="BC1718" s="115"/>
      <c r="BD1718" s="115"/>
      <c r="BE1718" s="115"/>
      <c r="BF1718" s="122"/>
      <c r="BG1718" s="122"/>
      <c r="BH1718" s="122"/>
      <c r="BI1718" s="115"/>
      <c r="BJ1718" s="115"/>
      <c r="BK1718" s="115"/>
      <c r="BL1718" s="115"/>
      <c r="BM1718" s="115"/>
      <c r="BN1718" s="115"/>
      <c r="BO1718" s="115"/>
      <c r="BP1718" s="115"/>
      <c r="BQ1718" s="115"/>
      <c r="BR1718" s="115"/>
      <c r="BS1718" s="115"/>
      <c r="BT1718" s="115"/>
      <c r="BU1718" s="115"/>
      <c r="BV1718" s="115"/>
      <c r="BW1718" s="17"/>
      <c r="BX1718" s="15"/>
      <c r="CB1718" s="117"/>
      <c r="CC1718" s="116"/>
      <c r="CD1718" s="116"/>
      <c r="CE1718" s="116"/>
    </row>
    <row r="1719" spans="1:83" ht="19.5" x14ac:dyDescent="0.4">
      <c r="A1719" s="115"/>
      <c r="B1719" s="115"/>
      <c r="C1719" s="115"/>
      <c r="D1719" s="115"/>
      <c r="E1719" s="115"/>
      <c r="F1719" s="115"/>
      <c r="G1719" s="115"/>
      <c r="H1719" s="115"/>
      <c r="I1719" s="115"/>
      <c r="J1719" s="115"/>
      <c r="K1719" s="115"/>
      <c r="L1719" s="115"/>
      <c r="M1719" s="115"/>
      <c r="N1719" s="115"/>
      <c r="O1719" s="115"/>
      <c r="P1719" s="115"/>
      <c r="Q1719" s="115"/>
      <c r="R1719" s="115"/>
      <c r="S1719" s="115"/>
      <c r="T1719" s="115"/>
      <c r="U1719" s="115"/>
      <c r="V1719" s="115"/>
      <c r="W1719" s="115"/>
      <c r="X1719" s="115"/>
      <c r="Y1719" s="115"/>
      <c r="Z1719" s="115"/>
      <c r="AA1719" s="115"/>
      <c r="AB1719" s="115"/>
      <c r="AC1719" s="115"/>
      <c r="AD1719" s="115"/>
      <c r="AE1719" s="115"/>
      <c r="AF1719" s="115"/>
      <c r="AG1719" s="115"/>
      <c r="AH1719" s="115"/>
      <c r="AI1719" s="115"/>
      <c r="AJ1719" s="115"/>
      <c r="AK1719" s="115"/>
      <c r="AL1719" s="115"/>
      <c r="AM1719" s="115"/>
      <c r="AN1719" s="115"/>
      <c r="AO1719" s="115"/>
      <c r="AP1719" s="115"/>
      <c r="AQ1719" s="115"/>
      <c r="AR1719" s="115"/>
      <c r="AS1719" s="115"/>
      <c r="AT1719" s="115"/>
      <c r="AU1719" s="115"/>
      <c r="AV1719" s="115"/>
      <c r="AW1719" s="115"/>
      <c r="AX1719" s="115"/>
      <c r="AY1719" s="115"/>
      <c r="AZ1719" s="115"/>
      <c r="BA1719" s="115"/>
      <c r="BB1719" s="115"/>
      <c r="BC1719" s="115"/>
      <c r="BD1719" s="115"/>
      <c r="BE1719" s="115"/>
      <c r="BF1719" s="122"/>
      <c r="BG1719" s="122"/>
      <c r="BH1719" s="122"/>
      <c r="BI1719" s="115"/>
      <c r="BJ1719" s="115"/>
      <c r="BK1719" s="115"/>
      <c r="BL1719" s="115"/>
      <c r="BM1719" s="115"/>
      <c r="BN1719" s="115"/>
      <c r="BO1719" s="115"/>
      <c r="BP1719" s="115"/>
      <c r="BQ1719" s="115"/>
      <c r="BR1719" s="115"/>
      <c r="BS1719" s="115"/>
      <c r="BT1719" s="115"/>
      <c r="BU1719" s="115"/>
      <c r="BV1719" s="115"/>
      <c r="BW1719" s="26"/>
      <c r="BX1719" s="15"/>
      <c r="CB1719" s="117"/>
      <c r="CC1719" s="116"/>
      <c r="CD1719" s="116"/>
      <c r="CE1719" s="116"/>
    </row>
    <row r="1720" spans="1:83" ht="19.5" x14ac:dyDescent="0.4">
      <c r="A1720" s="115"/>
      <c r="B1720" s="115"/>
      <c r="C1720" s="115"/>
      <c r="D1720" s="115"/>
      <c r="E1720" s="115"/>
      <c r="F1720" s="115"/>
      <c r="G1720" s="115"/>
      <c r="H1720" s="115"/>
      <c r="I1720" s="115"/>
      <c r="J1720" s="115"/>
      <c r="K1720" s="115"/>
      <c r="L1720" s="115"/>
      <c r="M1720" s="115"/>
      <c r="N1720" s="115"/>
      <c r="O1720" s="115"/>
      <c r="P1720" s="115"/>
      <c r="Q1720" s="115"/>
      <c r="R1720" s="115"/>
      <c r="S1720" s="115"/>
      <c r="T1720" s="115"/>
      <c r="U1720" s="115"/>
      <c r="V1720" s="115"/>
      <c r="W1720" s="115"/>
      <c r="X1720" s="115"/>
      <c r="Y1720" s="115"/>
      <c r="Z1720" s="115"/>
      <c r="AA1720" s="115"/>
      <c r="AB1720" s="115"/>
      <c r="AC1720" s="115"/>
      <c r="AD1720" s="115"/>
      <c r="AE1720" s="115"/>
      <c r="AF1720" s="115"/>
      <c r="AG1720" s="115"/>
      <c r="AH1720" s="115"/>
      <c r="AI1720" s="115"/>
      <c r="AJ1720" s="115"/>
      <c r="AK1720" s="115"/>
      <c r="AL1720" s="115"/>
      <c r="AM1720" s="115"/>
      <c r="AN1720" s="115"/>
      <c r="AO1720" s="115"/>
      <c r="AP1720" s="115"/>
      <c r="AQ1720" s="115"/>
      <c r="AR1720" s="115"/>
      <c r="AS1720" s="115"/>
      <c r="AT1720" s="115"/>
      <c r="AU1720" s="115"/>
      <c r="AV1720" s="115"/>
      <c r="AW1720" s="115"/>
      <c r="AX1720" s="115"/>
      <c r="AY1720" s="115"/>
      <c r="AZ1720" s="115"/>
      <c r="BA1720" s="115"/>
      <c r="BB1720" s="115"/>
      <c r="BC1720" s="115"/>
      <c r="BD1720" s="115"/>
      <c r="BE1720" s="115"/>
      <c r="BF1720" s="122"/>
      <c r="BG1720" s="122"/>
      <c r="BH1720" s="122"/>
      <c r="BI1720" s="115"/>
      <c r="BJ1720" s="115"/>
      <c r="BK1720" s="115"/>
      <c r="BL1720" s="115"/>
      <c r="BM1720" s="115"/>
      <c r="BN1720" s="115"/>
      <c r="BO1720" s="115"/>
      <c r="BP1720" s="115"/>
      <c r="BQ1720" s="115"/>
      <c r="BR1720" s="115"/>
      <c r="BS1720" s="115"/>
      <c r="BT1720" s="115"/>
      <c r="BU1720" s="115"/>
      <c r="BV1720" s="115"/>
      <c r="BW1720" s="17"/>
      <c r="BX1720" s="15"/>
      <c r="CB1720" s="117"/>
      <c r="CC1720" s="116"/>
      <c r="CD1720" s="116"/>
      <c r="CE1720" s="116"/>
    </row>
    <row r="1721" spans="1:83" ht="19.5" x14ac:dyDescent="0.4">
      <c r="BW1721" s="26"/>
      <c r="BX1721" s="15"/>
      <c r="CB1721" s="117"/>
      <c r="CC1721" s="116"/>
      <c r="CD1721" s="116"/>
      <c r="CE1721" s="116"/>
    </row>
    <row r="1722" spans="1:83" ht="19.5" x14ac:dyDescent="0.4">
      <c r="BC1722" s="115"/>
      <c r="BD1722" s="115"/>
      <c r="BE1722" s="115"/>
      <c r="BF1722" s="122"/>
      <c r="BG1722" s="122"/>
      <c r="BH1722" s="122"/>
      <c r="BI1722" s="115"/>
      <c r="BJ1722" s="115"/>
      <c r="BK1722" s="115"/>
      <c r="BL1722" s="115"/>
      <c r="BM1722" s="115"/>
      <c r="BN1722" s="115"/>
      <c r="BO1722" s="115"/>
      <c r="BP1722" s="115"/>
      <c r="BQ1722" s="115"/>
      <c r="BR1722" s="115"/>
      <c r="BS1722" s="115"/>
      <c r="BT1722" s="115"/>
      <c r="BU1722" s="115"/>
      <c r="BV1722" s="115"/>
      <c r="BW1722" s="17"/>
      <c r="BX1722" s="15"/>
      <c r="CB1722" s="117"/>
      <c r="CC1722" s="116"/>
      <c r="CD1722" s="116"/>
      <c r="CE1722" s="116"/>
    </row>
    <row r="1723" spans="1:83" ht="19.5" x14ac:dyDescent="0.4">
      <c r="BW1723" s="26"/>
      <c r="BX1723" s="15"/>
      <c r="CB1723" s="117"/>
      <c r="CC1723" s="116"/>
      <c r="CD1723" s="116"/>
      <c r="CE1723" s="116"/>
    </row>
    <row r="1724" spans="1:83" ht="19.5" x14ac:dyDescent="0.4">
      <c r="BC1724" s="115"/>
      <c r="BD1724" s="115"/>
      <c r="BE1724" s="115"/>
      <c r="BF1724" s="122"/>
      <c r="BG1724" s="122"/>
      <c r="BH1724" s="122"/>
      <c r="BI1724" s="115"/>
      <c r="BJ1724" s="115"/>
      <c r="BK1724" s="115"/>
      <c r="BL1724" s="115"/>
      <c r="BM1724" s="115"/>
      <c r="BN1724" s="115"/>
      <c r="BO1724" s="115"/>
      <c r="BP1724" s="115"/>
      <c r="BQ1724" s="115"/>
      <c r="BR1724" s="115"/>
      <c r="BS1724" s="115"/>
      <c r="BT1724" s="115"/>
      <c r="BU1724" s="115"/>
      <c r="BV1724" s="115"/>
      <c r="BW1724" s="17"/>
      <c r="BX1724" s="15"/>
      <c r="CB1724" s="117"/>
      <c r="CC1724" s="116"/>
      <c r="CD1724" s="116"/>
      <c r="CE1724" s="116"/>
    </row>
    <row r="1725" spans="1:83" ht="19.5" x14ac:dyDescent="0.4">
      <c r="BW1725" s="26"/>
      <c r="BX1725" s="15"/>
      <c r="CB1725" s="117"/>
      <c r="CC1725" s="116"/>
      <c r="CD1725" s="116"/>
      <c r="CE1725" s="116"/>
    </row>
    <row r="1726" spans="1:83" ht="19.5" x14ac:dyDescent="0.4">
      <c r="BC1726" s="115"/>
      <c r="BD1726" s="115"/>
      <c r="BE1726" s="115"/>
      <c r="BF1726" s="122"/>
      <c r="BG1726" s="122"/>
      <c r="BH1726" s="122"/>
      <c r="BI1726" s="115"/>
      <c r="BJ1726" s="115"/>
      <c r="BK1726" s="115"/>
      <c r="BL1726" s="115"/>
      <c r="BM1726" s="115"/>
      <c r="BN1726" s="115"/>
      <c r="BO1726" s="115"/>
      <c r="BP1726" s="115"/>
      <c r="BQ1726" s="115"/>
      <c r="BR1726" s="115"/>
      <c r="BS1726" s="115"/>
      <c r="BT1726" s="115"/>
      <c r="BU1726" s="115"/>
      <c r="BV1726" s="115"/>
      <c r="BW1726" s="17"/>
      <c r="BX1726" s="15"/>
      <c r="CB1726" s="117"/>
      <c r="CC1726" s="116"/>
      <c r="CD1726" s="116"/>
      <c r="CE1726" s="116"/>
    </row>
    <row r="1727" spans="1:83" ht="19.5" x14ac:dyDescent="0.4">
      <c r="B1727" s="115"/>
      <c r="C1727" s="115"/>
      <c r="D1727" s="115"/>
      <c r="E1727" s="115"/>
      <c r="F1727" s="115"/>
      <c r="G1727" s="115"/>
      <c r="H1727" s="115"/>
      <c r="I1727" s="115"/>
      <c r="J1727" s="115"/>
      <c r="K1727" s="115"/>
      <c r="L1727" s="115"/>
      <c r="M1727" s="115"/>
      <c r="N1727" s="115"/>
      <c r="O1727" s="115"/>
      <c r="P1727" s="115"/>
      <c r="Q1727" s="115"/>
      <c r="R1727" s="115"/>
      <c r="S1727" s="115"/>
      <c r="T1727" s="115"/>
      <c r="U1727" s="115"/>
      <c r="V1727" s="115"/>
      <c r="W1727" s="115"/>
      <c r="X1727" s="115"/>
      <c r="Y1727" s="115"/>
      <c r="Z1727" s="115"/>
      <c r="AA1727" s="115"/>
      <c r="AB1727" s="115"/>
      <c r="AC1727" s="115"/>
      <c r="AD1727" s="115"/>
      <c r="AE1727" s="115"/>
      <c r="AF1727" s="115"/>
      <c r="AG1727" s="115"/>
      <c r="AH1727" s="115"/>
      <c r="AI1727" s="115"/>
      <c r="AJ1727" s="115"/>
      <c r="AK1727" s="115"/>
      <c r="AL1727" s="115"/>
      <c r="AM1727" s="115"/>
      <c r="AN1727" s="115"/>
      <c r="AO1727" s="115"/>
      <c r="AP1727" s="115"/>
      <c r="AQ1727" s="115"/>
      <c r="AR1727" s="115"/>
      <c r="AS1727" s="115"/>
      <c r="AT1727" s="115"/>
      <c r="AU1727" s="115"/>
      <c r="AV1727" s="115"/>
      <c r="AW1727" s="115"/>
      <c r="AX1727" s="115"/>
      <c r="AY1727" s="115"/>
      <c r="AZ1727" s="115"/>
      <c r="BA1727" s="115"/>
      <c r="BB1727" s="115"/>
      <c r="BC1727" s="115"/>
      <c r="BD1727" s="115"/>
      <c r="BE1727" s="115"/>
      <c r="BF1727" s="122"/>
      <c r="BG1727" s="122"/>
      <c r="BH1727" s="122"/>
      <c r="BI1727" s="115"/>
      <c r="BJ1727" s="115"/>
      <c r="BK1727" s="115"/>
      <c r="BL1727" s="115"/>
      <c r="BM1727" s="115"/>
      <c r="BN1727" s="115"/>
      <c r="BO1727" s="115"/>
      <c r="BP1727" s="115"/>
      <c r="BQ1727" s="115"/>
      <c r="BR1727" s="115"/>
      <c r="BS1727" s="115"/>
      <c r="BT1727" s="115"/>
      <c r="BU1727" s="115"/>
      <c r="BV1727" s="115"/>
      <c r="BW1727" s="26"/>
      <c r="BX1727" s="15"/>
      <c r="CB1727" s="117"/>
      <c r="CC1727" s="116"/>
      <c r="CD1727" s="116"/>
      <c r="CE1727" s="116"/>
    </row>
    <row r="1728" spans="1:83" ht="19.5" x14ac:dyDescent="0.4">
      <c r="B1728" s="115"/>
      <c r="C1728" s="115"/>
      <c r="D1728" s="115"/>
      <c r="E1728" s="115"/>
      <c r="F1728" s="115"/>
      <c r="G1728" s="115"/>
      <c r="H1728" s="115"/>
      <c r="I1728" s="115"/>
      <c r="J1728" s="115"/>
      <c r="K1728" s="115"/>
      <c r="L1728" s="115"/>
      <c r="M1728" s="115"/>
      <c r="N1728" s="115"/>
      <c r="O1728" s="115"/>
      <c r="P1728" s="115"/>
      <c r="Q1728" s="115"/>
      <c r="R1728" s="115"/>
      <c r="S1728" s="115"/>
      <c r="T1728" s="115"/>
      <c r="U1728" s="115"/>
      <c r="V1728" s="115"/>
      <c r="W1728" s="115"/>
      <c r="X1728" s="115"/>
      <c r="Y1728" s="115"/>
      <c r="Z1728" s="115"/>
      <c r="AA1728" s="115"/>
      <c r="AB1728" s="115"/>
      <c r="AC1728" s="115"/>
      <c r="AD1728" s="115"/>
      <c r="AE1728" s="115"/>
      <c r="AF1728" s="115"/>
      <c r="AG1728" s="115"/>
      <c r="AH1728" s="115"/>
      <c r="AI1728" s="115"/>
      <c r="AJ1728" s="115"/>
      <c r="AK1728" s="115"/>
      <c r="AL1728" s="115"/>
      <c r="AM1728" s="115"/>
      <c r="AN1728" s="115"/>
      <c r="AO1728" s="115"/>
      <c r="AP1728" s="115"/>
      <c r="AQ1728" s="115"/>
      <c r="AR1728" s="115"/>
      <c r="AS1728" s="115"/>
      <c r="AT1728" s="115"/>
      <c r="AU1728" s="115"/>
      <c r="AV1728" s="115"/>
      <c r="AW1728" s="115"/>
      <c r="AX1728" s="115"/>
      <c r="AY1728" s="115"/>
      <c r="AZ1728" s="115"/>
      <c r="BA1728" s="115"/>
      <c r="BB1728" s="115"/>
      <c r="BC1728" s="115"/>
      <c r="BD1728" s="115"/>
      <c r="BE1728" s="115"/>
      <c r="BF1728" s="122"/>
      <c r="BG1728" s="122"/>
      <c r="BH1728" s="122"/>
      <c r="BI1728" s="115"/>
      <c r="BJ1728" s="115"/>
      <c r="BK1728" s="115"/>
      <c r="BL1728" s="115"/>
      <c r="BM1728" s="115"/>
      <c r="BN1728" s="115"/>
      <c r="BO1728" s="115"/>
      <c r="BP1728" s="115"/>
      <c r="BQ1728" s="115"/>
      <c r="BR1728" s="115"/>
      <c r="BS1728" s="115"/>
      <c r="BT1728" s="115"/>
      <c r="BU1728" s="115"/>
      <c r="BV1728" s="115"/>
      <c r="BW1728" s="17"/>
      <c r="BX1728" s="15"/>
      <c r="CB1728" s="117"/>
      <c r="CC1728" s="116"/>
      <c r="CD1728" s="116"/>
      <c r="CE1728" s="116"/>
    </row>
    <row r="1729" spans="1:83" ht="19.5" x14ac:dyDescent="0.4">
      <c r="B1729" s="115"/>
      <c r="C1729" s="115"/>
      <c r="D1729" s="115"/>
      <c r="E1729" s="115"/>
      <c r="F1729" s="115"/>
      <c r="G1729" s="115"/>
      <c r="H1729" s="115"/>
      <c r="I1729" s="115"/>
      <c r="J1729" s="115"/>
      <c r="K1729" s="115"/>
      <c r="L1729" s="115"/>
      <c r="M1729" s="115"/>
      <c r="N1729" s="115"/>
      <c r="O1729" s="115"/>
      <c r="P1729" s="115"/>
      <c r="Q1729" s="115"/>
      <c r="R1729" s="115"/>
      <c r="S1729" s="115"/>
      <c r="T1729" s="115"/>
      <c r="U1729" s="115"/>
      <c r="V1729" s="115"/>
      <c r="W1729" s="115"/>
      <c r="X1729" s="115"/>
      <c r="Y1729" s="115"/>
      <c r="Z1729" s="115"/>
      <c r="AA1729" s="115"/>
      <c r="AB1729" s="115"/>
      <c r="AC1729" s="115"/>
      <c r="AD1729" s="115"/>
      <c r="AE1729" s="115"/>
      <c r="AF1729" s="115"/>
      <c r="AG1729" s="115"/>
      <c r="AH1729" s="115"/>
      <c r="AI1729" s="115"/>
      <c r="AJ1729" s="115"/>
      <c r="AK1729" s="115"/>
      <c r="AL1729" s="115"/>
      <c r="AM1729" s="115"/>
      <c r="AN1729" s="115"/>
      <c r="AO1729" s="115"/>
      <c r="AP1729" s="115"/>
      <c r="AQ1729" s="115"/>
      <c r="AR1729" s="115"/>
      <c r="AS1729" s="115"/>
      <c r="AT1729" s="115"/>
      <c r="AU1729" s="115"/>
      <c r="AV1729" s="115"/>
      <c r="AW1729" s="115"/>
      <c r="AX1729" s="115"/>
      <c r="AY1729" s="115"/>
      <c r="AZ1729" s="115"/>
      <c r="BA1729" s="115"/>
      <c r="BB1729" s="115"/>
      <c r="BC1729" s="115"/>
      <c r="BD1729" s="115"/>
      <c r="BE1729" s="115"/>
      <c r="BF1729" s="122"/>
      <c r="BG1729" s="122"/>
      <c r="BH1729" s="122"/>
      <c r="BI1729" s="115"/>
      <c r="BJ1729" s="115"/>
      <c r="BK1729" s="115"/>
      <c r="BL1729" s="115"/>
      <c r="BM1729" s="115"/>
      <c r="BN1729" s="115"/>
      <c r="BO1729" s="115"/>
      <c r="BP1729" s="115"/>
      <c r="BQ1729" s="115"/>
      <c r="BR1729" s="115"/>
      <c r="BS1729" s="115"/>
      <c r="BT1729" s="115"/>
      <c r="BU1729" s="115"/>
      <c r="BV1729" s="115"/>
      <c r="BW1729" s="26"/>
      <c r="BX1729" s="15"/>
      <c r="CB1729" s="117"/>
      <c r="CC1729" s="116"/>
      <c r="CD1729" s="116"/>
      <c r="CE1729" s="116"/>
    </row>
    <row r="1730" spans="1:83" ht="19.5" x14ac:dyDescent="0.4">
      <c r="BW1730" s="26"/>
      <c r="BX1730" s="15"/>
      <c r="CB1730" s="117"/>
      <c r="CC1730" s="116"/>
      <c r="CD1730" s="116"/>
      <c r="CE1730" s="116"/>
    </row>
    <row r="1731" spans="1:83" ht="19.5" x14ac:dyDescent="0.4">
      <c r="BC1731" s="115"/>
      <c r="BD1731" s="115"/>
      <c r="BE1731" s="115"/>
      <c r="BF1731" s="122"/>
      <c r="BG1731" s="122"/>
      <c r="BH1731" s="122"/>
      <c r="BI1731" s="115"/>
      <c r="BJ1731" s="115"/>
      <c r="BK1731" s="115"/>
      <c r="BL1731" s="115"/>
      <c r="BM1731" s="115"/>
      <c r="BN1731" s="115"/>
      <c r="BO1731" s="115"/>
      <c r="BP1731" s="115"/>
      <c r="BQ1731" s="115"/>
      <c r="BR1731" s="115"/>
      <c r="BS1731" s="115"/>
      <c r="BT1731" s="115"/>
      <c r="BU1731" s="115"/>
      <c r="BV1731" s="115"/>
      <c r="BW1731" s="17"/>
      <c r="BX1731" s="15"/>
      <c r="CB1731" s="117"/>
      <c r="CC1731" s="116"/>
      <c r="CD1731" s="116"/>
      <c r="CE1731" s="116"/>
    </row>
    <row r="1732" spans="1:83" ht="19.5" x14ac:dyDescent="0.4">
      <c r="BA1732" s="115"/>
      <c r="BB1732" s="115"/>
      <c r="BC1732" s="115"/>
      <c r="BD1732" s="115"/>
      <c r="BE1732" s="115"/>
      <c r="BF1732" s="122"/>
      <c r="BG1732" s="122"/>
      <c r="BH1732" s="122"/>
      <c r="BI1732" s="115"/>
      <c r="BJ1732" s="115"/>
      <c r="BK1732" s="115"/>
      <c r="BL1732" s="115"/>
      <c r="BM1732" s="115"/>
      <c r="BN1732" s="115"/>
      <c r="BO1732" s="115"/>
      <c r="BP1732" s="115"/>
      <c r="BQ1732" s="115"/>
      <c r="BR1732" s="115"/>
      <c r="BS1732" s="115"/>
      <c r="BT1732" s="115"/>
      <c r="BU1732" s="115"/>
      <c r="BV1732" s="115"/>
      <c r="BW1732" s="26"/>
      <c r="BX1732" s="15"/>
      <c r="CB1732" s="117"/>
      <c r="CC1732" s="116"/>
      <c r="CD1732" s="116"/>
      <c r="CE1732" s="116"/>
    </row>
    <row r="1733" spans="1:83" ht="19.5" x14ac:dyDescent="0.4">
      <c r="BA1733" s="115"/>
      <c r="BB1733" s="115"/>
      <c r="BC1733" s="115"/>
      <c r="BD1733" s="115"/>
      <c r="BE1733" s="115"/>
      <c r="BF1733" s="122"/>
      <c r="BG1733" s="122"/>
      <c r="BH1733" s="122"/>
      <c r="BI1733" s="115"/>
      <c r="BJ1733" s="115"/>
      <c r="BK1733" s="115"/>
      <c r="BL1733" s="115"/>
      <c r="BM1733" s="115"/>
      <c r="BN1733" s="115"/>
      <c r="BO1733" s="115"/>
      <c r="BP1733" s="115"/>
      <c r="BQ1733" s="115"/>
      <c r="BR1733" s="115"/>
      <c r="BS1733" s="115"/>
      <c r="BT1733" s="115"/>
      <c r="BU1733" s="115"/>
      <c r="BV1733" s="115"/>
      <c r="BW1733" s="17"/>
      <c r="BX1733" s="13"/>
      <c r="CB1733" s="117"/>
      <c r="CC1733" s="116"/>
      <c r="CD1733" s="116"/>
      <c r="CE1733" s="116"/>
    </row>
    <row r="1734" spans="1:83" ht="19.5" x14ac:dyDescent="0.4">
      <c r="AZ1734" s="115"/>
      <c r="BA1734" s="115"/>
      <c r="BB1734" s="115"/>
      <c r="BC1734" s="115"/>
      <c r="BD1734" s="115"/>
      <c r="BE1734" s="115"/>
      <c r="BF1734" s="122"/>
      <c r="BG1734" s="122"/>
      <c r="BH1734" s="122"/>
      <c r="BI1734" s="115"/>
      <c r="BJ1734" s="115"/>
      <c r="BK1734" s="115"/>
      <c r="BL1734" s="115"/>
      <c r="BM1734" s="115"/>
      <c r="BN1734" s="115"/>
      <c r="BO1734" s="115"/>
      <c r="BP1734" s="115"/>
      <c r="BQ1734" s="115"/>
      <c r="BR1734" s="115"/>
      <c r="BS1734" s="115"/>
      <c r="BT1734" s="115"/>
      <c r="BU1734" s="115"/>
      <c r="BV1734" s="115"/>
      <c r="BW1734" s="26"/>
      <c r="BX1734" s="13"/>
      <c r="CB1734" s="117"/>
      <c r="CC1734" s="116"/>
      <c r="CD1734" s="116"/>
      <c r="CE1734" s="116"/>
    </row>
    <row r="1735" spans="1:83" ht="19.5" x14ac:dyDescent="0.4">
      <c r="AZ1735" s="115"/>
      <c r="BA1735" s="115"/>
      <c r="BB1735" s="115"/>
      <c r="BC1735" s="115"/>
      <c r="BD1735" s="115"/>
      <c r="BE1735" s="115"/>
      <c r="BF1735" s="122"/>
      <c r="BG1735" s="122"/>
      <c r="BH1735" s="122"/>
      <c r="BI1735" s="115"/>
      <c r="BJ1735" s="115"/>
      <c r="BK1735" s="115"/>
      <c r="BL1735" s="115"/>
      <c r="BM1735" s="115"/>
      <c r="BN1735" s="115"/>
      <c r="BO1735" s="115"/>
      <c r="BP1735" s="115"/>
      <c r="BQ1735" s="115"/>
      <c r="BR1735" s="115"/>
      <c r="BS1735" s="115"/>
      <c r="BT1735" s="115"/>
      <c r="BU1735" s="115"/>
      <c r="BV1735" s="115"/>
      <c r="BW1735" s="17"/>
      <c r="BX1735" s="13"/>
      <c r="CB1735" s="117"/>
      <c r="CC1735" s="116"/>
      <c r="CD1735" s="116"/>
      <c r="CE1735" s="116"/>
    </row>
    <row r="1736" spans="1:83" ht="19.5" x14ac:dyDescent="0.4">
      <c r="C1736" s="115"/>
      <c r="D1736" s="115"/>
      <c r="E1736" s="115"/>
      <c r="F1736" s="115"/>
      <c r="G1736" s="115"/>
      <c r="H1736" s="115"/>
      <c r="I1736" s="115"/>
      <c r="J1736" s="115"/>
      <c r="K1736" s="115"/>
      <c r="L1736" s="115"/>
      <c r="M1736" s="115"/>
      <c r="N1736" s="115"/>
      <c r="O1736" s="115"/>
      <c r="P1736" s="115"/>
      <c r="Q1736" s="115"/>
      <c r="R1736" s="115"/>
      <c r="S1736" s="115"/>
      <c r="T1736" s="115"/>
      <c r="U1736" s="115"/>
      <c r="V1736" s="115"/>
      <c r="W1736" s="115"/>
      <c r="X1736" s="115"/>
      <c r="Y1736" s="115"/>
      <c r="Z1736" s="115"/>
      <c r="AA1736" s="115"/>
      <c r="AB1736" s="115"/>
      <c r="AC1736" s="115"/>
      <c r="AD1736" s="115"/>
      <c r="AE1736" s="115"/>
      <c r="AF1736" s="115"/>
      <c r="AG1736" s="115"/>
      <c r="AH1736" s="115"/>
      <c r="AI1736" s="115"/>
      <c r="AJ1736" s="115"/>
      <c r="AK1736" s="115"/>
      <c r="AL1736" s="115"/>
      <c r="AM1736" s="115"/>
      <c r="AN1736" s="115"/>
      <c r="AO1736" s="115"/>
      <c r="AP1736" s="115"/>
      <c r="AQ1736" s="115"/>
      <c r="AR1736" s="115"/>
      <c r="AS1736" s="115"/>
      <c r="AT1736" s="115"/>
      <c r="AU1736" s="115"/>
      <c r="AV1736" s="115"/>
      <c r="AW1736" s="115"/>
      <c r="AX1736" s="115"/>
      <c r="AY1736" s="115"/>
      <c r="AZ1736" s="115"/>
      <c r="BA1736" s="115"/>
      <c r="BB1736" s="115"/>
      <c r="BC1736" s="115"/>
      <c r="BD1736" s="115"/>
      <c r="BE1736" s="115"/>
      <c r="BF1736" s="122"/>
      <c r="BG1736" s="122"/>
      <c r="BH1736" s="122"/>
      <c r="BI1736" s="115"/>
      <c r="BJ1736" s="115"/>
      <c r="BK1736" s="115"/>
      <c r="BL1736" s="115"/>
      <c r="BM1736" s="115"/>
      <c r="BN1736" s="115"/>
      <c r="BO1736" s="115"/>
      <c r="BP1736" s="115"/>
      <c r="BQ1736" s="115"/>
      <c r="BR1736" s="115"/>
      <c r="BS1736" s="115"/>
      <c r="BT1736" s="115"/>
      <c r="BU1736" s="115"/>
      <c r="BV1736" s="115"/>
      <c r="BW1736" s="26"/>
      <c r="BX1736" s="15"/>
      <c r="CB1736" s="117"/>
      <c r="CC1736" s="116"/>
      <c r="CD1736" s="116"/>
      <c r="CE1736" s="116"/>
    </row>
    <row r="1737" spans="1:83" ht="19.5" x14ac:dyDescent="0.4">
      <c r="C1737" s="115"/>
      <c r="D1737" s="115"/>
      <c r="E1737" s="115"/>
      <c r="F1737" s="115"/>
      <c r="G1737" s="115"/>
      <c r="H1737" s="115"/>
      <c r="I1737" s="115"/>
      <c r="J1737" s="115"/>
      <c r="K1737" s="115"/>
      <c r="L1737" s="115"/>
      <c r="M1737" s="115"/>
      <c r="N1737" s="115"/>
      <c r="O1737" s="115"/>
      <c r="P1737" s="115"/>
      <c r="Q1737" s="115"/>
      <c r="R1737" s="115"/>
      <c r="S1737" s="115"/>
      <c r="T1737" s="115"/>
      <c r="U1737" s="115"/>
      <c r="V1737" s="115"/>
      <c r="W1737" s="115"/>
      <c r="X1737" s="115"/>
      <c r="Y1737" s="115"/>
      <c r="Z1737" s="115"/>
      <c r="AA1737" s="115"/>
      <c r="AB1737" s="115"/>
      <c r="AC1737" s="115"/>
      <c r="AD1737" s="115"/>
      <c r="AE1737" s="115"/>
      <c r="AF1737" s="115"/>
      <c r="AG1737" s="115"/>
      <c r="AH1737" s="115"/>
      <c r="AI1737" s="115"/>
      <c r="AJ1737" s="115"/>
      <c r="AK1737" s="115"/>
      <c r="AL1737" s="115"/>
      <c r="AM1737" s="115"/>
      <c r="AN1737" s="115"/>
      <c r="AO1737" s="115"/>
      <c r="AP1737" s="115"/>
      <c r="AQ1737" s="115"/>
      <c r="AR1737" s="115"/>
      <c r="AS1737" s="115"/>
      <c r="AT1737" s="115"/>
      <c r="AU1737" s="115"/>
      <c r="AV1737" s="115"/>
      <c r="AW1737" s="115"/>
      <c r="AX1737" s="115"/>
      <c r="AY1737" s="115"/>
      <c r="AZ1737" s="115"/>
      <c r="BA1737" s="115"/>
      <c r="BB1737" s="115"/>
      <c r="BC1737" s="115"/>
      <c r="BD1737" s="115"/>
      <c r="BE1737" s="115"/>
      <c r="BF1737" s="122"/>
      <c r="BG1737" s="122"/>
      <c r="BH1737" s="122"/>
      <c r="BI1737" s="115"/>
      <c r="BJ1737" s="115"/>
      <c r="BK1737" s="115"/>
      <c r="BL1737" s="115"/>
      <c r="BM1737" s="115"/>
      <c r="BN1737" s="115"/>
      <c r="BO1737" s="115"/>
      <c r="BP1737" s="115"/>
      <c r="BQ1737" s="115"/>
      <c r="BR1737" s="115"/>
      <c r="BS1737" s="115"/>
      <c r="BT1737" s="115"/>
      <c r="BU1737" s="115"/>
      <c r="BV1737" s="115"/>
      <c r="BW1737" s="17"/>
      <c r="BX1737" s="15"/>
      <c r="CB1737" s="117"/>
      <c r="CC1737" s="116"/>
      <c r="CD1737" s="116"/>
      <c r="CE1737" s="116"/>
    </row>
    <row r="1738" spans="1:83" ht="19.5" x14ac:dyDescent="0.4">
      <c r="C1738" s="115"/>
      <c r="D1738" s="115"/>
      <c r="E1738" s="115"/>
      <c r="F1738" s="115"/>
      <c r="G1738" s="115"/>
      <c r="H1738" s="115"/>
      <c r="I1738" s="115"/>
      <c r="J1738" s="115"/>
      <c r="K1738" s="115"/>
      <c r="L1738" s="115"/>
      <c r="M1738" s="115"/>
      <c r="N1738" s="115"/>
      <c r="O1738" s="115"/>
      <c r="P1738" s="115"/>
      <c r="Q1738" s="115"/>
      <c r="R1738" s="115"/>
      <c r="S1738" s="115"/>
      <c r="T1738" s="115"/>
      <c r="U1738" s="115"/>
      <c r="V1738" s="115"/>
      <c r="W1738" s="115"/>
      <c r="X1738" s="115"/>
      <c r="Y1738" s="115"/>
      <c r="Z1738" s="115"/>
      <c r="AA1738" s="115"/>
      <c r="AB1738" s="115"/>
      <c r="AC1738" s="115"/>
      <c r="AD1738" s="115"/>
      <c r="AE1738" s="115"/>
      <c r="AF1738" s="115"/>
      <c r="AG1738" s="115"/>
      <c r="AH1738" s="115"/>
      <c r="AI1738" s="115"/>
      <c r="AJ1738" s="115"/>
      <c r="AK1738" s="115"/>
      <c r="AL1738" s="115"/>
      <c r="AM1738" s="115"/>
      <c r="AN1738" s="115"/>
      <c r="AO1738" s="115"/>
      <c r="AP1738" s="115"/>
      <c r="AQ1738" s="115"/>
      <c r="AR1738" s="115"/>
      <c r="AS1738" s="115"/>
      <c r="AT1738" s="115"/>
      <c r="AU1738" s="115"/>
      <c r="AV1738" s="115"/>
      <c r="AW1738" s="115"/>
      <c r="AX1738" s="115"/>
      <c r="AY1738" s="115"/>
      <c r="AZ1738" s="115"/>
      <c r="BA1738" s="115"/>
      <c r="BB1738" s="115"/>
      <c r="BC1738" s="115"/>
      <c r="BD1738" s="115"/>
      <c r="BE1738" s="115"/>
      <c r="BF1738" s="122"/>
      <c r="BG1738" s="122"/>
      <c r="BH1738" s="122"/>
      <c r="BI1738" s="115"/>
      <c r="BJ1738" s="115"/>
      <c r="BK1738" s="115"/>
      <c r="BL1738" s="115"/>
      <c r="BM1738" s="115"/>
      <c r="BN1738" s="115"/>
      <c r="BO1738" s="115"/>
      <c r="BP1738" s="115"/>
      <c r="BQ1738" s="115"/>
      <c r="BR1738" s="115"/>
      <c r="BS1738" s="115"/>
      <c r="BT1738" s="115"/>
      <c r="BU1738" s="115"/>
      <c r="BV1738" s="115"/>
      <c r="BW1738" s="26"/>
      <c r="BX1738" s="105"/>
      <c r="CB1738" s="117"/>
      <c r="CC1738" s="116"/>
      <c r="CD1738" s="116"/>
      <c r="CE1738" s="116"/>
    </row>
    <row r="1739" spans="1:83" ht="19.5" x14ac:dyDescent="0.4">
      <c r="C1739" s="115"/>
      <c r="D1739" s="115"/>
      <c r="E1739" s="115"/>
      <c r="F1739" s="115"/>
      <c r="G1739" s="115"/>
      <c r="H1739" s="115"/>
      <c r="I1739" s="115"/>
      <c r="J1739" s="115"/>
      <c r="K1739" s="115"/>
      <c r="L1739" s="115"/>
      <c r="M1739" s="115"/>
      <c r="N1739" s="115"/>
      <c r="O1739" s="115"/>
      <c r="P1739" s="115"/>
      <c r="Q1739" s="115"/>
      <c r="R1739" s="115"/>
      <c r="S1739" s="115"/>
      <c r="T1739" s="115"/>
      <c r="U1739" s="115"/>
      <c r="V1739" s="115"/>
      <c r="W1739" s="115"/>
      <c r="X1739" s="115"/>
      <c r="Y1739" s="115"/>
      <c r="Z1739" s="115"/>
      <c r="AA1739" s="115"/>
      <c r="AB1739" s="115"/>
      <c r="AC1739" s="115"/>
      <c r="AD1739" s="115"/>
      <c r="AE1739" s="115"/>
      <c r="AF1739" s="115"/>
      <c r="AG1739" s="115"/>
      <c r="AH1739" s="115"/>
      <c r="AI1739" s="115"/>
      <c r="AJ1739" s="115"/>
      <c r="AK1739" s="115"/>
      <c r="AL1739" s="115"/>
      <c r="AM1739" s="115"/>
      <c r="AN1739" s="115"/>
      <c r="AO1739" s="115"/>
      <c r="AP1739" s="115"/>
      <c r="AQ1739" s="115"/>
      <c r="AR1739" s="115"/>
      <c r="AS1739" s="115"/>
      <c r="AT1739" s="115"/>
      <c r="AU1739" s="115"/>
      <c r="AV1739" s="115"/>
      <c r="AW1739" s="115"/>
      <c r="AX1739" s="115"/>
      <c r="AY1739" s="115"/>
      <c r="AZ1739" s="115"/>
      <c r="BA1739" s="115"/>
      <c r="BB1739" s="115"/>
      <c r="BC1739" s="115"/>
      <c r="BD1739" s="115"/>
      <c r="BE1739" s="115"/>
      <c r="BF1739" s="122"/>
      <c r="BG1739" s="122"/>
      <c r="BH1739" s="122"/>
      <c r="BI1739" s="115"/>
      <c r="BJ1739" s="115"/>
      <c r="BK1739" s="115"/>
      <c r="BL1739" s="115"/>
      <c r="BM1739" s="115"/>
      <c r="BN1739" s="115"/>
      <c r="BO1739" s="115"/>
      <c r="BP1739" s="115"/>
      <c r="BQ1739" s="115"/>
      <c r="BR1739" s="115"/>
      <c r="BS1739" s="115"/>
      <c r="BT1739" s="115"/>
      <c r="BU1739" s="115"/>
      <c r="BV1739" s="115"/>
      <c r="BW1739" s="17"/>
      <c r="BX1739" s="15"/>
      <c r="CB1739" s="117"/>
      <c r="CC1739" s="116"/>
      <c r="CD1739" s="116"/>
      <c r="CE1739" s="116"/>
    </row>
    <row r="1740" spans="1:83" ht="19.5" x14ac:dyDescent="0.4">
      <c r="C1740" s="115"/>
      <c r="D1740" s="115"/>
      <c r="E1740" s="115"/>
      <c r="F1740" s="115"/>
      <c r="G1740" s="115"/>
      <c r="H1740" s="115"/>
      <c r="I1740" s="115"/>
      <c r="J1740" s="115"/>
      <c r="K1740" s="115"/>
      <c r="L1740" s="115"/>
      <c r="M1740" s="115"/>
      <c r="N1740" s="115"/>
      <c r="O1740" s="115"/>
      <c r="P1740" s="115"/>
      <c r="Q1740" s="115"/>
      <c r="R1740" s="115"/>
      <c r="S1740" s="115"/>
      <c r="T1740" s="115"/>
      <c r="U1740" s="115"/>
      <c r="V1740" s="115"/>
      <c r="W1740" s="115"/>
      <c r="X1740" s="115"/>
      <c r="Y1740" s="115"/>
      <c r="Z1740" s="115"/>
      <c r="AA1740" s="115"/>
      <c r="AB1740" s="115"/>
      <c r="AC1740" s="115"/>
      <c r="AD1740" s="115"/>
      <c r="AE1740" s="115"/>
      <c r="AF1740" s="115"/>
      <c r="AG1740" s="115"/>
      <c r="AH1740" s="115"/>
      <c r="AI1740" s="115"/>
      <c r="AJ1740" s="115"/>
      <c r="AK1740" s="115"/>
      <c r="AL1740" s="115"/>
      <c r="AM1740" s="115"/>
      <c r="AN1740" s="115"/>
      <c r="AO1740" s="115"/>
      <c r="AP1740" s="115"/>
      <c r="AQ1740" s="115"/>
      <c r="AR1740" s="115"/>
      <c r="AS1740" s="115"/>
      <c r="AT1740" s="115"/>
      <c r="AU1740" s="115"/>
      <c r="AV1740" s="115"/>
      <c r="AW1740" s="115"/>
      <c r="AX1740" s="115"/>
      <c r="AY1740" s="115"/>
      <c r="AZ1740" s="115"/>
      <c r="BA1740" s="115"/>
      <c r="BB1740" s="115"/>
      <c r="BC1740" s="115"/>
      <c r="BD1740" s="115"/>
      <c r="BE1740" s="115"/>
      <c r="BF1740" s="122"/>
      <c r="BG1740" s="122"/>
      <c r="BH1740" s="122"/>
      <c r="BI1740" s="115"/>
      <c r="BJ1740" s="115"/>
      <c r="BK1740" s="115"/>
      <c r="BL1740" s="115"/>
      <c r="BM1740" s="115"/>
      <c r="BN1740" s="115"/>
      <c r="BO1740" s="115"/>
      <c r="BP1740" s="115"/>
      <c r="BQ1740" s="115"/>
      <c r="BR1740" s="115"/>
      <c r="BS1740" s="115"/>
      <c r="BT1740" s="115"/>
      <c r="BU1740" s="115"/>
      <c r="BV1740" s="115"/>
      <c r="BW1740" s="26"/>
      <c r="BX1740" s="15"/>
      <c r="CB1740" s="117"/>
      <c r="CC1740" s="116"/>
      <c r="CD1740" s="116"/>
      <c r="CE1740" s="116"/>
    </row>
    <row r="1741" spans="1:83" ht="19.5" x14ac:dyDescent="0.4">
      <c r="C1741" s="115"/>
      <c r="D1741" s="115"/>
      <c r="E1741" s="115"/>
      <c r="F1741" s="115"/>
      <c r="G1741" s="115"/>
      <c r="H1741" s="115"/>
      <c r="I1741" s="115"/>
      <c r="J1741" s="115"/>
      <c r="K1741" s="115"/>
      <c r="L1741" s="115"/>
      <c r="M1741" s="115"/>
      <c r="N1741" s="115"/>
      <c r="O1741" s="115"/>
      <c r="P1741" s="115"/>
      <c r="Q1741" s="115"/>
      <c r="R1741" s="115"/>
      <c r="S1741" s="115"/>
      <c r="T1741" s="115"/>
      <c r="U1741" s="115"/>
      <c r="V1741" s="115"/>
      <c r="W1741" s="115"/>
      <c r="X1741" s="115"/>
      <c r="Y1741" s="115"/>
      <c r="Z1741" s="115"/>
      <c r="AA1741" s="115"/>
      <c r="AB1741" s="115"/>
      <c r="AC1741" s="115"/>
      <c r="AD1741" s="115"/>
      <c r="AE1741" s="115"/>
      <c r="AF1741" s="115"/>
      <c r="AG1741" s="115"/>
      <c r="AH1741" s="115"/>
      <c r="AI1741" s="115"/>
      <c r="AJ1741" s="115"/>
      <c r="AK1741" s="115"/>
      <c r="AL1741" s="115"/>
      <c r="AM1741" s="115"/>
      <c r="AN1741" s="115"/>
      <c r="AO1741" s="115"/>
      <c r="AP1741" s="115"/>
      <c r="AQ1741" s="115"/>
      <c r="AR1741" s="115"/>
      <c r="AS1741" s="115"/>
      <c r="AT1741" s="115"/>
      <c r="AU1741" s="115"/>
      <c r="AV1741" s="115"/>
      <c r="AW1741" s="115"/>
      <c r="AX1741" s="115"/>
      <c r="AY1741" s="115"/>
      <c r="AZ1741" s="115"/>
      <c r="BA1741" s="115"/>
      <c r="BB1741" s="115"/>
      <c r="BC1741" s="115"/>
      <c r="BD1741" s="115"/>
      <c r="BE1741" s="115"/>
      <c r="BF1741" s="122"/>
      <c r="BG1741" s="122"/>
      <c r="BH1741" s="122"/>
      <c r="BI1741" s="115"/>
      <c r="BJ1741" s="115"/>
      <c r="BK1741" s="115"/>
      <c r="BL1741" s="115"/>
      <c r="BM1741" s="115"/>
      <c r="BN1741" s="115"/>
      <c r="BO1741" s="115"/>
      <c r="BP1741" s="115"/>
      <c r="BQ1741" s="115"/>
      <c r="BR1741" s="115"/>
      <c r="BS1741" s="115"/>
      <c r="BT1741" s="115"/>
      <c r="BU1741" s="115"/>
      <c r="BV1741" s="115"/>
      <c r="BW1741" s="26"/>
      <c r="BX1741" s="15"/>
      <c r="CB1741" s="117"/>
      <c r="CC1741" s="116"/>
      <c r="CD1741" s="116"/>
      <c r="CE1741" s="116"/>
    </row>
    <row r="1742" spans="1:83" ht="19.5" x14ac:dyDescent="0.4">
      <c r="BW1742" s="26"/>
      <c r="BX1742" s="15"/>
      <c r="CB1742" s="117"/>
      <c r="CC1742" s="116"/>
      <c r="CD1742" s="116"/>
      <c r="CE1742" s="116"/>
    </row>
    <row r="1743" spans="1:83" ht="19.5" x14ac:dyDescent="0.4">
      <c r="BB1743" s="115"/>
      <c r="BC1743" s="115"/>
      <c r="BD1743" s="115"/>
      <c r="BE1743" s="115"/>
      <c r="BF1743" s="122"/>
      <c r="BG1743" s="122"/>
      <c r="BH1743" s="122"/>
      <c r="BI1743" s="115"/>
      <c r="BJ1743" s="115"/>
      <c r="BK1743" s="115"/>
      <c r="BL1743" s="115"/>
      <c r="BM1743" s="115"/>
      <c r="BN1743" s="115"/>
      <c r="BO1743" s="115"/>
      <c r="BP1743" s="115"/>
      <c r="BQ1743" s="115"/>
      <c r="BR1743" s="115"/>
      <c r="BS1743" s="115"/>
      <c r="BT1743" s="115"/>
      <c r="BU1743" s="115"/>
      <c r="BV1743" s="115"/>
      <c r="BW1743" s="26"/>
      <c r="BX1743" s="15"/>
      <c r="CB1743" s="117"/>
      <c r="CC1743" s="116"/>
      <c r="CD1743" s="116"/>
      <c r="CE1743" s="116"/>
    </row>
    <row r="1744" spans="1:83" ht="19.5" x14ac:dyDescent="0.4">
      <c r="A1744" s="115"/>
      <c r="B1744" s="115"/>
      <c r="C1744" s="115"/>
      <c r="D1744" s="115"/>
      <c r="E1744" s="115"/>
      <c r="F1744" s="115"/>
      <c r="G1744" s="115"/>
      <c r="H1744" s="115"/>
      <c r="I1744" s="115"/>
      <c r="J1744" s="115"/>
      <c r="K1744" s="115"/>
      <c r="L1744" s="115"/>
      <c r="M1744" s="115"/>
      <c r="N1744" s="115"/>
      <c r="O1744" s="115"/>
      <c r="P1744" s="115"/>
      <c r="Q1744" s="115"/>
      <c r="R1744" s="115"/>
      <c r="S1744" s="115"/>
      <c r="T1744" s="115"/>
      <c r="U1744" s="115"/>
      <c r="V1744" s="115"/>
      <c r="W1744" s="115"/>
      <c r="X1744" s="115"/>
      <c r="Y1744" s="115"/>
      <c r="Z1744" s="115"/>
      <c r="AA1744" s="115"/>
      <c r="AB1744" s="115"/>
      <c r="AC1744" s="115"/>
      <c r="AD1744" s="115"/>
      <c r="AE1744" s="115"/>
      <c r="AF1744" s="115"/>
      <c r="AG1744" s="115"/>
      <c r="AH1744" s="115"/>
      <c r="AI1744" s="115"/>
      <c r="AJ1744" s="115"/>
      <c r="AK1744" s="115"/>
      <c r="AL1744" s="115"/>
      <c r="AM1744" s="115"/>
      <c r="AN1744" s="115"/>
      <c r="AO1744" s="115"/>
      <c r="AP1744" s="115"/>
      <c r="AQ1744" s="115"/>
      <c r="AR1744" s="115"/>
      <c r="AS1744" s="115"/>
      <c r="AT1744" s="115"/>
      <c r="AU1744" s="115"/>
      <c r="AV1744" s="115"/>
      <c r="AW1744" s="115"/>
      <c r="AX1744" s="115"/>
      <c r="AY1744" s="115"/>
      <c r="AZ1744" s="115"/>
      <c r="BA1744" s="115"/>
      <c r="BB1744" s="115"/>
      <c r="BC1744" s="115"/>
      <c r="BD1744" s="115"/>
      <c r="BE1744" s="115"/>
      <c r="BF1744" s="122"/>
      <c r="BG1744" s="122"/>
      <c r="BH1744" s="122"/>
      <c r="BI1744" s="115"/>
      <c r="BJ1744" s="115"/>
      <c r="BK1744" s="115"/>
      <c r="BL1744" s="115"/>
      <c r="BM1744" s="115"/>
      <c r="BN1744" s="115"/>
      <c r="BO1744" s="115"/>
      <c r="BP1744" s="115"/>
      <c r="BQ1744" s="115"/>
      <c r="BR1744" s="115"/>
      <c r="BS1744" s="115"/>
      <c r="BT1744" s="115"/>
      <c r="BU1744" s="115"/>
      <c r="BV1744" s="115"/>
      <c r="BW1744" s="26"/>
      <c r="BX1744" s="15"/>
      <c r="CB1744" s="117"/>
      <c r="CC1744" s="116"/>
      <c r="CD1744" s="116"/>
      <c r="CE1744" s="116"/>
    </row>
    <row r="1745" spans="1:83" ht="19.5" x14ac:dyDescent="0.4">
      <c r="A1745" s="115"/>
      <c r="B1745" s="115"/>
      <c r="C1745" s="115"/>
      <c r="D1745" s="115"/>
      <c r="E1745" s="115"/>
      <c r="F1745" s="115"/>
      <c r="G1745" s="115"/>
      <c r="H1745" s="115"/>
      <c r="I1745" s="115"/>
      <c r="J1745" s="115"/>
      <c r="K1745" s="115"/>
      <c r="L1745" s="115"/>
      <c r="M1745" s="115"/>
      <c r="N1745" s="115"/>
      <c r="O1745" s="115"/>
      <c r="P1745" s="115"/>
      <c r="Q1745" s="115"/>
      <c r="R1745" s="115"/>
      <c r="S1745" s="115"/>
      <c r="T1745" s="115"/>
      <c r="U1745" s="115"/>
      <c r="V1745" s="115"/>
      <c r="W1745" s="115"/>
      <c r="X1745" s="115"/>
      <c r="Y1745" s="115"/>
      <c r="Z1745" s="115"/>
      <c r="AA1745" s="115"/>
      <c r="AB1745" s="115"/>
      <c r="AC1745" s="115"/>
      <c r="AD1745" s="115"/>
      <c r="AE1745" s="115"/>
      <c r="AF1745" s="115"/>
      <c r="AG1745" s="115"/>
      <c r="AH1745" s="115"/>
      <c r="AI1745" s="115"/>
      <c r="AJ1745" s="115"/>
      <c r="AK1745" s="115"/>
      <c r="AL1745" s="115"/>
      <c r="AM1745" s="115"/>
      <c r="AN1745" s="115"/>
      <c r="AO1745" s="115"/>
      <c r="AP1745" s="115"/>
      <c r="AQ1745" s="115"/>
      <c r="AR1745" s="115"/>
      <c r="AS1745" s="115"/>
      <c r="AT1745" s="115"/>
      <c r="AU1745" s="115"/>
      <c r="AV1745" s="115"/>
      <c r="AW1745" s="115"/>
      <c r="AX1745" s="115"/>
      <c r="AY1745" s="115"/>
      <c r="AZ1745" s="115"/>
      <c r="BA1745" s="115"/>
      <c r="BB1745" s="115"/>
      <c r="BC1745" s="115"/>
      <c r="BD1745" s="115"/>
      <c r="BE1745" s="115"/>
      <c r="BF1745" s="122"/>
      <c r="BG1745" s="122"/>
      <c r="BH1745" s="122"/>
      <c r="BI1745" s="115"/>
      <c r="BJ1745" s="115"/>
      <c r="BK1745" s="115"/>
      <c r="BL1745" s="115"/>
      <c r="BM1745" s="115"/>
      <c r="BN1745" s="115"/>
      <c r="BO1745" s="115"/>
      <c r="BP1745" s="115"/>
      <c r="BQ1745" s="115"/>
      <c r="BR1745" s="115"/>
      <c r="BS1745" s="115"/>
      <c r="BT1745" s="115"/>
      <c r="BU1745" s="115"/>
      <c r="BV1745" s="115"/>
      <c r="BW1745" s="26"/>
      <c r="BX1745" s="15"/>
      <c r="CB1745" s="117"/>
      <c r="CC1745" s="116"/>
      <c r="CD1745" s="116"/>
      <c r="CE1745" s="116"/>
    </row>
    <row r="1746" spans="1:83" ht="19.5" x14ac:dyDescent="0.4">
      <c r="A1746" s="115"/>
      <c r="B1746" s="115"/>
      <c r="C1746" s="115"/>
      <c r="D1746" s="115"/>
      <c r="E1746" s="115"/>
      <c r="F1746" s="115"/>
      <c r="G1746" s="115"/>
      <c r="H1746" s="115"/>
      <c r="I1746" s="115"/>
      <c r="J1746" s="115"/>
      <c r="K1746" s="115"/>
      <c r="L1746" s="115"/>
      <c r="M1746" s="115"/>
      <c r="N1746" s="115"/>
      <c r="O1746" s="115"/>
      <c r="P1746" s="115"/>
      <c r="Q1746" s="115"/>
      <c r="R1746" s="115"/>
      <c r="S1746" s="115"/>
      <c r="T1746" s="115"/>
      <c r="U1746" s="115"/>
      <c r="V1746" s="115"/>
      <c r="W1746" s="115"/>
      <c r="X1746" s="115"/>
      <c r="Y1746" s="115"/>
      <c r="Z1746" s="115"/>
      <c r="AA1746" s="115"/>
      <c r="AB1746" s="115"/>
      <c r="AC1746" s="115"/>
      <c r="AD1746" s="115"/>
      <c r="AE1746" s="115"/>
      <c r="AF1746" s="115"/>
      <c r="AG1746" s="115"/>
      <c r="AH1746" s="115"/>
      <c r="AI1746" s="115"/>
      <c r="AJ1746" s="115"/>
      <c r="AK1746" s="115"/>
      <c r="AL1746" s="115"/>
      <c r="AM1746" s="115"/>
      <c r="AN1746" s="115"/>
      <c r="AO1746" s="115"/>
      <c r="AP1746" s="115"/>
      <c r="AQ1746" s="115"/>
      <c r="AR1746" s="115"/>
      <c r="AS1746" s="115"/>
      <c r="AT1746" s="115"/>
      <c r="AU1746" s="115"/>
      <c r="AV1746" s="115"/>
      <c r="AW1746" s="115"/>
      <c r="AX1746" s="115"/>
      <c r="AY1746" s="115"/>
      <c r="AZ1746" s="115"/>
      <c r="BA1746" s="115"/>
      <c r="BB1746" s="115"/>
      <c r="BC1746" s="115"/>
      <c r="BD1746" s="115"/>
      <c r="BE1746" s="115"/>
      <c r="BF1746" s="122"/>
      <c r="BG1746" s="122"/>
      <c r="BH1746" s="122"/>
      <c r="BI1746" s="115"/>
      <c r="BJ1746" s="115"/>
      <c r="BK1746" s="115"/>
      <c r="BL1746" s="115"/>
      <c r="BM1746" s="115"/>
      <c r="BN1746" s="115"/>
      <c r="BO1746" s="115"/>
      <c r="BP1746" s="115"/>
      <c r="BQ1746" s="115"/>
      <c r="BR1746" s="115"/>
      <c r="BS1746" s="115"/>
      <c r="BT1746" s="115"/>
      <c r="BU1746" s="115"/>
      <c r="BV1746" s="115"/>
      <c r="BW1746" s="17"/>
      <c r="BX1746" s="15"/>
      <c r="CB1746" s="117"/>
      <c r="CC1746" s="116"/>
      <c r="CD1746" s="116"/>
      <c r="CE1746" s="116"/>
    </row>
    <row r="1747" spans="1:83" ht="19.5" x14ac:dyDescent="0.4">
      <c r="BW1747" s="26"/>
      <c r="BX1747" s="15"/>
      <c r="CB1747" s="117"/>
      <c r="CC1747" s="116"/>
      <c r="CD1747" s="116"/>
      <c r="CE1747" s="116"/>
    </row>
    <row r="1748" spans="1:83" ht="19.5" x14ac:dyDescent="0.4">
      <c r="BC1748" s="115"/>
      <c r="BD1748" s="115"/>
      <c r="BE1748" s="115"/>
      <c r="BF1748" s="122"/>
      <c r="BG1748" s="122"/>
      <c r="BH1748" s="122"/>
      <c r="BI1748" s="115"/>
      <c r="BJ1748" s="115"/>
      <c r="BK1748" s="115"/>
      <c r="BL1748" s="115"/>
      <c r="BM1748" s="115"/>
      <c r="BN1748" s="115"/>
      <c r="BO1748" s="115"/>
      <c r="BP1748" s="115"/>
      <c r="BQ1748" s="115"/>
      <c r="BR1748" s="115"/>
      <c r="BS1748" s="115"/>
      <c r="BT1748" s="115"/>
      <c r="BU1748" s="115"/>
      <c r="BV1748" s="115"/>
      <c r="BW1748" s="17"/>
      <c r="BX1748" s="15"/>
      <c r="CB1748" s="117"/>
      <c r="CC1748" s="116"/>
      <c r="CD1748" s="116"/>
      <c r="CE1748" s="116"/>
    </row>
    <row r="1749" spans="1:83" ht="19.5" x14ac:dyDescent="0.4">
      <c r="BB1749" s="115"/>
      <c r="BC1749" s="115"/>
      <c r="BD1749" s="115"/>
      <c r="BE1749" s="115"/>
      <c r="BF1749" s="122"/>
      <c r="BG1749" s="122"/>
      <c r="BH1749" s="122"/>
      <c r="BI1749" s="115"/>
      <c r="BJ1749" s="115"/>
      <c r="BK1749" s="115"/>
      <c r="BL1749" s="115"/>
      <c r="BM1749" s="115"/>
      <c r="BN1749" s="115"/>
      <c r="BO1749" s="115"/>
      <c r="BP1749" s="115"/>
      <c r="BQ1749" s="115"/>
      <c r="BR1749" s="115"/>
      <c r="BS1749" s="115"/>
      <c r="BT1749" s="115"/>
      <c r="BU1749" s="115"/>
      <c r="BV1749" s="115"/>
      <c r="BW1749" s="26"/>
      <c r="BX1749" s="15"/>
      <c r="CB1749" s="117"/>
      <c r="CC1749" s="116"/>
      <c r="CD1749" s="116"/>
      <c r="CE1749" s="116"/>
    </row>
    <row r="1750" spans="1:83" ht="19.5" x14ac:dyDescent="0.4">
      <c r="C1750" s="115"/>
      <c r="D1750" s="115"/>
      <c r="E1750" s="115"/>
      <c r="F1750" s="115"/>
      <c r="G1750" s="115"/>
      <c r="H1750" s="115"/>
      <c r="I1750" s="115"/>
      <c r="J1750" s="115"/>
      <c r="K1750" s="115"/>
      <c r="L1750" s="115"/>
      <c r="M1750" s="115"/>
      <c r="N1750" s="115"/>
      <c r="O1750" s="115"/>
      <c r="P1750" s="115"/>
      <c r="Q1750" s="115"/>
      <c r="R1750" s="115"/>
      <c r="S1750" s="115"/>
      <c r="T1750" s="115"/>
      <c r="U1750" s="115"/>
      <c r="V1750" s="115"/>
      <c r="W1750" s="115"/>
      <c r="X1750" s="115"/>
      <c r="Y1750" s="115"/>
      <c r="Z1750" s="115"/>
      <c r="AA1750" s="115"/>
      <c r="AB1750" s="115"/>
      <c r="AC1750" s="115"/>
      <c r="AD1750" s="115"/>
      <c r="AE1750" s="115"/>
      <c r="AF1750" s="115"/>
      <c r="AG1750" s="115"/>
      <c r="AH1750" s="115"/>
      <c r="AI1750" s="115"/>
      <c r="AJ1750" s="115"/>
      <c r="AK1750" s="115"/>
      <c r="AL1750" s="115"/>
      <c r="AM1750" s="115"/>
      <c r="AN1750" s="115"/>
      <c r="AO1750" s="115"/>
      <c r="AP1750" s="115"/>
      <c r="AQ1750" s="115"/>
      <c r="AR1750" s="115"/>
      <c r="AS1750" s="115"/>
      <c r="AT1750" s="115"/>
      <c r="AU1750" s="115"/>
      <c r="AV1750" s="115"/>
      <c r="AW1750" s="115"/>
      <c r="AX1750" s="115"/>
      <c r="AY1750" s="115"/>
      <c r="AZ1750" s="115"/>
      <c r="BA1750" s="115"/>
      <c r="BB1750" s="115"/>
      <c r="BC1750" s="115"/>
      <c r="BD1750" s="115"/>
      <c r="BE1750" s="115"/>
      <c r="BF1750" s="122"/>
      <c r="BG1750" s="122"/>
      <c r="BH1750" s="122"/>
      <c r="BI1750" s="115"/>
      <c r="BJ1750" s="115"/>
      <c r="BK1750" s="115"/>
      <c r="BL1750" s="115"/>
      <c r="BM1750" s="115"/>
      <c r="BN1750" s="115"/>
      <c r="BO1750" s="115"/>
      <c r="BP1750" s="115"/>
      <c r="BQ1750" s="115"/>
      <c r="BR1750" s="115"/>
      <c r="BS1750" s="115"/>
      <c r="BT1750" s="115"/>
      <c r="BU1750" s="115"/>
      <c r="BV1750" s="115"/>
      <c r="BW1750" s="26"/>
      <c r="BX1750" s="15"/>
      <c r="CB1750" s="117"/>
      <c r="CC1750" s="116"/>
      <c r="CD1750" s="116"/>
      <c r="CE1750" s="116"/>
    </row>
    <row r="1751" spans="1:83" ht="19.5" x14ac:dyDescent="0.4">
      <c r="C1751" s="115"/>
      <c r="D1751" s="115"/>
      <c r="E1751" s="115"/>
      <c r="F1751" s="115"/>
      <c r="G1751" s="115"/>
      <c r="H1751" s="115"/>
      <c r="I1751" s="115"/>
      <c r="J1751" s="115"/>
      <c r="K1751" s="115"/>
      <c r="L1751" s="115"/>
      <c r="M1751" s="115"/>
      <c r="N1751" s="115"/>
      <c r="O1751" s="115"/>
      <c r="P1751" s="115"/>
      <c r="Q1751" s="115"/>
      <c r="R1751" s="115"/>
      <c r="S1751" s="115"/>
      <c r="T1751" s="115"/>
      <c r="U1751" s="115"/>
      <c r="V1751" s="115"/>
      <c r="W1751" s="115"/>
      <c r="X1751" s="115"/>
      <c r="Y1751" s="115"/>
      <c r="Z1751" s="115"/>
      <c r="AA1751" s="115"/>
      <c r="AB1751" s="115"/>
      <c r="AC1751" s="115"/>
      <c r="AD1751" s="115"/>
      <c r="AE1751" s="115"/>
      <c r="AF1751" s="115"/>
      <c r="AG1751" s="115"/>
      <c r="AH1751" s="115"/>
      <c r="AI1751" s="115"/>
      <c r="AJ1751" s="115"/>
      <c r="AK1751" s="115"/>
      <c r="AL1751" s="115"/>
      <c r="AM1751" s="115"/>
      <c r="AN1751" s="115"/>
      <c r="AO1751" s="115"/>
      <c r="AP1751" s="115"/>
      <c r="AQ1751" s="115"/>
      <c r="AR1751" s="115"/>
      <c r="AS1751" s="115"/>
      <c r="AT1751" s="115"/>
      <c r="AU1751" s="115"/>
      <c r="AV1751" s="115"/>
      <c r="AW1751" s="115"/>
      <c r="AX1751" s="115"/>
      <c r="AY1751" s="115"/>
      <c r="AZ1751" s="115"/>
      <c r="BA1751" s="115"/>
      <c r="BB1751" s="115"/>
      <c r="BC1751" s="115"/>
      <c r="BD1751" s="115"/>
      <c r="BE1751" s="115"/>
      <c r="BF1751" s="122"/>
      <c r="BG1751" s="122"/>
      <c r="BH1751" s="122"/>
      <c r="BI1751" s="115"/>
      <c r="BJ1751" s="115"/>
      <c r="BK1751" s="115"/>
      <c r="BL1751" s="115"/>
      <c r="BM1751" s="115"/>
      <c r="BN1751" s="115"/>
      <c r="BO1751" s="115"/>
      <c r="BP1751" s="115"/>
      <c r="BQ1751" s="115"/>
      <c r="BR1751" s="115"/>
      <c r="BS1751" s="115"/>
      <c r="BT1751" s="115"/>
      <c r="BU1751" s="115"/>
      <c r="BV1751" s="115"/>
      <c r="BW1751" s="26"/>
      <c r="BX1751" s="15"/>
      <c r="CB1751" s="117"/>
      <c r="CC1751" s="116"/>
      <c r="CD1751" s="116"/>
      <c r="CE1751" s="116"/>
    </row>
    <row r="1752" spans="1:83" ht="19.5" x14ac:dyDescent="0.4">
      <c r="B1752" s="115"/>
      <c r="C1752" s="115"/>
      <c r="D1752" s="115"/>
      <c r="E1752" s="115"/>
      <c r="F1752" s="115"/>
      <c r="G1752" s="115"/>
      <c r="H1752" s="115"/>
      <c r="I1752" s="115"/>
      <c r="J1752" s="115"/>
      <c r="K1752" s="115"/>
      <c r="L1752" s="115"/>
      <c r="M1752" s="115"/>
      <c r="N1752" s="115"/>
      <c r="O1752" s="115"/>
      <c r="P1752" s="115"/>
      <c r="Q1752" s="115"/>
      <c r="R1752" s="115"/>
      <c r="S1752" s="115"/>
      <c r="T1752" s="115"/>
      <c r="U1752" s="115"/>
      <c r="V1752" s="115"/>
      <c r="W1752" s="115"/>
      <c r="X1752" s="115"/>
      <c r="Y1752" s="115"/>
      <c r="Z1752" s="115"/>
      <c r="AA1752" s="115"/>
      <c r="AB1752" s="115"/>
      <c r="AC1752" s="115"/>
      <c r="AD1752" s="115"/>
      <c r="AE1752" s="115"/>
      <c r="AF1752" s="115"/>
      <c r="AG1752" s="115"/>
      <c r="AH1752" s="115"/>
      <c r="AI1752" s="115"/>
      <c r="AJ1752" s="115"/>
      <c r="AK1752" s="115"/>
      <c r="AL1752" s="115"/>
      <c r="AM1752" s="115"/>
      <c r="AN1752" s="115"/>
      <c r="AO1752" s="115"/>
      <c r="AP1752" s="115"/>
      <c r="AQ1752" s="115"/>
      <c r="AR1752" s="115"/>
      <c r="AS1752" s="115"/>
      <c r="AT1752" s="115"/>
      <c r="AU1752" s="115"/>
      <c r="AV1752" s="115"/>
      <c r="AW1752" s="115"/>
      <c r="AX1752" s="115"/>
      <c r="AY1752" s="115"/>
      <c r="AZ1752" s="115"/>
      <c r="BA1752" s="115"/>
      <c r="BB1752" s="115"/>
      <c r="BC1752" s="115"/>
      <c r="BD1752" s="115"/>
      <c r="BE1752" s="115"/>
      <c r="BF1752" s="122"/>
      <c r="BG1752" s="122"/>
      <c r="BH1752" s="122"/>
      <c r="BI1752" s="115"/>
      <c r="BJ1752" s="115"/>
      <c r="BK1752" s="115"/>
      <c r="BL1752" s="115"/>
      <c r="BM1752" s="115"/>
      <c r="BN1752" s="115"/>
      <c r="BO1752" s="115"/>
      <c r="BP1752" s="115"/>
      <c r="BQ1752" s="115"/>
      <c r="BR1752" s="115"/>
      <c r="BS1752" s="115"/>
      <c r="BT1752" s="115"/>
      <c r="BU1752" s="115"/>
      <c r="BV1752" s="115"/>
      <c r="BW1752" s="26"/>
      <c r="BX1752" s="15"/>
      <c r="CB1752" s="117"/>
      <c r="CC1752" s="116"/>
      <c r="CD1752" s="116"/>
      <c r="CE1752" s="116"/>
    </row>
    <row r="1753" spans="1:83" ht="19.5" x14ac:dyDescent="0.4">
      <c r="A1753" s="115"/>
      <c r="B1753" s="115"/>
      <c r="C1753" s="115"/>
      <c r="D1753" s="115"/>
      <c r="E1753" s="115"/>
      <c r="F1753" s="115"/>
      <c r="G1753" s="115"/>
      <c r="H1753" s="115"/>
      <c r="I1753" s="115"/>
      <c r="J1753" s="115"/>
      <c r="K1753" s="115"/>
      <c r="L1753" s="115"/>
      <c r="M1753" s="115"/>
      <c r="N1753" s="115"/>
      <c r="O1753" s="115"/>
      <c r="P1753" s="115"/>
      <c r="Q1753" s="115"/>
      <c r="R1753" s="115"/>
      <c r="S1753" s="115"/>
      <c r="T1753" s="115"/>
      <c r="U1753" s="115"/>
      <c r="V1753" s="115"/>
      <c r="W1753" s="115"/>
      <c r="X1753" s="115"/>
      <c r="Y1753" s="115"/>
      <c r="Z1753" s="115"/>
      <c r="AA1753" s="115"/>
      <c r="AB1753" s="115"/>
      <c r="AC1753" s="115"/>
      <c r="AD1753" s="115"/>
      <c r="AE1753" s="115"/>
      <c r="AF1753" s="115"/>
      <c r="AG1753" s="115"/>
      <c r="AH1753" s="115"/>
      <c r="AI1753" s="115"/>
      <c r="AJ1753" s="115"/>
      <c r="AK1753" s="115"/>
      <c r="AL1753" s="115"/>
      <c r="AM1753" s="115"/>
      <c r="AN1753" s="115"/>
      <c r="AO1753" s="115"/>
      <c r="AP1753" s="115"/>
      <c r="AQ1753" s="115"/>
      <c r="AR1753" s="115"/>
      <c r="AS1753" s="115"/>
      <c r="AT1753" s="115"/>
      <c r="AU1753" s="115"/>
      <c r="AV1753" s="115"/>
      <c r="AW1753" s="115"/>
      <c r="AX1753" s="115"/>
      <c r="AY1753" s="115"/>
      <c r="AZ1753" s="115"/>
      <c r="BA1753" s="115"/>
      <c r="BB1753" s="115"/>
      <c r="BC1753" s="115"/>
      <c r="BD1753" s="115"/>
      <c r="BE1753" s="115"/>
      <c r="BF1753" s="122"/>
      <c r="BG1753" s="122"/>
      <c r="BH1753" s="122"/>
      <c r="BI1753" s="115"/>
      <c r="BJ1753" s="115"/>
      <c r="BK1753" s="115"/>
      <c r="BL1753" s="115"/>
      <c r="BM1753" s="115"/>
      <c r="BN1753" s="115"/>
      <c r="BO1753" s="115"/>
      <c r="BP1753" s="115"/>
      <c r="BQ1753" s="115"/>
      <c r="BR1753" s="115"/>
      <c r="BS1753" s="115"/>
      <c r="BT1753" s="115"/>
      <c r="BU1753" s="115"/>
      <c r="BV1753" s="115"/>
      <c r="BW1753" s="26"/>
      <c r="BX1753" s="15"/>
      <c r="CB1753" s="117"/>
      <c r="CC1753" s="116"/>
      <c r="CD1753" s="116"/>
      <c r="CE1753" s="116"/>
    </row>
    <row r="1754" spans="1:83" ht="19.5" x14ac:dyDescent="0.4">
      <c r="A1754" s="115"/>
      <c r="B1754" s="115"/>
      <c r="C1754" s="115"/>
      <c r="D1754" s="115"/>
      <c r="E1754" s="115"/>
      <c r="F1754" s="115"/>
      <c r="G1754" s="115"/>
      <c r="H1754" s="115"/>
      <c r="I1754" s="115"/>
      <c r="J1754" s="115"/>
      <c r="K1754" s="115"/>
      <c r="L1754" s="115"/>
      <c r="M1754" s="115"/>
      <c r="N1754" s="115"/>
      <c r="O1754" s="115"/>
      <c r="P1754" s="115"/>
      <c r="Q1754" s="115"/>
      <c r="R1754" s="115"/>
      <c r="S1754" s="115"/>
      <c r="T1754" s="115"/>
      <c r="U1754" s="115"/>
      <c r="V1754" s="115"/>
      <c r="W1754" s="115"/>
      <c r="X1754" s="115"/>
      <c r="Y1754" s="115"/>
      <c r="Z1754" s="115"/>
      <c r="AA1754" s="115"/>
      <c r="AB1754" s="115"/>
      <c r="AC1754" s="115"/>
      <c r="AD1754" s="115"/>
      <c r="AE1754" s="115"/>
      <c r="AF1754" s="115"/>
      <c r="AG1754" s="115"/>
      <c r="AH1754" s="115"/>
      <c r="AI1754" s="115"/>
      <c r="AJ1754" s="115"/>
      <c r="AK1754" s="115"/>
      <c r="AL1754" s="115"/>
      <c r="AM1754" s="115"/>
      <c r="AN1754" s="115"/>
      <c r="AO1754" s="115"/>
      <c r="AP1754" s="115"/>
      <c r="AQ1754" s="115"/>
      <c r="AR1754" s="115"/>
      <c r="AS1754" s="115"/>
      <c r="AT1754" s="115"/>
      <c r="AU1754" s="115"/>
      <c r="AV1754" s="115"/>
      <c r="AW1754" s="115"/>
      <c r="AX1754" s="115"/>
      <c r="AY1754" s="115"/>
      <c r="AZ1754" s="115"/>
      <c r="BA1754" s="115"/>
      <c r="BB1754" s="115"/>
      <c r="BC1754" s="115"/>
      <c r="BD1754" s="115"/>
      <c r="BE1754" s="115"/>
      <c r="BF1754" s="122"/>
      <c r="BG1754" s="122"/>
      <c r="BH1754" s="122"/>
      <c r="BI1754" s="115"/>
      <c r="BJ1754" s="115"/>
      <c r="BK1754" s="115"/>
      <c r="BL1754" s="115"/>
      <c r="BM1754" s="115"/>
      <c r="BN1754" s="115"/>
      <c r="BO1754" s="115"/>
      <c r="BP1754" s="115"/>
      <c r="BQ1754" s="115"/>
      <c r="BR1754" s="115"/>
      <c r="BS1754" s="115"/>
      <c r="BT1754" s="115"/>
      <c r="BU1754" s="115"/>
      <c r="BV1754" s="115"/>
      <c r="BW1754" s="26"/>
      <c r="BX1754" s="15"/>
      <c r="CB1754" s="117"/>
      <c r="CC1754" s="116"/>
      <c r="CD1754" s="116"/>
      <c r="CE1754" s="116"/>
    </row>
    <row r="1755" spans="1:83" ht="19.5" x14ac:dyDescent="0.4">
      <c r="A1755" s="115"/>
      <c r="B1755" s="115"/>
      <c r="C1755" s="115"/>
      <c r="D1755" s="115"/>
      <c r="E1755" s="115"/>
      <c r="F1755" s="115"/>
      <c r="G1755" s="115"/>
      <c r="H1755" s="115"/>
      <c r="I1755" s="115"/>
      <c r="J1755" s="115"/>
      <c r="K1755" s="115"/>
      <c r="L1755" s="115"/>
      <c r="M1755" s="115"/>
      <c r="N1755" s="115"/>
      <c r="O1755" s="115"/>
      <c r="P1755" s="115"/>
      <c r="Q1755" s="115"/>
      <c r="R1755" s="115"/>
      <c r="S1755" s="115"/>
      <c r="T1755" s="115"/>
      <c r="U1755" s="115"/>
      <c r="V1755" s="115"/>
      <c r="W1755" s="115"/>
      <c r="X1755" s="115"/>
      <c r="Y1755" s="115"/>
      <c r="Z1755" s="115"/>
      <c r="AA1755" s="115"/>
      <c r="AB1755" s="115"/>
      <c r="AC1755" s="115"/>
      <c r="AD1755" s="115"/>
      <c r="AE1755" s="115"/>
      <c r="AF1755" s="115"/>
      <c r="AG1755" s="115"/>
      <c r="AH1755" s="115"/>
      <c r="AI1755" s="115"/>
      <c r="AJ1755" s="115"/>
      <c r="AK1755" s="115"/>
      <c r="AL1755" s="115"/>
      <c r="AM1755" s="115"/>
      <c r="AN1755" s="115"/>
      <c r="AO1755" s="115"/>
      <c r="AP1755" s="115"/>
      <c r="AQ1755" s="115"/>
      <c r="AR1755" s="115"/>
      <c r="AS1755" s="115"/>
      <c r="AT1755" s="115"/>
      <c r="AU1755" s="115"/>
      <c r="AV1755" s="115"/>
      <c r="AW1755" s="115"/>
      <c r="AX1755" s="115"/>
      <c r="AY1755" s="115"/>
      <c r="AZ1755" s="115"/>
      <c r="BA1755" s="115"/>
      <c r="BB1755" s="115"/>
      <c r="BC1755" s="115"/>
      <c r="BD1755" s="115"/>
      <c r="BE1755" s="115"/>
      <c r="BF1755" s="122"/>
      <c r="BG1755" s="122"/>
      <c r="BH1755" s="122"/>
      <c r="BI1755" s="115"/>
      <c r="BJ1755" s="115"/>
      <c r="BK1755" s="115"/>
      <c r="BL1755" s="115"/>
      <c r="BM1755" s="115"/>
      <c r="BN1755" s="115"/>
      <c r="BO1755" s="115"/>
      <c r="BP1755" s="115"/>
      <c r="BQ1755" s="115"/>
      <c r="BR1755" s="115"/>
      <c r="BS1755" s="115"/>
      <c r="BT1755" s="115"/>
      <c r="BU1755" s="115"/>
      <c r="BV1755" s="115"/>
      <c r="BW1755" s="17"/>
      <c r="BX1755" s="15"/>
      <c r="CB1755" s="117"/>
      <c r="CC1755" s="116"/>
      <c r="CD1755" s="116"/>
      <c r="CE1755" s="116"/>
    </row>
    <row r="1756" spans="1:83" ht="19.5" x14ac:dyDescent="0.4">
      <c r="BW1756" s="26"/>
      <c r="BX1756" s="15"/>
      <c r="CB1756" s="117"/>
      <c r="CC1756" s="116"/>
      <c r="CD1756" s="116"/>
      <c r="CE1756" s="116"/>
    </row>
    <row r="1757" spans="1:83" ht="19.5" x14ac:dyDescent="0.4">
      <c r="BC1757" s="115"/>
      <c r="BD1757" s="115"/>
      <c r="BE1757" s="115"/>
      <c r="BF1757" s="122"/>
      <c r="BG1757" s="122"/>
      <c r="BH1757" s="122"/>
      <c r="BI1757" s="115"/>
      <c r="BJ1757" s="115"/>
      <c r="BK1757" s="115"/>
      <c r="BL1757" s="115"/>
      <c r="BM1757" s="115"/>
      <c r="BN1757" s="115"/>
      <c r="BO1757" s="115"/>
      <c r="BP1757" s="115"/>
      <c r="BQ1757" s="115"/>
      <c r="BR1757" s="115"/>
      <c r="BS1757" s="115"/>
      <c r="BT1757" s="115"/>
      <c r="BU1757" s="115"/>
      <c r="BV1757" s="115"/>
      <c r="BW1757" s="17"/>
      <c r="BX1757" s="13"/>
      <c r="CB1757" s="117"/>
      <c r="CC1757" s="116"/>
      <c r="CD1757" s="116"/>
      <c r="CE1757" s="116"/>
    </row>
    <row r="1758" spans="1:83" ht="19.5" x14ac:dyDescent="0.4">
      <c r="BC1758" s="115"/>
      <c r="BD1758" s="115"/>
      <c r="BE1758" s="115"/>
      <c r="BF1758" s="122"/>
      <c r="BG1758" s="122"/>
      <c r="BH1758" s="122"/>
      <c r="BI1758" s="115"/>
      <c r="BJ1758" s="115"/>
      <c r="BK1758" s="115"/>
      <c r="BL1758" s="115"/>
      <c r="BM1758" s="115"/>
      <c r="BN1758" s="115"/>
      <c r="BO1758" s="115"/>
      <c r="BP1758" s="115"/>
      <c r="BQ1758" s="115"/>
      <c r="BR1758" s="115"/>
      <c r="BS1758" s="115"/>
      <c r="BT1758" s="115"/>
      <c r="BU1758" s="115"/>
      <c r="BV1758" s="115"/>
      <c r="BW1758" s="17"/>
      <c r="BX1758" s="13"/>
      <c r="CB1758" s="117"/>
      <c r="CC1758" s="116"/>
      <c r="CD1758" s="116"/>
      <c r="CE1758" s="116"/>
    </row>
    <row r="1759" spans="1:83" ht="19.5" x14ac:dyDescent="0.4">
      <c r="BW1759" s="26"/>
      <c r="BX1759" s="13"/>
      <c r="CB1759" s="117"/>
      <c r="CC1759" s="116"/>
      <c r="CD1759" s="116"/>
      <c r="CE1759" s="116"/>
    </row>
    <row r="1760" spans="1:83" ht="19.5" x14ac:dyDescent="0.4">
      <c r="BW1760" s="26"/>
      <c r="BX1760" s="13"/>
      <c r="CB1760" s="116"/>
      <c r="CC1760" s="116"/>
      <c r="CD1760" s="116"/>
      <c r="CE1760" s="116"/>
    </row>
    <row r="1761" spans="1:83" ht="19.5" x14ac:dyDescent="0.4">
      <c r="D1761" s="115"/>
      <c r="E1761" s="115"/>
      <c r="F1761" s="115"/>
      <c r="G1761" s="115"/>
      <c r="H1761" s="115"/>
      <c r="I1761" s="115"/>
      <c r="J1761" s="115"/>
      <c r="K1761" s="115"/>
      <c r="L1761" s="115"/>
      <c r="M1761" s="115"/>
      <c r="N1761" s="115"/>
      <c r="O1761" s="115"/>
      <c r="P1761" s="115"/>
      <c r="Q1761" s="115"/>
      <c r="R1761" s="115"/>
      <c r="S1761" s="115"/>
      <c r="T1761" s="115"/>
      <c r="U1761" s="115"/>
      <c r="V1761" s="115"/>
      <c r="W1761" s="115"/>
      <c r="X1761" s="115"/>
      <c r="Y1761" s="115"/>
      <c r="Z1761" s="115"/>
      <c r="AA1761" s="115"/>
      <c r="AB1761" s="115"/>
      <c r="AC1761" s="115"/>
      <c r="AD1761" s="115"/>
      <c r="AE1761" s="115"/>
      <c r="AF1761" s="115"/>
      <c r="AG1761" s="115"/>
      <c r="AH1761" s="115"/>
      <c r="AI1761" s="115"/>
      <c r="AJ1761" s="115"/>
      <c r="AK1761" s="115"/>
      <c r="AL1761" s="115"/>
      <c r="AM1761" s="115"/>
      <c r="AN1761" s="115"/>
      <c r="AO1761" s="115"/>
      <c r="AP1761" s="115"/>
      <c r="AQ1761" s="115"/>
      <c r="AR1761" s="115"/>
      <c r="AS1761" s="115"/>
      <c r="AT1761" s="115"/>
      <c r="AU1761" s="115"/>
      <c r="AV1761" s="115"/>
      <c r="AW1761" s="115"/>
      <c r="AX1761" s="115"/>
      <c r="AY1761" s="115"/>
      <c r="AZ1761" s="115"/>
      <c r="BA1761" s="115"/>
      <c r="BB1761" s="115"/>
      <c r="BC1761" s="115"/>
      <c r="BD1761" s="115"/>
      <c r="BE1761" s="115"/>
      <c r="BF1761" s="122"/>
      <c r="BG1761" s="122"/>
      <c r="BH1761" s="122"/>
      <c r="BI1761" s="115"/>
      <c r="BJ1761" s="115"/>
      <c r="BK1761" s="115"/>
      <c r="BL1761" s="115"/>
      <c r="BM1761" s="115"/>
      <c r="BN1761" s="115"/>
      <c r="BO1761" s="115"/>
      <c r="BP1761" s="115"/>
      <c r="BQ1761" s="115"/>
      <c r="BR1761" s="115"/>
      <c r="BS1761" s="115"/>
      <c r="BT1761" s="115"/>
      <c r="BU1761" s="115"/>
      <c r="BV1761" s="115"/>
      <c r="BW1761" s="26"/>
      <c r="BX1761" s="13"/>
      <c r="CB1761" s="118"/>
      <c r="CC1761" s="118"/>
      <c r="CD1761" s="118"/>
      <c r="CE1761" s="118"/>
    </row>
    <row r="1762" spans="1:83" ht="19.5" x14ac:dyDescent="0.4">
      <c r="D1762" s="115"/>
      <c r="E1762" s="115"/>
      <c r="F1762" s="115"/>
      <c r="G1762" s="115"/>
      <c r="H1762" s="115"/>
      <c r="I1762" s="115"/>
      <c r="J1762" s="115"/>
      <c r="K1762" s="115"/>
      <c r="L1762" s="115"/>
      <c r="M1762" s="115"/>
      <c r="N1762" s="115"/>
      <c r="O1762" s="115"/>
      <c r="P1762" s="115"/>
      <c r="Q1762" s="115"/>
      <c r="R1762" s="115"/>
      <c r="S1762" s="115"/>
      <c r="T1762" s="115"/>
      <c r="U1762" s="115"/>
      <c r="V1762" s="115"/>
      <c r="W1762" s="115"/>
      <c r="X1762" s="115"/>
      <c r="Y1762" s="115"/>
      <c r="Z1762" s="115"/>
      <c r="AA1762" s="115"/>
      <c r="AB1762" s="115"/>
      <c r="AC1762" s="115"/>
      <c r="AD1762" s="115"/>
      <c r="AE1762" s="115"/>
      <c r="AF1762" s="115"/>
      <c r="AG1762" s="115"/>
      <c r="AH1762" s="115"/>
      <c r="AI1762" s="115"/>
      <c r="AJ1762" s="115"/>
      <c r="AK1762" s="115"/>
      <c r="AL1762" s="115"/>
      <c r="AM1762" s="115"/>
      <c r="AN1762" s="115"/>
      <c r="AO1762" s="115"/>
      <c r="AP1762" s="115"/>
      <c r="AQ1762" s="115"/>
      <c r="AR1762" s="115"/>
      <c r="AS1762" s="115"/>
      <c r="AT1762" s="115"/>
      <c r="AU1762" s="115"/>
      <c r="AV1762" s="115"/>
      <c r="AW1762" s="115"/>
      <c r="AX1762" s="115"/>
      <c r="AY1762" s="115"/>
      <c r="AZ1762" s="115"/>
      <c r="BA1762" s="115"/>
      <c r="BB1762" s="115"/>
      <c r="BC1762" s="115"/>
      <c r="BD1762" s="115"/>
      <c r="BE1762" s="115"/>
      <c r="BF1762" s="122"/>
      <c r="BG1762" s="122"/>
      <c r="BH1762" s="122"/>
      <c r="BI1762" s="115"/>
      <c r="BJ1762" s="115"/>
      <c r="BK1762" s="115"/>
      <c r="BL1762" s="115"/>
      <c r="BM1762" s="115"/>
      <c r="BN1762" s="115"/>
      <c r="BO1762" s="115"/>
      <c r="BP1762" s="115"/>
      <c r="BQ1762" s="115"/>
      <c r="BR1762" s="115"/>
      <c r="BS1762" s="115"/>
      <c r="BT1762" s="115"/>
      <c r="BU1762" s="115"/>
      <c r="BV1762" s="115"/>
      <c r="BW1762" s="26"/>
      <c r="BX1762" s="13"/>
      <c r="CB1762" s="118"/>
      <c r="CC1762" s="118"/>
      <c r="CD1762" s="118"/>
      <c r="CE1762" s="118"/>
    </row>
    <row r="1763" spans="1:83" ht="19.5" x14ac:dyDescent="0.4">
      <c r="B1763" s="115"/>
      <c r="C1763" s="115"/>
      <c r="D1763" s="115"/>
      <c r="E1763" s="115"/>
      <c r="F1763" s="115"/>
      <c r="G1763" s="115"/>
      <c r="H1763" s="115"/>
      <c r="I1763" s="115"/>
      <c r="J1763" s="115"/>
      <c r="K1763" s="115"/>
      <c r="L1763" s="115"/>
      <c r="M1763" s="115"/>
      <c r="N1763" s="115"/>
      <c r="O1763" s="115"/>
      <c r="P1763" s="115"/>
      <c r="Q1763" s="115"/>
      <c r="R1763" s="115"/>
      <c r="S1763" s="115"/>
      <c r="T1763" s="115"/>
      <c r="U1763" s="115"/>
      <c r="V1763" s="115"/>
      <c r="W1763" s="115"/>
      <c r="X1763" s="115"/>
      <c r="Y1763" s="115"/>
      <c r="Z1763" s="115"/>
      <c r="AA1763" s="115"/>
      <c r="AB1763" s="115"/>
      <c r="AC1763" s="115"/>
      <c r="AD1763" s="115"/>
      <c r="AE1763" s="115"/>
      <c r="AF1763" s="115"/>
      <c r="AG1763" s="115"/>
      <c r="AH1763" s="115"/>
      <c r="AI1763" s="115"/>
      <c r="AJ1763" s="115"/>
      <c r="AK1763" s="115"/>
      <c r="AL1763" s="115"/>
      <c r="AM1763" s="115"/>
      <c r="AN1763" s="115"/>
      <c r="AO1763" s="115"/>
      <c r="AP1763" s="115"/>
      <c r="AQ1763" s="115"/>
      <c r="AR1763" s="115"/>
      <c r="AS1763" s="115"/>
      <c r="AT1763" s="115"/>
      <c r="AU1763" s="115"/>
      <c r="AV1763" s="115"/>
      <c r="AW1763" s="115"/>
      <c r="AX1763" s="115"/>
      <c r="AY1763" s="115"/>
      <c r="AZ1763" s="115"/>
      <c r="BA1763" s="115"/>
      <c r="BB1763" s="115"/>
      <c r="BC1763" s="115"/>
      <c r="BD1763" s="115"/>
      <c r="BE1763" s="115"/>
      <c r="BF1763" s="122"/>
      <c r="BG1763" s="122"/>
      <c r="BH1763" s="122"/>
      <c r="BI1763" s="115"/>
      <c r="BJ1763" s="115"/>
      <c r="BK1763" s="115"/>
      <c r="BL1763" s="115"/>
      <c r="BM1763" s="115"/>
      <c r="BN1763" s="115"/>
      <c r="BO1763" s="115"/>
      <c r="BP1763" s="115"/>
      <c r="BQ1763" s="115"/>
      <c r="BR1763" s="115"/>
      <c r="BS1763" s="115"/>
      <c r="BT1763" s="115"/>
      <c r="BU1763" s="115"/>
      <c r="BV1763" s="115"/>
      <c r="BW1763" s="26"/>
      <c r="BX1763" s="13"/>
      <c r="CB1763" s="118"/>
      <c r="CC1763" s="118"/>
      <c r="CD1763" s="118"/>
      <c r="CE1763" s="118"/>
    </row>
    <row r="1764" spans="1:83" ht="19.5" x14ac:dyDescent="0.4">
      <c r="B1764" s="115"/>
      <c r="C1764" s="115"/>
      <c r="D1764" s="115"/>
      <c r="E1764" s="115"/>
      <c r="F1764" s="115"/>
      <c r="G1764" s="115"/>
      <c r="H1764" s="115"/>
      <c r="I1764" s="115"/>
      <c r="J1764" s="115"/>
      <c r="K1764" s="115"/>
      <c r="L1764" s="115"/>
      <c r="M1764" s="115"/>
      <c r="N1764" s="115"/>
      <c r="O1764" s="115"/>
      <c r="P1764" s="115"/>
      <c r="Q1764" s="115"/>
      <c r="R1764" s="115"/>
      <c r="S1764" s="115"/>
      <c r="T1764" s="115"/>
      <c r="U1764" s="115"/>
      <c r="V1764" s="115"/>
      <c r="W1764" s="115"/>
      <c r="X1764" s="115"/>
      <c r="Y1764" s="115"/>
      <c r="Z1764" s="115"/>
      <c r="AA1764" s="115"/>
      <c r="AB1764" s="115"/>
      <c r="AC1764" s="115"/>
      <c r="AD1764" s="115"/>
      <c r="AE1764" s="115"/>
      <c r="AF1764" s="115"/>
      <c r="AG1764" s="115"/>
      <c r="AH1764" s="115"/>
      <c r="AI1764" s="115"/>
      <c r="AJ1764" s="115"/>
      <c r="AK1764" s="115"/>
      <c r="AL1764" s="115"/>
      <c r="AM1764" s="115"/>
      <c r="AN1764" s="115"/>
      <c r="AO1764" s="115"/>
      <c r="AP1764" s="115"/>
      <c r="AQ1764" s="115"/>
      <c r="AR1764" s="115"/>
      <c r="AS1764" s="115"/>
      <c r="AT1764" s="115"/>
      <c r="AU1764" s="115"/>
      <c r="AV1764" s="115"/>
      <c r="AW1764" s="115"/>
      <c r="AX1764" s="115"/>
      <c r="AY1764" s="115"/>
      <c r="AZ1764" s="115"/>
      <c r="BA1764" s="115"/>
      <c r="BB1764" s="115"/>
      <c r="BC1764" s="115"/>
      <c r="BD1764" s="115"/>
      <c r="BE1764" s="115"/>
      <c r="BF1764" s="122"/>
      <c r="BG1764" s="122"/>
      <c r="BH1764" s="122"/>
      <c r="BI1764" s="115"/>
      <c r="BJ1764" s="115"/>
      <c r="BK1764" s="115"/>
      <c r="BL1764" s="115"/>
      <c r="BM1764" s="115"/>
      <c r="BN1764" s="115"/>
      <c r="BO1764" s="115"/>
      <c r="BP1764" s="115"/>
      <c r="BQ1764" s="115"/>
      <c r="BR1764" s="115"/>
      <c r="BS1764" s="115"/>
      <c r="BT1764" s="115"/>
      <c r="BU1764" s="115"/>
      <c r="BV1764" s="115"/>
      <c r="BW1764" s="26"/>
      <c r="BX1764" s="15"/>
      <c r="CB1764" s="118"/>
      <c r="CC1764" s="118"/>
      <c r="CD1764" s="118"/>
      <c r="CE1764" s="118"/>
    </row>
    <row r="1765" spans="1:83" ht="19.5" x14ac:dyDescent="0.4">
      <c r="B1765" s="115"/>
      <c r="C1765" s="115"/>
      <c r="D1765" s="115"/>
      <c r="E1765" s="115"/>
      <c r="F1765" s="115"/>
      <c r="G1765" s="115"/>
      <c r="H1765" s="115"/>
      <c r="I1765" s="115"/>
      <c r="J1765" s="115"/>
      <c r="K1765" s="115"/>
      <c r="L1765" s="115"/>
      <c r="M1765" s="115"/>
      <c r="N1765" s="115"/>
      <c r="O1765" s="115"/>
      <c r="P1765" s="115"/>
      <c r="Q1765" s="115"/>
      <c r="R1765" s="115"/>
      <c r="S1765" s="115"/>
      <c r="T1765" s="115"/>
      <c r="U1765" s="115"/>
      <c r="V1765" s="115"/>
      <c r="W1765" s="115"/>
      <c r="X1765" s="115"/>
      <c r="Y1765" s="115"/>
      <c r="Z1765" s="115"/>
      <c r="AA1765" s="115"/>
      <c r="AB1765" s="115"/>
      <c r="AC1765" s="115"/>
      <c r="AD1765" s="115"/>
      <c r="AE1765" s="115"/>
      <c r="AF1765" s="115"/>
      <c r="AG1765" s="115"/>
      <c r="AH1765" s="115"/>
      <c r="AI1765" s="115"/>
      <c r="AJ1765" s="115"/>
      <c r="AK1765" s="115"/>
      <c r="AL1765" s="115"/>
      <c r="AM1765" s="115"/>
      <c r="AN1765" s="115"/>
      <c r="AO1765" s="115"/>
      <c r="AP1765" s="115"/>
      <c r="AQ1765" s="115"/>
      <c r="AR1765" s="115"/>
      <c r="AS1765" s="115"/>
      <c r="AT1765" s="115"/>
      <c r="AU1765" s="115"/>
      <c r="AV1765" s="115"/>
      <c r="AW1765" s="115"/>
      <c r="AX1765" s="115"/>
      <c r="AY1765" s="115"/>
      <c r="AZ1765" s="115"/>
      <c r="BA1765" s="115"/>
      <c r="BB1765" s="115"/>
      <c r="BC1765" s="115"/>
      <c r="BD1765" s="115"/>
      <c r="BE1765" s="115"/>
      <c r="BF1765" s="122"/>
      <c r="BG1765" s="122"/>
      <c r="BH1765" s="122"/>
      <c r="BI1765" s="115"/>
      <c r="BJ1765" s="115"/>
      <c r="BK1765" s="115"/>
      <c r="BL1765" s="115"/>
      <c r="BM1765" s="115"/>
      <c r="BN1765" s="115"/>
      <c r="BO1765" s="115"/>
      <c r="BP1765" s="115"/>
      <c r="BQ1765" s="115"/>
      <c r="BR1765" s="115"/>
      <c r="BS1765" s="115"/>
      <c r="BT1765" s="115"/>
      <c r="BU1765" s="115"/>
      <c r="BV1765" s="115"/>
      <c r="BW1765" s="26"/>
      <c r="BX1765" s="15"/>
      <c r="CB1765" s="118"/>
      <c r="CC1765" s="118"/>
      <c r="CD1765" s="118"/>
      <c r="CE1765" s="118"/>
    </row>
    <row r="1766" spans="1:83" ht="19.5" x14ac:dyDescent="0.4">
      <c r="A1766" s="115"/>
      <c r="B1766" s="115"/>
      <c r="C1766" s="115"/>
      <c r="D1766" s="115"/>
      <c r="E1766" s="115"/>
      <c r="F1766" s="115"/>
      <c r="G1766" s="115"/>
      <c r="H1766" s="115"/>
      <c r="I1766" s="115"/>
      <c r="J1766" s="115"/>
      <c r="K1766" s="115"/>
      <c r="L1766" s="115"/>
      <c r="M1766" s="115"/>
      <c r="N1766" s="115"/>
      <c r="O1766" s="115"/>
      <c r="P1766" s="115"/>
      <c r="Q1766" s="115"/>
      <c r="R1766" s="115"/>
      <c r="S1766" s="115"/>
      <c r="T1766" s="115"/>
      <c r="U1766" s="115"/>
      <c r="V1766" s="115"/>
      <c r="W1766" s="115"/>
      <c r="X1766" s="115"/>
      <c r="Y1766" s="115"/>
      <c r="Z1766" s="115"/>
      <c r="AA1766" s="115"/>
      <c r="AB1766" s="115"/>
      <c r="AC1766" s="115"/>
      <c r="AD1766" s="115"/>
      <c r="AE1766" s="115"/>
      <c r="AF1766" s="115"/>
      <c r="AG1766" s="115"/>
      <c r="AH1766" s="115"/>
      <c r="AI1766" s="115"/>
      <c r="AJ1766" s="115"/>
      <c r="AK1766" s="115"/>
      <c r="AL1766" s="115"/>
      <c r="AM1766" s="115"/>
      <c r="AN1766" s="115"/>
      <c r="AO1766" s="115"/>
      <c r="AP1766" s="115"/>
      <c r="AQ1766" s="115"/>
      <c r="AR1766" s="115"/>
      <c r="AS1766" s="115"/>
      <c r="AT1766" s="115"/>
      <c r="AU1766" s="115"/>
      <c r="AV1766" s="115"/>
      <c r="AW1766" s="115"/>
      <c r="AX1766" s="115"/>
      <c r="AY1766" s="115"/>
      <c r="AZ1766" s="115"/>
      <c r="BA1766" s="115"/>
      <c r="BB1766" s="115"/>
      <c r="BC1766" s="115"/>
      <c r="BD1766" s="115"/>
      <c r="BE1766" s="115"/>
      <c r="BF1766" s="122"/>
      <c r="BG1766" s="122"/>
      <c r="BH1766" s="122"/>
      <c r="BI1766" s="115"/>
      <c r="BJ1766" s="115"/>
      <c r="BK1766" s="115"/>
      <c r="BL1766" s="115"/>
      <c r="BM1766" s="115"/>
      <c r="BN1766" s="115"/>
      <c r="BO1766" s="115"/>
      <c r="BP1766" s="115"/>
      <c r="BQ1766" s="115"/>
      <c r="BR1766" s="115"/>
      <c r="BS1766" s="115"/>
      <c r="BT1766" s="115"/>
      <c r="BU1766" s="115"/>
      <c r="BV1766" s="115"/>
      <c r="BW1766" s="26"/>
      <c r="BX1766" s="15"/>
      <c r="CB1766" s="118"/>
      <c r="CC1766" s="118"/>
      <c r="CD1766" s="118"/>
      <c r="CE1766" s="118"/>
    </row>
    <row r="1767" spans="1:83" ht="19.5" x14ac:dyDescent="0.4">
      <c r="A1767" s="115"/>
      <c r="B1767" s="115"/>
      <c r="C1767" s="115"/>
      <c r="D1767" s="115"/>
      <c r="E1767" s="115"/>
      <c r="F1767" s="115"/>
      <c r="G1767" s="115"/>
      <c r="H1767" s="115"/>
      <c r="I1767" s="115"/>
      <c r="J1767" s="115"/>
      <c r="K1767" s="115"/>
      <c r="L1767" s="115"/>
      <c r="M1767" s="115"/>
      <c r="N1767" s="115"/>
      <c r="O1767" s="115"/>
      <c r="P1767" s="115"/>
      <c r="Q1767" s="115"/>
      <c r="R1767" s="115"/>
      <c r="S1767" s="115"/>
      <c r="T1767" s="115"/>
      <c r="U1767" s="115"/>
      <c r="V1767" s="115"/>
      <c r="W1767" s="115"/>
      <c r="X1767" s="115"/>
      <c r="Y1767" s="115"/>
      <c r="Z1767" s="115"/>
      <c r="AA1767" s="115"/>
      <c r="AB1767" s="115"/>
      <c r="AC1767" s="115"/>
      <c r="AD1767" s="115"/>
      <c r="AE1767" s="115"/>
      <c r="AF1767" s="115"/>
      <c r="AG1767" s="115"/>
      <c r="AH1767" s="115"/>
      <c r="AI1767" s="115"/>
      <c r="AJ1767" s="115"/>
      <c r="AK1767" s="115"/>
      <c r="AL1767" s="115"/>
      <c r="AM1767" s="115"/>
      <c r="AN1767" s="115"/>
      <c r="AO1767" s="115"/>
      <c r="AP1767" s="115"/>
      <c r="AQ1767" s="115"/>
      <c r="AR1767" s="115"/>
      <c r="AS1767" s="115"/>
      <c r="AT1767" s="115"/>
      <c r="AU1767" s="115"/>
      <c r="AV1767" s="115"/>
      <c r="AW1767" s="115"/>
      <c r="AX1767" s="115"/>
      <c r="AY1767" s="115"/>
      <c r="AZ1767" s="115"/>
      <c r="BA1767" s="115"/>
      <c r="BB1767" s="115"/>
      <c r="BC1767" s="115"/>
      <c r="BD1767" s="115"/>
      <c r="BE1767" s="115"/>
      <c r="BF1767" s="122"/>
      <c r="BG1767" s="122"/>
      <c r="BH1767" s="122"/>
      <c r="BI1767" s="115"/>
      <c r="BJ1767" s="115"/>
      <c r="BK1767" s="115"/>
      <c r="BL1767" s="115"/>
      <c r="BM1767" s="115"/>
      <c r="BN1767" s="115"/>
      <c r="BO1767" s="115"/>
      <c r="BP1767" s="115"/>
      <c r="BQ1767" s="115"/>
      <c r="BR1767" s="115"/>
      <c r="BS1767" s="115"/>
      <c r="BT1767" s="115"/>
      <c r="BU1767" s="115"/>
      <c r="BV1767" s="115"/>
      <c r="BW1767" s="26"/>
      <c r="BX1767" s="15"/>
      <c r="CB1767" s="118"/>
      <c r="CC1767" s="118"/>
      <c r="CD1767" s="118"/>
      <c r="CE1767" s="118"/>
    </row>
    <row r="1768" spans="1:83" ht="20.25" customHeight="1" x14ac:dyDescent="0.4">
      <c r="A1768" s="115"/>
      <c r="B1768" s="115"/>
      <c r="C1768" s="115"/>
      <c r="D1768" s="115"/>
      <c r="E1768" s="115"/>
      <c r="F1768" s="115"/>
      <c r="G1768" s="115"/>
      <c r="H1768" s="115"/>
      <c r="I1768" s="115"/>
      <c r="J1768" s="115"/>
      <c r="K1768" s="115"/>
      <c r="L1768" s="115"/>
      <c r="M1768" s="115"/>
      <c r="N1768" s="115"/>
      <c r="O1768" s="115"/>
      <c r="P1768" s="115"/>
      <c r="Q1768" s="115"/>
      <c r="R1768" s="115"/>
      <c r="S1768" s="115"/>
      <c r="T1768" s="115"/>
      <c r="U1768" s="115"/>
      <c r="V1768" s="115"/>
      <c r="W1768" s="115"/>
      <c r="X1768" s="115"/>
      <c r="Y1768" s="115"/>
      <c r="Z1768" s="115"/>
      <c r="AA1768" s="115"/>
      <c r="AB1768" s="115"/>
      <c r="AC1768" s="115"/>
      <c r="AD1768" s="115"/>
      <c r="AE1768" s="115"/>
      <c r="AF1768" s="115"/>
      <c r="AG1768" s="115"/>
      <c r="AH1768" s="115"/>
      <c r="AI1768" s="115"/>
      <c r="AJ1768" s="115"/>
      <c r="AK1768" s="115"/>
      <c r="AL1768" s="115"/>
      <c r="AM1768" s="115"/>
      <c r="AN1768" s="115"/>
      <c r="AO1768" s="115"/>
      <c r="AP1768" s="115"/>
      <c r="AQ1768" s="115"/>
      <c r="AR1768" s="115"/>
      <c r="AS1768" s="115"/>
      <c r="AT1768" s="115"/>
      <c r="AU1768" s="115"/>
      <c r="AV1768" s="115"/>
      <c r="AW1768" s="115"/>
      <c r="AX1768" s="115"/>
      <c r="AY1768" s="115"/>
      <c r="AZ1768" s="115"/>
      <c r="BA1768" s="115"/>
      <c r="BB1768" s="115"/>
      <c r="BC1768" s="115"/>
      <c r="BD1768" s="115"/>
      <c r="BE1768" s="115"/>
      <c r="BF1768" s="122"/>
      <c r="BG1768" s="122"/>
      <c r="BH1768" s="122"/>
      <c r="BI1768" s="115"/>
      <c r="BJ1768" s="115"/>
      <c r="BK1768" s="115"/>
      <c r="BL1768" s="115"/>
      <c r="BM1768" s="115"/>
      <c r="BN1768" s="115"/>
      <c r="BO1768" s="115"/>
      <c r="BP1768" s="115"/>
      <c r="BQ1768" s="115"/>
      <c r="BR1768" s="115"/>
      <c r="BS1768" s="115"/>
      <c r="BT1768" s="115"/>
      <c r="BU1768" s="115"/>
      <c r="BV1768" s="115"/>
      <c r="BW1768" s="26"/>
      <c r="BX1768" s="15"/>
      <c r="CB1768" s="118"/>
      <c r="CC1768" s="118"/>
      <c r="CD1768" s="118"/>
      <c r="CE1768" s="118"/>
    </row>
    <row r="1769" spans="1:83" x14ac:dyDescent="0.4">
      <c r="BW1769" s="26"/>
      <c r="BX1769" s="15"/>
    </row>
    <row r="1770" spans="1:83" x14ac:dyDescent="0.4">
      <c r="BW1770" s="26"/>
      <c r="BX1770" s="13"/>
    </row>
    <row r="1771" spans="1:83" x14ac:dyDescent="0.4">
      <c r="BA1771" s="115"/>
      <c r="BB1771" s="115"/>
      <c r="BC1771" s="115"/>
      <c r="BD1771" s="115"/>
      <c r="BE1771" s="115"/>
      <c r="BF1771" s="122"/>
      <c r="BG1771" s="122"/>
      <c r="BH1771" s="122"/>
      <c r="BI1771" s="115"/>
      <c r="BJ1771" s="115"/>
      <c r="BK1771" s="115"/>
      <c r="BL1771" s="115"/>
      <c r="BM1771" s="115"/>
      <c r="BN1771" s="115"/>
      <c r="BO1771" s="115"/>
      <c r="BP1771" s="115"/>
      <c r="BQ1771" s="115"/>
      <c r="BR1771" s="115"/>
      <c r="BS1771" s="115"/>
      <c r="BT1771" s="115"/>
      <c r="BU1771" s="115"/>
      <c r="BV1771" s="115"/>
      <c r="BW1771" s="26"/>
      <c r="BX1771" s="13"/>
    </row>
    <row r="1772" spans="1:83" x14ac:dyDescent="0.4">
      <c r="BA1772" s="115"/>
      <c r="BB1772" s="115"/>
      <c r="BC1772" s="115"/>
      <c r="BD1772" s="115"/>
      <c r="BE1772" s="115"/>
      <c r="BF1772" s="122"/>
      <c r="BG1772" s="122"/>
      <c r="BH1772" s="122"/>
      <c r="BI1772" s="115"/>
      <c r="BJ1772" s="115"/>
      <c r="BK1772" s="115"/>
      <c r="BL1772" s="115"/>
      <c r="BM1772" s="115"/>
      <c r="BN1772" s="115"/>
      <c r="BO1772" s="115"/>
      <c r="BP1772" s="115"/>
      <c r="BQ1772" s="115"/>
      <c r="BR1772" s="115"/>
      <c r="BS1772" s="115"/>
      <c r="BT1772" s="115"/>
      <c r="BU1772" s="115"/>
      <c r="BV1772" s="115"/>
      <c r="BW1772" s="17"/>
      <c r="BX1772" s="13"/>
    </row>
    <row r="1773" spans="1:83" x14ac:dyDescent="0.4">
      <c r="C1773" s="115"/>
      <c r="D1773" s="115"/>
      <c r="E1773" s="115"/>
      <c r="F1773" s="115"/>
      <c r="G1773" s="115"/>
      <c r="H1773" s="115"/>
      <c r="I1773" s="115"/>
      <c r="J1773" s="115"/>
      <c r="K1773" s="115"/>
      <c r="L1773" s="115"/>
      <c r="M1773" s="115"/>
      <c r="N1773" s="115"/>
      <c r="O1773" s="115"/>
      <c r="P1773" s="115"/>
      <c r="Q1773" s="115"/>
      <c r="R1773" s="115"/>
      <c r="S1773" s="115"/>
      <c r="T1773" s="115"/>
      <c r="U1773" s="115"/>
      <c r="V1773" s="115"/>
      <c r="W1773" s="115"/>
      <c r="X1773" s="115"/>
      <c r="Y1773" s="115"/>
      <c r="Z1773" s="115"/>
      <c r="AA1773" s="115"/>
      <c r="AB1773" s="115"/>
      <c r="AC1773" s="115"/>
      <c r="AD1773" s="115"/>
      <c r="AE1773" s="115"/>
      <c r="AF1773" s="115"/>
      <c r="AG1773" s="115"/>
      <c r="AH1773" s="115"/>
      <c r="AI1773" s="115"/>
      <c r="AJ1773" s="115"/>
      <c r="AK1773" s="115"/>
      <c r="AL1773" s="115"/>
      <c r="AM1773" s="115"/>
      <c r="AN1773" s="115"/>
      <c r="AO1773" s="115"/>
      <c r="AP1773" s="115"/>
      <c r="AQ1773" s="115"/>
      <c r="AR1773" s="115"/>
      <c r="AS1773" s="115"/>
      <c r="AT1773" s="115"/>
      <c r="AU1773" s="115"/>
      <c r="AV1773" s="115"/>
      <c r="AW1773" s="115"/>
      <c r="AX1773" s="115"/>
      <c r="AY1773" s="115"/>
      <c r="AZ1773" s="115"/>
      <c r="BA1773" s="115"/>
      <c r="BB1773" s="115"/>
      <c r="BC1773" s="115"/>
      <c r="BD1773" s="115"/>
      <c r="BE1773" s="115"/>
      <c r="BF1773" s="122"/>
      <c r="BG1773" s="122"/>
      <c r="BH1773" s="122"/>
      <c r="BI1773" s="115"/>
      <c r="BJ1773" s="115"/>
      <c r="BK1773" s="115"/>
      <c r="BL1773" s="115"/>
      <c r="BM1773" s="115"/>
      <c r="BN1773" s="115"/>
      <c r="BO1773" s="115"/>
      <c r="BP1773" s="115"/>
      <c r="BQ1773" s="115"/>
      <c r="BR1773" s="115"/>
      <c r="BS1773" s="115"/>
      <c r="BT1773" s="115"/>
      <c r="BU1773" s="115"/>
      <c r="BV1773" s="115"/>
      <c r="BW1773" s="26"/>
      <c r="BX1773" s="13"/>
    </row>
    <row r="1774" spans="1:83" x14ac:dyDescent="0.4">
      <c r="C1774" s="115"/>
      <c r="D1774" s="115"/>
      <c r="E1774" s="115"/>
      <c r="F1774" s="115"/>
      <c r="G1774" s="115"/>
      <c r="H1774" s="115"/>
      <c r="I1774" s="115"/>
      <c r="J1774" s="115"/>
      <c r="K1774" s="115"/>
      <c r="L1774" s="115"/>
      <c r="M1774" s="115"/>
      <c r="N1774" s="115"/>
      <c r="O1774" s="115"/>
      <c r="P1774" s="115"/>
      <c r="Q1774" s="115"/>
      <c r="R1774" s="115"/>
      <c r="S1774" s="115"/>
      <c r="T1774" s="115"/>
      <c r="U1774" s="115"/>
      <c r="V1774" s="115"/>
      <c r="W1774" s="115"/>
      <c r="X1774" s="115"/>
      <c r="Y1774" s="115"/>
      <c r="Z1774" s="115"/>
      <c r="AA1774" s="115"/>
      <c r="AB1774" s="115"/>
      <c r="AC1774" s="115"/>
      <c r="AD1774" s="115"/>
      <c r="AE1774" s="115"/>
      <c r="AF1774" s="115"/>
      <c r="AG1774" s="115"/>
      <c r="AH1774" s="115"/>
      <c r="AI1774" s="115"/>
      <c r="AJ1774" s="115"/>
      <c r="AK1774" s="115"/>
      <c r="AL1774" s="115"/>
      <c r="AM1774" s="115"/>
      <c r="AN1774" s="115"/>
      <c r="AO1774" s="115"/>
      <c r="AP1774" s="115"/>
      <c r="AQ1774" s="115"/>
      <c r="AR1774" s="115"/>
      <c r="AS1774" s="115"/>
      <c r="AT1774" s="115"/>
      <c r="AU1774" s="115"/>
      <c r="AV1774" s="115"/>
      <c r="AW1774" s="115"/>
      <c r="AX1774" s="115"/>
      <c r="AY1774" s="115"/>
      <c r="AZ1774" s="115"/>
      <c r="BA1774" s="115"/>
      <c r="BB1774" s="115"/>
      <c r="BC1774" s="115"/>
      <c r="BD1774" s="115"/>
      <c r="BE1774" s="115"/>
      <c r="BF1774" s="122"/>
      <c r="BG1774" s="122"/>
      <c r="BH1774" s="122"/>
      <c r="BI1774" s="115"/>
      <c r="BJ1774" s="115"/>
      <c r="BK1774" s="115"/>
      <c r="BL1774" s="115"/>
      <c r="BM1774" s="115"/>
      <c r="BN1774" s="115"/>
      <c r="BO1774" s="115"/>
      <c r="BP1774" s="115"/>
      <c r="BQ1774" s="115"/>
      <c r="BR1774" s="115"/>
      <c r="BS1774" s="115"/>
      <c r="BT1774" s="115"/>
      <c r="BU1774" s="115"/>
      <c r="BV1774" s="115"/>
      <c r="BW1774" s="26"/>
      <c r="BX1774" s="13"/>
    </row>
    <row r="1775" spans="1:83" x14ac:dyDescent="0.4">
      <c r="BW1775" s="26"/>
      <c r="BX1775" s="13"/>
    </row>
    <row r="1776" spans="1:83" x14ac:dyDescent="0.4">
      <c r="E1776" s="115"/>
      <c r="F1776" s="115"/>
      <c r="G1776" s="115"/>
      <c r="H1776" s="115"/>
      <c r="I1776" s="115"/>
      <c r="J1776" s="115"/>
      <c r="K1776" s="115"/>
      <c r="L1776" s="115"/>
      <c r="M1776" s="115"/>
      <c r="N1776" s="115"/>
      <c r="O1776" s="115"/>
      <c r="P1776" s="115"/>
      <c r="Q1776" s="115"/>
      <c r="R1776" s="115"/>
      <c r="S1776" s="115"/>
      <c r="T1776" s="115"/>
      <c r="U1776" s="115"/>
      <c r="V1776" s="115"/>
      <c r="W1776" s="115"/>
      <c r="X1776" s="115"/>
      <c r="Y1776" s="115"/>
      <c r="Z1776" s="115"/>
      <c r="AA1776" s="115"/>
      <c r="AB1776" s="115"/>
      <c r="AC1776" s="115"/>
      <c r="AD1776" s="115"/>
      <c r="AE1776" s="115"/>
      <c r="AF1776" s="115"/>
      <c r="AG1776" s="115"/>
      <c r="AH1776" s="115"/>
      <c r="AI1776" s="115"/>
      <c r="AJ1776" s="115"/>
      <c r="AK1776" s="115"/>
      <c r="AL1776" s="115"/>
      <c r="AM1776" s="115"/>
      <c r="AN1776" s="115"/>
      <c r="AO1776" s="115"/>
      <c r="AP1776" s="115"/>
      <c r="AQ1776" s="115"/>
      <c r="AR1776" s="115"/>
      <c r="AS1776" s="115"/>
      <c r="AT1776" s="115"/>
      <c r="AU1776" s="115"/>
      <c r="AV1776" s="115"/>
      <c r="AW1776" s="115"/>
      <c r="AX1776" s="115"/>
      <c r="AY1776" s="115"/>
      <c r="AZ1776" s="115"/>
      <c r="BA1776" s="115"/>
      <c r="BB1776" s="115"/>
      <c r="BC1776" s="115"/>
      <c r="BD1776" s="115"/>
      <c r="BE1776" s="115"/>
      <c r="BF1776" s="122"/>
      <c r="BG1776" s="122"/>
      <c r="BH1776" s="122"/>
      <c r="BI1776" s="115"/>
      <c r="BJ1776" s="115"/>
      <c r="BK1776" s="115"/>
      <c r="BL1776" s="115"/>
      <c r="BM1776" s="115"/>
      <c r="BN1776" s="115"/>
      <c r="BO1776" s="115"/>
      <c r="BP1776" s="115"/>
      <c r="BQ1776" s="115"/>
      <c r="BR1776" s="115"/>
      <c r="BS1776" s="115"/>
      <c r="BT1776" s="115"/>
      <c r="BU1776" s="115"/>
      <c r="BV1776" s="115"/>
      <c r="BW1776" s="26"/>
      <c r="BX1776" s="13"/>
    </row>
    <row r="1777" spans="1:76" x14ac:dyDescent="0.4">
      <c r="C1777" s="115"/>
      <c r="D1777" s="115"/>
      <c r="E1777" s="115"/>
      <c r="F1777" s="115"/>
      <c r="G1777" s="115"/>
      <c r="H1777" s="115"/>
      <c r="I1777" s="115"/>
      <c r="J1777" s="115"/>
      <c r="K1777" s="115"/>
      <c r="L1777" s="115"/>
      <c r="M1777" s="115"/>
      <c r="N1777" s="115"/>
      <c r="O1777" s="115"/>
      <c r="P1777" s="115"/>
      <c r="Q1777" s="115"/>
      <c r="R1777" s="115"/>
      <c r="S1777" s="115"/>
      <c r="T1777" s="115"/>
      <c r="U1777" s="115"/>
      <c r="V1777" s="115"/>
      <c r="W1777" s="115"/>
      <c r="X1777" s="115"/>
      <c r="Y1777" s="115"/>
      <c r="Z1777" s="115"/>
      <c r="AA1777" s="115"/>
      <c r="AB1777" s="115"/>
      <c r="AC1777" s="115"/>
      <c r="AD1777" s="115"/>
      <c r="AE1777" s="115"/>
      <c r="AF1777" s="115"/>
      <c r="AG1777" s="115"/>
      <c r="AH1777" s="115"/>
      <c r="AI1777" s="115"/>
      <c r="AJ1777" s="115"/>
      <c r="AK1777" s="115"/>
      <c r="AL1777" s="115"/>
      <c r="AM1777" s="115"/>
      <c r="AN1777" s="115"/>
      <c r="AO1777" s="115"/>
      <c r="AP1777" s="115"/>
      <c r="AQ1777" s="115"/>
      <c r="AR1777" s="115"/>
      <c r="AS1777" s="115"/>
      <c r="AT1777" s="115"/>
      <c r="AU1777" s="115"/>
      <c r="AV1777" s="115"/>
      <c r="AW1777" s="115"/>
      <c r="AX1777" s="115"/>
      <c r="AY1777" s="115"/>
      <c r="AZ1777" s="115"/>
      <c r="BA1777" s="115"/>
      <c r="BB1777" s="115"/>
      <c r="BC1777" s="115"/>
      <c r="BD1777" s="115"/>
      <c r="BE1777" s="115"/>
      <c r="BF1777" s="122"/>
      <c r="BG1777" s="122"/>
      <c r="BH1777" s="122"/>
      <c r="BI1777" s="115"/>
      <c r="BJ1777" s="115"/>
      <c r="BK1777" s="115"/>
      <c r="BL1777" s="115"/>
      <c r="BM1777" s="115"/>
      <c r="BN1777" s="115"/>
      <c r="BO1777" s="115"/>
      <c r="BP1777" s="115"/>
      <c r="BQ1777" s="115"/>
      <c r="BR1777" s="115"/>
      <c r="BS1777" s="115"/>
      <c r="BT1777" s="115"/>
      <c r="BU1777" s="115"/>
      <c r="BV1777" s="115"/>
      <c r="BW1777" s="26"/>
      <c r="BX1777" s="13"/>
    </row>
    <row r="1778" spans="1:76" x14ac:dyDescent="0.4">
      <c r="BW1778" s="26"/>
      <c r="BX1778" s="13"/>
    </row>
    <row r="1779" spans="1:76" x14ac:dyDescent="0.4">
      <c r="C1779" s="115"/>
      <c r="D1779" s="115"/>
      <c r="E1779" s="115"/>
      <c r="F1779" s="115"/>
      <c r="G1779" s="115"/>
      <c r="H1779" s="115"/>
      <c r="I1779" s="115"/>
      <c r="J1779" s="115"/>
      <c r="K1779" s="115"/>
      <c r="L1779" s="115"/>
      <c r="M1779" s="115"/>
      <c r="N1779" s="115"/>
      <c r="O1779" s="115"/>
      <c r="P1779" s="115"/>
      <c r="Q1779" s="115"/>
      <c r="R1779" s="115"/>
      <c r="S1779" s="115"/>
      <c r="T1779" s="115"/>
      <c r="U1779" s="115"/>
      <c r="V1779" s="115"/>
      <c r="W1779" s="115"/>
      <c r="X1779" s="115"/>
      <c r="Y1779" s="115"/>
      <c r="Z1779" s="115"/>
      <c r="AA1779" s="115"/>
      <c r="AB1779" s="115"/>
      <c r="AC1779" s="115"/>
      <c r="AD1779" s="115"/>
      <c r="AE1779" s="115"/>
      <c r="AF1779" s="115"/>
      <c r="AG1779" s="115"/>
      <c r="AH1779" s="115"/>
      <c r="AI1779" s="115"/>
      <c r="AJ1779" s="115"/>
      <c r="AK1779" s="115"/>
      <c r="AL1779" s="115"/>
      <c r="AM1779" s="115"/>
      <c r="AN1779" s="115"/>
      <c r="AO1779" s="115"/>
      <c r="AP1779" s="115"/>
      <c r="AQ1779" s="115"/>
      <c r="AR1779" s="115"/>
      <c r="AS1779" s="115"/>
      <c r="AT1779" s="115"/>
      <c r="AU1779" s="115"/>
      <c r="AV1779" s="115"/>
      <c r="AW1779" s="115"/>
      <c r="AX1779" s="115"/>
      <c r="AY1779" s="115"/>
      <c r="AZ1779" s="115"/>
      <c r="BA1779" s="115"/>
      <c r="BB1779" s="115"/>
      <c r="BC1779" s="115"/>
      <c r="BD1779" s="115"/>
      <c r="BE1779" s="115"/>
      <c r="BF1779" s="122"/>
      <c r="BG1779" s="122"/>
      <c r="BH1779" s="122"/>
      <c r="BI1779" s="115"/>
      <c r="BJ1779" s="115"/>
      <c r="BK1779" s="115"/>
      <c r="BL1779" s="115"/>
      <c r="BM1779" s="115"/>
      <c r="BN1779" s="115"/>
      <c r="BO1779" s="115"/>
      <c r="BP1779" s="115"/>
      <c r="BQ1779" s="115"/>
      <c r="BR1779" s="115"/>
      <c r="BS1779" s="115"/>
      <c r="BT1779" s="115"/>
      <c r="BU1779" s="115"/>
      <c r="BV1779" s="115"/>
      <c r="BW1779" s="26"/>
      <c r="BX1779" s="13"/>
    </row>
    <row r="1780" spans="1:76" x14ac:dyDescent="0.4">
      <c r="BW1780" s="26"/>
      <c r="BX1780" s="13"/>
    </row>
    <row r="1781" spans="1:76" x14ac:dyDescent="0.4">
      <c r="AZ1781" s="115"/>
      <c r="BA1781" s="115"/>
      <c r="BB1781" s="115"/>
      <c r="BC1781" s="115"/>
      <c r="BD1781" s="115"/>
      <c r="BE1781" s="115"/>
      <c r="BF1781" s="122"/>
      <c r="BG1781" s="122"/>
      <c r="BH1781" s="122"/>
      <c r="BI1781" s="115"/>
      <c r="BJ1781" s="115"/>
      <c r="BK1781" s="115"/>
      <c r="BL1781" s="115"/>
      <c r="BM1781" s="115"/>
      <c r="BN1781" s="115"/>
      <c r="BO1781" s="115"/>
      <c r="BP1781" s="115"/>
      <c r="BQ1781" s="115"/>
      <c r="BR1781" s="115"/>
      <c r="BS1781" s="115"/>
      <c r="BT1781" s="115"/>
      <c r="BU1781" s="115"/>
      <c r="BV1781" s="115"/>
      <c r="BW1781" s="26"/>
      <c r="BX1781" s="13"/>
    </row>
    <row r="1782" spans="1:76" x14ac:dyDescent="0.4">
      <c r="BW1782" s="26"/>
      <c r="BX1782" s="13"/>
    </row>
    <row r="1783" spans="1:76" x14ac:dyDescent="0.4">
      <c r="D1783" s="115"/>
      <c r="E1783" s="115"/>
      <c r="F1783" s="115"/>
      <c r="G1783" s="115"/>
      <c r="H1783" s="115"/>
      <c r="I1783" s="115"/>
      <c r="J1783" s="115"/>
      <c r="K1783" s="115"/>
      <c r="L1783" s="115"/>
      <c r="M1783" s="115"/>
      <c r="N1783" s="115"/>
      <c r="O1783" s="115"/>
      <c r="P1783" s="115"/>
      <c r="Q1783" s="115"/>
      <c r="R1783" s="115"/>
      <c r="S1783" s="115"/>
      <c r="T1783" s="115"/>
      <c r="U1783" s="115"/>
      <c r="V1783" s="115"/>
      <c r="W1783" s="115"/>
      <c r="X1783" s="115"/>
      <c r="Y1783" s="115"/>
      <c r="Z1783" s="115"/>
      <c r="AA1783" s="115"/>
      <c r="AB1783" s="115"/>
      <c r="AC1783" s="115"/>
      <c r="AD1783" s="115"/>
      <c r="AE1783" s="115"/>
      <c r="AF1783" s="115"/>
      <c r="AG1783" s="115"/>
      <c r="AH1783" s="115"/>
      <c r="AI1783" s="115"/>
      <c r="AJ1783" s="115"/>
      <c r="AK1783" s="115"/>
      <c r="AL1783" s="115"/>
      <c r="AM1783" s="115"/>
      <c r="AN1783" s="115"/>
      <c r="AO1783" s="115"/>
      <c r="AP1783" s="115"/>
      <c r="AQ1783" s="115"/>
      <c r="AR1783" s="115"/>
      <c r="AS1783" s="115"/>
      <c r="AT1783" s="115"/>
      <c r="AU1783" s="115"/>
      <c r="AV1783" s="115"/>
      <c r="AW1783" s="115"/>
      <c r="AX1783" s="115"/>
      <c r="AY1783" s="115"/>
      <c r="AZ1783" s="115"/>
      <c r="BA1783" s="115"/>
      <c r="BB1783" s="115"/>
      <c r="BC1783" s="115"/>
      <c r="BD1783" s="115"/>
      <c r="BE1783" s="115"/>
      <c r="BF1783" s="122"/>
      <c r="BG1783" s="122"/>
      <c r="BH1783" s="122"/>
      <c r="BI1783" s="115"/>
      <c r="BJ1783" s="115"/>
      <c r="BK1783" s="115"/>
      <c r="BL1783" s="115"/>
      <c r="BM1783" s="115"/>
      <c r="BN1783" s="115"/>
      <c r="BO1783" s="115"/>
      <c r="BP1783" s="115"/>
      <c r="BQ1783" s="115"/>
      <c r="BR1783" s="115"/>
      <c r="BS1783" s="115"/>
      <c r="BT1783" s="115"/>
      <c r="BU1783" s="115"/>
      <c r="BV1783" s="115"/>
      <c r="BW1783" s="26"/>
      <c r="BX1783" s="15"/>
    </row>
    <row r="1784" spans="1:76" x14ac:dyDescent="0.4">
      <c r="D1784" s="115"/>
      <c r="E1784" s="115"/>
      <c r="F1784" s="115"/>
      <c r="G1784" s="115"/>
      <c r="H1784" s="115"/>
      <c r="I1784" s="115"/>
      <c r="J1784" s="115"/>
      <c r="K1784" s="115"/>
      <c r="L1784" s="115"/>
      <c r="M1784" s="115"/>
      <c r="N1784" s="115"/>
      <c r="O1784" s="115"/>
      <c r="P1784" s="115"/>
      <c r="Q1784" s="115"/>
      <c r="R1784" s="115"/>
      <c r="S1784" s="115"/>
      <c r="T1784" s="115"/>
      <c r="U1784" s="115"/>
      <c r="V1784" s="115"/>
      <c r="W1784" s="115"/>
      <c r="X1784" s="115"/>
      <c r="Y1784" s="115"/>
      <c r="Z1784" s="115"/>
      <c r="AA1784" s="115"/>
      <c r="AB1784" s="115"/>
      <c r="AC1784" s="115"/>
      <c r="AD1784" s="115"/>
      <c r="AE1784" s="115"/>
      <c r="AF1784" s="115"/>
      <c r="AG1784" s="115"/>
      <c r="AH1784" s="115"/>
      <c r="AI1784" s="115"/>
      <c r="AJ1784" s="115"/>
      <c r="AK1784" s="115"/>
      <c r="AL1784" s="115"/>
      <c r="AM1784" s="115"/>
      <c r="AN1784" s="115"/>
      <c r="AO1784" s="115"/>
      <c r="AP1784" s="115"/>
      <c r="AQ1784" s="115"/>
      <c r="AR1784" s="115"/>
      <c r="AS1784" s="115"/>
      <c r="AT1784" s="115"/>
      <c r="AU1784" s="115"/>
      <c r="AV1784" s="115"/>
      <c r="AW1784" s="115"/>
      <c r="AX1784" s="115"/>
      <c r="AY1784" s="115"/>
      <c r="AZ1784" s="115"/>
      <c r="BA1784" s="115"/>
      <c r="BB1784" s="115"/>
      <c r="BC1784" s="115"/>
      <c r="BD1784" s="115"/>
      <c r="BE1784" s="115"/>
      <c r="BF1784" s="122"/>
      <c r="BG1784" s="122"/>
      <c r="BH1784" s="122"/>
      <c r="BI1784" s="115"/>
      <c r="BJ1784" s="115"/>
      <c r="BK1784" s="115"/>
      <c r="BL1784" s="115"/>
      <c r="BM1784" s="115"/>
      <c r="BN1784" s="115"/>
      <c r="BO1784" s="115"/>
      <c r="BP1784" s="115"/>
      <c r="BQ1784" s="115"/>
      <c r="BR1784" s="115"/>
      <c r="BS1784" s="115"/>
      <c r="BT1784" s="115"/>
      <c r="BU1784" s="115"/>
      <c r="BV1784" s="115"/>
      <c r="BW1784" s="26"/>
      <c r="BX1784" s="15"/>
    </row>
    <row r="1785" spans="1:76" x14ac:dyDescent="0.4">
      <c r="D1785" s="115"/>
      <c r="E1785" s="115"/>
      <c r="F1785" s="115"/>
      <c r="G1785" s="115"/>
      <c r="H1785" s="115"/>
      <c r="I1785" s="115"/>
      <c r="J1785" s="115"/>
      <c r="K1785" s="115"/>
      <c r="L1785" s="115"/>
      <c r="M1785" s="115"/>
      <c r="N1785" s="115"/>
      <c r="O1785" s="115"/>
      <c r="P1785" s="115"/>
      <c r="Q1785" s="115"/>
      <c r="R1785" s="115"/>
      <c r="S1785" s="115"/>
      <c r="T1785" s="115"/>
      <c r="U1785" s="115"/>
      <c r="V1785" s="115"/>
      <c r="W1785" s="115"/>
      <c r="X1785" s="115"/>
      <c r="Y1785" s="115"/>
      <c r="Z1785" s="115"/>
      <c r="AA1785" s="115"/>
      <c r="AB1785" s="115"/>
      <c r="AC1785" s="115"/>
      <c r="AD1785" s="115"/>
      <c r="AE1785" s="115"/>
      <c r="AF1785" s="115"/>
      <c r="AG1785" s="115"/>
      <c r="AH1785" s="115"/>
      <c r="AI1785" s="115"/>
      <c r="AJ1785" s="115"/>
      <c r="AK1785" s="115"/>
      <c r="AL1785" s="115"/>
      <c r="AM1785" s="115"/>
      <c r="AN1785" s="115"/>
      <c r="AO1785" s="115"/>
      <c r="AP1785" s="115"/>
      <c r="AQ1785" s="115"/>
      <c r="AR1785" s="115"/>
      <c r="AS1785" s="115"/>
      <c r="AT1785" s="115"/>
      <c r="AU1785" s="115"/>
      <c r="AV1785" s="115"/>
      <c r="AW1785" s="115"/>
      <c r="AX1785" s="115"/>
      <c r="AY1785" s="115"/>
      <c r="AZ1785" s="115"/>
      <c r="BA1785" s="115"/>
      <c r="BB1785" s="115"/>
      <c r="BC1785" s="115"/>
      <c r="BD1785" s="115"/>
      <c r="BE1785" s="115"/>
      <c r="BF1785" s="122"/>
      <c r="BG1785" s="122"/>
      <c r="BH1785" s="122"/>
      <c r="BI1785" s="115"/>
      <c r="BJ1785" s="115"/>
      <c r="BK1785" s="115"/>
      <c r="BL1785" s="115"/>
      <c r="BM1785" s="115"/>
      <c r="BN1785" s="115"/>
      <c r="BO1785" s="115"/>
      <c r="BP1785" s="115"/>
      <c r="BQ1785" s="115"/>
      <c r="BR1785" s="115"/>
      <c r="BS1785" s="115"/>
      <c r="BT1785" s="115"/>
      <c r="BU1785" s="115"/>
      <c r="BV1785" s="115"/>
      <c r="BW1785" s="26"/>
      <c r="BX1785" s="15"/>
    </row>
    <row r="1786" spans="1:76" x14ac:dyDescent="0.4">
      <c r="BW1786" s="26"/>
      <c r="BX1786" s="13"/>
    </row>
    <row r="1787" spans="1:76" x14ac:dyDescent="0.4">
      <c r="A1787" s="115"/>
      <c r="B1787" s="115"/>
      <c r="C1787" s="115"/>
      <c r="D1787" s="115"/>
      <c r="E1787" s="115"/>
      <c r="F1787" s="115"/>
      <c r="G1787" s="115"/>
      <c r="H1787" s="115"/>
      <c r="I1787" s="115"/>
      <c r="J1787" s="115"/>
      <c r="K1787" s="115"/>
      <c r="L1787" s="115"/>
      <c r="M1787" s="115"/>
      <c r="N1787" s="115"/>
      <c r="O1787" s="115"/>
      <c r="P1787" s="115"/>
      <c r="Q1787" s="115"/>
      <c r="R1787" s="115"/>
      <c r="S1787" s="115"/>
      <c r="T1787" s="115"/>
      <c r="U1787" s="115"/>
      <c r="V1787" s="115"/>
      <c r="W1787" s="115"/>
      <c r="X1787" s="115"/>
      <c r="Y1787" s="115"/>
      <c r="Z1787" s="115"/>
      <c r="AA1787" s="115"/>
      <c r="AB1787" s="115"/>
      <c r="AC1787" s="115"/>
      <c r="AD1787" s="115"/>
      <c r="AE1787" s="115"/>
      <c r="AF1787" s="115"/>
      <c r="AG1787" s="115"/>
      <c r="AH1787" s="115"/>
      <c r="AI1787" s="115"/>
      <c r="AJ1787" s="115"/>
      <c r="AK1787" s="115"/>
      <c r="AL1787" s="115"/>
      <c r="AM1787" s="115"/>
      <c r="AN1787" s="115"/>
      <c r="AO1787" s="115"/>
      <c r="AP1787" s="115"/>
      <c r="AQ1787" s="115"/>
      <c r="AR1787" s="115"/>
      <c r="AS1787" s="115"/>
      <c r="AT1787" s="115"/>
      <c r="AU1787" s="115"/>
      <c r="AV1787" s="115"/>
      <c r="AW1787" s="115"/>
      <c r="AX1787" s="115"/>
      <c r="AY1787" s="115"/>
      <c r="AZ1787" s="115"/>
      <c r="BA1787" s="115"/>
      <c r="BB1787" s="115"/>
      <c r="BC1787" s="115"/>
      <c r="BD1787" s="115"/>
      <c r="BE1787" s="115"/>
      <c r="BF1787" s="122"/>
      <c r="BG1787" s="122"/>
      <c r="BH1787" s="122"/>
      <c r="BI1787" s="115"/>
      <c r="BJ1787" s="115"/>
      <c r="BK1787" s="115"/>
      <c r="BL1787" s="115"/>
      <c r="BM1787" s="115"/>
      <c r="BN1787" s="115"/>
      <c r="BO1787" s="115"/>
      <c r="BP1787" s="115"/>
      <c r="BQ1787" s="115"/>
      <c r="BR1787" s="115"/>
      <c r="BS1787" s="115"/>
      <c r="BT1787" s="115"/>
      <c r="BU1787" s="115"/>
      <c r="BV1787" s="115"/>
      <c r="BW1787" s="26"/>
      <c r="BX1787" s="15"/>
    </row>
    <row r="1788" spans="1:76" x14ac:dyDescent="0.4">
      <c r="BW1788" s="26"/>
      <c r="BX1788" s="15"/>
    </row>
    <row r="1789" spans="1:76" x14ac:dyDescent="0.4">
      <c r="BW1789" s="26"/>
      <c r="BX1789" s="15"/>
    </row>
    <row r="1790" spans="1:76" x14ac:dyDescent="0.4">
      <c r="E1790" s="115"/>
      <c r="F1790" s="115"/>
      <c r="G1790" s="115"/>
      <c r="H1790" s="115"/>
      <c r="I1790" s="115"/>
      <c r="J1790" s="115"/>
      <c r="K1790" s="115"/>
      <c r="L1790" s="115"/>
      <c r="M1790" s="115"/>
      <c r="N1790" s="115"/>
      <c r="O1790" s="115"/>
      <c r="P1790" s="115"/>
      <c r="Q1790" s="115"/>
      <c r="R1790" s="115"/>
      <c r="S1790" s="115"/>
      <c r="T1790" s="115"/>
      <c r="U1790" s="115"/>
      <c r="V1790" s="115"/>
      <c r="W1790" s="115"/>
      <c r="X1790" s="115"/>
      <c r="Y1790" s="115"/>
      <c r="Z1790" s="115"/>
      <c r="AA1790" s="115"/>
      <c r="AB1790" s="115"/>
      <c r="AC1790" s="115"/>
      <c r="AD1790" s="115"/>
      <c r="AE1790" s="115"/>
      <c r="AF1790" s="115"/>
      <c r="AG1790" s="115"/>
      <c r="AH1790" s="115"/>
      <c r="AI1790" s="115"/>
      <c r="AJ1790" s="115"/>
      <c r="AK1790" s="115"/>
      <c r="AL1790" s="115"/>
      <c r="AM1790" s="115"/>
      <c r="AN1790" s="115"/>
      <c r="AO1790" s="115"/>
      <c r="AP1790" s="115"/>
      <c r="AQ1790" s="115"/>
      <c r="AR1790" s="115"/>
      <c r="AS1790" s="115"/>
      <c r="AT1790" s="115"/>
      <c r="AU1790" s="115"/>
      <c r="AV1790" s="115"/>
      <c r="AW1790" s="115"/>
      <c r="AX1790" s="115"/>
      <c r="AY1790" s="115"/>
      <c r="AZ1790" s="115"/>
      <c r="BA1790" s="115"/>
      <c r="BB1790" s="115"/>
      <c r="BC1790" s="115"/>
      <c r="BD1790" s="115"/>
      <c r="BE1790" s="115"/>
      <c r="BF1790" s="122"/>
      <c r="BG1790" s="122"/>
      <c r="BH1790" s="122"/>
      <c r="BI1790" s="115"/>
      <c r="BJ1790" s="115"/>
      <c r="BK1790" s="115"/>
      <c r="BL1790" s="115"/>
      <c r="BM1790" s="115"/>
      <c r="BN1790" s="115"/>
      <c r="BO1790" s="115"/>
      <c r="BP1790" s="115"/>
      <c r="BQ1790" s="115"/>
      <c r="BR1790" s="115"/>
      <c r="BS1790" s="115"/>
      <c r="BT1790" s="115"/>
      <c r="BU1790" s="115"/>
      <c r="BV1790" s="115"/>
      <c r="BW1790" s="26"/>
      <c r="BX1790" s="15"/>
    </row>
    <row r="1791" spans="1:76" x14ac:dyDescent="0.4">
      <c r="C1791" s="115"/>
      <c r="D1791" s="115"/>
      <c r="E1791" s="115"/>
      <c r="F1791" s="115"/>
      <c r="G1791" s="115"/>
      <c r="H1791" s="115"/>
      <c r="I1791" s="115"/>
      <c r="J1791" s="115"/>
      <c r="K1791" s="115"/>
      <c r="L1791" s="115"/>
      <c r="M1791" s="115"/>
      <c r="N1791" s="115"/>
      <c r="O1791" s="115"/>
      <c r="P1791" s="115"/>
      <c r="Q1791" s="115"/>
      <c r="R1791" s="115"/>
      <c r="S1791" s="115"/>
      <c r="T1791" s="115"/>
      <c r="U1791" s="115"/>
      <c r="V1791" s="115"/>
      <c r="W1791" s="115"/>
      <c r="X1791" s="115"/>
      <c r="Y1791" s="115"/>
      <c r="Z1791" s="115"/>
      <c r="AA1791" s="115"/>
      <c r="AB1791" s="115"/>
      <c r="AC1791" s="115"/>
      <c r="AD1791" s="115"/>
      <c r="AE1791" s="115"/>
      <c r="AF1791" s="115"/>
      <c r="AG1791" s="115"/>
      <c r="AH1791" s="115"/>
      <c r="AI1791" s="115"/>
      <c r="AJ1791" s="115"/>
      <c r="AK1791" s="115"/>
      <c r="AL1791" s="115"/>
      <c r="AM1791" s="115"/>
      <c r="AN1791" s="115"/>
      <c r="AO1791" s="115"/>
      <c r="AP1791" s="115"/>
      <c r="AQ1791" s="115"/>
      <c r="AR1791" s="115"/>
      <c r="AS1791" s="115"/>
      <c r="AT1791" s="115"/>
      <c r="AU1791" s="115"/>
      <c r="AV1791" s="115"/>
      <c r="AW1791" s="115"/>
      <c r="AX1791" s="115"/>
      <c r="AY1791" s="115"/>
      <c r="AZ1791" s="115"/>
      <c r="BA1791" s="115"/>
      <c r="BB1791" s="115"/>
      <c r="BC1791" s="115"/>
      <c r="BD1791" s="115"/>
      <c r="BE1791" s="115"/>
      <c r="BF1791" s="122"/>
      <c r="BG1791" s="122"/>
      <c r="BH1791" s="122"/>
      <c r="BI1791" s="115"/>
      <c r="BJ1791" s="115"/>
      <c r="BK1791" s="115"/>
      <c r="BL1791" s="115"/>
      <c r="BM1791" s="115"/>
      <c r="BN1791" s="115"/>
      <c r="BO1791" s="115"/>
      <c r="BP1791" s="115"/>
      <c r="BQ1791" s="115"/>
      <c r="BR1791" s="115"/>
      <c r="BS1791" s="115"/>
      <c r="BT1791" s="115"/>
      <c r="BU1791" s="115"/>
      <c r="BV1791" s="115"/>
      <c r="BW1791" s="26"/>
      <c r="BX1791" s="15"/>
    </row>
    <row r="1792" spans="1:76" x14ac:dyDescent="0.4">
      <c r="BW1792" s="26"/>
      <c r="BX1792" s="15"/>
    </row>
    <row r="1793" spans="1:76" x14ac:dyDescent="0.4">
      <c r="AY1793" s="115"/>
      <c r="AZ1793" s="115"/>
      <c r="BA1793" s="115"/>
      <c r="BB1793" s="115"/>
      <c r="BC1793" s="115"/>
      <c r="BD1793" s="115"/>
      <c r="BE1793" s="115"/>
      <c r="BF1793" s="122"/>
      <c r="BG1793" s="122"/>
      <c r="BH1793" s="122"/>
      <c r="BI1793" s="115"/>
      <c r="BJ1793" s="115"/>
      <c r="BK1793" s="115"/>
      <c r="BL1793" s="115"/>
      <c r="BM1793" s="115"/>
      <c r="BN1793" s="115"/>
      <c r="BO1793" s="115"/>
      <c r="BP1793" s="115"/>
      <c r="BQ1793" s="115"/>
      <c r="BR1793" s="115"/>
      <c r="BS1793" s="115"/>
      <c r="BT1793" s="115"/>
      <c r="BU1793" s="115"/>
      <c r="BV1793" s="115"/>
      <c r="BW1793" s="26"/>
      <c r="BX1793" s="15"/>
    </row>
    <row r="1794" spans="1:76" x14ac:dyDescent="0.4">
      <c r="D1794" s="115"/>
      <c r="E1794" s="115"/>
      <c r="F1794" s="115"/>
      <c r="G1794" s="115"/>
      <c r="H1794" s="115"/>
      <c r="I1794" s="115"/>
      <c r="J1794" s="115"/>
      <c r="K1794" s="115"/>
      <c r="L1794" s="115"/>
      <c r="M1794" s="115"/>
      <c r="N1794" s="115"/>
      <c r="O1794" s="115"/>
      <c r="P1794" s="115"/>
      <c r="Q1794" s="115"/>
      <c r="R1794" s="115"/>
      <c r="S1794" s="115"/>
      <c r="T1794" s="115"/>
      <c r="U1794" s="115"/>
      <c r="V1794" s="115"/>
      <c r="W1794" s="115"/>
      <c r="X1794" s="115"/>
      <c r="Y1794" s="115"/>
      <c r="Z1794" s="115"/>
      <c r="AA1794" s="115"/>
      <c r="AB1794" s="115"/>
      <c r="AC1794" s="115"/>
      <c r="AD1794" s="115"/>
      <c r="AE1794" s="115"/>
      <c r="AF1794" s="115"/>
      <c r="AG1794" s="115"/>
      <c r="AH1794" s="115"/>
      <c r="AI1794" s="115"/>
      <c r="AJ1794" s="115"/>
      <c r="AK1794" s="115"/>
      <c r="AL1794" s="115"/>
      <c r="AM1794" s="115"/>
      <c r="AN1794" s="115"/>
      <c r="AO1794" s="115"/>
      <c r="AP1794" s="115"/>
      <c r="AQ1794" s="115"/>
      <c r="AR1794" s="115"/>
      <c r="AS1794" s="115"/>
      <c r="AT1794" s="115"/>
      <c r="AU1794" s="115"/>
      <c r="AV1794" s="115"/>
      <c r="AW1794" s="115"/>
      <c r="AX1794" s="115"/>
      <c r="AY1794" s="115"/>
      <c r="AZ1794" s="115"/>
      <c r="BA1794" s="115"/>
      <c r="BB1794" s="115"/>
      <c r="BC1794" s="115"/>
      <c r="BD1794" s="115"/>
      <c r="BE1794" s="115"/>
      <c r="BF1794" s="122"/>
      <c r="BG1794" s="122"/>
      <c r="BH1794" s="122"/>
      <c r="BI1794" s="115"/>
      <c r="BJ1794" s="115"/>
      <c r="BK1794" s="115"/>
      <c r="BL1794" s="115"/>
      <c r="BM1794" s="115"/>
      <c r="BN1794" s="115"/>
      <c r="BO1794" s="115"/>
      <c r="BP1794" s="115"/>
      <c r="BQ1794" s="115"/>
      <c r="BR1794" s="115"/>
      <c r="BS1794" s="115"/>
      <c r="BT1794" s="115"/>
      <c r="BU1794" s="115"/>
      <c r="BV1794" s="115"/>
      <c r="BW1794" s="26"/>
      <c r="BX1794" s="15"/>
    </row>
    <row r="1795" spans="1:76" x14ac:dyDescent="0.4">
      <c r="D1795" s="115"/>
      <c r="E1795" s="115"/>
      <c r="F1795" s="115"/>
      <c r="G1795" s="115"/>
      <c r="H1795" s="115"/>
      <c r="I1795" s="115"/>
      <c r="J1795" s="115"/>
      <c r="K1795" s="115"/>
      <c r="L1795" s="115"/>
      <c r="M1795" s="115"/>
      <c r="N1795" s="115"/>
      <c r="O1795" s="115"/>
      <c r="P1795" s="115"/>
      <c r="Q1795" s="115"/>
      <c r="R1795" s="115"/>
      <c r="S1795" s="115"/>
      <c r="T1795" s="115"/>
      <c r="U1795" s="115"/>
      <c r="V1795" s="115"/>
      <c r="W1795" s="115"/>
      <c r="X1795" s="115"/>
      <c r="Y1795" s="115"/>
      <c r="Z1795" s="115"/>
      <c r="AA1795" s="115"/>
      <c r="AB1795" s="115"/>
      <c r="AC1795" s="115"/>
      <c r="AD1795" s="115"/>
      <c r="AE1795" s="115"/>
      <c r="AF1795" s="115"/>
      <c r="AG1795" s="115"/>
      <c r="AH1795" s="115"/>
      <c r="AI1795" s="115"/>
      <c r="AJ1795" s="115"/>
      <c r="AK1795" s="115"/>
      <c r="AL1795" s="115"/>
      <c r="AM1795" s="115"/>
      <c r="AN1795" s="115"/>
      <c r="AO1795" s="115"/>
      <c r="AP1795" s="115"/>
      <c r="AQ1795" s="115"/>
      <c r="AR1795" s="115"/>
      <c r="AS1795" s="115"/>
      <c r="AT1795" s="115"/>
      <c r="AU1795" s="115"/>
      <c r="AV1795" s="115"/>
      <c r="AW1795" s="115"/>
      <c r="AX1795" s="115"/>
      <c r="AY1795" s="115"/>
      <c r="AZ1795" s="115"/>
      <c r="BA1795" s="115"/>
      <c r="BB1795" s="115"/>
      <c r="BC1795" s="115"/>
      <c r="BD1795" s="115"/>
      <c r="BE1795" s="115"/>
      <c r="BF1795" s="122"/>
      <c r="BG1795" s="122"/>
      <c r="BH1795" s="122"/>
      <c r="BI1795" s="115"/>
      <c r="BJ1795" s="115"/>
      <c r="BK1795" s="115"/>
      <c r="BL1795" s="115"/>
      <c r="BM1795" s="115"/>
      <c r="BN1795" s="115"/>
      <c r="BO1795" s="115"/>
      <c r="BP1795" s="115"/>
      <c r="BQ1795" s="115"/>
      <c r="BR1795" s="115"/>
      <c r="BS1795" s="115"/>
      <c r="BT1795" s="115"/>
      <c r="BU1795" s="115"/>
      <c r="BV1795" s="115"/>
      <c r="BW1795" s="26"/>
      <c r="BX1795" s="15"/>
    </row>
    <row r="1796" spans="1:76" x14ac:dyDescent="0.4">
      <c r="D1796" s="115"/>
      <c r="E1796" s="115"/>
      <c r="F1796" s="115"/>
      <c r="G1796" s="115"/>
      <c r="H1796" s="115"/>
      <c r="I1796" s="115"/>
      <c r="J1796" s="115"/>
      <c r="K1796" s="115"/>
      <c r="L1796" s="115"/>
      <c r="M1796" s="115"/>
      <c r="N1796" s="115"/>
      <c r="O1796" s="115"/>
      <c r="P1796" s="115"/>
      <c r="Q1796" s="115"/>
      <c r="R1796" s="115"/>
      <c r="S1796" s="115"/>
      <c r="T1796" s="115"/>
      <c r="U1796" s="115"/>
      <c r="V1796" s="115"/>
      <c r="W1796" s="115"/>
      <c r="X1796" s="115"/>
      <c r="Y1796" s="115"/>
      <c r="Z1796" s="115"/>
      <c r="AA1796" s="115"/>
      <c r="AB1796" s="115"/>
      <c r="AC1796" s="115"/>
      <c r="AD1796" s="115"/>
      <c r="AE1796" s="115"/>
      <c r="AF1796" s="115"/>
      <c r="AG1796" s="115"/>
      <c r="AH1796" s="115"/>
      <c r="AI1796" s="115"/>
      <c r="AJ1796" s="115"/>
      <c r="AK1796" s="115"/>
      <c r="AL1796" s="115"/>
      <c r="AM1796" s="115"/>
      <c r="AN1796" s="115"/>
      <c r="AO1796" s="115"/>
      <c r="AP1796" s="115"/>
      <c r="AQ1796" s="115"/>
      <c r="AR1796" s="115"/>
      <c r="AS1796" s="115"/>
      <c r="AT1796" s="115"/>
      <c r="AU1796" s="115"/>
      <c r="AV1796" s="115"/>
      <c r="AW1796" s="115"/>
      <c r="AX1796" s="115"/>
      <c r="AY1796" s="115"/>
      <c r="AZ1796" s="115"/>
      <c r="BA1796" s="115"/>
      <c r="BB1796" s="115"/>
      <c r="BC1796" s="115"/>
      <c r="BD1796" s="115"/>
      <c r="BE1796" s="115"/>
      <c r="BF1796" s="122"/>
      <c r="BG1796" s="122"/>
      <c r="BH1796" s="122"/>
      <c r="BI1796" s="115"/>
      <c r="BJ1796" s="115"/>
      <c r="BK1796" s="115"/>
      <c r="BL1796" s="115"/>
      <c r="BM1796" s="115"/>
      <c r="BN1796" s="115"/>
      <c r="BO1796" s="115"/>
      <c r="BP1796" s="115"/>
      <c r="BQ1796" s="115"/>
      <c r="BR1796" s="115"/>
      <c r="BS1796" s="115"/>
      <c r="BT1796" s="115"/>
      <c r="BU1796" s="115"/>
      <c r="BV1796" s="115"/>
      <c r="BW1796" s="26"/>
      <c r="BX1796" s="15"/>
    </row>
    <row r="1797" spans="1:76" x14ac:dyDescent="0.4">
      <c r="C1797" s="115"/>
      <c r="D1797" s="115"/>
      <c r="E1797" s="115"/>
      <c r="F1797" s="115"/>
      <c r="G1797" s="115"/>
      <c r="H1797" s="115"/>
      <c r="I1797" s="115"/>
      <c r="J1797" s="115"/>
      <c r="K1797" s="115"/>
      <c r="L1797" s="115"/>
      <c r="M1797" s="115"/>
      <c r="N1797" s="115"/>
      <c r="O1797" s="115"/>
      <c r="P1797" s="115"/>
      <c r="Q1797" s="115"/>
      <c r="R1797" s="115"/>
      <c r="S1797" s="115"/>
      <c r="T1797" s="115"/>
      <c r="U1797" s="115"/>
      <c r="V1797" s="115"/>
      <c r="W1797" s="115"/>
      <c r="X1797" s="115"/>
      <c r="Y1797" s="115"/>
      <c r="Z1797" s="115"/>
      <c r="AA1797" s="115"/>
      <c r="AB1797" s="115"/>
      <c r="AC1797" s="115"/>
      <c r="AD1797" s="115"/>
      <c r="AE1797" s="115"/>
      <c r="AF1797" s="115"/>
      <c r="AG1797" s="115"/>
      <c r="AH1797" s="115"/>
      <c r="AI1797" s="115"/>
      <c r="AJ1797" s="115"/>
      <c r="AK1797" s="115"/>
      <c r="AL1797" s="115"/>
      <c r="AM1797" s="115"/>
      <c r="AN1797" s="115"/>
      <c r="AO1797" s="115"/>
      <c r="AP1797" s="115"/>
      <c r="AQ1797" s="115"/>
      <c r="AR1797" s="115"/>
      <c r="AS1797" s="115"/>
      <c r="AT1797" s="115"/>
      <c r="AU1797" s="115"/>
      <c r="AV1797" s="115"/>
      <c r="AW1797" s="115"/>
      <c r="AX1797" s="115"/>
      <c r="AY1797" s="115"/>
      <c r="AZ1797" s="115"/>
      <c r="BA1797" s="115"/>
      <c r="BB1797" s="115"/>
      <c r="BC1797" s="115"/>
      <c r="BD1797" s="115"/>
      <c r="BE1797" s="115"/>
      <c r="BF1797" s="122"/>
      <c r="BG1797" s="122"/>
      <c r="BH1797" s="122"/>
      <c r="BI1797" s="115"/>
      <c r="BJ1797" s="115"/>
      <c r="BK1797" s="115"/>
      <c r="BL1797" s="115"/>
      <c r="BM1797" s="115"/>
      <c r="BN1797" s="115"/>
      <c r="BO1797" s="115"/>
      <c r="BP1797" s="115"/>
      <c r="BQ1797" s="115"/>
      <c r="BR1797" s="115"/>
      <c r="BS1797" s="115"/>
      <c r="BT1797" s="115"/>
      <c r="BU1797" s="115"/>
      <c r="BV1797" s="115"/>
      <c r="BW1797" s="26"/>
      <c r="BX1797" s="15"/>
    </row>
    <row r="1798" spans="1:76" x14ac:dyDescent="0.4">
      <c r="BW1798" s="26"/>
      <c r="BX1798" s="15"/>
    </row>
    <row r="1799" spans="1:76" x14ac:dyDescent="0.4">
      <c r="BB1799" s="115"/>
      <c r="BC1799" s="115"/>
      <c r="BD1799" s="115"/>
      <c r="BE1799" s="115"/>
      <c r="BF1799" s="122"/>
      <c r="BG1799" s="122"/>
      <c r="BH1799" s="122"/>
      <c r="BI1799" s="115"/>
      <c r="BJ1799" s="115"/>
      <c r="BK1799" s="115"/>
      <c r="BL1799" s="115"/>
      <c r="BM1799" s="115"/>
      <c r="BN1799" s="115"/>
      <c r="BO1799" s="115"/>
      <c r="BP1799" s="115"/>
      <c r="BQ1799" s="115"/>
      <c r="BR1799" s="115"/>
      <c r="BS1799" s="115"/>
      <c r="BT1799" s="115"/>
      <c r="BU1799" s="115"/>
      <c r="BV1799" s="115"/>
      <c r="BW1799" s="17"/>
      <c r="BX1799" s="15"/>
    </row>
    <row r="1800" spans="1:76" x14ac:dyDescent="0.4">
      <c r="BW1800" s="26"/>
      <c r="BX1800" s="15"/>
    </row>
    <row r="1801" spans="1:76" x14ac:dyDescent="0.4">
      <c r="AZ1801" s="115"/>
      <c r="BA1801" s="115"/>
      <c r="BB1801" s="115"/>
      <c r="BC1801" s="115"/>
      <c r="BD1801" s="115"/>
      <c r="BE1801" s="115"/>
      <c r="BF1801" s="122"/>
      <c r="BG1801" s="122"/>
      <c r="BH1801" s="122"/>
      <c r="BI1801" s="115"/>
      <c r="BJ1801" s="115"/>
      <c r="BK1801" s="115"/>
      <c r="BL1801" s="115"/>
      <c r="BM1801" s="115"/>
      <c r="BN1801" s="115"/>
      <c r="BO1801" s="115"/>
      <c r="BP1801" s="115"/>
      <c r="BQ1801" s="115"/>
      <c r="BR1801" s="115"/>
      <c r="BS1801" s="115"/>
      <c r="BT1801" s="115"/>
      <c r="BU1801" s="115"/>
      <c r="BV1801" s="115"/>
      <c r="BW1801" s="26"/>
      <c r="BX1801" s="15"/>
    </row>
    <row r="1802" spans="1:76" x14ac:dyDescent="0.4">
      <c r="BW1802" s="26"/>
      <c r="BX1802" s="15"/>
    </row>
    <row r="1803" spans="1:76" x14ac:dyDescent="0.4">
      <c r="BW1803" s="26"/>
      <c r="BX1803" s="15"/>
    </row>
    <row r="1804" spans="1:76" x14ac:dyDescent="0.4">
      <c r="E1804" s="115"/>
      <c r="F1804" s="115"/>
      <c r="G1804" s="115"/>
      <c r="H1804" s="115"/>
      <c r="I1804" s="115"/>
      <c r="J1804" s="115"/>
      <c r="K1804" s="115"/>
      <c r="L1804" s="115"/>
      <c r="M1804" s="115"/>
      <c r="N1804" s="115"/>
      <c r="O1804" s="115"/>
      <c r="P1804" s="115"/>
      <c r="Q1804" s="115"/>
      <c r="R1804" s="115"/>
      <c r="S1804" s="115"/>
      <c r="T1804" s="115"/>
      <c r="U1804" s="115"/>
      <c r="V1804" s="115"/>
      <c r="W1804" s="115"/>
      <c r="X1804" s="115"/>
      <c r="Y1804" s="115"/>
      <c r="Z1804" s="115"/>
      <c r="AA1804" s="115"/>
      <c r="AB1804" s="115"/>
      <c r="AC1804" s="115"/>
      <c r="AD1804" s="115"/>
      <c r="AE1804" s="115"/>
      <c r="AF1804" s="115"/>
      <c r="AG1804" s="115"/>
      <c r="AH1804" s="115"/>
      <c r="AI1804" s="115"/>
      <c r="AJ1804" s="115"/>
      <c r="AK1804" s="115"/>
      <c r="AL1804" s="115"/>
      <c r="AM1804" s="115"/>
      <c r="AN1804" s="115"/>
      <c r="AO1804" s="115"/>
      <c r="AP1804" s="115"/>
      <c r="AQ1804" s="115"/>
      <c r="AR1804" s="115"/>
      <c r="AS1804" s="115"/>
      <c r="AT1804" s="115"/>
      <c r="AU1804" s="115"/>
      <c r="AV1804" s="115"/>
      <c r="AW1804" s="115"/>
      <c r="AX1804" s="115"/>
      <c r="AY1804" s="115"/>
      <c r="AZ1804" s="115"/>
      <c r="BA1804" s="115"/>
      <c r="BB1804" s="115"/>
      <c r="BC1804" s="115"/>
      <c r="BD1804" s="115"/>
      <c r="BE1804" s="115"/>
      <c r="BF1804" s="122"/>
      <c r="BG1804" s="122"/>
      <c r="BH1804" s="122"/>
      <c r="BI1804" s="115"/>
      <c r="BJ1804" s="115"/>
      <c r="BK1804" s="115"/>
      <c r="BL1804" s="115"/>
      <c r="BM1804" s="115"/>
      <c r="BN1804" s="115"/>
      <c r="BO1804" s="115"/>
      <c r="BP1804" s="115"/>
      <c r="BQ1804" s="115"/>
      <c r="BR1804" s="115"/>
      <c r="BS1804" s="115"/>
      <c r="BT1804" s="115"/>
      <c r="BU1804" s="115"/>
      <c r="BV1804" s="115"/>
      <c r="BW1804" s="26"/>
      <c r="BX1804" s="15"/>
    </row>
    <row r="1805" spans="1:76" x14ac:dyDescent="0.4">
      <c r="E1805" s="115"/>
      <c r="F1805" s="115"/>
      <c r="G1805" s="115"/>
      <c r="H1805" s="115"/>
      <c r="I1805" s="115"/>
      <c r="J1805" s="115"/>
      <c r="K1805" s="115"/>
      <c r="L1805" s="115"/>
      <c r="M1805" s="115"/>
      <c r="N1805" s="115"/>
      <c r="O1805" s="115"/>
      <c r="P1805" s="115"/>
      <c r="Q1805" s="115"/>
      <c r="R1805" s="115"/>
      <c r="S1805" s="115"/>
      <c r="T1805" s="115"/>
      <c r="U1805" s="115"/>
      <c r="V1805" s="115"/>
      <c r="W1805" s="115"/>
      <c r="X1805" s="115"/>
      <c r="Y1805" s="115"/>
      <c r="Z1805" s="115"/>
      <c r="AA1805" s="115"/>
      <c r="AB1805" s="115"/>
      <c r="AC1805" s="115"/>
      <c r="AD1805" s="115"/>
      <c r="AE1805" s="115"/>
      <c r="AF1805" s="115"/>
      <c r="AG1805" s="115"/>
      <c r="AH1805" s="115"/>
      <c r="AI1805" s="115"/>
      <c r="AJ1805" s="115"/>
      <c r="AK1805" s="115"/>
      <c r="AL1805" s="115"/>
      <c r="AM1805" s="115"/>
      <c r="AN1805" s="115"/>
      <c r="AO1805" s="115"/>
      <c r="AP1805" s="115"/>
      <c r="AQ1805" s="115"/>
      <c r="AR1805" s="115"/>
      <c r="AS1805" s="115"/>
      <c r="AT1805" s="115"/>
      <c r="AU1805" s="115"/>
      <c r="AV1805" s="115"/>
      <c r="AW1805" s="115"/>
      <c r="AX1805" s="115"/>
      <c r="AY1805" s="115"/>
      <c r="AZ1805" s="115"/>
      <c r="BA1805" s="115"/>
      <c r="BB1805" s="115"/>
      <c r="BC1805" s="115"/>
      <c r="BD1805" s="115"/>
      <c r="BE1805" s="115"/>
      <c r="BF1805" s="122"/>
      <c r="BG1805" s="122"/>
      <c r="BH1805" s="122"/>
      <c r="BI1805" s="115"/>
      <c r="BJ1805" s="115"/>
      <c r="BK1805" s="115"/>
      <c r="BL1805" s="115"/>
      <c r="BM1805" s="115"/>
      <c r="BN1805" s="115"/>
      <c r="BO1805" s="115"/>
      <c r="BP1805" s="115"/>
      <c r="BQ1805" s="115"/>
      <c r="BR1805" s="115"/>
      <c r="BS1805" s="115"/>
      <c r="BT1805" s="115"/>
      <c r="BU1805" s="115"/>
      <c r="BV1805" s="115"/>
      <c r="BW1805" s="26"/>
      <c r="BX1805" s="15"/>
    </row>
    <row r="1806" spans="1:76" x14ac:dyDescent="0.4">
      <c r="A1806" s="115"/>
      <c r="B1806" s="115"/>
      <c r="C1806" s="115"/>
      <c r="D1806" s="115"/>
      <c r="E1806" s="115"/>
      <c r="F1806" s="115"/>
      <c r="G1806" s="115"/>
      <c r="H1806" s="115"/>
      <c r="I1806" s="115"/>
      <c r="J1806" s="115"/>
      <c r="K1806" s="115"/>
      <c r="L1806" s="115"/>
      <c r="M1806" s="115"/>
      <c r="N1806" s="115"/>
      <c r="O1806" s="115"/>
      <c r="P1806" s="115"/>
      <c r="Q1806" s="115"/>
      <c r="R1806" s="115"/>
      <c r="S1806" s="115"/>
      <c r="T1806" s="115"/>
      <c r="U1806" s="115"/>
      <c r="V1806" s="115"/>
      <c r="W1806" s="115"/>
      <c r="X1806" s="115"/>
      <c r="Y1806" s="115"/>
      <c r="Z1806" s="115"/>
      <c r="AA1806" s="115"/>
      <c r="AB1806" s="115"/>
      <c r="AC1806" s="115"/>
      <c r="AD1806" s="115"/>
      <c r="AE1806" s="115"/>
      <c r="AF1806" s="115"/>
      <c r="AG1806" s="115"/>
      <c r="AH1806" s="115"/>
      <c r="AI1806" s="115"/>
      <c r="AJ1806" s="115"/>
      <c r="AK1806" s="115"/>
      <c r="AL1806" s="115"/>
      <c r="AM1806" s="115"/>
      <c r="AN1806" s="115"/>
      <c r="AO1806" s="115"/>
      <c r="AP1806" s="115"/>
      <c r="AQ1806" s="115"/>
      <c r="AR1806" s="115"/>
      <c r="AS1806" s="115"/>
      <c r="AT1806" s="115"/>
      <c r="AU1806" s="115"/>
      <c r="AV1806" s="115"/>
      <c r="AW1806" s="115"/>
      <c r="AX1806" s="115"/>
      <c r="AY1806" s="115"/>
      <c r="AZ1806" s="115"/>
      <c r="BA1806" s="115"/>
      <c r="BB1806" s="115"/>
      <c r="BC1806" s="115"/>
      <c r="BD1806" s="115"/>
      <c r="BE1806" s="115"/>
      <c r="BF1806" s="122"/>
      <c r="BG1806" s="122"/>
      <c r="BH1806" s="122"/>
      <c r="BI1806" s="115"/>
      <c r="BJ1806" s="115"/>
      <c r="BK1806" s="115"/>
      <c r="BL1806" s="115"/>
      <c r="BM1806" s="115"/>
      <c r="BN1806" s="115"/>
      <c r="BO1806" s="115"/>
      <c r="BP1806" s="115"/>
      <c r="BQ1806" s="115"/>
      <c r="BR1806" s="115"/>
      <c r="BS1806" s="115"/>
      <c r="BT1806" s="115"/>
      <c r="BU1806" s="115"/>
      <c r="BV1806" s="115"/>
      <c r="BW1806" s="26"/>
      <c r="BX1806" s="15"/>
    </row>
    <row r="1807" spans="1:76" x14ac:dyDescent="0.4">
      <c r="A1807" s="115"/>
      <c r="B1807" s="115"/>
      <c r="C1807" s="115"/>
      <c r="D1807" s="115"/>
      <c r="E1807" s="115"/>
      <c r="F1807" s="115"/>
      <c r="G1807" s="115"/>
      <c r="H1807" s="115"/>
      <c r="I1807" s="115"/>
      <c r="J1807" s="115"/>
      <c r="K1807" s="115"/>
      <c r="L1807" s="115"/>
      <c r="M1807" s="115"/>
      <c r="N1807" s="115"/>
      <c r="O1807" s="115"/>
      <c r="P1807" s="115"/>
      <c r="Q1807" s="115"/>
      <c r="R1807" s="115"/>
      <c r="S1807" s="115"/>
      <c r="T1807" s="115"/>
      <c r="U1807" s="115"/>
      <c r="V1807" s="115"/>
      <c r="W1807" s="115"/>
      <c r="X1807" s="115"/>
      <c r="Y1807" s="115"/>
      <c r="Z1807" s="115"/>
      <c r="AA1807" s="115"/>
      <c r="AB1807" s="115"/>
      <c r="AC1807" s="115"/>
      <c r="AD1807" s="115"/>
      <c r="AE1807" s="115"/>
      <c r="AF1807" s="115"/>
      <c r="AG1807" s="115"/>
      <c r="AH1807" s="115"/>
      <c r="AI1807" s="115"/>
      <c r="AJ1807" s="115"/>
      <c r="AK1807" s="115"/>
      <c r="AL1807" s="115"/>
      <c r="AM1807" s="115"/>
      <c r="AN1807" s="115"/>
      <c r="AO1807" s="115"/>
      <c r="AP1807" s="115"/>
      <c r="AQ1807" s="115"/>
      <c r="AR1807" s="115"/>
      <c r="AS1807" s="115"/>
      <c r="AT1807" s="115"/>
      <c r="AU1807" s="115"/>
      <c r="AV1807" s="115"/>
      <c r="AW1807" s="115"/>
      <c r="AX1807" s="115"/>
      <c r="AY1807" s="115"/>
      <c r="AZ1807" s="115"/>
      <c r="BA1807" s="115"/>
      <c r="BB1807" s="115"/>
      <c r="BC1807" s="115"/>
      <c r="BD1807" s="115"/>
      <c r="BE1807" s="115"/>
      <c r="BF1807" s="122"/>
      <c r="BG1807" s="122"/>
      <c r="BH1807" s="122"/>
      <c r="BI1807" s="115"/>
      <c r="BJ1807" s="115"/>
      <c r="BK1807" s="115"/>
      <c r="BL1807" s="115"/>
      <c r="BM1807" s="115"/>
      <c r="BN1807" s="115"/>
      <c r="BO1807" s="115"/>
      <c r="BP1807" s="115"/>
      <c r="BQ1807" s="115"/>
      <c r="BR1807" s="115"/>
      <c r="BS1807" s="115"/>
      <c r="BT1807" s="115"/>
      <c r="BU1807" s="115"/>
      <c r="BV1807" s="115"/>
      <c r="BW1807" s="26"/>
      <c r="BX1807" s="15"/>
    </row>
    <row r="1808" spans="1:76" x14ac:dyDescent="0.4">
      <c r="BW1808" s="26"/>
      <c r="BX1808" s="15"/>
    </row>
    <row r="1809" spans="3:76" x14ac:dyDescent="0.4">
      <c r="BB1809" s="115"/>
      <c r="BC1809" s="115"/>
      <c r="BD1809" s="115"/>
      <c r="BE1809" s="115"/>
      <c r="BF1809" s="122"/>
      <c r="BG1809" s="122"/>
      <c r="BH1809" s="122"/>
      <c r="BI1809" s="115"/>
      <c r="BJ1809" s="115"/>
      <c r="BK1809" s="115"/>
      <c r="BL1809" s="115"/>
      <c r="BM1809" s="115"/>
      <c r="BN1809" s="115"/>
      <c r="BO1809" s="115"/>
      <c r="BP1809" s="115"/>
      <c r="BQ1809" s="115"/>
      <c r="BR1809" s="115"/>
      <c r="BS1809" s="115"/>
      <c r="BT1809" s="115"/>
      <c r="BU1809" s="115"/>
      <c r="BV1809" s="115"/>
      <c r="BW1809" s="17"/>
      <c r="BX1809" s="15"/>
    </row>
    <row r="1810" spans="3:76" x14ac:dyDescent="0.4">
      <c r="BW1810" s="26"/>
      <c r="BX1810" s="15"/>
    </row>
    <row r="1811" spans="3:76" x14ac:dyDescent="0.4">
      <c r="E1811" s="115"/>
      <c r="F1811" s="115"/>
      <c r="G1811" s="115"/>
      <c r="H1811" s="115"/>
      <c r="I1811" s="115"/>
      <c r="J1811" s="115"/>
      <c r="K1811" s="115"/>
      <c r="L1811" s="115"/>
      <c r="M1811" s="115"/>
      <c r="N1811" s="115"/>
      <c r="O1811" s="115"/>
      <c r="P1811" s="115"/>
      <c r="Q1811" s="115"/>
      <c r="R1811" s="115"/>
      <c r="S1811" s="115"/>
      <c r="T1811" s="115"/>
      <c r="U1811" s="115"/>
      <c r="V1811" s="115"/>
      <c r="W1811" s="115"/>
      <c r="X1811" s="115"/>
      <c r="Y1811" s="115"/>
      <c r="Z1811" s="115"/>
      <c r="AA1811" s="115"/>
      <c r="AB1811" s="115"/>
      <c r="AC1811" s="115"/>
      <c r="AD1811" s="115"/>
      <c r="AE1811" s="115"/>
      <c r="AF1811" s="115"/>
      <c r="AG1811" s="115"/>
      <c r="AH1811" s="115"/>
      <c r="AI1811" s="115"/>
      <c r="AJ1811" s="115"/>
      <c r="AK1811" s="115"/>
      <c r="AL1811" s="115"/>
      <c r="AM1811" s="115"/>
      <c r="AN1811" s="115"/>
      <c r="AO1811" s="115"/>
      <c r="AP1811" s="115"/>
      <c r="AQ1811" s="115"/>
      <c r="AR1811" s="115"/>
      <c r="AS1811" s="115"/>
      <c r="AT1811" s="115"/>
      <c r="AU1811" s="115"/>
      <c r="AV1811" s="115"/>
      <c r="AW1811" s="115"/>
      <c r="AX1811" s="115"/>
      <c r="AY1811" s="115"/>
      <c r="AZ1811" s="115"/>
      <c r="BA1811" s="115"/>
      <c r="BB1811" s="115"/>
      <c r="BC1811" s="115"/>
      <c r="BD1811" s="115"/>
      <c r="BE1811" s="115"/>
      <c r="BF1811" s="122"/>
      <c r="BG1811" s="122"/>
      <c r="BH1811" s="122"/>
      <c r="BI1811" s="115"/>
      <c r="BJ1811" s="115"/>
      <c r="BK1811" s="115"/>
      <c r="BL1811" s="115"/>
      <c r="BM1811" s="115"/>
      <c r="BN1811" s="115"/>
      <c r="BO1811" s="115"/>
      <c r="BP1811" s="115"/>
      <c r="BQ1811" s="115"/>
      <c r="BR1811" s="115"/>
      <c r="BS1811" s="115"/>
      <c r="BT1811" s="115"/>
      <c r="BU1811" s="115"/>
      <c r="BV1811" s="115"/>
      <c r="BW1811" s="26"/>
      <c r="BX1811" s="15"/>
    </row>
    <row r="1812" spans="3:76" x14ac:dyDescent="0.4">
      <c r="C1812" s="115"/>
      <c r="D1812" s="115"/>
      <c r="E1812" s="115"/>
      <c r="F1812" s="115"/>
      <c r="G1812" s="115"/>
      <c r="H1812" s="115"/>
      <c r="I1812" s="115"/>
      <c r="J1812" s="115"/>
      <c r="K1812" s="115"/>
      <c r="L1812" s="115"/>
      <c r="M1812" s="115"/>
      <c r="N1812" s="115"/>
      <c r="O1812" s="115"/>
      <c r="P1812" s="115"/>
      <c r="Q1812" s="115"/>
      <c r="R1812" s="115"/>
      <c r="S1812" s="115"/>
      <c r="T1812" s="115"/>
      <c r="U1812" s="115"/>
      <c r="V1812" s="115"/>
      <c r="W1812" s="115"/>
      <c r="X1812" s="115"/>
      <c r="Y1812" s="115"/>
      <c r="Z1812" s="115"/>
      <c r="AA1812" s="115"/>
      <c r="AB1812" s="115"/>
      <c r="AC1812" s="115"/>
      <c r="AD1812" s="115"/>
      <c r="AE1812" s="115"/>
      <c r="AF1812" s="115"/>
      <c r="AG1812" s="115"/>
      <c r="AH1812" s="115"/>
      <c r="AI1812" s="115"/>
      <c r="AJ1812" s="115"/>
      <c r="AK1812" s="115"/>
      <c r="AL1812" s="115"/>
      <c r="AM1812" s="115"/>
      <c r="AN1812" s="115"/>
      <c r="AO1812" s="115"/>
      <c r="AP1812" s="115"/>
      <c r="AQ1812" s="115"/>
      <c r="AR1812" s="115"/>
      <c r="AS1812" s="115"/>
      <c r="AT1812" s="115"/>
      <c r="AU1812" s="115"/>
      <c r="AV1812" s="115"/>
      <c r="AW1812" s="115"/>
      <c r="AX1812" s="115"/>
      <c r="AY1812" s="115"/>
      <c r="AZ1812" s="115"/>
      <c r="BA1812" s="115"/>
      <c r="BB1812" s="115"/>
      <c r="BC1812" s="115"/>
      <c r="BD1812" s="115"/>
      <c r="BE1812" s="115"/>
      <c r="BF1812" s="122"/>
      <c r="BG1812" s="122"/>
      <c r="BH1812" s="122"/>
      <c r="BI1812" s="115"/>
      <c r="BJ1812" s="115"/>
      <c r="BK1812" s="115"/>
      <c r="BL1812" s="115"/>
      <c r="BM1812" s="115"/>
      <c r="BN1812" s="115"/>
      <c r="BO1812" s="115"/>
      <c r="BP1812" s="115"/>
      <c r="BQ1812" s="115"/>
      <c r="BR1812" s="115"/>
      <c r="BS1812" s="115"/>
      <c r="BT1812" s="115"/>
      <c r="BU1812" s="115"/>
      <c r="BV1812" s="115"/>
      <c r="BW1812" s="26"/>
      <c r="BX1812" s="15"/>
    </row>
    <row r="1813" spans="3:76" x14ac:dyDescent="0.4">
      <c r="C1813" s="115"/>
      <c r="D1813" s="115"/>
      <c r="E1813" s="115"/>
      <c r="F1813" s="115"/>
      <c r="G1813" s="115"/>
      <c r="H1813" s="115"/>
      <c r="I1813" s="115"/>
      <c r="J1813" s="115"/>
      <c r="K1813" s="115"/>
      <c r="L1813" s="115"/>
      <c r="M1813" s="115"/>
      <c r="N1813" s="115"/>
      <c r="O1813" s="115"/>
      <c r="P1813" s="115"/>
      <c r="Q1813" s="115"/>
      <c r="R1813" s="115"/>
      <c r="S1813" s="115"/>
      <c r="T1813" s="115"/>
      <c r="U1813" s="115"/>
      <c r="V1813" s="115"/>
      <c r="W1813" s="115"/>
      <c r="X1813" s="115"/>
      <c r="Y1813" s="115"/>
      <c r="Z1813" s="115"/>
      <c r="AA1813" s="115"/>
      <c r="AB1813" s="115"/>
      <c r="AC1813" s="115"/>
      <c r="AD1813" s="115"/>
      <c r="AE1813" s="115"/>
      <c r="AF1813" s="115"/>
      <c r="AG1813" s="115"/>
      <c r="AH1813" s="115"/>
      <c r="AI1813" s="115"/>
      <c r="AJ1813" s="115"/>
      <c r="AK1813" s="115"/>
      <c r="AL1813" s="115"/>
      <c r="AM1813" s="115"/>
      <c r="AN1813" s="115"/>
      <c r="AO1813" s="115"/>
      <c r="AP1813" s="115"/>
      <c r="AQ1813" s="115"/>
      <c r="AR1813" s="115"/>
      <c r="AS1813" s="115"/>
      <c r="AT1813" s="115"/>
      <c r="AU1813" s="115"/>
      <c r="AV1813" s="115"/>
      <c r="AW1813" s="115"/>
      <c r="AX1813" s="115"/>
      <c r="AY1813" s="115"/>
      <c r="AZ1813" s="115"/>
      <c r="BA1813" s="115"/>
      <c r="BB1813" s="115"/>
      <c r="BC1813" s="115"/>
      <c r="BD1813" s="115"/>
      <c r="BE1813" s="115"/>
      <c r="BF1813" s="122"/>
      <c r="BG1813" s="122"/>
      <c r="BH1813" s="122"/>
      <c r="BI1813" s="115"/>
      <c r="BJ1813" s="115"/>
      <c r="BK1813" s="115"/>
      <c r="BL1813" s="115"/>
      <c r="BM1813" s="115"/>
      <c r="BN1813" s="115"/>
      <c r="BO1813" s="115"/>
      <c r="BP1813" s="115"/>
      <c r="BQ1813" s="115"/>
      <c r="BR1813" s="115"/>
      <c r="BS1813" s="115"/>
      <c r="BT1813" s="115"/>
      <c r="BU1813" s="115"/>
      <c r="BV1813" s="115"/>
      <c r="BW1813" s="17"/>
      <c r="BX1813" s="15"/>
    </row>
    <row r="1814" spans="3:76" x14ac:dyDescent="0.4">
      <c r="BW1814" s="26"/>
      <c r="BX1814" s="15"/>
    </row>
    <row r="1815" spans="3:76" x14ac:dyDescent="0.4">
      <c r="D1815" s="115"/>
      <c r="E1815" s="115"/>
      <c r="F1815" s="115"/>
      <c r="G1815" s="115"/>
      <c r="H1815" s="115"/>
      <c r="I1815" s="115"/>
      <c r="J1815" s="115"/>
      <c r="K1815" s="115"/>
      <c r="L1815" s="115"/>
      <c r="M1815" s="115"/>
      <c r="N1815" s="115"/>
      <c r="O1815" s="115"/>
      <c r="P1815" s="115"/>
      <c r="Q1815" s="115"/>
      <c r="R1815" s="115"/>
      <c r="S1815" s="115"/>
      <c r="T1815" s="115"/>
      <c r="U1815" s="115"/>
      <c r="V1815" s="115"/>
      <c r="W1815" s="115"/>
      <c r="X1815" s="115"/>
      <c r="Y1815" s="115"/>
      <c r="Z1815" s="115"/>
      <c r="AA1815" s="115"/>
      <c r="AB1815" s="115"/>
      <c r="AC1815" s="115"/>
      <c r="AD1815" s="115"/>
      <c r="AE1815" s="115"/>
      <c r="AF1815" s="115"/>
      <c r="AG1815" s="115"/>
      <c r="AH1815" s="115"/>
      <c r="AI1815" s="115"/>
      <c r="AJ1815" s="115"/>
      <c r="AK1815" s="115"/>
      <c r="AL1815" s="115"/>
      <c r="AM1815" s="115"/>
      <c r="AN1815" s="115"/>
      <c r="AO1815" s="115"/>
      <c r="AP1815" s="115"/>
      <c r="AQ1815" s="115"/>
      <c r="AR1815" s="115"/>
      <c r="AS1815" s="115"/>
      <c r="AT1815" s="115"/>
      <c r="AU1815" s="115"/>
      <c r="AV1815" s="115"/>
      <c r="AW1815" s="115"/>
      <c r="AX1815" s="115"/>
      <c r="AY1815" s="115"/>
      <c r="AZ1815" s="115"/>
      <c r="BA1815" s="115"/>
      <c r="BB1815" s="115"/>
      <c r="BC1815" s="115"/>
      <c r="BD1815" s="115"/>
      <c r="BE1815" s="115"/>
      <c r="BF1815" s="122"/>
      <c r="BG1815" s="122"/>
      <c r="BH1815" s="122"/>
      <c r="BI1815" s="115"/>
      <c r="BJ1815" s="115"/>
      <c r="BK1815" s="115"/>
      <c r="BL1815" s="115"/>
      <c r="BM1815" s="115"/>
      <c r="BN1815" s="115"/>
      <c r="BO1815" s="115"/>
      <c r="BP1815" s="115"/>
      <c r="BQ1815" s="115"/>
      <c r="BR1815" s="115"/>
      <c r="BS1815" s="115"/>
      <c r="BT1815" s="115"/>
      <c r="BU1815" s="115"/>
      <c r="BV1815" s="115"/>
      <c r="BW1815" s="26"/>
      <c r="BX1815" s="15"/>
    </row>
    <row r="1816" spans="3:76" x14ac:dyDescent="0.4">
      <c r="D1816" s="115"/>
      <c r="E1816" s="115"/>
      <c r="F1816" s="115"/>
      <c r="G1816" s="115"/>
      <c r="H1816" s="115"/>
      <c r="I1816" s="115"/>
      <c r="J1816" s="115"/>
      <c r="K1816" s="115"/>
      <c r="L1816" s="115"/>
      <c r="M1816" s="115"/>
      <c r="N1816" s="115"/>
      <c r="O1816" s="115"/>
      <c r="P1816" s="115"/>
      <c r="Q1816" s="115"/>
      <c r="R1816" s="115"/>
      <c r="S1816" s="115"/>
      <c r="T1816" s="115"/>
      <c r="U1816" s="115"/>
      <c r="V1816" s="115"/>
      <c r="W1816" s="115"/>
      <c r="X1816" s="115"/>
      <c r="Y1816" s="115"/>
      <c r="Z1816" s="115"/>
      <c r="AA1816" s="115"/>
      <c r="AB1816" s="115"/>
      <c r="AC1816" s="115"/>
      <c r="AD1816" s="115"/>
      <c r="AE1816" s="115"/>
      <c r="AF1816" s="115"/>
      <c r="AG1816" s="115"/>
      <c r="AH1816" s="115"/>
      <c r="AI1816" s="115"/>
      <c r="AJ1816" s="115"/>
      <c r="AK1816" s="115"/>
      <c r="AL1816" s="115"/>
      <c r="AM1816" s="115"/>
      <c r="AN1816" s="115"/>
      <c r="AO1816" s="115"/>
      <c r="AP1816" s="115"/>
      <c r="AQ1816" s="115"/>
      <c r="AR1816" s="115"/>
      <c r="AS1816" s="115"/>
      <c r="AT1816" s="115"/>
      <c r="AU1816" s="115"/>
      <c r="AV1816" s="115"/>
      <c r="AW1816" s="115"/>
      <c r="AX1816" s="115"/>
      <c r="AY1816" s="115"/>
      <c r="AZ1816" s="115"/>
      <c r="BA1816" s="115"/>
      <c r="BB1816" s="115"/>
      <c r="BC1816" s="115"/>
      <c r="BD1816" s="115"/>
      <c r="BE1816" s="115"/>
      <c r="BF1816" s="122"/>
      <c r="BG1816" s="122"/>
      <c r="BH1816" s="122"/>
      <c r="BI1816" s="115"/>
      <c r="BJ1816" s="115"/>
      <c r="BK1816" s="115"/>
      <c r="BL1816" s="115"/>
      <c r="BM1816" s="115"/>
      <c r="BN1816" s="115"/>
      <c r="BO1816" s="115"/>
      <c r="BP1816" s="115"/>
      <c r="BQ1816" s="115"/>
      <c r="BR1816" s="115"/>
      <c r="BS1816" s="115"/>
      <c r="BT1816" s="115"/>
      <c r="BU1816" s="115"/>
      <c r="BV1816" s="115"/>
      <c r="BW1816" s="17"/>
      <c r="BX1816" s="15"/>
    </row>
    <row r="1817" spans="3:76" x14ac:dyDescent="0.4">
      <c r="BW1817" s="26"/>
      <c r="BX1817" s="15"/>
    </row>
    <row r="1818" spans="3:76" x14ac:dyDescent="0.4">
      <c r="BB1818" s="115"/>
      <c r="BC1818" s="115"/>
      <c r="BD1818" s="115"/>
      <c r="BE1818" s="115"/>
      <c r="BF1818" s="122"/>
      <c r="BG1818" s="122"/>
      <c r="BH1818" s="122"/>
      <c r="BI1818" s="115"/>
      <c r="BJ1818" s="115"/>
      <c r="BK1818" s="115"/>
      <c r="BL1818" s="115"/>
      <c r="BM1818" s="115"/>
      <c r="BN1818" s="115"/>
      <c r="BO1818" s="115"/>
      <c r="BP1818" s="115"/>
      <c r="BQ1818" s="115"/>
      <c r="BR1818" s="115"/>
      <c r="BS1818" s="115"/>
      <c r="BT1818" s="115"/>
      <c r="BU1818" s="115"/>
      <c r="BV1818" s="115"/>
      <c r="BW1818" s="17"/>
      <c r="BX1818" s="15"/>
    </row>
    <row r="1819" spans="3:76" x14ac:dyDescent="0.4">
      <c r="C1819" s="115"/>
      <c r="D1819" s="115"/>
      <c r="E1819" s="115"/>
      <c r="F1819" s="115"/>
      <c r="G1819" s="115"/>
      <c r="H1819" s="115"/>
      <c r="I1819" s="115"/>
      <c r="J1819" s="115"/>
      <c r="K1819" s="115"/>
      <c r="L1819" s="115"/>
      <c r="M1819" s="115"/>
      <c r="N1819" s="115"/>
      <c r="O1819" s="115"/>
      <c r="P1819" s="115"/>
      <c r="Q1819" s="115"/>
      <c r="R1819" s="115"/>
      <c r="S1819" s="115"/>
      <c r="T1819" s="115"/>
      <c r="U1819" s="115"/>
      <c r="V1819" s="115"/>
      <c r="W1819" s="115"/>
      <c r="X1819" s="115"/>
      <c r="Y1819" s="115"/>
      <c r="Z1819" s="115"/>
      <c r="AA1819" s="115"/>
      <c r="AB1819" s="115"/>
      <c r="AC1819" s="115"/>
      <c r="AD1819" s="115"/>
      <c r="AE1819" s="115"/>
      <c r="AF1819" s="115"/>
      <c r="AG1819" s="115"/>
      <c r="AH1819" s="115"/>
      <c r="AI1819" s="115"/>
      <c r="AJ1819" s="115"/>
      <c r="AK1819" s="115"/>
      <c r="AL1819" s="115"/>
      <c r="AM1819" s="115"/>
      <c r="AN1819" s="115"/>
      <c r="AO1819" s="115"/>
      <c r="AP1819" s="115"/>
      <c r="AQ1819" s="115"/>
      <c r="AR1819" s="115"/>
      <c r="AS1819" s="115"/>
      <c r="AT1819" s="115"/>
      <c r="AU1819" s="115"/>
      <c r="AV1819" s="115"/>
      <c r="AW1819" s="115"/>
      <c r="AX1819" s="115"/>
      <c r="AY1819" s="115"/>
      <c r="AZ1819" s="115"/>
      <c r="BA1819" s="115"/>
      <c r="BB1819" s="115"/>
      <c r="BC1819" s="115"/>
      <c r="BD1819" s="115"/>
      <c r="BE1819" s="115"/>
      <c r="BF1819" s="122"/>
      <c r="BG1819" s="122"/>
      <c r="BH1819" s="122"/>
      <c r="BI1819" s="115"/>
      <c r="BJ1819" s="115"/>
      <c r="BK1819" s="115"/>
      <c r="BL1819" s="115"/>
      <c r="BM1819" s="115"/>
      <c r="BN1819" s="115"/>
      <c r="BO1819" s="115"/>
      <c r="BP1819" s="115"/>
      <c r="BQ1819" s="115"/>
      <c r="BR1819" s="115"/>
      <c r="BS1819" s="115"/>
      <c r="BT1819" s="115"/>
      <c r="BU1819" s="115"/>
      <c r="BV1819" s="115"/>
      <c r="BW1819" s="26"/>
      <c r="BX1819" s="15"/>
    </row>
    <row r="1820" spans="3:76" x14ac:dyDescent="0.4">
      <c r="C1820" s="115"/>
      <c r="D1820" s="115"/>
      <c r="E1820" s="115"/>
      <c r="F1820" s="115"/>
      <c r="G1820" s="115"/>
      <c r="H1820" s="115"/>
      <c r="I1820" s="115"/>
      <c r="J1820" s="115"/>
      <c r="K1820" s="115"/>
      <c r="L1820" s="115"/>
      <c r="M1820" s="115"/>
      <c r="N1820" s="115"/>
      <c r="O1820" s="115"/>
      <c r="P1820" s="115"/>
      <c r="Q1820" s="115"/>
      <c r="R1820" s="115"/>
      <c r="S1820" s="115"/>
      <c r="T1820" s="115"/>
      <c r="U1820" s="115"/>
      <c r="V1820" s="115"/>
      <c r="W1820" s="115"/>
      <c r="X1820" s="115"/>
      <c r="Y1820" s="115"/>
      <c r="Z1820" s="115"/>
      <c r="AA1820" s="115"/>
      <c r="AB1820" s="115"/>
      <c r="AC1820" s="115"/>
      <c r="AD1820" s="115"/>
      <c r="AE1820" s="115"/>
      <c r="AF1820" s="115"/>
      <c r="AG1820" s="115"/>
      <c r="AH1820" s="115"/>
      <c r="AI1820" s="115"/>
      <c r="AJ1820" s="115"/>
      <c r="AK1820" s="115"/>
      <c r="AL1820" s="115"/>
      <c r="AM1820" s="115"/>
      <c r="AN1820" s="115"/>
      <c r="AO1820" s="115"/>
      <c r="AP1820" s="115"/>
      <c r="AQ1820" s="115"/>
      <c r="AR1820" s="115"/>
      <c r="AS1820" s="115"/>
      <c r="AT1820" s="115"/>
      <c r="AU1820" s="115"/>
      <c r="AV1820" s="115"/>
      <c r="AW1820" s="115"/>
      <c r="AX1820" s="115"/>
      <c r="AY1820" s="115"/>
      <c r="AZ1820" s="115"/>
      <c r="BA1820" s="115"/>
      <c r="BB1820" s="115"/>
      <c r="BC1820" s="115"/>
      <c r="BD1820" s="115"/>
      <c r="BE1820" s="115"/>
      <c r="BF1820" s="122"/>
      <c r="BG1820" s="122"/>
      <c r="BH1820" s="122"/>
      <c r="BI1820" s="115"/>
      <c r="BJ1820" s="115"/>
      <c r="BK1820" s="115"/>
      <c r="BL1820" s="115"/>
      <c r="BM1820" s="115"/>
      <c r="BN1820" s="115"/>
      <c r="BO1820" s="115"/>
      <c r="BP1820" s="115"/>
      <c r="BQ1820" s="115"/>
      <c r="BR1820" s="115"/>
      <c r="BS1820" s="115"/>
      <c r="BT1820" s="115"/>
      <c r="BU1820" s="115"/>
      <c r="BV1820" s="115"/>
      <c r="BW1820" s="17"/>
      <c r="BX1820" s="15"/>
    </row>
    <row r="1821" spans="3:76" x14ac:dyDescent="0.4">
      <c r="BW1821" s="26"/>
      <c r="BX1821" s="15"/>
    </row>
    <row r="1822" spans="3:76" x14ac:dyDescent="0.4">
      <c r="BW1822" s="26"/>
      <c r="BX1822" s="15"/>
    </row>
    <row r="1823" spans="3:76" x14ac:dyDescent="0.4">
      <c r="BA1823" s="115"/>
      <c r="BB1823" s="115"/>
      <c r="BC1823" s="115"/>
      <c r="BD1823" s="115"/>
      <c r="BE1823" s="115"/>
      <c r="BF1823" s="122"/>
      <c r="BG1823" s="122"/>
      <c r="BH1823" s="122"/>
      <c r="BI1823" s="115"/>
      <c r="BJ1823" s="115"/>
      <c r="BK1823" s="115"/>
      <c r="BL1823" s="115"/>
      <c r="BM1823" s="115"/>
      <c r="BN1823" s="115"/>
      <c r="BO1823" s="115"/>
      <c r="BP1823" s="115"/>
      <c r="BQ1823" s="115"/>
      <c r="BR1823" s="115"/>
      <c r="BS1823" s="115"/>
      <c r="BT1823" s="115"/>
      <c r="BU1823" s="115"/>
      <c r="BV1823" s="115"/>
      <c r="BW1823" s="26"/>
      <c r="BX1823" s="15"/>
    </row>
    <row r="1824" spans="3:76" x14ac:dyDescent="0.4">
      <c r="AY1824" s="115"/>
      <c r="AZ1824" s="115"/>
      <c r="BA1824" s="115"/>
      <c r="BB1824" s="115"/>
      <c r="BC1824" s="115"/>
      <c r="BD1824" s="115"/>
      <c r="BE1824" s="115"/>
      <c r="BF1824" s="122"/>
      <c r="BG1824" s="122"/>
      <c r="BH1824" s="122"/>
      <c r="BI1824" s="115"/>
      <c r="BJ1824" s="115"/>
      <c r="BK1824" s="115"/>
      <c r="BL1824" s="115"/>
      <c r="BM1824" s="115"/>
      <c r="BN1824" s="115"/>
      <c r="BO1824" s="115"/>
      <c r="BP1824" s="115"/>
      <c r="BQ1824" s="115"/>
      <c r="BR1824" s="115"/>
      <c r="BS1824" s="115"/>
      <c r="BT1824" s="115"/>
      <c r="BU1824" s="115"/>
      <c r="BV1824" s="115"/>
      <c r="BW1824" s="26"/>
      <c r="BX1824" s="15"/>
    </row>
    <row r="1825" spans="3:76" x14ac:dyDescent="0.4">
      <c r="AY1825" s="115"/>
      <c r="AZ1825" s="115"/>
      <c r="BA1825" s="115"/>
      <c r="BB1825" s="115"/>
      <c r="BC1825" s="115"/>
      <c r="BD1825" s="115"/>
      <c r="BE1825" s="115"/>
      <c r="BF1825" s="122"/>
      <c r="BG1825" s="122"/>
      <c r="BH1825" s="122"/>
      <c r="BI1825" s="115"/>
      <c r="BJ1825" s="115"/>
      <c r="BK1825" s="115"/>
      <c r="BL1825" s="115"/>
      <c r="BM1825" s="115"/>
      <c r="BN1825" s="115"/>
      <c r="BO1825" s="115"/>
      <c r="BP1825" s="115"/>
      <c r="BQ1825" s="115"/>
      <c r="BR1825" s="115"/>
      <c r="BS1825" s="115"/>
      <c r="BT1825" s="115"/>
      <c r="BU1825" s="115"/>
      <c r="BV1825" s="115"/>
      <c r="BW1825" s="26"/>
      <c r="BX1825" s="15"/>
    </row>
    <row r="1826" spans="3:76" x14ac:dyDescent="0.4">
      <c r="E1826" s="115"/>
      <c r="F1826" s="115"/>
      <c r="G1826" s="115"/>
      <c r="H1826" s="115"/>
      <c r="I1826" s="115"/>
      <c r="J1826" s="115"/>
      <c r="K1826" s="115"/>
      <c r="L1826" s="115"/>
      <c r="M1826" s="115"/>
      <c r="N1826" s="115"/>
      <c r="O1826" s="115"/>
      <c r="P1826" s="115"/>
      <c r="Q1826" s="115"/>
      <c r="R1826" s="115"/>
      <c r="S1826" s="115"/>
      <c r="T1826" s="115"/>
      <c r="U1826" s="115"/>
      <c r="V1826" s="115"/>
      <c r="W1826" s="115"/>
      <c r="X1826" s="115"/>
      <c r="Y1826" s="115"/>
      <c r="Z1826" s="115"/>
      <c r="AA1826" s="115"/>
      <c r="AB1826" s="115"/>
      <c r="AC1826" s="115"/>
      <c r="AD1826" s="115"/>
      <c r="AE1826" s="115"/>
      <c r="AF1826" s="115"/>
      <c r="AG1826" s="115"/>
      <c r="AH1826" s="115"/>
      <c r="AI1826" s="115"/>
      <c r="AJ1826" s="115"/>
      <c r="AK1826" s="115"/>
      <c r="AL1826" s="115"/>
      <c r="AM1826" s="115"/>
      <c r="AN1826" s="115"/>
      <c r="AO1826" s="115"/>
      <c r="AP1826" s="115"/>
      <c r="AQ1826" s="115"/>
      <c r="AR1826" s="115"/>
      <c r="AS1826" s="115"/>
      <c r="AT1826" s="115"/>
      <c r="AU1826" s="115"/>
      <c r="AV1826" s="115"/>
      <c r="AW1826" s="115"/>
      <c r="AX1826" s="115"/>
      <c r="AY1826" s="115"/>
      <c r="AZ1826" s="115"/>
      <c r="BA1826" s="115"/>
      <c r="BB1826" s="115"/>
      <c r="BC1826" s="115"/>
      <c r="BD1826" s="115"/>
      <c r="BE1826" s="115"/>
      <c r="BF1826" s="122"/>
      <c r="BG1826" s="122"/>
      <c r="BH1826" s="122"/>
      <c r="BI1826" s="115"/>
      <c r="BJ1826" s="115"/>
      <c r="BK1826" s="115"/>
      <c r="BL1826" s="115"/>
      <c r="BM1826" s="115"/>
      <c r="BN1826" s="115"/>
      <c r="BO1826" s="115"/>
      <c r="BP1826" s="115"/>
      <c r="BQ1826" s="115"/>
      <c r="BR1826" s="115"/>
      <c r="BS1826" s="115"/>
      <c r="BT1826" s="115"/>
      <c r="BU1826" s="115"/>
      <c r="BV1826" s="115"/>
      <c r="BW1826" s="26"/>
      <c r="BX1826" s="15"/>
    </row>
    <row r="1827" spans="3:76" x14ac:dyDescent="0.4">
      <c r="E1827" s="115"/>
      <c r="F1827" s="115"/>
      <c r="G1827" s="115"/>
      <c r="H1827" s="115"/>
      <c r="I1827" s="115"/>
      <c r="J1827" s="115"/>
      <c r="K1827" s="115"/>
      <c r="L1827" s="115"/>
      <c r="M1827" s="115"/>
      <c r="N1827" s="115"/>
      <c r="O1827" s="115"/>
      <c r="P1827" s="115"/>
      <c r="Q1827" s="115"/>
      <c r="R1827" s="115"/>
      <c r="S1827" s="115"/>
      <c r="T1827" s="115"/>
      <c r="U1827" s="115"/>
      <c r="V1827" s="115"/>
      <c r="W1827" s="115"/>
      <c r="X1827" s="115"/>
      <c r="Y1827" s="115"/>
      <c r="Z1827" s="115"/>
      <c r="AA1827" s="115"/>
      <c r="AB1827" s="115"/>
      <c r="AC1827" s="115"/>
      <c r="AD1827" s="115"/>
      <c r="AE1827" s="115"/>
      <c r="AF1827" s="115"/>
      <c r="AG1827" s="115"/>
      <c r="AH1827" s="115"/>
      <c r="AI1827" s="115"/>
      <c r="AJ1827" s="115"/>
      <c r="AK1827" s="115"/>
      <c r="AL1827" s="115"/>
      <c r="AM1827" s="115"/>
      <c r="AN1827" s="115"/>
      <c r="AO1827" s="115"/>
      <c r="AP1827" s="115"/>
      <c r="AQ1827" s="115"/>
      <c r="AR1827" s="115"/>
      <c r="AS1827" s="115"/>
      <c r="AT1827" s="115"/>
      <c r="AU1827" s="115"/>
      <c r="AV1827" s="115"/>
      <c r="AW1827" s="115"/>
      <c r="AX1827" s="115"/>
      <c r="AY1827" s="115"/>
      <c r="AZ1827" s="115"/>
      <c r="BA1827" s="115"/>
      <c r="BB1827" s="115"/>
      <c r="BC1827" s="115"/>
      <c r="BD1827" s="115"/>
      <c r="BE1827" s="115"/>
      <c r="BF1827" s="122"/>
      <c r="BG1827" s="122"/>
      <c r="BH1827" s="122"/>
      <c r="BI1827" s="115"/>
      <c r="BJ1827" s="115"/>
      <c r="BK1827" s="115"/>
      <c r="BL1827" s="115"/>
      <c r="BM1827" s="115"/>
      <c r="BN1827" s="115"/>
      <c r="BO1827" s="115"/>
      <c r="BP1827" s="115"/>
      <c r="BQ1827" s="115"/>
      <c r="BR1827" s="115"/>
      <c r="BS1827" s="115"/>
      <c r="BT1827" s="115"/>
      <c r="BU1827" s="115"/>
      <c r="BV1827" s="115"/>
      <c r="BW1827" s="26"/>
      <c r="BX1827" s="15"/>
    </row>
    <row r="1828" spans="3:76" x14ac:dyDescent="0.4">
      <c r="BW1828" s="26"/>
      <c r="BX1828" s="15"/>
    </row>
    <row r="1829" spans="3:76" x14ac:dyDescent="0.4">
      <c r="BA1829" s="115"/>
      <c r="BB1829" s="115"/>
      <c r="BC1829" s="115"/>
      <c r="BD1829" s="115"/>
      <c r="BE1829" s="115"/>
      <c r="BF1829" s="122"/>
      <c r="BG1829" s="122"/>
      <c r="BH1829" s="122"/>
      <c r="BI1829" s="115"/>
      <c r="BJ1829" s="115"/>
      <c r="BK1829" s="115"/>
      <c r="BL1829" s="115"/>
      <c r="BM1829" s="115"/>
      <c r="BN1829" s="115"/>
      <c r="BO1829" s="115"/>
      <c r="BP1829" s="115"/>
      <c r="BQ1829" s="115"/>
      <c r="BR1829" s="115"/>
      <c r="BS1829" s="115"/>
      <c r="BT1829" s="115"/>
      <c r="BU1829" s="115"/>
      <c r="BV1829" s="115"/>
      <c r="BW1829" s="26"/>
      <c r="BX1829" s="15"/>
    </row>
    <row r="1830" spans="3:76" x14ac:dyDescent="0.4">
      <c r="BW1830" s="26"/>
      <c r="BX1830" s="15"/>
    </row>
    <row r="1831" spans="3:76" x14ac:dyDescent="0.4">
      <c r="BB1831" s="115"/>
      <c r="BC1831" s="115"/>
      <c r="BD1831" s="115"/>
      <c r="BE1831" s="115"/>
      <c r="BF1831" s="122"/>
      <c r="BG1831" s="122"/>
      <c r="BH1831" s="122"/>
      <c r="BI1831" s="115"/>
      <c r="BJ1831" s="115"/>
      <c r="BK1831" s="115"/>
      <c r="BL1831" s="115"/>
      <c r="BM1831" s="115"/>
      <c r="BN1831" s="115"/>
      <c r="BO1831" s="115"/>
      <c r="BP1831" s="115"/>
      <c r="BQ1831" s="115"/>
      <c r="BR1831" s="115"/>
      <c r="BS1831" s="115"/>
      <c r="BT1831" s="115"/>
      <c r="BU1831" s="115"/>
      <c r="BV1831" s="115"/>
      <c r="BW1831" s="17"/>
      <c r="BX1831" s="15"/>
    </row>
    <row r="1832" spans="3:76" x14ac:dyDescent="0.4">
      <c r="BA1832" s="115"/>
      <c r="BB1832" s="115"/>
      <c r="BC1832" s="115"/>
      <c r="BD1832" s="115"/>
      <c r="BE1832" s="115"/>
      <c r="BF1832" s="122"/>
      <c r="BG1832" s="122"/>
      <c r="BH1832" s="122"/>
      <c r="BI1832" s="115"/>
      <c r="BJ1832" s="115"/>
      <c r="BK1832" s="115"/>
      <c r="BL1832" s="115"/>
      <c r="BM1832" s="115"/>
      <c r="BN1832" s="115"/>
      <c r="BO1832" s="115"/>
      <c r="BP1832" s="115"/>
      <c r="BQ1832" s="115"/>
      <c r="BR1832" s="115"/>
      <c r="BS1832" s="115"/>
      <c r="BT1832" s="115"/>
      <c r="BU1832" s="115"/>
      <c r="BV1832" s="115"/>
      <c r="BW1832" s="26"/>
      <c r="BX1832" s="15"/>
    </row>
    <row r="1833" spans="3:76" x14ac:dyDescent="0.4">
      <c r="C1833" s="115"/>
      <c r="D1833" s="115"/>
      <c r="E1833" s="115"/>
      <c r="F1833" s="115"/>
      <c r="G1833" s="115"/>
      <c r="H1833" s="115"/>
      <c r="I1833" s="115"/>
      <c r="J1833" s="115"/>
      <c r="K1833" s="115"/>
      <c r="L1833" s="115"/>
      <c r="M1833" s="115"/>
      <c r="N1833" s="115"/>
      <c r="O1833" s="115"/>
      <c r="P1833" s="115"/>
      <c r="Q1833" s="115"/>
      <c r="R1833" s="115"/>
      <c r="S1833" s="115"/>
      <c r="T1833" s="115"/>
      <c r="U1833" s="115"/>
      <c r="V1833" s="115"/>
      <c r="W1833" s="115"/>
      <c r="X1833" s="115"/>
      <c r="Y1833" s="115"/>
      <c r="Z1833" s="115"/>
      <c r="AA1833" s="115"/>
      <c r="AB1833" s="115"/>
      <c r="AC1833" s="115"/>
      <c r="AD1833" s="115"/>
      <c r="AE1833" s="115"/>
      <c r="AF1833" s="115"/>
      <c r="AG1833" s="115"/>
      <c r="AH1833" s="115"/>
      <c r="AI1833" s="115"/>
      <c r="AJ1833" s="115"/>
      <c r="AK1833" s="115"/>
      <c r="AL1833" s="115"/>
      <c r="AM1833" s="115"/>
      <c r="AN1833" s="115"/>
      <c r="AO1833" s="115"/>
      <c r="AP1833" s="115"/>
      <c r="AQ1833" s="115"/>
      <c r="AR1833" s="115"/>
      <c r="AS1833" s="115"/>
      <c r="AT1833" s="115"/>
      <c r="AU1833" s="115"/>
      <c r="AV1833" s="115"/>
      <c r="AW1833" s="115"/>
      <c r="AX1833" s="115"/>
      <c r="AY1833" s="115"/>
      <c r="AZ1833" s="115"/>
      <c r="BA1833" s="115"/>
      <c r="BB1833" s="115"/>
      <c r="BC1833" s="115"/>
      <c r="BD1833" s="115"/>
      <c r="BE1833" s="115"/>
      <c r="BF1833" s="122"/>
      <c r="BG1833" s="122"/>
      <c r="BH1833" s="122"/>
      <c r="BI1833" s="115"/>
      <c r="BJ1833" s="115"/>
      <c r="BK1833" s="115"/>
      <c r="BL1833" s="115"/>
      <c r="BM1833" s="115"/>
      <c r="BN1833" s="115"/>
      <c r="BO1833" s="115"/>
      <c r="BP1833" s="115"/>
      <c r="BQ1833" s="115"/>
      <c r="BR1833" s="115"/>
      <c r="BS1833" s="115"/>
      <c r="BT1833" s="115"/>
      <c r="BU1833" s="115"/>
      <c r="BV1833" s="115"/>
      <c r="BW1833" s="26"/>
      <c r="BX1833" s="15"/>
    </row>
    <row r="1834" spans="3:76" x14ac:dyDescent="0.4">
      <c r="C1834" s="115"/>
      <c r="D1834" s="115"/>
      <c r="E1834" s="115"/>
      <c r="F1834" s="115"/>
      <c r="G1834" s="115"/>
      <c r="H1834" s="115"/>
      <c r="I1834" s="115"/>
      <c r="J1834" s="115"/>
      <c r="K1834" s="115"/>
      <c r="L1834" s="115"/>
      <c r="M1834" s="115"/>
      <c r="N1834" s="115"/>
      <c r="O1834" s="115"/>
      <c r="P1834" s="115"/>
      <c r="Q1834" s="115"/>
      <c r="R1834" s="115"/>
      <c r="S1834" s="115"/>
      <c r="T1834" s="115"/>
      <c r="U1834" s="115"/>
      <c r="V1834" s="115"/>
      <c r="W1834" s="115"/>
      <c r="X1834" s="115"/>
      <c r="Y1834" s="115"/>
      <c r="Z1834" s="115"/>
      <c r="AA1834" s="115"/>
      <c r="AB1834" s="115"/>
      <c r="AC1834" s="115"/>
      <c r="AD1834" s="115"/>
      <c r="AE1834" s="115"/>
      <c r="AF1834" s="115"/>
      <c r="AG1834" s="115"/>
      <c r="AH1834" s="115"/>
      <c r="AI1834" s="115"/>
      <c r="AJ1834" s="115"/>
      <c r="AK1834" s="115"/>
      <c r="AL1834" s="115"/>
      <c r="AM1834" s="115"/>
      <c r="AN1834" s="115"/>
      <c r="AO1834" s="115"/>
      <c r="AP1834" s="115"/>
      <c r="AQ1834" s="115"/>
      <c r="AR1834" s="115"/>
      <c r="AS1834" s="115"/>
      <c r="AT1834" s="115"/>
      <c r="AU1834" s="115"/>
      <c r="AV1834" s="115"/>
      <c r="AW1834" s="115"/>
      <c r="AX1834" s="115"/>
      <c r="AY1834" s="115"/>
      <c r="AZ1834" s="115"/>
      <c r="BA1834" s="115"/>
      <c r="BB1834" s="115"/>
      <c r="BC1834" s="115"/>
      <c r="BD1834" s="115"/>
      <c r="BE1834" s="115"/>
      <c r="BF1834" s="122"/>
      <c r="BG1834" s="122"/>
      <c r="BH1834" s="122"/>
      <c r="BI1834" s="115"/>
      <c r="BJ1834" s="115"/>
      <c r="BK1834" s="115"/>
      <c r="BL1834" s="115"/>
      <c r="BM1834" s="115"/>
      <c r="BN1834" s="115"/>
      <c r="BO1834" s="115"/>
      <c r="BP1834" s="115"/>
      <c r="BQ1834" s="115"/>
      <c r="BR1834" s="115"/>
      <c r="BS1834" s="115"/>
      <c r="BT1834" s="115"/>
      <c r="BU1834" s="115"/>
      <c r="BV1834" s="115"/>
      <c r="BW1834" s="17"/>
      <c r="BX1834" s="15"/>
    </row>
    <row r="1835" spans="3:76" x14ac:dyDescent="0.4">
      <c r="BW1835" s="26"/>
      <c r="BX1835" s="15"/>
    </row>
    <row r="1836" spans="3:76" x14ac:dyDescent="0.4">
      <c r="BB1836" s="115"/>
      <c r="BC1836" s="115"/>
      <c r="BD1836" s="115"/>
      <c r="BE1836" s="115"/>
      <c r="BF1836" s="122"/>
      <c r="BG1836" s="122"/>
      <c r="BH1836" s="122"/>
      <c r="BI1836" s="115"/>
      <c r="BJ1836" s="115"/>
      <c r="BK1836" s="115"/>
      <c r="BL1836" s="115"/>
      <c r="BM1836" s="115"/>
      <c r="BN1836" s="115"/>
      <c r="BO1836" s="115"/>
      <c r="BP1836" s="115"/>
      <c r="BQ1836" s="115"/>
      <c r="BR1836" s="115"/>
      <c r="BS1836" s="115"/>
      <c r="BT1836" s="115"/>
      <c r="BU1836" s="115"/>
      <c r="BV1836" s="115"/>
      <c r="BW1836" s="17"/>
      <c r="BX1836" s="15"/>
    </row>
    <row r="1837" spans="3:76" x14ac:dyDescent="0.4">
      <c r="BA1837" s="115"/>
      <c r="BB1837" s="115"/>
      <c r="BC1837" s="115"/>
      <c r="BD1837" s="115"/>
      <c r="BE1837" s="115"/>
      <c r="BF1837" s="122"/>
      <c r="BG1837" s="122"/>
      <c r="BH1837" s="122"/>
      <c r="BI1837" s="115"/>
      <c r="BJ1837" s="115"/>
      <c r="BK1837" s="115"/>
      <c r="BL1837" s="115"/>
      <c r="BM1837" s="115"/>
      <c r="BN1837" s="115"/>
      <c r="BO1837" s="115"/>
      <c r="BP1837" s="115"/>
      <c r="BQ1837" s="115"/>
      <c r="BR1837" s="115"/>
      <c r="BS1837" s="115"/>
      <c r="BT1837" s="115"/>
      <c r="BU1837" s="115"/>
      <c r="BV1837" s="115"/>
      <c r="BW1837" s="26"/>
      <c r="BX1837" s="15"/>
    </row>
    <row r="1838" spans="3:76" x14ac:dyDescent="0.4">
      <c r="BA1838" s="115"/>
      <c r="BB1838" s="115"/>
      <c r="BC1838" s="115"/>
      <c r="BD1838" s="115"/>
      <c r="BE1838" s="115"/>
      <c r="BF1838" s="122"/>
      <c r="BG1838" s="122"/>
      <c r="BH1838" s="122"/>
      <c r="BI1838" s="115"/>
      <c r="BJ1838" s="115"/>
      <c r="BK1838" s="115"/>
      <c r="BL1838" s="115"/>
      <c r="BM1838" s="115"/>
      <c r="BN1838" s="115"/>
      <c r="BO1838" s="115"/>
      <c r="BP1838" s="115"/>
      <c r="BQ1838" s="115"/>
      <c r="BR1838" s="115"/>
      <c r="BS1838" s="115"/>
      <c r="BT1838" s="115"/>
      <c r="BU1838" s="115"/>
      <c r="BV1838" s="115"/>
      <c r="BW1838" s="17"/>
      <c r="BX1838" s="15"/>
    </row>
    <row r="1839" spans="3:76" x14ac:dyDescent="0.4">
      <c r="BA1839" s="115"/>
      <c r="BB1839" s="115"/>
      <c r="BC1839" s="115"/>
      <c r="BD1839" s="115"/>
      <c r="BE1839" s="115"/>
      <c r="BF1839" s="122"/>
      <c r="BG1839" s="122"/>
      <c r="BH1839" s="122"/>
      <c r="BI1839" s="115"/>
      <c r="BJ1839" s="115"/>
      <c r="BK1839" s="115"/>
      <c r="BL1839" s="115"/>
      <c r="BM1839" s="115"/>
      <c r="BN1839" s="115"/>
      <c r="BO1839" s="115"/>
      <c r="BP1839" s="115"/>
      <c r="BQ1839" s="115"/>
      <c r="BR1839" s="115"/>
      <c r="BS1839" s="115"/>
      <c r="BT1839" s="115"/>
      <c r="BU1839" s="115"/>
      <c r="BV1839" s="115"/>
      <c r="BW1839" s="17"/>
      <c r="BX1839" s="15"/>
    </row>
    <row r="1840" spans="3:76" x14ac:dyDescent="0.4">
      <c r="E1840" s="115"/>
      <c r="F1840" s="115"/>
      <c r="G1840" s="115"/>
      <c r="H1840" s="115"/>
      <c r="I1840" s="115"/>
      <c r="J1840" s="115"/>
      <c r="K1840" s="115"/>
      <c r="L1840" s="115"/>
      <c r="M1840" s="115"/>
      <c r="N1840" s="115"/>
      <c r="O1840" s="115"/>
      <c r="P1840" s="115"/>
      <c r="Q1840" s="115"/>
      <c r="R1840" s="115"/>
      <c r="S1840" s="115"/>
      <c r="T1840" s="115"/>
      <c r="U1840" s="115"/>
      <c r="V1840" s="115"/>
      <c r="W1840" s="115"/>
      <c r="X1840" s="115"/>
      <c r="Y1840" s="115"/>
      <c r="Z1840" s="115"/>
      <c r="AA1840" s="115"/>
      <c r="AB1840" s="115"/>
      <c r="AC1840" s="115"/>
      <c r="AD1840" s="115"/>
      <c r="AE1840" s="115"/>
      <c r="AF1840" s="115"/>
      <c r="AG1840" s="115"/>
      <c r="AH1840" s="115"/>
      <c r="AI1840" s="115"/>
      <c r="AJ1840" s="115"/>
      <c r="AK1840" s="115"/>
      <c r="AL1840" s="115"/>
      <c r="AM1840" s="115"/>
      <c r="AN1840" s="115"/>
      <c r="AO1840" s="115"/>
      <c r="AP1840" s="115"/>
      <c r="AQ1840" s="115"/>
      <c r="AR1840" s="115"/>
      <c r="AS1840" s="115"/>
      <c r="AT1840" s="115"/>
      <c r="AU1840" s="115"/>
      <c r="AV1840" s="115"/>
      <c r="AW1840" s="115"/>
      <c r="AX1840" s="115"/>
      <c r="AY1840" s="115"/>
      <c r="AZ1840" s="115"/>
      <c r="BA1840" s="115"/>
      <c r="BB1840" s="115"/>
      <c r="BC1840" s="115"/>
      <c r="BD1840" s="115"/>
      <c r="BE1840" s="115"/>
      <c r="BF1840" s="122"/>
      <c r="BG1840" s="122"/>
      <c r="BH1840" s="122"/>
      <c r="BI1840" s="115"/>
      <c r="BJ1840" s="115"/>
      <c r="BK1840" s="115"/>
      <c r="BL1840" s="115"/>
      <c r="BM1840" s="115"/>
      <c r="BN1840" s="115"/>
      <c r="BO1840" s="115"/>
      <c r="BP1840" s="115"/>
      <c r="BQ1840" s="115"/>
      <c r="BR1840" s="115"/>
      <c r="BS1840" s="115"/>
      <c r="BT1840" s="115"/>
      <c r="BU1840" s="115"/>
      <c r="BV1840" s="115"/>
      <c r="BW1840" s="26"/>
      <c r="BX1840" s="15"/>
    </row>
    <row r="1841" spans="3:76" x14ac:dyDescent="0.4">
      <c r="E1841" s="115"/>
      <c r="F1841" s="115"/>
      <c r="G1841" s="115"/>
      <c r="H1841" s="115"/>
      <c r="I1841" s="115"/>
      <c r="J1841" s="115"/>
      <c r="K1841" s="115"/>
      <c r="L1841" s="115"/>
      <c r="M1841" s="115"/>
      <c r="N1841" s="115"/>
      <c r="O1841" s="115"/>
      <c r="P1841" s="115"/>
      <c r="Q1841" s="115"/>
      <c r="R1841" s="115"/>
      <c r="S1841" s="115"/>
      <c r="T1841" s="115"/>
      <c r="U1841" s="115"/>
      <c r="V1841" s="115"/>
      <c r="W1841" s="115"/>
      <c r="X1841" s="115"/>
      <c r="Y1841" s="115"/>
      <c r="Z1841" s="115"/>
      <c r="AA1841" s="115"/>
      <c r="AB1841" s="115"/>
      <c r="AC1841" s="115"/>
      <c r="AD1841" s="115"/>
      <c r="AE1841" s="115"/>
      <c r="AF1841" s="115"/>
      <c r="AG1841" s="115"/>
      <c r="AH1841" s="115"/>
      <c r="AI1841" s="115"/>
      <c r="AJ1841" s="115"/>
      <c r="AK1841" s="115"/>
      <c r="AL1841" s="115"/>
      <c r="AM1841" s="115"/>
      <c r="AN1841" s="115"/>
      <c r="AO1841" s="115"/>
      <c r="AP1841" s="115"/>
      <c r="AQ1841" s="115"/>
      <c r="AR1841" s="115"/>
      <c r="AS1841" s="115"/>
      <c r="AT1841" s="115"/>
      <c r="AU1841" s="115"/>
      <c r="AV1841" s="115"/>
      <c r="AW1841" s="115"/>
      <c r="AX1841" s="115"/>
      <c r="AY1841" s="115"/>
      <c r="AZ1841" s="115"/>
      <c r="BA1841" s="115"/>
      <c r="BB1841" s="115"/>
      <c r="BC1841" s="115"/>
      <c r="BD1841" s="115"/>
      <c r="BE1841" s="115"/>
      <c r="BF1841" s="122"/>
      <c r="BG1841" s="122"/>
      <c r="BH1841" s="122"/>
      <c r="BI1841" s="115"/>
      <c r="BJ1841" s="115"/>
      <c r="BK1841" s="115"/>
      <c r="BL1841" s="115"/>
      <c r="BM1841" s="115"/>
      <c r="BN1841" s="115"/>
      <c r="BO1841" s="115"/>
      <c r="BP1841" s="115"/>
      <c r="BQ1841" s="115"/>
      <c r="BR1841" s="115"/>
      <c r="BS1841" s="115"/>
      <c r="BT1841" s="115"/>
      <c r="BU1841" s="115"/>
      <c r="BV1841" s="115"/>
      <c r="BW1841" s="26"/>
      <c r="BX1841" s="15"/>
    </row>
    <row r="1842" spans="3:76" x14ac:dyDescent="0.4">
      <c r="E1842" s="115"/>
      <c r="F1842" s="115"/>
      <c r="G1842" s="115"/>
      <c r="H1842" s="115"/>
      <c r="I1842" s="115"/>
      <c r="J1842" s="115"/>
      <c r="K1842" s="115"/>
      <c r="L1842" s="115"/>
      <c r="M1842" s="115"/>
      <c r="N1842" s="115"/>
      <c r="O1842" s="115"/>
      <c r="P1842" s="115"/>
      <c r="Q1842" s="115"/>
      <c r="R1842" s="115"/>
      <c r="S1842" s="115"/>
      <c r="T1842" s="115"/>
      <c r="U1842" s="115"/>
      <c r="V1842" s="115"/>
      <c r="W1842" s="115"/>
      <c r="X1842" s="115"/>
      <c r="Y1842" s="115"/>
      <c r="Z1842" s="115"/>
      <c r="AA1842" s="115"/>
      <c r="AB1842" s="115"/>
      <c r="AC1842" s="115"/>
      <c r="AD1842" s="115"/>
      <c r="AE1842" s="115"/>
      <c r="AF1842" s="115"/>
      <c r="AG1842" s="115"/>
      <c r="AH1842" s="115"/>
      <c r="AI1842" s="115"/>
      <c r="AJ1842" s="115"/>
      <c r="AK1842" s="115"/>
      <c r="AL1842" s="115"/>
      <c r="AM1842" s="115"/>
      <c r="AN1842" s="115"/>
      <c r="AO1842" s="115"/>
      <c r="AP1842" s="115"/>
      <c r="AQ1842" s="115"/>
      <c r="AR1842" s="115"/>
      <c r="AS1842" s="115"/>
      <c r="AT1842" s="115"/>
      <c r="AU1842" s="115"/>
      <c r="AV1842" s="115"/>
      <c r="AW1842" s="115"/>
      <c r="AX1842" s="115"/>
      <c r="AY1842" s="115"/>
      <c r="AZ1842" s="115"/>
      <c r="BA1842" s="115"/>
      <c r="BB1842" s="115"/>
      <c r="BC1842" s="115"/>
      <c r="BD1842" s="115"/>
      <c r="BE1842" s="115"/>
      <c r="BF1842" s="122"/>
      <c r="BG1842" s="122"/>
      <c r="BH1842" s="122"/>
      <c r="BI1842" s="115"/>
      <c r="BJ1842" s="115"/>
      <c r="BK1842" s="115"/>
      <c r="BL1842" s="115"/>
      <c r="BM1842" s="115"/>
      <c r="BN1842" s="115"/>
      <c r="BO1842" s="115"/>
      <c r="BP1842" s="115"/>
      <c r="BQ1842" s="115"/>
      <c r="BR1842" s="115"/>
      <c r="BS1842" s="115"/>
      <c r="BT1842" s="115"/>
      <c r="BU1842" s="115"/>
      <c r="BV1842" s="115"/>
      <c r="BW1842" s="26"/>
      <c r="BX1842" s="15"/>
    </row>
    <row r="1843" spans="3:76" x14ac:dyDescent="0.4">
      <c r="D1843" s="115"/>
      <c r="E1843" s="115"/>
      <c r="F1843" s="115"/>
      <c r="G1843" s="115"/>
      <c r="H1843" s="115"/>
      <c r="I1843" s="115"/>
      <c r="J1843" s="115"/>
      <c r="K1843" s="115"/>
      <c r="L1843" s="115"/>
      <c r="M1843" s="115"/>
      <c r="N1843" s="115"/>
      <c r="O1843" s="115"/>
      <c r="P1843" s="115"/>
      <c r="Q1843" s="115"/>
      <c r="R1843" s="115"/>
      <c r="S1843" s="115"/>
      <c r="T1843" s="115"/>
      <c r="U1843" s="115"/>
      <c r="V1843" s="115"/>
      <c r="W1843" s="115"/>
      <c r="X1843" s="115"/>
      <c r="Y1843" s="115"/>
      <c r="Z1843" s="115"/>
      <c r="AA1843" s="115"/>
      <c r="AB1843" s="115"/>
      <c r="AC1843" s="115"/>
      <c r="AD1843" s="115"/>
      <c r="AE1843" s="115"/>
      <c r="AF1843" s="115"/>
      <c r="AG1843" s="115"/>
      <c r="AH1843" s="115"/>
      <c r="AI1843" s="115"/>
      <c r="AJ1843" s="115"/>
      <c r="AK1843" s="115"/>
      <c r="AL1843" s="115"/>
      <c r="AM1843" s="115"/>
      <c r="AN1843" s="115"/>
      <c r="AO1843" s="115"/>
      <c r="AP1843" s="115"/>
      <c r="AQ1843" s="115"/>
      <c r="AR1843" s="115"/>
      <c r="AS1843" s="115"/>
      <c r="AT1843" s="115"/>
      <c r="AU1843" s="115"/>
      <c r="AV1843" s="115"/>
      <c r="AW1843" s="115"/>
      <c r="AX1843" s="115"/>
      <c r="AY1843" s="115"/>
      <c r="AZ1843" s="115"/>
      <c r="BA1843" s="115"/>
      <c r="BB1843" s="115"/>
      <c r="BC1843" s="115"/>
      <c r="BD1843" s="115"/>
      <c r="BE1843" s="115"/>
      <c r="BF1843" s="122"/>
      <c r="BG1843" s="122"/>
      <c r="BH1843" s="122"/>
      <c r="BI1843" s="115"/>
      <c r="BJ1843" s="115"/>
      <c r="BK1843" s="115"/>
      <c r="BL1843" s="115"/>
      <c r="BM1843" s="115"/>
      <c r="BN1843" s="115"/>
      <c r="BO1843" s="115"/>
      <c r="BP1843" s="115"/>
      <c r="BQ1843" s="115"/>
      <c r="BR1843" s="115"/>
      <c r="BS1843" s="115"/>
      <c r="BT1843" s="115"/>
      <c r="BU1843" s="115"/>
      <c r="BV1843" s="115"/>
      <c r="BW1843" s="26"/>
      <c r="BX1843" s="15"/>
    </row>
    <row r="1844" spans="3:76" x14ac:dyDescent="0.4">
      <c r="D1844" s="115"/>
      <c r="E1844" s="115"/>
      <c r="F1844" s="115"/>
      <c r="G1844" s="115"/>
      <c r="H1844" s="115"/>
      <c r="I1844" s="115"/>
      <c r="J1844" s="115"/>
      <c r="K1844" s="115"/>
      <c r="L1844" s="115"/>
      <c r="M1844" s="115"/>
      <c r="N1844" s="115"/>
      <c r="O1844" s="115"/>
      <c r="P1844" s="115"/>
      <c r="Q1844" s="115"/>
      <c r="R1844" s="115"/>
      <c r="S1844" s="115"/>
      <c r="T1844" s="115"/>
      <c r="U1844" s="115"/>
      <c r="V1844" s="115"/>
      <c r="W1844" s="115"/>
      <c r="X1844" s="115"/>
      <c r="Y1844" s="115"/>
      <c r="Z1844" s="115"/>
      <c r="AA1844" s="115"/>
      <c r="AB1844" s="115"/>
      <c r="AC1844" s="115"/>
      <c r="AD1844" s="115"/>
      <c r="AE1844" s="115"/>
      <c r="AF1844" s="115"/>
      <c r="AG1844" s="115"/>
      <c r="AH1844" s="115"/>
      <c r="AI1844" s="115"/>
      <c r="AJ1844" s="115"/>
      <c r="AK1844" s="115"/>
      <c r="AL1844" s="115"/>
      <c r="AM1844" s="115"/>
      <c r="AN1844" s="115"/>
      <c r="AO1844" s="115"/>
      <c r="AP1844" s="115"/>
      <c r="AQ1844" s="115"/>
      <c r="AR1844" s="115"/>
      <c r="AS1844" s="115"/>
      <c r="AT1844" s="115"/>
      <c r="AU1844" s="115"/>
      <c r="AV1844" s="115"/>
      <c r="AW1844" s="115"/>
      <c r="AX1844" s="115"/>
      <c r="AY1844" s="115"/>
      <c r="AZ1844" s="115"/>
      <c r="BA1844" s="115"/>
      <c r="BB1844" s="115"/>
      <c r="BC1844" s="115"/>
      <c r="BD1844" s="115"/>
      <c r="BE1844" s="115"/>
      <c r="BF1844" s="122"/>
      <c r="BG1844" s="122"/>
      <c r="BH1844" s="122"/>
      <c r="BI1844" s="115"/>
      <c r="BJ1844" s="115"/>
      <c r="BK1844" s="115"/>
      <c r="BL1844" s="115"/>
      <c r="BM1844" s="115"/>
      <c r="BN1844" s="115"/>
      <c r="BO1844" s="115"/>
      <c r="BP1844" s="115"/>
      <c r="BQ1844" s="115"/>
      <c r="BR1844" s="115"/>
      <c r="BS1844" s="115"/>
      <c r="BT1844" s="115"/>
      <c r="BU1844" s="115"/>
      <c r="BV1844" s="115"/>
      <c r="BW1844" s="26"/>
      <c r="BX1844" s="15"/>
    </row>
    <row r="1845" spans="3:76" x14ac:dyDescent="0.4">
      <c r="D1845" s="115"/>
      <c r="E1845" s="115"/>
      <c r="F1845" s="115"/>
      <c r="G1845" s="115"/>
      <c r="H1845" s="115"/>
      <c r="I1845" s="115"/>
      <c r="J1845" s="115"/>
      <c r="K1845" s="115"/>
      <c r="L1845" s="115"/>
      <c r="M1845" s="115"/>
      <c r="N1845" s="115"/>
      <c r="O1845" s="115"/>
      <c r="P1845" s="115"/>
      <c r="Q1845" s="115"/>
      <c r="R1845" s="115"/>
      <c r="S1845" s="115"/>
      <c r="T1845" s="115"/>
      <c r="U1845" s="115"/>
      <c r="V1845" s="115"/>
      <c r="W1845" s="115"/>
      <c r="X1845" s="115"/>
      <c r="Y1845" s="115"/>
      <c r="Z1845" s="115"/>
      <c r="AA1845" s="115"/>
      <c r="AB1845" s="115"/>
      <c r="AC1845" s="115"/>
      <c r="AD1845" s="115"/>
      <c r="AE1845" s="115"/>
      <c r="AF1845" s="115"/>
      <c r="AG1845" s="115"/>
      <c r="AH1845" s="115"/>
      <c r="AI1845" s="115"/>
      <c r="AJ1845" s="115"/>
      <c r="AK1845" s="115"/>
      <c r="AL1845" s="115"/>
      <c r="AM1845" s="115"/>
      <c r="AN1845" s="115"/>
      <c r="AO1845" s="115"/>
      <c r="AP1845" s="115"/>
      <c r="AQ1845" s="115"/>
      <c r="AR1845" s="115"/>
      <c r="AS1845" s="115"/>
      <c r="AT1845" s="115"/>
      <c r="AU1845" s="115"/>
      <c r="AV1845" s="115"/>
      <c r="AW1845" s="115"/>
      <c r="AX1845" s="115"/>
      <c r="AY1845" s="115"/>
      <c r="AZ1845" s="115"/>
      <c r="BA1845" s="115"/>
      <c r="BB1845" s="115"/>
      <c r="BC1845" s="115"/>
      <c r="BD1845" s="115"/>
      <c r="BE1845" s="115"/>
      <c r="BF1845" s="122"/>
      <c r="BG1845" s="122"/>
      <c r="BH1845" s="122"/>
      <c r="BI1845" s="115"/>
      <c r="BJ1845" s="115"/>
      <c r="BK1845" s="115"/>
      <c r="BL1845" s="115"/>
      <c r="BM1845" s="115"/>
      <c r="BN1845" s="115"/>
      <c r="BO1845" s="115"/>
      <c r="BP1845" s="115"/>
      <c r="BQ1845" s="115"/>
      <c r="BR1845" s="115"/>
      <c r="BS1845" s="115"/>
      <c r="BT1845" s="115"/>
      <c r="BU1845" s="115"/>
      <c r="BV1845" s="115"/>
      <c r="BW1845" s="17"/>
      <c r="BX1845" s="15"/>
    </row>
    <row r="1846" spans="3:76" x14ac:dyDescent="0.4">
      <c r="BW1846" s="26"/>
      <c r="BX1846" s="15"/>
    </row>
    <row r="1847" spans="3:76" x14ac:dyDescent="0.4">
      <c r="BA1847" s="115"/>
      <c r="BB1847" s="115"/>
      <c r="BC1847" s="115"/>
      <c r="BD1847" s="115"/>
      <c r="BE1847" s="115"/>
      <c r="BF1847" s="122"/>
      <c r="BG1847" s="122"/>
      <c r="BH1847" s="122"/>
      <c r="BI1847" s="115"/>
      <c r="BJ1847" s="115"/>
      <c r="BK1847" s="115"/>
      <c r="BL1847" s="115"/>
      <c r="BM1847" s="115"/>
      <c r="BN1847" s="115"/>
      <c r="BO1847" s="115"/>
      <c r="BP1847" s="115"/>
      <c r="BQ1847" s="115"/>
      <c r="BR1847" s="115"/>
      <c r="BS1847" s="115"/>
      <c r="BT1847" s="115"/>
      <c r="BU1847" s="115"/>
      <c r="BV1847" s="115"/>
      <c r="BW1847" s="17"/>
      <c r="BX1847" s="13"/>
    </row>
    <row r="1848" spans="3:76" x14ac:dyDescent="0.4">
      <c r="BA1848" s="115"/>
      <c r="BB1848" s="115"/>
      <c r="BC1848" s="115"/>
      <c r="BD1848" s="115"/>
      <c r="BE1848" s="115"/>
      <c r="BF1848" s="122"/>
      <c r="BG1848" s="122"/>
      <c r="BH1848" s="122"/>
      <c r="BI1848" s="115"/>
      <c r="BJ1848" s="115"/>
      <c r="BK1848" s="115"/>
      <c r="BL1848" s="115"/>
      <c r="BM1848" s="115"/>
      <c r="BN1848" s="115"/>
      <c r="BO1848" s="115"/>
      <c r="BP1848" s="115"/>
      <c r="BQ1848" s="115"/>
      <c r="BR1848" s="115"/>
      <c r="BS1848" s="115"/>
      <c r="BT1848" s="115"/>
      <c r="BU1848" s="115"/>
      <c r="BV1848" s="115"/>
      <c r="BW1848" s="17"/>
      <c r="BX1848" s="13"/>
    </row>
    <row r="1849" spans="3:76" x14ac:dyDescent="0.4">
      <c r="AY1849" s="115"/>
      <c r="AZ1849" s="115"/>
      <c r="BA1849" s="115"/>
      <c r="BB1849" s="115"/>
      <c r="BC1849" s="115"/>
      <c r="BD1849" s="115"/>
      <c r="BE1849" s="115"/>
      <c r="BF1849" s="122"/>
      <c r="BG1849" s="122"/>
      <c r="BH1849" s="122"/>
      <c r="BI1849" s="115"/>
      <c r="BJ1849" s="115"/>
      <c r="BK1849" s="115"/>
      <c r="BL1849" s="115"/>
      <c r="BM1849" s="115"/>
      <c r="BN1849" s="115"/>
      <c r="BO1849" s="115"/>
      <c r="BP1849" s="115"/>
      <c r="BQ1849" s="115"/>
      <c r="BR1849" s="115"/>
      <c r="BS1849" s="115"/>
      <c r="BT1849" s="115"/>
      <c r="BU1849" s="115"/>
      <c r="BV1849" s="115"/>
      <c r="BW1849" s="26"/>
      <c r="BX1849" s="13"/>
    </row>
    <row r="1850" spans="3:76" x14ac:dyDescent="0.4">
      <c r="AY1850" s="115"/>
      <c r="AZ1850" s="115"/>
      <c r="BA1850" s="115"/>
      <c r="BB1850" s="115"/>
      <c r="BC1850" s="115"/>
      <c r="BD1850" s="115"/>
      <c r="BE1850" s="115"/>
      <c r="BF1850" s="122"/>
      <c r="BG1850" s="122"/>
      <c r="BH1850" s="122"/>
      <c r="BI1850" s="115"/>
      <c r="BJ1850" s="115"/>
      <c r="BK1850" s="115"/>
      <c r="BL1850" s="115"/>
      <c r="BM1850" s="115"/>
      <c r="BN1850" s="115"/>
      <c r="BO1850" s="115"/>
      <c r="BP1850" s="115"/>
      <c r="BQ1850" s="115"/>
      <c r="BR1850" s="115"/>
      <c r="BS1850" s="115"/>
      <c r="BT1850" s="115"/>
      <c r="BU1850" s="115"/>
      <c r="BV1850" s="115"/>
      <c r="BW1850" s="17"/>
      <c r="BX1850" s="13"/>
    </row>
    <row r="1851" spans="3:76" x14ac:dyDescent="0.4">
      <c r="BW1851" s="26"/>
      <c r="BX1851" s="13"/>
    </row>
    <row r="1852" spans="3:76" x14ac:dyDescent="0.4">
      <c r="AZ1852" s="115"/>
      <c r="BA1852" s="115"/>
      <c r="BB1852" s="115"/>
      <c r="BC1852" s="115"/>
      <c r="BD1852" s="115"/>
      <c r="BE1852" s="115"/>
      <c r="BF1852" s="122"/>
      <c r="BG1852" s="122"/>
      <c r="BH1852" s="122"/>
      <c r="BI1852" s="115"/>
      <c r="BJ1852" s="115"/>
      <c r="BK1852" s="115"/>
      <c r="BL1852" s="115"/>
      <c r="BM1852" s="115"/>
      <c r="BN1852" s="115"/>
      <c r="BO1852" s="115"/>
      <c r="BP1852" s="115"/>
      <c r="BQ1852" s="115"/>
      <c r="BR1852" s="115"/>
      <c r="BS1852" s="115"/>
      <c r="BT1852" s="115"/>
      <c r="BU1852" s="115"/>
      <c r="BV1852" s="115"/>
      <c r="BW1852" s="17"/>
      <c r="BX1852" s="13"/>
    </row>
    <row r="1853" spans="3:76" x14ac:dyDescent="0.4">
      <c r="BW1853" s="26"/>
      <c r="BX1853" s="13"/>
    </row>
    <row r="1854" spans="3:76" x14ac:dyDescent="0.4">
      <c r="BW1854" s="26"/>
      <c r="BX1854" s="13"/>
    </row>
    <row r="1855" spans="3:76" x14ac:dyDescent="0.4">
      <c r="D1855" s="115"/>
      <c r="E1855" s="115"/>
      <c r="F1855" s="115"/>
      <c r="G1855" s="115"/>
      <c r="H1855" s="115"/>
      <c r="I1855" s="115"/>
      <c r="J1855" s="115"/>
      <c r="K1855" s="115"/>
      <c r="L1855" s="115"/>
      <c r="M1855" s="115"/>
      <c r="N1855" s="115"/>
      <c r="O1855" s="115"/>
      <c r="P1855" s="115"/>
      <c r="Q1855" s="115"/>
      <c r="R1855" s="115"/>
      <c r="S1855" s="115"/>
      <c r="T1855" s="115"/>
      <c r="U1855" s="115"/>
      <c r="V1855" s="115"/>
      <c r="W1855" s="115"/>
      <c r="X1855" s="115"/>
      <c r="Y1855" s="115"/>
      <c r="Z1855" s="115"/>
      <c r="AA1855" s="115"/>
      <c r="AB1855" s="115"/>
      <c r="AC1855" s="115"/>
      <c r="AD1855" s="115"/>
      <c r="AE1855" s="115"/>
      <c r="AF1855" s="115"/>
      <c r="AG1855" s="115"/>
      <c r="AH1855" s="115"/>
      <c r="AI1855" s="115"/>
      <c r="AJ1855" s="115"/>
      <c r="AK1855" s="115"/>
      <c r="AL1855" s="115"/>
      <c r="AM1855" s="115"/>
      <c r="AN1855" s="115"/>
      <c r="AO1855" s="115"/>
      <c r="AP1855" s="115"/>
      <c r="AQ1855" s="115"/>
      <c r="AR1855" s="115"/>
      <c r="AS1855" s="115"/>
      <c r="AT1855" s="115"/>
      <c r="AU1855" s="115"/>
      <c r="AV1855" s="115"/>
      <c r="AW1855" s="115"/>
      <c r="AX1855" s="115"/>
      <c r="AY1855" s="115"/>
      <c r="AZ1855" s="115"/>
      <c r="BA1855" s="115"/>
      <c r="BB1855" s="115"/>
      <c r="BC1855" s="115"/>
      <c r="BD1855" s="115"/>
      <c r="BE1855" s="115"/>
      <c r="BF1855" s="122"/>
      <c r="BG1855" s="122"/>
      <c r="BH1855" s="122"/>
      <c r="BI1855" s="115"/>
      <c r="BJ1855" s="115"/>
      <c r="BK1855" s="115"/>
      <c r="BL1855" s="115"/>
      <c r="BM1855" s="115"/>
      <c r="BN1855" s="115"/>
      <c r="BO1855" s="115"/>
      <c r="BP1855" s="115"/>
      <c r="BQ1855" s="115"/>
      <c r="BR1855" s="115"/>
      <c r="BS1855" s="115"/>
      <c r="BT1855" s="115"/>
      <c r="BU1855" s="115"/>
      <c r="BV1855" s="115"/>
      <c r="BW1855" s="26"/>
      <c r="BX1855" s="13"/>
    </row>
    <row r="1856" spans="3:76" x14ac:dyDescent="0.4">
      <c r="C1856" s="115"/>
      <c r="D1856" s="115"/>
      <c r="E1856" s="115"/>
      <c r="F1856" s="115"/>
      <c r="G1856" s="115"/>
      <c r="H1856" s="115"/>
      <c r="I1856" s="115"/>
      <c r="J1856" s="115"/>
      <c r="K1856" s="115"/>
      <c r="L1856" s="115"/>
      <c r="M1856" s="115"/>
      <c r="N1856" s="115"/>
      <c r="O1856" s="115"/>
      <c r="P1856" s="115"/>
      <c r="Q1856" s="115"/>
      <c r="R1856" s="115"/>
      <c r="S1856" s="115"/>
      <c r="T1856" s="115"/>
      <c r="U1856" s="115"/>
      <c r="V1856" s="115"/>
      <c r="W1856" s="115"/>
      <c r="X1856" s="115"/>
      <c r="Y1856" s="115"/>
      <c r="Z1856" s="115"/>
      <c r="AA1856" s="115"/>
      <c r="AB1856" s="115"/>
      <c r="AC1856" s="115"/>
      <c r="AD1856" s="115"/>
      <c r="AE1856" s="115"/>
      <c r="AF1856" s="115"/>
      <c r="AG1856" s="115"/>
      <c r="AH1856" s="115"/>
      <c r="AI1856" s="115"/>
      <c r="AJ1856" s="115"/>
      <c r="AK1856" s="115"/>
      <c r="AL1856" s="115"/>
      <c r="AM1856" s="115"/>
      <c r="AN1856" s="115"/>
      <c r="AO1856" s="115"/>
      <c r="AP1856" s="115"/>
      <c r="AQ1856" s="115"/>
      <c r="AR1856" s="115"/>
      <c r="AS1856" s="115"/>
      <c r="AT1856" s="115"/>
      <c r="AU1856" s="115"/>
      <c r="AV1856" s="115"/>
      <c r="AW1856" s="115"/>
      <c r="AX1856" s="115"/>
      <c r="AY1856" s="115"/>
      <c r="AZ1856" s="115"/>
      <c r="BA1856" s="115"/>
      <c r="BB1856" s="115"/>
      <c r="BC1856" s="115"/>
      <c r="BD1856" s="115"/>
      <c r="BE1856" s="115"/>
      <c r="BF1856" s="122"/>
      <c r="BG1856" s="122"/>
      <c r="BH1856" s="122"/>
      <c r="BI1856" s="115"/>
      <c r="BJ1856" s="115"/>
      <c r="BK1856" s="115"/>
      <c r="BL1856" s="115"/>
      <c r="BM1856" s="115"/>
      <c r="BN1856" s="115"/>
      <c r="BO1856" s="115"/>
      <c r="BP1856" s="115"/>
      <c r="BQ1856" s="115"/>
      <c r="BR1856" s="115"/>
      <c r="BS1856" s="115"/>
      <c r="BT1856" s="115"/>
      <c r="BU1856" s="115"/>
      <c r="BV1856" s="115"/>
      <c r="BW1856" s="26"/>
      <c r="BX1856" s="13"/>
    </row>
    <row r="1857" spans="3:76" x14ac:dyDescent="0.4">
      <c r="BW1857" s="26"/>
      <c r="BX1857" s="13"/>
    </row>
    <row r="1858" spans="3:76" x14ac:dyDescent="0.4">
      <c r="BW1858" s="26"/>
      <c r="BX1858" s="13"/>
    </row>
    <row r="1859" spans="3:76" x14ac:dyDescent="0.4">
      <c r="E1859" s="115"/>
      <c r="F1859" s="115"/>
      <c r="G1859" s="115"/>
      <c r="H1859" s="115"/>
      <c r="I1859" s="115"/>
      <c r="J1859" s="115"/>
      <c r="K1859" s="115"/>
      <c r="L1859" s="115"/>
      <c r="M1859" s="115"/>
      <c r="N1859" s="115"/>
      <c r="O1859" s="115"/>
      <c r="P1859" s="115"/>
      <c r="Q1859" s="115"/>
      <c r="R1859" s="115"/>
      <c r="S1859" s="115"/>
      <c r="T1859" s="115"/>
      <c r="U1859" s="115"/>
      <c r="V1859" s="115"/>
      <c r="W1859" s="115"/>
      <c r="X1859" s="115"/>
      <c r="Y1859" s="115"/>
      <c r="Z1859" s="115"/>
      <c r="AA1859" s="115"/>
      <c r="AB1859" s="115"/>
      <c r="AC1859" s="115"/>
      <c r="AD1859" s="115"/>
      <c r="AE1859" s="115"/>
      <c r="AF1859" s="115"/>
      <c r="AG1859" s="115"/>
      <c r="AH1859" s="115"/>
      <c r="AI1859" s="115"/>
      <c r="AJ1859" s="115"/>
      <c r="AK1859" s="115"/>
      <c r="AL1859" s="115"/>
      <c r="AM1859" s="115"/>
      <c r="AN1859" s="115"/>
      <c r="AO1859" s="115"/>
      <c r="AP1859" s="115"/>
      <c r="AQ1859" s="115"/>
      <c r="AR1859" s="115"/>
      <c r="AS1859" s="115"/>
      <c r="AT1859" s="115"/>
      <c r="AU1859" s="115"/>
      <c r="AV1859" s="115"/>
      <c r="AW1859" s="115"/>
      <c r="AX1859" s="115"/>
      <c r="AY1859" s="115"/>
      <c r="AZ1859" s="115"/>
      <c r="BA1859" s="115"/>
      <c r="BB1859" s="115"/>
      <c r="BC1859" s="115"/>
      <c r="BD1859" s="115"/>
      <c r="BE1859" s="115"/>
      <c r="BF1859" s="122"/>
      <c r="BG1859" s="122"/>
      <c r="BH1859" s="122"/>
      <c r="BI1859" s="115"/>
      <c r="BJ1859" s="115"/>
      <c r="BK1859" s="115"/>
      <c r="BL1859" s="115"/>
      <c r="BM1859" s="115"/>
      <c r="BN1859" s="115"/>
      <c r="BO1859" s="115"/>
      <c r="BP1859" s="115"/>
      <c r="BQ1859" s="115"/>
      <c r="BR1859" s="115"/>
      <c r="BS1859" s="115"/>
      <c r="BT1859" s="115"/>
      <c r="BU1859" s="115"/>
      <c r="BV1859" s="115"/>
      <c r="BW1859" s="26"/>
      <c r="BX1859" s="13"/>
    </row>
    <row r="1860" spans="3:76" x14ac:dyDescent="0.4">
      <c r="BW1860" s="26"/>
      <c r="BX1860" s="105"/>
    </row>
    <row r="1861" spans="3:76" x14ac:dyDescent="0.4">
      <c r="E1861" s="115"/>
      <c r="F1861" s="115"/>
      <c r="G1861" s="115"/>
      <c r="H1861" s="115"/>
      <c r="I1861" s="115"/>
      <c r="J1861" s="115"/>
      <c r="K1861" s="115"/>
      <c r="L1861" s="115"/>
      <c r="M1861" s="115"/>
      <c r="N1861" s="115"/>
      <c r="O1861" s="115"/>
      <c r="P1861" s="115"/>
      <c r="Q1861" s="115"/>
      <c r="R1861" s="115"/>
      <c r="S1861" s="115"/>
      <c r="T1861" s="115"/>
      <c r="U1861" s="115"/>
      <c r="V1861" s="115"/>
      <c r="W1861" s="115"/>
      <c r="X1861" s="115"/>
      <c r="Y1861" s="115"/>
      <c r="Z1861" s="115"/>
      <c r="AA1861" s="115"/>
      <c r="AB1861" s="115"/>
      <c r="AC1861" s="115"/>
      <c r="AD1861" s="115"/>
      <c r="AE1861" s="115"/>
      <c r="AF1861" s="115"/>
      <c r="AG1861" s="115"/>
      <c r="AH1861" s="115"/>
      <c r="AI1861" s="115"/>
      <c r="AJ1861" s="115"/>
      <c r="AK1861" s="115"/>
      <c r="AL1861" s="115"/>
      <c r="AM1861" s="115"/>
      <c r="AN1861" s="115"/>
      <c r="AO1861" s="115"/>
      <c r="AP1861" s="115"/>
      <c r="AQ1861" s="115"/>
      <c r="AR1861" s="115"/>
      <c r="AS1861" s="115"/>
      <c r="AT1861" s="115"/>
      <c r="AU1861" s="115"/>
      <c r="AV1861" s="115"/>
      <c r="AW1861" s="115"/>
      <c r="AX1861" s="115"/>
      <c r="AY1861" s="115"/>
      <c r="AZ1861" s="115"/>
      <c r="BA1861" s="115"/>
      <c r="BB1861" s="115"/>
      <c r="BC1861" s="115"/>
      <c r="BD1861" s="115"/>
      <c r="BE1861" s="115"/>
      <c r="BF1861" s="122"/>
      <c r="BG1861" s="122"/>
      <c r="BH1861" s="122"/>
      <c r="BI1861" s="115"/>
      <c r="BJ1861" s="115"/>
      <c r="BK1861" s="115"/>
      <c r="BL1861" s="115"/>
      <c r="BM1861" s="115"/>
      <c r="BN1861" s="115"/>
      <c r="BO1861" s="115"/>
      <c r="BP1861" s="115"/>
      <c r="BQ1861" s="115"/>
      <c r="BR1861" s="115"/>
      <c r="BS1861" s="115"/>
      <c r="BT1861" s="115"/>
      <c r="BU1861" s="115"/>
      <c r="BV1861" s="115"/>
      <c r="BW1861" s="26"/>
      <c r="BX1861" s="15"/>
    </row>
    <row r="1862" spans="3:76" x14ac:dyDescent="0.4">
      <c r="E1862" s="115"/>
      <c r="F1862" s="115"/>
      <c r="G1862" s="115"/>
      <c r="H1862" s="115"/>
      <c r="I1862" s="115"/>
      <c r="J1862" s="115"/>
      <c r="K1862" s="115"/>
      <c r="L1862" s="115"/>
      <c r="M1862" s="115"/>
      <c r="N1862" s="115"/>
      <c r="O1862" s="115"/>
      <c r="P1862" s="115"/>
      <c r="Q1862" s="115"/>
      <c r="R1862" s="115"/>
      <c r="S1862" s="115"/>
      <c r="T1862" s="115"/>
      <c r="U1862" s="115"/>
      <c r="V1862" s="115"/>
      <c r="W1862" s="115"/>
      <c r="X1862" s="115"/>
      <c r="Y1862" s="115"/>
      <c r="Z1862" s="115"/>
      <c r="AA1862" s="115"/>
      <c r="AB1862" s="115"/>
      <c r="AC1862" s="115"/>
      <c r="AD1862" s="115"/>
      <c r="AE1862" s="115"/>
      <c r="AF1862" s="115"/>
      <c r="AG1862" s="115"/>
      <c r="AH1862" s="115"/>
      <c r="AI1862" s="115"/>
      <c r="AJ1862" s="115"/>
      <c r="AK1862" s="115"/>
      <c r="AL1862" s="115"/>
      <c r="AM1862" s="115"/>
      <c r="AN1862" s="115"/>
      <c r="AO1862" s="115"/>
      <c r="AP1862" s="115"/>
      <c r="AQ1862" s="115"/>
      <c r="AR1862" s="115"/>
      <c r="AS1862" s="115"/>
      <c r="AT1862" s="115"/>
      <c r="AU1862" s="115"/>
      <c r="AV1862" s="115"/>
      <c r="AW1862" s="115"/>
      <c r="AX1862" s="115"/>
      <c r="AY1862" s="115"/>
      <c r="AZ1862" s="115"/>
      <c r="BA1862" s="115"/>
      <c r="BB1862" s="115"/>
      <c r="BC1862" s="115"/>
      <c r="BD1862" s="115"/>
      <c r="BE1862" s="115"/>
      <c r="BF1862" s="122"/>
      <c r="BG1862" s="122"/>
      <c r="BH1862" s="122"/>
      <c r="BI1862" s="115"/>
      <c r="BJ1862" s="115"/>
      <c r="BK1862" s="115"/>
      <c r="BL1862" s="115"/>
      <c r="BM1862" s="115"/>
      <c r="BN1862" s="115"/>
      <c r="BO1862" s="115"/>
      <c r="BP1862" s="115"/>
      <c r="BQ1862" s="115"/>
      <c r="BR1862" s="115"/>
      <c r="BS1862" s="115"/>
      <c r="BT1862" s="115"/>
      <c r="BU1862" s="115"/>
      <c r="BV1862" s="115"/>
      <c r="BW1862" s="17"/>
      <c r="BX1862" s="15"/>
    </row>
    <row r="1863" spans="3:76" x14ac:dyDescent="0.4">
      <c r="BW1863" s="26"/>
      <c r="BX1863" s="15"/>
    </row>
    <row r="1864" spans="3:76" x14ac:dyDescent="0.4">
      <c r="E1864" s="115"/>
      <c r="F1864" s="115"/>
      <c r="G1864" s="115"/>
      <c r="H1864" s="115"/>
      <c r="I1864" s="115"/>
      <c r="J1864" s="115"/>
      <c r="K1864" s="115"/>
      <c r="L1864" s="115"/>
      <c r="M1864" s="115"/>
      <c r="N1864" s="115"/>
      <c r="O1864" s="115"/>
      <c r="P1864" s="115"/>
      <c r="Q1864" s="115"/>
      <c r="R1864" s="115"/>
      <c r="S1864" s="115"/>
      <c r="T1864" s="115"/>
      <c r="U1864" s="115"/>
      <c r="V1864" s="115"/>
      <c r="W1864" s="115"/>
      <c r="X1864" s="115"/>
      <c r="Y1864" s="115"/>
      <c r="Z1864" s="115"/>
      <c r="AA1864" s="115"/>
      <c r="AB1864" s="115"/>
      <c r="AC1864" s="115"/>
      <c r="AD1864" s="115"/>
      <c r="AE1864" s="115"/>
      <c r="AF1864" s="115"/>
      <c r="AG1864" s="115"/>
      <c r="AH1864" s="115"/>
      <c r="AI1864" s="115"/>
      <c r="AJ1864" s="115"/>
      <c r="AK1864" s="115"/>
      <c r="AL1864" s="115"/>
      <c r="AM1864" s="115"/>
      <c r="AN1864" s="115"/>
      <c r="AO1864" s="115"/>
      <c r="AP1864" s="115"/>
      <c r="AQ1864" s="115"/>
      <c r="AR1864" s="115"/>
      <c r="AS1864" s="115"/>
      <c r="AT1864" s="115"/>
      <c r="AU1864" s="115"/>
      <c r="AV1864" s="115"/>
      <c r="AW1864" s="115"/>
      <c r="AX1864" s="115"/>
      <c r="AY1864" s="115"/>
      <c r="AZ1864" s="115"/>
      <c r="BA1864" s="115"/>
      <c r="BB1864" s="115"/>
      <c r="BC1864" s="115"/>
      <c r="BD1864" s="115"/>
      <c r="BE1864" s="115"/>
      <c r="BF1864" s="122"/>
      <c r="BG1864" s="122"/>
      <c r="BH1864" s="122"/>
      <c r="BI1864" s="115"/>
      <c r="BJ1864" s="115"/>
      <c r="BK1864" s="115"/>
      <c r="BL1864" s="115"/>
      <c r="BM1864" s="115"/>
      <c r="BN1864" s="115"/>
      <c r="BO1864" s="115"/>
      <c r="BP1864" s="115"/>
      <c r="BQ1864" s="115"/>
      <c r="BR1864" s="115"/>
      <c r="BS1864" s="115"/>
      <c r="BT1864" s="115"/>
      <c r="BU1864" s="115"/>
      <c r="BV1864" s="115"/>
      <c r="BW1864" s="26"/>
      <c r="BX1864" s="15"/>
    </row>
    <row r="1865" spans="3:76" x14ac:dyDescent="0.4">
      <c r="C1865" s="115"/>
      <c r="D1865" s="115"/>
      <c r="E1865" s="115"/>
      <c r="F1865" s="115"/>
      <c r="G1865" s="115"/>
      <c r="H1865" s="115"/>
      <c r="I1865" s="115"/>
      <c r="J1865" s="115"/>
      <c r="K1865" s="115"/>
      <c r="L1865" s="115"/>
      <c r="M1865" s="115"/>
      <c r="N1865" s="115"/>
      <c r="O1865" s="115"/>
      <c r="P1865" s="115"/>
      <c r="Q1865" s="115"/>
      <c r="R1865" s="115"/>
      <c r="S1865" s="115"/>
      <c r="T1865" s="115"/>
      <c r="U1865" s="115"/>
      <c r="V1865" s="115"/>
      <c r="W1865" s="115"/>
      <c r="X1865" s="115"/>
      <c r="Y1865" s="115"/>
      <c r="Z1865" s="115"/>
      <c r="AA1865" s="115"/>
      <c r="AB1865" s="115"/>
      <c r="AC1865" s="115"/>
      <c r="AD1865" s="115"/>
      <c r="AE1865" s="115"/>
      <c r="AF1865" s="115"/>
      <c r="AG1865" s="115"/>
      <c r="AH1865" s="115"/>
      <c r="AI1865" s="115"/>
      <c r="AJ1865" s="115"/>
      <c r="AK1865" s="115"/>
      <c r="AL1865" s="115"/>
      <c r="AM1865" s="115"/>
      <c r="AN1865" s="115"/>
      <c r="AO1865" s="115"/>
      <c r="AP1865" s="115"/>
      <c r="AQ1865" s="115"/>
      <c r="AR1865" s="115"/>
      <c r="AS1865" s="115"/>
      <c r="AT1865" s="115"/>
      <c r="AU1865" s="115"/>
      <c r="AV1865" s="115"/>
      <c r="AW1865" s="115"/>
      <c r="AX1865" s="115"/>
      <c r="AY1865" s="115"/>
      <c r="AZ1865" s="115"/>
      <c r="BA1865" s="115"/>
      <c r="BB1865" s="115"/>
      <c r="BC1865" s="115"/>
      <c r="BD1865" s="115"/>
      <c r="BE1865" s="115"/>
      <c r="BF1865" s="122"/>
      <c r="BG1865" s="122"/>
      <c r="BH1865" s="122"/>
      <c r="BI1865" s="115"/>
      <c r="BJ1865" s="115"/>
      <c r="BK1865" s="115"/>
      <c r="BL1865" s="115"/>
      <c r="BM1865" s="115"/>
      <c r="BN1865" s="115"/>
      <c r="BO1865" s="115"/>
      <c r="BP1865" s="115"/>
      <c r="BQ1865" s="115"/>
      <c r="BR1865" s="115"/>
      <c r="BS1865" s="115"/>
      <c r="BT1865" s="115"/>
      <c r="BU1865" s="115"/>
      <c r="BV1865" s="115"/>
      <c r="BW1865" s="26"/>
      <c r="BX1865" s="15"/>
    </row>
    <row r="1866" spans="3:76" x14ac:dyDescent="0.4">
      <c r="C1866" s="115"/>
      <c r="D1866" s="115"/>
      <c r="E1866" s="115"/>
      <c r="F1866" s="115"/>
      <c r="G1866" s="115"/>
      <c r="H1866" s="115"/>
      <c r="I1866" s="115"/>
      <c r="J1866" s="115"/>
      <c r="K1866" s="115"/>
      <c r="L1866" s="115"/>
      <c r="M1866" s="115"/>
      <c r="N1866" s="115"/>
      <c r="O1866" s="115"/>
      <c r="P1866" s="115"/>
      <c r="Q1866" s="115"/>
      <c r="R1866" s="115"/>
      <c r="S1866" s="115"/>
      <c r="T1866" s="115"/>
      <c r="U1866" s="115"/>
      <c r="V1866" s="115"/>
      <c r="W1866" s="115"/>
      <c r="X1866" s="115"/>
      <c r="Y1866" s="115"/>
      <c r="Z1866" s="115"/>
      <c r="AA1866" s="115"/>
      <c r="AB1866" s="115"/>
      <c r="AC1866" s="115"/>
      <c r="AD1866" s="115"/>
      <c r="AE1866" s="115"/>
      <c r="AF1866" s="115"/>
      <c r="AG1866" s="115"/>
      <c r="AH1866" s="115"/>
      <c r="AI1866" s="115"/>
      <c r="AJ1866" s="115"/>
      <c r="AK1866" s="115"/>
      <c r="AL1866" s="115"/>
      <c r="AM1866" s="115"/>
      <c r="AN1866" s="115"/>
      <c r="AO1866" s="115"/>
      <c r="AP1866" s="115"/>
      <c r="AQ1866" s="115"/>
      <c r="AR1866" s="115"/>
      <c r="AS1866" s="115"/>
      <c r="AT1866" s="115"/>
      <c r="AU1866" s="115"/>
      <c r="AV1866" s="115"/>
      <c r="AW1866" s="115"/>
      <c r="AX1866" s="115"/>
      <c r="AY1866" s="115"/>
      <c r="AZ1866" s="115"/>
      <c r="BA1866" s="115"/>
      <c r="BB1866" s="115"/>
      <c r="BC1866" s="115"/>
      <c r="BD1866" s="115"/>
      <c r="BE1866" s="115"/>
      <c r="BF1866" s="122"/>
      <c r="BG1866" s="122"/>
      <c r="BH1866" s="122"/>
      <c r="BI1866" s="115"/>
      <c r="BJ1866" s="115"/>
      <c r="BK1866" s="115"/>
      <c r="BL1866" s="115"/>
      <c r="BM1866" s="115"/>
      <c r="BN1866" s="115"/>
      <c r="BO1866" s="115"/>
      <c r="BP1866" s="115"/>
      <c r="BQ1866" s="115"/>
      <c r="BR1866" s="115"/>
      <c r="BS1866" s="115"/>
      <c r="BT1866" s="115"/>
      <c r="BU1866" s="115"/>
      <c r="BV1866" s="115"/>
      <c r="BW1866" s="26"/>
      <c r="BX1866" s="13"/>
    </row>
    <row r="1867" spans="3:76" x14ac:dyDescent="0.4">
      <c r="BW1867" s="26"/>
      <c r="BX1867" s="15"/>
    </row>
    <row r="1868" spans="3:76" x14ac:dyDescent="0.4">
      <c r="E1868" s="115"/>
      <c r="F1868" s="115"/>
      <c r="G1868" s="115"/>
      <c r="H1868" s="115"/>
      <c r="I1868" s="115"/>
      <c r="J1868" s="115"/>
      <c r="K1868" s="115"/>
      <c r="L1868" s="115"/>
      <c r="M1868" s="115"/>
      <c r="N1868" s="115"/>
      <c r="O1868" s="115"/>
      <c r="P1868" s="115"/>
      <c r="Q1868" s="115"/>
      <c r="R1868" s="115"/>
      <c r="S1868" s="115"/>
      <c r="T1868" s="115"/>
      <c r="U1868" s="115"/>
      <c r="V1868" s="115"/>
      <c r="W1868" s="115"/>
      <c r="X1868" s="115"/>
      <c r="Y1868" s="115"/>
      <c r="Z1868" s="115"/>
      <c r="AA1868" s="115"/>
      <c r="AB1868" s="115"/>
      <c r="AC1868" s="115"/>
      <c r="AD1868" s="115"/>
      <c r="AE1868" s="115"/>
      <c r="AF1868" s="115"/>
      <c r="AG1868" s="115"/>
      <c r="AH1868" s="115"/>
      <c r="AI1868" s="115"/>
      <c r="AJ1868" s="115"/>
      <c r="AK1868" s="115"/>
      <c r="AL1868" s="115"/>
      <c r="AM1868" s="115"/>
      <c r="AN1868" s="115"/>
      <c r="AO1868" s="115"/>
      <c r="AP1868" s="115"/>
      <c r="AQ1868" s="115"/>
      <c r="AR1868" s="115"/>
      <c r="AS1868" s="115"/>
      <c r="AT1868" s="115"/>
      <c r="AU1868" s="115"/>
      <c r="AV1868" s="115"/>
      <c r="AW1868" s="115"/>
      <c r="AX1868" s="115"/>
      <c r="AY1868" s="115"/>
      <c r="AZ1868" s="115"/>
      <c r="BA1868" s="115"/>
      <c r="BB1868" s="115"/>
      <c r="BC1868" s="115"/>
      <c r="BD1868" s="115"/>
      <c r="BE1868" s="115"/>
      <c r="BF1868" s="122"/>
      <c r="BG1868" s="122"/>
      <c r="BH1868" s="122"/>
      <c r="BI1868" s="115"/>
      <c r="BJ1868" s="115"/>
      <c r="BK1868" s="115"/>
      <c r="BL1868" s="115"/>
      <c r="BM1868" s="115"/>
      <c r="BN1868" s="115"/>
      <c r="BO1868" s="115"/>
      <c r="BP1868" s="115"/>
      <c r="BQ1868" s="115"/>
      <c r="BR1868" s="115"/>
      <c r="BS1868" s="115"/>
      <c r="BT1868" s="115"/>
      <c r="BU1868" s="115"/>
      <c r="BV1868" s="115"/>
      <c r="BW1868" s="26"/>
      <c r="BX1868" s="15"/>
    </row>
    <row r="1869" spans="3:76" x14ac:dyDescent="0.4">
      <c r="E1869" s="115"/>
      <c r="F1869" s="115"/>
      <c r="G1869" s="115"/>
      <c r="H1869" s="115"/>
      <c r="I1869" s="115"/>
      <c r="J1869" s="115"/>
      <c r="K1869" s="115"/>
      <c r="L1869" s="115"/>
      <c r="M1869" s="115"/>
      <c r="N1869" s="115"/>
      <c r="O1869" s="115"/>
      <c r="P1869" s="115"/>
      <c r="Q1869" s="115"/>
      <c r="R1869" s="115"/>
      <c r="S1869" s="115"/>
      <c r="T1869" s="115"/>
      <c r="U1869" s="115"/>
      <c r="V1869" s="115"/>
      <c r="W1869" s="115"/>
      <c r="X1869" s="115"/>
      <c r="Y1869" s="115"/>
      <c r="Z1869" s="115"/>
      <c r="AA1869" s="115"/>
      <c r="AB1869" s="115"/>
      <c r="AC1869" s="115"/>
      <c r="AD1869" s="115"/>
      <c r="AE1869" s="115"/>
      <c r="AF1869" s="115"/>
      <c r="AG1869" s="115"/>
      <c r="AH1869" s="115"/>
      <c r="AI1869" s="115"/>
      <c r="AJ1869" s="115"/>
      <c r="AK1869" s="115"/>
      <c r="AL1869" s="115"/>
      <c r="AM1869" s="115"/>
      <c r="AN1869" s="115"/>
      <c r="AO1869" s="115"/>
      <c r="AP1869" s="115"/>
      <c r="AQ1869" s="115"/>
      <c r="AR1869" s="115"/>
      <c r="AS1869" s="115"/>
      <c r="AT1869" s="115"/>
      <c r="AU1869" s="115"/>
      <c r="AV1869" s="115"/>
      <c r="AW1869" s="115"/>
      <c r="AX1869" s="115"/>
      <c r="AY1869" s="115"/>
      <c r="AZ1869" s="115"/>
      <c r="BA1869" s="115"/>
      <c r="BB1869" s="115"/>
      <c r="BC1869" s="115"/>
      <c r="BD1869" s="115"/>
      <c r="BE1869" s="115"/>
      <c r="BF1869" s="122"/>
      <c r="BG1869" s="122"/>
      <c r="BH1869" s="122"/>
      <c r="BI1869" s="115"/>
      <c r="BJ1869" s="115"/>
      <c r="BK1869" s="115"/>
      <c r="BL1869" s="115"/>
      <c r="BM1869" s="115"/>
      <c r="BN1869" s="115"/>
      <c r="BO1869" s="115"/>
      <c r="BP1869" s="115"/>
      <c r="BQ1869" s="115"/>
      <c r="BR1869" s="115"/>
      <c r="BS1869" s="115"/>
      <c r="BT1869" s="115"/>
      <c r="BU1869" s="115"/>
      <c r="BV1869" s="115"/>
      <c r="BW1869" s="26"/>
      <c r="BX1869" s="15"/>
    </row>
    <row r="1870" spans="3:76" x14ac:dyDescent="0.4">
      <c r="D1870" s="115"/>
      <c r="E1870" s="115"/>
      <c r="F1870" s="115"/>
      <c r="G1870" s="115"/>
      <c r="H1870" s="115"/>
      <c r="I1870" s="115"/>
      <c r="J1870" s="115"/>
      <c r="K1870" s="115"/>
      <c r="L1870" s="115"/>
      <c r="M1870" s="115"/>
      <c r="N1870" s="115"/>
      <c r="O1870" s="115"/>
      <c r="P1870" s="115"/>
      <c r="Q1870" s="115"/>
      <c r="R1870" s="115"/>
      <c r="S1870" s="115"/>
      <c r="T1870" s="115"/>
      <c r="U1870" s="115"/>
      <c r="V1870" s="115"/>
      <c r="W1870" s="115"/>
      <c r="X1870" s="115"/>
      <c r="Y1870" s="115"/>
      <c r="Z1870" s="115"/>
      <c r="AA1870" s="115"/>
      <c r="AB1870" s="115"/>
      <c r="AC1870" s="115"/>
      <c r="AD1870" s="115"/>
      <c r="AE1870" s="115"/>
      <c r="AF1870" s="115"/>
      <c r="AG1870" s="115"/>
      <c r="AH1870" s="115"/>
      <c r="AI1870" s="115"/>
      <c r="AJ1870" s="115"/>
      <c r="AK1870" s="115"/>
      <c r="AL1870" s="115"/>
      <c r="AM1870" s="115"/>
      <c r="AN1870" s="115"/>
      <c r="AO1870" s="115"/>
      <c r="AP1870" s="115"/>
      <c r="AQ1870" s="115"/>
      <c r="AR1870" s="115"/>
      <c r="AS1870" s="115"/>
      <c r="AT1870" s="115"/>
      <c r="AU1870" s="115"/>
      <c r="AV1870" s="115"/>
      <c r="AW1870" s="115"/>
      <c r="AX1870" s="115"/>
      <c r="AY1870" s="115"/>
      <c r="AZ1870" s="115"/>
      <c r="BA1870" s="115"/>
      <c r="BB1870" s="115"/>
      <c r="BC1870" s="115"/>
      <c r="BD1870" s="115"/>
      <c r="BE1870" s="115"/>
      <c r="BF1870" s="122"/>
      <c r="BG1870" s="122"/>
      <c r="BH1870" s="122"/>
      <c r="BI1870" s="115"/>
      <c r="BJ1870" s="115"/>
      <c r="BK1870" s="115"/>
      <c r="BL1870" s="115"/>
      <c r="BM1870" s="115"/>
      <c r="BN1870" s="115"/>
      <c r="BO1870" s="115"/>
      <c r="BP1870" s="115"/>
      <c r="BQ1870" s="115"/>
      <c r="BR1870" s="115"/>
      <c r="BS1870" s="115"/>
      <c r="BT1870" s="115"/>
      <c r="BU1870" s="115"/>
      <c r="BV1870" s="115"/>
      <c r="BW1870" s="26"/>
      <c r="BX1870" s="15"/>
    </row>
    <row r="1871" spans="3:76" x14ac:dyDescent="0.4">
      <c r="D1871" s="115"/>
      <c r="E1871" s="115"/>
      <c r="F1871" s="115"/>
      <c r="G1871" s="115"/>
      <c r="H1871" s="115"/>
      <c r="I1871" s="115"/>
      <c r="J1871" s="115"/>
      <c r="K1871" s="115"/>
      <c r="L1871" s="115"/>
      <c r="M1871" s="115"/>
      <c r="N1871" s="115"/>
      <c r="O1871" s="115"/>
      <c r="P1871" s="115"/>
      <c r="Q1871" s="115"/>
      <c r="R1871" s="115"/>
      <c r="S1871" s="115"/>
      <c r="T1871" s="115"/>
      <c r="U1871" s="115"/>
      <c r="V1871" s="115"/>
      <c r="W1871" s="115"/>
      <c r="X1871" s="115"/>
      <c r="Y1871" s="115"/>
      <c r="Z1871" s="115"/>
      <c r="AA1871" s="115"/>
      <c r="AB1871" s="115"/>
      <c r="AC1871" s="115"/>
      <c r="AD1871" s="115"/>
      <c r="AE1871" s="115"/>
      <c r="AF1871" s="115"/>
      <c r="AG1871" s="115"/>
      <c r="AH1871" s="115"/>
      <c r="AI1871" s="115"/>
      <c r="AJ1871" s="115"/>
      <c r="AK1871" s="115"/>
      <c r="AL1871" s="115"/>
      <c r="AM1871" s="115"/>
      <c r="AN1871" s="115"/>
      <c r="AO1871" s="115"/>
      <c r="AP1871" s="115"/>
      <c r="AQ1871" s="115"/>
      <c r="AR1871" s="115"/>
      <c r="AS1871" s="115"/>
      <c r="AT1871" s="115"/>
      <c r="AU1871" s="115"/>
      <c r="AV1871" s="115"/>
      <c r="AW1871" s="115"/>
      <c r="AX1871" s="115"/>
      <c r="AY1871" s="115"/>
      <c r="AZ1871" s="115"/>
      <c r="BA1871" s="115"/>
      <c r="BB1871" s="115"/>
      <c r="BC1871" s="115"/>
      <c r="BD1871" s="115"/>
      <c r="BE1871" s="115"/>
      <c r="BF1871" s="122"/>
      <c r="BG1871" s="122"/>
      <c r="BH1871" s="122"/>
      <c r="BI1871" s="115"/>
      <c r="BJ1871" s="115"/>
      <c r="BK1871" s="115"/>
      <c r="BL1871" s="115"/>
      <c r="BM1871" s="115"/>
      <c r="BN1871" s="115"/>
      <c r="BO1871" s="115"/>
      <c r="BP1871" s="115"/>
      <c r="BQ1871" s="115"/>
      <c r="BR1871" s="115"/>
      <c r="BS1871" s="115"/>
      <c r="BT1871" s="115"/>
      <c r="BU1871" s="115"/>
      <c r="BV1871" s="115"/>
      <c r="BW1871" s="26"/>
      <c r="BX1871" s="15"/>
    </row>
    <row r="1872" spans="3:76" x14ac:dyDescent="0.4">
      <c r="D1872" s="115"/>
      <c r="E1872" s="115"/>
      <c r="F1872" s="115"/>
      <c r="G1872" s="115"/>
      <c r="H1872" s="115"/>
      <c r="I1872" s="115"/>
      <c r="J1872" s="115"/>
      <c r="K1872" s="115"/>
      <c r="L1872" s="115"/>
      <c r="M1872" s="115"/>
      <c r="N1872" s="115"/>
      <c r="O1872" s="115"/>
      <c r="P1872" s="115"/>
      <c r="Q1872" s="115"/>
      <c r="R1872" s="115"/>
      <c r="S1872" s="115"/>
      <c r="T1872" s="115"/>
      <c r="U1872" s="115"/>
      <c r="V1872" s="115"/>
      <c r="W1872" s="115"/>
      <c r="X1872" s="115"/>
      <c r="Y1872" s="115"/>
      <c r="Z1872" s="115"/>
      <c r="AA1872" s="115"/>
      <c r="AB1872" s="115"/>
      <c r="AC1872" s="115"/>
      <c r="AD1872" s="115"/>
      <c r="AE1872" s="115"/>
      <c r="AF1872" s="115"/>
      <c r="AG1872" s="115"/>
      <c r="AH1872" s="115"/>
      <c r="AI1872" s="115"/>
      <c r="AJ1872" s="115"/>
      <c r="AK1872" s="115"/>
      <c r="AL1872" s="115"/>
      <c r="AM1872" s="115"/>
      <c r="AN1872" s="115"/>
      <c r="AO1872" s="115"/>
      <c r="AP1872" s="115"/>
      <c r="AQ1872" s="115"/>
      <c r="AR1872" s="115"/>
      <c r="AS1872" s="115"/>
      <c r="AT1872" s="115"/>
      <c r="AU1872" s="115"/>
      <c r="AV1872" s="115"/>
      <c r="AW1872" s="115"/>
      <c r="AX1872" s="115"/>
      <c r="AY1872" s="115"/>
      <c r="AZ1872" s="115"/>
      <c r="BA1872" s="115"/>
      <c r="BB1872" s="115"/>
      <c r="BC1872" s="115"/>
      <c r="BD1872" s="115"/>
      <c r="BE1872" s="115"/>
      <c r="BF1872" s="122"/>
      <c r="BG1872" s="122"/>
      <c r="BH1872" s="122"/>
      <c r="BI1872" s="115"/>
      <c r="BJ1872" s="115"/>
      <c r="BK1872" s="115"/>
      <c r="BL1872" s="115"/>
      <c r="BM1872" s="115"/>
      <c r="BN1872" s="115"/>
      <c r="BO1872" s="115"/>
      <c r="BP1872" s="115"/>
      <c r="BQ1872" s="115"/>
      <c r="BR1872" s="115"/>
      <c r="BS1872" s="115"/>
      <c r="BT1872" s="115"/>
      <c r="BU1872" s="115"/>
      <c r="BV1872" s="115"/>
      <c r="BW1872" s="26"/>
      <c r="BX1872" s="15"/>
    </row>
    <row r="1873" spans="1:76" x14ac:dyDescent="0.4">
      <c r="C1873" s="115"/>
      <c r="D1873" s="115"/>
      <c r="E1873" s="115"/>
      <c r="F1873" s="115"/>
      <c r="G1873" s="115"/>
      <c r="H1873" s="115"/>
      <c r="I1873" s="115"/>
      <c r="J1873" s="115"/>
      <c r="K1873" s="115"/>
      <c r="L1873" s="115"/>
      <c r="M1873" s="115"/>
      <c r="N1873" s="115"/>
      <c r="O1873" s="115"/>
      <c r="P1873" s="115"/>
      <c r="Q1873" s="115"/>
      <c r="R1873" s="115"/>
      <c r="S1873" s="115"/>
      <c r="T1873" s="115"/>
      <c r="U1873" s="115"/>
      <c r="V1873" s="115"/>
      <c r="W1873" s="115"/>
      <c r="X1873" s="115"/>
      <c r="Y1873" s="115"/>
      <c r="Z1873" s="115"/>
      <c r="AA1873" s="115"/>
      <c r="AB1873" s="115"/>
      <c r="AC1873" s="115"/>
      <c r="AD1873" s="115"/>
      <c r="AE1873" s="115"/>
      <c r="AF1873" s="115"/>
      <c r="AG1873" s="115"/>
      <c r="AH1873" s="115"/>
      <c r="AI1873" s="115"/>
      <c r="AJ1873" s="115"/>
      <c r="AK1873" s="115"/>
      <c r="AL1873" s="115"/>
      <c r="AM1873" s="115"/>
      <c r="AN1873" s="115"/>
      <c r="AO1873" s="115"/>
      <c r="AP1873" s="115"/>
      <c r="AQ1873" s="115"/>
      <c r="AR1873" s="115"/>
      <c r="AS1873" s="115"/>
      <c r="AT1873" s="115"/>
      <c r="AU1873" s="115"/>
      <c r="AV1873" s="115"/>
      <c r="AW1873" s="115"/>
      <c r="AX1873" s="115"/>
      <c r="AY1873" s="115"/>
      <c r="AZ1873" s="115"/>
      <c r="BA1873" s="115"/>
      <c r="BB1873" s="115"/>
      <c r="BC1873" s="115"/>
      <c r="BD1873" s="115"/>
      <c r="BE1873" s="115"/>
      <c r="BF1873" s="122"/>
      <c r="BG1873" s="122"/>
      <c r="BH1873" s="122"/>
      <c r="BI1873" s="115"/>
      <c r="BJ1873" s="115"/>
      <c r="BK1873" s="115"/>
      <c r="BL1873" s="115"/>
      <c r="BM1873" s="115"/>
      <c r="BN1873" s="115"/>
      <c r="BO1873" s="115"/>
      <c r="BP1873" s="115"/>
      <c r="BQ1873" s="115"/>
      <c r="BR1873" s="115"/>
      <c r="BS1873" s="115"/>
      <c r="BT1873" s="115"/>
      <c r="BU1873" s="115"/>
      <c r="BV1873" s="115"/>
      <c r="BW1873" s="26"/>
      <c r="BX1873" s="15"/>
    </row>
    <row r="1874" spans="1:76" ht="19.5" customHeight="1" x14ac:dyDescent="0.4">
      <c r="B1874" s="115"/>
      <c r="C1874" s="115"/>
      <c r="D1874" s="115"/>
      <c r="E1874" s="115"/>
      <c r="F1874" s="115"/>
      <c r="G1874" s="115"/>
      <c r="H1874" s="115"/>
      <c r="I1874" s="115"/>
      <c r="J1874" s="115"/>
      <c r="K1874" s="115"/>
      <c r="L1874" s="115"/>
      <c r="M1874" s="115"/>
      <c r="N1874" s="115"/>
      <c r="O1874" s="115"/>
      <c r="P1874" s="115"/>
      <c r="Q1874" s="115"/>
      <c r="R1874" s="115"/>
      <c r="S1874" s="115"/>
      <c r="T1874" s="115"/>
      <c r="U1874" s="115"/>
      <c r="V1874" s="115"/>
      <c r="W1874" s="115"/>
      <c r="X1874" s="115"/>
      <c r="Y1874" s="115"/>
      <c r="Z1874" s="115"/>
      <c r="AA1874" s="115"/>
      <c r="AB1874" s="115"/>
      <c r="AC1874" s="115"/>
      <c r="AD1874" s="115"/>
      <c r="AE1874" s="115"/>
      <c r="AF1874" s="115"/>
      <c r="AG1874" s="115"/>
      <c r="AH1874" s="115"/>
      <c r="AI1874" s="115"/>
      <c r="AJ1874" s="115"/>
      <c r="AK1874" s="115"/>
      <c r="AL1874" s="115"/>
      <c r="AM1874" s="115"/>
      <c r="AN1874" s="115"/>
      <c r="AO1874" s="115"/>
      <c r="AP1874" s="115"/>
      <c r="AQ1874" s="115"/>
      <c r="AR1874" s="115"/>
      <c r="AS1874" s="115"/>
      <c r="AT1874" s="115"/>
      <c r="AU1874" s="115"/>
      <c r="AV1874" s="115"/>
      <c r="AW1874" s="115"/>
      <c r="AX1874" s="115"/>
      <c r="AY1874" s="115"/>
      <c r="AZ1874" s="115"/>
      <c r="BA1874" s="115"/>
      <c r="BB1874" s="115"/>
      <c r="BC1874" s="115"/>
      <c r="BD1874" s="115"/>
      <c r="BE1874" s="115"/>
      <c r="BF1874" s="122"/>
      <c r="BG1874" s="122"/>
      <c r="BH1874" s="122"/>
      <c r="BI1874" s="115"/>
      <c r="BJ1874" s="115"/>
      <c r="BK1874" s="115"/>
      <c r="BL1874" s="115"/>
      <c r="BM1874" s="115"/>
      <c r="BN1874" s="115"/>
      <c r="BO1874" s="115"/>
      <c r="BP1874" s="115"/>
      <c r="BQ1874" s="115"/>
      <c r="BR1874" s="115"/>
      <c r="BS1874" s="115"/>
      <c r="BT1874" s="115"/>
      <c r="BU1874" s="115"/>
      <c r="BV1874" s="115"/>
      <c r="BW1874" s="26"/>
      <c r="BX1874" s="15"/>
    </row>
    <row r="1875" spans="1:76" ht="19.5" customHeight="1" x14ac:dyDescent="0.4">
      <c r="B1875" s="115"/>
      <c r="C1875" s="115"/>
      <c r="D1875" s="115"/>
      <c r="E1875" s="115"/>
      <c r="F1875" s="115"/>
      <c r="G1875" s="115"/>
      <c r="H1875" s="115"/>
      <c r="I1875" s="115"/>
      <c r="J1875" s="115"/>
      <c r="K1875" s="115"/>
      <c r="L1875" s="115"/>
      <c r="M1875" s="115"/>
      <c r="N1875" s="115"/>
      <c r="O1875" s="115"/>
      <c r="P1875" s="115"/>
      <c r="Q1875" s="115"/>
      <c r="R1875" s="115"/>
      <c r="S1875" s="115"/>
      <c r="T1875" s="115"/>
      <c r="U1875" s="115"/>
      <c r="V1875" s="115"/>
      <c r="W1875" s="115"/>
      <c r="X1875" s="115"/>
      <c r="Y1875" s="115"/>
      <c r="Z1875" s="115"/>
      <c r="AA1875" s="115"/>
      <c r="AB1875" s="115"/>
      <c r="AC1875" s="115"/>
      <c r="AD1875" s="115"/>
      <c r="AE1875" s="115"/>
      <c r="AF1875" s="115"/>
      <c r="AG1875" s="115"/>
      <c r="AH1875" s="115"/>
      <c r="AI1875" s="115"/>
      <c r="AJ1875" s="115"/>
      <c r="AK1875" s="115"/>
      <c r="AL1875" s="115"/>
      <c r="AM1875" s="115"/>
      <c r="AN1875" s="115"/>
      <c r="AO1875" s="115"/>
      <c r="AP1875" s="115"/>
      <c r="AQ1875" s="115"/>
      <c r="AR1875" s="115"/>
      <c r="AS1875" s="115"/>
      <c r="AT1875" s="115"/>
      <c r="AU1875" s="115"/>
      <c r="AV1875" s="115"/>
      <c r="AW1875" s="115"/>
      <c r="AX1875" s="115"/>
      <c r="AY1875" s="115"/>
      <c r="AZ1875" s="115"/>
      <c r="BA1875" s="115"/>
      <c r="BB1875" s="115"/>
      <c r="BC1875" s="115"/>
      <c r="BD1875" s="115"/>
      <c r="BE1875" s="115"/>
      <c r="BF1875" s="122"/>
      <c r="BG1875" s="122"/>
      <c r="BH1875" s="122"/>
      <c r="BI1875" s="115"/>
      <c r="BJ1875" s="115"/>
      <c r="BK1875" s="115"/>
      <c r="BL1875" s="115"/>
      <c r="BM1875" s="115"/>
      <c r="BN1875" s="115"/>
      <c r="BO1875" s="115"/>
      <c r="BP1875" s="115"/>
      <c r="BQ1875" s="115"/>
      <c r="BR1875" s="115"/>
      <c r="BS1875" s="115"/>
      <c r="BT1875" s="115"/>
      <c r="BU1875" s="115"/>
      <c r="BV1875" s="115"/>
      <c r="BW1875" s="26"/>
      <c r="BX1875" s="15"/>
    </row>
    <row r="1876" spans="1:76" x14ac:dyDescent="0.4">
      <c r="BW1876" s="26"/>
      <c r="BX1876" s="15"/>
    </row>
    <row r="1877" spans="1:76" x14ac:dyDescent="0.4">
      <c r="D1877" s="115"/>
      <c r="E1877" s="115"/>
      <c r="F1877" s="115"/>
      <c r="G1877" s="115"/>
      <c r="H1877" s="115"/>
      <c r="I1877" s="115"/>
      <c r="J1877" s="115"/>
      <c r="K1877" s="115"/>
      <c r="L1877" s="115"/>
      <c r="M1877" s="115"/>
      <c r="N1877" s="115"/>
      <c r="O1877" s="115"/>
      <c r="P1877" s="115"/>
      <c r="Q1877" s="115"/>
      <c r="R1877" s="115"/>
      <c r="S1877" s="115"/>
      <c r="T1877" s="115"/>
      <c r="U1877" s="115"/>
      <c r="V1877" s="115"/>
      <c r="W1877" s="115"/>
      <c r="X1877" s="115"/>
      <c r="Y1877" s="115"/>
      <c r="Z1877" s="115"/>
      <c r="AA1877" s="115"/>
      <c r="AB1877" s="115"/>
      <c r="AC1877" s="115"/>
      <c r="AD1877" s="115"/>
      <c r="AE1877" s="115"/>
      <c r="AF1877" s="115"/>
      <c r="AG1877" s="115"/>
      <c r="AH1877" s="115"/>
      <c r="AI1877" s="115"/>
      <c r="AJ1877" s="115"/>
      <c r="AK1877" s="115"/>
      <c r="AL1877" s="115"/>
      <c r="AM1877" s="115"/>
      <c r="AN1877" s="115"/>
      <c r="AO1877" s="115"/>
      <c r="AP1877" s="115"/>
      <c r="AQ1877" s="115"/>
      <c r="AR1877" s="115"/>
      <c r="AS1877" s="115"/>
      <c r="AT1877" s="115"/>
      <c r="AU1877" s="115"/>
      <c r="AV1877" s="115"/>
      <c r="AW1877" s="115"/>
      <c r="AX1877" s="115"/>
      <c r="AY1877" s="115"/>
      <c r="AZ1877" s="115"/>
      <c r="BA1877" s="115"/>
      <c r="BB1877" s="115"/>
      <c r="BC1877" s="115"/>
      <c r="BD1877" s="115"/>
      <c r="BE1877" s="115"/>
      <c r="BF1877" s="122"/>
      <c r="BG1877" s="122"/>
      <c r="BH1877" s="122"/>
      <c r="BI1877" s="115"/>
      <c r="BJ1877" s="115"/>
      <c r="BK1877" s="115"/>
      <c r="BL1877" s="115"/>
      <c r="BM1877" s="115"/>
      <c r="BN1877" s="115"/>
      <c r="BO1877" s="115"/>
      <c r="BP1877" s="115"/>
      <c r="BQ1877" s="115"/>
      <c r="BR1877" s="115"/>
      <c r="BS1877" s="115"/>
      <c r="BT1877" s="115"/>
      <c r="BU1877" s="115"/>
      <c r="BV1877" s="115"/>
      <c r="BW1877" s="26"/>
      <c r="BX1877" s="15"/>
    </row>
    <row r="1878" spans="1:76" x14ac:dyDescent="0.4">
      <c r="C1878" s="115"/>
      <c r="D1878" s="115"/>
      <c r="E1878" s="115"/>
      <c r="F1878" s="115"/>
      <c r="G1878" s="115"/>
      <c r="H1878" s="115"/>
      <c r="I1878" s="115"/>
      <c r="J1878" s="115"/>
      <c r="K1878" s="115"/>
      <c r="L1878" s="115"/>
      <c r="M1878" s="115"/>
      <c r="N1878" s="115"/>
      <c r="O1878" s="115"/>
      <c r="P1878" s="115"/>
      <c r="Q1878" s="115"/>
      <c r="R1878" s="115"/>
      <c r="S1878" s="115"/>
      <c r="T1878" s="115"/>
      <c r="U1878" s="115"/>
      <c r="V1878" s="115"/>
      <c r="W1878" s="115"/>
      <c r="X1878" s="115"/>
      <c r="Y1878" s="115"/>
      <c r="Z1878" s="115"/>
      <c r="AA1878" s="115"/>
      <c r="AB1878" s="115"/>
      <c r="AC1878" s="115"/>
      <c r="AD1878" s="115"/>
      <c r="AE1878" s="115"/>
      <c r="AF1878" s="115"/>
      <c r="AG1878" s="115"/>
      <c r="AH1878" s="115"/>
      <c r="AI1878" s="115"/>
      <c r="AJ1878" s="115"/>
      <c r="AK1878" s="115"/>
      <c r="AL1878" s="115"/>
      <c r="AM1878" s="115"/>
      <c r="AN1878" s="115"/>
      <c r="AO1878" s="115"/>
      <c r="AP1878" s="115"/>
      <c r="AQ1878" s="115"/>
      <c r="AR1878" s="115"/>
      <c r="AS1878" s="115"/>
      <c r="AT1878" s="115"/>
      <c r="AU1878" s="115"/>
      <c r="AV1878" s="115"/>
      <c r="AW1878" s="115"/>
      <c r="AX1878" s="115"/>
      <c r="AY1878" s="115"/>
      <c r="AZ1878" s="115"/>
      <c r="BA1878" s="115"/>
      <c r="BB1878" s="115"/>
      <c r="BC1878" s="115"/>
      <c r="BD1878" s="115"/>
      <c r="BE1878" s="115"/>
      <c r="BF1878" s="122"/>
      <c r="BG1878" s="122"/>
      <c r="BH1878" s="122"/>
      <c r="BI1878" s="115"/>
      <c r="BJ1878" s="115"/>
      <c r="BK1878" s="115"/>
      <c r="BL1878" s="115"/>
      <c r="BM1878" s="115"/>
      <c r="BN1878" s="115"/>
      <c r="BO1878" s="115"/>
      <c r="BP1878" s="115"/>
      <c r="BQ1878" s="115"/>
      <c r="BR1878" s="115"/>
      <c r="BS1878" s="115"/>
      <c r="BT1878" s="115"/>
      <c r="BU1878" s="115"/>
      <c r="BV1878" s="115"/>
      <c r="BW1878" s="26"/>
      <c r="BX1878" s="15"/>
    </row>
    <row r="1879" spans="1:76" x14ac:dyDescent="0.4">
      <c r="C1879" s="115"/>
      <c r="D1879" s="115"/>
      <c r="E1879" s="115"/>
      <c r="F1879" s="115"/>
      <c r="G1879" s="115"/>
      <c r="H1879" s="115"/>
      <c r="I1879" s="115"/>
      <c r="J1879" s="115"/>
      <c r="K1879" s="115"/>
      <c r="L1879" s="115"/>
      <c r="M1879" s="115"/>
      <c r="N1879" s="115"/>
      <c r="O1879" s="115"/>
      <c r="P1879" s="115"/>
      <c r="Q1879" s="115"/>
      <c r="R1879" s="115"/>
      <c r="S1879" s="115"/>
      <c r="T1879" s="115"/>
      <c r="U1879" s="115"/>
      <c r="V1879" s="115"/>
      <c r="W1879" s="115"/>
      <c r="X1879" s="115"/>
      <c r="Y1879" s="115"/>
      <c r="Z1879" s="115"/>
      <c r="AA1879" s="115"/>
      <c r="AB1879" s="115"/>
      <c r="AC1879" s="115"/>
      <c r="AD1879" s="115"/>
      <c r="AE1879" s="115"/>
      <c r="AF1879" s="115"/>
      <c r="AG1879" s="115"/>
      <c r="AH1879" s="115"/>
      <c r="AI1879" s="115"/>
      <c r="AJ1879" s="115"/>
      <c r="AK1879" s="115"/>
      <c r="AL1879" s="115"/>
      <c r="AM1879" s="115"/>
      <c r="AN1879" s="115"/>
      <c r="AO1879" s="115"/>
      <c r="AP1879" s="115"/>
      <c r="AQ1879" s="115"/>
      <c r="AR1879" s="115"/>
      <c r="AS1879" s="115"/>
      <c r="AT1879" s="115"/>
      <c r="AU1879" s="115"/>
      <c r="AV1879" s="115"/>
      <c r="AW1879" s="115"/>
      <c r="AX1879" s="115"/>
      <c r="AY1879" s="115"/>
      <c r="AZ1879" s="115"/>
      <c r="BA1879" s="115"/>
      <c r="BB1879" s="115"/>
      <c r="BC1879" s="115"/>
      <c r="BD1879" s="115"/>
      <c r="BE1879" s="115"/>
      <c r="BF1879" s="122"/>
      <c r="BG1879" s="122"/>
      <c r="BH1879" s="122"/>
      <c r="BI1879" s="115"/>
      <c r="BJ1879" s="115"/>
      <c r="BK1879" s="115"/>
      <c r="BL1879" s="115"/>
      <c r="BM1879" s="115"/>
      <c r="BN1879" s="115"/>
      <c r="BO1879" s="115"/>
      <c r="BP1879" s="115"/>
      <c r="BQ1879" s="115"/>
      <c r="BR1879" s="115"/>
      <c r="BS1879" s="115"/>
      <c r="BT1879" s="115"/>
      <c r="BU1879" s="115"/>
      <c r="BV1879" s="115"/>
      <c r="BW1879" s="17"/>
      <c r="BX1879" s="15"/>
    </row>
    <row r="1880" spans="1:76" x14ac:dyDescent="0.4">
      <c r="BW1880" s="26"/>
      <c r="BX1880" s="15"/>
    </row>
    <row r="1881" spans="1:76" x14ac:dyDescent="0.4">
      <c r="AZ1881" s="115"/>
      <c r="BA1881" s="115"/>
      <c r="BB1881" s="115"/>
      <c r="BC1881" s="115"/>
      <c r="BD1881" s="115"/>
      <c r="BE1881" s="115"/>
      <c r="BF1881" s="122"/>
      <c r="BG1881" s="122"/>
      <c r="BH1881" s="122"/>
      <c r="BI1881" s="115"/>
      <c r="BJ1881" s="115"/>
      <c r="BK1881" s="115"/>
      <c r="BL1881" s="115"/>
      <c r="BM1881" s="115"/>
      <c r="BN1881" s="115"/>
      <c r="BO1881" s="115"/>
      <c r="BP1881" s="115"/>
      <c r="BQ1881" s="115"/>
      <c r="BR1881" s="115"/>
      <c r="BS1881" s="115"/>
      <c r="BT1881" s="115"/>
      <c r="BU1881" s="115"/>
      <c r="BV1881" s="115"/>
      <c r="BW1881" s="17"/>
      <c r="BX1881" s="15"/>
    </row>
    <row r="1882" spans="1:76" x14ac:dyDescent="0.4">
      <c r="C1882" s="115"/>
      <c r="D1882" s="115"/>
      <c r="E1882" s="115"/>
      <c r="F1882" s="115"/>
      <c r="G1882" s="115"/>
      <c r="H1882" s="115"/>
      <c r="I1882" s="115"/>
      <c r="J1882" s="115"/>
      <c r="K1882" s="115"/>
      <c r="L1882" s="115"/>
      <c r="M1882" s="115"/>
      <c r="N1882" s="115"/>
      <c r="O1882" s="115"/>
      <c r="P1882" s="115"/>
      <c r="Q1882" s="115"/>
      <c r="R1882" s="115"/>
      <c r="S1882" s="115"/>
      <c r="T1882" s="115"/>
      <c r="U1882" s="115"/>
      <c r="V1882" s="115"/>
      <c r="W1882" s="115"/>
      <c r="X1882" s="115"/>
      <c r="Y1882" s="115"/>
      <c r="Z1882" s="115"/>
      <c r="AA1882" s="115"/>
      <c r="AB1882" s="115"/>
      <c r="AC1882" s="115"/>
      <c r="AD1882" s="115"/>
      <c r="AE1882" s="115"/>
      <c r="AF1882" s="115"/>
      <c r="AG1882" s="115"/>
      <c r="AH1882" s="115"/>
      <c r="AI1882" s="115"/>
      <c r="AJ1882" s="115"/>
      <c r="AK1882" s="115"/>
      <c r="AL1882" s="115"/>
      <c r="AM1882" s="115"/>
      <c r="AN1882" s="115"/>
      <c r="AO1882" s="115"/>
      <c r="AP1882" s="115"/>
      <c r="AQ1882" s="115"/>
      <c r="AR1882" s="115"/>
      <c r="AS1882" s="115"/>
      <c r="AT1882" s="115"/>
      <c r="AU1882" s="115"/>
      <c r="AV1882" s="115"/>
      <c r="AW1882" s="115"/>
      <c r="AX1882" s="115"/>
      <c r="AY1882" s="115"/>
      <c r="AZ1882" s="115"/>
      <c r="BA1882" s="115"/>
      <c r="BB1882" s="115"/>
      <c r="BC1882" s="115"/>
      <c r="BD1882" s="115"/>
      <c r="BE1882" s="115"/>
      <c r="BF1882" s="122"/>
      <c r="BG1882" s="122"/>
      <c r="BH1882" s="122"/>
      <c r="BI1882" s="115"/>
      <c r="BJ1882" s="115"/>
      <c r="BK1882" s="115"/>
      <c r="BL1882" s="115"/>
      <c r="BM1882" s="115"/>
      <c r="BN1882" s="115"/>
      <c r="BO1882" s="115"/>
      <c r="BP1882" s="115"/>
      <c r="BQ1882" s="115"/>
      <c r="BR1882" s="115"/>
      <c r="BS1882" s="115"/>
      <c r="BT1882" s="115"/>
      <c r="BU1882" s="115"/>
      <c r="BV1882" s="115"/>
      <c r="BW1882" s="26"/>
      <c r="BX1882" s="15"/>
    </row>
    <row r="1883" spans="1:76" x14ac:dyDescent="0.4">
      <c r="BW1883" s="26"/>
      <c r="BX1883" s="15"/>
    </row>
    <row r="1884" spans="1:76" x14ac:dyDescent="0.4">
      <c r="BW1884" s="26"/>
      <c r="BX1884" s="15"/>
    </row>
    <row r="1885" spans="1:76" x14ac:dyDescent="0.4">
      <c r="AY1885" s="115"/>
      <c r="AZ1885" s="115"/>
      <c r="BA1885" s="115"/>
      <c r="BB1885" s="115"/>
      <c r="BC1885" s="115"/>
      <c r="BD1885" s="115"/>
      <c r="BE1885" s="115"/>
      <c r="BF1885" s="122"/>
      <c r="BG1885" s="122"/>
      <c r="BH1885" s="122"/>
      <c r="BI1885" s="115"/>
      <c r="BJ1885" s="115"/>
      <c r="BK1885" s="115"/>
      <c r="BL1885" s="115"/>
      <c r="BM1885" s="115"/>
      <c r="BN1885" s="115"/>
      <c r="BO1885" s="115"/>
      <c r="BP1885" s="115"/>
      <c r="BQ1885" s="115"/>
      <c r="BR1885" s="115"/>
      <c r="BS1885" s="115"/>
      <c r="BT1885" s="115"/>
      <c r="BU1885" s="115"/>
      <c r="BV1885" s="115"/>
      <c r="BW1885" s="26"/>
      <c r="BX1885" s="15"/>
    </row>
    <row r="1886" spans="1:76" x14ac:dyDescent="0.4">
      <c r="BW1886" s="26"/>
      <c r="BX1886" s="15"/>
    </row>
    <row r="1887" spans="1:76" x14ac:dyDescent="0.4">
      <c r="AZ1887" s="115"/>
      <c r="BA1887" s="115"/>
      <c r="BB1887" s="115"/>
      <c r="BC1887" s="115"/>
      <c r="BD1887" s="115"/>
      <c r="BE1887" s="115"/>
      <c r="BF1887" s="122"/>
      <c r="BG1887" s="122"/>
      <c r="BH1887" s="122"/>
      <c r="BI1887" s="115"/>
      <c r="BJ1887" s="115"/>
      <c r="BK1887" s="115"/>
      <c r="BL1887" s="115"/>
      <c r="BM1887" s="115"/>
      <c r="BN1887" s="115"/>
      <c r="BO1887" s="115"/>
      <c r="BP1887" s="115"/>
      <c r="BQ1887" s="115"/>
      <c r="BR1887" s="115"/>
      <c r="BS1887" s="115"/>
      <c r="BT1887" s="115"/>
      <c r="BU1887" s="115"/>
      <c r="BV1887" s="115"/>
      <c r="BW1887" s="17"/>
      <c r="BX1887" s="15"/>
    </row>
    <row r="1888" spans="1:76" x14ac:dyDescent="0.4">
      <c r="A1888" s="115"/>
      <c r="B1888" s="115"/>
      <c r="C1888" s="115"/>
      <c r="D1888" s="115"/>
      <c r="E1888" s="115"/>
      <c r="F1888" s="115"/>
      <c r="G1888" s="115"/>
      <c r="H1888" s="115"/>
      <c r="I1888" s="115"/>
      <c r="J1888" s="115"/>
      <c r="K1888" s="115"/>
      <c r="L1888" s="115"/>
      <c r="M1888" s="115"/>
      <c r="N1888" s="115"/>
      <c r="O1888" s="115"/>
      <c r="P1888" s="115"/>
      <c r="Q1888" s="115"/>
      <c r="R1888" s="115"/>
      <c r="S1888" s="115"/>
      <c r="T1888" s="115"/>
      <c r="U1888" s="115"/>
      <c r="V1888" s="115"/>
      <c r="W1888" s="115"/>
      <c r="X1888" s="115"/>
      <c r="Y1888" s="115"/>
      <c r="Z1888" s="115"/>
      <c r="AA1888" s="115"/>
      <c r="AB1888" s="115"/>
      <c r="AC1888" s="115"/>
      <c r="AD1888" s="115"/>
      <c r="AE1888" s="115"/>
      <c r="AF1888" s="115"/>
      <c r="AG1888" s="115"/>
      <c r="AH1888" s="115"/>
      <c r="AI1888" s="115"/>
      <c r="AJ1888" s="115"/>
      <c r="AK1888" s="115"/>
      <c r="AL1888" s="115"/>
      <c r="AM1888" s="115"/>
      <c r="AN1888" s="115"/>
      <c r="AO1888" s="115"/>
      <c r="AP1888" s="115"/>
      <c r="AQ1888" s="115"/>
      <c r="AR1888" s="115"/>
      <c r="AS1888" s="115"/>
      <c r="AT1888" s="115"/>
      <c r="AU1888" s="115"/>
      <c r="AV1888" s="115"/>
      <c r="AW1888" s="115"/>
      <c r="AX1888" s="115"/>
      <c r="AY1888" s="115"/>
      <c r="AZ1888" s="115"/>
      <c r="BA1888" s="115"/>
      <c r="BB1888" s="115"/>
      <c r="BC1888" s="115"/>
      <c r="BD1888" s="115"/>
      <c r="BE1888" s="115"/>
      <c r="BF1888" s="122"/>
      <c r="BG1888" s="122"/>
      <c r="BH1888" s="122"/>
      <c r="BI1888" s="115"/>
      <c r="BJ1888" s="115"/>
      <c r="BK1888" s="115"/>
      <c r="BL1888" s="115"/>
      <c r="BM1888" s="115"/>
      <c r="BN1888" s="115"/>
      <c r="BO1888" s="115"/>
      <c r="BP1888" s="115"/>
      <c r="BQ1888" s="115"/>
      <c r="BR1888" s="115"/>
      <c r="BS1888" s="115"/>
      <c r="BT1888" s="115"/>
      <c r="BU1888" s="115"/>
      <c r="BV1888" s="115"/>
      <c r="BW1888" s="26"/>
      <c r="BX1888" s="15"/>
    </row>
    <row r="1889" spans="1:76" x14ac:dyDescent="0.4">
      <c r="A1889" s="115"/>
      <c r="B1889" s="115"/>
      <c r="C1889" s="115"/>
      <c r="D1889" s="115"/>
      <c r="E1889" s="115"/>
      <c r="F1889" s="115"/>
      <c r="G1889" s="115"/>
      <c r="H1889" s="115"/>
      <c r="I1889" s="115"/>
      <c r="J1889" s="115"/>
      <c r="K1889" s="115"/>
      <c r="L1889" s="115"/>
      <c r="M1889" s="115"/>
      <c r="N1889" s="115"/>
      <c r="O1889" s="115"/>
      <c r="P1889" s="115"/>
      <c r="Q1889" s="115"/>
      <c r="R1889" s="115"/>
      <c r="S1889" s="115"/>
      <c r="T1889" s="115"/>
      <c r="U1889" s="115"/>
      <c r="V1889" s="115"/>
      <c r="W1889" s="115"/>
      <c r="X1889" s="115"/>
      <c r="Y1889" s="115"/>
      <c r="Z1889" s="115"/>
      <c r="AA1889" s="115"/>
      <c r="AB1889" s="115"/>
      <c r="AC1889" s="115"/>
      <c r="AD1889" s="115"/>
      <c r="AE1889" s="115"/>
      <c r="AF1889" s="115"/>
      <c r="AG1889" s="115"/>
      <c r="AH1889" s="115"/>
      <c r="AI1889" s="115"/>
      <c r="AJ1889" s="115"/>
      <c r="AK1889" s="115"/>
      <c r="AL1889" s="115"/>
      <c r="AM1889" s="115"/>
      <c r="AN1889" s="115"/>
      <c r="AO1889" s="115"/>
      <c r="AP1889" s="115"/>
      <c r="AQ1889" s="115"/>
      <c r="AR1889" s="115"/>
      <c r="AS1889" s="115"/>
      <c r="AT1889" s="115"/>
      <c r="AU1889" s="115"/>
      <c r="AV1889" s="115"/>
      <c r="AW1889" s="115"/>
      <c r="AX1889" s="115"/>
      <c r="AY1889" s="115"/>
      <c r="AZ1889" s="115"/>
      <c r="BA1889" s="115"/>
      <c r="BB1889" s="115"/>
      <c r="BC1889" s="115"/>
      <c r="BD1889" s="115"/>
      <c r="BE1889" s="115"/>
      <c r="BF1889" s="122"/>
      <c r="BG1889" s="122"/>
      <c r="BH1889" s="122"/>
      <c r="BI1889" s="115"/>
      <c r="BJ1889" s="115"/>
      <c r="BK1889" s="115"/>
      <c r="BL1889" s="115"/>
      <c r="BM1889" s="115"/>
      <c r="BN1889" s="115"/>
      <c r="BO1889" s="115"/>
      <c r="BP1889" s="115"/>
      <c r="BQ1889" s="115"/>
      <c r="BR1889" s="115"/>
      <c r="BS1889" s="115"/>
      <c r="BT1889" s="115"/>
      <c r="BU1889" s="115"/>
      <c r="BV1889" s="115"/>
      <c r="BW1889" s="17"/>
      <c r="BX1889" s="13"/>
    </row>
    <row r="1890" spans="1:76" x14ac:dyDescent="0.4">
      <c r="A1890" s="115"/>
      <c r="B1890" s="115"/>
      <c r="C1890" s="115"/>
      <c r="D1890" s="115"/>
      <c r="E1890" s="115"/>
      <c r="F1890" s="115"/>
      <c r="G1890" s="115"/>
      <c r="H1890" s="115"/>
      <c r="I1890" s="115"/>
      <c r="J1890" s="115"/>
      <c r="K1890" s="115"/>
      <c r="L1890" s="115"/>
      <c r="M1890" s="115"/>
      <c r="N1890" s="115"/>
      <c r="O1890" s="115"/>
      <c r="P1890" s="115"/>
      <c r="Q1890" s="115"/>
      <c r="R1890" s="115"/>
      <c r="S1890" s="115"/>
      <c r="T1890" s="115"/>
      <c r="U1890" s="115"/>
      <c r="V1890" s="115"/>
      <c r="W1890" s="115"/>
      <c r="X1890" s="115"/>
      <c r="Y1890" s="115"/>
      <c r="Z1890" s="115"/>
      <c r="AA1890" s="115"/>
      <c r="AB1890" s="115"/>
      <c r="AC1890" s="115"/>
      <c r="AD1890" s="115"/>
      <c r="AE1890" s="115"/>
      <c r="AF1890" s="115"/>
      <c r="AG1890" s="115"/>
      <c r="AH1890" s="115"/>
      <c r="AI1890" s="115"/>
      <c r="AJ1890" s="115"/>
      <c r="AK1890" s="115"/>
      <c r="AL1890" s="115"/>
      <c r="AM1890" s="115"/>
      <c r="AN1890" s="115"/>
      <c r="AO1890" s="115"/>
      <c r="AP1890" s="115"/>
      <c r="AQ1890" s="115"/>
      <c r="AR1890" s="115"/>
      <c r="AS1890" s="115"/>
      <c r="AT1890" s="115"/>
      <c r="AU1890" s="115"/>
      <c r="AV1890" s="115"/>
      <c r="AW1890" s="115"/>
      <c r="AX1890" s="115"/>
      <c r="AY1890" s="115"/>
      <c r="AZ1890" s="115"/>
      <c r="BA1890" s="115"/>
      <c r="BB1890" s="115"/>
      <c r="BC1890" s="115"/>
      <c r="BD1890" s="115"/>
      <c r="BE1890" s="115"/>
      <c r="BF1890" s="122"/>
      <c r="BG1890" s="122"/>
      <c r="BH1890" s="122"/>
      <c r="BI1890" s="115"/>
      <c r="BJ1890" s="115"/>
      <c r="BK1890" s="115"/>
      <c r="BL1890" s="115"/>
      <c r="BM1890" s="115"/>
      <c r="BN1890" s="115"/>
      <c r="BO1890" s="115"/>
      <c r="BP1890" s="115"/>
      <c r="BQ1890" s="115"/>
      <c r="BR1890" s="115"/>
      <c r="BS1890" s="115"/>
      <c r="BT1890" s="115"/>
      <c r="BU1890" s="115"/>
      <c r="BV1890" s="115"/>
      <c r="BW1890" s="17"/>
      <c r="BX1890" s="13"/>
    </row>
    <row r="1891" spans="1:76" x14ac:dyDescent="0.4">
      <c r="BW1891" s="26"/>
      <c r="BX1891" s="13"/>
    </row>
    <row r="1892" spans="1:76" x14ac:dyDescent="0.4">
      <c r="C1892" s="115"/>
      <c r="D1892" s="115"/>
      <c r="E1892" s="115"/>
      <c r="F1892" s="115"/>
      <c r="G1892" s="115"/>
      <c r="H1892" s="115"/>
      <c r="I1892" s="115"/>
      <c r="J1892" s="115"/>
      <c r="K1892" s="115"/>
      <c r="L1892" s="115"/>
      <c r="M1892" s="115"/>
      <c r="N1892" s="115"/>
      <c r="O1892" s="115"/>
      <c r="P1892" s="115"/>
      <c r="Q1892" s="115"/>
      <c r="R1892" s="115"/>
      <c r="S1892" s="115"/>
      <c r="T1892" s="115"/>
      <c r="U1892" s="115"/>
      <c r="V1892" s="115"/>
      <c r="W1892" s="115"/>
      <c r="X1892" s="115"/>
      <c r="Y1892" s="115"/>
      <c r="Z1892" s="115"/>
      <c r="AA1892" s="115"/>
      <c r="AB1892" s="115"/>
      <c r="AC1892" s="115"/>
      <c r="AD1892" s="115"/>
      <c r="AE1892" s="115"/>
      <c r="AF1892" s="115"/>
      <c r="AG1892" s="115"/>
      <c r="AH1892" s="115"/>
      <c r="AI1892" s="115"/>
      <c r="AJ1892" s="115"/>
      <c r="AK1892" s="115"/>
      <c r="AL1892" s="115"/>
      <c r="AM1892" s="115"/>
      <c r="AN1892" s="115"/>
      <c r="AO1892" s="115"/>
      <c r="AP1892" s="115"/>
      <c r="AQ1892" s="115"/>
      <c r="AR1892" s="115"/>
      <c r="AS1892" s="115"/>
      <c r="AT1892" s="115"/>
      <c r="AU1892" s="115"/>
      <c r="AV1892" s="115"/>
      <c r="AW1892" s="115"/>
      <c r="AX1892" s="115"/>
      <c r="AY1892" s="115"/>
      <c r="AZ1892" s="115"/>
      <c r="BA1892" s="115"/>
      <c r="BB1892" s="115"/>
      <c r="BC1892" s="115"/>
      <c r="BD1892" s="115"/>
      <c r="BE1892" s="115"/>
      <c r="BF1892" s="122"/>
      <c r="BG1892" s="122"/>
      <c r="BH1892" s="122"/>
      <c r="BI1892" s="115"/>
      <c r="BJ1892" s="115"/>
      <c r="BK1892" s="115"/>
      <c r="BL1892" s="115"/>
      <c r="BM1892" s="115"/>
      <c r="BN1892" s="115"/>
      <c r="BO1892" s="115"/>
      <c r="BP1892" s="115"/>
      <c r="BQ1892" s="115"/>
      <c r="BR1892" s="115"/>
      <c r="BS1892" s="115"/>
      <c r="BT1892" s="115"/>
      <c r="BU1892" s="115"/>
      <c r="BV1892" s="115"/>
      <c r="BW1892" s="26"/>
      <c r="BX1892" s="15"/>
    </row>
    <row r="1893" spans="1:76" x14ac:dyDescent="0.4">
      <c r="C1893" s="115"/>
      <c r="D1893" s="115"/>
      <c r="E1893" s="115"/>
      <c r="F1893" s="115"/>
      <c r="G1893" s="115"/>
      <c r="H1893" s="115"/>
      <c r="I1893" s="115"/>
      <c r="J1893" s="115"/>
      <c r="K1893" s="115"/>
      <c r="L1893" s="115"/>
      <c r="M1893" s="115"/>
      <c r="N1893" s="115"/>
      <c r="O1893" s="115"/>
      <c r="P1893" s="115"/>
      <c r="Q1893" s="115"/>
      <c r="R1893" s="115"/>
      <c r="S1893" s="115"/>
      <c r="T1893" s="115"/>
      <c r="U1893" s="115"/>
      <c r="V1893" s="115"/>
      <c r="W1893" s="115"/>
      <c r="X1893" s="115"/>
      <c r="Y1893" s="115"/>
      <c r="Z1893" s="115"/>
      <c r="AA1893" s="115"/>
      <c r="AB1893" s="115"/>
      <c r="AC1893" s="115"/>
      <c r="AD1893" s="115"/>
      <c r="AE1893" s="115"/>
      <c r="AF1893" s="115"/>
      <c r="AG1893" s="115"/>
      <c r="AH1893" s="115"/>
      <c r="AI1893" s="115"/>
      <c r="AJ1893" s="115"/>
      <c r="AK1893" s="115"/>
      <c r="AL1893" s="115"/>
      <c r="AM1893" s="115"/>
      <c r="AN1893" s="115"/>
      <c r="AO1893" s="115"/>
      <c r="AP1893" s="115"/>
      <c r="AQ1893" s="115"/>
      <c r="AR1893" s="115"/>
      <c r="AS1893" s="115"/>
      <c r="AT1893" s="115"/>
      <c r="AU1893" s="115"/>
      <c r="AV1893" s="115"/>
      <c r="AW1893" s="115"/>
      <c r="AX1893" s="115"/>
      <c r="AY1893" s="115"/>
      <c r="AZ1893" s="115"/>
      <c r="BA1893" s="115"/>
      <c r="BB1893" s="115"/>
      <c r="BC1893" s="115"/>
      <c r="BD1893" s="115"/>
      <c r="BE1893" s="115"/>
      <c r="BF1893" s="122"/>
      <c r="BG1893" s="122"/>
      <c r="BH1893" s="122"/>
      <c r="BI1893" s="115"/>
      <c r="BJ1893" s="115"/>
      <c r="BK1893" s="115"/>
      <c r="BL1893" s="115"/>
      <c r="BM1893" s="115"/>
      <c r="BN1893" s="115"/>
      <c r="BO1893" s="115"/>
      <c r="BP1893" s="115"/>
      <c r="BQ1893" s="115"/>
      <c r="BR1893" s="115"/>
      <c r="BS1893" s="115"/>
      <c r="BT1893" s="115"/>
      <c r="BU1893" s="115"/>
      <c r="BV1893" s="115"/>
      <c r="BW1893" s="26"/>
      <c r="BX1893" s="15"/>
    </row>
    <row r="1894" spans="1:76" x14ac:dyDescent="0.4">
      <c r="BW1894" s="26"/>
      <c r="BX1894" s="15"/>
    </row>
    <row r="1895" spans="1:76" x14ac:dyDescent="0.4">
      <c r="D1895" s="115"/>
      <c r="E1895" s="115"/>
      <c r="F1895" s="115"/>
      <c r="G1895" s="115"/>
      <c r="H1895" s="115"/>
      <c r="I1895" s="115"/>
      <c r="J1895" s="115"/>
      <c r="K1895" s="115"/>
      <c r="L1895" s="115"/>
      <c r="M1895" s="115"/>
      <c r="N1895" s="115"/>
      <c r="O1895" s="115"/>
      <c r="P1895" s="115"/>
      <c r="Q1895" s="115"/>
      <c r="R1895" s="115"/>
      <c r="S1895" s="115"/>
      <c r="T1895" s="115"/>
      <c r="U1895" s="115"/>
      <c r="V1895" s="115"/>
      <c r="W1895" s="115"/>
      <c r="X1895" s="115"/>
      <c r="Y1895" s="115"/>
      <c r="Z1895" s="115"/>
      <c r="AA1895" s="115"/>
      <c r="AB1895" s="115"/>
      <c r="AC1895" s="115"/>
      <c r="AD1895" s="115"/>
      <c r="AE1895" s="115"/>
      <c r="AF1895" s="115"/>
      <c r="AG1895" s="115"/>
      <c r="AH1895" s="115"/>
      <c r="AI1895" s="115"/>
      <c r="AJ1895" s="115"/>
      <c r="AK1895" s="115"/>
      <c r="AL1895" s="115"/>
      <c r="AM1895" s="115"/>
      <c r="AN1895" s="115"/>
      <c r="AO1895" s="115"/>
      <c r="AP1895" s="115"/>
      <c r="AQ1895" s="115"/>
      <c r="AR1895" s="115"/>
      <c r="AS1895" s="115"/>
      <c r="AT1895" s="115"/>
      <c r="AU1895" s="115"/>
      <c r="AV1895" s="115"/>
      <c r="AW1895" s="115"/>
      <c r="AX1895" s="115"/>
      <c r="AY1895" s="115"/>
      <c r="AZ1895" s="115"/>
      <c r="BA1895" s="115"/>
      <c r="BB1895" s="115"/>
      <c r="BC1895" s="115"/>
      <c r="BD1895" s="115"/>
      <c r="BE1895" s="115"/>
      <c r="BF1895" s="122"/>
      <c r="BG1895" s="122"/>
      <c r="BH1895" s="122"/>
      <c r="BI1895" s="115"/>
      <c r="BJ1895" s="115"/>
      <c r="BK1895" s="115"/>
      <c r="BL1895" s="115"/>
      <c r="BM1895" s="115"/>
      <c r="BN1895" s="115"/>
      <c r="BO1895" s="115"/>
      <c r="BP1895" s="115"/>
      <c r="BQ1895" s="115"/>
      <c r="BR1895" s="115"/>
      <c r="BS1895" s="115"/>
      <c r="BT1895" s="115"/>
      <c r="BU1895" s="115"/>
      <c r="BV1895" s="115"/>
      <c r="BW1895" s="26"/>
      <c r="BX1895" s="15"/>
    </row>
    <row r="1896" spans="1:76" x14ac:dyDescent="0.4">
      <c r="C1896" s="115"/>
      <c r="D1896" s="115"/>
      <c r="E1896" s="115"/>
      <c r="F1896" s="115"/>
      <c r="G1896" s="115"/>
      <c r="H1896" s="115"/>
      <c r="I1896" s="115"/>
      <c r="J1896" s="115"/>
      <c r="K1896" s="115"/>
      <c r="L1896" s="115"/>
      <c r="M1896" s="115"/>
      <c r="N1896" s="115"/>
      <c r="O1896" s="115"/>
      <c r="P1896" s="115"/>
      <c r="Q1896" s="115"/>
      <c r="R1896" s="115"/>
      <c r="S1896" s="115"/>
      <c r="T1896" s="115"/>
      <c r="U1896" s="115"/>
      <c r="V1896" s="115"/>
      <c r="W1896" s="115"/>
      <c r="X1896" s="115"/>
      <c r="Y1896" s="115"/>
      <c r="Z1896" s="115"/>
      <c r="AA1896" s="115"/>
      <c r="AB1896" s="115"/>
      <c r="AC1896" s="115"/>
      <c r="AD1896" s="115"/>
      <c r="AE1896" s="115"/>
      <c r="AF1896" s="115"/>
      <c r="AG1896" s="115"/>
      <c r="AH1896" s="115"/>
      <c r="AI1896" s="115"/>
      <c r="AJ1896" s="115"/>
      <c r="AK1896" s="115"/>
      <c r="AL1896" s="115"/>
      <c r="AM1896" s="115"/>
      <c r="AN1896" s="115"/>
      <c r="AO1896" s="115"/>
      <c r="AP1896" s="115"/>
      <c r="AQ1896" s="115"/>
      <c r="AR1896" s="115"/>
      <c r="AS1896" s="115"/>
      <c r="AT1896" s="115"/>
      <c r="AU1896" s="115"/>
      <c r="AV1896" s="115"/>
      <c r="AW1896" s="115"/>
      <c r="AX1896" s="115"/>
      <c r="AY1896" s="115"/>
      <c r="AZ1896" s="115"/>
      <c r="BA1896" s="115"/>
      <c r="BB1896" s="115"/>
      <c r="BC1896" s="115"/>
      <c r="BD1896" s="115"/>
      <c r="BE1896" s="115"/>
      <c r="BF1896" s="122"/>
      <c r="BG1896" s="122"/>
      <c r="BH1896" s="122"/>
      <c r="BI1896" s="115"/>
      <c r="BJ1896" s="115"/>
      <c r="BK1896" s="115"/>
      <c r="BL1896" s="115"/>
      <c r="BM1896" s="115"/>
      <c r="BN1896" s="115"/>
      <c r="BO1896" s="115"/>
      <c r="BP1896" s="115"/>
      <c r="BQ1896" s="115"/>
      <c r="BR1896" s="115"/>
      <c r="BS1896" s="115"/>
      <c r="BT1896" s="115"/>
      <c r="BU1896" s="115"/>
      <c r="BV1896" s="115"/>
      <c r="BW1896" s="26"/>
      <c r="BX1896" s="15"/>
    </row>
    <row r="1897" spans="1:76" x14ac:dyDescent="0.4">
      <c r="C1897" s="115"/>
      <c r="D1897" s="115"/>
      <c r="E1897" s="115"/>
      <c r="F1897" s="115"/>
      <c r="G1897" s="115"/>
      <c r="H1897" s="115"/>
      <c r="I1897" s="115"/>
      <c r="J1897" s="115"/>
      <c r="K1897" s="115"/>
      <c r="L1897" s="115"/>
      <c r="M1897" s="115"/>
      <c r="N1897" s="115"/>
      <c r="O1897" s="115"/>
      <c r="P1897" s="115"/>
      <c r="Q1897" s="115"/>
      <c r="R1897" s="115"/>
      <c r="S1897" s="115"/>
      <c r="T1897" s="115"/>
      <c r="U1897" s="115"/>
      <c r="V1897" s="115"/>
      <c r="W1897" s="115"/>
      <c r="X1897" s="115"/>
      <c r="Y1897" s="115"/>
      <c r="Z1897" s="115"/>
      <c r="AA1897" s="115"/>
      <c r="AB1897" s="115"/>
      <c r="AC1897" s="115"/>
      <c r="AD1897" s="115"/>
      <c r="AE1897" s="115"/>
      <c r="AF1897" s="115"/>
      <c r="AG1897" s="115"/>
      <c r="AH1897" s="115"/>
      <c r="AI1897" s="115"/>
      <c r="AJ1897" s="115"/>
      <c r="AK1897" s="115"/>
      <c r="AL1897" s="115"/>
      <c r="AM1897" s="115"/>
      <c r="AN1897" s="115"/>
      <c r="AO1897" s="115"/>
      <c r="AP1897" s="115"/>
      <c r="AQ1897" s="115"/>
      <c r="AR1897" s="115"/>
      <c r="AS1897" s="115"/>
      <c r="AT1897" s="115"/>
      <c r="AU1897" s="115"/>
      <c r="AV1897" s="115"/>
      <c r="AW1897" s="115"/>
      <c r="AX1897" s="115"/>
      <c r="AY1897" s="115"/>
      <c r="AZ1897" s="115"/>
      <c r="BA1897" s="115"/>
      <c r="BB1897" s="115"/>
      <c r="BC1897" s="115"/>
      <c r="BD1897" s="115"/>
      <c r="BE1897" s="115"/>
      <c r="BF1897" s="122"/>
      <c r="BG1897" s="122"/>
      <c r="BH1897" s="122"/>
      <c r="BI1897" s="115"/>
      <c r="BJ1897" s="115"/>
      <c r="BK1897" s="115"/>
      <c r="BL1897" s="115"/>
      <c r="BM1897" s="115"/>
      <c r="BN1897" s="115"/>
      <c r="BO1897" s="115"/>
      <c r="BP1897" s="115"/>
      <c r="BQ1897" s="115"/>
      <c r="BR1897" s="115"/>
      <c r="BS1897" s="115"/>
      <c r="BT1897" s="115"/>
      <c r="BU1897" s="115"/>
      <c r="BV1897" s="115"/>
      <c r="BW1897" s="26"/>
      <c r="BX1897" s="15"/>
    </row>
    <row r="1898" spans="1:76" x14ac:dyDescent="0.4">
      <c r="C1898" s="115"/>
      <c r="D1898" s="115"/>
      <c r="E1898" s="115"/>
      <c r="F1898" s="115"/>
      <c r="G1898" s="115"/>
      <c r="H1898" s="115"/>
      <c r="I1898" s="115"/>
      <c r="J1898" s="115"/>
      <c r="K1898" s="115"/>
      <c r="L1898" s="115"/>
      <c r="M1898" s="115"/>
      <c r="N1898" s="115"/>
      <c r="O1898" s="115"/>
      <c r="P1898" s="115"/>
      <c r="Q1898" s="115"/>
      <c r="R1898" s="115"/>
      <c r="S1898" s="115"/>
      <c r="T1898" s="115"/>
      <c r="U1898" s="115"/>
      <c r="V1898" s="115"/>
      <c r="W1898" s="115"/>
      <c r="X1898" s="115"/>
      <c r="Y1898" s="115"/>
      <c r="Z1898" s="115"/>
      <c r="AA1898" s="115"/>
      <c r="AB1898" s="115"/>
      <c r="AC1898" s="115"/>
      <c r="AD1898" s="115"/>
      <c r="AE1898" s="115"/>
      <c r="AF1898" s="115"/>
      <c r="AG1898" s="115"/>
      <c r="AH1898" s="115"/>
      <c r="AI1898" s="115"/>
      <c r="AJ1898" s="115"/>
      <c r="AK1898" s="115"/>
      <c r="AL1898" s="115"/>
      <c r="AM1898" s="115"/>
      <c r="AN1898" s="115"/>
      <c r="AO1898" s="115"/>
      <c r="AP1898" s="115"/>
      <c r="AQ1898" s="115"/>
      <c r="AR1898" s="115"/>
      <c r="AS1898" s="115"/>
      <c r="AT1898" s="115"/>
      <c r="AU1898" s="115"/>
      <c r="AV1898" s="115"/>
      <c r="AW1898" s="115"/>
      <c r="AX1898" s="115"/>
      <c r="AY1898" s="115"/>
      <c r="AZ1898" s="115"/>
      <c r="BA1898" s="115"/>
      <c r="BB1898" s="115"/>
      <c r="BC1898" s="115"/>
      <c r="BD1898" s="115"/>
      <c r="BE1898" s="115"/>
      <c r="BF1898" s="122"/>
      <c r="BG1898" s="122"/>
      <c r="BH1898" s="122"/>
      <c r="BI1898" s="115"/>
      <c r="BJ1898" s="115"/>
      <c r="BK1898" s="115"/>
      <c r="BL1898" s="115"/>
      <c r="BM1898" s="115"/>
      <c r="BN1898" s="115"/>
      <c r="BO1898" s="115"/>
      <c r="BP1898" s="115"/>
      <c r="BQ1898" s="115"/>
      <c r="BR1898" s="115"/>
      <c r="BS1898" s="115"/>
      <c r="BT1898" s="115"/>
      <c r="BU1898" s="115"/>
      <c r="BV1898" s="115"/>
      <c r="BW1898" s="26"/>
      <c r="BX1898" s="15"/>
    </row>
    <row r="1899" spans="1:76" x14ac:dyDescent="0.4">
      <c r="BW1899" s="26"/>
      <c r="BX1899" s="15"/>
    </row>
    <row r="1900" spans="1:76" x14ac:dyDescent="0.4">
      <c r="D1900" s="115"/>
      <c r="E1900" s="115"/>
      <c r="F1900" s="115"/>
      <c r="G1900" s="115"/>
      <c r="H1900" s="115"/>
      <c r="I1900" s="115"/>
      <c r="J1900" s="115"/>
      <c r="K1900" s="115"/>
      <c r="L1900" s="115"/>
      <c r="M1900" s="115"/>
      <c r="N1900" s="115"/>
      <c r="O1900" s="115"/>
      <c r="P1900" s="115"/>
      <c r="Q1900" s="115"/>
      <c r="R1900" s="115"/>
      <c r="S1900" s="115"/>
      <c r="T1900" s="115"/>
      <c r="U1900" s="115"/>
      <c r="V1900" s="115"/>
      <c r="W1900" s="115"/>
      <c r="X1900" s="115"/>
      <c r="Y1900" s="115"/>
      <c r="Z1900" s="115"/>
      <c r="AA1900" s="115"/>
      <c r="AB1900" s="115"/>
      <c r="AC1900" s="115"/>
      <c r="AD1900" s="115"/>
      <c r="AE1900" s="115"/>
      <c r="AF1900" s="115"/>
      <c r="AG1900" s="115"/>
      <c r="AH1900" s="115"/>
      <c r="AI1900" s="115"/>
      <c r="AJ1900" s="115"/>
      <c r="AK1900" s="115"/>
      <c r="AL1900" s="115"/>
      <c r="AM1900" s="115"/>
      <c r="AN1900" s="115"/>
      <c r="AO1900" s="115"/>
      <c r="AP1900" s="115"/>
      <c r="AQ1900" s="115"/>
      <c r="AR1900" s="115"/>
      <c r="AS1900" s="115"/>
      <c r="AT1900" s="115"/>
      <c r="AU1900" s="115"/>
      <c r="AV1900" s="115"/>
      <c r="AW1900" s="115"/>
      <c r="AX1900" s="115"/>
      <c r="AY1900" s="115"/>
      <c r="AZ1900" s="115"/>
      <c r="BA1900" s="115"/>
      <c r="BB1900" s="115"/>
      <c r="BC1900" s="115"/>
      <c r="BD1900" s="115"/>
      <c r="BE1900" s="115"/>
      <c r="BF1900" s="122"/>
      <c r="BG1900" s="122"/>
      <c r="BH1900" s="122"/>
      <c r="BI1900" s="115"/>
      <c r="BJ1900" s="115"/>
      <c r="BK1900" s="115"/>
      <c r="BL1900" s="115"/>
      <c r="BM1900" s="115"/>
      <c r="BN1900" s="115"/>
      <c r="BO1900" s="115"/>
      <c r="BP1900" s="115"/>
      <c r="BQ1900" s="115"/>
      <c r="BR1900" s="115"/>
      <c r="BS1900" s="115"/>
      <c r="BT1900" s="115"/>
      <c r="BU1900" s="115"/>
      <c r="BV1900" s="115"/>
      <c r="BW1900" s="26"/>
      <c r="BX1900" s="15"/>
    </row>
    <row r="1901" spans="1:76" x14ac:dyDescent="0.4">
      <c r="BW1901" s="26"/>
      <c r="BX1901" s="15"/>
    </row>
    <row r="1902" spans="1:76" x14ac:dyDescent="0.4">
      <c r="D1902" s="115"/>
      <c r="E1902" s="115"/>
      <c r="F1902" s="115"/>
      <c r="G1902" s="115"/>
      <c r="H1902" s="115"/>
      <c r="I1902" s="115"/>
      <c r="J1902" s="115"/>
      <c r="K1902" s="115"/>
      <c r="L1902" s="115"/>
      <c r="M1902" s="115"/>
      <c r="N1902" s="115"/>
      <c r="O1902" s="115"/>
      <c r="P1902" s="115"/>
      <c r="Q1902" s="115"/>
      <c r="R1902" s="115"/>
      <c r="S1902" s="115"/>
      <c r="T1902" s="115"/>
      <c r="U1902" s="115"/>
      <c r="V1902" s="115"/>
      <c r="W1902" s="115"/>
      <c r="X1902" s="115"/>
      <c r="Y1902" s="115"/>
      <c r="Z1902" s="115"/>
      <c r="AA1902" s="115"/>
      <c r="AB1902" s="115"/>
      <c r="AC1902" s="115"/>
      <c r="AD1902" s="115"/>
      <c r="AE1902" s="115"/>
      <c r="AF1902" s="115"/>
      <c r="AG1902" s="115"/>
      <c r="AH1902" s="115"/>
      <c r="AI1902" s="115"/>
      <c r="AJ1902" s="115"/>
      <c r="AK1902" s="115"/>
      <c r="AL1902" s="115"/>
      <c r="AM1902" s="115"/>
      <c r="AN1902" s="115"/>
      <c r="AO1902" s="115"/>
      <c r="AP1902" s="115"/>
      <c r="AQ1902" s="115"/>
      <c r="AR1902" s="115"/>
      <c r="AS1902" s="115"/>
      <c r="AT1902" s="115"/>
      <c r="AU1902" s="115"/>
      <c r="AV1902" s="115"/>
      <c r="AW1902" s="115"/>
      <c r="AX1902" s="115"/>
      <c r="AY1902" s="115"/>
      <c r="AZ1902" s="115"/>
      <c r="BA1902" s="115"/>
      <c r="BB1902" s="115"/>
      <c r="BC1902" s="115"/>
      <c r="BD1902" s="115"/>
      <c r="BE1902" s="115"/>
      <c r="BF1902" s="122"/>
      <c r="BG1902" s="122"/>
      <c r="BH1902" s="122"/>
      <c r="BI1902" s="115"/>
      <c r="BJ1902" s="115"/>
      <c r="BK1902" s="115"/>
      <c r="BL1902" s="115"/>
      <c r="BM1902" s="115"/>
      <c r="BN1902" s="115"/>
      <c r="BO1902" s="115"/>
      <c r="BP1902" s="115"/>
      <c r="BQ1902" s="115"/>
      <c r="BR1902" s="115"/>
      <c r="BS1902" s="115"/>
      <c r="BT1902" s="115"/>
      <c r="BU1902" s="115"/>
      <c r="BV1902" s="115"/>
      <c r="BW1902" s="26"/>
      <c r="BX1902" s="15"/>
    </row>
    <row r="1903" spans="1:76" x14ac:dyDescent="0.4">
      <c r="D1903" s="115"/>
      <c r="E1903" s="115"/>
      <c r="F1903" s="115"/>
      <c r="G1903" s="115"/>
      <c r="H1903" s="115"/>
      <c r="I1903" s="115"/>
      <c r="J1903" s="115"/>
      <c r="K1903" s="115"/>
      <c r="L1903" s="115"/>
      <c r="M1903" s="115"/>
      <c r="N1903" s="115"/>
      <c r="O1903" s="115"/>
      <c r="P1903" s="115"/>
      <c r="Q1903" s="115"/>
      <c r="R1903" s="115"/>
      <c r="S1903" s="115"/>
      <c r="T1903" s="115"/>
      <c r="U1903" s="115"/>
      <c r="V1903" s="115"/>
      <c r="W1903" s="115"/>
      <c r="X1903" s="115"/>
      <c r="Y1903" s="115"/>
      <c r="Z1903" s="115"/>
      <c r="AA1903" s="115"/>
      <c r="AB1903" s="115"/>
      <c r="AC1903" s="115"/>
      <c r="AD1903" s="115"/>
      <c r="AE1903" s="115"/>
      <c r="AF1903" s="115"/>
      <c r="AG1903" s="115"/>
      <c r="AH1903" s="115"/>
      <c r="AI1903" s="115"/>
      <c r="AJ1903" s="115"/>
      <c r="AK1903" s="115"/>
      <c r="AL1903" s="115"/>
      <c r="AM1903" s="115"/>
      <c r="AN1903" s="115"/>
      <c r="AO1903" s="115"/>
      <c r="AP1903" s="115"/>
      <c r="AQ1903" s="115"/>
      <c r="AR1903" s="115"/>
      <c r="AS1903" s="115"/>
      <c r="AT1903" s="115"/>
      <c r="AU1903" s="115"/>
      <c r="AV1903" s="115"/>
      <c r="AW1903" s="115"/>
      <c r="AX1903" s="115"/>
      <c r="AY1903" s="115"/>
      <c r="AZ1903" s="115"/>
      <c r="BA1903" s="115"/>
      <c r="BB1903" s="115"/>
      <c r="BC1903" s="115"/>
      <c r="BD1903" s="115"/>
      <c r="BE1903" s="115"/>
      <c r="BF1903" s="122"/>
      <c r="BG1903" s="122"/>
      <c r="BH1903" s="122"/>
      <c r="BI1903" s="115"/>
      <c r="BJ1903" s="115"/>
      <c r="BK1903" s="115"/>
      <c r="BL1903" s="115"/>
      <c r="BM1903" s="115"/>
      <c r="BN1903" s="115"/>
      <c r="BO1903" s="115"/>
      <c r="BP1903" s="115"/>
      <c r="BQ1903" s="115"/>
      <c r="BR1903" s="115"/>
      <c r="BS1903" s="115"/>
      <c r="BT1903" s="115"/>
      <c r="BU1903" s="115"/>
      <c r="BV1903" s="115"/>
      <c r="BW1903" s="26"/>
      <c r="BX1903" s="15"/>
    </row>
    <row r="1904" spans="1:76" x14ac:dyDescent="0.4">
      <c r="D1904" s="115"/>
      <c r="E1904" s="115"/>
      <c r="F1904" s="115"/>
      <c r="G1904" s="115"/>
      <c r="H1904" s="115"/>
      <c r="I1904" s="115"/>
      <c r="J1904" s="115"/>
      <c r="K1904" s="115"/>
      <c r="L1904" s="115"/>
      <c r="M1904" s="115"/>
      <c r="N1904" s="115"/>
      <c r="O1904" s="115"/>
      <c r="P1904" s="115"/>
      <c r="Q1904" s="115"/>
      <c r="R1904" s="115"/>
      <c r="S1904" s="115"/>
      <c r="T1904" s="115"/>
      <c r="U1904" s="115"/>
      <c r="V1904" s="115"/>
      <c r="W1904" s="115"/>
      <c r="X1904" s="115"/>
      <c r="Y1904" s="115"/>
      <c r="Z1904" s="115"/>
      <c r="AA1904" s="115"/>
      <c r="AB1904" s="115"/>
      <c r="AC1904" s="115"/>
      <c r="AD1904" s="115"/>
      <c r="AE1904" s="115"/>
      <c r="AF1904" s="115"/>
      <c r="AG1904" s="115"/>
      <c r="AH1904" s="115"/>
      <c r="AI1904" s="115"/>
      <c r="AJ1904" s="115"/>
      <c r="AK1904" s="115"/>
      <c r="AL1904" s="115"/>
      <c r="AM1904" s="115"/>
      <c r="AN1904" s="115"/>
      <c r="AO1904" s="115"/>
      <c r="AP1904" s="115"/>
      <c r="AQ1904" s="115"/>
      <c r="AR1904" s="115"/>
      <c r="AS1904" s="115"/>
      <c r="AT1904" s="115"/>
      <c r="AU1904" s="115"/>
      <c r="AV1904" s="115"/>
      <c r="AW1904" s="115"/>
      <c r="AX1904" s="115"/>
      <c r="AY1904" s="115"/>
      <c r="AZ1904" s="115"/>
      <c r="BA1904" s="115"/>
      <c r="BB1904" s="115"/>
      <c r="BC1904" s="115"/>
      <c r="BD1904" s="115"/>
      <c r="BE1904" s="115"/>
      <c r="BF1904" s="122"/>
      <c r="BG1904" s="122"/>
      <c r="BH1904" s="122"/>
      <c r="BI1904" s="115"/>
      <c r="BJ1904" s="115"/>
      <c r="BK1904" s="115"/>
      <c r="BL1904" s="115"/>
      <c r="BM1904" s="115"/>
      <c r="BN1904" s="115"/>
      <c r="BO1904" s="115"/>
      <c r="BP1904" s="115"/>
      <c r="BQ1904" s="115"/>
      <c r="BR1904" s="115"/>
      <c r="BS1904" s="115"/>
      <c r="BT1904" s="115"/>
      <c r="BU1904" s="115"/>
      <c r="BV1904" s="115"/>
      <c r="BW1904" s="17"/>
      <c r="BX1904" s="15"/>
    </row>
    <row r="1905" spans="1:76" x14ac:dyDescent="0.4">
      <c r="BW1905" s="26"/>
      <c r="BX1905" s="15"/>
    </row>
    <row r="1906" spans="1:76" x14ac:dyDescent="0.4">
      <c r="BW1906" s="26"/>
      <c r="BX1906" s="15"/>
    </row>
    <row r="1907" spans="1:76" x14ac:dyDescent="0.4">
      <c r="A1907" s="115"/>
      <c r="B1907" s="115"/>
      <c r="C1907" s="115"/>
      <c r="D1907" s="115"/>
      <c r="E1907" s="115"/>
      <c r="F1907" s="115"/>
      <c r="G1907" s="115"/>
      <c r="H1907" s="115"/>
      <c r="I1907" s="115"/>
      <c r="J1907" s="115"/>
      <c r="K1907" s="115"/>
      <c r="L1907" s="115"/>
      <c r="M1907" s="115"/>
      <c r="N1907" s="115"/>
      <c r="O1907" s="115"/>
      <c r="P1907" s="115"/>
      <c r="Q1907" s="115"/>
      <c r="R1907" s="115"/>
      <c r="S1907" s="115"/>
      <c r="T1907" s="115"/>
      <c r="U1907" s="115"/>
      <c r="V1907" s="115"/>
      <c r="W1907" s="115"/>
      <c r="X1907" s="115"/>
      <c r="Y1907" s="115"/>
      <c r="Z1907" s="115"/>
      <c r="AA1907" s="115"/>
      <c r="AB1907" s="115"/>
      <c r="AC1907" s="115"/>
      <c r="AD1907" s="115"/>
      <c r="AE1907" s="115"/>
      <c r="AF1907" s="115"/>
      <c r="AG1907" s="115"/>
      <c r="AH1907" s="115"/>
      <c r="AI1907" s="115"/>
      <c r="AJ1907" s="115"/>
      <c r="AK1907" s="115"/>
      <c r="AL1907" s="115"/>
      <c r="AM1907" s="115"/>
      <c r="AN1907" s="115"/>
      <c r="AO1907" s="115"/>
      <c r="AP1907" s="115"/>
      <c r="AQ1907" s="115"/>
      <c r="AR1907" s="115"/>
      <c r="AS1907" s="115"/>
      <c r="AT1907" s="115"/>
      <c r="AU1907" s="115"/>
      <c r="AV1907" s="115"/>
      <c r="AW1907" s="115"/>
      <c r="AX1907" s="115"/>
      <c r="AY1907" s="115"/>
      <c r="AZ1907" s="115"/>
      <c r="BA1907" s="115"/>
      <c r="BB1907" s="115"/>
      <c r="BC1907" s="115"/>
      <c r="BD1907" s="115"/>
      <c r="BE1907" s="115"/>
      <c r="BF1907" s="122"/>
      <c r="BG1907" s="122"/>
      <c r="BH1907" s="122"/>
      <c r="BI1907" s="115"/>
      <c r="BJ1907" s="115"/>
      <c r="BK1907" s="115"/>
      <c r="BL1907" s="115"/>
      <c r="BM1907" s="115"/>
      <c r="BN1907" s="115"/>
      <c r="BO1907" s="115"/>
      <c r="BP1907" s="115"/>
      <c r="BQ1907" s="115"/>
      <c r="BR1907" s="115"/>
      <c r="BS1907" s="115"/>
      <c r="BT1907" s="115"/>
      <c r="BU1907" s="115"/>
      <c r="BV1907" s="115"/>
      <c r="BW1907" s="26"/>
      <c r="BX1907" s="15"/>
    </row>
    <row r="1908" spans="1:76" x14ac:dyDescent="0.4">
      <c r="A1908" s="115"/>
      <c r="B1908" s="115"/>
      <c r="C1908" s="115"/>
      <c r="D1908" s="115"/>
      <c r="E1908" s="115"/>
      <c r="F1908" s="115"/>
      <c r="G1908" s="115"/>
      <c r="H1908" s="115"/>
      <c r="I1908" s="115"/>
      <c r="J1908" s="115"/>
      <c r="K1908" s="115"/>
      <c r="L1908" s="115"/>
      <c r="M1908" s="115"/>
      <c r="N1908" s="115"/>
      <c r="O1908" s="115"/>
      <c r="P1908" s="115"/>
      <c r="Q1908" s="115"/>
      <c r="R1908" s="115"/>
      <c r="S1908" s="115"/>
      <c r="T1908" s="115"/>
      <c r="U1908" s="115"/>
      <c r="V1908" s="115"/>
      <c r="W1908" s="115"/>
      <c r="X1908" s="115"/>
      <c r="Y1908" s="115"/>
      <c r="Z1908" s="115"/>
      <c r="AA1908" s="115"/>
      <c r="AB1908" s="115"/>
      <c r="AC1908" s="115"/>
      <c r="AD1908" s="115"/>
      <c r="AE1908" s="115"/>
      <c r="AF1908" s="115"/>
      <c r="AG1908" s="115"/>
      <c r="AH1908" s="115"/>
      <c r="AI1908" s="115"/>
      <c r="AJ1908" s="115"/>
      <c r="AK1908" s="115"/>
      <c r="AL1908" s="115"/>
      <c r="AM1908" s="115"/>
      <c r="AN1908" s="115"/>
      <c r="AO1908" s="115"/>
      <c r="AP1908" s="115"/>
      <c r="AQ1908" s="115"/>
      <c r="AR1908" s="115"/>
      <c r="AS1908" s="115"/>
      <c r="AT1908" s="115"/>
      <c r="AU1908" s="115"/>
      <c r="AV1908" s="115"/>
      <c r="AW1908" s="115"/>
      <c r="AX1908" s="115"/>
      <c r="AY1908" s="115"/>
      <c r="AZ1908" s="115"/>
      <c r="BA1908" s="115"/>
      <c r="BB1908" s="115"/>
      <c r="BC1908" s="115"/>
      <c r="BD1908" s="115"/>
      <c r="BE1908" s="115"/>
      <c r="BF1908" s="122"/>
      <c r="BG1908" s="122"/>
      <c r="BH1908" s="122"/>
      <c r="BI1908" s="115"/>
      <c r="BJ1908" s="115"/>
      <c r="BK1908" s="115"/>
      <c r="BL1908" s="115"/>
      <c r="BM1908" s="115"/>
      <c r="BN1908" s="115"/>
      <c r="BO1908" s="115"/>
      <c r="BP1908" s="115"/>
      <c r="BQ1908" s="115"/>
      <c r="BR1908" s="115"/>
      <c r="BS1908" s="115"/>
      <c r="BT1908" s="115"/>
      <c r="BU1908" s="115"/>
      <c r="BV1908" s="115"/>
      <c r="BW1908" s="17"/>
      <c r="BX1908" s="15"/>
    </row>
    <row r="1909" spans="1:76" x14ac:dyDescent="0.4">
      <c r="BW1909" s="26"/>
      <c r="BX1909" s="15"/>
    </row>
    <row r="1910" spans="1:76" ht="17.25" customHeight="1" x14ac:dyDescent="0.4">
      <c r="B1910" s="115"/>
      <c r="C1910" s="115"/>
      <c r="D1910" s="115"/>
      <c r="E1910" s="115"/>
      <c r="F1910" s="115"/>
      <c r="G1910" s="115"/>
      <c r="H1910" s="115"/>
      <c r="I1910" s="115"/>
      <c r="J1910" s="115"/>
      <c r="K1910" s="115"/>
      <c r="L1910" s="115"/>
      <c r="M1910" s="115"/>
      <c r="N1910" s="115"/>
      <c r="O1910" s="115"/>
      <c r="P1910" s="115"/>
      <c r="Q1910" s="115"/>
      <c r="R1910" s="115"/>
      <c r="S1910" s="115"/>
      <c r="T1910" s="115"/>
      <c r="U1910" s="115"/>
      <c r="V1910" s="115"/>
      <c r="W1910" s="115"/>
      <c r="X1910" s="115"/>
      <c r="Y1910" s="115"/>
      <c r="Z1910" s="115"/>
      <c r="AA1910" s="115"/>
      <c r="AB1910" s="115"/>
      <c r="AC1910" s="115"/>
      <c r="AD1910" s="115"/>
      <c r="AE1910" s="115"/>
      <c r="AF1910" s="115"/>
      <c r="AG1910" s="115"/>
      <c r="AH1910" s="115"/>
      <c r="AI1910" s="115"/>
      <c r="AJ1910" s="115"/>
      <c r="AK1910" s="115"/>
      <c r="AL1910" s="115"/>
      <c r="AM1910" s="115"/>
      <c r="AN1910" s="115"/>
      <c r="AO1910" s="115"/>
      <c r="AP1910" s="115"/>
      <c r="AQ1910" s="115"/>
      <c r="AR1910" s="115"/>
      <c r="AS1910" s="115"/>
      <c r="AT1910" s="115"/>
      <c r="AU1910" s="115"/>
      <c r="AV1910" s="115"/>
      <c r="AW1910" s="115"/>
      <c r="AX1910" s="115"/>
      <c r="AY1910" s="115"/>
      <c r="AZ1910" s="115"/>
      <c r="BA1910" s="115"/>
      <c r="BB1910" s="115"/>
      <c r="BC1910" s="115"/>
      <c r="BD1910" s="115"/>
      <c r="BE1910" s="115"/>
      <c r="BF1910" s="122"/>
      <c r="BG1910" s="122"/>
      <c r="BH1910" s="122"/>
      <c r="BI1910" s="115"/>
      <c r="BJ1910" s="115"/>
      <c r="BK1910" s="115"/>
      <c r="BL1910" s="115"/>
      <c r="BM1910" s="115"/>
      <c r="BN1910" s="115"/>
      <c r="BO1910" s="115"/>
      <c r="BP1910" s="115"/>
      <c r="BQ1910" s="115"/>
      <c r="BR1910" s="115"/>
      <c r="BS1910" s="115"/>
      <c r="BT1910" s="115"/>
      <c r="BU1910" s="115"/>
      <c r="BV1910" s="115"/>
      <c r="BW1910" s="26"/>
      <c r="BX1910" s="15"/>
    </row>
    <row r="1911" spans="1:76" x14ac:dyDescent="0.4">
      <c r="BW1911" s="26"/>
      <c r="BX1911" s="15"/>
    </row>
    <row r="1912" spans="1:76" x14ac:dyDescent="0.4">
      <c r="AY1912" s="115"/>
      <c r="AZ1912" s="115"/>
      <c r="BA1912" s="115"/>
      <c r="BB1912" s="115"/>
      <c r="BC1912" s="115"/>
      <c r="BD1912" s="115"/>
      <c r="BE1912" s="115"/>
      <c r="BF1912" s="122"/>
      <c r="BG1912" s="122"/>
      <c r="BH1912" s="122"/>
      <c r="BI1912" s="115"/>
      <c r="BJ1912" s="115"/>
      <c r="BK1912" s="115"/>
      <c r="BL1912" s="115"/>
      <c r="BM1912" s="115"/>
      <c r="BN1912" s="115"/>
      <c r="BO1912" s="115"/>
      <c r="BP1912" s="115"/>
      <c r="BQ1912" s="115"/>
      <c r="BR1912" s="115"/>
      <c r="BS1912" s="115"/>
      <c r="BT1912" s="115"/>
      <c r="BU1912" s="115"/>
      <c r="BV1912" s="115"/>
      <c r="BW1912" s="17"/>
      <c r="BX1912" s="15"/>
    </row>
    <row r="1913" spans="1:76" ht="16.5" customHeight="1" x14ac:dyDescent="0.4">
      <c r="A1913" s="115"/>
      <c r="B1913" s="115"/>
      <c r="C1913" s="115"/>
      <c r="D1913" s="115"/>
      <c r="E1913" s="115"/>
      <c r="F1913" s="115"/>
      <c r="G1913" s="115"/>
      <c r="H1913" s="115"/>
      <c r="I1913" s="115"/>
      <c r="J1913" s="115"/>
      <c r="K1913" s="115"/>
      <c r="L1913" s="115"/>
      <c r="M1913" s="115"/>
      <c r="N1913" s="115"/>
      <c r="O1913" s="115"/>
      <c r="P1913" s="115"/>
      <c r="Q1913" s="115"/>
      <c r="R1913" s="115"/>
      <c r="S1913" s="115"/>
      <c r="T1913" s="115"/>
      <c r="U1913" s="115"/>
      <c r="V1913" s="115"/>
      <c r="W1913" s="115"/>
      <c r="X1913" s="115"/>
      <c r="Y1913" s="115"/>
      <c r="Z1913" s="115"/>
      <c r="AA1913" s="115"/>
      <c r="AB1913" s="115"/>
      <c r="AC1913" s="115"/>
      <c r="AD1913" s="115"/>
      <c r="AE1913" s="115"/>
      <c r="AF1913" s="115"/>
      <c r="AG1913" s="115"/>
      <c r="AH1913" s="115"/>
      <c r="AI1913" s="115"/>
      <c r="AJ1913" s="115"/>
      <c r="AK1913" s="115"/>
      <c r="AL1913" s="115"/>
      <c r="AM1913" s="115"/>
      <c r="AN1913" s="115"/>
      <c r="AO1913" s="115"/>
      <c r="AP1913" s="115"/>
      <c r="AQ1913" s="115"/>
      <c r="AR1913" s="115"/>
      <c r="AS1913" s="115"/>
      <c r="AT1913" s="115"/>
      <c r="AU1913" s="115"/>
      <c r="AV1913" s="115"/>
      <c r="AW1913" s="115"/>
      <c r="AX1913" s="115"/>
      <c r="AY1913" s="115"/>
      <c r="AZ1913" s="115"/>
      <c r="BA1913" s="115"/>
      <c r="BB1913" s="115"/>
      <c r="BC1913" s="115"/>
      <c r="BD1913" s="115"/>
      <c r="BE1913" s="115"/>
      <c r="BF1913" s="122"/>
      <c r="BG1913" s="122"/>
      <c r="BH1913" s="122"/>
      <c r="BI1913" s="115"/>
      <c r="BJ1913" s="115"/>
      <c r="BK1913" s="115"/>
      <c r="BL1913" s="115"/>
      <c r="BM1913" s="115"/>
      <c r="BN1913" s="115"/>
      <c r="BO1913" s="115"/>
      <c r="BP1913" s="115"/>
      <c r="BQ1913" s="115"/>
      <c r="BR1913" s="115"/>
      <c r="BS1913" s="115"/>
      <c r="BT1913" s="115"/>
      <c r="BU1913" s="115"/>
      <c r="BV1913" s="115"/>
      <c r="BW1913" s="26"/>
      <c r="BX1913" s="15"/>
    </row>
    <row r="1914" spans="1:76" ht="22.5" customHeight="1" x14ac:dyDescent="0.4">
      <c r="A1914" s="115"/>
      <c r="B1914" s="115"/>
      <c r="C1914" s="115"/>
      <c r="D1914" s="115"/>
      <c r="E1914" s="115"/>
      <c r="F1914" s="115"/>
      <c r="G1914" s="115"/>
      <c r="H1914" s="115"/>
      <c r="I1914" s="115"/>
      <c r="J1914" s="115"/>
      <c r="K1914" s="115"/>
      <c r="L1914" s="115"/>
      <c r="M1914" s="115"/>
      <c r="N1914" s="115"/>
      <c r="O1914" s="115"/>
      <c r="P1914" s="115"/>
      <c r="Q1914" s="115"/>
      <c r="R1914" s="115"/>
      <c r="S1914" s="115"/>
      <c r="T1914" s="115"/>
      <c r="U1914" s="115"/>
      <c r="V1914" s="115"/>
      <c r="W1914" s="115"/>
      <c r="X1914" s="115"/>
      <c r="Y1914" s="115"/>
      <c r="Z1914" s="115"/>
      <c r="AA1914" s="115"/>
      <c r="AB1914" s="115"/>
      <c r="AC1914" s="115"/>
      <c r="AD1914" s="115"/>
      <c r="AE1914" s="115"/>
      <c r="AF1914" s="115"/>
      <c r="AG1914" s="115"/>
      <c r="AH1914" s="115"/>
      <c r="AI1914" s="115"/>
      <c r="AJ1914" s="115"/>
      <c r="AK1914" s="115"/>
      <c r="AL1914" s="115"/>
      <c r="AM1914" s="115"/>
      <c r="AN1914" s="115"/>
      <c r="AO1914" s="115"/>
      <c r="AP1914" s="115"/>
      <c r="AQ1914" s="115"/>
      <c r="AR1914" s="115"/>
      <c r="AS1914" s="115"/>
      <c r="AT1914" s="115"/>
      <c r="AU1914" s="115"/>
      <c r="AV1914" s="115"/>
      <c r="AW1914" s="115"/>
      <c r="AX1914" s="115"/>
      <c r="AY1914" s="115"/>
      <c r="AZ1914" s="115"/>
      <c r="BA1914" s="115"/>
      <c r="BB1914" s="115"/>
      <c r="BC1914" s="115"/>
      <c r="BD1914" s="115"/>
      <c r="BE1914" s="115"/>
      <c r="BF1914" s="122"/>
      <c r="BG1914" s="122"/>
      <c r="BH1914" s="122"/>
      <c r="BI1914" s="115"/>
      <c r="BJ1914" s="115"/>
      <c r="BK1914" s="115"/>
      <c r="BL1914" s="115"/>
      <c r="BM1914" s="115"/>
      <c r="BN1914" s="115"/>
      <c r="BO1914" s="115"/>
      <c r="BP1914" s="115"/>
      <c r="BQ1914" s="115"/>
      <c r="BR1914" s="115"/>
      <c r="BS1914" s="115"/>
      <c r="BT1914" s="115"/>
      <c r="BU1914" s="115"/>
      <c r="BV1914" s="115"/>
      <c r="BW1914" s="26"/>
      <c r="BX1914" s="15"/>
    </row>
    <row r="1915" spans="1:76" x14ac:dyDescent="0.4">
      <c r="BW1915" s="26"/>
      <c r="BX1915" s="15"/>
    </row>
    <row r="1916" spans="1:76" x14ac:dyDescent="0.4">
      <c r="BW1916" s="26"/>
      <c r="BX1916" s="105"/>
    </row>
    <row r="1917" spans="1:76" x14ac:dyDescent="0.4">
      <c r="A1917" s="115"/>
      <c r="B1917" s="115"/>
      <c r="C1917" s="115"/>
      <c r="D1917" s="115"/>
      <c r="E1917" s="115"/>
      <c r="F1917" s="115"/>
      <c r="G1917" s="115"/>
      <c r="H1917" s="115"/>
      <c r="I1917" s="115"/>
      <c r="J1917" s="115"/>
      <c r="K1917" s="115"/>
      <c r="L1917" s="115"/>
      <c r="M1917" s="115"/>
      <c r="N1917" s="115"/>
      <c r="O1917" s="115"/>
      <c r="P1917" s="115"/>
      <c r="Q1917" s="115"/>
      <c r="R1917" s="115"/>
      <c r="S1917" s="115"/>
      <c r="T1917" s="115"/>
      <c r="U1917" s="115"/>
      <c r="V1917" s="115"/>
      <c r="W1917" s="115"/>
      <c r="X1917" s="115"/>
      <c r="Y1917" s="115"/>
      <c r="Z1917" s="115"/>
      <c r="AA1917" s="115"/>
      <c r="AB1917" s="115"/>
      <c r="AC1917" s="115"/>
      <c r="AD1917" s="115"/>
      <c r="AE1917" s="115"/>
      <c r="AF1917" s="115"/>
      <c r="AG1917" s="115"/>
      <c r="AH1917" s="115"/>
      <c r="AI1917" s="115"/>
      <c r="AJ1917" s="115"/>
      <c r="AK1917" s="115"/>
      <c r="AL1917" s="115"/>
      <c r="AM1917" s="115"/>
      <c r="AN1917" s="115"/>
      <c r="AO1917" s="115"/>
      <c r="AP1917" s="115"/>
      <c r="AQ1917" s="115"/>
      <c r="AR1917" s="115"/>
      <c r="AS1917" s="115"/>
      <c r="AT1917" s="115"/>
      <c r="AU1917" s="115"/>
      <c r="AV1917" s="115"/>
      <c r="AW1917" s="115"/>
      <c r="AX1917" s="115"/>
      <c r="AY1917" s="115"/>
      <c r="AZ1917" s="115"/>
      <c r="BA1917" s="115"/>
      <c r="BB1917" s="115"/>
      <c r="BC1917" s="115"/>
      <c r="BD1917" s="115"/>
      <c r="BE1917" s="115"/>
      <c r="BF1917" s="122"/>
      <c r="BG1917" s="122"/>
      <c r="BH1917" s="122"/>
      <c r="BI1917" s="115"/>
      <c r="BJ1917" s="115"/>
      <c r="BK1917" s="115"/>
      <c r="BL1917" s="115"/>
      <c r="BM1917" s="115"/>
      <c r="BN1917" s="115"/>
      <c r="BO1917" s="115"/>
      <c r="BP1917" s="115"/>
      <c r="BQ1917" s="115"/>
      <c r="BR1917" s="115"/>
      <c r="BS1917" s="115"/>
      <c r="BT1917" s="115"/>
      <c r="BU1917" s="115"/>
      <c r="BV1917" s="115"/>
      <c r="BW1917" s="26"/>
      <c r="BX1917" s="15"/>
    </row>
    <row r="1918" spans="1:76" x14ac:dyDescent="0.4">
      <c r="BW1918" s="26"/>
      <c r="BX1918" s="15"/>
    </row>
    <row r="1919" spans="1:76" x14ac:dyDescent="0.4">
      <c r="BW1919" s="26"/>
      <c r="BX1919" s="15"/>
    </row>
    <row r="1920" spans="1:76" x14ac:dyDescent="0.4">
      <c r="BW1920" s="26"/>
      <c r="BX1920" s="15"/>
    </row>
    <row r="1921" spans="1:76" x14ac:dyDescent="0.4">
      <c r="BW1921" s="26"/>
      <c r="BX1921" s="15"/>
    </row>
    <row r="1922" spans="1:76" x14ac:dyDescent="0.4">
      <c r="A1922" s="115"/>
      <c r="B1922" s="115"/>
      <c r="C1922" s="115"/>
      <c r="D1922" s="115"/>
      <c r="E1922" s="115"/>
      <c r="F1922" s="115"/>
      <c r="G1922" s="115"/>
      <c r="H1922" s="115"/>
      <c r="I1922" s="115"/>
      <c r="J1922" s="115"/>
      <c r="K1922" s="115"/>
      <c r="L1922" s="115"/>
      <c r="M1922" s="115"/>
      <c r="N1922" s="115"/>
      <c r="O1922" s="115"/>
      <c r="P1922" s="115"/>
      <c r="Q1922" s="115"/>
      <c r="R1922" s="115"/>
      <c r="S1922" s="115"/>
      <c r="T1922" s="115"/>
      <c r="U1922" s="115"/>
      <c r="V1922" s="115"/>
      <c r="W1922" s="115"/>
      <c r="X1922" s="115"/>
      <c r="Y1922" s="115"/>
      <c r="Z1922" s="115"/>
      <c r="AA1922" s="115"/>
      <c r="AB1922" s="115"/>
      <c r="AC1922" s="115"/>
      <c r="AD1922" s="115"/>
      <c r="AE1922" s="115"/>
      <c r="AF1922" s="115"/>
      <c r="AG1922" s="115"/>
      <c r="AH1922" s="115"/>
      <c r="AI1922" s="115"/>
      <c r="AJ1922" s="115"/>
      <c r="AK1922" s="115"/>
      <c r="AL1922" s="115"/>
      <c r="AM1922" s="115"/>
      <c r="AN1922" s="115"/>
      <c r="AO1922" s="115"/>
      <c r="AP1922" s="115"/>
      <c r="AQ1922" s="115"/>
      <c r="AR1922" s="115"/>
      <c r="AS1922" s="115"/>
      <c r="AT1922" s="115"/>
      <c r="AU1922" s="115"/>
      <c r="AV1922" s="115"/>
      <c r="AW1922" s="115"/>
      <c r="AX1922" s="115"/>
      <c r="AY1922" s="115"/>
      <c r="AZ1922" s="115"/>
      <c r="BA1922" s="115"/>
      <c r="BB1922" s="115"/>
      <c r="BC1922" s="115"/>
      <c r="BD1922" s="115"/>
      <c r="BE1922" s="115"/>
      <c r="BF1922" s="122"/>
      <c r="BG1922" s="122"/>
      <c r="BH1922" s="122"/>
      <c r="BI1922" s="115"/>
      <c r="BJ1922" s="115"/>
      <c r="BK1922" s="115"/>
      <c r="BL1922" s="115"/>
      <c r="BM1922" s="115"/>
      <c r="BN1922" s="115"/>
      <c r="BO1922" s="115"/>
      <c r="BP1922" s="115"/>
      <c r="BQ1922" s="115"/>
      <c r="BR1922" s="115"/>
      <c r="BS1922" s="115"/>
      <c r="BT1922" s="115"/>
      <c r="BU1922" s="115"/>
      <c r="BV1922" s="115"/>
      <c r="BW1922" s="26"/>
      <c r="BX1922" s="15"/>
    </row>
    <row r="1923" spans="1:76" x14ac:dyDescent="0.4">
      <c r="BW1923" s="26"/>
      <c r="BX1923" s="15"/>
    </row>
    <row r="1924" spans="1:76" x14ac:dyDescent="0.4">
      <c r="BW1924" s="26"/>
      <c r="BX1924" s="15"/>
    </row>
    <row r="1925" spans="1:76" x14ac:dyDescent="0.4">
      <c r="BW1925" s="26"/>
      <c r="BX1925" s="15"/>
    </row>
    <row r="1926" spans="1:76" x14ac:dyDescent="0.4">
      <c r="BW1926" s="26"/>
      <c r="BX1926" s="15"/>
    </row>
    <row r="1927" spans="1:76" ht="18.75" customHeight="1" x14ac:dyDescent="0.4">
      <c r="B1927" s="115"/>
      <c r="C1927" s="115"/>
      <c r="D1927" s="115"/>
      <c r="E1927" s="115"/>
      <c r="F1927" s="115"/>
      <c r="G1927" s="115"/>
      <c r="H1927" s="115"/>
      <c r="I1927" s="115"/>
      <c r="J1927" s="115"/>
      <c r="K1927" s="115"/>
      <c r="L1927" s="115"/>
      <c r="M1927" s="115"/>
      <c r="N1927" s="115"/>
      <c r="O1927" s="115"/>
      <c r="P1927" s="115"/>
      <c r="Q1927" s="115"/>
      <c r="R1927" s="115"/>
      <c r="S1927" s="115"/>
      <c r="T1927" s="115"/>
      <c r="U1927" s="115"/>
      <c r="V1927" s="115"/>
      <c r="W1927" s="115"/>
      <c r="X1927" s="115"/>
      <c r="Y1927" s="115"/>
      <c r="Z1927" s="115"/>
      <c r="AA1927" s="115"/>
      <c r="AB1927" s="115"/>
      <c r="AC1927" s="115"/>
      <c r="AD1927" s="115"/>
      <c r="AE1927" s="115"/>
      <c r="AF1927" s="115"/>
      <c r="AG1927" s="115"/>
      <c r="AH1927" s="115"/>
      <c r="AI1927" s="115"/>
      <c r="AJ1927" s="115"/>
      <c r="AK1927" s="115"/>
      <c r="AL1927" s="115"/>
      <c r="AM1927" s="115"/>
      <c r="AN1927" s="115"/>
      <c r="AO1927" s="115"/>
      <c r="AP1927" s="115"/>
      <c r="AQ1927" s="115"/>
      <c r="AR1927" s="115"/>
      <c r="AS1927" s="115"/>
      <c r="AT1927" s="115"/>
      <c r="AU1927" s="115"/>
      <c r="AV1927" s="115"/>
      <c r="AW1927" s="115"/>
      <c r="AX1927" s="115"/>
      <c r="AY1927" s="115"/>
      <c r="AZ1927" s="115"/>
      <c r="BA1927" s="115"/>
      <c r="BB1927" s="115"/>
      <c r="BC1927" s="115"/>
      <c r="BD1927" s="115"/>
      <c r="BE1927" s="115"/>
      <c r="BF1927" s="122"/>
      <c r="BG1927" s="122"/>
      <c r="BH1927" s="122"/>
      <c r="BI1927" s="115"/>
      <c r="BJ1927" s="115"/>
      <c r="BK1927" s="115"/>
      <c r="BL1927" s="115"/>
      <c r="BM1927" s="115"/>
      <c r="BN1927" s="115"/>
      <c r="BO1927" s="115"/>
      <c r="BP1927" s="115"/>
      <c r="BQ1927" s="115"/>
      <c r="BR1927" s="115"/>
      <c r="BS1927" s="115"/>
      <c r="BT1927" s="115"/>
      <c r="BU1927" s="115"/>
      <c r="BV1927" s="115"/>
      <c r="BW1927" s="26"/>
      <c r="BX1927" s="15"/>
    </row>
    <row r="1928" spans="1:76" x14ac:dyDescent="0.4">
      <c r="BW1928" s="26"/>
      <c r="BX1928" s="15"/>
    </row>
    <row r="1929" spans="1:76" x14ac:dyDescent="0.4">
      <c r="BW1929" s="26"/>
      <c r="BX1929" s="15"/>
    </row>
    <row r="1930" spans="1:76" x14ac:dyDescent="0.4">
      <c r="B1930" s="115"/>
      <c r="C1930" s="115"/>
      <c r="D1930" s="115"/>
      <c r="E1930" s="115"/>
      <c r="F1930" s="115"/>
      <c r="G1930" s="115"/>
      <c r="H1930" s="115"/>
      <c r="I1930" s="115"/>
      <c r="J1930" s="115"/>
      <c r="K1930" s="115"/>
      <c r="L1930" s="115"/>
      <c r="M1930" s="115"/>
      <c r="N1930" s="115"/>
      <c r="O1930" s="115"/>
      <c r="P1930" s="115"/>
      <c r="Q1930" s="115"/>
      <c r="R1930" s="115"/>
      <c r="S1930" s="115"/>
      <c r="T1930" s="115"/>
      <c r="U1930" s="115"/>
      <c r="V1930" s="115"/>
      <c r="W1930" s="115"/>
      <c r="X1930" s="115"/>
      <c r="Y1930" s="115"/>
      <c r="Z1930" s="115"/>
      <c r="AA1930" s="115"/>
      <c r="AB1930" s="115"/>
      <c r="AC1930" s="115"/>
      <c r="AD1930" s="115"/>
      <c r="AE1930" s="115"/>
      <c r="AF1930" s="115"/>
      <c r="AG1930" s="115"/>
      <c r="AH1930" s="115"/>
      <c r="AI1930" s="115"/>
      <c r="AJ1930" s="115"/>
      <c r="AK1930" s="115"/>
      <c r="AL1930" s="115"/>
      <c r="AM1930" s="115"/>
      <c r="AN1930" s="115"/>
      <c r="AO1930" s="115"/>
      <c r="AP1930" s="115"/>
      <c r="AQ1930" s="115"/>
      <c r="AR1930" s="115"/>
      <c r="AS1930" s="115"/>
      <c r="AT1930" s="115"/>
      <c r="AU1930" s="115"/>
      <c r="AV1930" s="115"/>
      <c r="AW1930" s="115"/>
      <c r="AX1930" s="115"/>
      <c r="AY1930" s="115"/>
      <c r="AZ1930" s="115"/>
      <c r="BA1930" s="115"/>
      <c r="BB1930" s="115"/>
      <c r="BC1930" s="115"/>
      <c r="BD1930" s="115"/>
      <c r="BE1930" s="115"/>
      <c r="BF1930" s="122"/>
      <c r="BG1930" s="122"/>
      <c r="BH1930" s="122"/>
      <c r="BI1930" s="115"/>
      <c r="BJ1930" s="115"/>
      <c r="BK1930" s="115"/>
      <c r="BL1930" s="115"/>
      <c r="BM1930" s="115"/>
      <c r="BN1930" s="115"/>
      <c r="BO1930" s="115"/>
      <c r="BP1930" s="115"/>
      <c r="BQ1930" s="115"/>
      <c r="BR1930" s="115"/>
      <c r="BS1930" s="115"/>
      <c r="BT1930" s="115"/>
      <c r="BU1930" s="115"/>
      <c r="BV1930" s="115"/>
      <c r="BW1930" s="26"/>
      <c r="BX1930" s="15"/>
    </row>
    <row r="1931" spans="1:76" x14ac:dyDescent="0.4">
      <c r="A1931" s="115"/>
      <c r="B1931" s="115"/>
      <c r="C1931" s="115"/>
      <c r="D1931" s="115"/>
      <c r="E1931" s="115"/>
      <c r="F1931" s="115"/>
      <c r="G1931" s="115"/>
      <c r="H1931" s="115"/>
      <c r="I1931" s="115"/>
      <c r="J1931" s="115"/>
      <c r="K1931" s="115"/>
      <c r="L1931" s="115"/>
      <c r="M1931" s="115"/>
      <c r="N1931" s="115"/>
      <c r="O1931" s="115"/>
      <c r="P1931" s="115"/>
      <c r="Q1931" s="115"/>
      <c r="R1931" s="115"/>
      <c r="S1931" s="115"/>
      <c r="T1931" s="115"/>
      <c r="U1931" s="115"/>
      <c r="V1931" s="115"/>
      <c r="W1931" s="115"/>
      <c r="X1931" s="115"/>
      <c r="Y1931" s="115"/>
      <c r="Z1931" s="115"/>
      <c r="AA1931" s="115"/>
      <c r="AB1931" s="115"/>
      <c r="AC1931" s="115"/>
      <c r="AD1931" s="115"/>
      <c r="AE1931" s="115"/>
      <c r="AF1931" s="115"/>
      <c r="AG1931" s="115"/>
      <c r="AH1931" s="115"/>
      <c r="AI1931" s="115"/>
      <c r="AJ1931" s="115"/>
      <c r="AK1931" s="115"/>
      <c r="AL1931" s="115"/>
      <c r="AM1931" s="115"/>
      <c r="AN1931" s="115"/>
      <c r="AO1931" s="115"/>
      <c r="AP1931" s="115"/>
      <c r="AQ1931" s="115"/>
      <c r="AR1931" s="115"/>
      <c r="AS1931" s="115"/>
      <c r="AT1931" s="115"/>
      <c r="AU1931" s="115"/>
      <c r="AV1931" s="115"/>
      <c r="AW1931" s="115"/>
      <c r="AX1931" s="115"/>
      <c r="AY1931" s="115"/>
      <c r="AZ1931" s="115"/>
      <c r="BA1931" s="115"/>
      <c r="BB1931" s="115"/>
      <c r="BC1931" s="115"/>
      <c r="BD1931" s="115"/>
      <c r="BE1931" s="115"/>
      <c r="BF1931" s="122"/>
      <c r="BG1931" s="122"/>
      <c r="BH1931" s="122"/>
      <c r="BI1931" s="115"/>
      <c r="BJ1931" s="115"/>
      <c r="BK1931" s="115"/>
      <c r="BL1931" s="115"/>
      <c r="BM1931" s="115"/>
      <c r="BN1931" s="115"/>
      <c r="BO1931" s="115"/>
      <c r="BP1931" s="115"/>
      <c r="BQ1931" s="115"/>
      <c r="BR1931" s="115"/>
      <c r="BS1931" s="115"/>
      <c r="BT1931" s="115"/>
      <c r="BU1931" s="115"/>
      <c r="BV1931" s="115"/>
      <c r="BW1931" s="26"/>
      <c r="BX1931" s="15"/>
    </row>
    <row r="1932" spans="1:76" x14ac:dyDescent="0.4">
      <c r="BW1932" s="26"/>
      <c r="BX1932" s="15"/>
    </row>
    <row r="1933" spans="1:76" x14ac:dyDescent="0.4">
      <c r="AY1933" s="115"/>
      <c r="AZ1933" s="115"/>
      <c r="BA1933" s="115"/>
      <c r="BB1933" s="115"/>
      <c r="BC1933" s="115"/>
      <c r="BD1933" s="115"/>
      <c r="BE1933" s="115"/>
      <c r="BF1933" s="122"/>
      <c r="BG1933" s="122"/>
      <c r="BH1933" s="122"/>
      <c r="BI1933" s="115"/>
      <c r="BJ1933" s="115"/>
      <c r="BK1933" s="115"/>
      <c r="BL1933" s="115"/>
      <c r="BM1933" s="115"/>
      <c r="BN1933" s="115"/>
      <c r="BO1933" s="115"/>
      <c r="BP1933" s="115"/>
      <c r="BQ1933" s="115"/>
      <c r="BR1933" s="115"/>
      <c r="BS1933" s="115"/>
      <c r="BT1933" s="115"/>
      <c r="BU1933" s="115"/>
      <c r="BV1933" s="115"/>
      <c r="BW1933" s="17"/>
      <c r="BX1933" s="15"/>
    </row>
    <row r="1934" spans="1:76" x14ac:dyDescent="0.4">
      <c r="A1934" s="115"/>
      <c r="B1934" s="115"/>
      <c r="C1934" s="115"/>
      <c r="D1934" s="115"/>
      <c r="E1934" s="115"/>
      <c r="F1934" s="115"/>
      <c r="G1934" s="115"/>
      <c r="H1934" s="115"/>
      <c r="I1934" s="115"/>
      <c r="J1934" s="115"/>
      <c r="K1934" s="115"/>
      <c r="L1934" s="115"/>
      <c r="M1934" s="115"/>
      <c r="N1934" s="115"/>
      <c r="O1934" s="115"/>
      <c r="P1934" s="115"/>
      <c r="Q1934" s="115"/>
      <c r="R1934" s="115"/>
      <c r="S1934" s="115"/>
      <c r="T1934" s="115"/>
      <c r="U1934" s="115"/>
      <c r="V1934" s="115"/>
      <c r="W1934" s="115"/>
      <c r="X1934" s="115"/>
      <c r="Y1934" s="115"/>
      <c r="Z1934" s="115"/>
      <c r="AA1934" s="115"/>
      <c r="AB1934" s="115"/>
      <c r="AC1934" s="115"/>
      <c r="AD1934" s="115"/>
      <c r="AE1934" s="115"/>
      <c r="AF1934" s="115"/>
      <c r="AG1934" s="115"/>
      <c r="AH1934" s="115"/>
      <c r="AI1934" s="115"/>
      <c r="AJ1934" s="115"/>
      <c r="AK1934" s="115"/>
      <c r="AL1934" s="115"/>
      <c r="AM1934" s="115"/>
      <c r="AN1934" s="115"/>
      <c r="AO1934" s="115"/>
      <c r="AP1934" s="115"/>
      <c r="AQ1934" s="115"/>
      <c r="AR1934" s="115"/>
      <c r="AS1934" s="115"/>
      <c r="AT1934" s="115"/>
      <c r="AU1934" s="115"/>
      <c r="AV1934" s="115"/>
      <c r="AW1934" s="115"/>
      <c r="AX1934" s="115"/>
      <c r="AY1934" s="115"/>
      <c r="AZ1934" s="115"/>
      <c r="BA1934" s="115"/>
      <c r="BB1934" s="115"/>
      <c r="BC1934" s="115"/>
      <c r="BD1934" s="115"/>
      <c r="BE1934" s="115"/>
      <c r="BF1934" s="122"/>
      <c r="BG1934" s="122"/>
      <c r="BH1934" s="122"/>
      <c r="BI1934" s="115"/>
      <c r="BJ1934" s="115"/>
      <c r="BK1934" s="115"/>
      <c r="BL1934" s="115"/>
      <c r="BM1934" s="115"/>
      <c r="BN1934" s="115"/>
      <c r="BO1934" s="115"/>
      <c r="BP1934" s="115"/>
      <c r="BQ1934" s="115"/>
      <c r="BR1934" s="115"/>
      <c r="BS1934" s="115"/>
      <c r="BT1934" s="115"/>
      <c r="BU1934" s="115"/>
      <c r="BV1934" s="115"/>
      <c r="BW1934" s="26"/>
      <c r="BX1934" s="15"/>
    </row>
    <row r="1935" spans="1:76" x14ac:dyDescent="0.4">
      <c r="BW1935" s="26"/>
      <c r="BX1935" s="15"/>
    </row>
    <row r="1936" spans="1:76" x14ac:dyDescent="0.4">
      <c r="AY1936" s="115"/>
      <c r="AZ1936" s="115"/>
      <c r="BA1936" s="115"/>
      <c r="BB1936" s="115"/>
      <c r="BC1936" s="115"/>
      <c r="BD1936" s="115"/>
      <c r="BE1936" s="115"/>
      <c r="BF1936" s="122"/>
      <c r="BG1936" s="122"/>
      <c r="BH1936" s="122"/>
      <c r="BI1936" s="115"/>
      <c r="BJ1936" s="115"/>
      <c r="BK1936" s="115"/>
      <c r="BL1936" s="115"/>
      <c r="BM1936" s="115"/>
      <c r="BN1936" s="115"/>
      <c r="BO1936" s="115"/>
      <c r="BP1936" s="115"/>
      <c r="BQ1936" s="115"/>
      <c r="BR1936" s="115"/>
      <c r="BS1936" s="115"/>
      <c r="BT1936" s="115"/>
      <c r="BU1936" s="115"/>
      <c r="BV1936" s="115"/>
      <c r="BW1936" s="17"/>
      <c r="BX1936" s="15"/>
    </row>
    <row r="1937" spans="1:76" x14ac:dyDescent="0.4">
      <c r="BW1937" s="26"/>
      <c r="BX1937" s="15"/>
    </row>
    <row r="1938" spans="1:76" x14ac:dyDescent="0.4">
      <c r="B1938" s="115"/>
      <c r="C1938" s="115"/>
      <c r="D1938" s="115"/>
      <c r="E1938" s="115"/>
      <c r="F1938" s="115"/>
      <c r="G1938" s="115"/>
      <c r="H1938" s="115"/>
      <c r="I1938" s="115"/>
      <c r="J1938" s="115"/>
      <c r="K1938" s="115"/>
      <c r="L1938" s="115"/>
      <c r="M1938" s="115"/>
      <c r="N1938" s="115"/>
      <c r="O1938" s="115"/>
      <c r="P1938" s="115"/>
      <c r="Q1938" s="115"/>
      <c r="R1938" s="115"/>
      <c r="S1938" s="115"/>
      <c r="T1938" s="115"/>
      <c r="U1938" s="115"/>
      <c r="V1938" s="115"/>
      <c r="W1938" s="115"/>
      <c r="X1938" s="115"/>
      <c r="Y1938" s="115"/>
      <c r="Z1938" s="115"/>
      <c r="AA1938" s="115"/>
      <c r="AB1938" s="115"/>
      <c r="AC1938" s="115"/>
      <c r="AD1938" s="115"/>
      <c r="AE1938" s="115"/>
      <c r="AF1938" s="115"/>
      <c r="AG1938" s="115"/>
      <c r="AH1938" s="115"/>
      <c r="AI1938" s="115"/>
      <c r="AJ1938" s="115"/>
      <c r="AK1938" s="115"/>
      <c r="AL1938" s="115"/>
      <c r="AM1938" s="115"/>
      <c r="AN1938" s="115"/>
      <c r="AO1938" s="115"/>
      <c r="AP1938" s="115"/>
      <c r="AQ1938" s="115"/>
      <c r="AR1938" s="115"/>
      <c r="AS1938" s="115"/>
      <c r="AT1938" s="115"/>
      <c r="AU1938" s="115"/>
      <c r="AV1938" s="115"/>
      <c r="AW1938" s="115"/>
      <c r="AX1938" s="115"/>
      <c r="AY1938" s="115"/>
      <c r="AZ1938" s="115"/>
      <c r="BA1938" s="115"/>
      <c r="BB1938" s="115"/>
      <c r="BC1938" s="115"/>
      <c r="BD1938" s="115"/>
      <c r="BE1938" s="115"/>
      <c r="BF1938" s="122"/>
      <c r="BG1938" s="122"/>
      <c r="BH1938" s="122"/>
      <c r="BI1938" s="115"/>
      <c r="BJ1938" s="115"/>
      <c r="BK1938" s="115"/>
      <c r="BL1938" s="115"/>
      <c r="BM1938" s="115"/>
      <c r="BN1938" s="115"/>
      <c r="BO1938" s="115"/>
      <c r="BP1938" s="115"/>
      <c r="BQ1938" s="115"/>
      <c r="BR1938" s="115"/>
      <c r="BS1938" s="115"/>
      <c r="BT1938" s="115"/>
      <c r="BU1938" s="115"/>
      <c r="BV1938" s="115"/>
      <c r="BW1938" s="26"/>
      <c r="BX1938" s="15"/>
    </row>
    <row r="1939" spans="1:76" x14ac:dyDescent="0.4">
      <c r="A1939" s="115"/>
      <c r="B1939" s="115"/>
      <c r="C1939" s="115"/>
      <c r="D1939" s="115"/>
      <c r="E1939" s="115"/>
      <c r="F1939" s="115"/>
      <c r="G1939" s="115"/>
      <c r="H1939" s="115"/>
      <c r="I1939" s="115"/>
      <c r="J1939" s="115"/>
      <c r="K1939" s="115"/>
      <c r="L1939" s="115"/>
      <c r="M1939" s="115"/>
      <c r="N1939" s="115"/>
      <c r="O1939" s="115"/>
      <c r="P1939" s="115"/>
      <c r="Q1939" s="115"/>
      <c r="R1939" s="115"/>
      <c r="S1939" s="115"/>
      <c r="T1939" s="115"/>
      <c r="U1939" s="115"/>
      <c r="V1939" s="115"/>
      <c r="W1939" s="115"/>
      <c r="X1939" s="115"/>
      <c r="Y1939" s="115"/>
      <c r="Z1939" s="115"/>
      <c r="AA1939" s="115"/>
      <c r="AB1939" s="115"/>
      <c r="AC1939" s="115"/>
      <c r="AD1939" s="115"/>
      <c r="AE1939" s="115"/>
      <c r="AF1939" s="115"/>
      <c r="AG1939" s="115"/>
      <c r="AH1939" s="115"/>
      <c r="AI1939" s="115"/>
      <c r="AJ1939" s="115"/>
      <c r="AK1939" s="115"/>
      <c r="AL1939" s="115"/>
      <c r="AM1939" s="115"/>
      <c r="AN1939" s="115"/>
      <c r="AO1939" s="115"/>
      <c r="AP1939" s="115"/>
      <c r="AQ1939" s="115"/>
      <c r="AR1939" s="115"/>
      <c r="AS1939" s="115"/>
      <c r="AT1939" s="115"/>
      <c r="AU1939" s="115"/>
      <c r="AV1939" s="115"/>
      <c r="AW1939" s="115"/>
      <c r="AX1939" s="115"/>
      <c r="AY1939" s="115"/>
      <c r="AZ1939" s="115"/>
      <c r="BA1939" s="115"/>
      <c r="BB1939" s="115"/>
      <c r="BC1939" s="115"/>
      <c r="BD1939" s="115"/>
      <c r="BE1939" s="115"/>
      <c r="BF1939" s="122"/>
      <c r="BG1939" s="122"/>
      <c r="BH1939" s="122"/>
      <c r="BI1939" s="115"/>
      <c r="BJ1939" s="115"/>
      <c r="BK1939" s="115"/>
      <c r="BL1939" s="115"/>
      <c r="BM1939" s="115"/>
      <c r="BN1939" s="115"/>
      <c r="BO1939" s="115"/>
      <c r="BP1939" s="115"/>
      <c r="BQ1939" s="115"/>
      <c r="BR1939" s="115"/>
      <c r="BS1939" s="115"/>
      <c r="BT1939" s="115"/>
      <c r="BU1939" s="115"/>
      <c r="BV1939" s="115"/>
      <c r="BW1939" s="26"/>
      <c r="BX1939" s="15"/>
    </row>
    <row r="1940" spans="1:76" x14ac:dyDescent="0.4">
      <c r="A1940" s="115"/>
      <c r="B1940" s="115"/>
      <c r="C1940" s="115"/>
      <c r="D1940" s="115"/>
      <c r="E1940" s="115"/>
      <c r="F1940" s="115"/>
      <c r="G1940" s="115"/>
      <c r="H1940" s="115"/>
      <c r="I1940" s="115"/>
      <c r="J1940" s="115"/>
      <c r="K1940" s="115"/>
      <c r="L1940" s="115"/>
      <c r="M1940" s="115"/>
      <c r="N1940" s="115"/>
      <c r="O1940" s="115"/>
      <c r="P1940" s="115"/>
      <c r="Q1940" s="115"/>
      <c r="R1940" s="115"/>
      <c r="S1940" s="115"/>
      <c r="T1940" s="115"/>
      <c r="U1940" s="115"/>
      <c r="V1940" s="115"/>
      <c r="W1940" s="115"/>
      <c r="X1940" s="115"/>
      <c r="Y1940" s="115"/>
      <c r="Z1940" s="115"/>
      <c r="AA1940" s="115"/>
      <c r="AB1940" s="115"/>
      <c r="AC1940" s="115"/>
      <c r="AD1940" s="115"/>
      <c r="AE1940" s="115"/>
      <c r="AF1940" s="115"/>
      <c r="AG1940" s="115"/>
      <c r="AH1940" s="115"/>
      <c r="AI1940" s="115"/>
      <c r="AJ1940" s="115"/>
      <c r="AK1940" s="115"/>
      <c r="AL1940" s="115"/>
      <c r="AM1940" s="115"/>
      <c r="AN1940" s="115"/>
      <c r="AO1940" s="115"/>
      <c r="AP1940" s="115"/>
      <c r="AQ1940" s="115"/>
      <c r="AR1940" s="115"/>
      <c r="AS1940" s="115"/>
      <c r="AT1940" s="115"/>
      <c r="AU1940" s="115"/>
      <c r="AV1940" s="115"/>
      <c r="AW1940" s="115"/>
      <c r="AX1940" s="115"/>
      <c r="AY1940" s="115"/>
      <c r="AZ1940" s="115"/>
      <c r="BA1940" s="115"/>
      <c r="BB1940" s="115"/>
      <c r="BC1940" s="115"/>
      <c r="BD1940" s="115"/>
      <c r="BE1940" s="115"/>
      <c r="BF1940" s="122"/>
      <c r="BG1940" s="122"/>
      <c r="BH1940" s="122"/>
      <c r="BI1940" s="115"/>
      <c r="BJ1940" s="115"/>
      <c r="BK1940" s="115"/>
      <c r="BL1940" s="115"/>
      <c r="BM1940" s="115"/>
      <c r="BN1940" s="115"/>
      <c r="BO1940" s="115"/>
      <c r="BP1940" s="115"/>
      <c r="BQ1940" s="115"/>
      <c r="BR1940" s="115"/>
      <c r="BS1940" s="115"/>
      <c r="BT1940" s="115"/>
      <c r="BU1940" s="115"/>
      <c r="BV1940" s="115"/>
      <c r="BW1940" s="26"/>
      <c r="BX1940" s="15"/>
    </row>
    <row r="1941" spans="1:76" x14ac:dyDescent="0.4">
      <c r="BW1941" s="26"/>
      <c r="BX1941" s="15"/>
    </row>
    <row r="1942" spans="1:76" x14ac:dyDescent="0.4">
      <c r="B1942" s="115"/>
      <c r="C1942" s="115"/>
      <c r="D1942" s="115"/>
      <c r="E1942" s="115"/>
      <c r="F1942" s="115"/>
      <c r="G1942" s="115"/>
      <c r="H1942" s="115"/>
      <c r="I1942" s="115"/>
      <c r="J1942" s="115"/>
      <c r="K1942" s="115"/>
      <c r="L1942" s="115"/>
      <c r="M1942" s="115"/>
      <c r="N1942" s="115"/>
      <c r="O1942" s="115"/>
      <c r="P1942" s="115"/>
      <c r="Q1942" s="115"/>
      <c r="R1942" s="115"/>
      <c r="S1942" s="115"/>
      <c r="T1942" s="115"/>
      <c r="U1942" s="115"/>
      <c r="V1942" s="115"/>
      <c r="W1942" s="115"/>
      <c r="X1942" s="115"/>
      <c r="Y1942" s="115"/>
      <c r="Z1942" s="115"/>
      <c r="AA1942" s="115"/>
      <c r="AB1942" s="115"/>
      <c r="AC1942" s="115"/>
      <c r="AD1942" s="115"/>
      <c r="AE1942" s="115"/>
      <c r="AF1942" s="115"/>
      <c r="AG1942" s="115"/>
      <c r="AH1942" s="115"/>
      <c r="AI1942" s="115"/>
      <c r="AJ1942" s="115"/>
      <c r="AK1942" s="115"/>
      <c r="AL1942" s="115"/>
      <c r="AM1942" s="115"/>
      <c r="AN1942" s="115"/>
      <c r="AO1942" s="115"/>
      <c r="AP1942" s="115"/>
      <c r="AQ1942" s="115"/>
      <c r="AR1942" s="115"/>
      <c r="AS1942" s="115"/>
      <c r="AT1942" s="115"/>
      <c r="AU1942" s="115"/>
      <c r="AV1942" s="115"/>
      <c r="AW1942" s="115"/>
      <c r="AX1942" s="115"/>
      <c r="AY1942" s="115"/>
      <c r="AZ1942" s="115"/>
      <c r="BA1942" s="115"/>
      <c r="BB1942" s="115"/>
      <c r="BC1942" s="115"/>
      <c r="BD1942" s="115"/>
      <c r="BE1942" s="115"/>
      <c r="BF1942" s="122"/>
      <c r="BG1942" s="122"/>
      <c r="BH1942" s="122"/>
      <c r="BI1942" s="115"/>
      <c r="BJ1942" s="115"/>
      <c r="BK1942" s="115"/>
      <c r="BL1942" s="115"/>
      <c r="BM1942" s="115"/>
      <c r="BN1942" s="115"/>
      <c r="BO1942" s="115"/>
      <c r="BP1942" s="115"/>
      <c r="BQ1942" s="115"/>
      <c r="BR1942" s="115"/>
      <c r="BS1942" s="115"/>
      <c r="BT1942" s="115"/>
      <c r="BU1942" s="115"/>
      <c r="BV1942" s="115"/>
      <c r="BW1942" s="26"/>
      <c r="BX1942" s="15"/>
    </row>
    <row r="1943" spans="1:76" x14ac:dyDescent="0.4">
      <c r="BW1943" s="26"/>
      <c r="BX1943" s="15"/>
    </row>
    <row r="1944" spans="1:76" x14ac:dyDescent="0.4">
      <c r="B1944" s="115"/>
      <c r="C1944" s="115"/>
      <c r="D1944" s="115"/>
      <c r="E1944" s="115"/>
      <c r="F1944" s="115"/>
      <c r="G1944" s="115"/>
      <c r="H1944" s="115"/>
      <c r="I1944" s="115"/>
      <c r="J1944" s="115"/>
      <c r="K1944" s="115"/>
      <c r="L1944" s="115"/>
      <c r="M1944" s="115"/>
      <c r="N1944" s="115"/>
      <c r="O1944" s="115"/>
      <c r="P1944" s="115"/>
      <c r="Q1944" s="115"/>
      <c r="R1944" s="115"/>
      <c r="S1944" s="115"/>
      <c r="T1944" s="115"/>
      <c r="U1944" s="115"/>
      <c r="V1944" s="115"/>
      <c r="W1944" s="115"/>
      <c r="X1944" s="115"/>
      <c r="Y1944" s="115"/>
      <c r="Z1944" s="115"/>
      <c r="AA1944" s="115"/>
      <c r="AB1944" s="115"/>
      <c r="AC1944" s="115"/>
      <c r="AD1944" s="115"/>
      <c r="AE1944" s="115"/>
      <c r="AF1944" s="115"/>
      <c r="AG1944" s="115"/>
      <c r="AH1944" s="115"/>
      <c r="AI1944" s="115"/>
      <c r="AJ1944" s="115"/>
      <c r="AK1944" s="115"/>
      <c r="AL1944" s="115"/>
      <c r="AM1944" s="115"/>
      <c r="AN1944" s="115"/>
      <c r="AO1944" s="115"/>
      <c r="AP1944" s="115"/>
      <c r="AQ1944" s="115"/>
      <c r="AR1944" s="115"/>
      <c r="AS1944" s="115"/>
      <c r="AT1944" s="115"/>
      <c r="AU1944" s="115"/>
      <c r="AV1944" s="115"/>
      <c r="AW1944" s="115"/>
      <c r="AX1944" s="115"/>
      <c r="AY1944" s="115"/>
      <c r="AZ1944" s="115"/>
      <c r="BA1944" s="115"/>
      <c r="BB1944" s="115"/>
      <c r="BC1944" s="115"/>
      <c r="BD1944" s="115"/>
      <c r="BE1944" s="115"/>
      <c r="BF1944" s="122"/>
      <c r="BG1944" s="122"/>
      <c r="BH1944" s="122"/>
      <c r="BI1944" s="115"/>
      <c r="BJ1944" s="115"/>
      <c r="BK1944" s="115"/>
      <c r="BL1944" s="115"/>
      <c r="BM1944" s="115"/>
      <c r="BN1944" s="115"/>
      <c r="BO1944" s="115"/>
      <c r="BP1944" s="115"/>
      <c r="BQ1944" s="115"/>
      <c r="BR1944" s="115"/>
      <c r="BS1944" s="115"/>
      <c r="BT1944" s="115"/>
      <c r="BU1944" s="115"/>
      <c r="BV1944" s="115"/>
      <c r="BW1944" s="26"/>
      <c r="BX1944" s="15"/>
    </row>
    <row r="1945" spans="1:76" x14ac:dyDescent="0.4">
      <c r="BW1945" s="26"/>
      <c r="BX1945" s="15"/>
    </row>
    <row r="1946" spans="1:76" x14ac:dyDescent="0.4">
      <c r="BW1946" s="26"/>
      <c r="BX1946" s="15"/>
    </row>
    <row r="1947" spans="1:76" x14ac:dyDescent="0.4">
      <c r="BW1947" s="26"/>
      <c r="BX1947" s="15"/>
    </row>
    <row r="1948" spans="1:76" x14ac:dyDescent="0.4">
      <c r="BW1948" s="26"/>
      <c r="BX1948" s="15"/>
    </row>
    <row r="1949" spans="1:76" x14ac:dyDescent="0.4">
      <c r="BW1949" s="26"/>
      <c r="BX1949" s="15"/>
    </row>
    <row r="1950" spans="1:76" x14ac:dyDescent="0.4">
      <c r="BW1950" s="26"/>
      <c r="BX1950" s="15"/>
    </row>
    <row r="1951" spans="1:76" x14ac:dyDescent="0.4">
      <c r="A1951" s="115"/>
      <c r="B1951" s="115"/>
      <c r="C1951" s="115"/>
      <c r="D1951" s="115"/>
      <c r="E1951" s="115"/>
      <c r="F1951" s="115"/>
      <c r="G1951" s="115"/>
      <c r="H1951" s="115"/>
      <c r="I1951" s="115"/>
      <c r="J1951" s="115"/>
      <c r="K1951" s="115"/>
      <c r="L1951" s="115"/>
      <c r="M1951" s="115"/>
      <c r="N1951" s="115"/>
      <c r="O1951" s="115"/>
      <c r="P1951" s="115"/>
      <c r="Q1951" s="115"/>
      <c r="R1951" s="115"/>
      <c r="S1951" s="115"/>
      <c r="T1951" s="115"/>
      <c r="U1951" s="115"/>
      <c r="V1951" s="115"/>
      <c r="W1951" s="115"/>
      <c r="X1951" s="115"/>
      <c r="Y1951" s="115"/>
      <c r="Z1951" s="115"/>
      <c r="AA1951" s="115"/>
      <c r="AB1951" s="115"/>
      <c r="AC1951" s="115"/>
      <c r="AD1951" s="115"/>
      <c r="AE1951" s="115"/>
      <c r="AF1951" s="115"/>
      <c r="AG1951" s="115"/>
      <c r="AH1951" s="115"/>
      <c r="AI1951" s="115"/>
      <c r="AJ1951" s="115"/>
      <c r="AK1951" s="115"/>
      <c r="AL1951" s="115"/>
      <c r="AM1951" s="115"/>
      <c r="AN1951" s="115"/>
      <c r="AO1951" s="115"/>
      <c r="AP1951" s="115"/>
      <c r="AQ1951" s="115"/>
      <c r="AR1951" s="115"/>
      <c r="AS1951" s="115"/>
      <c r="AT1951" s="115"/>
      <c r="AU1951" s="115"/>
      <c r="AV1951" s="115"/>
      <c r="AW1951" s="115"/>
      <c r="AX1951" s="115"/>
      <c r="AY1951" s="115"/>
      <c r="AZ1951" s="115"/>
      <c r="BA1951" s="115"/>
      <c r="BB1951" s="115"/>
      <c r="BC1951" s="115"/>
      <c r="BD1951" s="115"/>
      <c r="BE1951" s="115"/>
      <c r="BF1951" s="122"/>
      <c r="BG1951" s="122"/>
      <c r="BH1951" s="122"/>
      <c r="BI1951" s="115"/>
      <c r="BJ1951" s="115"/>
      <c r="BK1951" s="115"/>
      <c r="BL1951" s="115"/>
      <c r="BM1951" s="115"/>
      <c r="BN1951" s="115"/>
      <c r="BO1951" s="115"/>
      <c r="BP1951" s="115"/>
      <c r="BQ1951" s="115"/>
      <c r="BR1951" s="115"/>
      <c r="BS1951" s="115"/>
      <c r="BT1951" s="115"/>
      <c r="BU1951" s="115"/>
      <c r="BV1951" s="115"/>
      <c r="BW1951" s="26"/>
      <c r="BX1951" s="15"/>
    </row>
    <row r="1952" spans="1:76" x14ac:dyDescent="0.4">
      <c r="BW1952" s="26"/>
      <c r="BX1952" s="15"/>
    </row>
    <row r="1953" spans="1:76" x14ac:dyDescent="0.4">
      <c r="BW1953" s="26"/>
      <c r="BX1953" s="15"/>
    </row>
    <row r="1954" spans="1:76" x14ac:dyDescent="0.4">
      <c r="BW1954" s="26"/>
      <c r="BX1954" s="15"/>
    </row>
    <row r="1955" spans="1:76" x14ac:dyDescent="0.4">
      <c r="BW1955" s="26"/>
      <c r="BX1955" s="15"/>
    </row>
    <row r="1956" spans="1:76" x14ac:dyDescent="0.4">
      <c r="BW1956" s="26"/>
      <c r="BX1956" s="15"/>
    </row>
    <row r="1957" spans="1:76" x14ac:dyDescent="0.4">
      <c r="AY1957" s="115"/>
      <c r="AZ1957" s="115"/>
      <c r="BA1957" s="115"/>
      <c r="BB1957" s="115"/>
      <c r="BC1957" s="115"/>
      <c r="BD1957" s="115"/>
      <c r="BE1957" s="115"/>
      <c r="BF1957" s="122"/>
      <c r="BG1957" s="122"/>
      <c r="BH1957" s="122"/>
      <c r="BI1957" s="115"/>
      <c r="BJ1957" s="115"/>
      <c r="BK1957" s="115"/>
      <c r="BL1957" s="115"/>
      <c r="BM1957" s="115"/>
      <c r="BN1957" s="115"/>
      <c r="BO1957" s="115"/>
      <c r="BP1957" s="115"/>
      <c r="BQ1957" s="115"/>
      <c r="BR1957" s="115"/>
      <c r="BS1957" s="115"/>
      <c r="BT1957" s="115"/>
      <c r="BU1957" s="115"/>
      <c r="BV1957" s="115"/>
      <c r="BW1957" s="17"/>
      <c r="BX1957" s="15"/>
    </row>
    <row r="1958" spans="1:76" x14ac:dyDescent="0.4">
      <c r="AY1958" s="115"/>
      <c r="AZ1958" s="115"/>
      <c r="BA1958" s="115"/>
      <c r="BB1958" s="115"/>
      <c r="BC1958" s="115"/>
      <c r="BD1958" s="115"/>
      <c r="BE1958" s="115"/>
      <c r="BF1958" s="122"/>
      <c r="BG1958" s="122"/>
      <c r="BH1958" s="122"/>
      <c r="BI1958" s="115"/>
      <c r="BJ1958" s="115"/>
      <c r="BK1958" s="115"/>
      <c r="BL1958" s="115"/>
      <c r="BM1958" s="115"/>
      <c r="BN1958" s="115"/>
      <c r="BO1958" s="115"/>
      <c r="BP1958" s="115"/>
      <c r="BQ1958" s="115"/>
      <c r="BR1958" s="115"/>
      <c r="BS1958" s="115"/>
      <c r="BT1958" s="115"/>
      <c r="BU1958" s="115"/>
      <c r="BV1958" s="115"/>
      <c r="BW1958" s="17"/>
      <c r="BX1958" s="15"/>
    </row>
    <row r="1959" spans="1:76" x14ac:dyDescent="0.4">
      <c r="BW1959" s="26"/>
      <c r="BX1959" s="15"/>
    </row>
    <row r="1960" spans="1:76" x14ac:dyDescent="0.4">
      <c r="BW1960" s="26"/>
      <c r="BX1960" s="15"/>
    </row>
    <row r="1961" spans="1:76" x14ac:dyDescent="0.4">
      <c r="A1961" s="115"/>
      <c r="B1961" s="115"/>
      <c r="C1961" s="115"/>
      <c r="D1961" s="115"/>
      <c r="E1961" s="115"/>
      <c r="F1961" s="115"/>
      <c r="G1961" s="115"/>
      <c r="H1961" s="115"/>
      <c r="I1961" s="115"/>
      <c r="J1961" s="115"/>
      <c r="K1961" s="115"/>
      <c r="L1961" s="115"/>
      <c r="M1961" s="115"/>
      <c r="N1961" s="115"/>
      <c r="O1961" s="115"/>
      <c r="P1961" s="115"/>
      <c r="Q1961" s="115"/>
      <c r="R1961" s="115"/>
      <c r="S1961" s="115"/>
      <c r="T1961" s="115"/>
      <c r="U1961" s="115"/>
      <c r="V1961" s="115"/>
      <c r="W1961" s="115"/>
      <c r="X1961" s="115"/>
      <c r="Y1961" s="115"/>
      <c r="Z1961" s="115"/>
      <c r="AA1961" s="115"/>
      <c r="AB1961" s="115"/>
      <c r="AC1961" s="115"/>
      <c r="AD1961" s="115"/>
      <c r="AE1961" s="115"/>
      <c r="AF1961" s="115"/>
      <c r="AG1961" s="115"/>
      <c r="AH1961" s="115"/>
      <c r="AI1961" s="115"/>
      <c r="AJ1961" s="115"/>
      <c r="AK1961" s="115"/>
      <c r="AL1961" s="115"/>
      <c r="AM1961" s="115"/>
      <c r="AN1961" s="115"/>
      <c r="AO1961" s="115"/>
      <c r="AP1961" s="115"/>
      <c r="AQ1961" s="115"/>
      <c r="AR1961" s="115"/>
      <c r="AS1961" s="115"/>
      <c r="AT1961" s="115"/>
      <c r="AU1961" s="115"/>
      <c r="AV1961" s="115"/>
      <c r="AW1961" s="115"/>
      <c r="AX1961" s="115"/>
      <c r="AY1961" s="115"/>
      <c r="AZ1961" s="115"/>
      <c r="BA1961" s="115"/>
      <c r="BB1961" s="115"/>
      <c r="BC1961" s="115"/>
      <c r="BD1961" s="115"/>
      <c r="BE1961" s="115"/>
      <c r="BF1961" s="122"/>
      <c r="BG1961" s="122"/>
      <c r="BH1961" s="122"/>
      <c r="BI1961" s="115"/>
      <c r="BJ1961" s="115"/>
      <c r="BK1961" s="115"/>
      <c r="BL1961" s="115"/>
      <c r="BM1961" s="115"/>
      <c r="BN1961" s="115"/>
      <c r="BO1961" s="115"/>
      <c r="BP1961" s="115"/>
      <c r="BQ1961" s="115"/>
      <c r="BR1961" s="115"/>
      <c r="BS1961" s="115"/>
      <c r="BT1961" s="115"/>
      <c r="BU1961" s="115"/>
      <c r="BV1961" s="115"/>
      <c r="BW1961" s="26"/>
      <c r="BX1961" s="15"/>
    </row>
    <row r="1962" spans="1:76" x14ac:dyDescent="0.4">
      <c r="A1962" s="115"/>
      <c r="B1962" s="115"/>
      <c r="C1962" s="115"/>
      <c r="D1962" s="115"/>
      <c r="E1962" s="115"/>
      <c r="F1962" s="115"/>
      <c r="G1962" s="115"/>
      <c r="H1962" s="115"/>
      <c r="I1962" s="115"/>
      <c r="J1962" s="115"/>
      <c r="K1962" s="115"/>
      <c r="L1962" s="115"/>
      <c r="M1962" s="115"/>
      <c r="N1962" s="115"/>
      <c r="O1962" s="115"/>
      <c r="P1962" s="115"/>
      <c r="Q1962" s="115"/>
      <c r="R1962" s="115"/>
      <c r="S1962" s="115"/>
      <c r="T1962" s="115"/>
      <c r="U1962" s="115"/>
      <c r="V1962" s="115"/>
      <c r="W1962" s="115"/>
      <c r="X1962" s="115"/>
      <c r="Y1962" s="115"/>
      <c r="Z1962" s="115"/>
      <c r="AA1962" s="115"/>
      <c r="AB1962" s="115"/>
      <c r="AC1962" s="115"/>
      <c r="AD1962" s="115"/>
      <c r="AE1962" s="115"/>
      <c r="AF1962" s="115"/>
      <c r="AG1962" s="115"/>
      <c r="AH1962" s="115"/>
      <c r="AI1962" s="115"/>
      <c r="AJ1962" s="115"/>
      <c r="AK1962" s="115"/>
      <c r="AL1962" s="115"/>
      <c r="AM1962" s="115"/>
      <c r="AN1962" s="115"/>
      <c r="AO1962" s="115"/>
      <c r="AP1962" s="115"/>
      <c r="AQ1962" s="115"/>
      <c r="AR1962" s="115"/>
      <c r="AS1962" s="115"/>
      <c r="AT1962" s="115"/>
      <c r="AU1962" s="115"/>
      <c r="AV1962" s="115"/>
      <c r="AW1962" s="115"/>
      <c r="AX1962" s="115"/>
      <c r="AY1962" s="115"/>
      <c r="AZ1962" s="115"/>
      <c r="BA1962" s="115"/>
      <c r="BB1962" s="115"/>
      <c r="BC1962" s="115"/>
      <c r="BD1962" s="115"/>
      <c r="BE1962" s="115"/>
      <c r="BF1962" s="122"/>
      <c r="BG1962" s="122"/>
      <c r="BH1962" s="122"/>
      <c r="BI1962" s="115"/>
      <c r="BJ1962" s="115"/>
      <c r="BK1962" s="115"/>
      <c r="BL1962" s="115"/>
      <c r="BM1962" s="115"/>
      <c r="BN1962" s="115"/>
      <c r="BO1962" s="115"/>
      <c r="BP1962" s="115"/>
      <c r="BQ1962" s="115"/>
      <c r="BR1962" s="115"/>
      <c r="BS1962" s="115"/>
      <c r="BT1962" s="115"/>
      <c r="BU1962" s="115"/>
      <c r="BV1962" s="115"/>
      <c r="BW1962" s="26"/>
      <c r="BX1962" s="13"/>
    </row>
    <row r="1963" spans="1:76" x14ac:dyDescent="0.4">
      <c r="BW1963" s="26"/>
      <c r="BX1963" s="15"/>
    </row>
    <row r="1964" spans="1:76" x14ac:dyDescent="0.4">
      <c r="B1964" s="115"/>
      <c r="C1964" s="115"/>
      <c r="D1964" s="115"/>
      <c r="E1964" s="115"/>
      <c r="F1964" s="115"/>
      <c r="G1964" s="115"/>
      <c r="H1964" s="115"/>
      <c r="I1964" s="115"/>
      <c r="J1964" s="115"/>
      <c r="K1964" s="115"/>
      <c r="L1964" s="115"/>
      <c r="M1964" s="115"/>
      <c r="N1964" s="115"/>
      <c r="O1964" s="115"/>
      <c r="P1964" s="115"/>
      <c r="Q1964" s="115"/>
      <c r="R1964" s="115"/>
      <c r="S1964" s="115"/>
      <c r="T1964" s="115"/>
      <c r="U1964" s="115"/>
      <c r="V1964" s="115"/>
      <c r="W1964" s="115"/>
      <c r="X1964" s="115"/>
      <c r="Y1964" s="115"/>
      <c r="Z1964" s="115"/>
      <c r="AA1964" s="115"/>
      <c r="AB1964" s="115"/>
      <c r="AC1964" s="115"/>
      <c r="AD1964" s="115"/>
      <c r="AE1964" s="115"/>
      <c r="AF1964" s="115"/>
      <c r="AG1964" s="115"/>
      <c r="AH1964" s="115"/>
      <c r="AI1964" s="115"/>
      <c r="AJ1964" s="115"/>
      <c r="AK1964" s="115"/>
      <c r="AL1964" s="115"/>
      <c r="AM1964" s="115"/>
      <c r="AN1964" s="115"/>
      <c r="AO1964" s="115"/>
      <c r="AP1964" s="115"/>
      <c r="AQ1964" s="115"/>
      <c r="AR1964" s="115"/>
      <c r="AS1964" s="115"/>
      <c r="AT1964" s="115"/>
      <c r="AU1964" s="115"/>
      <c r="AV1964" s="115"/>
      <c r="AW1964" s="115"/>
      <c r="AX1964" s="115"/>
      <c r="AY1964" s="115"/>
      <c r="AZ1964" s="115"/>
      <c r="BA1964" s="115"/>
      <c r="BB1964" s="115"/>
      <c r="BC1964" s="115"/>
      <c r="BD1964" s="115"/>
      <c r="BE1964" s="115"/>
      <c r="BF1964" s="122"/>
      <c r="BG1964" s="122"/>
      <c r="BH1964" s="122"/>
      <c r="BI1964" s="115"/>
      <c r="BJ1964" s="115"/>
      <c r="BK1964" s="115"/>
      <c r="BL1964" s="115"/>
      <c r="BM1964" s="115"/>
      <c r="BN1964" s="115"/>
      <c r="BO1964" s="115"/>
      <c r="BP1964" s="115"/>
      <c r="BQ1964" s="115"/>
      <c r="BR1964" s="115"/>
      <c r="BS1964" s="115"/>
      <c r="BT1964" s="115"/>
      <c r="BU1964" s="115"/>
      <c r="BV1964" s="115"/>
      <c r="BW1964" s="26"/>
      <c r="BX1964" s="15"/>
    </row>
    <row r="1965" spans="1:76" x14ac:dyDescent="0.4">
      <c r="BW1965" s="26"/>
      <c r="BX1965" s="15"/>
    </row>
    <row r="1966" spans="1:76" x14ac:dyDescent="0.4">
      <c r="BW1966" s="26"/>
      <c r="BX1966" s="15"/>
    </row>
    <row r="1967" spans="1:76" x14ac:dyDescent="0.4">
      <c r="A1967" s="115"/>
      <c r="B1967" s="115"/>
      <c r="C1967" s="115"/>
      <c r="D1967" s="115"/>
      <c r="E1967" s="115"/>
      <c r="F1967" s="115"/>
      <c r="G1967" s="115"/>
      <c r="H1967" s="115"/>
      <c r="I1967" s="115"/>
      <c r="J1967" s="115"/>
      <c r="K1967" s="115"/>
      <c r="L1967" s="115"/>
      <c r="M1967" s="115"/>
      <c r="N1967" s="115"/>
      <c r="O1967" s="115"/>
      <c r="P1967" s="115"/>
      <c r="Q1967" s="115"/>
      <c r="R1967" s="115"/>
      <c r="S1967" s="115"/>
      <c r="T1967" s="115"/>
      <c r="U1967" s="115"/>
      <c r="V1967" s="115"/>
      <c r="W1967" s="115"/>
      <c r="X1967" s="115"/>
      <c r="Y1967" s="115"/>
      <c r="Z1967" s="115"/>
      <c r="AA1967" s="115"/>
      <c r="AB1967" s="115"/>
      <c r="AC1967" s="115"/>
      <c r="AD1967" s="115"/>
      <c r="AE1967" s="115"/>
      <c r="AF1967" s="115"/>
      <c r="AG1967" s="115"/>
      <c r="AH1967" s="115"/>
      <c r="AI1967" s="115"/>
      <c r="AJ1967" s="115"/>
      <c r="AK1967" s="115"/>
      <c r="AL1967" s="115"/>
      <c r="AM1967" s="115"/>
      <c r="AN1967" s="115"/>
      <c r="AO1967" s="115"/>
      <c r="AP1967" s="115"/>
      <c r="AQ1967" s="115"/>
      <c r="AR1967" s="115"/>
      <c r="AS1967" s="115"/>
      <c r="AT1967" s="115"/>
      <c r="AU1967" s="115"/>
      <c r="AV1967" s="115"/>
      <c r="AW1967" s="115"/>
      <c r="AX1967" s="115"/>
      <c r="AY1967" s="115"/>
      <c r="AZ1967" s="115"/>
      <c r="BA1967" s="115"/>
      <c r="BB1967" s="115"/>
      <c r="BC1967" s="115"/>
      <c r="BD1967" s="115"/>
      <c r="BE1967" s="115"/>
      <c r="BF1967" s="122"/>
      <c r="BG1967" s="122"/>
      <c r="BH1967" s="122"/>
      <c r="BI1967" s="115"/>
      <c r="BJ1967" s="115"/>
      <c r="BK1967" s="115"/>
      <c r="BL1967" s="115"/>
      <c r="BM1967" s="115"/>
      <c r="BN1967" s="115"/>
      <c r="BO1967" s="115"/>
      <c r="BP1967" s="115"/>
      <c r="BQ1967" s="115"/>
      <c r="BR1967" s="115"/>
      <c r="BS1967" s="115"/>
      <c r="BT1967" s="115"/>
      <c r="BU1967" s="115"/>
      <c r="BV1967" s="115"/>
      <c r="BW1967" s="26"/>
      <c r="BX1967" s="15"/>
    </row>
    <row r="1968" spans="1:76" x14ac:dyDescent="0.4">
      <c r="BW1968" s="26"/>
      <c r="BX1968" s="13"/>
    </row>
    <row r="1969" spans="1:76" x14ac:dyDescent="0.4">
      <c r="BW1969" s="26"/>
      <c r="BX1969" s="13"/>
    </row>
    <row r="1970" spans="1:76" x14ac:dyDescent="0.4">
      <c r="A1970" s="115"/>
      <c r="B1970" s="115"/>
      <c r="C1970" s="115"/>
      <c r="D1970" s="115"/>
      <c r="E1970" s="115"/>
      <c r="F1970" s="115"/>
      <c r="G1970" s="115"/>
      <c r="H1970" s="115"/>
      <c r="I1970" s="115"/>
      <c r="J1970" s="115"/>
      <c r="K1970" s="115"/>
      <c r="L1970" s="115"/>
      <c r="M1970" s="115"/>
      <c r="N1970" s="115"/>
      <c r="O1970" s="115"/>
      <c r="P1970" s="115"/>
      <c r="Q1970" s="115"/>
      <c r="R1970" s="115"/>
      <c r="S1970" s="115"/>
      <c r="T1970" s="115"/>
      <c r="U1970" s="115"/>
      <c r="V1970" s="115"/>
      <c r="W1970" s="115"/>
      <c r="X1970" s="115"/>
      <c r="Y1970" s="115"/>
      <c r="Z1970" s="115"/>
      <c r="AA1970" s="115"/>
      <c r="AB1970" s="115"/>
      <c r="AC1970" s="115"/>
      <c r="AD1970" s="115"/>
      <c r="AE1970" s="115"/>
      <c r="AF1970" s="115"/>
      <c r="AG1970" s="115"/>
      <c r="AH1970" s="115"/>
      <c r="AI1970" s="115"/>
      <c r="AJ1970" s="115"/>
      <c r="AK1970" s="115"/>
      <c r="AL1970" s="115"/>
      <c r="AM1970" s="115"/>
      <c r="AN1970" s="115"/>
      <c r="AO1970" s="115"/>
      <c r="AP1970" s="115"/>
      <c r="AQ1970" s="115"/>
      <c r="AR1970" s="115"/>
      <c r="AS1970" s="115"/>
      <c r="AT1970" s="115"/>
      <c r="AU1970" s="115"/>
      <c r="AV1970" s="115"/>
      <c r="AW1970" s="115"/>
      <c r="AX1970" s="115"/>
      <c r="AY1970" s="115"/>
      <c r="AZ1970" s="115"/>
      <c r="BA1970" s="115"/>
      <c r="BB1970" s="115"/>
      <c r="BC1970" s="115"/>
      <c r="BD1970" s="115"/>
      <c r="BE1970" s="115"/>
      <c r="BF1970" s="122"/>
      <c r="BG1970" s="122"/>
      <c r="BH1970" s="122"/>
      <c r="BI1970" s="115"/>
      <c r="BJ1970" s="115"/>
      <c r="BK1970" s="115"/>
      <c r="BL1970" s="115"/>
      <c r="BM1970" s="115"/>
      <c r="BN1970" s="115"/>
      <c r="BO1970" s="115"/>
      <c r="BP1970" s="115"/>
      <c r="BQ1970" s="115"/>
      <c r="BR1970" s="115"/>
      <c r="BS1970" s="115"/>
      <c r="BT1970" s="115"/>
      <c r="BU1970" s="115"/>
      <c r="BV1970" s="115"/>
      <c r="BW1970" s="26"/>
      <c r="BX1970" s="13"/>
    </row>
    <row r="1971" spans="1:76" x14ac:dyDescent="0.4">
      <c r="BW1971" s="26"/>
      <c r="BX1971" s="13"/>
    </row>
    <row r="1972" spans="1:76" x14ac:dyDescent="0.4">
      <c r="BW1972" s="26"/>
      <c r="BX1972" s="13"/>
    </row>
    <row r="1973" spans="1:76" x14ac:dyDescent="0.4">
      <c r="BW1973" s="26"/>
      <c r="BX1973" s="13"/>
    </row>
    <row r="1974" spans="1:76" x14ac:dyDescent="0.4">
      <c r="BW1974" s="26"/>
      <c r="BX1974" s="13"/>
    </row>
    <row r="1975" spans="1:76" x14ac:dyDescent="0.4">
      <c r="BW1975" s="26"/>
      <c r="BX1975" s="13"/>
    </row>
    <row r="1976" spans="1:76" x14ac:dyDescent="0.4">
      <c r="A1976" s="115"/>
      <c r="B1976" s="115"/>
      <c r="C1976" s="115"/>
      <c r="D1976" s="115"/>
      <c r="E1976" s="115"/>
      <c r="F1976" s="115"/>
      <c r="G1976" s="115"/>
      <c r="H1976" s="115"/>
      <c r="I1976" s="115"/>
      <c r="J1976" s="115"/>
      <c r="K1976" s="115"/>
      <c r="L1976" s="115"/>
      <c r="M1976" s="115"/>
      <c r="N1976" s="115"/>
      <c r="O1976" s="115"/>
      <c r="P1976" s="115"/>
      <c r="Q1976" s="115"/>
      <c r="R1976" s="115"/>
      <c r="S1976" s="115"/>
      <c r="T1976" s="115"/>
      <c r="U1976" s="115"/>
      <c r="V1976" s="115"/>
      <c r="W1976" s="115"/>
      <c r="X1976" s="115"/>
      <c r="Y1976" s="115"/>
      <c r="Z1976" s="115"/>
      <c r="AA1976" s="115"/>
      <c r="AB1976" s="115"/>
      <c r="AC1976" s="115"/>
      <c r="AD1976" s="115"/>
      <c r="AE1976" s="115"/>
      <c r="AF1976" s="115"/>
      <c r="AG1976" s="115"/>
      <c r="AH1976" s="115"/>
      <c r="AI1976" s="115"/>
      <c r="AJ1976" s="115"/>
      <c r="AK1976" s="115"/>
      <c r="AL1976" s="115"/>
      <c r="AM1976" s="115"/>
      <c r="AN1976" s="115"/>
      <c r="AO1976" s="115"/>
      <c r="AP1976" s="115"/>
      <c r="AQ1976" s="115"/>
      <c r="AR1976" s="115"/>
      <c r="AS1976" s="115"/>
      <c r="AT1976" s="115"/>
      <c r="AU1976" s="115"/>
      <c r="AV1976" s="115"/>
      <c r="AW1976" s="115"/>
      <c r="AX1976" s="115"/>
      <c r="AY1976" s="115"/>
      <c r="AZ1976" s="115"/>
      <c r="BA1976" s="115"/>
      <c r="BB1976" s="115"/>
      <c r="BC1976" s="115"/>
      <c r="BD1976" s="115"/>
      <c r="BE1976" s="115"/>
      <c r="BF1976" s="122"/>
      <c r="BG1976" s="122"/>
      <c r="BH1976" s="122"/>
      <c r="BI1976" s="115"/>
      <c r="BJ1976" s="115"/>
      <c r="BK1976" s="115"/>
      <c r="BL1976" s="115"/>
      <c r="BM1976" s="115"/>
      <c r="BN1976" s="115"/>
      <c r="BO1976" s="115"/>
      <c r="BP1976" s="115"/>
      <c r="BQ1976" s="115"/>
      <c r="BR1976" s="115"/>
      <c r="BS1976" s="115"/>
      <c r="BT1976" s="115"/>
      <c r="BU1976" s="115"/>
      <c r="BV1976" s="115"/>
      <c r="BW1976" s="26"/>
      <c r="BX1976" s="25"/>
    </row>
    <row r="1977" spans="1:76" x14ac:dyDescent="0.4">
      <c r="BW1977" s="26"/>
      <c r="BX1977" s="13"/>
    </row>
    <row r="1978" spans="1:76" x14ac:dyDescent="0.4">
      <c r="A1978" s="115"/>
      <c r="B1978" s="115"/>
      <c r="C1978" s="115"/>
      <c r="D1978" s="115"/>
      <c r="E1978" s="115"/>
      <c r="F1978" s="115"/>
      <c r="G1978" s="115"/>
      <c r="H1978" s="115"/>
      <c r="I1978" s="115"/>
      <c r="J1978" s="115"/>
      <c r="K1978" s="115"/>
      <c r="L1978" s="115"/>
      <c r="M1978" s="115"/>
      <c r="N1978" s="115"/>
      <c r="O1978" s="115"/>
      <c r="P1978" s="115"/>
      <c r="Q1978" s="115"/>
      <c r="R1978" s="115"/>
      <c r="S1978" s="115"/>
      <c r="T1978" s="115"/>
      <c r="U1978" s="115"/>
      <c r="V1978" s="115"/>
      <c r="W1978" s="115"/>
      <c r="X1978" s="115"/>
      <c r="Y1978" s="115"/>
      <c r="Z1978" s="115"/>
      <c r="AA1978" s="115"/>
      <c r="AB1978" s="115"/>
      <c r="AC1978" s="115"/>
      <c r="AD1978" s="115"/>
      <c r="AE1978" s="115"/>
      <c r="AF1978" s="115"/>
      <c r="AG1978" s="115"/>
      <c r="AH1978" s="115"/>
      <c r="AI1978" s="115"/>
      <c r="AJ1978" s="115"/>
      <c r="AK1978" s="115"/>
      <c r="AL1978" s="115"/>
      <c r="AM1978" s="115"/>
      <c r="AN1978" s="115"/>
      <c r="AO1978" s="115"/>
      <c r="AP1978" s="115"/>
      <c r="AQ1978" s="115"/>
      <c r="AR1978" s="115"/>
      <c r="AS1978" s="115"/>
      <c r="AT1978" s="115"/>
      <c r="AU1978" s="115"/>
      <c r="AV1978" s="115"/>
      <c r="AW1978" s="115"/>
      <c r="AX1978" s="115"/>
      <c r="AY1978" s="115"/>
      <c r="AZ1978" s="115"/>
      <c r="BA1978" s="115"/>
      <c r="BB1978" s="115"/>
      <c r="BC1978" s="115"/>
      <c r="BD1978" s="115"/>
      <c r="BE1978" s="115"/>
      <c r="BF1978" s="122"/>
      <c r="BG1978" s="122"/>
      <c r="BH1978" s="122"/>
      <c r="BI1978" s="115"/>
      <c r="BJ1978" s="115"/>
      <c r="BK1978" s="115"/>
      <c r="BL1978" s="115"/>
      <c r="BM1978" s="115"/>
      <c r="BN1978" s="115"/>
      <c r="BO1978" s="115"/>
      <c r="BP1978" s="115"/>
      <c r="BQ1978" s="115"/>
      <c r="BR1978" s="115"/>
      <c r="BS1978" s="115"/>
      <c r="BT1978" s="115"/>
      <c r="BU1978" s="115"/>
      <c r="BV1978" s="115"/>
      <c r="BW1978" s="26"/>
      <c r="BX1978" s="13"/>
    </row>
    <row r="1979" spans="1:76" x14ac:dyDescent="0.4">
      <c r="A1979" s="115"/>
      <c r="B1979" s="115"/>
      <c r="C1979" s="115"/>
      <c r="D1979" s="115"/>
      <c r="E1979" s="115"/>
      <c r="F1979" s="115"/>
      <c r="G1979" s="115"/>
      <c r="H1979" s="115"/>
      <c r="I1979" s="115"/>
      <c r="J1979" s="115"/>
      <c r="K1979" s="115"/>
      <c r="L1979" s="115"/>
      <c r="M1979" s="115"/>
      <c r="N1979" s="115"/>
      <c r="O1979" s="115"/>
      <c r="P1979" s="115"/>
      <c r="Q1979" s="115"/>
      <c r="R1979" s="115"/>
      <c r="S1979" s="115"/>
      <c r="T1979" s="115"/>
      <c r="U1979" s="115"/>
      <c r="V1979" s="115"/>
      <c r="W1979" s="115"/>
      <c r="X1979" s="115"/>
      <c r="Y1979" s="115"/>
      <c r="Z1979" s="115"/>
      <c r="AA1979" s="115"/>
      <c r="AB1979" s="115"/>
      <c r="AC1979" s="115"/>
      <c r="AD1979" s="115"/>
      <c r="AE1979" s="115"/>
      <c r="AF1979" s="115"/>
      <c r="AG1979" s="115"/>
      <c r="AH1979" s="115"/>
      <c r="AI1979" s="115"/>
      <c r="AJ1979" s="115"/>
      <c r="AK1979" s="115"/>
      <c r="AL1979" s="115"/>
      <c r="AM1979" s="115"/>
      <c r="AN1979" s="115"/>
      <c r="AO1979" s="115"/>
      <c r="AP1979" s="115"/>
      <c r="AQ1979" s="115"/>
      <c r="AR1979" s="115"/>
      <c r="AS1979" s="115"/>
      <c r="AT1979" s="115"/>
      <c r="AU1979" s="115"/>
      <c r="AV1979" s="115"/>
      <c r="AW1979" s="115"/>
      <c r="AX1979" s="115"/>
      <c r="AY1979" s="115"/>
      <c r="AZ1979" s="115"/>
      <c r="BA1979" s="115"/>
      <c r="BB1979" s="115"/>
      <c r="BC1979" s="115"/>
      <c r="BD1979" s="115"/>
      <c r="BE1979" s="115"/>
      <c r="BF1979" s="122"/>
      <c r="BG1979" s="122"/>
      <c r="BH1979" s="122"/>
      <c r="BI1979" s="115"/>
      <c r="BJ1979" s="115"/>
      <c r="BK1979" s="115"/>
      <c r="BL1979" s="115"/>
      <c r="BM1979" s="115"/>
      <c r="BN1979" s="115"/>
      <c r="BO1979" s="115"/>
      <c r="BP1979" s="115"/>
      <c r="BQ1979" s="115"/>
      <c r="BR1979" s="115"/>
      <c r="BS1979" s="115"/>
      <c r="BT1979" s="115"/>
      <c r="BU1979" s="115"/>
      <c r="BV1979" s="115"/>
      <c r="BW1979" s="26"/>
      <c r="BX1979" s="13"/>
    </row>
    <row r="1980" spans="1:76" x14ac:dyDescent="0.4">
      <c r="BW1980" s="26"/>
      <c r="BX1980" s="15"/>
    </row>
    <row r="1981" spans="1:76" x14ac:dyDescent="0.4">
      <c r="BW1981" s="26"/>
      <c r="BX1981" s="15"/>
    </row>
    <row r="1982" spans="1:76" x14ac:dyDescent="0.4">
      <c r="BW1982" s="26"/>
      <c r="BX1982" s="15"/>
    </row>
    <row r="1983" spans="1:76" x14ac:dyDescent="0.4">
      <c r="BW1983" s="26"/>
      <c r="BX1983" s="13"/>
    </row>
    <row r="1984" spans="1:76" x14ac:dyDescent="0.4">
      <c r="BW1984" s="26"/>
      <c r="BX1984" s="15"/>
    </row>
    <row r="1985" spans="2:76" x14ac:dyDescent="0.4">
      <c r="B1985" s="115"/>
      <c r="C1985" s="115"/>
      <c r="D1985" s="115"/>
      <c r="E1985" s="115"/>
      <c r="F1985" s="115"/>
      <c r="G1985" s="115"/>
      <c r="H1985" s="115"/>
      <c r="I1985" s="115"/>
      <c r="J1985" s="115"/>
      <c r="K1985" s="115"/>
      <c r="L1985" s="115"/>
      <c r="M1985" s="115"/>
      <c r="N1985" s="115"/>
      <c r="O1985" s="115"/>
      <c r="P1985" s="115"/>
      <c r="Q1985" s="115"/>
      <c r="R1985" s="115"/>
      <c r="S1985" s="115"/>
      <c r="T1985" s="115"/>
      <c r="U1985" s="115"/>
      <c r="V1985" s="115"/>
      <c r="W1985" s="115"/>
      <c r="X1985" s="115"/>
      <c r="Y1985" s="115"/>
      <c r="Z1985" s="115"/>
      <c r="AA1985" s="115"/>
      <c r="AB1985" s="115"/>
      <c r="AC1985" s="115"/>
      <c r="AD1985" s="115"/>
      <c r="AE1985" s="115"/>
      <c r="AF1985" s="115"/>
      <c r="AG1985" s="115"/>
      <c r="AH1985" s="115"/>
      <c r="AI1985" s="115"/>
      <c r="AJ1985" s="115"/>
      <c r="AK1985" s="115"/>
      <c r="AL1985" s="115"/>
      <c r="AM1985" s="115"/>
      <c r="AN1985" s="115"/>
      <c r="AO1985" s="115"/>
      <c r="AP1985" s="115"/>
      <c r="AQ1985" s="115"/>
      <c r="AR1985" s="115"/>
      <c r="AS1985" s="115"/>
      <c r="AT1985" s="115"/>
      <c r="AU1985" s="115"/>
      <c r="AV1985" s="115"/>
      <c r="AW1985" s="115"/>
      <c r="AX1985" s="115"/>
      <c r="AY1985" s="115"/>
      <c r="AZ1985" s="115"/>
      <c r="BA1985" s="115"/>
      <c r="BB1985" s="115"/>
      <c r="BC1985" s="115"/>
      <c r="BD1985" s="115"/>
      <c r="BE1985" s="115"/>
      <c r="BF1985" s="122"/>
      <c r="BG1985" s="122"/>
      <c r="BH1985" s="122"/>
      <c r="BI1985" s="115"/>
      <c r="BJ1985" s="115"/>
      <c r="BK1985" s="115"/>
      <c r="BL1985" s="115"/>
      <c r="BM1985" s="115"/>
      <c r="BN1985" s="115"/>
      <c r="BO1985" s="115"/>
      <c r="BP1985" s="115"/>
      <c r="BQ1985" s="115"/>
      <c r="BR1985" s="115"/>
      <c r="BS1985" s="115"/>
      <c r="BT1985" s="115"/>
      <c r="BU1985" s="115"/>
      <c r="BV1985" s="115"/>
      <c r="BW1985" s="17"/>
      <c r="BX1985" s="15"/>
    </row>
    <row r="1986" spans="2:76" x14ac:dyDescent="0.4">
      <c r="BW1986" s="26"/>
      <c r="BX1986" s="15"/>
    </row>
    <row r="1987" spans="2:76" x14ac:dyDescent="0.4">
      <c r="B1987" s="115"/>
      <c r="C1987" s="115"/>
      <c r="D1987" s="115"/>
      <c r="E1987" s="115"/>
      <c r="F1987" s="115"/>
      <c r="G1987" s="115"/>
      <c r="H1987" s="115"/>
      <c r="I1987" s="115"/>
      <c r="J1987" s="115"/>
      <c r="K1987" s="115"/>
      <c r="L1987" s="115"/>
      <c r="M1987" s="115"/>
      <c r="N1987" s="115"/>
      <c r="O1987" s="115"/>
      <c r="P1987" s="115"/>
      <c r="Q1987" s="115"/>
      <c r="R1987" s="115"/>
      <c r="S1987" s="115"/>
      <c r="T1987" s="115"/>
      <c r="U1987" s="115"/>
      <c r="V1987" s="115"/>
      <c r="W1987" s="115"/>
      <c r="X1987" s="115"/>
      <c r="Y1987" s="115"/>
      <c r="Z1987" s="115"/>
      <c r="AA1987" s="115"/>
      <c r="AB1987" s="115"/>
      <c r="AC1987" s="115"/>
      <c r="AD1987" s="115"/>
      <c r="AE1987" s="115"/>
      <c r="AF1987" s="115"/>
      <c r="AG1987" s="115"/>
      <c r="AH1987" s="115"/>
      <c r="AI1987" s="115"/>
      <c r="AJ1987" s="115"/>
      <c r="AK1987" s="115"/>
      <c r="AL1987" s="115"/>
      <c r="AM1987" s="115"/>
      <c r="AN1987" s="115"/>
      <c r="AO1987" s="115"/>
      <c r="AP1987" s="115"/>
      <c r="AQ1987" s="115"/>
      <c r="AR1987" s="115"/>
      <c r="AS1987" s="115"/>
      <c r="AT1987" s="115"/>
      <c r="AU1987" s="115"/>
      <c r="AV1987" s="115"/>
      <c r="AW1987" s="115"/>
      <c r="AX1987" s="115"/>
      <c r="AY1987" s="115"/>
      <c r="AZ1987" s="115"/>
      <c r="BA1987" s="115"/>
      <c r="BB1987" s="115"/>
      <c r="BC1987" s="115"/>
      <c r="BD1987" s="115"/>
      <c r="BE1987" s="115"/>
      <c r="BF1987" s="122"/>
      <c r="BG1987" s="122"/>
      <c r="BH1987" s="122"/>
      <c r="BI1987" s="115"/>
      <c r="BJ1987" s="115"/>
      <c r="BK1987" s="115"/>
      <c r="BL1987" s="115"/>
      <c r="BM1987" s="115"/>
      <c r="BN1987" s="115"/>
      <c r="BO1987" s="115"/>
      <c r="BP1987" s="115"/>
      <c r="BQ1987" s="115"/>
      <c r="BR1987" s="115"/>
      <c r="BS1987" s="115"/>
      <c r="BT1987" s="115"/>
      <c r="BU1987" s="115"/>
      <c r="BV1987" s="115"/>
      <c r="BW1987" s="17"/>
      <c r="BX1987" s="15"/>
    </row>
    <row r="1988" spans="2:76" x14ac:dyDescent="0.4">
      <c r="BW1988" s="26"/>
      <c r="BX1988" s="15"/>
    </row>
    <row r="1989" spans="2:76" x14ac:dyDescent="0.4">
      <c r="BW1989" s="26"/>
      <c r="BX1989" s="15"/>
    </row>
    <row r="1990" spans="2:76" x14ac:dyDescent="0.4">
      <c r="B1990" s="115"/>
      <c r="C1990" s="115"/>
      <c r="D1990" s="115"/>
      <c r="E1990" s="115"/>
      <c r="F1990" s="115"/>
      <c r="G1990" s="115"/>
      <c r="H1990" s="115"/>
      <c r="I1990" s="115"/>
      <c r="J1990" s="115"/>
      <c r="K1990" s="115"/>
      <c r="L1990" s="115"/>
      <c r="M1990" s="115"/>
      <c r="N1990" s="115"/>
      <c r="O1990" s="115"/>
      <c r="P1990" s="115"/>
      <c r="Q1990" s="115"/>
      <c r="R1990" s="115"/>
      <c r="S1990" s="115"/>
      <c r="T1990" s="115"/>
      <c r="U1990" s="115"/>
      <c r="V1990" s="115"/>
      <c r="W1990" s="115"/>
      <c r="X1990" s="115"/>
      <c r="Y1990" s="115"/>
      <c r="Z1990" s="115"/>
      <c r="AA1990" s="115"/>
      <c r="AB1990" s="115"/>
      <c r="AC1990" s="115"/>
      <c r="AD1990" s="115"/>
      <c r="AE1990" s="115"/>
      <c r="AF1990" s="115"/>
      <c r="AG1990" s="115"/>
      <c r="AH1990" s="115"/>
      <c r="AI1990" s="115"/>
      <c r="AJ1990" s="115"/>
      <c r="AK1990" s="115"/>
      <c r="AL1990" s="115"/>
      <c r="AM1990" s="115"/>
      <c r="AN1990" s="115"/>
      <c r="AO1990" s="115"/>
      <c r="AP1990" s="115"/>
      <c r="AQ1990" s="115"/>
      <c r="AR1990" s="115"/>
      <c r="AS1990" s="115"/>
      <c r="AT1990" s="115"/>
      <c r="AU1990" s="115"/>
      <c r="AV1990" s="115"/>
      <c r="AW1990" s="115"/>
      <c r="AX1990" s="115"/>
      <c r="AY1990" s="115"/>
      <c r="AZ1990" s="115"/>
      <c r="BA1990" s="115"/>
      <c r="BB1990" s="115"/>
      <c r="BC1990" s="115"/>
      <c r="BD1990" s="115"/>
      <c r="BE1990" s="115"/>
      <c r="BF1990" s="122"/>
      <c r="BG1990" s="122"/>
      <c r="BH1990" s="122"/>
      <c r="BI1990" s="115"/>
      <c r="BJ1990" s="115"/>
      <c r="BK1990" s="115"/>
      <c r="BL1990" s="115"/>
      <c r="BM1990" s="115"/>
      <c r="BN1990" s="115"/>
      <c r="BO1990" s="115"/>
      <c r="BP1990" s="115"/>
      <c r="BQ1990" s="115"/>
      <c r="BR1990" s="115"/>
      <c r="BS1990" s="115"/>
      <c r="BT1990" s="115"/>
      <c r="BU1990" s="115"/>
      <c r="BV1990" s="115"/>
      <c r="BW1990" s="17"/>
      <c r="BX1990" s="15"/>
    </row>
    <row r="1991" spans="2:76" x14ac:dyDescent="0.4">
      <c r="BW1991" s="26"/>
      <c r="BX1991" s="15"/>
    </row>
    <row r="1992" spans="2:76" x14ac:dyDescent="0.4">
      <c r="BW1992" s="26"/>
      <c r="BX1992" s="15"/>
    </row>
    <row r="1993" spans="2:76" x14ac:dyDescent="0.4">
      <c r="BW1993" s="26"/>
      <c r="BX1993" s="105"/>
    </row>
    <row r="1994" spans="2:76" x14ac:dyDescent="0.4">
      <c r="BW1994" s="26"/>
      <c r="BX1994" s="15"/>
    </row>
    <row r="1995" spans="2:76" x14ac:dyDescent="0.4">
      <c r="BW1995" s="26"/>
      <c r="BX1995" s="15"/>
    </row>
    <row r="1996" spans="2:76" x14ac:dyDescent="0.4">
      <c r="BW1996" s="26"/>
      <c r="BX1996" s="15"/>
    </row>
    <row r="1997" spans="2:76" x14ac:dyDescent="0.4">
      <c r="BW1997" s="26"/>
      <c r="BX1997" s="15"/>
    </row>
    <row r="1998" spans="2:76" x14ac:dyDescent="0.4">
      <c r="BW1998" s="26"/>
      <c r="BX1998" s="15"/>
    </row>
    <row r="1999" spans="2:76" x14ac:dyDescent="0.4">
      <c r="B1999" s="115"/>
      <c r="C1999" s="115"/>
      <c r="D1999" s="115"/>
      <c r="E1999" s="115"/>
      <c r="F1999" s="115"/>
      <c r="G1999" s="115"/>
      <c r="H1999" s="115"/>
      <c r="I1999" s="115"/>
      <c r="J1999" s="115"/>
      <c r="K1999" s="115"/>
      <c r="L1999" s="115"/>
      <c r="M1999" s="115"/>
      <c r="N1999" s="115"/>
      <c r="O1999" s="115"/>
      <c r="P1999" s="115"/>
      <c r="Q1999" s="115"/>
      <c r="R1999" s="115"/>
      <c r="S1999" s="115"/>
      <c r="T1999" s="115"/>
      <c r="U1999" s="115"/>
      <c r="V1999" s="115"/>
      <c r="W1999" s="115"/>
      <c r="X1999" s="115"/>
      <c r="Y1999" s="115"/>
      <c r="Z1999" s="115"/>
      <c r="AA1999" s="115"/>
      <c r="AB1999" s="115"/>
      <c r="AC1999" s="115"/>
      <c r="AD1999" s="115"/>
      <c r="AE1999" s="115"/>
      <c r="AF1999" s="115"/>
      <c r="AG1999" s="115"/>
      <c r="AH1999" s="115"/>
      <c r="AI1999" s="115"/>
      <c r="AJ1999" s="115"/>
      <c r="AK1999" s="115"/>
      <c r="AL1999" s="115"/>
      <c r="AM1999" s="115"/>
      <c r="AN1999" s="115"/>
      <c r="AO1999" s="115"/>
      <c r="AP1999" s="115"/>
      <c r="AQ1999" s="115"/>
      <c r="AR1999" s="115"/>
      <c r="AS1999" s="115"/>
      <c r="AT1999" s="115"/>
      <c r="AU1999" s="115"/>
      <c r="AV1999" s="115"/>
      <c r="AW1999" s="115"/>
      <c r="AX1999" s="115"/>
      <c r="AY1999" s="115"/>
      <c r="AZ1999" s="115"/>
      <c r="BA1999" s="115"/>
      <c r="BB1999" s="115"/>
      <c r="BC1999" s="115"/>
      <c r="BD1999" s="115"/>
      <c r="BE1999" s="115"/>
      <c r="BF1999" s="122"/>
      <c r="BG1999" s="122"/>
      <c r="BH1999" s="122"/>
      <c r="BI1999" s="115"/>
      <c r="BJ1999" s="115"/>
      <c r="BK1999" s="115"/>
      <c r="BL1999" s="115"/>
      <c r="BM1999" s="115"/>
      <c r="BN1999" s="115"/>
      <c r="BO1999" s="115"/>
      <c r="BP1999" s="115"/>
      <c r="BQ1999" s="115"/>
      <c r="BR1999" s="115"/>
      <c r="BS1999" s="115"/>
      <c r="BT1999" s="115"/>
      <c r="BU1999" s="115"/>
      <c r="BV1999" s="115"/>
      <c r="BW1999" s="119"/>
      <c r="BX1999" s="119"/>
    </row>
    <row r="2000" spans="2:76" x14ac:dyDescent="0.4">
      <c r="B2000" s="115"/>
      <c r="C2000" s="115"/>
      <c r="D2000" s="115"/>
      <c r="E2000" s="115"/>
      <c r="F2000" s="115"/>
      <c r="G2000" s="115"/>
      <c r="H2000" s="115"/>
      <c r="I2000" s="115"/>
      <c r="J2000" s="115"/>
      <c r="K2000" s="115"/>
      <c r="L2000" s="115"/>
      <c r="M2000" s="115"/>
      <c r="N2000" s="115"/>
      <c r="O2000" s="115"/>
      <c r="P2000" s="115"/>
      <c r="Q2000" s="115"/>
      <c r="R2000" s="115"/>
      <c r="S2000" s="115"/>
      <c r="T2000" s="115"/>
      <c r="U2000" s="115"/>
      <c r="V2000" s="115"/>
      <c r="W2000" s="115"/>
      <c r="X2000" s="115"/>
      <c r="Y2000" s="115"/>
      <c r="Z2000" s="115"/>
      <c r="AA2000" s="115"/>
      <c r="AB2000" s="115"/>
      <c r="AC2000" s="115"/>
      <c r="AD2000" s="115"/>
      <c r="AE2000" s="115"/>
      <c r="AF2000" s="115"/>
      <c r="AG2000" s="115"/>
      <c r="AH2000" s="115"/>
      <c r="AI2000" s="115"/>
      <c r="AJ2000" s="115"/>
      <c r="AK2000" s="115"/>
      <c r="AL2000" s="115"/>
      <c r="AM2000" s="115"/>
      <c r="AN2000" s="115"/>
      <c r="AO2000" s="115"/>
      <c r="AP2000" s="115"/>
      <c r="AQ2000" s="115"/>
      <c r="AR2000" s="115"/>
      <c r="AS2000" s="115"/>
      <c r="AT2000" s="115"/>
      <c r="AU2000" s="115"/>
      <c r="AV2000" s="115"/>
      <c r="AW2000" s="115"/>
      <c r="AX2000" s="115"/>
      <c r="AY2000" s="115"/>
      <c r="AZ2000" s="115"/>
      <c r="BA2000" s="115"/>
      <c r="BB2000" s="115"/>
      <c r="BC2000" s="115"/>
      <c r="BD2000" s="115"/>
      <c r="BE2000" s="115"/>
      <c r="BF2000" s="122"/>
      <c r="BG2000" s="122"/>
      <c r="BH2000" s="122"/>
      <c r="BI2000" s="115"/>
      <c r="BJ2000" s="115"/>
      <c r="BK2000" s="115"/>
      <c r="BL2000" s="115"/>
      <c r="BM2000" s="115"/>
      <c r="BN2000" s="115"/>
      <c r="BO2000" s="115"/>
      <c r="BP2000" s="115"/>
      <c r="BQ2000" s="115"/>
      <c r="BR2000" s="115"/>
      <c r="BS2000" s="115"/>
      <c r="BT2000" s="115"/>
      <c r="BU2000" s="115"/>
      <c r="BV2000" s="115"/>
      <c r="BW2000" s="119"/>
      <c r="BX2000" s="119"/>
    </row>
  </sheetData>
  <sortState xmlns:xlrd2="http://schemas.microsoft.com/office/spreadsheetml/2017/richdata2" ref="X2:Y209">
    <sortCondition ref="X2:X209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A3" zoomScaleNormal="100" workbookViewId="0">
      <selection sqref="A1:A1048576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85" t="s">
        <v>330</v>
      </c>
      <c r="B1" s="121"/>
      <c r="C1" s="121"/>
      <c r="D1" s="121"/>
      <c r="G1" s="120"/>
      <c r="H1" s="121"/>
      <c r="I1" s="121"/>
      <c r="J1" s="121"/>
    </row>
    <row r="2" spans="1:32" ht="19.5" x14ac:dyDescent="0.4">
      <c r="A2" s="85" t="s">
        <v>346</v>
      </c>
      <c r="B2" s="126"/>
      <c r="C2" s="126"/>
      <c r="D2" s="126"/>
      <c r="G2" s="118"/>
      <c r="H2" s="126"/>
      <c r="I2" s="126"/>
      <c r="J2" s="126"/>
      <c r="N2" s="127"/>
      <c r="O2" s="29"/>
      <c r="AE2" s="127"/>
      <c r="AF2" s="29"/>
    </row>
    <row r="3" spans="1:32" ht="19.5" x14ac:dyDescent="0.4">
      <c r="A3" s="85" t="s">
        <v>331</v>
      </c>
      <c r="B3" s="126"/>
      <c r="C3" s="126"/>
      <c r="D3" s="126"/>
      <c r="G3" s="125"/>
      <c r="H3" s="126"/>
      <c r="I3" s="126"/>
      <c r="J3" s="126"/>
      <c r="M3" s="115"/>
      <c r="N3" s="127"/>
      <c r="O3" s="29"/>
      <c r="AE3" s="127"/>
      <c r="AF3" s="29"/>
    </row>
    <row r="4" spans="1:32" ht="19.5" x14ac:dyDescent="0.4">
      <c r="A4" s="85" t="s">
        <v>332</v>
      </c>
      <c r="B4" s="126"/>
      <c r="C4" s="126"/>
      <c r="D4" s="126"/>
      <c r="G4" s="125"/>
      <c r="H4" s="126"/>
      <c r="I4" s="126"/>
      <c r="J4" s="126"/>
      <c r="L4" s="115"/>
      <c r="M4" s="115"/>
      <c r="N4" s="127"/>
      <c r="O4" s="29"/>
      <c r="AE4" s="127"/>
      <c r="AF4" s="29"/>
    </row>
    <row r="5" spans="1:32" ht="19.5" x14ac:dyDescent="0.4">
      <c r="A5" s="85" t="s">
        <v>333</v>
      </c>
      <c r="B5" s="126"/>
      <c r="C5" s="126"/>
      <c r="D5" s="126"/>
      <c r="G5" s="125"/>
      <c r="H5" s="126"/>
      <c r="I5" s="126"/>
      <c r="J5" s="126"/>
      <c r="L5" s="115"/>
      <c r="M5" s="115"/>
      <c r="N5" s="127"/>
      <c r="O5" s="29"/>
      <c r="AE5" s="127"/>
      <c r="AF5" s="29"/>
    </row>
    <row r="6" spans="1:32" ht="19.5" x14ac:dyDescent="0.4">
      <c r="A6" s="85" t="s">
        <v>334</v>
      </c>
      <c r="B6" s="126"/>
      <c r="C6" s="126"/>
      <c r="D6" s="126"/>
      <c r="G6" s="125"/>
      <c r="H6" s="126"/>
      <c r="I6" s="126"/>
      <c r="J6" s="126"/>
      <c r="K6" s="115"/>
      <c r="L6" s="115"/>
      <c r="M6" s="115"/>
      <c r="N6" s="127"/>
      <c r="O6" s="29"/>
      <c r="AE6" s="127"/>
      <c r="AF6" s="29"/>
    </row>
    <row r="7" spans="1:32" ht="19.5" x14ac:dyDescent="0.4">
      <c r="A7" s="85" t="s">
        <v>335</v>
      </c>
      <c r="B7" s="126"/>
      <c r="C7" s="126"/>
      <c r="D7" s="126"/>
      <c r="G7" s="125"/>
      <c r="H7" s="126"/>
      <c r="I7" s="126"/>
      <c r="J7" s="126"/>
      <c r="K7" s="115"/>
      <c r="L7" s="115"/>
      <c r="M7" s="115"/>
      <c r="N7" s="127"/>
      <c r="O7" s="29"/>
      <c r="AE7" s="127"/>
      <c r="AF7" s="29"/>
    </row>
    <row r="8" spans="1:32" ht="19.5" x14ac:dyDescent="0.4">
      <c r="A8" s="85" t="s">
        <v>242</v>
      </c>
      <c r="B8" s="126"/>
      <c r="C8" s="126"/>
      <c r="D8" s="126"/>
      <c r="G8" s="125"/>
      <c r="H8" s="126"/>
      <c r="I8" s="126"/>
      <c r="J8" s="126"/>
      <c r="K8" s="115"/>
      <c r="L8" s="115"/>
      <c r="M8" s="115"/>
      <c r="N8" s="127"/>
      <c r="O8" s="29"/>
      <c r="AE8" s="127"/>
      <c r="AF8" s="29"/>
    </row>
    <row r="9" spans="1:32" ht="19.5" x14ac:dyDescent="0.4">
      <c r="A9" s="85" t="s">
        <v>226</v>
      </c>
      <c r="B9" s="126"/>
      <c r="C9" s="126"/>
      <c r="D9" s="126"/>
      <c r="G9" s="125"/>
      <c r="H9" s="126"/>
      <c r="I9" s="126"/>
      <c r="J9" s="126"/>
      <c r="K9" s="115"/>
      <c r="L9" s="115"/>
      <c r="M9" s="115"/>
      <c r="N9" s="127"/>
      <c r="O9" s="29"/>
      <c r="AE9" s="127"/>
      <c r="AF9" s="29"/>
    </row>
    <row r="10" spans="1:32" ht="19.5" x14ac:dyDescent="0.4">
      <c r="A10" s="85" t="s">
        <v>345</v>
      </c>
      <c r="B10" s="126"/>
      <c r="C10" s="126"/>
      <c r="D10" s="126"/>
      <c r="G10" s="125"/>
      <c r="H10" s="126"/>
      <c r="I10" s="126"/>
      <c r="J10" s="126"/>
      <c r="K10" s="115"/>
      <c r="L10" s="115"/>
      <c r="M10" s="115"/>
      <c r="N10" s="127"/>
      <c r="O10" s="29"/>
      <c r="AE10" s="127"/>
      <c r="AF10" s="29"/>
    </row>
    <row r="11" spans="1:32" ht="19.5" x14ac:dyDescent="0.4">
      <c r="A11" s="85" t="s">
        <v>264</v>
      </c>
      <c r="B11" s="126"/>
      <c r="C11" s="126"/>
      <c r="D11" s="126"/>
      <c r="G11" s="125"/>
      <c r="H11" s="126"/>
      <c r="I11" s="126"/>
      <c r="J11" s="126"/>
      <c r="K11" s="115"/>
      <c r="L11" s="115"/>
      <c r="M11" s="115"/>
      <c r="N11" s="127"/>
      <c r="O11" s="29"/>
      <c r="AE11" s="127"/>
      <c r="AF11" s="29"/>
    </row>
    <row r="12" spans="1:32" ht="19.5" x14ac:dyDescent="0.4">
      <c r="A12" s="85" t="s">
        <v>336</v>
      </c>
      <c r="B12" s="126"/>
      <c r="C12" s="126"/>
      <c r="D12" s="126"/>
      <c r="G12" s="125"/>
      <c r="H12" s="126"/>
      <c r="I12" s="126"/>
      <c r="J12" s="126"/>
      <c r="N12" s="127"/>
      <c r="O12" s="29"/>
      <c r="AE12" s="127"/>
      <c r="AF12" s="29"/>
    </row>
    <row r="13" spans="1:32" ht="19.5" x14ac:dyDescent="0.4">
      <c r="A13" s="85" t="s">
        <v>358</v>
      </c>
      <c r="B13" s="126"/>
      <c r="C13" s="126"/>
      <c r="D13" s="126"/>
      <c r="G13" s="125"/>
      <c r="H13" s="126"/>
      <c r="I13" s="126"/>
      <c r="J13" s="126"/>
      <c r="L13" s="115"/>
      <c r="M13" s="115"/>
      <c r="N13" s="127"/>
      <c r="O13" s="29"/>
      <c r="AE13" s="127"/>
      <c r="AF13" s="29"/>
    </row>
    <row r="14" spans="1:32" ht="19.5" x14ac:dyDescent="0.4">
      <c r="A14" s="85" t="s">
        <v>265</v>
      </c>
      <c r="B14" s="126"/>
      <c r="C14" s="126"/>
      <c r="D14" s="126"/>
      <c r="G14" s="125"/>
      <c r="H14" s="126"/>
      <c r="I14" s="126"/>
      <c r="J14" s="126"/>
      <c r="K14" s="115"/>
      <c r="L14" s="115"/>
      <c r="M14" s="115"/>
      <c r="N14" s="127"/>
      <c r="O14" s="29"/>
      <c r="AE14" s="127"/>
      <c r="AF14" s="29"/>
    </row>
    <row r="15" spans="1:32" ht="19.5" x14ac:dyDescent="0.4">
      <c r="A15" s="85" t="s">
        <v>255</v>
      </c>
      <c r="B15" s="126"/>
      <c r="C15" s="126"/>
      <c r="D15" s="126"/>
      <c r="G15" s="125"/>
      <c r="H15" s="126"/>
      <c r="I15" s="126"/>
      <c r="J15" s="126"/>
      <c r="K15" s="115"/>
      <c r="L15" s="115"/>
      <c r="M15" s="115"/>
      <c r="N15" s="127"/>
      <c r="O15" s="29"/>
      <c r="AD15" s="115"/>
      <c r="AE15" s="29"/>
      <c r="AF15" s="29"/>
    </row>
    <row r="16" spans="1:32" ht="19.5" x14ac:dyDescent="0.4">
      <c r="A16" s="85" t="s">
        <v>256</v>
      </c>
      <c r="B16" s="126"/>
      <c r="C16" s="126"/>
      <c r="D16" s="126"/>
      <c r="G16" s="125"/>
      <c r="H16" s="126"/>
      <c r="I16" s="126"/>
      <c r="J16" s="126"/>
      <c r="K16" s="115"/>
      <c r="L16" s="115"/>
      <c r="M16" s="115"/>
      <c r="N16" s="127"/>
      <c r="O16" s="29"/>
      <c r="AD16" s="115"/>
      <c r="AE16" s="29"/>
      <c r="AF16" s="29"/>
    </row>
    <row r="17" spans="1:32" ht="19.5" x14ac:dyDescent="0.4">
      <c r="A17" s="85" t="s">
        <v>257</v>
      </c>
      <c r="B17" s="126"/>
      <c r="C17" s="126"/>
      <c r="D17" s="126"/>
      <c r="G17" s="125"/>
      <c r="H17" s="126"/>
      <c r="I17" s="126"/>
      <c r="J17" s="126"/>
      <c r="K17" s="115"/>
      <c r="L17" s="115"/>
      <c r="M17" s="115"/>
      <c r="N17" s="127"/>
      <c r="O17" s="29"/>
      <c r="AD17" s="115"/>
      <c r="AE17" s="29"/>
      <c r="AF17" s="29"/>
    </row>
    <row r="18" spans="1:32" ht="19.5" x14ac:dyDescent="0.4">
      <c r="A18" s="85" t="s">
        <v>258</v>
      </c>
      <c r="B18" s="126"/>
      <c r="C18" s="126"/>
      <c r="D18" s="126"/>
      <c r="G18" s="125"/>
      <c r="H18" s="126"/>
      <c r="I18" s="126"/>
      <c r="J18" s="126"/>
      <c r="K18" s="115"/>
      <c r="L18" s="115"/>
      <c r="M18" s="115"/>
      <c r="N18" s="127"/>
      <c r="O18" s="29"/>
      <c r="AD18" s="115"/>
      <c r="AE18" s="29"/>
      <c r="AF18" s="29"/>
    </row>
    <row r="19" spans="1:32" ht="19.5" x14ac:dyDescent="0.4">
      <c r="A19" s="85" t="s">
        <v>259</v>
      </c>
      <c r="B19" s="126"/>
      <c r="C19" s="126"/>
      <c r="D19" s="126"/>
      <c r="G19" s="125"/>
      <c r="H19" s="126"/>
      <c r="I19" s="126"/>
      <c r="J19" s="126"/>
      <c r="K19" s="115"/>
      <c r="L19" s="115"/>
      <c r="M19" s="115"/>
      <c r="N19" s="127"/>
      <c r="O19" s="29"/>
      <c r="AD19" s="115"/>
      <c r="AE19" s="29"/>
      <c r="AF19" s="29"/>
    </row>
    <row r="20" spans="1:32" ht="19.5" x14ac:dyDescent="0.4">
      <c r="A20" s="85" t="s">
        <v>260</v>
      </c>
      <c r="B20" s="126"/>
      <c r="C20" s="126"/>
      <c r="D20" s="126"/>
      <c r="G20" s="125"/>
      <c r="H20" s="126"/>
      <c r="I20" s="126"/>
      <c r="J20" s="126"/>
      <c r="K20" s="115"/>
      <c r="L20" s="115"/>
      <c r="M20" s="115"/>
      <c r="N20" s="127"/>
      <c r="O20" s="29"/>
      <c r="AD20" s="115"/>
      <c r="AE20" s="29"/>
      <c r="AF20" s="29"/>
    </row>
    <row r="21" spans="1:32" ht="19.5" x14ac:dyDescent="0.4">
      <c r="A21" s="85" t="s">
        <v>261</v>
      </c>
      <c r="B21" s="126"/>
      <c r="C21" s="126"/>
      <c r="D21" s="126"/>
      <c r="G21" s="125"/>
      <c r="H21" s="126"/>
      <c r="I21" s="126"/>
      <c r="J21" s="126"/>
      <c r="K21" s="115"/>
      <c r="L21" s="115"/>
      <c r="M21" s="115"/>
      <c r="N21" s="127"/>
      <c r="O21" s="29"/>
      <c r="AD21" s="115"/>
      <c r="AE21" s="29"/>
      <c r="AF21" s="29"/>
    </row>
    <row r="22" spans="1:32" ht="19.5" x14ac:dyDescent="0.4">
      <c r="A22" s="85" t="s">
        <v>262</v>
      </c>
      <c r="B22" s="126"/>
      <c r="C22" s="126"/>
      <c r="D22" s="126"/>
      <c r="G22" s="125"/>
      <c r="H22" s="126"/>
      <c r="I22" s="126"/>
      <c r="J22" s="126"/>
      <c r="K22" s="115"/>
      <c r="L22" s="115"/>
      <c r="M22" s="115"/>
      <c r="N22" s="127"/>
      <c r="O22" s="29"/>
      <c r="AD22" s="115"/>
      <c r="AE22" s="29"/>
      <c r="AF22" s="29"/>
    </row>
    <row r="23" spans="1:32" ht="19.5" x14ac:dyDescent="0.4">
      <c r="A23" s="85" t="s">
        <v>263</v>
      </c>
      <c r="B23" s="126"/>
      <c r="C23" s="126"/>
      <c r="D23" s="126"/>
      <c r="G23" s="125"/>
      <c r="H23" s="126"/>
      <c r="I23" s="126"/>
      <c r="J23" s="126"/>
      <c r="K23" s="115"/>
      <c r="L23" s="115"/>
      <c r="M23" s="115"/>
      <c r="N23" s="127"/>
      <c r="O23" s="29"/>
      <c r="AD23" s="115"/>
      <c r="AE23" s="29"/>
      <c r="AF23" s="29"/>
    </row>
    <row r="24" spans="1:32" ht="19.5" x14ac:dyDescent="0.4">
      <c r="A24" s="85" t="s">
        <v>244</v>
      </c>
      <c r="B24" s="126"/>
      <c r="C24" s="126"/>
      <c r="D24" s="126"/>
      <c r="G24" s="125"/>
      <c r="H24" s="126"/>
      <c r="I24" s="126"/>
      <c r="J24" s="126"/>
      <c r="K24" s="115"/>
      <c r="L24" s="115"/>
      <c r="M24" s="115"/>
      <c r="N24" s="127"/>
      <c r="O24" s="29"/>
      <c r="AD24" s="115"/>
      <c r="AE24" s="29"/>
      <c r="AF24" s="29"/>
    </row>
    <row r="25" spans="1:32" ht="19.5" x14ac:dyDescent="0.4">
      <c r="A25" s="85" t="s">
        <v>245</v>
      </c>
      <c r="B25" s="126"/>
      <c r="C25" s="126"/>
      <c r="D25" s="126"/>
      <c r="G25" s="125"/>
      <c r="H25" s="126"/>
      <c r="I25" s="126"/>
      <c r="J25" s="126"/>
      <c r="K25" s="115"/>
      <c r="L25" s="115"/>
      <c r="M25" s="115"/>
      <c r="N25" s="127"/>
      <c r="O25" s="29"/>
      <c r="AC25" s="115"/>
      <c r="AD25" s="115"/>
      <c r="AE25" s="127"/>
      <c r="AF25" s="29"/>
    </row>
    <row r="26" spans="1:32" ht="19.5" x14ac:dyDescent="0.4">
      <c r="A26" s="85" t="s">
        <v>281</v>
      </c>
      <c r="B26" s="126"/>
      <c r="C26" s="126"/>
      <c r="D26" s="126"/>
      <c r="G26" s="125"/>
      <c r="H26" s="126"/>
      <c r="I26" s="126"/>
      <c r="J26" s="126"/>
      <c r="K26" s="115"/>
      <c r="L26" s="115"/>
      <c r="M26" s="115"/>
      <c r="N26" s="127"/>
      <c r="O26" s="29"/>
      <c r="AC26" s="115"/>
      <c r="AD26" s="115"/>
      <c r="AE26" s="127"/>
      <c r="AF26" s="29"/>
    </row>
    <row r="27" spans="1:32" ht="19.5" x14ac:dyDescent="0.4">
      <c r="A27" s="85" t="s">
        <v>282</v>
      </c>
      <c r="B27" s="126"/>
      <c r="C27" s="126"/>
      <c r="D27" s="126"/>
      <c r="G27" s="125"/>
      <c r="H27" s="126"/>
      <c r="I27" s="126"/>
      <c r="J27" s="126"/>
      <c r="K27" s="115"/>
      <c r="L27" s="115"/>
      <c r="M27" s="115"/>
      <c r="N27" s="127"/>
      <c r="O27" s="29"/>
      <c r="AC27" s="115"/>
      <c r="AD27" s="115"/>
      <c r="AE27" s="127"/>
      <c r="AF27" s="29"/>
    </row>
    <row r="28" spans="1:32" ht="19.5" x14ac:dyDescent="0.4">
      <c r="A28" s="85" t="s">
        <v>283</v>
      </c>
      <c r="B28" s="126"/>
      <c r="C28" s="126"/>
      <c r="D28" s="126"/>
      <c r="H28" s="115"/>
      <c r="I28" s="115"/>
      <c r="J28" s="115"/>
      <c r="K28" s="115"/>
      <c r="L28" s="115"/>
      <c r="M28" s="115"/>
      <c r="N28" s="127"/>
      <c r="O28" s="29"/>
      <c r="AC28" s="115"/>
      <c r="AD28" s="115"/>
      <c r="AE28" s="127"/>
      <c r="AF28" s="29"/>
    </row>
    <row r="29" spans="1:32" ht="19.5" x14ac:dyDescent="0.4">
      <c r="A29" s="85" t="s">
        <v>284</v>
      </c>
      <c r="B29" s="126"/>
      <c r="C29" s="126"/>
      <c r="D29" s="126"/>
      <c r="H29" s="115"/>
      <c r="I29" s="115"/>
      <c r="J29" s="115"/>
      <c r="K29" s="115"/>
      <c r="L29" s="115"/>
      <c r="M29" s="115"/>
      <c r="N29" s="127"/>
      <c r="O29" s="29"/>
      <c r="AC29" s="115"/>
      <c r="AD29" s="115"/>
      <c r="AE29" s="127"/>
      <c r="AF29" s="29"/>
    </row>
    <row r="30" spans="1:32" ht="19.5" x14ac:dyDescent="0.4">
      <c r="A30" s="85" t="s">
        <v>199</v>
      </c>
      <c r="B30" s="126"/>
      <c r="C30" s="126"/>
      <c r="D30" s="126"/>
      <c r="H30" s="115"/>
      <c r="I30" s="115"/>
      <c r="J30" s="115"/>
      <c r="K30" s="115"/>
      <c r="L30" s="115"/>
      <c r="M30" s="115"/>
      <c r="N30" s="127"/>
      <c r="O30" s="29"/>
      <c r="AC30" s="115"/>
      <c r="AD30" s="115"/>
      <c r="AE30" s="127"/>
      <c r="AF30" s="29"/>
    </row>
    <row r="31" spans="1:32" ht="19.5" x14ac:dyDescent="0.4">
      <c r="A31" s="85" t="s">
        <v>285</v>
      </c>
      <c r="B31" s="126"/>
      <c r="C31" s="126"/>
      <c r="D31" s="126"/>
      <c r="H31" s="115"/>
      <c r="I31" s="115"/>
      <c r="J31" s="115"/>
      <c r="K31" s="115"/>
      <c r="L31" s="115"/>
      <c r="M31" s="115"/>
      <c r="N31" s="127"/>
      <c r="O31" s="29"/>
      <c r="AC31" s="115"/>
      <c r="AD31" s="115"/>
      <c r="AE31" s="29"/>
      <c r="AF31" s="29"/>
    </row>
    <row r="32" spans="1:32" ht="19.5" x14ac:dyDescent="0.4">
      <c r="A32" s="85" t="s">
        <v>297</v>
      </c>
      <c r="B32" s="126"/>
      <c r="C32" s="126"/>
      <c r="D32" s="126"/>
      <c r="H32" s="115"/>
      <c r="I32" s="115"/>
      <c r="J32" s="115"/>
      <c r="K32" s="115"/>
      <c r="L32" s="115"/>
      <c r="M32" s="115"/>
      <c r="N32" s="127"/>
      <c r="O32" s="29"/>
      <c r="AC32" s="115"/>
      <c r="AD32" s="115"/>
      <c r="AE32" s="29"/>
      <c r="AF32" s="29"/>
    </row>
    <row r="33" spans="1:32" ht="19.5" x14ac:dyDescent="0.4">
      <c r="A33" s="85" t="s">
        <v>227</v>
      </c>
      <c r="B33" s="126"/>
      <c r="C33" s="126"/>
      <c r="D33" s="126"/>
      <c r="H33" s="115"/>
      <c r="I33" s="115"/>
      <c r="J33" s="115"/>
      <c r="K33" s="115"/>
      <c r="L33" s="115"/>
      <c r="M33" s="115"/>
      <c r="N33" s="127"/>
      <c r="O33" s="29"/>
      <c r="AC33" s="115"/>
      <c r="AD33" s="115"/>
      <c r="AE33" s="29"/>
      <c r="AF33" s="29"/>
    </row>
    <row r="34" spans="1:32" ht="19.5" x14ac:dyDescent="0.4">
      <c r="A34" s="85" t="s">
        <v>266</v>
      </c>
      <c r="B34" s="126"/>
      <c r="C34" s="126"/>
      <c r="D34" s="126"/>
      <c r="H34" s="115"/>
      <c r="I34" s="115"/>
      <c r="J34" s="115"/>
      <c r="K34" s="115"/>
      <c r="L34" s="115"/>
      <c r="M34" s="115"/>
      <c r="N34" s="127"/>
      <c r="O34" s="29"/>
      <c r="AC34" s="115"/>
      <c r="AD34" s="115"/>
      <c r="AE34" s="29"/>
      <c r="AF34" s="29"/>
    </row>
    <row r="35" spans="1:32" ht="19.5" x14ac:dyDescent="0.4">
      <c r="A35" s="85" t="s">
        <v>286</v>
      </c>
      <c r="B35" s="126"/>
      <c r="C35" s="126"/>
      <c r="D35" s="126"/>
      <c r="H35" s="115"/>
      <c r="I35" s="115"/>
      <c r="J35" s="115"/>
      <c r="K35" s="115"/>
      <c r="L35" s="115"/>
      <c r="M35" s="115"/>
      <c r="N35" s="127"/>
      <c r="O35" s="29"/>
      <c r="AC35" s="115"/>
      <c r="AD35" s="115"/>
      <c r="AE35" s="29"/>
      <c r="AF35" s="29"/>
    </row>
    <row r="36" spans="1:32" ht="19.5" x14ac:dyDescent="0.4">
      <c r="A36" s="85" t="s">
        <v>246</v>
      </c>
      <c r="B36" s="126"/>
      <c r="C36" s="126"/>
      <c r="D36" s="126"/>
      <c r="H36" s="115"/>
      <c r="I36" s="115"/>
      <c r="J36" s="115"/>
      <c r="K36" s="115"/>
      <c r="L36" s="115"/>
      <c r="M36" s="115"/>
      <c r="N36" s="127"/>
      <c r="O36" s="29"/>
      <c r="AC36" s="115"/>
      <c r="AD36" s="115"/>
      <c r="AE36" s="29"/>
      <c r="AF36" s="29"/>
    </row>
    <row r="37" spans="1:32" ht="19.5" x14ac:dyDescent="0.4">
      <c r="A37" s="85" t="s">
        <v>209</v>
      </c>
      <c r="B37" s="126"/>
      <c r="C37" s="126"/>
      <c r="D37" s="126"/>
      <c r="H37" s="115"/>
      <c r="I37" s="115"/>
      <c r="J37" s="115"/>
      <c r="K37" s="115"/>
      <c r="L37" s="115"/>
      <c r="M37" s="115"/>
      <c r="N37" s="127"/>
      <c r="O37" s="29"/>
      <c r="AC37" s="115"/>
      <c r="AD37" s="115"/>
      <c r="AE37" s="29"/>
      <c r="AF37" s="29"/>
    </row>
    <row r="38" spans="1:32" ht="19.5" x14ac:dyDescent="0.4">
      <c r="A38" s="85" t="s">
        <v>287</v>
      </c>
      <c r="B38" s="126"/>
      <c r="C38" s="126"/>
      <c r="D38" s="126"/>
      <c r="H38" s="115"/>
      <c r="I38" s="115"/>
      <c r="J38" s="115"/>
      <c r="K38" s="115"/>
      <c r="L38" s="115"/>
      <c r="M38" s="115"/>
      <c r="N38" s="127"/>
      <c r="O38" s="29"/>
      <c r="AC38" s="115"/>
      <c r="AD38" s="115"/>
      <c r="AE38" s="29"/>
      <c r="AF38" s="29"/>
    </row>
    <row r="39" spans="1:32" ht="19.5" x14ac:dyDescent="0.4">
      <c r="A39" s="86" t="s">
        <v>288</v>
      </c>
      <c r="B39" s="126"/>
      <c r="C39" s="126"/>
      <c r="D39" s="126"/>
      <c r="H39" s="115"/>
      <c r="I39" s="115"/>
      <c r="J39" s="115"/>
      <c r="K39" s="115"/>
      <c r="L39" s="115"/>
      <c r="M39" s="115"/>
      <c r="N39" s="127"/>
      <c r="O39" s="29"/>
      <c r="AC39" s="115"/>
      <c r="AD39" s="115"/>
      <c r="AE39" s="29"/>
      <c r="AF39" s="29"/>
    </row>
    <row r="40" spans="1:32" ht="19.5" x14ac:dyDescent="0.4">
      <c r="A40" s="86" t="s">
        <v>247</v>
      </c>
      <c r="B40" s="126"/>
      <c r="C40" s="126"/>
      <c r="D40" s="126"/>
      <c r="H40" s="115"/>
      <c r="I40" s="115"/>
      <c r="J40" s="115"/>
      <c r="K40" s="115"/>
      <c r="L40" s="115"/>
      <c r="M40" s="115"/>
      <c r="N40" s="127"/>
      <c r="O40" s="29"/>
      <c r="AC40" s="115"/>
      <c r="AD40" s="115"/>
      <c r="AE40" s="29"/>
      <c r="AF40" s="29"/>
    </row>
    <row r="41" spans="1:32" ht="19.5" x14ac:dyDescent="0.4">
      <c r="A41" s="85" t="s">
        <v>210</v>
      </c>
      <c r="B41" s="126"/>
      <c r="C41" s="126"/>
      <c r="D41" s="126"/>
      <c r="H41" s="115"/>
      <c r="I41" s="115"/>
      <c r="J41" s="115"/>
      <c r="K41" s="115"/>
      <c r="L41" s="115"/>
      <c r="M41" s="115"/>
      <c r="N41" s="127"/>
      <c r="O41" s="29"/>
      <c r="AB41" s="115"/>
      <c r="AC41" s="115"/>
      <c r="AD41" s="115"/>
      <c r="AE41" s="127"/>
      <c r="AF41" s="29"/>
    </row>
    <row r="42" spans="1:32" ht="19.5" x14ac:dyDescent="0.4">
      <c r="A42" s="85" t="s">
        <v>201</v>
      </c>
      <c r="B42" s="126"/>
      <c r="C42" s="126"/>
      <c r="D42" s="126"/>
      <c r="H42" s="115"/>
      <c r="I42" s="115"/>
      <c r="J42" s="115"/>
      <c r="K42" s="115"/>
      <c r="L42" s="115"/>
      <c r="M42" s="115"/>
      <c r="N42" s="127"/>
      <c r="O42" s="29"/>
      <c r="AB42" s="115"/>
      <c r="AC42" s="115"/>
      <c r="AD42" s="115"/>
      <c r="AE42" s="127"/>
      <c r="AF42" s="29"/>
    </row>
    <row r="43" spans="1:32" ht="19.5" x14ac:dyDescent="0.4">
      <c r="A43" s="85" t="s">
        <v>202</v>
      </c>
      <c r="B43" s="126"/>
      <c r="C43" s="126"/>
      <c r="D43" s="126"/>
      <c r="H43" s="115"/>
      <c r="I43" s="115"/>
      <c r="J43" s="115"/>
      <c r="K43" s="115"/>
      <c r="L43" s="115"/>
      <c r="M43" s="115"/>
      <c r="N43" s="127"/>
      <c r="O43" s="29"/>
      <c r="AB43" s="115"/>
      <c r="AC43" s="115"/>
      <c r="AD43" s="115"/>
      <c r="AE43" s="127"/>
      <c r="AF43" s="29"/>
    </row>
    <row r="44" spans="1:32" ht="19.5" x14ac:dyDescent="0.4">
      <c r="A44" s="85" t="s">
        <v>203</v>
      </c>
      <c r="B44" s="126"/>
      <c r="C44" s="126"/>
      <c r="D44" s="126"/>
      <c r="H44" s="115"/>
      <c r="I44" s="115"/>
      <c r="J44" s="115"/>
      <c r="K44" s="115"/>
      <c r="L44" s="115"/>
      <c r="M44" s="115"/>
      <c r="N44" s="127"/>
      <c r="O44" s="29"/>
      <c r="AB44" s="115"/>
      <c r="AC44" s="115"/>
      <c r="AD44" s="115"/>
      <c r="AE44" s="127"/>
      <c r="AF44" s="29"/>
    </row>
    <row r="45" spans="1:32" ht="19.5" x14ac:dyDescent="0.4">
      <c r="A45" s="85" t="s">
        <v>204</v>
      </c>
      <c r="B45" s="126"/>
      <c r="C45" s="126"/>
      <c r="D45" s="126"/>
      <c r="H45" s="115"/>
      <c r="I45" s="115"/>
      <c r="J45" s="115"/>
      <c r="K45" s="115"/>
      <c r="L45" s="115"/>
      <c r="M45" s="115"/>
      <c r="N45" s="127"/>
      <c r="O45" s="29"/>
      <c r="AB45" s="115"/>
      <c r="AC45" s="115"/>
      <c r="AD45" s="115"/>
      <c r="AE45" s="127"/>
      <c r="AF45" s="29"/>
    </row>
    <row r="46" spans="1:32" ht="19.5" x14ac:dyDescent="0.4">
      <c r="A46" s="85" t="s">
        <v>205</v>
      </c>
      <c r="B46" s="126"/>
      <c r="C46" s="126"/>
      <c r="D46" s="126"/>
      <c r="H46" s="115"/>
      <c r="I46" s="115"/>
      <c r="J46" s="115"/>
      <c r="K46" s="115"/>
      <c r="L46" s="115"/>
      <c r="M46" s="115"/>
      <c r="N46" s="127"/>
      <c r="O46" s="29"/>
      <c r="AB46" s="115"/>
      <c r="AC46" s="115"/>
      <c r="AD46" s="115"/>
      <c r="AE46" s="127"/>
      <c r="AF46" s="29"/>
    </row>
    <row r="47" spans="1:32" ht="19.5" x14ac:dyDescent="0.4">
      <c r="A47" s="85" t="s">
        <v>206</v>
      </c>
      <c r="B47" s="126"/>
      <c r="C47" s="126"/>
      <c r="D47" s="126"/>
      <c r="H47" s="115"/>
      <c r="I47" s="115"/>
      <c r="J47" s="115"/>
      <c r="K47" s="115"/>
      <c r="L47" s="115"/>
      <c r="M47" s="115"/>
      <c r="N47" s="127"/>
      <c r="O47" s="29"/>
      <c r="AA47" s="115"/>
      <c r="AB47" s="115"/>
      <c r="AC47" s="115"/>
      <c r="AD47" s="115"/>
      <c r="AE47" s="127"/>
      <c r="AF47" s="29"/>
    </row>
    <row r="48" spans="1:32" ht="19.5" x14ac:dyDescent="0.4">
      <c r="A48" s="85" t="s">
        <v>207</v>
      </c>
      <c r="B48" s="126"/>
      <c r="C48" s="126"/>
      <c r="D48" s="126"/>
      <c r="H48" s="115"/>
      <c r="I48" s="115"/>
      <c r="J48" s="115"/>
      <c r="K48" s="115"/>
      <c r="L48" s="115"/>
      <c r="M48" s="115"/>
      <c r="N48" s="127"/>
      <c r="O48" s="29"/>
      <c r="AA48" s="115"/>
      <c r="AB48" s="115"/>
      <c r="AC48" s="115"/>
      <c r="AD48" s="115"/>
      <c r="AE48" s="127"/>
      <c r="AF48" s="29"/>
    </row>
    <row r="49" spans="1:32" ht="19.5" x14ac:dyDescent="0.4">
      <c r="A49" s="85" t="s">
        <v>208</v>
      </c>
      <c r="B49" s="126"/>
      <c r="C49" s="126"/>
      <c r="D49" s="126"/>
      <c r="H49" s="115"/>
      <c r="I49" s="115"/>
      <c r="J49" s="115"/>
      <c r="K49" s="115"/>
      <c r="L49" s="115"/>
      <c r="M49" s="115"/>
      <c r="N49" s="127"/>
      <c r="O49" s="29"/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85" t="s">
        <v>211</v>
      </c>
      <c r="B50" s="126"/>
      <c r="C50" s="126"/>
      <c r="D50" s="126"/>
      <c r="H50" s="115"/>
      <c r="I50" s="115"/>
      <c r="J50" s="115"/>
      <c r="K50" s="115"/>
      <c r="L50" s="115"/>
      <c r="M50" s="115"/>
      <c r="N50" s="127"/>
      <c r="O50" s="29"/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85" t="s">
        <v>228</v>
      </c>
      <c r="B51" s="126"/>
      <c r="C51" s="126"/>
      <c r="D51" s="126"/>
      <c r="H51" s="115"/>
      <c r="I51" s="115"/>
      <c r="J51" s="115"/>
      <c r="K51" s="115"/>
      <c r="L51" s="115"/>
      <c r="M51" s="115"/>
      <c r="N51" s="127"/>
      <c r="O51" s="29"/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85" t="s">
        <v>212</v>
      </c>
      <c r="B52" s="126"/>
      <c r="C52" s="126"/>
      <c r="D52" s="126"/>
      <c r="H52" s="115"/>
      <c r="I52" s="115"/>
      <c r="J52" s="115"/>
      <c r="K52" s="115"/>
      <c r="L52" s="115"/>
      <c r="M52" s="115"/>
      <c r="N52" s="127"/>
      <c r="O52" s="29"/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85" t="s">
        <v>213</v>
      </c>
      <c r="B53" s="126"/>
      <c r="C53" s="126"/>
      <c r="D53" s="126"/>
      <c r="H53" s="115"/>
      <c r="I53" s="115"/>
      <c r="J53" s="115"/>
      <c r="K53" s="115"/>
      <c r="L53" s="115"/>
      <c r="M53" s="115"/>
      <c r="N53" s="127"/>
      <c r="O53" s="29"/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85" t="s">
        <v>229</v>
      </c>
      <c r="B54" s="126"/>
      <c r="C54" s="126"/>
      <c r="D54" s="126"/>
      <c r="H54" s="115"/>
      <c r="I54" s="115"/>
      <c r="J54" s="115"/>
      <c r="K54" s="115"/>
      <c r="L54" s="115"/>
      <c r="M54" s="115"/>
      <c r="N54" s="127"/>
      <c r="O54" s="29"/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85" t="s">
        <v>230</v>
      </c>
      <c r="B55" s="126"/>
      <c r="C55" s="126"/>
      <c r="D55" s="126"/>
      <c r="H55" s="115"/>
      <c r="I55" s="115"/>
      <c r="J55" s="115"/>
      <c r="K55" s="115"/>
      <c r="L55" s="115"/>
      <c r="M55" s="115"/>
      <c r="N55" s="127"/>
      <c r="O55" s="29"/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85" t="s">
        <v>231</v>
      </c>
      <c r="B56" s="126"/>
      <c r="C56" s="126"/>
      <c r="D56" s="126"/>
      <c r="H56" s="115"/>
      <c r="I56" s="115"/>
      <c r="J56" s="115"/>
      <c r="K56" s="115"/>
      <c r="L56" s="115"/>
      <c r="M56" s="115"/>
      <c r="N56" s="127"/>
      <c r="O56" s="29"/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85" t="s">
        <v>267</v>
      </c>
      <c r="B57" s="126"/>
      <c r="C57" s="126"/>
      <c r="D57" s="126"/>
      <c r="H57" s="115"/>
      <c r="I57" s="115"/>
      <c r="J57" s="115"/>
      <c r="K57" s="115"/>
      <c r="L57" s="115"/>
      <c r="M57" s="115"/>
      <c r="N57" s="127"/>
      <c r="O57" s="29"/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85" t="s">
        <v>232</v>
      </c>
      <c r="B58" s="126"/>
      <c r="C58" s="126"/>
      <c r="D58" s="126"/>
      <c r="H58" s="115"/>
      <c r="I58" s="115"/>
      <c r="J58" s="115"/>
      <c r="K58" s="115"/>
      <c r="L58" s="115"/>
      <c r="M58" s="115"/>
      <c r="N58" s="127"/>
      <c r="O58" s="29"/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85" t="s">
        <v>215</v>
      </c>
      <c r="B59" s="126"/>
      <c r="C59" s="126"/>
      <c r="D59" s="126"/>
      <c r="H59" s="115"/>
      <c r="I59" s="115"/>
      <c r="J59" s="115"/>
      <c r="K59" s="115"/>
      <c r="L59" s="115"/>
      <c r="M59" s="115"/>
      <c r="N59" s="127"/>
      <c r="O59" s="29"/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85" t="s">
        <v>216</v>
      </c>
      <c r="B60" s="126"/>
      <c r="C60" s="126"/>
      <c r="D60" s="126"/>
      <c r="H60" s="115"/>
      <c r="I60" s="115"/>
      <c r="J60" s="115"/>
      <c r="K60" s="115"/>
      <c r="L60" s="115"/>
      <c r="M60" s="115"/>
      <c r="N60" s="127"/>
      <c r="O60" s="29"/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85" t="s">
        <v>248</v>
      </c>
      <c r="B61" s="126"/>
      <c r="C61" s="126"/>
      <c r="D61" s="126"/>
      <c r="H61" s="115"/>
      <c r="I61" s="115"/>
      <c r="J61" s="115"/>
      <c r="K61" s="115"/>
      <c r="L61" s="115"/>
      <c r="M61" s="115"/>
      <c r="N61" s="127"/>
      <c r="O61" s="29"/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85" t="s">
        <v>249</v>
      </c>
      <c r="B62" s="126"/>
      <c r="C62" s="126"/>
      <c r="D62" s="126"/>
      <c r="H62" s="115"/>
      <c r="I62" s="115"/>
      <c r="J62" s="115"/>
      <c r="K62" s="115"/>
      <c r="L62" s="115"/>
      <c r="M62" s="115"/>
      <c r="N62" s="127"/>
      <c r="O62" s="29"/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85" t="s">
        <v>289</v>
      </c>
      <c r="B63" s="126"/>
      <c r="C63" s="126"/>
      <c r="D63" s="126"/>
      <c r="H63" s="115"/>
      <c r="I63" s="115"/>
      <c r="J63" s="115"/>
      <c r="K63" s="115"/>
      <c r="L63" s="115"/>
      <c r="M63" s="115"/>
      <c r="N63" s="127"/>
      <c r="O63" s="29"/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85" t="s">
        <v>290</v>
      </c>
      <c r="B64" s="126"/>
      <c r="C64" s="126"/>
      <c r="D64" s="126"/>
      <c r="H64" s="115"/>
      <c r="I64" s="115"/>
      <c r="J64" s="115"/>
      <c r="K64" s="115"/>
      <c r="L64" s="115"/>
      <c r="M64" s="115"/>
      <c r="N64" s="127"/>
      <c r="O64" s="29"/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85" t="s">
        <v>291</v>
      </c>
      <c r="B65" s="126"/>
      <c r="C65" s="126"/>
      <c r="D65" s="126"/>
      <c r="H65" s="115"/>
      <c r="I65" s="115"/>
      <c r="J65" s="115"/>
      <c r="K65" s="115"/>
      <c r="L65" s="115"/>
      <c r="M65" s="115"/>
      <c r="N65" s="127"/>
      <c r="O65" s="29"/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85" t="s">
        <v>377</v>
      </c>
      <c r="B66" s="126"/>
      <c r="C66" s="126"/>
      <c r="D66" s="126"/>
      <c r="H66" s="115"/>
      <c r="I66" s="115"/>
      <c r="J66" s="115"/>
      <c r="K66" s="115"/>
      <c r="L66" s="115"/>
      <c r="M66" s="115"/>
      <c r="N66" s="127"/>
      <c r="O66" s="29"/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85" t="s">
        <v>292</v>
      </c>
      <c r="B67" s="126"/>
      <c r="C67" s="126"/>
      <c r="D67" s="126"/>
      <c r="H67" s="115"/>
      <c r="I67" s="115"/>
      <c r="J67" s="115"/>
      <c r="K67" s="115"/>
      <c r="L67" s="115"/>
      <c r="M67" s="115"/>
      <c r="N67" s="127"/>
      <c r="O67" s="29"/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85" t="s">
        <v>268</v>
      </c>
      <c r="B68" s="126"/>
      <c r="C68" s="126"/>
      <c r="D68" s="126"/>
      <c r="H68" s="115"/>
      <c r="I68" s="115"/>
      <c r="J68" s="115"/>
      <c r="K68" s="115"/>
      <c r="L68" s="115"/>
      <c r="M68" s="115"/>
      <c r="N68" s="127"/>
      <c r="O68" s="29"/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85" t="s">
        <v>269</v>
      </c>
      <c r="B69" s="126"/>
      <c r="C69" s="126"/>
      <c r="D69" s="126"/>
      <c r="H69" s="115"/>
      <c r="I69" s="115"/>
      <c r="J69" s="115"/>
      <c r="K69" s="115"/>
      <c r="L69" s="115"/>
      <c r="M69" s="115"/>
      <c r="N69" s="127"/>
      <c r="O69" s="29"/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85" t="s">
        <v>217</v>
      </c>
      <c r="B70" s="126"/>
      <c r="C70" s="126"/>
      <c r="D70" s="126"/>
      <c r="H70" s="115"/>
      <c r="I70" s="115"/>
      <c r="J70" s="115"/>
      <c r="K70" s="115"/>
      <c r="L70" s="115"/>
      <c r="M70" s="115"/>
      <c r="N70" s="127"/>
      <c r="O70" s="29"/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85" t="s">
        <v>293</v>
      </c>
      <c r="B71" s="126"/>
      <c r="C71" s="126"/>
      <c r="D71" s="126"/>
      <c r="H71" s="115"/>
      <c r="I71" s="115"/>
      <c r="J71" s="115"/>
      <c r="K71" s="115"/>
      <c r="L71" s="115"/>
      <c r="M71" s="115"/>
      <c r="N71" s="127"/>
      <c r="O71" s="29"/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85" t="s">
        <v>294</v>
      </c>
      <c r="B72" s="126"/>
      <c r="C72" s="126"/>
      <c r="D72" s="126"/>
      <c r="H72" s="115"/>
      <c r="I72" s="115"/>
      <c r="J72" s="115"/>
      <c r="K72" s="115"/>
      <c r="L72" s="115"/>
      <c r="M72" s="115"/>
      <c r="N72" s="127"/>
      <c r="O72" s="29"/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85" t="s">
        <v>295</v>
      </c>
      <c r="B73" s="126"/>
      <c r="C73" s="126"/>
      <c r="D73" s="126"/>
      <c r="H73" s="115"/>
      <c r="I73" s="115"/>
      <c r="J73" s="115"/>
      <c r="K73" s="115"/>
      <c r="L73" s="115"/>
      <c r="M73" s="115"/>
      <c r="N73" s="127"/>
      <c r="O73" s="127"/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85" t="s">
        <v>218</v>
      </c>
      <c r="B74" s="126"/>
      <c r="C74" s="126"/>
      <c r="D74" s="126"/>
      <c r="H74" s="115"/>
      <c r="I74" s="115"/>
      <c r="J74" s="115"/>
      <c r="K74" s="115"/>
      <c r="L74" s="115"/>
      <c r="M74" s="115"/>
      <c r="N74" s="127"/>
      <c r="O74" s="29"/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85" t="s">
        <v>219</v>
      </c>
      <c r="B75" s="126"/>
      <c r="C75" s="126"/>
      <c r="D75" s="126"/>
      <c r="H75" s="115"/>
      <c r="I75" s="115"/>
      <c r="J75" s="115"/>
      <c r="K75" s="115"/>
      <c r="L75" s="115"/>
      <c r="M75" s="115"/>
      <c r="N75" s="127"/>
      <c r="O75" s="29"/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85" t="s">
        <v>220</v>
      </c>
      <c r="B76" s="126"/>
      <c r="C76" s="126"/>
      <c r="D76" s="126"/>
      <c r="H76" s="115"/>
      <c r="I76" s="115"/>
      <c r="J76" s="115"/>
      <c r="K76" s="115"/>
      <c r="L76" s="115"/>
      <c r="M76" s="115"/>
      <c r="N76" s="127"/>
      <c r="O76" s="29"/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85" t="s">
        <v>221</v>
      </c>
      <c r="B77" s="126"/>
      <c r="C77" s="126"/>
      <c r="D77" s="126"/>
      <c r="H77" s="115"/>
      <c r="I77" s="115"/>
      <c r="J77" s="115"/>
      <c r="K77" s="115"/>
      <c r="L77" s="115"/>
      <c r="M77" s="115"/>
      <c r="N77" s="127"/>
      <c r="O77" s="29"/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85" t="s">
        <v>250</v>
      </c>
      <c r="B78" s="126"/>
      <c r="C78" s="126"/>
      <c r="D78" s="126"/>
      <c r="H78" s="115"/>
      <c r="I78" s="115"/>
      <c r="J78" s="115"/>
      <c r="K78" s="115"/>
      <c r="L78" s="115"/>
      <c r="M78" s="115"/>
      <c r="N78" s="127"/>
      <c r="O78" s="127"/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85" t="s">
        <v>222</v>
      </c>
      <c r="B79" s="126"/>
      <c r="C79" s="126"/>
      <c r="D79" s="126"/>
      <c r="H79" s="115"/>
      <c r="I79" s="115"/>
      <c r="J79" s="115"/>
      <c r="K79" s="115"/>
      <c r="L79" s="115"/>
      <c r="M79" s="115"/>
      <c r="N79" s="127"/>
      <c r="O79" s="127"/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85" t="s">
        <v>223</v>
      </c>
      <c r="B80" s="126"/>
      <c r="C80" s="126"/>
      <c r="D80" s="126"/>
      <c r="H80" s="115"/>
      <c r="I80" s="115"/>
      <c r="J80" s="115"/>
      <c r="K80" s="115"/>
      <c r="L80" s="115"/>
      <c r="M80" s="115"/>
      <c r="N80" s="127"/>
      <c r="O80" s="127"/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85" t="s">
        <v>224</v>
      </c>
      <c r="B81" s="126"/>
      <c r="C81" s="126"/>
      <c r="D81" s="126"/>
      <c r="H81" s="115"/>
      <c r="I81" s="115"/>
      <c r="J81" s="115"/>
      <c r="K81" s="115"/>
      <c r="L81" s="115"/>
      <c r="M81" s="115"/>
      <c r="N81" s="127"/>
      <c r="O81" s="127"/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85" t="s">
        <v>225</v>
      </c>
      <c r="B82" s="126"/>
      <c r="C82" s="126"/>
      <c r="D82" s="126"/>
      <c r="H82" s="115"/>
      <c r="I82" s="115"/>
      <c r="J82" s="115"/>
      <c r="K82" s="115"/>
      <c r="L82" s="115"/>
      <c r="M82" s="115"/>
      <c r="N82" s="127"/>
      <c r="O82" s="127"/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85" t="s">
        <v>359</v>
      </c>
      <c r="B83" s="126"/>
      <c r="C83" s="126"/>
      <c r="D83" s="126"/>
      <c r="H83" s="115"/>
      <c r="I83" s="115"/>
      <c r="J83" s="115"/>
      <c r="K83" s="115"/>
      <c r="L83" s="115"/>
      <c r="M83" s="115"/>
      <c r="N83" s="127"/>
      <c r="O83" s="127"/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85" t="s">
        <v>235</v>
      </c>
      <c r="B84" s="126"/>
      <c r="C84" s="126"/>
      <c r="D84" s="126"/>
      <c r="H84" s="115"/>
      <c r="I84" s="115"/>
      <c r="J84" s="115"/>
      <c r="K84" s="115"/>
      <c r="L84" s="115"/>
      <c r="M84" s="115"/>
      <c r="N84" s="127"/>
      <c r="O84" s="29"/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85" t="s">
        <v>236</v>
      </c>
      <c r="B85" s="126"/>
      <c r="C85" s="126"/>
      <c r="D85" s="126"/>
      <c r="H85" s="115"/>
      <c r="I85" s="115"/>
      <c r="J85" s="115"/>
      <c r="K85" s="115"/>
      <c r="L85" s="115"/>
      <c r="M85" s="115"/>
      <c r="N85" s="127"/>
      <c r="O85" s="29"/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85" t="s">
        <v>238</v>
      </c>
      <c r="B86" s="126"/>
      <c r="C86" s="126"/>
      <c r="D86" s="126"/>
      <c r="H86" s="115"/>
      <c r="I86" s="115"/>
      <c r="J86" s="115"/>
      <c r="K86" s="115"/>
      <c r="L86" s="115"/>
      <c r="M86" s="115"/>
      <c r="N86" s="127"/>
      <c r="O86" s="29"/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85" t="s">
        <v>360</v>
      </c>
      <c r="B87" s="126"/>
      <c r="C87" s="126"/>
      <c r="D87" s="126"/>
      <c r="H87" s="115"/>
      <c r="I87" s="115"/>
      <c r="J87" s="115"/>
      <c r="K87" s="115"/>
      <c r="L87" s="115"/>
      <c r="M87" s="115"/>
      <c r="N87" s="127"/>
      <c r="O87" s="29"/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85" t="s">
        <v>361</v>
      </c>
      <c r="B88" s="126"/>
      <c r="C88" s="126"/>
      <c r="D88" s="126"/>
      <c r="H88" s="115"/>
      <c r="I88" s="115"/>
      <c r="J88" s="115"/>
      <c r="K88" s="115"/>
      <c r="L88" s="115"/>
      <c r="M88" s="115"/>
      <c r="N88" s="127"/>
      <c r="O88" s="29"/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85" t="s">
        <v>362</v>
      </c>
      <c r="B89" s="126"/>
      <c r="C89" s="126"/>
      <c r="D89" s="126"/>
      <c r="H89" s="115"/>
      <c r="I89" s="115"/>
      <c r="J89" s="115"/>
      <c r="K89" s="115"/>
      <c r="L89" s="115"/>
      <c r="M89" s="115"/>
      <c r="N89" s="127"/>
      <c r="O89" s="29"/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85" t="s">
        <v>363</v>
      </c>
      <c r="B90" s="126"/>
      <c r="C90" s="126"/>
      <c r="D90" s="126"/>
      <c r="H90" s="115"/>
      <c r="I90" s="115"/>
      <c r="J90" s="115"/>
      <c r="K90" s="115"/>
      <c r="L90" s="115"/>
      <c r="M90" s="115"/>
      <c r="N90" s="127"/>
      <c r="O90" s="29"/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85" t="s">
        <v>239</v>
      </c>
      <c r="B91" s="126"/>
      <c r="C91" s="126"/>
      <c r="D91" s="126"/>
      <c r="H91" s="115"/>
      <c r="I91" s="115"/>
      <c r="J91" s="115"/>
      <c r="K91" s="115"/>
      <c r="L91" s="115"/>
      <c r="M91" s="115"/>
      <c r="N91" s="127"/>
      <c r="O91" s="29"/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85" t="s">
        <v>241</v>
      </c>
      <c r="B92" s="126"/>
      <c r="C92" s="126"/>
      <c r="D92" s="126"/>
      <c r="H92" s="115"/>
      <c r="I92" s="115"/>
      <c r="J92" s="115"/>
      <c r="K92" s="115"/>
      <c r="L92" s="115"/>
      <c r="M92" s="115"/>
      <c r="N92" s="127"/>
      <c r="O92" s="29"/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85" t="s">
        <v>252</v>
      </c>
      <c r="B93" s="126"/>
      <c r="C93" s="126"/>
      <c r="D93" s="126"/>
      <c r="H93" s="115"/>
      <c r="I93" s="115"/>
      <c r="J93" s="115"/>
      <c r="K93" s="115"/>
      <c r="L93" s="115"/>
      <c r="M93" s="115"/>
      <c r="N93" s="127"/>
      <c r="O93" s="29"/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85" t="s">
        <v>253</v>
      </c>
      <c r="B94" s="126"/>
      <c r="C94" s="126"/>
      <c r="D94" s="126"/>
      <c r="H94" s="115"/>
      <c r="I94" s="115"/>
      <c r="J94" s="115"/>
      <c r="K94" s="115"/>
      <c r="L94" s="115"/>
      <c r="M94" s="115"/>
      <c r="N94" s="127"/>
      <c r="O94" s="29"/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85" t="s">
        <v>372</v>
      </c>
      <c r="B95" s="126"/>
      <c r="C95" s="126"/>
      <c r="D95" s="126"/>
      <c r="H95" s="115"/>
      <c r="I95" s="115"/>
      <c r="J95" s="115"/>
      <c r="K95" s="115"/>
      <c r="L95" s="115"/>
      <c r="M95" s="115"/>
      <c r="N95" s="127"/>
      <c r="O95" s="29"/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85" t="s">
        <v>373</v>
      </c>
      <c r="B96" s="126"/>
      <c r="C96" s="126"/>
      <c r="D96" s="126"/>
      <c r="H96" s="115"/>
      <c r="I96" s="115"/>
      <c r="J96" s="115"/>
      <c r="K96" s="115"/>
      <c r="L96" s="115"/>
      <c r="M96" s="115"/>
      <c r="N96" s="127"/>
      <c r="O96" s="29"/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85" t="s">
        <v>374</v>
      </c>
      <c r="B97" s="126"/>
      <c r="C97" s="126"/>
      <c r="D97" s="126"/>
      <c r="H97" s="115"/>
      <c r="I97" s="115"/>
      <c r="J97" s="115"/>
      <c r="K97" s="115"/>
      <c r="L97" s="115"/>
      <c r="M97" s="115"/>
      <c r="N97" s="127"/>
      <c r="O97" s="29"/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85" t="s">
        <v>375</v>
      </c>
      <c r="B98" s="126"/>
      <c r="C98" s="126"/>
      <c r="D98" s="126"/>
      <c r="H98" s="115"/>
      <c r="I98" s="115"/>
      <c r="J98" s="115"/>
      <c r="K98" s="115"/>
      <c r="L98" s="115"/>
      <c r="M98" s="115"/>
      <c r="N98" s="127"/>
      <c r="O98" s="29"/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85" t="s">
        <v>378</v>
      </c>
      <c r="B99" s="126"/>
      <c r="C99" s="126"/>
      <c r="D99" s="126"/>
      <c r="H99" s="115"/>
      <c r="I99" s="115"/>
      <c r="J99" s="115"/>
      <c r="K99" s="115"/>
      <c r="L99" s="115"/>
      <c r="M99" s="115"/>
      <c r="N99" s="127"/>
      <c r="O99" s="29"/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85" t="s">
        <v>376</v>
      </c>
      <c r="B100" s="126"/>
      <c r="C100" s="126"/>
      <c r="D100" s="126"/>
      <c r="H100" s="115"/>
      <c r="I100" s="115"/>
      <c r="J100" s="115"/>
      <c r="K100" s="115"/>
      <c r="L100" s="115"/>
      <c r="M100" s="115"/>
      <c r="N100" s="127"/>
      <c r="O100" s="29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85" t="s">
        <v>270</v>
      </c>
      <c r="B101" s="126"/>
      <c r="C101" s="126"/>
      <c r="D101" s="126"/>
      <c r="H101" s="115"/>
      <c r="I101" s="115"/>
      <c r="J101" s="115"/>
      <c r="K101" s="115"/>
      <c r="L101" s="115"/>
      <c r="M101" s="115"/>
      <c r="N101" s="127"/>
      <c r="O101" s="29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85" t="s">
        <v>271</v>
      </c>
      <c r="B102" s="126"/>
      <c r="C102" s="126"/>
      <c r="D102" s="126"/>
      <c r="H102" s="115"/>
      <c r="I102" s="115"/>
      <c r="J102" s="115"/>
      <c r="K102" s="115"/>
      <c r="L102" s="115"/>
      <c r="M102" s="115"/>
      <c r="N102" s="127"/>
      <c r="O102" s="29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85" t="s">
        <v>273</v>
      </c>
      <c r="B103" s="126"/>
      <c r="C103" s="126"/>
      <c r="D103" s="126"/>
      <c r="H103" s="115"/>
      <c r="I103" s="115"/>
      <c r="J103" s="115"/>
      <c r="K103" s="115"/>
      <c r="L103" s="115"/>
      <c r="M103" s="115"/>
      <c r="N103" s="127"/>
      <c r="O103" s="29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85" t="s">
        <v>337</v>
      </c>
      <c r="B104" s="126"/>
      <c r="C104" s="126"/>
      <c r="D104" s="126"/>
      <c r="H104" s="115"/>
      <c r="I104" s="115"/>
      <c r="J104" s="115"/>
      <c r="K104" s="115"/>
      <c r="L104" s="115"/>
      <c r="M104" s="115"/>
      <c r="N104" s="127"/>
      <c r="O104" s="29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85" t="s">
        <v>298</v>
      </c>
      <c r="B105" s="126"/>
      <c r="C105" s="126"/>
      <c r="D105" s="126"/>
      <c r="H105" s="115"/>
      <c r="I105" s="115"/>
      <c r="J105" s="115"/>
      <c r="K105" s="115"/>
      <c r="L105" s="115"/>
      <c r="M105" s="115"/>
      <c r="N105" s="127"/>
      <c r="O105" s="29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85" t="s">
        <v>338</v>
      </c>
      <c r="B106" s="126"/>
      <c r="C106" s="126"/>
      <c r="D106" s="126"/>
      <c r="H106" s="115"/>
      <c r="I106" s="115"/>
      <c r="J106" s="115"/>
      <c r="K106" s="115"/>
      <c r="L106" s="115"/>
      <c r="M106" s="115"/>
      <c r="N106" s="127"/>
      <c r="O106" s="29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85" t="s">
        <v>339</v>
      </c>
      <c r="B107" s="126"/>
      <c r="C107" s="126"/>
      <c r="D107" s="126"/>
      <c r="H107" s="115"/>
      <c r="I107" s="115"/>
      <c r="J107" s="115"/>
      <c r="K107" s="115"/>
      <c r="L107" s="115"/>
      <c r="M107" s="115"/>
      <c r="N107" s="127"/>
      <c r="O107" s="29"/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85" t="s">
        <v>299</v>
      </c>
      <c r="B108" s="126"/>
      <c r="C108" s="126"/>
      <c r="D108" s="126"/>
      <c r="H108" s="115"/>
      <c r="I108" s="115"/>
      <c r="J108" s="115"/>
      <c r="K108" s="115"/>
      <c r="L108" s="115"/>
      <c r="M108" s="115"/>
      <c r="N108" s="127"/>
      <c r="O108" s="29"/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85" t="s">
        <v>300</v>
      </c>
      <c r="B109" s="126"/>
      <c r="C109" s="126"/>
      <c r="D109" s="126"/>
      <c r="H109" s="115"/>
      <c r="I109" s="115"/>
      <c r="J109" s="115"/>
      <c r="K109" s="115"/>
      <c r="L109" s="115"/>
      <c r="M109" s="115"/>
      <c r="N109" s="127"/>
      <c r="O109" s="29"/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85" t="s">
        <v>254</v>
      </c>
      <c r="B110" s="126"/>
      <c r="C110" s="126"/>
      <c r="D110" s="126"/>
      <c r="H110" s="115"/>
      <c r="I110" s="115"/>
      <c r="J110" s="115"/>
      <c r="K110" s="115"/>
      <c r="L110" s="115"/>
      <c r="M110" s="115"/>
      <c r="N110" s="127"/>
      <c r="O110" s="29"/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85" t="s">
        <v>347</v>
      </c>
      <c r="B111" s="126"/>
      <c r="C111" s="126"/>
      <c r="D111" s="126"/>
      <c r="H111" s="115"/>
      <c r="I111" s="115"/>
      <c r="J111" s="115"/>
      <c r="K111" s="115"/>
      <c r="L111" s="115"/>
      <c r="M111" s="115"/>
      <c r="N111" s="127"/>
      <c r="O111" s="29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85" t="s">
        <v>348</v>
      </c>
      <c r="B112" s="126"/>
      <c r="C112" s="126"/>
      <c r="D112" s="126"/>
      <c r="H112" s="115"/>
      <c r="I112" s="115"/>
      <c r="J112" s="115"/>
      <c r="K112" s="115"/>
      <c r="L112" s="115"/>
      <c r="M112" s="115"/>
      <c r="N112" s="127"/>
      <c r="O112" s="29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85" t="s">
        <v>296</v>
      </c>
      <c r="B113" s="126"/>
      <c r="C113" s="126"/>
      <c r="D113" s="126"/>
      <c r="H113" s="115"/>
      <c r="I113" s="115"/>
      <c r="J113" s="115"/>
      <c r="K113" s="115"/>
      <c r="L113" s="115"/>
      <c r="M113" s="115"/>
      <c r="N113" s="127"/>
      <c r="O113" s="29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85" t="s">
        <v>274</v>
      </c>
      <c r="B114" s="126"/>
      <c r="C114" s="126"/>
      <c r="D114" s="126"/>
      <c r="H114" s="115"/>
      <c r="I114" s="115"/>
      <c r="J114" s="115"/>
      <c r="K114" s="115"/>
      <c r="L114" s="115"/>
      <c r="M114" s="115"/>
      <c r="N114" s="127"/>
      <c r="O114" s="29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85" t="s">
        <v>275</v>
      </c>
      <c r="B115" s="126"/>
      <c r="C115" s="126"/>
      <c r="D115" s="126"/>
      <c r="H115" s="115"/>
      <c r="I115" s="115"/>
      <c r="J115" s="115"/>
      <c r="K115" s="115"/>
      <c r="L115" s="115"/>
      <c r="M115" s="115"/>
      <c r="N115" s="127"/>
      <c r="O115" s="29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85" t="s">
        <v>277</v>
      </c>
      <c r="B116" s="126"/>
      <c r="C116" s="126"/>
      <c r="D116" s="126"/>
      <c r="H116" s="115"/>
      <c r="I116" s="115"/>
      <c r="J116" s="115"/>
      <c r="K116" s="115"/>
      <c r="L116" s="115"/>
      <c r="M116" s="115"/>
      <c r="N116" s="127"/>
      <c r="O116" s="29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85" t="s">
        <v>276</v>
      </c>
      <c r="B117" s="126"/>
      <c r="C117" s="126"/>
      <c r="D117" s="126"/>
      <c r="H117" s="115"/>
      <c r="I117" s="115"/>
      <c r="J117" s="115"/>
      <c r="K117" s="115"/>
      <c r="L117" s="115"/>
      <c r="M117" s="115"/>
      <c r="N117" s="127"/>
      <c r="O117" s="29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85" t="s">
        <v>278</v>
      </c>
      <c r="B118" s="126"/>
      <c r="C118" s="126"/>
      <c r="D118" s="126"/>
      <c r="H118" s="115"/>
      <c r="I118" s="115"/>
      <c r="J118" s="115"/>
      <c r="K118" s="115"/>
      <c r="L118" s="115"/>
      <c r="M118" s="115"/>
      <c r="N118" s="127"/>
      <c r="O118" s="29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85" t="s">
        <v>279</v>
      </c>
      <c r="B119" s="126"/>
      <c r="C119" s="126"/>
      <c r="D119" s="126"/>
      <c r="H119" s="115"/>
      <c r="I119" s="115"/>
      <c r="J119" s="115"/>
      <c r="K119" s="115"/>
      <c r="L119" s="115"/>
      <c r="M119" s="115"/>
      <c r="N119" s="127"/>
      <c r="O119" s="29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85" t="s">
        <v>280</v>
      </c>
      <c r="B120" s="126"/>
      <c r="C120" s="126"/>
      <c r="D120" s="126"/>
      <c r="H120" s="115"/>
      <c r="I120" s="115"/>
      <c r="J120" s="115"/>
      <c r="K120" s="115"/>
      <c r="L120" s="115"/>
      <c r="M120" s="115"/>
      <c r="N120" s="127"/>
      <c r="O120" s="29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85" t="s">
        <v>379</v>
      </c>
      <c r="B121" s="126"/>
      <c r="C121" s="126"/>
      <c r="D121" s="126"/>
      <c r="H121" s="115"/>
      <c r="I121" s="115"/>
      <c r="J121" s="115"/>
      <c r="K121" s="115"/>
      <c r="L121" s="115"/>
      <c r="M121" s="115"/>
      <c r="N121" s="127"/>
      <c r="O121" s="29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85" t="s">
        <v>380</v>
      </c>
      <c r="B122" s="126"/>
      <c r="C122" s="126"/>
      <c r="D122" s="126"/>
      <c r="H122" s="115"/>
      <c r="I122" s="115"/>
      <c r="J122" s="115"/>
      <c r="K122" s="115"/>
      <c r="L122" s="115"/>
      <c r="M122" s="115"/>
      <c r="N122" s="127"/>
      <c r="O122" s="29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85" t="s">
        <v>381</v>
      </c>
      <c r="B123" s="126"/>
      <c r="C123" s="126"/>
      <c r="D123" s="126"/>
      <c r="H123" s="115"/>
      <c r="I123" s="115"/>
      <c r="J123" s="115"/>
      <c r="K123" s="115"/>
      <c r="L123" s="115"/>
      <c r="M123" s="115"/>
      <c r="N123" s="29"/>
      <c r="O123" s="29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85" t="s">
        <v>340</v>
      </c>
      <c r="B124" s="126"/>
      <c r="C124" s="126"/>
      <c r="D124" s="126"/>
      <c r="H124" s="115"/>
      <c r="I124" s="115"/>
      <c r="J124" s="115"/>
      <c r="K124" s="115"/>
      <c r="L124" s="115"/>
      <c r="M124" s="115"/>
      <c r="N124" s="127"/>
      <c r="O124" s="29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85" t="s">
        <v>341</v>
      </c>
      <c r="B125" s="126"/>
      <c r="C125" s="126"/>
      <c r="D125" s="126"/>
      <c r="H125" s="115"/>
      <c r="I125" s="115"/>
      <c r="J125" s="115"/>
      <c r="K125" s="115"/>
      <c r="L125" s="115"/>
      <c r="M125" s="115"/>
      <c r="N125" s="127"/>
      <c r="O125" s="29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85" t="s">
        <v>342</v>
      </c>
      <c r="B126" s="126"/>
      <c r="C126" s="126"/>
      <c r="D126" s="126"/>
      <c r="H126" s="115"/>
      <c r="I126" s="115"/>
      <c r="J126" s="115"/>
      <c r="K126" s="115"/>
      <c r="L126" s="115"/>
      <c r="M126" s="115"/>
      <c r="N126" s="127"/>
      <c r="O126" s="29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85" t="s">
        <v>382</v>
      </c>
      <c r="B127" s="126"/>
      <c r="C127" s="126"/>
      <c r="D127" s="126"/>
      <c r="H127" s="115"/>
      <c r="I127" s="115"/>
      <c r="J127" s="115"/>
      <c r="K127" s="115"/>
      <c r="L127" s="115"/>
      <c r="M127" s="115"/>
      <c r="N127" s="127"/>
      <c r="O127" s="29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85" t="s">
        <v>383</v>
      </c>
      <c r="B128" s="126"/>
      <c r="C128" s="126"/>
      <c r="D128" s="126"/>
      <c r="H128" s="115"/>
      <c r="I128" s="115"/>
      <c r="J128" s="115"/>
      <c r="K128" s="115"/>
      <c r="L128" s="115"/>
      <c r="M128" s="115"/>
      <c r="N128" s="127"/>
      <c r="O128" s="29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85" t="s">
        <v>314</v>
      </c>
      <c r="B129" s="126"/>
      <c r="C129" s="126"/>
      <c r="D129" s="126"/>
      <c r="H129" s="115"/>
      <c r="I129" s="115"/>
      <c r="J129" s="115"/>
      <c r="K129" s="115"/>
      <c r="L129" s="115"/>
      <c r="M129" s="115"/>
      <c r="N129" s="127"/>
      <c r="O129" s="29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85" t="s">
        <v>315</v>
      </c>
      <c r="B130" s="126"/>
      <c r="C130" s="126"/>
      <c r="D130" s="126"/>
      <c r="H130" s="115"/>
      <c r="I130" s="115"/>
      <c r="J130" s="115"/>
      <c r="K130" s="115"/>
      <c r="L130" s="115"/>
      <c r="M130" s="115"/>
      <c r="N130" s="29"/>
      <c r="O130" s="29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85" t="s">
        <v>364</v>
      </c>
      <c r="B131" s="126"/>
      <c r="C131" s="126"/>
      <c r="D131" s="126"/>
      <c r="H131" s="115"/>
      <c r="I131" s="115"/>
      <c r="J131" s="115"/>
      <c r="K131" s="115"/>
      <c r="L131" s="115"/>
      <c r="M131" s="115"/>
      <c r="N131" s="127"/>
      <c r="O131" s="29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85" t="s">
        <v>384</v>
      </c>
      <c r="B132" s="126"/>
      <c r="C132" s="126"/>
      <c r="D132" s="126"/>
      <c r="H132" s="115"/>
      <c r="I132" s="115"/>
      <c r="J132" s="115"/>
      <c r="K132" s="115"/>
      <c r="L132" s="115"/>
      <c r="M132" s="115"/>
      <c r="N132" s="127"/>
      <c r="O132" s="29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85" t="s">
        <v>385</v>
      </c>
      <c r="B133" s="126"/>
      <c r="C133" s="126"/>
      <c r="D133" s="126"/>
      <c r="H133" s="115"/>
      <c r="I133" s="115"/>
      <c r="J133" s="115"/>
      <c r="K133" s="115"/>
      <c r="L133" s="115"/>
      <c r="M133" s="115"/>
      <c r="N133" s="127"/>
      <c r="O133" s="29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85" t="s">
        <v>343</v>
      </c>
      <c r="B134" s="126"/>
      <c r="C134" s="126"/>
      <c r="D134" s="126"/>
      <c r="H134" s="115"/>
      <c r="I134" s="115"/>
      <c r="J134" s="115"/>
      <c r="K134" s="115"/>
      <c r="L134" s="115"/>
      <c r="M134" s="115"/>
      <c r="N134" s="127"/>
      <c r="O134" s="29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85" t="s">
        <v>344</v>
      </c>
      <c r="B135" s="126"/>
      <c r="C135" s="126"/>
      <c r="D135" s="126"/>
      <c r="H135" s="115"/>
      <c r="I135" s="115"/>
      <c r="J135" s="115"/>
      <c r="K135" s="115"/>
      <c r="L135" s="115"/>
      <c r="M135" s="115"/>
      <c r="N135" s="127"/>
      <c r="O135" s="29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85" t="s">
        <v>365</v>
      </c>
      <c r="B136" s="126"/>
      <c r="C136" s="126"/>
      <c r="D136" s="126"/>
      <c r="H136" s="115"/>
      <c r="I136" s="115"/>
      <c r="J136" s="115"/>
      <c r="K136" s="115"/>
      <c r="L136" s="115"/>
      <c r="M136" s="115"/>
      <c r="N136" s="127"/>
      <c r="O136" s="29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85" t="s">
        <v>366</v>
      </c>
      <c r="B137" s="126"/>
      <c r="C137" s="126"/>
      <c r="D137" s="126"/>
      <c r="H137" s="115"/>
      <c r="I137" s="115"/>
      <c r="J137" s="115"/>
      <c r="K137" s="115"/>
      <c r="L137" s="115"/>
      <c r="M137" s="115"/>
      <c r="N137" s="127"/>
      <c r="O137" s="29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85" t="s">
        <v>386</v>
      </c>
      <c r="B138" s="126"/>
      <c r="C138" s="126"/>
      <c r="D138" s="126"/>
      <c r="H138" s="115"/>
      <c r="I138" s="115"/>
      <c r="J138" s="115"/>
      <c r="K138" s="115"/>
      <c r="L138" s="115"/>
      <c r="M138" s="115"/>
      <c r="N138" s="127"/>
      <c r="O138" s="29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85" t="s">
        <v>387</v>
      </c>
      <c r="B139" s="126"/>
      <c r="C139" s="126"/>
      <c r="D139" s="126"/>
      <c r="H139" s="115"/>
      <c r="I139" s="115"/>
      <c r="J139" s="115"/>
      <c r="K139" s="115"/>
      <c r="L139" s="115"/>
      <c r="M139" s="115"/>
      <c r="N139" s="127"/>
      <c r="O139" s="29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85" t="s">
        <v>388</v>
      </c>
      <c r="B140" s="126"/>
      <c r="C140" s="126"/>
      <c r="D140" s="126"/>
      <c r="H140" s="115"/>
      <c r="I140" s="115"/>
      <c r="J140" s="115"/>
      <c r="K140" s="115"/>
      <c r="L140" s="115"/>
      <c r="M140" s="115"/>
      <c r="N140" s="127"/>
      <c r="O140" s="29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85" t="s">
        <v>389</v>
      </c>
      <c r="B141" s="126"/>
      <c r="C141" s="126"/>
      <c r="D141" s="126"/>
      <c r="H141" s="115"/>
      <c r="I141" s="115"/>
      <c r="J141" s="115"/>
      <c r="K141" s="115"/>
      <c r="L141" s="115"/>
      <c r="M141" s="115"/>
      <c r="N141" s="29"/>
      <c r="O141" s="29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85" t="s">
        <v>390</v>
      </c>
      <c r="B142" s="126"/>
      <c r="C142" s="126"/>
      <c r="D142" s="126"/>
      <c r="H142" s="115"/>
      <c r="I142" s="115"/>
      <c r="J142" s="115"/>
      <c r="K142" s="115"/>
      <c r="L142" s="115"/>
      <c r="M142" s="115"/>
      <c r="N142" s="127"/>
      <c r="O142" s="29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85" t="s">
        <v>391</v>
      </c>
      <c r="B143" s="126"/>
      <c r="C143" s="126"/>
      <c r="D143" s="126"/>
      <c r="H143" s="115"/>
      <c r="I143" s="115"/>
      <c r="J143" s="115"/>
      <c r="K143" s="115"/>
      <c r="L143" s="115"/>
      <c r="M143" s="115"/>
      <c r="N143" s="127"/>
      <c r="O143" s="29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85" t="s">
        <v>316</v>
      </c>
      <c r="B144" s="126"/>
      <c r="C144" s="126"/>
      <c r="D144" s="126"/>
      <c r="H144" s="115"/>
      <c r="I144" s="115"/>
      <c r="J144" s="115"/>
      <c r="K144" s="115"/>
      <c r="L144" s="115"/>
      <c r="M144" s="115"/>
      <c r="N144" s="127"/>
      <c r="O144" s="29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85" t="s">
        <v>317</v>
      </c>
      <c r="B145" s="126"/>
      <c r="C145" s="126"/>
      <c r="D145" s="126"/>
      <c r="H145" s="115"/>
      <c r="I145" s="115"/>
      <c r="J145" s="115"/>
      <c r="K145" s="115"/>
      <c r="L145" s="115"/>
      <c r="M145" s="115"/>
      <c r="N145" s="127"/>
      <c r="O145" s="29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85" t="s">
        <v>318</v>
      </c>
      <c r="B146" s="126"/>
      <c r="C146" s="126"/>
      <c r="D146" s="126"/>
      <c r="H146" s="115"/>
      <c r="I146" s="115"/>
      <c r="J146" s="115"/>
      <c r="K146" s="115"/>
      <c r="L146" s="115"/>
      <c r="M146" s="115"/>
      <c r="N146" s="29"/>
      <c r="O146" s="29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85" t="s">
        <v>320</v>
      </c>
      <c r="B147" s="126"/>
      <c r="C147" s="126"/>
      <c r="D147" s="126"/>
      <c r="H147" s="115"/>
      <c r="I147" s="115"/>
      <c r="J147" s="115"/>
      <c r="K147" s="115"/>
      <c r="L147" s="115"/>
      <c r="M147" s="115"/>
      <c r="N147" s="127"/>
      <c r="O147" s="29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85" t="s">
        <v>321</v>
      </c>
      <c r="B148" s="126"/>
      <c r="C148" s="126"/>
      <c r="D148" s="126"/>
      <c r="H148" s="115"/>
      <c r="I148" s="115"/>
      <c r="J148" s="115"/>
      <c r="K148" s="115"/>
      <c r="L148" s="115"/>
      <c r="M148" s="115"/>
      <c r="N148" s="29"/>
      <c r="O148" s="29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85" t="s">
        <v>322</v>
      </c>
      <c r="B149" s="126"/>
      <c r="C149" s="126"/>
      <c r="D149" s="126"/>
      <c r="H149" s="115"/>
      <c r="I149" s="115"/>
      <c r="J149" s="115"/>
      <c r="K149" s="115"/>
      <c r="L149" s="115"/>
      <c r="M149" s="115"/>
      <c r="N149" s="127"/>
      <c r="O149" s="29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85" t="s">
        <v>323</v>
      </c>
      <c r="B150" s="126"/>
      <c r="C150" s="126"/>
      <c r="D150" s="126"/>
      <c r="H150" s="115"/>
      <c r="I150" s="115"/>
      <c r="J150" s="115"/>
      <c r="K150" s="115"/>
      <c r="L150" s="115"/>
      <c r="M150" s="115"/>
      <c r="N150" s="127"/>
      <c r="O150" s="29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85" t="s">
        <v>324</v>
      </c>
      <c r="B151" s="126"/>
      <c r="C151" s="126"/>
      <c r="D151" s="126"/>
      <c r="H151" s="115"/>
      <c r="I151" s="115"/>
      <c r="J151" s="115"/>
      <c r="K151" s="115"/>
      <c r="L151" s="115"/>
      <c r="M151" s="115"/>
      <c r="N151" s="29"/>
      <c r="O151" s="29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85" t="s">
        <v>325</v>
      </c>
      <c r="B152" s="126"/>
      <c r="C152" s="126"/>
      <c r="D152" s="126"/>
      <c r="H152" s="115"/>
      <c r="I152" s="115"/>
      <c r="J152" s="115"/>
      <c r="K152" s="115"/>
      <c r="L152" s="115"/>
      <c r="M152" s="115"/>
      <c r="N152" s="127"/>
      <c r="O152" s="29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85" t="s">
        <v>326</v>
      </c>
      <c r="B153" s="126"/>
      <c r="C153" s="126"/>
      <c r="D153" s="126"/>
      <c r="H153" s="115"/>
      <c r="I153" s="115"/>
      <c r="J153" s="115"/>
      <c r="K153" s="115"/>
      <c r="L153" s="115"/>
      <c r="M153" s="115"/>
      <c r="N153" s="127"/>
      <c r="O153" s="29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85" t="s">
        <v>327</v>
      </c>
      <c r="B154" s="126"/>
      <c r="C154" s="126"/>
      <c r="D154" s="126"/>
      <c r="H154" s="115"/>
      <c r="I154" s="115"/>
      <c r="J154" s="115"/>
      <c r="K154" s="115"/>
      <c r="L154" s="115"/>
      <c r="M154" s="115"/>
      <c r="N154" s="127"/>
      <c r="O154" s="29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85" t="s">
        <v>328</v>
      </c>
      <c r="B155" s="126"/>
      <c r="C155" s="126"/>
      <c r="D155" s="126"/>
      <c r="H155" s="115"/>
      <c r="I155" s="115"/>
      <c r="J155" s="115"/>
      <c r="K155" s="115"/>
      <c r="L155" s="115"/>
      <c r="M155" s="115"/>
      <c r="N155" s="127"/>
      <c r="O155" s="29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85" t="s">
        <v>329</v>
      </c>
      <c r="B156" s="126"/>
      <c r="C156" s="126"/>
      <c r="D156" s="126"/>
      <c r="H156" s="115"/>
      <c r="I156" s="115"/>
      <c r="J156" s="115"/>
      <c r="K156" s="115"/>
      <c r="L156" s="115"/>
      <c r="M156" s="115"/>
      <c r="N156" s="127"/>
      <c r="O156" s="29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85" t="s">
        <v>301</v>
      </c>
      <c r="B157" s="126"/>
      <c r="C157" s="126"/>
      <c r="D157" s="126"/>
      <c r="H157" s="115"/>
      <c r="I157" s="115"/>
      <c r="J157" s="115"/>
      <c r="K157" s="115"/>
      <c r="L157" s="115"/>
      <c r="M157" s="115"/>
      <c r="N157" s="127"/>
      <c r="O157" s="29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85" t="s">
        <v>302</v>
      </c>
      <c r="B158" s="126"/>
      <c r="C158" s="126"/>
      <c r="D158" s="126"/>
      <c r="H158" s="115"/>
      <c r="I158" s="115"/>
      <c r="J158" s="115"/>
      <c r="K158" s="115"/>
      <c r="L158" s="115"/>
      <c r="M158" s="115"/>
      <c r="N158" s="127"/>
      <c r="O158" s="29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85" t="s">
        <v>303</v>
      </c>
      <c r="B159" s="126"/>
      <c r="C159" s="126"/>
      <c r="D159" s="126"/>
      <c r="H159" s="115"/>
      <c r="I159" s="115"/>
      <c r="J159" s="115"/>
      <c r="K159" s="115"/>
      <c r="L159" s="115"/>
      <c r="M159" s="115"/>
      <c r="N159" s="127"/>
      <c r="O159" s="29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85" t="s">
        <v>304</v>
      </c>
      <c r="B160" s="126"/>
      <c r="C160" s="126"/>
      <c r="D160" s="126"/>
      <c r="H160" s="115"/>
      <c r="I160" s="115"/>
      <c r="J160" s="115"/>
      <c r="K160" s="115"/>
      <c r="L160" s="115"/>
      <c r="M160" s="115"/>
      <c r="N160" s="29"/>
      <c r="O160" s="29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85" t="s">
        <v>305</v>
      </c>
      <c r="B161" s="126"/>
      <c r="C161" s="126"/>
      <c r="D161" s="126"/>
      <c r="H161" s="115"/>
      <c r="I161" s="115"/>
      <c r="J161" s="115"/>
      <c r="K161" s="115"/>
      <c r="L161" s="115"/>
      <c r="M161" s="115"/>
      <c r="N161" s="127"/>
      <c r="O161" s="29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85" t="s">
        <v>306</v>
      </c>
      <c r="B162" s="126"/>
      <c r="C162" s="126"/>
      <c r="D162" s="126"/>
      <c r="H162" s="115"/>
      <c r="I162" s="115"/>
      <c r="J162" s="115"/>
      <c r="K162" s="115"/>
      <c r="L162" s="115"/>
      <c r="M162" s="115"/>
      <c r="N162" s="127"/>
      <c r="O162" s="29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85" t="s">
        <v>307</v>
      </c>
      <c r="B163" s="126"/>
      <c r="C163" s="126"/>
      <c r="D163" s="126"/>
      <c r="H163" s="115"/>
      <c r="I163" s="115"/>
      <c r="J163" s="115"/>
      <c r="K163" s="115"/>
      <c r="L163" s="115"/>
      <c r="M163" s="115"/>
      <c r="N163" s="127"/>
      <c r="O163" s="29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85" t="s">
        <v>308</v>
      </c>
      <c r="B164" s="126"/>
      <c r="C164" s="126"/>
      <c r="D164" s="126"/>
      <c r="H164" s="115"/>
      <c r="I164" s="115"/>
      <c r="J164" s="115"/>
      <c r="K164" s="115"/>
      <c r="L164" s="115"/>
      <c r="M164" s="115"/>
      <c r="N164" s="29"/>
      <c r="O164" s="29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85" t="s">
        <v>309</v>
      </c>
      <c r="B165" s="126"/>
      <c r="C165" s="126"/>
      <c r="D165" s="126"/>
      <c r="H165" s="115"/>
      <c r="I165" s="115"/>
      <c r="J165" s="115"/>
      <c r="K165" s="115"/>
      <c r="L165" s="115"/>
      <c r="M165" s="115"/>
      <c r="N165" s="127"/>
      <c r="O165" s="29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85" t="s">
        <v>310</v>
      </c>
      <c r="B166" s="126"/>
      <c r="C166" s="126"/>
      <c r="D166" s="126"/>
      <c r="H166" s="115"/>
      <c r="I166" s="115"/>
      <c r="J166" s="115"/>
      <c r="K166" s="115"/>
      <c r="L166" s="115"/>
      <c r="M166" s="115"/>
      <c r="N166" s="29"/>
      <c r="O166" s="29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86" t="s">
        <v>311</v>
      </c>
      <c r="B167" s="126"/>
      <c r="C167" s="126"/>
      <c r="D167" s="126"/>
      <c r="H167" s="115"/>
      <c r="I167" s="115"/>
      <c r="J167" s="115"/>
      <c r="K167" s="115"/>
      <c r="L167" s="115"/>
      <c r="M167" s="115"/>
      <c r="N167" s="127"/>
      <c r="O167" s="29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86" t="s">
        <v>312</v>
      </c>
      <c r="B168" s="126"/>
      <c r="C168" s="126"/>
      <c r="D168" s="126"/>
      <c r="H168" s="115"/>
      <c r="I168" s="115"/>
      <c r="J168" s="115"/>
      <c r="K168" s="115"/>
      <c r="L168" s="115"/>
      <c r="M168" s="115"/>
      <c r="N168" s="127"/>
      <c r="O168" s="127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86" t="s">
        <v>349</v>
      </c>
      <c r="B169" s="126"/>
      <c r="C169" s="126"/>
      <c r="D169" s="126"/>
      <c r="H169" s="115"/>
      <c r="I169" s="115"/>
      <c r="J169" s="115"/>
      <c r="K169" s="115"/>
      <c r="L169" s="115"/>
      <c r="M169" s="115"/>
      <c r="N169" s="127"/>
      <c r="O169" s="127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86" t="s">
        <v>350</v>
      </c>
      <c r="B170" s="126"/>
      <c r="C170" s="126"/>
      <c r="D170" s="126"/>
      <c r="H170" s="115"/>
      <c r="I170" s="115"/>
      <c r="J170" s="115"/>
      <c r="K170" s="115"/>
      <c r="L170" s="115"/>
      <c r="M170" s="115"/>
      <c r="N170" s="127"/>
      <c r="O170" s="29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86" t="s">
        <v>352</v>
      </c>
      <c r="B171" s="126"/>
      <c r="C171" s="126"/>
      <c r="D171" s="126"/>
      <c r="H171" s="115"/>
      <c r="I171" s="115"/>
      <c r="J171" s="115"/>
      <c r="K171" s="115"/>
      <c r="L171" s="115"/>
      <c r="M171" s="115"/>
      <c r="N171" s="127"/>
      <c r="O171" s="29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86" t="s">
        <v>353</v>
      </c>
      <c r="B172" s="126"/>
      <c r="C172" s="126"/>
      <c r="D172" s="126"/>
      <c r="H172" s="115"/>
      <c r="I172" s="115"/>
      <c r="J172" s="115"/>
      <c r="K172" s="115"/>
      <c r="L172" s="115"/>
      <c r="M172" s="115"/>
      <c r="N172" s="127"/>
      <c r="O172" s="29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86" t="s">
        <v>354</v>
      </c>
      <c r="B173" s="126"/>
      <c r="C173" s="126"/>
      <c r="D173" s="126"/>
      <c r="H173" s="115"/>
      <c r="I173" s="115"/>
      <c r="J173" s="115"/>
      <c r="K173" s="115"/>
      <c r="L173" s="115"/>
      <c r="M173" s="115"/>
      <c r="N173" s="127"/>
      <c r="O173" s="29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86" t="s">
        <v>355</v>
      </c>
      <c r="B174" s="126"/>
      <c r="C174" s="126"/>
      <c r="D174" s="126"/>
      <c r="H174" s="115"/>
      <c r="I174" s="115"/>
      <c r="J174" s="115"/>
      <c r="K174" s="115"/>
      <c r="L174" s="115"/>
      <c r="M174" s="115"/>
      <c r="N174" s="127"/>
      <c r="O174" s="29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86" t="s">
        <v>356</v>
      </c>
      <c r="B175" s="126"/>
      <c r="C175" s="126"/>
      <c r="D175" s="126"/>
      <c r="H175" s="115"/>
      <c r="I175" s="115"/>
      <c r="J175" s="115"/>
      <c r="K175" s="115"/>
      <c r="L175" s="115"/>
      <c r="M175" s="115"/>
      <c r="N175" s="127"/>
      <c r="O175" s="29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86" t="s">
        <v>313</v>
      </c>
      <c r="B176" s="126"/>
      <c r="C176" s="126"/>
      <c r="D176" s="126"/>
      <c r="H176" s="115"/>
      <c r="I176" s="115"/>
      <c r="J176" s="115"/>
      <c r="K176" s="115"/>
      <c r="L176" s="115"/>
      <c r="M176" s="115"/>
      <c r="N176" s="127"/>
      <c r="O176" s="29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86" t="s">
        <v>357</v>
      </c>
      <c r="B177" s="126"/>
      <c r="C177" s="126"/>
      <c r="D177" s="126"/>
      <c r="H177" s="115"/>
      <c r="I177" s="115"/>
      <c r="J177" s="115"/>
      <c r="K177" s="115"/>
      <c r="L177" s="115"/>
      <c r="M177" s="115"/>
      <c r="N177" s="127"/>
      <c r="O177" s="29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86" t="s">
        <v>367</v>
      </c>
      <c r="B178" s="126"/>
      <c r="C178" s="126"/>
      <c r="D178" s="126"/>
      <c r="H178" s="115"/>
      <c r="I178" s="115"/>
      <c r="J178" s="115"/>
      <c r="K178" s="115"/>
      <c r="L178" s="115"/>
      <c r="M178" s="115"/>
      <c r="N178" s="127"/>
      <c r="O178" s="29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86" t="s">
        <v>368</v>
      </c>
      <c r="B179" s="126"/>
      <c r="C179" s="126"/>
      <c r="D179" s="126"/>
      <c r="H179" s="115"/>
      <c r="I179" s="115"/>
      <c r="J179" s="115"/>
      <c r="K179" s="115"/>
      <c r="L179" s="115"/>
      <c r="M179" s="115"/>
      <c r="N179" s="29"/>
      <c r="O179" s="29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86" t="s">
        <v>392</v>
      </c>
      <c r="B180" s="126"/>
      <c r="C180" s="126"/>
      <c r="D180" s="126"/>
      <c r="H180" s="115"/>
      <c r="I180" s="115"/>
      <c r="J180" s="115"/>
      <c r="K180" s="115"/>
      <c r="L180" s="115"/>
      <c r="M180" s="115"/>
      <c r="N180" s="127"/>
      <c r="O180" s="29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86" t="s">
        <v>369</v>
      </c>
      <c r="B181" s="126"/>
      <c r="C181" s="126"/>
      <c r="D181" s="126"/>
      <c r="H181" s="115"/>
      <c r="I181" s="115"/>
      <c r="J181" s="115"/>
      <c r="K181" s="115"/>
      <c r="L181" s="115"/>
      <c r="M181" s="115"/>
      <c r="N181" s="29"/>
      <c r="O181" s="29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86" t="s">
        <v>370</v>
      </c>
      <c r="B182" s="126"/>
      <c r="C182" s="126"/>
      <c r="D182" s="126"/>
      <c r="H182" s="115"/>
      <c r="I182" s="115"/>
      <c r="J182" s="115"/>
      <c r="K182" s="115"/>
      <c r="L182" s="115"/>
      <c r="M182" s="115"/>
      <c r="N182" s="127"/>
      <c r="O182" s="29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86" t="s">
        <v>371</v>
      </c>
      <c r="B183" s="126"/>
      <c r="C183" s="126"/>
      <c r="D183" s="126"/>
      <c r="H183" s="115"/>
      <c r="I183" s="115"/>
      <c r="J183" s="115"/>
      <c r="K183" s="115"/>
      <c r="L183" s="115"/>
      <c r="M183" s="115"/>
      <c r="N183" s="127"/>
      <c r="O183" s="29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25"/>
      <c r="B184" s="126"/>
      <c r="C184" s="126"/>
      <c r="D184" s="126"/>
      <c r="H184" s="115"/>
      <c r="I184" s="115"/>
      <c r="J184" s="115"/>
      <c r="K184" s="115"/>
      <c r="L184" s="115"/>
      <c r="M184" s="115"/>
      <c r="N184" s="127"/>
      <c r="O184" s="29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25"/>
      <c r="B185" s="126"/>
      <c r="C185" s="126"/>
      <c r="D185" s="126"/>
      <c r="H185" s="115"/>
      <c r="I185" s="115"/>
      <c r="J185" s="115"/>
      <c r="K185" s="115"/>
      <c r="L185" s="115"/>
      <c r="M185" s="115"/>
      <c r="N185" s="127"/>
      <c r="O185" s="29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25"/>
      <c r="B186" s="126"/>
      <c r="C186" s="126"/>
      <c r="D186" s="126"/>
      <c r="H186" s="115"/>
      <c r="I186" s="115"/>
      <c r="J186" s="115"/>
      <c r="K186" s="115"/>
      <c r="L186" s="115"/>
      <c r="M186" s="115"/>
      <c r="N186" s="29"/>
      <c r="O186" s="29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25"/>
      <c r="B187" s="126"/>
      <c r="C187" s="126"/>
      <c r="D187" s="126"/>
      <c r="H187" s="115"/>
      <c r="I187" s="115"/>
      <c r="J187" s="115"/>
      <c r="K187" s="115"/>
      <c r="L187" s="115"/>
      <c r="M187" s="115"/>
      <c r="N187" s="127"/>
      <c r="O187" s="29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25"/>
      <c r="B188" s="126"/>
      <c r="C188" s="126"/>
      <c r="D188" s="126"/>
      <c r="H188" s="115"/>
      <c r="I188" s="115"/>
      <c r="J188" s="115"/>
      <c r="K188" s="115"/>
      <c r="L188" s="115"/>
      <c r="M188" s="115"/>
      <c r="N188" s="29"/>
      <c r="O188" s="29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25"/>
      <c r="B189" s="126"/>
      <c r="C189" s="126"/>
      <c r="D189" s="126"/>
      <c r="H189" s="115"/>
      <c r="I189" s="115"/>
      <c r="J189" s="115"/>
      <c r="K189" s="115"/>
      <c r="L189" s="115"/>
      <c r="M189" s="115"/>
      <c r="N189" s="127"/>
      <c r="O189" s="29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25"/>
      <c r="B190" s="126"/>
      <c r="C190" s="126"/>
      <c r="D190" s="126"/>
      <c r="H190" s="115"/>
      <c r="I190" s="115"/>
      <c r="J190" s="115"/>
      <c r="K190" s="115"/>
      <c r="L190" s="115"/>
      <c r="M190" s="115"/>
      <c r="N190" s="29"/>
      <c r="O190" s="29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25"/>
      <c r="B191" s="126"/>
      <c r="C191" s="126"/>
      <c r="D191" s="126"/>
      <c r="H191" s="115"/>
      <c r="I191" s="115"/>
      <c r="J191" s="115"/>
      <c r="K191" s="115"/>
      <c r="L191" s="115"/>
      <c r="M191" s="115"/>
      <c r="N191" s="127"/>
      <c r="O191" s="29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25"/>
      <c r="B192" s="126"/>
      <c r="C192" s="126"/>
      <c r="D192" s="126"/>
      <c r="H192" s="115"/>
      <c r="I192" s="115"/>
      <c r="J192" s="115"/>
      <c r="K192" s="115"/>
      <c r="L192" s="115"/>
      <c r="M192" s="115"/>
      <c r="N192" s="127"/>
      <c r="O192" s="127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25"/>
      <c r="B193" s="126"/>
      <c r="C193" s="126"/>
      <c r="D193" s="126"/>
      <c r="H193" s="115"/>
      <c r="I193" s="115"/>
      <c r="J193" s="115"/>
      <c r="K193" s="115"/>
      <c r="L193" s="115"/>
      <c r="M193" s="115"/>
      <c r="N193" s="127"/>
      <c r="O193" s="127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25"/>
      <c r="B194" s="126"/>
      <c r="C194" s="126"/>
      <c r="D194" s="126"/>
      <c r="H194" s="115"/>
      <c r="I194" s="115"/>
      <c r="J194" s="115"/>
      <c r="K194" s="115"/>
      <c r="L194" s="115"/>
      <c r="M194" s="115"/>
      <c r="N194" s="127"/>
      <c r="O194" s="29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25"/>
      <c r="B195" s="126"/>
      <c r="C195" s="126"/>
      <c r="D195" s="126"/>
      <c r="H195" s="115"/>
      <c r="I195" s="115"/>
      <c r="J195" s="115"/>
      <c r="K195" s="115"/>
      <c r="L195" s="115"/>
      <c r="M195" s="115"/>
      <c r="N195" s="29"/>
      <c r="O195" s="29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25"/>
      <c r="B196" s="126"/>
      <c r="C196" s="126"/>
      <c r="D196" s="126"/>
      <c r="H196" s="115"/>
      <c r="I196" s="115"/>
      <c r="J196" s="115"/>
      <c r="K196" s="115"/>
      <c r="L196" s="115"/>
      <c r="M196" s="115"/>
      <c r="N196" s="29"/>
      <c r="O196" s="29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25"/>
      <c r="B197" s="126"/>
      <c r="C197" s="126"/>
      <c r="D197" s="126"/>
      <c r="H197" s="115"/>
      <c r="I197" s="115"/>
      <c r="J197" s="115"/>
      <c r="K197" s="115"/>
      <c r="L197" s="115"/>
      <c r="M197" s="115"/>
      <c r="N197" s="127"/>
      <c r="O197" s="29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25"/>
      <c r="B198" s="126"/>
      <c r="C198" s="126"/>
      <c r="D198" s="126"/>
      <c r="H198" s="115"/>
      <c r="I198" s="115"/>
      <c r="J198" s="115"/>
      <c r="K198" s="115"/>
      <c r="L198" s="115"/>
      <c r="M198" s="115"/>
      <c r="N198" s="29"/>
      <c r="O198" s="29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25"/>
      <c r="B199" s="126"/>
      <c r="C199" s="126"/>
      <c r="D199" s="126"/>
      <c r="H199" s="115"/>
      <c r="I199" s="115"/>
      <c r="J199" s="115"/>
      <c r="K199" s="115"/>
      <c r="L199" s="115"/>
      <c r="M199" s="115"/>
      <c r="N199" s="127"/>
      <c r="O199" s="29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25"/>
      <c r="B200" s="126"/>
      <c r="C200" s="126"/>
      <c r="D200" s="126"/>
      <c r="H200" s="115"/>
      <c r="I200" s="115"/>
      <c r="J200" s="115"/>
      <c r="K200" s="115"/>
      <c r="L200" s="115"/>
      <c r="M200" s="115"/>
      <c r="N200" s="127"/>
      <c r="O200" s="29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25"/>
      <c r="B201" s="126"/>
      <c r="C201" s="126"/>
      <c r="D201" s="126"/>
      <c r="H201" s="115"/>
      <c r="I201" s="115"/>
      <c r="J201" s="115"/>
      <c r="K201" s="115"/>
      <c r="L201" s="115"/>
      <c r="M201" s="115"/>
      <c r="N201" s="127"/>
      <c r="O201" s="29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25"/>
      <c r="B202" s="126"/>
      <c r="C202" s="126"/>
      <c r="D202" s="126"/>
      <c r="H202" s="115"/>
      <c r="I202" s="115"/>
      <c r="J202" s="115"/>
      <c r="K202" s="115"/>
      <c r="L202" s="115"/>
      <c r="M202" s="115"/>
      <c r="N202" s="127"/>
      <c r="O202" s="29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25"/>
      <c r="B203" s="126"/>
      <c r="C203" s="126"/>
      <c r="D203" s="126"/>
      <c r="H203" s="115"/>
      <c r="I203" s="115"/>
      <c r="J203" s="115"/>
      <c r="K203" s="115"/>
      <c r="L203" s="115"/>
      <c r="M203" s="115"/>
      <c r="N203" s="29"/>
      <c r="O203" s="29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25"/>
      <c r="B204" s="126"/>
      <c r="C204" s="126"/>
      <c r="D204" s="126"/>
      <c r="H204" s="115"/>
      <c r="I204" s="115"/>
      <c r="J204" s="115"/>
      <c r="K204" s="115"/>
      <c r="L204" s="115"/>
      <c r="M204" s="115"/>
      <c r="N204" s="127"/>
      <c r="O204" s="29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25"/>
      <c r="B205" s="126"/>
      <c r="C205" s="126"/>
      <c r="D205" s="126"/>
      <c r="H205" s="115"/>
      <c r="I205" s="115"/>
      <c r="J205" s="115"/>
      <c r="K205" s="115"/>
      <c r="L205" s="115"/>
      <c r="M205" s="115"/>
      <c r="N205" s="127"/>
      <c r="O205" s="29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25"/>
      <c r="B206" s="126"/>
      <c r="C206" s="126"/>
      <c r="D206" s="126"/>
      <c r="H206" s="115"/>
      <c r="I206" s="115"/>
      <c r="J206" s="115"/>
      <c r="K206" s="115"/>
      <c r="L206" s="115"/>
      <c r="M206" s="115"/>
      <c r="N206" s="127"/>
      <c r="O206" s="29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25"/>
      <c r="B207" s="126"/>
      <c r="C207" s="126"/>
      <c r="D207" s="126"/>
      <c r="H207" s="115"/>
      <c r="I207" s="115"/>
      <c r="J207" s="115"/>
      <c r="K207" s="115"/>
      <c r="L207" s="115"/>
      <c r="M207" s="115"/>
      <c r="N207" s="127"/>
      <c r="O207" s="29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25"/>
      <c r="B208" s="126"/>
      <c r="C208" s="126"/>
      <c r="D208" s="126"/>
      <c r="H208" s="115"/>
      <c r="I208" s="115"/>
      <c r="J208" s="115"/>
      <c r="K208" s="115"/>
      <c r="L208" s="115"/>
      <c r="M208" s="115"/>
      <c r="N208" s="127"/>
      <c r="O208" s="29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25"/>
      <c r="B209" s="126"/>
      <c r="C209" s="126"/>
      <c r="D209" s="126"/>
      <c r="H209" s="115"/>
      <c r="I209" s="115"/>
      <c r="J209" s="115"/>
      <c r="K209" s="115"/>
      <c r="L209" s="115"/>
      <c r="M209" s="115"/>
      <c r="N209" s="29"/>
      <c r="O209" s="29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25"/>
      <c r="B210" s="126"/>
      <c r="C210" s="126"/>
      <c r="D210" s="126"/>
      <c r="H210" s="115"/>
      <c r="I210" s="115"/>
      <c r="J210" s="115"/>
      <c r="K210" s="115"/>
      <c r="L210" s="115"/>
      <c r="M210" s="115"/>
      <c r="N210" s="127"/>
      <c r="O210" s="29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25"/>
      <c r="B211" s="126"/>
      <c r="C211" s="126"/>
      <c r="D211" s="126"/>
      <c r="H211" s="115"/>
      <c r="I211" s="115"/>
      <c r="J211" s="115"/>
      <c r="K211" s="115"/>
      <c r="L211" s="115"/>
      <c r="M211" s="115"/>
      <c r="N211" s="29"/>
      <c r="O211" s="29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25"/>
      <c r="B212" s="126"/>
      <c r="C212" s="126"/>
      <c r="D212" s="126"/>
      <c r="H212" s="115"/>
      <c r="I212" s="115"/>
      <c r="J212" s="115"/>
      <c r="K212" s="115"/>
      <c r="L212" s="115"/>
      <c r="M212" s="115"/>
      <c r="N212" s="29"/>
      <c r="O212" s="29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25"/>
      <c r="B213" s="126"/>
      <c r="C213" s="126"/>
      <c r="D213" s="126"/>
      <c r="H213" s="115"/>
      <c r="I213" s="115"/>
      <c r="J213" s="115"/>
      <c r="K213" s="115"/>
      <c r="L213" s="115"/>
      <c r="M213" s="115"/>
      <c r="N213" s="127"/>
      <c r="O213" s="29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25"/>
      <c r="B214" s="126"/>
      <c r="C214" s="126"/>
      <c r="D214" s="126"/>
      <c r="H214" s="115"/>
      <c r="I214" s="115"/>
      <c r="J214" s="115"/>
      <c r="K214" s="115"/>
      <c r="L214" s="115"/>
      <c r="M214" s="115"/>
      <c r="N214" s="127"/>
      <c r="O214" s="29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25"/>
      <c r="B215" s="126"/>
      <c r="C215" s="126"/>
      <c r="D215" s="126"/>
      <c r="H215" s="115"/>
      <c r="I215" s="115"/>
      <c r="J215" s="115"/>
      <c r="K215" s="115"/>
      <c r="L215" s="115"/>
      <c r="M215" s="115"/>
      <c r="N215" s="127"/>
      <c r="O215" s="29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25"/>
      <c r="B216" s="126"/>
      <c r="C216" s="126"/>
      <c r="D216" s="126"/>
      <c r="H216" s="115"/>
      <c r="I216" s="115"/>
      <c r="J216" s="115"/>
      <c r="K216" s="115"/>
      <c r="L216" s="115"/>
      <c r="M216" s="115"/>
      <c r="N216" s="127"/>
      <c r="O216" s="29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25"/>
      <c r="B217" s="126"/>
      <c r="C217" s="126"/>
      <c r="D217" s="126"/>
      <c r="H217" s="115"/>
      <c r="I217" s="115"/>
      <c r="J217" s="115"/>
      <c r="K217" s="115"/>
      <c r="L217" s="115"/>
      <c r="M217" s="115"/>
      <c r="N217" s="127"/>
      <c r="O217" s="29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25"/>
      <c r="B218" s="126"/>
      <c r="C218" s="126"/>
      <c r="D218" s="126"/>
      <c r="H218" s="115"/>
      <c r="I218" s="115"/>
      <c r="J218" s="115"/>
      <c r="K218" s="115"/>
      <c r="L218" s="115"/>
      <c r="M218" s="115"/>
      <c r="N218" s="127"/>
      <c r="O218" s="29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25"/>
      <c r="B219" s="126"/>
      <c r="C219" s="126"/>
      <c r="D219" s="126"/>
      <c r="H219" s="115"/>
      <c r="I219" s="115"/>
      <c r="J219" s="115"/>
      <c r="K219" s="115"/>
      <c r="L219" s="115"/>
      <c r="M219" s="115"/>
      <c r="N219" s="127"/>
      <c r="O219" s="29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25"/>
      <c r="B220" s="126"/>
      <c r="C220" s="126"/>
      <c r="D220" s="126"/>
      <c r="H220" s="115"/>
      <c r="I220" s="115"/>
      <c r="J220" s="115"/>
      <c r="K220" s="115"/>
      <c r="L220" s="115"/>
      <c r="M220" s="115"/>
      <c r="N220" s="127"/>
      <c r="O220" s="29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25"/>
      <c r="B221" s="126"/>
      <c r="C221" s="126"/>
      <c r="D221" s="126"/>
      <c r="H221" s="115"/>
      <c r="I221" s="115"/>
      <c r="J221" s="115"/>
      <c r="K221" s="115"/>
      <c r="L221" s="115"/>
      <c r="M221" s="115"/>
      <c r="N221" s="127"/>
      <c r="O221" s="29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25"/>
      <c r="B222" s="126"/>
      <c r="C222" s="126"/>
      <c r="D222" s="126"/>
      <c r="H222" s="115"/>
      <c r="I222" s="115"/>
      <c r="J222" s="115"/>
      <c r="K222" s="115"/>
      <c r="L222" s="115"/>
      <c r="M222" s="115"/>
      <c r="N222" s="29"/>
      <c r="O222" s="29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25"/>
      <c r="B223" s="126"/>
      <c r="C223" s="126"/>
      <c r="D223" s="126"/>
      <c r="H223" s="115"/>
      <c r="I223" s="115"/>
      <c r="J223" s="115"/>
      <c r="K223" s="115"/>
      <c r="L223" s="115"/>
      <c r="M223" s="115"/>
      <c r="N223" s="127"/>
      <c r="O223" s="29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25"/>
      <c r="B224" s="126"/>
      <c r="C224" s="126"/>
      <c r="D224" s="126"/>
      <c r="H224" s="115"/>
      <c r="I224" s="115"/>
      <c r="J224" s="115"/>
      <c r="K224" s="115"/>
      <c r="L224" s="115"/>
      <c r="M224" s="115"/>
      <c r="N224" s="29"/>
      <c r="O224" s="29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25"/>
      <c r="B225" s="126"/>
      <c r="C225" s="126"/>
      <c r="D225" s="126"/>
      <c r="H225" s="115"/>
      <c r="I225" s="115"/>
      <c r="J225" s="115"/>
      <c r="K225" s="115"/>
      <c r="L225" s="115"/>
      <c r="M225" s="115"/>
      <c r="N225" s="127"/>
      <c r="O225" s="29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25"/>
      <c r="B226" s="126"/>
      <c r="C226" s="126"/>
      <c r="D226" s="126"/>
      <c r="H226" s="115"/>
      <c r="I226" s="115"/>
      <c r="J226" s="115"/>
      <c r="K226" s="115"/>
      <c r="L226" s="115"/>
      <c r="M226" s="115"/>
      <c r="N226" s="127"/>
      <c r="O226" s="29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25"/>
      <c r="B227" s="126"/>
      <c r="C227" s="126"/>
      <c r="D227" s="126"/>
      <c r="H227" s="115"/>
      <c r="I227" s="115"/>
      <c r="J227" s="115"/>
      <c r="K227" s="115"/>
      <c r="L227" s="115"/>
      <c r="M227" s="115"/>
      <c r="N227" s="127"/>
      <c r="O227" s="29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25"/>
      <c r="B228" s="126"/>
      <c r="C228" s="126"/>
      <c r="D228" s="126"/>
      <c r="H228" s="115"/>
      <c r="I228" s="115"/>
      <c r="J228" s="115"/>
      <c r="K228" s="115"/>
      <c r="L228" s="115"/>
      <c r="M228" s="115"/>
      <c r="N228" s="127"/>
      <c r="O228" s="29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25"/>
      <c r="B229" s="126"/>
      <c r="C229" s="126"/>
      <c r="D229" s="126"/>
      <c r="H229" s="115"/>
      <c r="I229" s="115"/>
      <c r="J229" s="115"/>
      <c r="K229" s="115"/>
      <c r="L229" s="115"/>
      <c r="M229" s="115"/>
      <c r="N229" s="127"/>
      <c r="O229" s="29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25"/>
      <c r="B230" s="126"/>
      <c r="C230" s="126"/>
      <c r="D230" s="126"/>
      <c r="H230" s="115"/>
      <c r="I230" s="115"/>
      <c r="J230" s="115"/>
      <c r="K230" s="115"/>
      <c r="L230" s="115"/>
      <c r="M230" s="115"/>
      <c r="N230" s="127"/>
      <c r="O230" s="29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25"/>
      <c r="B231" s="126"/>
      <c r="C231" s="126"/>
      <c r="D231" s="126"/>
      <c r="H231" s="115"/>
      <c r="I231" s="115"/>
      <c r="J231" s="115"/>
      <c r="K231" s="115"/>
      <c r="L231" s="115"/>
      <c r="M231" s="115"/>
      <c r="N231" s="29"/>
      <c r="O231" s="29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25"/>
      <c r="B232" s="126"/>
      <c r="C232" s="126"/>
      <c r="D232" s="126"/>
      <c r="H232" s="115"/>
      <c r="I232" s="115"/>
      <c r="J232" s="115"/>
      <c r="K232" s="115"/>
      <c r="L232" s="115"/>
      <c r="M232" s="115"/>
      <c r="N232" s="127"/>
      <c r="O232" s="29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25"/>
      <c r="B233" s="126"/>
      <c r="C233" s="126"/>
      <c r="D233" s="126"/>
      <c r="H233" s="115"/>
      <c r="I233" s="115"/>
      <c r="J233" s="115"/>
      <c r="K233" s="115"/>
      <c r="L233" s="115"/>
      <c r="M233" s="115"/>
      <c r="N233" s="29"/>
      <c r="O233" s="29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25"/>
      <c r="B234" s="126"/>
      <c r="C234" s="126"/>
      <c r="D234" s="126"/>
      <c r="H234" s="115"/>
      <c r="I234" s="115"/>
      <c r="J234" s="115"/>
      <c r="K234" s="115"/>
      <c r="L234" s="115"/>
      <c r="M234" s="115"/>
      <c r="N234" s="127"/>
      <c r="O234" s="29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25"/>
      <c r="B235" s="126"/>
      <c r="C235" s="126"/>
      <c r="D235" s="126"/>
      <c r="H235" s="115"/>
      <c r="I235" s="115"/>
      <c r="J235" s="115"/>
      <c r="K235" s="115"/>
      <c r="L235" s="115"/>
      <c r="M235" s="115"/>
      <c r="N235" s="29"/>
      <c r="O235" s="29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25"/>
      <c r="B236" s="126"/>
      <c r="C236" s="126"/>
      <c r="D236" s="126"/>
      <c r="H236" s="115"/>
      <c r="I236" s="115"/>
      <c r="J236" s="115"/>
      <c r="K236" s="115"/>
      <c r="L236" s="115"/>
      <c r="M236" s="115"/>
      <c r="N236" s="127"/>
      <c r="O236" s="29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25"/>
      <c r="B237" s="126"/>
      <c r="C237" s="126"/>
      <c r="D237" s="126"/>
      <c r="H237" s="115"/>
      <c r="I237" s="115"/>
      <c r="J237" s="115"/>
      <c r="K237" s="115"/>
      <c r="L237" s="115"/>
      <c r="M237" s="115"/>
      <c r="N237" s="29"/>
      <c r="O237" s="29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25"/>
      <c r="B238" s="126"/>
      <c r="C238" s="126"/>
      <c r="D238" s="126"/>
      <c r="H238" s="115"/>
      <c r="I238" s="115"/>
      <c r="J238" s="115"/>
      <c r="K238" s="115"/>
      <c r="L238" s="115"/>
      <c r="M238" s="115"/>
      <c r="N238" s="29"/>
      <c r="O238" s="29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25"/>
      <c r="B239" s="126"/>
      <c r="C239" s="126"/>
      <c r="D239" s="126"/>
      <c r="H239" s="115"/>
      <c r="I239" s="115"/>
      <c r="J239" s="115"/>
      <c r="K239" s="115"/>
      <c r="L239" s="115"/>
      <c r="M239" s="115"/>
      <c r="N239" s="127"/>
      <c r="O239" s="29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25"/>
      <c r="B240" s="126"/>
      <c r="C240" s="126"/>
      <c r="D240" s="126"/>
      <c r="H240" s="115"/>
      <c r="I240" s="115"/>
      <c r="J240" s="115"/>
      <c r="K240" s="115"/>
      <c r="L240" s="115"/>
      <c r="M240" s="115"/>
      <c r="N240" s="127"/>
      <c r="O240" s="29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25"/>
      <c r="B241" s="126"/>
      <c r="C241" s="126"/>
      <c r="D241" s="126"/>
      <c r="H241" s="115"/>
      <c r="I241" s="115"/>
      <c r="J241" s="115"/>
      <c r="K241" s="115"/>
      <c r="L241" s="115"/>
      <c r="M241" s="115"/>
      <c r="N241" s="127"/>
      <c r="O241" s="29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25"/>
      <c r="B242" s="126"/>
      <c r="C242" s="126"/>
      <c r="D242" s="126"/>
      <c r="H242" s="115"/>
      <c r="I242" s="115"/>
      <c r="J242" s="115"/>
      <c r="K242" s="115"/>
      <c r="L242" s="115"/>
      <c r="M242" s="115"/>
      <c r="N242" s="127"/>
      <c r="O242" s="29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25"/>
      <c r="B243" s="126"/>
      <c r="C243" s="126"/>
      <c r="D243" s="126"/>
      <c r="H243" s="115"/>
      <c r="I243" s="115"/>
      <c r="J243" s="115"/>
      <c r="K243" s="115"/>
      <c r="L243" s="115"/>
      <c r="M243" s="115"/>
      <c r="N243" s="128"/>
      <c r="O243" s="29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25"/>
      <c r="B244" s="126"/>
      <c r="C244" s="126"/>
      <c r="D244" s="126"/>
      <c r="H244" s="115"/>
      <c r="I244" s="115"/>
      <c r="J244" s="115"/>
      <c r="K244" s="115"/>
      <c r="L244" s="115"/>
      <c r="M244" s="115"/>
      <c r="N244" s="127"/>
      <c r="O244" s="29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25"/>
      <c r="B245" s="126"/>
      <c r="C245" s="126"/>
      <c r="D245" s="126"/>
      <c r="H245" s="115"/>
      <c r="I245" s="115"/>
      <c r="J245" s="115"/>
      <c r="K245" s="115"/>
      <c r="L245" s="115"/>
      <c r="M245" s="115"/>
      <c r="N245" s="127"/>
      <c r="O245" s="29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25"/>
      <c r="B246" s="126"/>
      <c r="C246" s="126"/>
      <c r="D246" s="126"/>
      <c r="H246" s="115"/>
      <c r="I246" s="115"/>
      <c r="J246" s="115"/>
      <c r="K246" s="115"/>
      <c r="L246" s="115"/>
      <c r="M246" s="115"/>
      <c r="N246" s="128"/>
      <c r="O246" s="29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25"/>
      <c r="B247" s="126"/>
      <c r="C247" s="126"/>
      <c r="D247" s="126"/>
      <c r="H247" s="115"/>
      <c r="I247" s="115"/>
      <c r="J247" s="115"/>
      <c r="K247" s="115"/>
      <c r="L247" s="115"/>
      <c r="M247" s="115"/>
      <c r="N247" s="127"/>
      <c r="O247" s="29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25"/>
      <c r="B248" s="126"/>
      <c r="C248" s="126"/>
      <c r="D248" s="126"/>
      <c r="H248" s="115"/>
      <c r="I248" s="115"/>
      <c r="J248" s="115"/>
      <c r="K248" s="115"/>
      <c r="L248" s="115"/>
      <c r="M248" s="115"/>
      <c r="N248" s="127"/>
      <c r="O248" s="29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25"/>
      <c r="B249" s="126"/>
      <c r="C249" s="126"/>
      <c r="D249" s="126"/>
      <c r="H249" s="115"/>
      <c r="I249" s="115"/>
      <c r="J249" s="115"/>
      <c r="K249" s="115"/>
      <c r="L249" s="115"/>
      <c r="M249" s="115"/>
      <c r="N249" s="127"/>
      <c r="O249" s="29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25"/>
      <c r="B250" s="126"/>
      <c r="C250" s="126"/>
      <c r="D250" s="126"/>
      <c r="H250" s="115"/>
      <c r="I250" s="115"/>
      <c r="J250" s="115"/>
      <c r="K250" s="115"/>
      <c r="L250" s="115"/>
      <c r="M250" s="115"/>
      <c r="N250" s="128"/>
      <c r="O250" s="29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25"/>
      <c r="B251" s="126"/>
      <c r="C251" s="126"/>
      <c r="D251" s="126"/>
      <c r="H251" s="115"/>
      <c r="I251" s="115"/>
      <c r="J251" s="115"/>
      <c r="K251" s="115"/>
      <c r="L251" s="115"/>
      <c r="M251" s="115"/>
      <c r="N251" s="127"/>
      <c r="O251" s="29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25"/>
      <c r="B252" s="126"/>
      <c r="C252" s="126"/>
      <c r="D252" s="126"/>
      <c r="H252" s="115"/>
      <c r="I252" s="115"/>
      <c r="J252" s="115"/>
      <c r="K252" s="115"/>
      <c r="L252" s="115"/>
      <c r="M252" s="115"/>
      <c r="N252" s="127"/>
      <c r="O252" s="29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25"/>
      <c r="B253" s="126"/>
      <c r="C253" s="126"/>
      <c r="D253" s="126"/>
      <c r="H253" s="115"/>
      <c r="I253" s="115"/>
      <c r="J253" s="115"/>
      <c r="K253" s="115"/>
      <c r="L253" s="115"/>
      <c r="M253" s="115"/>
      <c r="N253" s="128"/>
      <c r="O253" s="29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25"/>
      <c r="B254" s="126"/>
      <c r="C254" s="126"/>
      <c r="D254" s="126"/>
      <c r="H254" s="115"/>
      <c r="I254" s="115"/>
      <c r="J254" s="115"/>
      <c r="K254" s="115"/>
      <c r="L254" s="115"/>
      <c r="M254" s="115"/>
      <c r="N254" s="127"/>
      <c r="O254" s="29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25"/>
      <c r="B255" s="126"/>
      <c r="C255" s="126"/>
      <c r="D255" s="126"/>
      <c r="N255" s="127"/>
      <c r="O255" s="29"/>
      <c r="AE255" s="127"/>
      <c r="AF255" s="29"/>
    </row>
    <row r="256" spans="1:32" ht="19.5" x14ac:dyDescent="0.4">
      <c r="A256" s="125"/>
      <c r="B256" s="126"/>
      <c r="C256" s="126"/>
      <c r="D256" s="126"/>
      <c r="H256" s="115"/>
      <c r="I256" s="115"/>
      <c r="J256" s="115"/>
      <c r="K256" s="115"/>
      <c r="L256" s="115"/>
      <c r="M256" s="115"/>
      <c r="N256" s="127"/>
      <c r="O256" s="29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25"/>
      <c r="B257" s="126"/>
      <c r="C257" s="126"/>
      <c r="D257" s="126"/>
      <c r="H257" s="115"/>
      <c r="I257" s="115"/>
      <c r="J257" s="115"/>
      <c r="K257" s="115"/>
      <c r="L257" s="115"/>
      <c r="M257" s="115"/>
      <c r="N257" s="127"/>
      <c r="O257" s="29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25"/>
      <c r="B258" s="126"/>
      <c r="C258" s="126"/>
      <c r="D258" s="126"/>
      <c r="H258" s="115"/>
      <c r="I258" s="115"/>
      <c r="J258" s="115"/>
      <c r="K258" s="115"/>
      <c r="L258" s="115"/>
      <c r="M258" s="115"/>
      <c r="N258" s="127"/>
      <c r="O258" s="29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25"/>
      <c r="B259" s="126"/>
      <c r="C259" s="126"/>
      <c r="D259" s="126"/>
      <c r="H259" s="115"/>
      <c r="I259" s="115"/>
      <c r="J259" s="115"/>
      <c r="K259" s="115"/>
      <c r="L259" s="115"/>
      <c r="M259" s="115"/>
      <c r="N259" s="127"/>
      <c r="O259" s="127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25"/>
      <c r="B260" s="126"/>
      <c r="C260" s="126"/>
      <c r="D260" s="126"/>
      <c r="H260" s="115"/>
      <c r="I260" s="115"/>
      <c r="J260" s="115"/>
      <c r="K260" s="115"/>
      <c r="L260" s="115"/>
      <c r="M260" s="115"/>
      <c r="N260" s="127"/>
      <c r="O260" s="29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25"/>
      <c r="B261" s="126"/>
      <c r="C261" s="126"/>
      <c r="D261" s="126"/>
      <c r="H261" s="115"/>
      <c r="I261" s="115"/>
      <c r="J261" s="115"/>
      <c r="K261" s="115"/>
      <c r="L261" s="115"/>
      <c r="M261" s="115"/>
      <c r="N261" s="127"/>
      <c r="O261" s="29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25"/>
      <c r="B262" s="126"/>
      <c r="C262" s="126"/>
      <c r="D262" s="126"/>
      <c r="H262" s="115"/>
      <c r="I262" s="115"/>
      <c r="J262" s="115"/>
      <c r="K262" s="115"/>
      <c r="L262" s="115"/>
      <c r="M262" s="115"/>
      <c r="N262" s="127"/>
      <c r="O262" s="29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25"/>
      <c r="B263" s="126"/>
      <c r="C263" s="126"/>
      <c r="D263" s="126"/>
      <c r="H263" s="115"/>
      <c r="I263" s="115"/>
      <c r="J263" s="115"/>
      <c r="K263" s="115"/>
      <c r="L263" s="115"/>
      <c r="M263" s="115"/>
      <c r="N263" s="127"/>
      <c r="O263" s="29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25"/>
      <c r="B264" s="126"/>
      <c r="C264" s="126"/>
      <c r="D264" s="126"/>
      <c r="H264" s="115"/>
      <c r="I264" s="115"/>
      <c r="J264" s="115"/>
      <c r="K264" s="115"/>
      <c r="L264" s="115"/>
      <c r="M264" s="115"/>
      <c r="N264" s="128"/>
      <c r="O264" s="29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25"/>
      <c r="B265" s="126"/>
      <c r="C265" s="126"/>
      <c r="D265" s="126"/>
      <c r="H265" s="115"/>
      <c r="I265" s="115"/>
      <c r="J265" s="115"/>
      <c r="K265" s="115"/>
      <c r="L265" s="115"/>
      <c r="M265" s="115"/>
      <c r="N265" s="127"/>
      <c r="O265" s="29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25"/>
      <c r="B266" s="126"/>
      <c r="C266" s="126"/>
      <c r="D266" s="126"/>
      <c r="N266" s="127"/>
      <c r="O266" s="29"/>
      <c r="AE266" s="127"/>
      <c r="AF266" s="29"/>
    </row>
    <row r="267" spans="1:32" ht="19.5" x14ac:dyDescent="0.4">
      <c r="A267" s="125"/>
      <c r="B267" s="126"/>
      <c r="C267" s="126"/>
      <c r="D267" s="126"/>
      <c r="H267" s="115"/>
      <c r="I267" s="115"/>
      <c r="J267" s="115"/>
      <c r="K267" s="115"/>
      <c r="L267" s="115"/>
      <c r="M267" s="115"/>
      <c r="N267" s="127"/>
      <c r="O267" s="29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25"/>
      <c r="B268" s="126"/>
      <c r="C268" s="126"/>
      <c r="D268" s="126"/>
      <c r="H268" s="115"/>
      <c r="I268" s="115"/>
      <c r="J268" s="115"/>
      <c r="K268" s="115"/>
      <c r="L268" s="115"/>
      <c r="M268" s="115"/>
      <c r="N268" s="127"/>
      <c r="O268" s="29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25"/>
      <c r="B269" s="126"/>
      <c r="C269" s="126"/>
      <c r="D269" s="126"/>
      <c r="H269" s="115"/>
      <c r="I269" s="115"/>
      <c r="J269" s="115"/>
      <c r="K269" s="115"/>
      <c r="L269" s="115"/>
      <c r="M269" s="115"/>
      <c r="N269" s="127"/>
      <c r="O269" s="29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25"/>
      <c r="B270" s="126"/>
      <c r="C270" s="126"/>
      <c r="D270" s="126"/>
      <c r="H270" s="115"/>
      <c r="I270" s="115"/>
      <c r="J270" s="115"/>
      <c r="K270" s="115"/>
      <c r="L270" s="115"/>
      <c r="M270" s="115"/>
      <c r="N270" s="127"/>
      <c r="O270" s="29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25"/>
      <c r="B271" s="126"/>
      <c r="C271" s="126"/>
      <c r="D271" s="126"/>
      <c r="H271" s="115"/>
      <c r="I271" s="115"/>
      <c r="J271" s="115"/>
      <c r="K271" s="115"/>
      <c r="L271" s="115"/>
      <c r="M271" s="115"/>
      <c r="N271" s="127"/>
      <c r="O271" s="29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25"/>
      <c r="B272" s="126"/>
      <c r="C272" s="126"/>
      <c r="D272" s="126"/>
      <c r="H272" s="115"/>
      <c r="I272" s="115"/>
      <c r="J272" s="115"/>
      <c r="K272" s="115"/>
      <c r="L272" s="115"/>
      <c r="M272" s="115"/>
      <c r="N272" s="128"/>
      <c r="O272" s="29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25"/>
      <c r="B273" s="126"/>
      <c r="C273" s="126"/>
      <c r="D273" s="126"/>
      <c r="H273" s="115"/>
      <c r="I273" s="115"/>
      <c r="J273" s="115"/>
      <c r="K273" s="115"/>
      <c r="L273" s="115"/>
      <c r="M273" s="115"/>
      <c r="N273" s="127"/>
      <c r="O273" s="29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25"/>
      <c r="B274" s="126"/>
      <c r="C274" s="126"/>
      <c r="D274" s="126"/>
      <c r="H274" s="115"/>
      <c r="I274" s="115"/>
      <c r="J274" s="115"/>
      <c r="K274" s="115"/>
      <c r="L274" s="115"/>
      <c r="M274" s="115"/>
      <c r="N274" s="127"/>
      <c r="O274" s="29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25"/>
      <c r="B275" s="126"/>
      <c r="C275" s="126"/>
      <c r="D275" s="126"/>
      <c r="H275" s="115"/>
      <c r="I275" s="115"/>
      <c r="J275" s="115"/>
      <c r="K275" s="115"/>
      <c r="L275" s="115"/>
      <c r="M275" s="115"/>
      <c r="N275" s="128"/>
      <c r="O275" s="29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25"/>
      <c r="B276" s="126"/>
      <c r="C276" s="126"/>
      <c r="D276" s="126"/>
      <c r="H276" s="115"/>
      <c r="I276" s="115"/>
      <c r="J276" s="115"/>
      <c r="K276" s="115"/>
      <c r="L276" s="115"/>
      <c r="M276" s="115"/>
      <c r="N276" s="127"/>
      <c r="O276" s="29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25"/>
      <c r="B277" s="126"/>
      <c r="C277" s="126"/>
      <c r="D277" s="126"/>
      <c r="H277" s="115"/>
      <c r="I277" s="115"/>
      <c r="J277" s="115"/>
      <c r="K277" s="115"/>
      <c r="L277" s="115"/>
      <c r="M277" s="115"/>
      <c r="N277" s="127"/>
      <c r="O277" s="29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25"/>
      <c r="B278" s="126"/>
      <c r="C278" s="126"/>
      <c r="D278" s="126"/>
      <c r="H278" s="115"/>
      <c r="I278" s="115"/>
      <c r="J278" s="115"/>
      <c r="K278" s="115"/>
      <c r="L278" s="115"/>
      <c r="M278" s="115"/>
      <c r="N278" s="127"/>
      <c r="O278" s="29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25"/>
      <c r="B279" s="126"/>
      <c r="C279" s="126"/>
      <c r="D279" s="126"/>
      <c r="H279" s="115"/>
      <c r="I279" s="115"/>
      <c r="J279" s="115"/>
      <c r="K279" s="115"/>
      <c r="L279" s="115"/>
      <c r="M279" s="115"/>
      <c r="N279" s="127"/>
      <c r="O279" s="29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25"/>
      <c r="B280" s="126"/>
      <c r="C280" s="126"/>
      <c r="D280" s="126"/>
      <c r="H280" s="115"/>
      <c r="I280" s="115"/>
      <c r="J280" s="115"/>
      <c r="K280" s="115"/>
      <c r="L280" s="115"/>
      <c r="M280" s="115"/>
      <c r="N280" s="128"/>
      <c r="O280" s="29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25"/>
      <c r="B281" s="126"/>
      <c r="C281" s="126"/>
      <c r="D281" s="126"/>
      <c r="H281" s="115"/>
      <c r="I281" s="115"/>
      <c r="J281" s="115"/>
      <c r="K281" s="115"/>
      <c r="L281" s="115"/>
      <c r="M281" s="115"/>
      <c r="N281" s="127"/>
      <c r="O281" s="29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25"/>
      <c r="B282" s="126"/>
      <c r="C282" s="126"/>
      <c r="D282" s="126"/>
      <c r="H282" s="115"/>
      <c r="I282" s="115"/>
      <c r="J282" s="115"/>
      <c r="K282" s="115"/>
      <c r="L282" s="115"/>
      <c r="M282" s="115"/>
      <c r="N282" s="128"/>
      <c r="O282" s="29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25"/>
      <c r="B283" s="126"/>
      <c r="C283" s="126"/>
      <c r="D283" s="126"/>
      <c r="H283" s="115"/>
      <c r="I283" s="115"/>
      <c r="J283" s="115"/>
      <c r="K283" s="115"/>
      <c r="L283" s="115"/>
      <c r="M283" s="115"/>
      <c r="N283" s="127"/>
      <c r="O283" s="29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25"/>
      <c r="B284" s="126"/>
      <c r="C284" s="126"/>
      <c r="D284" s="126"/>
      <c r="H284" s="115"/>
      <c r="I284" s="115"/>
      <c r="J284" s="115"/>
      <c r="K284" s="115"/>
      <c r="L284" s="115"/>
      <c r="M284" s="115"/>
      <c r="N284" s="128"/>
      <c r="O284" s="29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25"/>
      <c r="B285" s="126"/>
      <c r="C285" s="126"/>
      <c r="D285" s="126"/>
      <c r="H285" s="115"/>
      <c r="I285" s="115"/>
      <c r="J285" s="115"/>
      <c r="K285" s="115"/>
      <c r="L285" s="115"/>
      <c r="M285" s="115"/>
      <c r="N285" s="127"/>
      <c r="O285" s="29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25"/>
      <c r="B286" s="126"/>
      <c r="C286" s="126"/>
      <c r="D286" s="126"/>
      <c r="H286" s="115"/>
      <c r="I286" s="115"/>
      <c r="J286" s="115"/>
      <c r="K286" s="115"/>
      <c r="L286" s="115"/>
      <c r="M286" s="115"/>
      <c r="N286" s="128"/>
      <c r="O286" s="29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25"/>
      <c r="B287" s="126"/>
      <c r="C287" s="126"/>
      <c r="D287" s="126"/>
      <c r="H287" s="115"/>
      <c r="I287" s="115"/>
      <c r="J287" s="115"/>
      <c r="K287" s="115"/>
      <c r="L287" s="115"/>
      <c r="M287" s="115"/>
      <c r="N287" s="128"/>
      <c r="O287" s="29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25"/>
      <c r="B288" s="126"/>
      <c r="C288" s="126"/>
      <c r="D288" s="126"/>
      <c r="H288" s="115"/>
      <c r="I288" s="115"/>
      <c r="J288" s="115"/>
      <c r="K288" s="115"/>
      <c r="L288" s="115"/>
      <c r="M288" s="115"/>
      <c r="N288" s="127"/>
      <c r="O288" s="29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25"/>
      <c r="B289" s="126"/>
      <c r="C289" s="126"/>
      <c r="D289" s="126"/>
      <c r="H289" s="115"/>
      <c r="I289" s="115"/>
      <c r="J289" s="115"/>
      <c r="K289" s="115"/>
      <c r="L289" s="115"/>
      <c r="M289" s="115"/>
      <c r="N289" s="127"/>
      <c r="O289" s="29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25"/>
      <c r="B290" s="126"/>
      <c r="C290" s="126"/>
      <c r="D290" s="126"/>
      <c r="H290" s="115"/>
      <c r="I290" s="115"/>
      <c r="J290" s="115"/>
      <c r="K290" s="115"/>
      <c r="L290" s="115"/>
      <c r="M290" s="115"/>
      <c r="N290" s="127"/>
      <c r="O290" s="29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25"/>
      <c r="B291" s="126"/>
      <c r="C291" s="126"/>
      <c r="D291" s="126"/>
      <c r="H291" s="115"/>
      <c r="I291" s="115"/>
      <c r="J291" s="115"/>
      <c r="K291" s="115"/>
      <c r="L291" s="115"/>
      <c r="M291" s="115"/>
      <c r="N291" s="127"/>
      <c r="O291" s="29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25"/>
      <c r="B292" s="126"/>
      <c r="C292" s="126"/>
      <c r="D292" s="126"/>
      <c r="H292" s="115"/>
      <c r="I292" s="115"/>
      <c r="J292" s="115"/>
      <c r="K292" s="115"/>
      <c r="L292" s="115"/>
      <c r="M292" s="115"/>
      <c r="N292" s="127"/>
      <c r="O292" s="29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25"/>
      <c r="B293" s="126"/>
      <c r="C293" s="126"/>
      <c r="D293" s="126"/>
      <c r="H293" s="115"/>
      <c r="I293" s="115"/>
      <c r="J293" s="115"/>
      <c r="K293" s="115"/>
      <c r="L293" s="115"/>
      <c r="M293" s="115"/>
      <c r="N293" s="127"/>
      <c r="O293" s="29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25"/>
      <c r="B294" s="126"/>
      <c r="C294" s="126"/>
      <c r="D294" s="126"/>
      <c r="H294" s="115"/>
      <c r="I294" s="115"/>
      <c r="J294" s="115"/>
      <c r="K294" s="115"/>
      <c r="L294" s="115"/>
      <c r="M294" s="115"/>
      <c r="N294" s="127"/>
      <c r="O294" s="29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25"/>
      <c r="B295" s="126"/>
      <c r="C295" s="126"/>
      <c r="D295" s="126"/>
      <c r="H295" s="115"/>
      <c r="I295" s="115"/>
      <c r="J295" s="115"/>
      <c r="K295" s="115"/>
      <c r="L295" s="115"/>
      <c r="M295" s="115"/>
      <c r="N295" s="127"/>
      <c r="O295" s="29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25"/>
      <c r="B296" s="126"/>
      <c r="C296" s="126"/>
      <c r="D296" s="126"/>
      <c r="H296" s="115"/>
      <c r="I296" s="115"/>
      <c r="J296" s="115"/>
      <c r="K296" s="115"/>
      <c r="L296" s="115"/>
      <c r="M296" s="115"/>
      <c r="N296" s="127"/>
      <c r="O296" s="29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25"/>
      <c r="B297" s="126"/>
      <c r="C297" s="126"/>
      <c r="D297" s="126"/>
      <c r="H297" s="115"/>
      <c r="I297" s="115"/>
      <c r="J297" s="115"/>
      <c r="K297" s="115"/>
      <c r="L297" s="115"/>
      <c r="M297" s="115"/>
      <c r="N297" s="127"/>
      <c r="O297" s="29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25"/>
      <c r="B298" s="126"/>
      <c r="C298" s="126"/>
      <c r="D298" s="126"/>
      <c r="N298" s="127"/>
      <c r="O298" s="29"/>
      <c r="AE298" s="127"/>
      <c r="AF298" s="29"/>
    </row>
    <row r="299" spans="1:32" ht="19.5" x14ac:dyDescent="0.4">
      <c r="A299" s="125"/>
      <c r="B299" s="126"/>
      <c r="C299" s="126"/>
      <c r="D299" s="126"/>
      <c r="H299" s="115"/>
      <c r="I299" s="115"/>
      <c r="J299" s="115"/>
      <c r="K299" s="115"/>
      <c r="L299" s="115"/>
      <c r="M299" s="115"/>
      <c r="N299" s="127"/>
      <c r="O299" s="29"/>
      <c r="AD299" s="115"/>
      <c r="AE299" s="29"/>
      <c r="AF299" s="29"/>
    </row>
    <row r="300" spans="1:32" ht="19.5" x14ac:dyDescent="0.4">
      <c r="A300" s="125"/>
      <c r="B300" s="126"/>
      <c r="C300" s="126"/>
      <c r="D300" s="126"/>
      <c r="H300" s="115"/>
      <c r="I300" s="115"/>
      <c r="J300" s="115"/>
      <c r="K300" s="115"/>
      <c r="L300" s="115"/>
      <c r="M300" s="115"/>
      <c r="N300" s="127"/>
      <c r="O300" s="29"/>
      <c r="AD300" s="115"/>
      <c r="AE300" s="29"/>
      <c r="AF300" s="29"/>
    </row>
    <row r="301" spans="1:32" ht="19.5" x14ac:dyDescent="0.4">
      <c r="A301" s="125"/>
      <c r="B301" s="126"/>
      <c r="C301" s="126"/>
      <c r="D301" s="126"/>
      <c r="H301" s="115"/>
      <c r="I301" s="115"/>
      <c r="J301" s="115"/>
      <c r="K301" s="115"/>
      <c r="L301" s="115"/>
      <c r="M301" s="115"/>
      <c r="N301" s="127"/>
      <c r="O301" s="29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25"/>
      <c r="B302" s="126"/>
      <c r="C302" s="126"/>
      <c r="D302" s="126"/>
      <c r="N302" s="127"/>
      <c r="O302" s="29"/>
      <c r="AE302" s="127"/>
      <c r="AF302" s="29"/>
    </row>
    <row r="303" spans="1:32" ht="19.5" x14ac:dyDescent="0.4">
      <c r="A303" s="125"/>
      <c r="B303" s="126"/>
      <c r="C303" s="126"/>
      <c r="D303" s="126"/>
      <c r="I303" s="115"/>
      <c r="J303" s="115"/>
      <c r="K303" s="115"/>
      <c r="L303" s="115"/>
      <c r="M303" s="115"/>
      <c r="N303" s="29"/>
      <c r="O303" s="29"/>
      <c r="AE303" s="127"/>
      <c r="AF303" s="29"/>
    </row>
    <row r="304" spans="1:32" ht="19.5" x14ac:dyDescent="0.4">
      <c r="A304" s="125"/>
      <c r="B304" s="126"/>
      <c r="C304" s="126"/>
      <c r="D304" s="126"/>
      <c r="H304" s="115"/>
      <c r="I304" s="115"/>
      <c r="J304" s="115"/>
      <c r="K304" s="115"/>
      <c r="L304" s="115"/>
      <c r="M304" s="115"/>
      <c r="N304" s="127"/>
      <c r="O304" s="29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25"/>
      <c r="B305" s="126"/>
      <c r="C305" s="126"/>
      <c r="D305" s="126"/>
      <c r="H305" s="115"/>
      <c r="I305" s="115"/>
      <c r="J305" s="115"/>
      <c r="K305" s="115"/>
      <c r="L305" s="115"/>
      <c r="M305" s="115"/>
      <c r="N305" s="29"/>
      <c r="O305" s="29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25"/>
      <c r="B306" s="126"/>
      <c r="C306" s="126"/>
      <c r="D306" s="126"/>
      <c r="H306" s="115"/>
      <c r="I306" s="115"/>
      <c r="J306" s="115"/>
      <c r="K306" s="115"/>
      <c r="L306" s="115"/>
      <c r="M306" s="115"/>
      <c r="N306" s="127"/>
      <c r="O306" s="29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25"/>
      <c r="B307" s="126"/>
      <c r="C307" s="126"/>
      <c r="D307" s="126"/>
      <c r="H307" s="115"/>
      <c r="I307" s="115"/>
      <c r="J307" s="115"/>
      <c r="K307" s="115"/>
      <c r="L307" s="115"/>
      <c r="M307" s="115"/>
      <c r="N307" s="127"/>
      <c r="O307" s="29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25"/>
      <c r="B308" s="126"/>
      <c r="C308" s="126"/>
      <c r="D308" s="126"/>
      <c r="H308" s="115"/>
      <c r="I308" s="115"/>
      <c r="J308" s="115"/>
      <c r="K308" s="115"/>
      <c r="L308" s="115"/>
      <c r="M308" s="115"/>
      <c r="N308" s="29"/>
      <c r="O308" s="29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25"/>
      <c r="B309" s="126"/>
      <c r="C309" s="126"/>
      <c r="D309" s="126"/>
      <c r="H309" s="115"/>
      <c r="I309" s="115"/>
      <c r="J309" s="115"/>
      <c r="K309" s="115"/>
      <c r="L309" s="115"/>
      <c r="M309" s="115"/>
      <c r="N309" s="127"/>
      <c r="O309" s="29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25"/>
      <c r="B310" s="126"/>
      <c r="C310" s="126"/>
      <c r="D310" s="126"/>
      <c r="H310" s="115"/>
      <c r="I310" s="115"/>
      <c r="J310" s="115"/>
      <c r="K310" s="115"/>
      <c r="L310" s="115"/>
      <c r="M310" s="115"/>
      <c r="N310" s="127"/>
      <c r="O310" s="29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25"/>
      <c r="B311" s="126"/>
      <c r="C311" s="126"/>
      <c r="D311" s="126"/>
      <c r="H311" s="115"/>
      <c r="I311" s="115"/>
      <c r="J311" s="115"/>
      <c r="K311" s="115"/>
      <c r="L311" s="115"/>
      <c r="M311" s="115"/>
      <c r="N311" s="29"/>
      <c r="O311" s="29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25"/>
      <c r="B312" s="126"/>
      <c r="C312" s="126"/>
      <c r="D312" s="126"/>
      <c r="H312" s="115"/>
      <c r="I312" s="115"/>
      <c r="J312" s="115"/>
      <c r="K312" s="115"/>
      <c r="L312" s="115"/>
      <c r="M312" s="115"/>
      <c r="N312" s="29"/>
      <c r="O312" s="29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25"/>
      <c r="B313" s="126"/>
      <c r="C313" s="126"/>
      <c r="D313" s="126"/>
      <c r="H313" s="115"/>
      <c r="I313" s="115"/>
      <c r="J313" s="115"/>
      <c r="K313" s="115"/>
      <c r="L313" s="115"/>
      <c r="M313" s="115"/>
      <c r="N313" s="29"/>
      <c r="O313" s="29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25"/>
      <c r="B314" s="126"/>
      <c r="C314" s="126"/>
      <c r="D314" s="126"/>
      <c r="H314" s="115"/>
      <c r="I314" s="115"/>
      <c r="J314" s="115"/>
      <c r="K314" s="115"/>
      <c r="L314" s="115"/>
      <c r="M314" s="115"/>
      <c r="N314" s="127"/>
      <c r="O314" s="29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25"/>
      <c r="B315" s="126"/>
      <c r="C315" s="126"/>
      <c r="D315" s="126"/>
      <c r="H315" s="115"/>
      <c r="I315" s="115"/>
      <c r="J315" s="115"/>
      <c r="K315" s="115"/>
      <c r="L315" s="115"/>
      <c r="M315" s="115"/>
      <c r="N315" s="127"/>
      <c r="O315" s="29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25"/>
      <c r="B316" s="126"/>
      <c r="C316" s="126"/>
      <c r="D316" s="126"/>
      <c r="H316" s="115"/>
      <c r="I316" s="115"/>
      <c r="J316" s="115"/>
      <c r="K316" s="115"/>
      <c r="L316" s="115"/>
      <c r="M316" s="115"/>
      <c r="N316" s="127"/>
      <c r="O316" s="127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25"/>
      <c r="B317" s="126"/>
      <c r="C317" s="126"/>
      <c r="D317" s="126"/>
      <c r="H317" s="115"/>
      <c r="I317" s="115"/>
      <c r="J317" s="115"/>
      <c r="K317" s="115"/>
      <c r="L317" s="115"/>
      <c r="M317" s="115"/>
      <c r="N317" s="127"/>
      <c r="O317" s="29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25"/>
      <c r="B318" s="126"/>
      <c r="C318" s="126"/>
      <c r="D318" s="126"/>
      <c r="N318" s="127"/>
      <c r="O318" s="29"/>
      <c r="AE318" s="127"/>
      <c r="AF318" s="29"/>
    </row>
    <row r="319" spans="1:32" ht="19.5" x14ac:dyDescent="0.4">
      <c r="A319" s="125"/>
      <c r="B319" s="126"/>
      <c r="C319" s="126"/>
      <c r="D319" s="126"/>
      <c r="H319" s="115"/>
      <c r="I319" s="115"/>
      <c r="J319" s="115"/>
      <c r="K319" s="115"/>
      <c r="L319" s="115"/>
      <c r="M319" s="115"/>
      <c r="N319" s="127"/>
      <c r="O319" s="29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25"/>
      <c r="B320" s="126"/>
      <c r="C320" s="126"/>
      <c r="D320" s="126"/>
      <c r="H320" s="115"/>
      <c r="I320" s="115"/>
      <c r="J320" s="115"/>
      <c r="K320" s="115"/>
      <c r="L320" s="115"/>
      <c r="M320" s="115"/>
      <c r="N320" s="127"/>
      <c r="O320" s="29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25"/>
      <c r="B321" s="126"/>
      <c r="C321" s="126"/>
      <c r="D321" s="126"/>
      <c r="H321" s="115"/>
      <c r="I321" s="115"/>
      <c r="J321" s="115"/>
      <c r="K321" s="115"/>
      <c r="L321" s="115"/>
      <c r="M321" s="115"/>
      <c r="N321" s="127"/>
      <c r="O321" s="29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25"/>
      <c r="B322" s="126"/>
      <c r="C322" s="126"/>
      <c r="D322" s="126"/>
      <c r="H322" s="115"/>
      <c r="I322" s="115"/>
      <c r="J322" s="115"/>
      <c r="K322" s="115"/>
      <c r="L322" s="115"/>
      <c r="M322" s="115"/>
      <c r="N322" s="127"/>
      <c r="O322" s="29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25"/>
      <c r="B323" s="126"/>
      <c r="C323" s="126"/>
      <c r="D323" s="126"/>
      <c r="H323" s="115"/>
      <c r="I323" s="115"/>
      <c r="J323" s="115"/>
      <c r="K323" s="115"/>
      <c r="L323" s="115"/>
      <c r="M323" s="115"/>
      <c r="N323" s="127"/>
      <c r="O323" s="29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25"/>
      <c r="B324" s="126"/>
      <c r="C324" s="126"/>
      <c r="D324" s="126"/>
      <c r="H324" s="115"/>
      <c r="I324" s="115"/>
      <c r="J324" s="115"/>
      <c r="K324" s="115"/>
      <c r="L324" s="115"/>
      <c r="M324" s="115"/>
      <c r="N324" s="127"/>
      <c r="O324" s="29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25"/>
      <c r="B325" s="126"/>
      <c r="C325" s="126"/>
      <c r="D325" s="126"/>
      <c r="H325" s="115"/>
      <c r="I325" s="115"/>
      <c r="J325" s="115"/>
      <c r="K325" s="115"/>
      <c r="L325" s="115"/>
      <c r="M325" s="115"/>
      <c r="N325" s="127"/>
      <c r="O325" s="29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25"/>
      <c r="B326" s="126"/>
      <c r="C326" s="126"/>
      <c r="D326" s="126"/>
      <c r="H326" s="115"/>
      <c r="I326" s="115"/>
      <c r="J326" s="115"/>
      <c r="K326" s="115"/>
      <c r="L326" s="115"/>
      <c r="M326" s="115"/>
      <c r="N326" s="127"/>
      <c r="O326" s="29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25"/>
      <c r="B327" s="126"/>
      <c r="C327" s="126"/>
      <c r="D327" s="126"/>
      <c r="H327" s="115"/>
      <c r="I327" s="115"/>
      <c r="J327" s="115"/>
      <c r="K327" s="115"/>
      <c r="L327" s="115"/>
      <c r="M327" s="115"/>
      <c r="N327" s="127"/>
      <c r="O327" s="29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25"/>
      <c r="B328" s="126"/>
      <c r="C328" s="126"/>
      <c r="D328" s="126"/>
      <c r="H328" s="115"/>
      <c r="I328" s="115"/>
      <c r="J328" s="115"/>
      <c r="K328" s="115"/>
      <c r="L328" s="115"/>
      <c r="M328" s="115"/>
      <c r="N328" s="127"/>
      <c r="O328" s="29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25"/>
      <c r="B329" s="126"/>
      <c r="C329" s="126"/>
      <c r="D329" s="126"/>
      <c r="N329" s="127"/>
      <c r="O329" s="29"/>
      <c r="AE329" s="127"/>
      <c r="AF329" s="29"/>
    </row>
    <row r="330" spans="1:32" ht="19.5" x14ac:dyDescent="0.4">
      <c r="A330" s="125"/>
      <c r="B330" s="126"/>
      <c r="C330" s="126"/>
      <c r="D330" s="126"/>
      <c r="H330" s="115"/>
      <c r="I330" s="115"/>
      <c r="J330" s="115"/>
      <c r="K330" s="115"/>
      <c r="L330" s="115"/>
      <c r="M330" s="115"/>
      <c r="N330" s="29"/>
      <c r="O330" s="29"/>
      <c r="AC330" s="115"/>
      <c r="AD330" s="115"/>
      <c r="AE330" s="29"/>
      <c r="AF330" s="29"/>
    </row>
    <row r="331" spans="1:32" ht="19.5" x14ac:dyDescent="0.4">
      <c r="A331" s="125"/>
      <c r="B331" s="126"/>
      <c r="C331" s="126"/>
      <c r="D331" s="126"/>
      <c r="H331" s="115"/>
      <c r="I331" s="115"/>
      <c r="J331" s="115"/>
      <c r="K331" s="115"/>
      <c r="L331" s="115"/>
      <c r="M331" s="115"/>
      <c r="N331" s="127"/>
      <c r="O331" s="29"/>
      <c r="AA331" s="115"/>
      <c r="AB331" s="115"/>
      <c r="AC331" s="115"/>
      <c r="AD331" s="115"/>
      <c r="AE331" s="127"/>
      <c r="AF331" s="29"/>
    </row>
    <row r="332" spans="1:32" ht="19.5" x14ac:dyDescent="0.4">
      <c r="A332" s="125"/>
      <c r="B332" s="126"/>
      <c r="C332" s="126"/>
      <c r="D332" s="126"/>
      <c r="H332" s="115"/>
      <c r="I332" s="115"/>
      <c r="J332" s="115"/>
      <c r="K332" s="115"/>
      <c r="L332" s="115"/>
      <c r="M332" s="115"/>
      <c r="N332" s="127"/>
      <c r="O332" s="29"/>
      <c r="AA332" s="115"/>
      <c r="AB332" s="115"/>
      <c r="AC332" s="115"/>
      <c r="AD332" s="115"/>
      <c r="AE332" s="127"/>
      <c r="AF332" s="29"/>
    </row>
    <row r="333" spans="1:32" ht="19.5" x14ac:dyDescent="0.4">
      <c r="A333" s="125"/>
      <c r="B333" s="126"/>
      <c r="C333" s="126"/>
      <c r="D333" s="126"/>
      <c r="H333" s="115"/>
      <c r="I333" s="115"/>
      <c r="J333" s="115"/>
      <c r="K333" s="115"/>
      <c r="L333" s="115"/>
      <c r="M333" s="115"/>
      <c r="N333" s="127"/>
      <c r="O333" s="29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25"/>
      <c r="B334" s="126"/>
      <c r="C334" s="126"/>
      <c r="D334" s="126"/>
      <c r="N334" s="127"/>
      <c r="O334" s="29"/>
      <c r="AE334" s="127"/>
      <c r="AF334" s="29"/>
    </row>
    <row r="335" spans="1:32" ht="19.5" x14ac:dyDescent="0.4">
      <c r="A335" s="125"/>
      <c r="B335" s="126"/>
      <c r="C335" s="126"/>
      <c r="D335" s="126"/>
      <c r="H335" s="115"/>
      <c r="I335" s="115"/>
      <c r="J335" s="115"/>
      <c r="K335" s="115"/>
      <c r="L335" s="115"/>
      <c r="M335" s="115"/>
      <c r="N335" s="127"/>
      <c r="O335" s="29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25"/>
      <c r="B336" s="126"/>
      <c r="C336" s="126"/>
      <c r="D336" s="126"/>
      <c r="H336" s="115"/>
      <c r="I336" s="115"/>
      <c r="J336" s="115"/>
      <c r="K336" s="115"/>
      <c r="L336" s="115"/>
      <c r="M336" s="115"/>
      <c r="N336" s="29"/>
      <c r="O336" s="29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25"/>
      <c r="B337" s="126"/>
      <c r="C337" s="126"/>
      <c r="D337" s="126"/>
      <c r="H337" s="115"/>
      <c r="I337" s="115"/>
      <c r="J337" s="115"/>
      <c r="K337" s="115"/>
      <c r="L337" s="115"/>
      <c r="M337" s="115"/>
      <c r="N337" s="127"/>
      <c r="O337" s="29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25"/>
      <c r="B338" s="126"/>
      <c r="C338" s="126"/>
      <c r="D338" s="126"/>
      <c r="H338" s="115"/>
      <c r="I338" s="115"/>
      <c r="J338" s="115"/>
      <c r="K338" s="115"/>
      <c r="L338" s="115"/>
      <c r="M338" s="115"/>
      <c r="N338" s="127"/>
      <c r="O338" s="29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25"/>
      <c r="B339" s="126"/>
      <c r="C339" s="126"/>
      <c r="D339" s="126"/>
      <c r="H339" s="115"/>
      <c r="I339" s="115"/>
      <c r="J339" s="115"/>
      <c r="K339" s="115"/>
      <c r="L339" s="115"/>
      <c r="M339" s="115"/>
      <c r="N339" s="127"/>
      <c r="O339" s="29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25"/>
      <c r="B340" s="126"/>
      <c r="C340" s="126"/>
      <c r="D340" s="126"/>
      <c r="H340" s="115"/>
      <c r="I340" s="115"/>
      <c r="J340" s="115"/>
      <c r="K340" s="115"/>
      <c r="L340" s="115"/>
      <c r="M340" s="115"/>
      <c r="N340" s="127"/>
      <c r="O340" s="29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25"/>
      <c r="B341" s="126"/>
      <c r="C341" s="126"/>
      <c r="D341" s="126"/>
      <c r="H341" s="115"/>
      <c r="I341" s="115"/>
      <c r="J341" s="115"/>
      <c r="K341" s="115"/>
      <c r="L341" s="115"/>
      <c r="M341" s="115"/>
      <c r="N341" s="29"/>
      <c r="O341" s="29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25"/>
      <c r="B342" s="126"/>
      <c r="C342" s="126"/>
      <c r="D342" s="126"/>
      <c r="H342" s="115"/>
      <c r="I342" s="115"/>
      <c r="J342" s="115"/>
      <c r="K342" s="115"/>
      <c r="L342" s="115"/>
      <c r="M342" s="115"/>
      <c r="N342" s="127"/>
      <c r="O342" s="29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25"/>
      <c r="B343" s="126"/>
      <c r="C343" s="126"/>
      <c r="D343" s="126"/>
      <c r="H343" s="115"/>
      <c r="I343" s="115"/>
      <c r="J343" s="115"/>
      <c r="K343" s="115"/>
      <c r="L343" s="115"/>
      <c r="M343" s="115"/>
      <c r="N343" s="127"/>
      <c r="O343" s="29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25"/>
      <c r="B344" s="126"/>
      <c r="C344" s="126"/>
      <c r="D344" s="126"/>
      <c r="H344" s="115"/>
      <c r="I344" s="115"/>
      <c r="J344" s="115"/>
      <c r="K344" s="115"/>
      <c r="L344" s="115"/>
      <c r="M344" s="115"/>
      <c r="N344" s="29"/>
      <c r="O344" s="29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25"/>
      <c r="B345" s="126"/>
      <c r="C345" s="126"/>
      <c r="D345" s="126"/>
      <c r="H345" s="115"/>
      <c r="I345" s="115"/>
      <c r="J345" s="115"/>
      <c r="K345" s="115"/>
      <c r="L345" s="115"/>
      <c r="M345" s="115"/>
      <c r="N345" s="127"/>
      <c r="O345" s="29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25"/>
      <c r="B346" s="126"/>
      <c r="C346" s="126"/>
      <c r="D346" s="126"/>
      <c r="H346" s="115"/>
      <c r="I346" s="115"/>
      <c r="J346" s="115"/>
      <c r="K346" s="115"/>
      <c r="L346" s="115"/>
      <c r="M346" s="115"/>
      <c r="N346" s="29"/>
      <c r="O346" s="29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25"/>
      <c r="B347" s="126"/>
      <c r="C347" s="126"/>
      <c r="D347" s="126"/>
      <c r="N347" s="127"/>
      <c r="O347" s="29"/>
      <c r="AE347" s="127"/>
      <c r="AF347" s="29"/>
    </row>
    <row r="348" spans="1:32" ht="19.5" x14ac:dyDescent="0.4">
      <c r="A348" s="125"/>
      <c r="B348" s="126"/>
      <c r="C348" s="126"/>
      <c r="D348" s="126"/>
      <c r="H348" s="115"/>
      <c r="I348" s="115"/>
      <c r="J348" s="115"/>
      <c r="K348" s="115"/>
      <c r="L348" s="115"/>
      <c r="M348" s="115"/>
      <c r="N348" s="29"/>
      <c r="O348" s="29"/>
      <c r="AC348" s="115"/>
      <c r="AD348" s="115"/>
      <c r="AE348" s="29"/>
      <c r="AF348" s="29"/>
    </row>
    <row r="349" spans="1:32" ht="19.5" x14ac:dyDescent="0.4">
      <c r="A349" s="125"/>
      <c r="B349" s="126"/>
      <c r="C349" s="126"/>
      <c r="D349" s="126"/>
      <c r="H349" s="115"/>
      <c r="I349" s="115"/>
      <c r="J349" s="115"/>
      <c r="K349" s="115"/>
      <c r="L349" s="115"/>
      <c r="M349" s="115"/>
      <c r="N349" s="29"/>
      <c r="O349" s="29"/>
      <c r="AC349" s="115"/>
      <c r="AD349" s="115"/>
      <c r="AE349" s="29"/>
      <c r="AF349" s="29"/>
    </row>
    <row r="350" spans="1:32" ht="19.5" x14ac:dyDescent="0.4">
      <c r="A350" s="125"/>
      <c r="B350" s="126"/>
      <c r="C350" s="126"/>
      <c r="D350" s="126"/>
      <c r="H350" s="115"/>
      <c r="I350" s="115"/>
      <c r="J350" s="115"/>
      <c r="K350" s="115"/>
      <c r="L350" s="115"/>
      <c r="M350" s="115"/>
      <c r="N350" s="29"/>
      <c r="O350" s="29"/>
      <c r="AB350" s="115"/>
      <c r="AC350" s="115"/>
      <c r="AD350" s="115"/>
      <c r="AE350" s="29"/>
      <c r="AF350" s="29"/>
    </row>
    <row r="351" spans="1:32" ht="19.5" x14ac:dyDescent="0.4">
      <c r="A351" s="125"/>
      <c r="B351" s="126"/>
      <c r="C351" s="126"/>
      <c r="D351" s="126"/>
      <c r="H351" s="115"/>
      <c r="I351" s="115"/>
      <c r="J351" s="115"/>
      <c r="K351" s="115"/>
      <c r="L351" s="115"/>
      <c r="M351" s="115"/>
      <c r="N351" s="127"/>
      <c r="O351" s="29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25"/>
      <c r="B352" s="126"/>
      <c r="C352" s="126"/>
      <c r="D352" s="126"/>
      <c r="H352" s="115"/>
      <c r="I352" s="115"/>
      <c r="J352" s="115"/>
      <c r="K352" s="115"/>
      <c r="L352" s="115"/>
      <c r="M352" s="115"/>
      <c r="N352" s="127"/>
      <c r="O352" s="29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25"/>
      <c r="B353" s="126"/>
      <c r="C353" s="126"/>
      <c r="D353" s="126"/>
      <c r="N353" s="127"/>
      <c r="O353" s="29"/>
      <c r="AE353" s="127"/>
      <c r="AF353" s="29"/>
    </row>
    <row r="354" spans="1:32" ht="19.5" x14ac:dyDescent="0.4">
      <c r="A354" s="125"/>
      <c r="B354" s="126"/>
      <c r="C354" s="126"/>
      <c r="D354" s="126"/>
      <c r="H354" s="115"/>
      <c r="I354" s="115"/>
      <c r="J354" s="115"/>
      <c r="K354" s="115"/>
      <c r="L354" s="115"/>
      <c r="M354" s="115"/>
      <c r="N354" s="127"/>
      <c r="O354" s="29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25"/>
      <c r="B355" s="126"/>
      <c r="C355" s="126"/>
      <c r="D355" s="126"/>
      <c r="H355" s="115"/>
      <c r="I355" s="115"/>
      <c r="J355" s="115"/>
      <c r="K355" s="115"/>
      <c r="L355" s="115"/>
      <c r="M355" s="115"/>
      <c r="N355" s="127"/>
      <c r="O355" s="29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25"/>
      <c r="B356" s="126"/>
      <c r="C356" s="126"/>
      <c r="D356" s="126"/>
      <c r="H356" s="115"/>
      <c r="I356" s="115"/>
      <c r="J356" s="115"/>
      <c r="K356" s="115"/>
      <c r="L356" s="115"/>
      <c r="M356" s="115"/>
      <c r="N356" s="127"/>
      <c r="O356" s="29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25"/>
      <c r="B357" s="126"/>
      <c r="C357" s="126"/>
      <c r="D357" s="126"/>
      <c r="N357" s="127"/>
      <c r="O357" s="29"/>
      <c r="AE357" s="127"/>
      <c r="AF357" s="29"/>
    </row>
    <row r="358" spans="1:32" ht="19.5" x14ac:dyDescent="0.4">
      <c r="A358" s="125"/>
      <c r="B358" s="126"/>
      <c r="C358" s="126"/>
      <c r="D358" s="126"/>
      <c r="H358" s="115"/>
      <c r="I358" s="115"/>
      <c r="J358" s="115"/>
      <c r="K358" s="115"/>
      <c r="L358" s="115"/>
      <c r="M358" s="115"/>
      <c r="N358" s="127"/>
      <c r="O358" s="29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25"/>
      <c r="B359" s="126"/>
      <c r="C359" s="126"/>
      <c r="D359" s="126"/>
      <c r="H359" s="115"/>
      <c r="I359" s="115"/>
      <c r="J359" s="115"/>
      <c r="K359" s="115"/>
      <c r="L359" s="115"/>
      <c r="M359" s="115"/>
      <c r="N359" s="29"/>
      <c r="O359" s="29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25"/>
      <c r="B360" s="126"/>
      <c r="C360" s="126"/>
      <c r="D360" s="126"/>
      <c r="H360" s="115"/>
      <c r="I360" s="115"/>
      <c r="J360" s="115"/>
      <c r="K360" s="115"/>
      <c r="L360" s="115"/>
      <c r="M360" s="115"/>
      <c r="N360" s="127"/>
      <c r="O360" s="29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25"/>
      <c r="B361" s="126"/>
      <c r="C361" s="126"/>
      <c r="D361" s="126"/>
      <c r="H361" s="115"/>
      <c r="I361" s="115"/>
      <c r="J361" s="115"/>
      <c r="K361" s="115"/>
      <c r="L361" s="115"/>
      <c r="M361" s="115"/>
      <c r="N361" s="127"/>
      <c r="O361" s="29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25"/>
      <c r="B362" s="126"/>
      <c r="C362" s="126"/>
      <c r="D362" s="126"/>
      <c r="H362" s="115"/>
      <c r="I362" s="115"/>
      <c r="J362" s="115"/>
      <c r="K362" s="115"/>
      <c r="L362" s="115"/>
      <c r="M362" s="115"/>
      <c r="N362" s="127"/>
      <c r="O362" s="29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25"/>
      <c r="B363" s="126"/>
      <c r="C363" s="126"/>
      <c r="D363" s="126"/>
      <c r="H363" s="115"/>
      <c r="I363" s="115"/>
      <c r="J363" s="115"/>
      <c r="K363" s="115"/>
      <c r="L363" s="115"/>
      <c r="M363" s="115"/>
      <c r="N363" s="127"/>
      <c r="O363" s="29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25"/>
      <c r="B364" s="126"/>
      <c r="C364" s="126"/>
      <c r="D364" s="126"/>
      <c r="N364" s="127"/>
      <c r="O364" s="29"/>
      <c r="AE364" s="127"/>
      <c r="AF364" s="29"/>
    </row>
    <row r="365" spans="1:32" ht="19.5" x14ac:dyDescent="0.4">
      <c r="A365" s="125"/>
      <c r="B365" s="126"/>
      <c r="C365" s="126"/>
      <c r="D365" s="126"/>
      <c r="H365" s="115"/>
      <c r="I365" s="115"/>
      <c r="J365" s="115"/>
      <c r="K365" s="115"/>
      <c r="L365" s="115"/>
      <c r="M365" s="115"/>
      <c r="N365" s="127"/>
      <c r="O365" s="29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25"/>
      <c r="B366" s="126"/>
      <c r="C366" s="126"/>
      <c r="D366" s="126"/>
      <c r="H366" s="115"/>
      <c r="I366" s="115"/>
      <c r="J366" s="115"/>
      <c r="K366" s="115"/>
      <c r="L366" s="115"/>
      <c r="M366" s="115"/>
      <c r="N366" s="127"/>
      <c r="O366" s="29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25"/>
      <c r="B367" s="126"/>
      <c r="C367" s="126"/>
      <c r="D367" s="126"/>
      <c r="H367" s="115"/>
      <c r="I367" s="115"/>
      <c r="J367" s="115"/>
      <c r="K367" s="115"/>
      <c r="L367" s="115"/>
      <c r="M367" s="115"/>
      <c r="N367" s="127"/>
      <c r="O367" s="29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25"/>
      <c r="B368" s="126"/>
      <c r="C368" s="126"/>
      <c r="D368" s="126"/>
      <c r="H368" s="115"/>
      <c r="I368" s="115"/>
      <c r="J368" s="115"/>
      <c r="K368" s="115"/>
      <c r="L368" s="115"/>
      <c r="M368" s="115"/>
      <c r="N368" s="127"/>
      <c r="O368" s="29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25"/>
      <c r="B369" s="126"/>
      <c r="C369" s="126"/>
      <c r="D369" s="126"/>
      <c r="H369" s="115"/>
      <c r="I369" s="115"/>
      <c r="J369" s="115"/>
      <c r="K369" s="115"/>
      <c r="L369" s="115"/>
      <c r="M369" s="115"/>
      <c r="N369" s="127"/>
      <c r="O369" s="29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25"/>
      <c r="B370" s="126"/>
      <c r="C370" s="126"/>
      <c r="D370" s="126"/>
      <c r="H370" s="115"/>
      <c r="I370" s="115"/>
      <c r="J370" s="115"/>
      <c r="K370" s="115"/>
      <c r="L370" s="115"/>
      <c r="M370" s="115"/>
      <c r="N370" s="127"/>
      <c r="O370" s="29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25"/>
      <c r="B371" s="126"/>
      <c r="C371" s="126"/>
      <c r="D371" s="126"/>
      <c r="H371" s="115"/>
      <c r="I371" s="115"/>
      <c r="J371" s="115"/>
      <c r="K371" s="115"/>
      <c r="L371" s="115"/>
      <c r="M371" s="115"/>
      <c r="N371" s="127"/>
      <c r="O371" s="29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25"/>
      <c r="B372" s="126"/>
      <c r="C372" s="126"/>
      <c r="D372" s="126"/>
      <c r="H372" s="115"/>
      <c r="I372" s="115"/>
      <c r="J372" s="115"/>
      <c r="K372" s="115"/>
      <c r="L372" s="115"/>
      <c r="M372" s="115"/>
      <c r="N372" s="29"/>
      <c r="O372" s="29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25"/>
      <c r="B373" s="126"/>
      <c r="C373" s="126"/>
      <c r="D373" s="126"/>
      <c r="H373" s="115"/>
      <c r="I373" s="115"/>
      <c r="J373" s="115"/>
      <c r="K373" s="115"/>
      <c r="L373" s="115"/>
      <c r="M373" s="115"/>
      <c r="N373" s="127"/>
      <c r="O373" s="29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25"/>
      <c r="B374" s="126"/>
      <c r="C374" s="126"/>
      <c r="D374" s="126"/>
      <c r="H374" s="115"/>
      <c r="I374" s="115"/>
      <c r="J374" s="115"/>
      <c r="K374" s="115"/>
      <c r="L374" s="115"/>
      <c r="M374" s="115"/>
      <c r="N374" s="127"/>
      <c r="O374" s="29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25"/>
      <c r="B375" s="126"/>
      <c r="C375" s="126"/>
      <c r="D375" s="126"/>
      <c r="H375" s="115"/>
      <c r="I375" s="115"/>
      <c r="J375" s="115"/>
      <c r="K375" s="115"/>
      <c r="L375" s="115"/>
      <c r="M375" s="115"/>
      <c r="N375" s="29"/>
      <c r="O375" s="29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25"/>
      <c r="B376" s="126"/>
      <c r="C376" s="126"/>
      <c r="D376" s="126"/>
      <c r="N376" s="127"/>
      <c r="O376" s="29"/>
      <c r="AE376" s="127"/>
      <c r="AF376" s="29"/>
    </row>
    <row r="377" spans="1:32" ht="19.5" x14ac:dyDescent="0.4">
      <c r="A377" s="125"/>
      <c r="B377" s="126"/>
      <c r="C377" s="126"/>
      <c r="D377" s="126"/>
      <c r="N377" s="127"/>
      <c r="O377" s="29"/>
      <c r="AE377" s="127"/>
      <c r="AF377" s="29"/>
    </row>
    <row r="378" spans="1:32" ht="19.5" x14ac:dyDescent="0.4">
      <c r="A378" s="125"/>
      <c r="B378" s="126"/>
      <c r="C378" s="126"/>
      <c r="D378" s="126"/>
      <c r="H378" s="115"/>
      <c r="I378" s="115"/>
      <c r="J378" s="115"/>
      <c r="K378" s="115"/>
      <c r="L378" s="115"/>
      <c r="M378" s="115"/>
      <c r="N378" s="127"/>
      <c r="O378" s="29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25"/>
      <c r="B379" s="126"/>
      <c r="C379" s="126"/>
      <c r="D379" s="126"/>
      <c r="N379" s="127"/>
      <c r="O379" s="29"/>
      <c r="AE379" s="127"/>
      <c r="AF379" s="29"/>
    </row>
    <row r="380" spans="1:32" ht="19.5" x14ac:dyDescent="0.4">
      <c r="A380" s="125"/>
      <c r="B380" s="126"/>
      <c r="C380" s="126"/>
      <c r="D380" s="126"/>
      <c r="H380" s="115"/>
      <c r="I380" s="115"/>
      <c r="J380" s="115"/>
      <c r="K380" s="115"/>
      <c r="L380" s="115"/>
      <c r="M380" s="115"/>
      <c r="N380" s="127"/>
      <c r="O380" s="29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25"/>
      <c r="B381" s="126"/>
      <c r="C381" s="126"/>
      <c r="D381" s="126"/>
      <c r="H381" s="115"/>
      <c r="I381" s="115"/>
      <c r="J381" s="115"/>
      <c r="K381" s="115"/>
      <c r="L381" s="115"/>
      <c r="M381" s="115"/>
      <c r="N381" s="29"/>
      <c r="O381" s="29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25"/>
      <c r="B382" s="126"/>
      <c r="C382" s="126"/>
      <c r="D382" s="126"/>
      <c r="H382" s="115"/>
      <c r="I382" s="115"/>
      <c r="J382" s="115"/>
      <c r="K382" s="115"/>
      <c r="L382" s="115"/>
      <c r="M382" s="115"/>
      <c r="N382" s="127"/>
      <c r="O382" s="29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25"/>
      <c r="B383" s="126"/>
      <c r="C383" s="126"/>
      <c r="D383" s="126"/>
      <c r="H383" s="115"/>
      <c r="I383" s="115"/>
      <c r="J383" s="115"/>
      <c r="K383" s="115"/>
      <c r="L383" s="115"/>
      <c r="M383" s="115"/>
      <c r="N383" s="127"/>
      <c r="O383" s="29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25"/>
      <c r="B384" s="126"/>
      <c r="C384" s="126"/>
      <c r="D384" s="126"/>
      <c r="H384" s="115"/>
      <c r="I384" s="115"/>
      <c r="J384" s="115"/>
      <c r="K384" s="115"/>
      <c r="L384" s="115"/>
      <c r="M384" s="115"/>
      <c r="N384" s="127"/>
      <c r="O384" s="29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25"/>
      <c r="B385" s="126"/>
      <c r="C385" s="126"/>
      <c r="D385" s="126"/>
      <c r="H385" s="115"/>
      <c r="I385" s="115"/>
      <c r="J385" s="115"/>
      <c r="K385" s="115"/>
      <c r="L385" s="115"/>
      <c r="M385" s="115"/>
      <c r="N385" s="127"/>
      <c r="O385" s="29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25"/>
      <c r="B386" s="126"/>
      <c r="C386" s="126"/>
      <c r="D386" s="126"/>
      <c r="H386" s="115"/>
      <c r="I386" s="115"/>
      <c r="J386" s="115"/>
      <c r="K386" s="115"/>
      <c r="L386" s="115"/>
      <c r="M386" s="115"/>
      <c r="N386" s="127"/>
      <c r="O386" s="29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25"/>
      <c r="B387" s="126"/>
      <c r="C387" s="126"/>
      <c r="D387" s="126"/>
      <c r="H387" s="115"/>
      <c r="I387" s="115"/>
      <c r="J387" s="115"/>
      <c r="K387" s="115"/>
      <c r="L387" s="115"/>
      <c r="M387" s="115"/>
      <c r="N387" s="29"/>
      <c r="O387" s="29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25"/>
      <c r="B388" s="126"/>
      <c r="C388" s="126"/>
      <c r="D388" s="126"/>
      <c r="H388" s="115"/>
      <c r="I388" s="115"/>
      <c r="J388" s="115"/>
      <c r="K388" s="115"/>
      <c r="L388" s="115"/>
      <c r="M388" s="115"/>
      <c r="N388" s="127"/>
      <c r="O388" s="29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25"/>
      <c r="B389" s="126"/>
      <c r="C389" s="126"/>
      <c r="D389" s="126"/>
      <c r="H389" s="115"/>
      <c r="I389" s="115"/>
      <c r="J389" s="115"/>
      <c r="K389" s="115"/>
      <c r="L389" s="115"/>
      <c r="M389" s="115"/>
      <c r="N389" s="29"/>
      <c r="O389" s="29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25"/>
      <c r="B390" s="126"/>
      <c r="C390" s="126"/>
      <c r="D390" s="126"/>
      <c r="H390" s="115"/>
      <c r="I390" s="115"/>
      <c r="J390" s="115"/>
      <c r="K390" s="115"/>
      <c r="L390" s="115"/>
      <c r="M390" s="115"/>
      <c r="N390" s="29"/>
      <c r="O390" s="29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25"/>
      <c r="B391" s="126"/>
      <c r="C391" s="126"/>
      <c r="D391" s="126"/>
      <c r="H391" s="115"/>
      <c r="I391" s="115"/>
      <c r="J391" s="115"/>
      <c r="K391" s="115"/>
      <c r="L391" s="115"/>
      <c r="M391" s="115"/>
      <c r="N391" s="127"/>
      <c r="O391" s="29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25"/>
      <c r="B392" s="126"/>
      <c r="C392" s="126"/>
      <c r="D392" s="126"/>
      <c r="H392" s="115"/>
      <c r="I392" s="115"/>
      <c r="J392" s="115"/>
      <c r="K392" s="115"/>
      <c r="L392" s="115"/>
      <c r="M392" s="115"/>
      <c r="N392" s="127"/>
      <c r="O392" s="29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25"/>
      <c r="B393" s="126"/>
      <c r="C393" s="126"/>
      <c r="D393" s="126"/>
      <c r="H393" s="115"/>
      <c r="I393" s="115"/>
      <c r="J393" s="115"/>
      <c r="K393" s="115"/>
      <c r="L393" s="115"/>
      <c r="M393" s="115"/>
      <c r="N393" s="29"/>
      <c r="O393" s="29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25"/>
      <c r="B394" s="126"/>
      <c r="C394" s="126"/>
      <c r="D394" s="126"/>
      <c r="H394" s="115"/>
      <c r="I394" s="115"/>
      <c r="J394" s="115"/>
      <c r="K394" s="115"/>
      <c r="L394" s="115"/>
      <c r="M394" s="115"/>
      <c r="N394" s="127"/>
      <c r="O394" s="29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25"/>
      <c r="B395" s="126"/>
      <c r="C395" s="126"/>
      <c r="D395" s="126"/>
      <c r="H395" s="115"/>
      <c r="I395" s="115"/>
      <c r="J395" s="115"/>
      <c r="K395" s="115"/>
      <c r="L395" s="115"/>
      <c r="M395" s="115"/>
      <c r="N395" s="127"/>
      <c r="O395" s="29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25"/>
      <c r="B396" s="126"/>
      <c r="C396" s="126"/>
      <c r="D396" s="126"/>
      <c r="N396" s="127"/>
      <c r="O396" s="29"/>
      <c r="AE396" s="127"/>
      <c r="AF396" s="29"/>
    </row>
    <row r="397" spans="1:32" ht="19.5" x14ac:dyDescent="0.4">
      <c r="A397" s="125"/>
      <c r="B397" s="126"/>
      <c r="C397" s="126"/>
      <c r="D397" s="126"/>
      <c r="H397" s="115"/>
      <c r="I397" s="115"/>
      <c r="J397" s="115"/>
      <c r="K397" s="115"/>
      <c r="L397" s="115"/>
      <c r="M397" s="115"/>
      <c r="N397" s="127"/>
      <c r="O397" s="29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25"/>
      <c r="B398" s="126"/>
      <c r="C398" s="126"/>
      <c r="D398" s="126"/>
      <c r="H398" s="115"/>
      <c r="I398" s="115"/>
      <c r="J398" s="115"/>
      <c r="K398" s="115"/>
      <c r="L398" s="115"/>
      <c r="M398" s="115"/>
      <c r="N398" s="127"/>
      <c r="O398" s="29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25"/>
      <c r="B399" s="126"/>
      <c r="C399" s="126"/>
      <c r="D399" s="126"/>
      <c r="H399" s="115"/>
      <c r="I399" s="115"/>
      <c r="J399" s="115"/>
      <c r="K399" s="115"/>
      <c r="L399" s="115"/>
      <c r="M399" s="115"/>
      <c r="N399" s="127"/>
      <c r="O399" s="29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25"/>
      <c r="B400" s="126"/>
      <c r="C400" s="126"/>
      <c r="D400" s="126"/>
      <c r="H400" s="115"/>
      <c r="I400" s="115"/>
      <c r="J400" s="115"/>
      <c r="K400" s="115"/>
      <c r="L400" s="115"/>
      <c r="M400" s="115"/>
      <c r="N400" s="127"/>
      <c r="O400" s="29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25"/>
      <c r="B401" s="126"/>
      <c r="C401" s="126"/>
      <c r="D401" s="126"/>
      <c r="N401" s="127"/>
      <c r="O401" s="29"/>
      <c r="AE401" s="127"/>
      <c r="AF401" s="29"/>
    </row>
    <row r="402" spans="1:32" ht="19.5" x14ac:dyDescent="0.4">
      <c r="A402" s="125"/>
      <c r="B402" s="126"/>
      <c r="C402" s="126"/>
      <c r="D402" s="126"/>
      <c r="H402" s="115"/>
      <c r="I402" s="115"/>
      <c r="J402" s="115"/>
      <c r="K402" s="115"/>
      <c r="L402" s="115"/>
      <c r="M402" s="115"/>
      <c r="N402" s="127"/>
      <c r="O402" s="29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25"/>
      <c r="B403" s="126"/>
      <c r="C403" s="126"/>
      <c r="D403" s="126"/>
      <c r="H403" s="115"/>
      <c r="I403" s="115"/>
      <c r="J403" s="115"/>
      <c r="K403" s="115"/>
      <c r="L403" s="115"/>
      <c r="M403" s="115"/>
      <c r="N403" s="127"/>
      <c r="O403" s="29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25"/>
      <c r="B404" s="126"/>
      <c r="C404" s="126"/>
      <c r="D404" s="126"/>
      <c r="H404" s="115"/>
      <c r="I404" s="115"/>
      <c r="J404" s="115"/>
      <c r="K404" s="115"/>
      <c r="L404" s="115"/>
      <c r="M404" s="115"/>
      <c r="N404" s="29"/>
      <c r="O404" s="29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25"/>
      <c r="B405" s="126"/>
      <c r="C405" s="126"/>
      <c r="D405" s="126"/>
      <c r="N405" s="127"/>
      <c r="O405" s="29"/>
      <c r="AE405" s="127"/>
      <c r="AF405" s="29"/>
    </row>
    <row r="406" spans="1:32" ht="19.5" x14ac:dyDescent="0.4">
      <c r="A406" s="125"/>
      <c r="B406" s="126"/>
      <c r="C406" s="126"/>
      <c r="D406" s="126"/>
      <c r="H406" s="115"/>
      <c r="I406" s="115"/>
      <c r="J406" s="115"/>
      <c r="K406" s="115"/>
      <c r="L406" s="115"/>
      <c r="M406" s="115"/>
      <c r="N406" s="127"/>
      <c r="O406" s="29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25"/>
      <c r="B407" s="126"/>
      <c r="C407" s="126"/>
      <c r="D407" s="126"/>
      <c r="H407" s="115"/>
      <c r="I407" s="115"/>
      <c r="J407" s="115"/>
      <c r="K407" s="115"/>
      <c r="L407" s="115"/>
      <c r="M407" s="115"/>
      <c r="N407" s="127"/>
      <c r="O407" s="29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25"/>
      <c r="B408" s="126"/>
      <c r="C408" s="126"/>
      <c r="D408" s="126"/>
      <c r="H408" s="115"/>
      <c r="I408" s="115"/>
      <c r="J408" s="115"/>
      <c r="K408" s="115"/>
      <c r="L408" s="115"/>
      <c r="M408" s="115"/>
      <c r="N408" s="29"/>
      <c r="O408" s="29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25"/>
      <c r="B409" s="126"/>
      <c r="C409" s="126"/>
      <c r="D409" s="126"/>
      <c r="N409" s="127"/>
      <c r="O409" s="29"/>
      <c r="AE409" s="127"/>
      <c r="AF409" s="29"/>
    </row>
    <row r="410" spans="1:32" ht="19.5" x14ac:dyDescent="0.4">
      <c r="A410" s="125"/>
      <c r="B410" s="126"/>
      <c r="C410" s="126"/>
      <c r="D410" s="126"/>
      <c r="H410" s="115"/>
      <c r="I410" s="115"/>
      <c r="J410" s="115"/>
      <c r="K410" s="115"/>
      <c r="L410" s="115"/>
      <c r="M410" s="115"/>
      <c r="N410" s="29"/>
      <c r="O410" s="29"/>
      <c r="AA410" s="115"/>
      <c r="AB410" s="115"/>
      <c r="AC410" s="115"/>
      <c r="AD410" s="115"/>
      <c r="AE410" s="29"/>
      <c r="AF410" s="29"/>
    </row>
    <row r="411" spans="1:32" ht="19.5" x14ac:dyDescent="0.4">
      <c r="A411" s="125"/>
      <c r="B411" s="126"/>
      <c r="C411" s="126"/>
      <c r="D411" s="126"/>
      <c r="N411" s="127"/>
      <c r="O411" s="29"/>
      <c r="AE411" s="127"/>
      <c r="AF411" s="29"/>
    </row>
    <row r="412" spans="1:32" ht="19.5" x14ac:dyDescent="0.4">
      <c r="A412" s="125"/>
      <c r="B412" s="126"/>
      <c r="C412" s="126"/>
      <c r="D412" s="126"/>
      <c r="H412" s="115"/>
      <c r="I412" s="115"/>
      <c r="J412" s="115"/>
      <c r="K412" s="115"/>
      <c r="L412" s="115"/>
      <c r="M412" s="115"/>
      <c r="N412" s="127"/>
      <c r="O412" s="29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25"/>
      <c r="B413" s="126"/>
      <c r="C413" s="126"/>
      <c r="D413" s="126"/>
      <c r="N413" s="127"/>
      <c r="O413" s="29"/>
      <c r="AE413" s="127"/>
      <c r="AF413" s="29"/>
    </row>
    <row r="414" spans="1:32" ht="19.5" x14ac:dyDescent="0.4">
      <c r="A414" s="125"/>
      <c r="B414" s="126"/>
      <c r="C414" s="126"/>
      <c r="D414" s="126"/>
      <c r="H414" s="115"/>
      <c r="I414" s="115"/>
      <c r="J414" s="115"/>
      <c r="K414" s="115"/>
      <c r="L414" s="115"/>
      <c r="M414" s="115"/>
      <c r="N414" s="127"/>
      <c r="O414" s="29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25"/>
      <c r="B415" s="126"/>
      <c r="C415" s="126"/>
      <c r="D415" s="126"/>
      <c r="N415" s="127"/>
      <c r="O415" s="29"/>
      <c r="AE415" s="127"/>
      <c r="AF415" s="29"/>
    </row>
    <row r="416" spans="1:32" ht="19.5" x14ac:dyDescent="0.4">
      <c r="A416" s="125"/>
      <c r="B416" s="126"/>
      <c r="C416" s="126"/>
      <c r="D416" s="126"/>
      <c r="H416" s="115"/>
      <c r="I416" s="115"/>
      <c r="J416" s="115"/>
      <c r="K416" s="115"/>
      <c r="L416" s="115"/>
      <c r="M416" s="115"/>
      <c r="N416" s="127"/>
      <c r="O416" s="29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25"/>
      <c r="B417" s="126"/>
      <c r="C417" s="126"/>
      <c r="D417" s="126"/>
      <c r="H417" s="115"/>
      <c r="I417" s="115"/>
      <c r="J417" s="115"/>
      <c r="K417" s="115"/>
      <c r="L417" s="115"/>
      <c r="M417" s="115"/>
      <c r="N417" s="29"/>
      <c r="O417" s="29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25"/>
      <c r="B418" s="126"/>
      <c r="C418" s="126"/>
      <c r="D418" s="126"/>
      <c r="H418" s="115"/>
      <c r="I418" s="115"/>
      <c r="J418" s="115"/>
      <c r="K418" s="115"/>
      <c r="L418" s="115"/>
      <c r="M418" s="115"/>
      <c r="N418" s="127"/>
      <c r="O418" s="29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25"/>
      <c r="B419" s="126"/>
      <c r="C419" s="126"/>
      <c r="D419" s="126"/>
      <c r="H419" s="115"/>
      <c r="I419" s="115"/>
      <c r="J419" s="115"/>
      <c r="K419" s="115"/>
      <c r="L419" s="115"/>
      <c r="M419" s="115"/>
      <c r="N419" s="29"/>
      <c r="O419" s="29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25"/>
      <c r="B420" s="126"/>
      <c r="C420" s="126"/>
      <c r="D420" s="126"/>
      <c r="H420" s="115"/>
      <c r="I420" s="115"/>
      <c r="J420" s="115"/>
      <c r="K420" s="115"/>
      <c r="L420" s="115"/>
      <c r="M420" s="115"/>
      <c r="N420" s="29"/>
      <c r="O420" s="29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25"/>
      <c r="B421" s="126"/>
      <c r="C421" s="126"/>
      <c r="D421" s="126"/>
      <c r="H421" s="115"/>
      <c r="I421" s="115"/>
      <c r="J421" s="115"/>
      <c r="K421" s="115"/>
      <c r="L421" s="115"/>
      <c r="M421" s="115"/>
      <c r="N421" s="29"/>
      <c r="O421" s="29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25"/>
      <c r="B422" s="126"/>
      <c r="C422" s="126"/>
      <c r="D422" s="126"/>
      <c r="H422" s="115"/>
      <c r="I422" s="115"/>
      <c r="J422" s="115"/>
      <c r="K422" s="115"/>
      <c r="L422" s="115"/>
      <c r="M422" s="115"/>
      <c r="N422" s="127"/>
      <c r="O422" s="29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25"/>
      <c r="B423" s="126"/>
      <c r="C423" s="126"/>
      <c r="D423" s="126"/>
      <c r="H423" s="115"/>
      <c r="I423" s="115"/>
      <c r="J423" s="115"/>
      <c r="K423" s="115"/>
      <c r="L423" s="115"/>
      <c r="M423" s="115"/>
      <c r="N423" s="127"/>
      <c r="O423" s="29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25"/>
      <c r="B424" s="126"/>
      <c r="C424" s="126"/>
      <c r="D424" s="126"/>
      <c r="N424" s="127"/>
      <c r="O424" s="29"/>
      <c r="AE424" s="127"/>
      <c r="AF424" s="29"/>
    </row>
    <row r="425" spans="1:32" ht="19.5" x14ac:dyDescent="0.4">
      <c r="A425" s="125"/>
      <c r="B425" s="126"/>
      <c r="C425" s="126"/>
      <c r="D425" s="126"/>
      <c r="H425" s="115"/>
      <c r="I425" s="115"/>
      <c r="J425" s="115"/>
      <c r="K425" s="115"/>
      <c r="L425" s="115"/>
      <c r="M425" s="115"/>
      <c r="N425" s="29"/>
      <c r="O425" s="29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25"/>
      <c r="B426" s="126"/>
      <c r="C426" s="126"/>
      <c r="D426" s="126"/>
      <c r="H426" s="115"/>
      <c r="I426" s="115"/>
      <c r="J426" s="115"/>
      <c r="K426" s="115"/>
      <c r="L426" s="115"/>
      <c r="M426" s="115"/>
      <c r="N426" s="127"/>
      <c r="O426" s="29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25"/>
      <c r="B427" s="126"/>
      <c r="C427" s="126"/>
      <c r="D427" s="126"/>
      <c r="N427" s="127"/>
      <c r="O427" s="29"/>
      <c r="AE427" s="127"/>
      <c r="AF427" s="29"/>
    </row>
    <row r="428" spans="1:32" ht="19.5" x14ac:dyDescent="0.4">
      <c r="A428" s="125"/>
      <c r="B428" s="126"/>
      <c r="C428" s="126"/>
      <c r="D428" s="126"/>
      <c r="H428" s="115"/>
      <c r="I428" s="115"/>
      <c r="J428" s="115"/>
      <c r="K428" s="115"/>
      <c r="L428" s="115"/>
      <c r="M428" s="115"/>
      <c r="N428" s="127"/>
      <c r="O428" s="29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25"/>
      <c r="B429" s="126"/>
      <c r="C429" s="126"/>
      <c r="D429" s="126"/>
      <c r="H429" s="115"/>
      <c r="I429" s="115"/>
      <c r="J429" s="115"/>
      <c r="K429" s="115"/>
      <c r="L429" s="115"/>
      <c r="M429" s="115"/>
      <c r="N429" s="127"/>
      <c r="O429" s="29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25"/>
      <c r="B430" s="126"/>
      <c r="C430" s="126"/>
      <c r="D430" s="126"/>
      <c r="H430" s="115"/>
      <c r="I430" s="115"/>
      <c r="J430" s="115"/>
      <c r="K430" s="115"/>
      <c r="L430" s="115"/>
      <c r="M430" s="115"/>
      <c r="N430" s="127"/>
      <c r="O430" s="29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25"/>
      <c r="B431" s="126"/>
      <c r="C431" s="126"/>
      <c r="D431" s="126"/>
      <c r="H431" s="115"/>
      <c r="I431" s="115"/>
      <c r="J431" s="115"/>
      <c r="K431" s="115"/>
      <c r="L431" s="115"/>
      <c r="M431" s="115"/>
      <c r="N431" s="127"/>
      <c r="O431" s="29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25"/>
      <c r="B432" s="126"/>
      <c r="C432" s="126"/>
      <c r="D432" s="126"/>
      <c r="H432" s="115"/>
      <c r="I432" s="115"/>
      <c r="J432" s="115"/>
      <c r="K432" s="115"/>
      <c r="L432" s="115"/>
      <c r="M432" s="115"/>
      <c r="N432" s="29"/>
      <c r="O432" s="29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25"/>
      <c r="B433" s="126"/>
      <c r="C433" s="126"/>
      <c r="D433" s="126"/>
      <c r="H433" s="115"/>
      <c r="I433" s="115"/>
      <c r="J433" s="115"/>
      <c r="K433" s="115"/>
      <c r="L433" s="115"/>
      <c r="M433" s="115"/>
      <c r="N433" s="127"/>
      <c r="O433" s="29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25"/>
      <c r="B434" s="126"/>
      <c r="C434" s="126"/>
      <c r="D434" s="126"/>
      <c r="H434" s="115"/>
      <c r="I434" s="115"/>
      <c r="J434" s="115"/>
      <c r="K434" s="115"/>
      <c r="L434" s="115"/>
      <c r="M434" s="115"/>
      <c r="N434" s="127"/>
      <c r="O434" s="29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25"/>
      <c r="B435" s="126"/>
      <c r="C435" s="126"/>
      <c r="D435" s="126"/>
      <c r="H435" s="115"/>
      <c r="I435" s="115"/>
      <c r="J435" s="115"/>
      <c r="K435" s="115"/>
      <c r="L435" s="115"/>
      <c r="M435" s="115"/>
      <c r="N435" s="127"/>
      <c r="O435" s="29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25"/>
      <c r="B436" s="126"/>
      <c r="C436" s="126"/>
      <c r="D436" s="126"/>
      <c r="H436" s="115"/>
      <c r="I436" s="115"/>
      <c r="J436" s="115"/>
      <c r="K436" s="115"/>
      <c r="L436" s="115"/>
      <c r="M436" s="115"/>
      <c r="N436" s="127"/>
      <c r="O436" s="29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25"/>
      <c r="B437" s="126"/>
      <c r="C437" s="126"/>
      <c r="D437" s="126"/>
      <c r="H437" s="115"/>
      <c r="I437" s="115"/>
      <c r="J437" s="115"/>
      <c r="K437" s="115"/>
      <c r="L437" s="115"/>
      <c r="M437" s="115"/>
      <c r="N437" s="127"/>
      <c r="O437" s="29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25"/>
      <c r="B438" s="126"/>
      <c r="C438" s="126"/>
      <c r="D438" s="126"/>
      <c r="H438" s="115"/>
      <c r="I438" s="115"/>
      <c r="J438" s="115"/>
      <c r="K438" s="115"/>
      <c r="L438" s="115"/>
      <c r="M438" s="115"/>
      <c r="N438" s="127"/>
      <c r="O438" s="29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25"/>
      <c r="B439" s="126"/>
      <c r="C439" s="126"/>
      <c r="D439" s="126"/>
      <c r="H439" s="115"/>
      <c r="I439" s="115"/>
      <c r="J439" s="115"/>
      <c r="K439" s="115"/>
      <c r="L439" s="115"/>
      <c r="M439" s="115"/>
      <c r="N439" s="127"/>
      <c r="O439" s="29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25"/>
      <c r="B440" s="126"/>
      <c r="C440" s="126"/>
      <c r="D440" s="126"/>
      <c r="H440" s="115"/>
      <c r="I440" s="115"/>
      <c r="J440" s="115"/>
      <c r="K440" s="115"/>
      <c r="L440" s="115"/>
      <c r="M440" s="115"/>
      <c r="N440" s="127"/>
      <c r="O440" s="29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25"/>
      <c r="B441" s="126"/>
      <c r="C441" s="126"/>
      <c r="D441" s="126"/>
      <c r="H441" s="115"/>
      <c r="I441" s="115"/>
      <c r="J441" s="115"/>
      <c r="K441" s="115"/>
      <c r="L441" s="115"/>
      <c r="M441" s="115"/>
      <c r="N441" s="29"/>
      <c r="O441" s="29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25"/>
      <c r="B442" s="126"/>
      <c r="C442" s="126"/>
      <c r="D442" s="126"/>
      <c r="N442" s="127"/>
      <c r="O442" s="29"/>
      <c r="AE442" s="127"/>
      <c r="AF442" s="29"/>
    </row>
    <row r="443" spans="1:32" ht="19.5" x14ac:dyDescent="0.4">
      <c r="A443" s="125"/>
      <c r="B443" s="126"/>
      <c r="C443" s="126"/>
      <c r="D443" s="126"/>
      <c r="H443" s="115"/>
      <c r="I443" s="115"/>
      <c r="J443" s="115"/>
      <c r="K443" s="115"/>
      <c r="L443" s="115"/>
      <c r="M443" s="115"/>
      <c r="N443" s="29"/>
      <c r="O443" s="29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25"/>
      <c r="B444" s="126"/>
      <c r="C444" s="126"/>
      <c r="D444" s="126"/>
      <c r="N444" s="127"/>
      <c r="O444" s="29"/>
      <c r="AE444" s="127"/>
      <c r="AF444" s="29"/>
    </row>
    <row r="445" spans="1:32" ht="19.5" x14ac:dyDescent="0.4">
      <c r="A445" s="125"/>
      <c r="B445" s="126"/>
      <c r="C445" s="126"/>
      <c r="D445" s="126"/>
      <c r="H445" s="115"/>
      <c r="I445" s="115"/>
      <c r="J445" s="115"/>
      <c r="K445" s="115"/>
      <c r="L445" s="115"/>
      <c r="M445" s="115"/>
      <c r="N445" s="29"/>
      <c r="O445" s="29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25"/>
      <c r="B446" s="126"/>
      <c r="C446" s="126"/>
      <c r="D446" s="126"/>
      <c r="H446" s="115"/>
      <c r="I446" s="115"/>
      <c r="J446" s="115"/>
      <c r="K446" s="115"/>
      <c r="L446" s="115"/>
      <c r="M446" s="115"/>
      <c r="N446" s="127"/>
      <c r="O446" s="29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25"/>
      <c r="B447" s="126"/>
      <c r="C447" s="126"/>
      <c r="D447" s="126"/>
      <c r="H447" s="115"/>
      <c r="I447" s="115"/>
      <c r="J447" s="115"/>
      <c r="K447" s="115"/>
      <c r="L447" s="115"/>
      <c r="M447" s="115"/>
      <c r="N447" s="29"/>
      <c r="O447" s="29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25"/>
      <c r="B448" s="126"/>
      <c r="C448" s="126"/>
      <c r="D448" s="126"/>
      <c r="H448" s="115"/>
      <c r="I448" s="115"/>
      <c r="J448" s="115"/>
      <c r="K448" s="115"/>
      <c r="L448" s="115"/>
      <c r="M448" s="115"/>
      <c r="N448" s="127"/>
      <c r="O448" s="29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25"/>
      <c r="B449" s="126"/>
      <c r="C449" s="126"/>
      <c r="D449" s="126"/>
      <c r="H449" s="115"/>
      <c r="I449" s="115"/>
      <c r="J449" s="115"/>
      <c r="K449" s="115"/>
      <c r="L449" s="115"/>
      <c r="M449" s="115"/>
      <c r="N449" s="29"/>
      <c r="O449" s="29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25"/>
      <c r="B450" s="126"/>
      <c r="C450" s="126"/>
      <c r="D450" s="126"/>
      <c r="H450" s="115"/>
      <c r="I450" s="115"/>
      <c r="J450" s="115"/>
      <c r="K450" s="115"/>
      <c r="L450" s="115"/>
      <c r="M450" s="115"/>
      <c r="N450" s="127"/>
      <c r="O450" s="29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25"/>
      <c r="B451" s="126"/>
      <c r="C451" s="126"/>
      <c r="D451" s="126"/>
      <c r="H451" s="115"/>
      <c r="I451" s="115"/>
      <c r="J451" s="115"/>
      <c r="K451" s="115"/>
      <c r="L451" s="115"/>
      <c r="M451" s="115"/>
      <c r="N451" s="29"/>
      <c r="O451" s="29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25"/>
      <c r="B452" s="126"/>
      <c r="C452" s="126"/>
      <c r="D452" s="126"/>
      <c r="H452" s="115"/>
      <c r="I452" s="115"/>
      <c r="J452" s="115"/>
      <c r="K452" s="115"/>
      <c r="L452" s="115"/>
      <c r="M452" s="115"/>
      <c r="N452" s="29"/>
      <c r="O452" s="29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25"/>
      <c r="B453" s="126"/>
      <c r="C453" s="126"/>
      <c r="D453" s="126"/>
      <c r="H453" s="115"/>
      <c r="I453" s="115"/>
      <c r="J453" s="115"/>
      <c r="K453" s="115"/>
      <c r="L453" s="115"/>
      <c r="M453" s="115"/>
      <c r="N453" s="29"/>
      <c r="O453" s="29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25"/>
      <c r="B454" s="126"/>
      <c r="C454" s="126"/>
      <c r="D454" s="126"/>
      <c r="H454" s="115"/>
      <c r="I454" s="115"/>
      <c r="J454" s="115"/>
      <c r="K454" s="115"/>
      <c r="L454" s="115"/>
      <c r="M454" s="115"/>
      <c r="N454" s="127"/>
      <c r="O454" s="29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25"/>
      <c r="B455" s="126"/>
      <c r="C455" s="126"/>
      <c r="D455" s="126"/>
      <c r="N455" s="127"/>
      <c r="O455" s="29"/>
      <c r="AE455" s="127"/>
      <c r="AF455" s="29"/>
    </row>
    <row r="456" spans="1:32" ht="19.5" x14ac:dyDescent="0.4">
      <c r="A456" s="125"/>
      <c r="B456" s="126"/>
      <c r="C456" s="126"/>
      <c r="D456" s="126"/>
      <c r="H456" s="115"/>
      <c r="I456" s="115"/>
      <c r="J456" s="115"/>
      <c r="K456" s="115"/>
      <c r="L456" s="115"/>
      <c r="M456" s="115"/>
      <c r="N456" s="127"/>
      <c r="O456" s="29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25"/>
      <c r="B457" s="126"/>
      <c r="C457" s="126"/>
      <c r="D457" s="126"/>
      <c r="H457" s="115"/>
      <c r="I457" s="115"/>
      <c r="J457" s="115"/>
      <c r="K457" s="115"/>
      <c r="L457" s="115"/>
      <c r="M457" s="115"/>
      <c r="N457" s="127"/>
      <c r="O457" s="29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25"/>
      <c r="B458" s="126"/>
      <c r="C458" s="126"/>
      <c r="D458" s="126"/>
      <c r="H458" s="115"/>
      <c r="I458" s="115"/>
      <c r="J458" s="115"/>
      <c r="K458" s="115"/>
      <c r="L458" s="115"/>
      <c r="M458" s="115"/>
      <c r="N458" s="29"/>
      <c r="O458" s="29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25"/>
      <c r="B459" s="126"/>
      <c r="C459" s="126"/>
      <c r="D459" s="126"/>
      <c r="H459" s="115"/>
      <c r="I459" s="115"/>
      <c r="J459" s="115"/>
      <c r="K459" s="115"/>
      <c r="L459" s="115"/>
      <c r="M459" s="115"/>
      <c r="N459" s="127"/>
      <c r="O459" s="29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25"/>
      <c r="B460" s="126"/>
      <c r="C460" s="126"/>
      <c r="D460" s="126"/>
      <c r="H460" s="115"/>
      <c r="I460" s="115"/>
      <c r="J460" s="115"/>
      <c r="K460" s="115"/>
      <c r="L460" s="115"/>
      <c r="M460" s="115"/>
      <c r="N460" s="29"/>
      <c r="O460" s="29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25"/>
      <c r="B461" s="126"/>
      <c r="C461" s="126"/>
      <c r="D461" s="126"/>
      <c r="H461" s="115"/>
      <c r="I461" s="115"/>
      <c r="J461" s="115"/>
      <c r="K461" s="115"/>
      <c r="L461" s="115"/>
      <c r="M461" s="115"/>
      <c r="N461" s="127"/>
      <c r="O461" s="29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25"/>
      <c r="B462" s="126"/>
      <c r="C462" s="126"/>
      <c r="D462" s="126"/>
      <c r="N462" s="127"/>
      <c r="O462" s="29"/>
      <c r="AE462" s="127"/>
      <c r="AF462" s="29"/>
    </row>
    <row r="463" spans="1:32" ht="19.5" x14ac:dyDescent="0.4">
      <c r="A463" s="125"/>
      <c r="B463" s="126"/>
      <c r="C463" s="126"/>
      <c r="D463" s="126"/>
      <c r="N463" s="127"/>
      <c r="O463" s="29"/>
      <c r="AE463" s="127"/>
      <c r="AF463" s="29"/>
    </row>
    <row r="464" spans="1:32" ht="19.5" x14ac:dyDescent="0.4">
      <c r="A464" s="125"/>
      <c r="B464" s="126"/>
      <c r="C464" s="126"/>
      <c r="D464" s="126"/>
      <c r="H464" s="115"/>
      <c r="I464" s="115"/>
      <c r="J464" s="115"/>
      <c r="K464" s="115"/>
      <c r="L464" s="115"/>
      <c r="M464" s="115"/>
      <c r="N464" s="127"/>
      <c r="O464" s="29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25"/>
      <c r="B465" s="126"/>
      <c r="C465" s="126"/>
      <c r="D465" s="126"/>
      <c r="H465" s="115"/>
      <c r="I465" s="115"/>
      <c r="J465" s="115"/>
      <c r="K465" s="115"/>
      <c r="L465" s="115"/>
      <c r="M465" s="115"/>
      <c r="N465" s="127"/>
      <c r="O465" s="29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25"/>
      <c r="B466" s="126"/>
      <c r="C466" s="126"/>
      <c r="D466" s="126"/>
      <c r="H466" s="115"/>
      <c r="I466" s="115"/>
      <c r="J466" s="115"/>
      <c r="K466" s="115"/>
      <c r="L466" s="115"/>
      <c r="M466" s="115"/>
      <c r="N466" s="29"/>
      <c r="O466" s="29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25"/>
      <c r="B467" s="126"/>
      <c r="C467" s="126"/>
      <c r="D467" s="126"/>
      <c r="N467" s="127"/>
      <c r="O467" s="29"/>
      <c r="AE467" s="127"/>
      <c r="AF467" s="29"/>
    </row>
    <row r="468" spans="1:32" ht="19.5" x14ac:dyDescent="0.4">
      <c r="A468" s="125"/>
      <c r="B468" s="126"/>
      <c r="C468" s="126"/>
      <c r="D468" s="126"/>
      <c r="H468" s="115"/>
      <c r="I468" s="115"/>
      <c r="J468" s="115"/>
      <c r="K468" s="115"/>
      <c r="L468" s="115"/>
      <c r="M468" s="115"/>
      <c r="N468" s="127"/>
      <c r="O468" s="29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25"/>
      <c r="B469" s="126"/>
      <c r="C469" s="126"/>
      <c r="D469" s="126"/>
      <c r="H469" s="115"/>
      <c r="I469" s="115"/>
      <c r="J469" s="115"/>
      <c r="K469" s="115"/>
      <c r="L469" s="115"/>
      <c r="M469" s="115"/>
      <c r="N469" s="127"/>
      <c r="O469" s="29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25"/>
      <c r="B470" s="126"/>
      <c r="C470" s="126"/>
      <c r="D470" s="126"/>
      <c r="N470" s="127"/>
      <c r="O470" s="29"/>
      <c r="AE470" s="127"/>
      <c r="AF470" s="29"/>
    </row>
    <row r="471" spans="1:32" ht="19.5" x14ac:dyDescent="0.4">
      <c r="A471" s="125"/>
      <c r="B471" s="126"/>
      <c r="C471" s="126"/>
      <c r="D471" s="126"/>
      <c r="H471" s="115"/>
      <c r="I471" s="115"/>
      <c r="J471" s="115"/>
      <c r="K471" s="115"/>
      <c r="L471" s="115"/>
      <c r="M471" s="115"/>
      <c r="N471" s="127"/>
      <c r="O471" s="29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25"/>
      <c r="B472" s="126"/>
      <c r="C472" s="126"/>
      <c r="D472" s="126"/>
      <c r="N472" s="127"/>
      <c r="O472" s="29"/>
      <c r="AE472" s="127"/>
      <c r="AF472" s="29"/>
    </row>
    <row r="473" spans="1:32" ht="19.5" x14ac:dyDescent="0.4">
      <c r="A473" s="125"/>
      <c r="B473" s="126"/>
      <c r="C473" s="126"/>
      <c r="D473" s="126"/>
      <c r="H473" s="115"/>
      <c r="I473" s="115"/>
      <c r="J473" s="115"/>
      <c r="K473" s="115"/>
      <c r="L473" s="115"/>
      <c r="M473" s="115"/>
      <c r="N473" s="29"/>
      <c r="O473" s="29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25"/>
      <c r="B474" s="126"/>
      <c r="C474" s="126"/>
      <c r="D474" s="126"/>
      <c r="H474" s="115"/>
      <c r="I474" s="115"/>
      <c r="J474" s="115"/>
      <c r="K474" s="115"/>
      <c r="L474" s="115"/>
      <c r="M474" s="115"/>
      <c r="N474" s="127"/>
      <c r="O474" s="29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25"/>
      <c r="B475" s="126"/>
      <c r="C475" s="126"/>
      <c r="D475" s="126"/>
      <c r="H475" s="115"/>
      <c r="I475" s="115"/>
      <c r="J475" s="115"/>
      <c r="K475" s="115"/>
      <c r="L475" s="115"/>
      <c r="M475" s="115"/>
      <c r="N475" s="127"/>
      <c r="O475" s="29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25"/>
      <c r="B476" s="126"/>
      <c r="C476" s="126"/>
      <c r="D476" s="126"/>
      <c r="H476" s="115"/>
      <c r="I476" s="115"/>
      <c r="J476" s="115"/>
      <c r="K476" s="115"/>
      <c r="L476" s="115"/>
      <c r="M476" s="115"/>
      <c r="N476" s="127"/>
      <c r="O476" s="29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25"/>
      <c r="B477" s="126"/>
      <c r="C477" s="126"/>
      <c r="D477" s="126"/>
      <c r="H477" s="115"/>
      <c r="I477" s="115"/>
      <c r="J477" s="115"/>
      <c r="K477" s="115"/>
      <c r="L477" s="115"/>
      <c r="M477" s="115"/>
      <c r="N477" s="127"/>
      <c r="O477" s="29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25"/>
      <c r="B478" s="126"/>
      <c r="C478" s="126"/>
      <c r="D478" s="126"/>
      <c r="H478" s="115"/>
      <c r="I478" s="115"/>
      <c r="J478" s="115"/>
      <c r="K478" s="115"/>
      <c r="L478" s="115"/>
      <c r="M478" s="115"/>
      <c r="N478" s="127"/>
      <c r="O478" s="29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25"/>
      <c r="B479" s="126"/>
      <c r="C479" s="126"/>
      <c r="D479" s="126"/>
      <c r="N479" s="127"/>
      <c r="O479" s="29"/>
      <c r="AE479" s="127"/>
      <c r="AF479" s="29"/>
    </row>
    <row r="480" spans="1:32" ht="19.5" x14ac:dyDescent="0.4">
      <c r="A480" s="125"/>
      <c r="B480" s="126"/>
      <c r="C480" s="126"/>
      <c r="D480" s="126"/>
      <c r="H480" s="115"/>
      <c r="I480" s="115"/>
      <c r="J480" s="115"/>
      <c r="K480" s="115"/>
      <c r="L480" s="115"/>
      <c r="M480" s="115"/>
      <c r="N480" s="127"/>
      <c r="O480" s="29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25"/>
      <c r="B481" s="126"/>
      <c r="C481" s="126"/>
      <c r="D481" s="126"/>
      <c r="N481" s="127"/>
      <c r="O481" s="29"/>
      <c r="AE481" s="127"/>
      <c r="AF481" s="29"/>
    </row>
    <row r="482" spans="1:32" ht="19.5" x14ac:dyDescent="0.4">
      <c r="A482" s="125"/>
      <c r="B482" s="126"/>
      <c r="C482" s="126"/>
      <c r="D482" s="126"/>
      <c r="N482" s="127"/>
      <c r="O482" s="29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127"/>
      <c r="O483" s="29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127"/>
      <c r="O484" s="29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127"/>
      <c r="O485" s="29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127"/>
      <c r="O486" s="29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127"/>
      <c r="O487" s="29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127"/>
      <c r="O488" s="29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127"/>
      <c r="O489" s="29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127"/>
      <c r="O490" s="29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127"/>
      <c r="O491" s="29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127"/>
      <c r="O492" s="29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127"/>
      <c r="O493" s="29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127"/>
      <c r="O494" s="29"/>
      <c r="AE494" s="127"/>
      <c r="AF494" s="29"/>
    </row>
    <row r="495" spans="1:32" x14ac:dyDescent="0.4">
      <c r="N495" s="127"/>
      <c r="O495" s="29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127"/>
      <c r="O496" s="29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127"/>
      <c r="O497" s="29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127"/>
      <c r="O498" s="29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127"/>
      <c r="O499" s="29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127"/>
      <c r="O500" s="29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29"/>
      <c r="O501" s="29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127"/>
      <c r="O502" s="29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127"/>
      <c r="O503" s="29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29"/>
      <c r="O504" s="29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127"/>
      <c r="O505" s="29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127"/>
      <c r="O506" s="29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127"/>
      <c r="O507" s="29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127"/>
      <c r="O508" s="29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127"/>
      <c r="O509" s="29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A1:A720">
    <sortCondition ref="A1:A720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2026-02-19T03:57:32Z</cp:lastPrinted>
  <dcterms:created xsi:type="dcterms:W3CDTF">2020-05-08T06:29:04Z</dcterms:created>
  <dcterms:modified xsi:type="dcterms:W3CDTF">2026-02-20T00:37:57Z</dcterms:modified>
</cp:coreProperties>
</file>