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4C162864-CD3A-498D-A890-AF58068609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3" l="1"/>
  <c r="D27" i="3"/>
  <c r="C27" i="3"/>
  <c r="B27" i="3"/>
  <c r="R145" i="3"/>
  <c r="Q145" i="3"/>
  <c r="R143" i="3"/>
  <c r="Q143" i="3"/>
  <c r="R141" i="3"/>
  <c r="Q141" i="3"/>
  <c r="R136" i="3"/>
  <c r="Q136" i="3"/>
  <c r="R131" i="3"/>
  <c r="Q131" i="3"/>
  <c r="R119" i="3"/>
  <c r="Q119" i="3"/>
  <c r="R116" i="3"/>
  <c r="Q116" i="3"/>
  <c r="R101" i="3"/>
  <c r="Q101" i="3"/>
  <c r="R97" i="3"/>
  <c r="Q97" i="3"/>
  <c r="R94" i="3"/>
  <c r="Q94" i="3"/>
  <c r="R90" i="3"/>
  <c r="Q90" i="3"/>
  <c r="R78" i="3"/>
  <c r="Q78" i="3"/>
  <c r="R70" i="3"/>
  <c r="Q70" i="3"/>
  <c r="R64" i="3"/>
  <c r="Q64" i="3"/>
  <c r="R60" i="3"/>
  <c r="Q60" i="3"/>
  <c r="R49" i="3"/>
  <c r="Q49" i="3"/>
  <c r="R45" i="3"/>
  <c r="Q45" i="3"/>
  <c r="R33" i="3"/>
  <c r="Q33" i="3"/>
  <c r="R30" i="3"/>
  <c r="Q30" i="3"/>
  <c r="R25" i="3"/>
  <c r="Q25" i="3"/>
  <c r="R22" i="3"/>
  <c r="Q22" i="3"/>
  <c r="R18" i="3"/>
  <c r="Q18" i="3"/>
  <c r="R14" i="3"/>
  <c r="Q14" i="3"/>
  <c r="R7" i="3"/>
  <c r="Q7" i="3"/>
  <c r="R5" i="3"/>
  <c r="Q5" i="3"/>
  <c r="R3" i="3"/>
  <c r="R146" i="3" s="1"/>
  <c r="Q3" i="3"/>
  <c r="Q146" i="3" s="1"/>
  <c r="A241" i="1"/>
  <c r="AC504" i="3"/>
  <c r="AA504" i="3"/>
  <c r="J26" i="4"/>
  <c r="I26" i="4"/>
  <c r="H26" i="4"/>
  <c r="J27" i="4" s="1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BA786" i="3"/>
  <c r="AZ786" i="3"/>
  <c r="BA781" i="3"/>
  <c r="AZ781" i="3"/>
  <c r="BA779" i="3"/>
  <c r="AZ779" i="3"/>
  <c r="BA765" i="3"/>
  <c r="AZ765" i="3"/>
  <c r="BA747" i="3"/>
  <c r="AZ747" i="3"/>
  <c r="BA736" i="3"/>
  <c r="AZ736" i="3"/>
  <c r="BA702" i="3"/>
  <c r="AZ702" i="3"/>
  <c r="BA689" i="3"/>
  <c r="AZ689" i="3"/>
  <c r="BA651" i="3"/>
  <c r="AZ651" i="3"/>
  <c r="BA642" i="3"/>
  <c r="AZ642" i="3"/>
  <c r="BA628" i="3"/>
  <c r="AZ628" i="3"/>
  <c r="BA595" i="3"/>
  <c r="AZ595" i="3"/>
  <c r="BA542" i="3"/>
  <c r="AZ542" i="3"/>
  <c r="BA530" i="3"/>
  <c r="AZ530" i="3"/>
  <c r="BA507" i="3"/>
  <c r="AZ507" i="3"/>
  <c r="BA492" i="3"/>
  <c r="AZ492" i="3"/>
  <c r="BA468" i="3"/>
  <c r="AZ468" i="3"/>
  <c r="BA450" i="3"/>
  <c r="AZ450" i="3"/>
  <c r="BA430" i="3"/>
  <c r="AZ430" i="3"/>
  <c r="BA416" i="3"/>
  <c r="AZ416" i="3"/>
  <c r="BA407" i="3"/>
  <c r="AZ407" i="3"/>
  <c r="BA333" i="3"/>
  <c r="AZ333" i="3"/>
  <c r="B61" i="1"/>
  <c r="A151" i="1"/>
  <c r="AB43" i="1"/>
  <c r="AZ787" i="3" l="1"/>
  <c r="BA787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11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<sst xmlns="http://schemas.openxmlformats.org/spreadsheetml/2006/main" count="2487" uniqueCount="351">
  <si>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</si>
  <si>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</si>
  <si>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</si>
  <si>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</si>
  <si>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</si>
  <si>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</si>
  <si>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</si>
  <si>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</si>
  <si>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</si>
  <si>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</si>
  <si>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</si>
  <si>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</si>
  <si>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</si>
  <si>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</si>
  <si>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</si>
  <si>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</si>
  <si>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</si>
  <si>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</si>
  <si>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</si>
  <si>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</si>
  <si>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</si>
  <si>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</si>
  <si>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</si>
  <si>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</si>
  <si>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</si>
  <si>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</si>
  <si>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</si>
  <si>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</si>
  <si>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</si>
  <si>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</si>
  <si>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</si>
  <si>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</si>
  <si>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</si>
  <si>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</si>
  <si>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</si>
  <si>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</si>
  <si>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</si>
  <si>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</si>
  <si>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</si>
  <si>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</si>
  <si>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</si>
  <si>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</si>
  <si>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</si>
  <si>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</si>
  <si>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</si>
  <si>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</si>
  <si>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</si>
  <si>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</si>
  <si>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</si>
  <si>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</si>
  <si>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</si>
  <si>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</si>
  <si>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</si>
  <si>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</si>
  <si>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</si>
  <si>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</si>
  <si>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</si>
  <si>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</si>
  <si>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</si>
  <si>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</si>
  <si>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</si>
  <si>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</si>
  <si>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</si>
  <si>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</si>
  <si>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</si>
  <si>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</si>
  <si>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</si>
  <si>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</si>
  <si>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</si>
  <si>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</si>
  <si>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</si>
  <si>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</si>
  <si>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</si>
  <si>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</si>
  <si>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</si>
  <si>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</si>
  <si>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</si>
  <si>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</si>
  <si>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</si>
  <si>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</si>
  <si>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</si>
  <si>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</si>
  <si>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</si>
  <si>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</si>
  <si>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</si>
  <si>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</si>
  <si>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</si>
  <si>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</si>
  <si>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</si>
  <si>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</si>
  <si>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</si>
  <si>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</si>
  <si>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</si>
  <si>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</si>
  <si>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</si>
  <si>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</si>
  <si>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</si>
  <si>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</si>
  <si>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</si>
  <si>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</si>
  <si>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</si>
  <si>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</si>
  <si>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</si>
  <si>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</si>
  <si>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</si>
  <si>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</si>
  <si>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</si>
  <si>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</si>
  <si>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</si>
  <si>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</si>
  <si>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</si>
  <si>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</si>
  <si>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</si>
  <si>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</si>
  <si>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</si>
  <si>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</si>
  <si>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</si>
  <si>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</si>
  <si>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</si>
  <si>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</si>
  <si>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</si>
  <si>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</si>
  <si>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</si>
  <si>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</si>
  <si>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</si>
  <si>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</si>
  <si>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</si>
  <si>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</si>
  <si>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</si>
  <si>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</si>
  <si>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</si>
  <si>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</si>
  <si>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</si>
  <si>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</si>
  <si>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</si>
  <si>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</si>
  <si>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</si>
  <si>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</si>
  <si>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</si>
  <si>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</si>
  <si>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</si>
  <si>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</si>
  <si>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</si>
  <si>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</si>
  <si>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</si>
  <si>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</si>
  <si>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</si>
  <si>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</si>
  <si>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</si>
  <si>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</si>
  <si>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</si>
  <si>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</si>
  <si>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</si>
  <si>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</si>
  <si>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</si>
  <si>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</si>
  <si>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</si>
  <si>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</si>
  <si>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</si>
  <si>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</si>
  <si>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</si>
  <si>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</si>
  <si>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</si>
  <si>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</si>
  <si>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</si>
  <si>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</si>
  <si>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</si>
  <si>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</si>
  <si>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</si>
  <si>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</si>
  <si>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</si>
  <si>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</si>
  <si>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</si>
  <si>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</si>
  <si>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</si>
  <si>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AYG085</t>
    <phoneticPr fontId="1"/>
  </si>
  <si>
    <t>AYG086</t>
    <phoneticPr fontId="1"/>
  </si>
  <si>
    <t>重量</t>
    <rPh sb="0" eb="2">
      <t>ジュウリョウ</t>
    </rPh>
    <phoneticPr fontId="1"/>
  </si>
  <si>
    <t>2025/6/16 個数</t>
  </si>
  <si>
    <t>2025/5/27 個数</t>
  </si>
  <si>
    <t>2025/6/8 個数</t>
  </si>
  <si>
    <t>2025/6/13 個数</t>
  </si>
  <si>
    <t>2025/6/18 個数</t>
  </si>
  <si>
    <t>2025/6/28 個数</t>
  </si>
  <si>
    <t>AYG108</t>
    <phoneticPr fontId="1"/>
  </si>
  <si>
    <t>AYG109</t>
    <phoneticPr fontId="1"/>
  </si>
  <si>
    <t>M032</t>
    <phoneticPr fontId="1"/>
  </si>
  <si>
    <t>S</t>
    <phoneticPr fontId="1"/>
  </si>
  <si>
    <t>M070</t>
    <phoneticPr fontId="1"/>
  </si>
  <si>
    <t>A250</t>
    <phoneticPr fontId="1"/>
  </si>
  <si>
    <t>A700</t>
    <phoneticPr fontId="1"/>
  </si>
  <si>
    <t>P</t>
    <phoneticPr fontId="1"/>
  </si>
  <si>
    <t>C</t>
    <phoneticPr fontId="1"/>
  </si>
  <si>
    <t>A732</t>
    <phoneticPr fontId="1"/>
  </si>
  <si>
    <t>A307</t>
    <phoneticPr fontId="1"/>
  </si>
  <si>
    <t>A997</t>
    <phoneticPr fontId="1"/>
  </si>
  <si>
    <t>E</t>
    <phoneticPr fontId="1"/>
  </si>
  <si>
    <t>M025</t>
    <phoneticPr fontId="1"/>
  </si>
  <si>
    <t>A913</t>
    <phoneticPr fontId="1"/>
  </si>
  <si>
    <t>M074</t>
    <phoneticPr fontId="1"/>
  </si>
  <si>
    <t>M079</t>
    <phoneticPr fontId="1"/>
  </si>
  <si>
    <t>A640</t>
    <phoneticPr fontId="1"/>
  </si>
  <si>
    <t>M100</t>
    <phoneticPr fontId="1"/>
  </si>
  <si>
    <t>A611</t>
    <phoneticPr fontId="1"/>
  </si>
  <si>
    <t>M078</t>
    <phoneticPr fontId="1"/>
  </si>
  <si>
    <t>A335</t>
    <phoneticPr fontId="1"/>
  </si>
  <si>
    <t>A545</t>
    <phoneticPr fontId="1"/>
  </si>
  <si>
    <t>A336</t>
    <phoneticPr fontId="1"/>
  </si>
  <si>
    <t>A550</t>
    <phoneticPr fontId="1"/>
  </si>
  <si>
    <t>A318</t>
    <phoneticPr fontId="1"/>
  </si>
  <si>
    <t>2025/6/11 個数</t>
  </si>
  <si>
    <t>2025/6/14 個数</t>
  </si>
  <si>
    <t>2025/6/15 個数</t>
  </si>
  <si>
    <t>2025/6/17 個数</t>
  </si>
  <si>
    <t>2025/6/20 個数</t>
  </si>
  <si>
    <t>2025/6/21 個数</t>
  </si>
  <si>
    <t>2025/6/22 個数</t>
  </si>
  <si>
    <t>2025/6/24 個数</t>
  </si>
  <si>
    <t>2025/6/26 個数</t>
  </si>
  <si>
    <t>07050190</t>
    <phoneticPr fontId="1"/>
  </si>
  <si>
    <t>07050167</t>
    <phoneticPr fontId="1"/>
  </si>
  <si>
    <t>07050163</t>
    <phoneticPr fontId="1"/>
  </si>
  <si>
    <t>07050162</t>
    <phoneticPr fontId="1"/>
  </si>
  <si>
    <t>07050165</t>
    <phoneticPr fontId="1"/>
  </si>
  <si>
    <t>07050166</t>
    <phoneticPr fontId="1"/>
  </si>
  <si>
    <t>07050189</t>
    <phoneticPr fontId="1"/>
  </si>
  <si>
    <t>07050188</t>
    <phoneticPr fontId="1"/>
  </si>
  <si>
    <t>07050090</t>
    <phoneticPr fontId="1"/>
  </si>
  <si>
    <t>07050092</t>
    <phoneticPr fontId="1"/>
  </si>
  <si>
    <t>07050093</t>
    <phoneticPr fontId="1"/>
  </si>
  <si>
    <t>07050171</t>
    <phoneticPr fontId="1"/>
  </si>
  <si>
    <t>07050173</t>
    <phoneticPr fontId="1"/>
  </si>
  <si>
    <t>07050174</t>
    <phoneticPr fontId="1"/>
  </si>
  <si>
    <t>07050191</t>
    <phoneticPr fontId="1"/>
  </si>
  <si>
    <t>07050192</t>
    <phoneticPr fontId="1"/>
  </si>
  <si>
    <t>07050193</t>
    <phoneticPr fontId="1"/>
  </si>
  <si>
    <t>07050194</t>
    <phoneticPr fontId="1"/>
  </si>
  <si>
    <t>07050195</t>
    <phoneticPr fontId="1"/>
  </si>
  <si>
    <t>A3335</t>
    <phoneticPr fontId="1"/>
  </si>
  <si>
    <t>07050205</t>
    <phoneticPr fontId="1"/>
  </si>
  <si>
    <t>07050049</t>
    <phoneticPr fontId="1"/>
  </si>
  <si>
    <t>07050157</t>
    <phoneticPr fontId="1"/>
  </si>
  <si>
    <t>07050158</t>
    <phoneticPr fontId="1"/>
  </si>
  <si>
    <t>A330</t>
    <phoneticPr fontId="1"/>
  </si>
  <si>
    <t>07050196</t>
    <phoneticPr fontId="1"/>
  </si>
  <si>
    <t>07050197</t>
    <phoneticPr fontId="1"/>
  </si>
  <si>
    <t>07050198</t>
    <phoneticPr fontId="1"/>
  </si>
  <si>
    <t>07050199</t>
    <phoneticPr fontId="1"/>
  </si>
  <si>
    <t>07050200</t>
    <phoneticPr fontId="1"/>
  </si>
  <si>
    <t>07050201</t>
    <phoneticPr fontId="1"/>
  </si>
  <si>
    <t>07050202</t>
    <phoneticPr fontId="1"/>
  </si>
  <si>
    <t>07050203</t>
    <phoneticPr fontId="1"/>
  </si>
  <si>
    <t>07050204</t>
    <phoneticPr fontId="1"/>
  </si>
  <si>
    <t>07050208</t>
    <phoneticPr fontId="1"/>
  </si>
  <si>
    <t>M015</t>
    <phoneticPr fontId="1"/>
  </si>
  <si>
    <t>07050211</t>
    <phoneticPr fontId="1"/>
  </si>
  <si>
    <t>07050212</t>
    <phoneticPr fontId="1"/>
  </si>
  <si>
    <t>07050226</t>
    <phoneticPr fontId="1"/>
  </si>
  <si>
    <t>07050112</t>
    <phoneticPr fontId="1"/>
  </si>
  <si>
    <t>07050172</t>
    <phoneticPr fontId="1"/>
  </si>
  <si>
    <t>07050213</t>
    <phoneticPr fontId="1"/>
  </si>
  <si>
    <t>07050217</t>
    <phoneticPr fontId="1"/>
  </si>
  <si>
    <t>07050219</t>
    <phoneticPr fontId="1"/>
  </si>
  <si>
    <t>07050220</t>
    <phoneticPr fontId="1"/>
  </si>
  <si>
    <t>07050221</t>
    <phoneticPr fontId="1"/>
  </si>
  <si>
    <t>07050222</t>
    <phoneticPr fontId="1"/>
  </si>
  <si>
    <t>07050223</t>
    <phoneticPr fontId="1"/>
  </si>
  <si>
    <t>07050224</t>
    <phoneticPr fontId="1"/>
  </si>
  <si>
    <t>0705023</t>
    <phoneticPr fontId="1"/>
  </si>
  <si>
    <t>07050240</t>
    <phoneticPr fontId="1"/>
  </si>
  <si>
    <t>07050269</t>
    <phoneticPr fontId="1"/>
  </si>
  <si>
    <t>07040561</t>
    <phoneticPr fontId="1"/>
  </si>
  <si>
    <t>07050210</t>
    <phoneticPr fontId="1"/>
  </si>
  <si>
    <t>07050218</t>
    <phoneticPr fontId="1"/>
  </si>
  <si>
    <t>07050239</t>
    <phoneticPr fontId="1"/>
  </si>
  <si>
    <t>07050264</t>
    <phoneticPr fontId="1"/>
  </si>
  <si>
    <t>07050277</t>
    <phoneticPr fontId="1"/>
  </si>
  <si>
    <t>07050278</t>
  </si>
  <si>
    <t>07050279</t>
  </si>
  <si>
    <t>07050280</t>
  </si>
  <si>
    <t>07050281</t>
  </si>
  <si>
    <t>07050282</t>
  </si>
  <si>
    <t>07050283</t>
  </si>
  <si>
    <t>07050291</t>
    <phoneticPr fontId="1"/>
  </si>
  <si>
    <t>07050292</t>
    <phoneticPr fontId="1"/>
  </si>
  <si>
    <t>07050209</t>
    <phoneticPr fontId="1"/>
  </si>
  <si>
    <t>07050293</t>
    <phoneticPr fontId="1"/>
  </si>
  <si>
    <t>07050295</t>
    <phoneticPr fontId="1"/>
  </si>
  <si>
    <t>07050296</t>
    <phoneticPr fontId="1"/>
  </si>
  <si>
    <t>07050299</t>
    <phoneticPr fontId="1"/>
  </si>
  <si>
    <t>07050300</t>
    <phoneticPr fontId="1"/>
  </si>
  <si>
    <t>07050301</t>
    <phoneticPr fontId="1"/>
  </si>
  <si>
    <t>A850</t>
    <phoneticPr fontId="1"/>
  </si>
  <si>
    <t>07050303</t>
    <phoneticPr fontId="1"/>
  </si>
  <si>
    <t>07050306</t>
    <phoneticPr fontId="1"/>
  </si>
  <si>
    <t>A552</t>
    <phoneticPr fontId="1"/>
  </si>
  <si>
    <t>07050307</t>
    <phoneticPr fontId="1"/>
  </si>
  <si>
    <t>07050308</t>
    <phoneticPr fontId="1"/>
  </si>
  <si>
    <t>07050227</t>
    <phoneticPr fontId="1"/>
  </si>
  <si>
    <t>07050229</t>
    <phoneticPr fontId="1"/>
  </si>
  <si>
    <t>07050236</t>
    <phoneticPr fontId="1"/>
  </si>
  <si>
    <t>07050241</t>
    <phoneticPr fontId="1"/>
  </si>
  <si>
    <t>07050246</t>
    <phoneticPr fontId="1"/>
  </si>
  <si>
    <t>07050247</t>
    <phoneticPr fontId="1"/>
  </si>
  <si>
    <t>07050248</t>
    <phoneticPr fontId="1"/>
  </si>
  <si>
    <t>07050261</t>
    <phoneticPr fontId="1"/>
  </si>
  <si>
    <t>07050263</t>
    <phoneticPr fontId="1"/>
  </si>
  <si>
    <t>07050267</t>
    <phoneticPr fontId="1"/>
  </si>
  <si>
    <t>07050287</t>
    <phoneticPr fontId="1"/>
  </si>
  <si>
    <t>07050271</t>
    <phoneticPr fontId="1"/>
  </si>
  <si>
    <t>07050309</t>
    <phoneticPr fontId="1"/>
  </si>
  <si>
    <t>07050310</t>
    <phoneticPr fontId="1"/>
  </si>
  <si>
    <t>07050311</t>
    <phoneticPr fontId="1"/>
  </si>
  <si>
    <t>07050333</t>
    <phoneticPr fontId="1"/>
  </si>
  <si>
    <t>07050334</t>
    <phoneticPr fontId="1"/>
  </si>
  <si>
    <t>07050329</t>
    <phoneticPr fontId="1"/>
  </si>
  <si>
    <t>07050335</t>
    <phoneticPr fontId="1"/>
  </si>
  <si>
    <t>07050324</t>
    <phoneticPr fontId="1"/>
  </si>
  <si>
    <t>07050325</t>
    <phoneticPr fontId="1"/>
  </si>
  <si>
    <t>07050326</t>
    <phoneticPr fontId="1"/>
  </si>
  <si>
    <t>07050327</t>
    <phoneticPr fontId="1"/>
  </si>
  <si>
    <t>07050328</t>
    <phoneticPr fontId="1"/>
  </si>
  <si>
    <t>07050330</t>
    <phoneticPr fontId="1"/>
  </si>
  <si>
    <t>07050331</t>
    <phoneticPr fontId="1"/>
  </si>
  <si>
    <t>07040573</t>
    <phoneticPr fontId="1"/>
  </si>
  <si>
    <t>07040589</t>
    <phoneticPr fontId="1"/>
  </si>
  <si>
    <t>07040607</t>
    <phoneticPr fontId="1"/>
  </si>
  <si>
    <t>07040608</t>
    <phoneticPr fontId="1"/>
  </si>
  <si>
    <t>07040670</t>
    <phoneticPr fontId="1"/>
  </si>
  <si>
    <t>07050321</t>
    <phoneticPr fontId="1"/>
  </si>
  <si>
    <t>07050323</t>
    <phoneticPr fontId="1"/>
  </si>
  <si>
    <t>07050332</t>
    <phoneticPr fontId="1"/>
  </si>
  <si>
    <t>07050336</t>
    <phoneticPr fontId="1"/>
  </si>
  <si>
    <t>07050338</t>
    <phoneticPr fontId="1"/>
  </si>
  <si>
    <t>07050339</t>
    <phoneticPr fontId="1"/>
  </si>
  <si>
    <t>07050340</t>
    <phoneticPr fontId="1"/>
  </si>
  <si>
    <t>07050355</t>
    <phoneticPr fontId="1"/>
  </si>
  <si>
    <t>07050356</t>
    <phoneticPr fontId="1"/>
  </si>
  <si>
    <t>07050358</t>
    <phoneticPr fontId="1"/>
  </si>
  <si>
    <t>07050359</t>
    <phoneticPr fontId="1"/>
  </si>
  <si>
    <t>2025/5/29 個数</t>
  </si>
  <si>
    <t>2025/6/7 個数</t>
  </si>
  <si>
    <t>2025/6/12 個数</t>
  </si>
  <si>
    <t>2025/6/23 個数</t>
  </si>
  <si>
    <t>2025/6/25 個数</t>
  </si>
  <si>
    <t>2025/6/29 個数</t>
  </si>
  <si>
    <t>2025/6/30 個数</t>
  </si>
  <si>
    <t>2025/7/2 個数</t>
  </si>
  <si>
    <t>2025/7/5 個数</t>
  </si>
  <si>
    <t>2025/7/8 個数</t>
  </si>
  <si>
    <t>2025/7/27 個数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</si>
</sst>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62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topLeftCell="A303" zoomScale="106" zoomScaleNormal="106" workbookViewId="0">
      <selection activeCell="X285" sqref="X285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185</v>
      </c>
      <c r="B1" s="24">
        <v>45799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35" t="s">
        <v>105</v>
      </c>
      <c r="Y2" s="136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37">
        <v>1</v>
      </c>
      <c r="B3" s="140"/>
      <c r="C3" s="85" t="s">
        <v>219</v>
      </c>
      <c r="D3" s="109" t="s">
        <v>190</v>
      </c>
      <c r="E3" s="15" t="s">
        <v>59</v>
      </c>
      <c r="F3" s="14"/>
      <c r="G3" s="12" t="s">
        <v>187</v>
      </c>
      <c r="H3" s="13" t="s">
        <v>196</v>
      </c>
      <c r="I3" s="13"/>
      <c r="J3" s="13">
        <v>2</v>
      </c>
      <c r="K3" s="13"/>
      <c r="L3" s="13"/>
      <c r="M3" s="13"/>
      <c r="N3" s="13"/>
      <c r="O3" s="13"/>
      <c r="P3" s="13"/>
      <c r="Q3" s="13"/>
      <c r="R3" s="13"/>
      <c r="S3" s="13"/>
      <c r="T3" s="25">
        <v>45830</v>
      </c>
      <c r="U3" s="13" t="s">
        <v>146</v>
      </c>
      <c r="V3">
        <v>1</v>
      </c>
      <c r="X3" s="51" t="s">
        <v>106</v>
      </c>
      <c r="Y3" s="52">
        <f>COUNTIF(U3:U27,"K")</f>
        <v>5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38"/>
      <c r="B4" s="141"/>
      <c r="C4" s="85" t="s">
        <v>220</v>
      </c>
      <c r="D4" s="109" t="s">
        <v>193</v>
      </c>
      <c r="E4" s="15" t="s">
        <v>44</v>
      </c>
      <c r="F4" s="16"/>
      <c r="G4" s="12" t="s">
        <v>187</v>
      </c>
      <c r="H4" s="15"/>
      <c r="I4" s="13"/>
      <c r="J4" s="15"/>
      <c r="K4" s="15"/>
      <c r="L4" s="17"/>
      <c r="M4" s="17">
        <v>1</v>
      </c>
      <c r="N4" s="13"/>
      <c r="O4" s="17"/>
      <c r="P4" s="17"/>
      <c r="Q4" s="17"/>
      <c r="R4" s="17"/>
      <c r="S4" s="15"/>
      <c r="T4" s="25">
        <v>45836</v>
      </c>
      <c r="U4" s="13" t="s">
        <v>146</v>
      </c>
      <c r="V4">
        <v>2</v>
      </c>
      <c r="X4" s="51" t="s">
        <v>107</v>
      </c>
      <c r="Y4" s="52">
        <f>COUNTIF(U3:U27,"R")</f>
        <v>0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38"/>
      <c r="B5" s="141"/>
      <c r="C5" s="85" t="s">
        <v>221</v>
      </c>
      <c r="D5" s="109" t="s">
        <v>209</v>
      </c>
      <c r="E5" s="15" t="s">
        <v>133</v>
      </c>
      <c r="F5" s="16"/>
      <c r="G5" s="12" t="s">
        <v>187</v>
      </c>
      <c r="H5" s="13"/>
      <c r="I5" s="13"/>
      <c r="J5" s="15"/>
      <c r="K5" s="15"/>
      <c r="L5" s="17"/>
      <c r="M5" s="17"/>
      <c r="N5" s="13"/>
      <c r="O5" s="17">
        <v>1</v>
      </c>
      <c r="P5" s="17">
        <v>1</v>
      </c>
      <c r="Q5" s="17">
        <v>1</v>
      </c>
      <c r="R5" s="17">
        <v>1</v>
      </c>
      <c r="S5" s="15">
        <v>1</v>
      </c>
      <c r="T5" s="25">
        <v>45843</v>
      </c>
      <c r="U5" s="13" t="s">
        <v>148</v>
      </c>
      <c r="V5">
        <v>3</v>
      </c>
      <c r="X5" s="53" t="s">
        <v>108</v>
      </c>
      <c r="Y5" s="54">
        <f>COUNTIF(U3:U27,"J")</f>
        <v>3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38"/>
      <c r="B6" s="141"/>
      <c r="C6" s="85" t="s">
        <v>222</v>
      </c>
      <c r="D6" s="109" t="s">
        <v>209</v>
      </c>
      <c r="E6" s="15" t="s">
        <v>39</v>
      </c>
      <c r="F6" s="16"/>
      <c r="G6" s="12" t="s">
        <v>187</v>
      </c>
      <c r="H6" s="15"/>
      <c r="I6" s="13"/>
      <c r="J6" s="13">
        <v>1</v>
      </c>
      <c r="K6" s="15">
        <v>1</v>
      </c>
      <c r="L6" s="17"/>
      <c r="M6" s="17"/>
      <c r="N6" s="13"/>
      <c r="O6" s="17"/>
      <c r="P6" s="17"/>
      <c r="Q6" s="17"/>
      <c r="R6" s="17"/>
      <c r="S6" s="15"/>
      <c r="T6" s="25">
        <v>45843</v>
      </c>
      <c r="U6" s="13" t="s">
        <v>146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38"/>
      <c r="B7" s="141"/>
      <c r="C7" s="85" t="s">
        <v>223</v>
      </c>
      <c r="D7" s="109" t="s">
        <v>193</v>
      </c>
      <c r="E7" s="15" t="s">
        <v>40</v>
      </c>
      <c r="F7" s="16"/>
      <c r="G7" s="12" t="s">
        <v>187</v>
      </c>
      <c r="H7" s="15"/>
      <c r="I7" s="13"/>
      <c r="J7" s="15"/>
      <c r="K7" s="15"/>
      <c r="L7" s="17"/>
      <c r="M7" s="17"/>
      <c r="N7" s="13"/>
      <c r="O7" s="17">
        <v>1</v>
      </c>
      <c r="P7" s="17">
        <v>1</v>
      </c>
      <c r="Q7" s="17"/>
      <c r="R7" s="17">
        <v>1</v>
      </c>
      <c r="S7" s="15"/>
      <c r="T7" s="25">
        <v>45836</v>
      </c>
      <c r="U7" s="13" t="s">
        <v>148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38"/>
      <c r="B8" s="141"/>
      <c r="C8" s="85" t="s">
        <v>224</v>
      </c>
      <c r="D8" s="109" t="s">
        <v>193</v>
      </c>
      <c r="E8" s="15" t="s">
        <v>40</v>
      </c>
      <c r="F8" s="16"/>
      <c r="G8" s="12" t="s">
        <v>187</v>
      </c>
      <c r="H8" s="13"/>
      <c r="I8" s="13"/>
      <c r="J8" s="15"/>
      <c r="K8" s="15"/>
      <c r="L8" s="17"/>
      <c r="M8" s="17"/>
      <c r="N8" s="13"/>
      <c r="O8" s="17">
        <v>1</v>
      </c>
      <c r="P8" s="17">
        <v>1</v>
      </c>
      <c r="Q8" s="17"/>
      <c r="R8" s="17">
        <v>1</v>
      </c>
      <c r="S8" s="15"/>
      <c r="T8" s="25">
        <v>45836</v>
      </c>
      <c r="U8" s="13" t="s">
        <v>148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38"/>
      <c r="B9" s="141"/>
      <c r="C9" s="85" t="s">
        <v>225</v>
      </c>
      <c r="D9" s="109" t="s">
        <v>190</v>
      </c>
      <c r="E9" s="15" t="s">
        <v>59</v>
      </c>
      <c r="F9" s="16"/>
      <c r="G9" s="12" t="s">
        <v>187</v>
      </c>
      <c r="H9" s="15" t="s">
        <v>196</v>
      </c>
      <c r="I9" s="13"/>
      <c r="J9" s="15">
        <v>2</v>
      </c>
      <c r="K9" s="15"/>
      <c r="L9" s="17"/>
      <c r="M9" s="17"/>
      <c r="N9" s="13"/>
      <c r="O9" s="17"/>
      <c r="P9" s="17"/>
      <c r="Q9" s="17"/>
      <c r="R9" s="17"/>
      <c r="S9" s="15"/>
      <c r="T9" s="25">
        <v>45830</v>
      </c>
      <c r="U9" s="13" t="s">
        <v>146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38"/>
      <c r="B10" s="141"/>
      <c r="C10" s="85" t="s">
        <v>226</v>
      </c>
      <c r="D10" s="109" t="s">
        <v>190</v>
      </c>
      <c r="E10" s="15" t="s">
        <v>59</v>
      </c>
      <c r="F10" s="16"/>
      <c r="G10" s="12" t="s">
        <v>187</v>
      </c>
      <c r="H10" s="15" t="s">
        <v>196</v>
      </c>
      <c r="I10" s="13"/>
      <c r="J10" s="15">
        <v>2</v>
      </c>
      <c r="K10" s="15"/>
      <c r="L10" s="17"/>
      <c r="M10" s="17"/>
      <c r="N10" s="13"/>
      <c r="O10" s="17"/>
      <c r="P10" s="17"/>
      <c r="Q10" s="17"/>
      <c r="R10" s="17"/>
      <c r="S10" s="15"/>
      <c r="T10" s="25">
        <v>45831</v>
      </c>
      <c r="U10" s="13" t="s">
        <v>146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38"/>
      <c r="B11" s="141"/>
      <c r="C11" s="85"/>
      <c r="D11" s="109"/>
      <c r="E11" s="15"/>
      <c r="F11" s="16"/>
      <c r="G11" s="12"/>
      <c r="H11" s="15"/>
      <c r="I11" s="13"/>
      <c r="J11" s="15"/>
      <c r="K11" s="15"/>
      <c r="L11" s="17"/>
      <c r="M11" s="17"/>
      <c r="N11" s="13"/>
      <c r="O11" s="17"/>
      <c r="P11" s="17"/>
      <c r="Q11" s="17"/>
      <c r="R11" s="17"/>
      <c r="S11" s="15"/>
      <c r="T11" s="25"/>
      <c r="U11" s="13"/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38"/>
      <c r="B12" s="141"/>
      <c r="C12" s="85"/>
      <c r="D12" s="109"/>
      <c r="E12" s="15"/>
      <c r="F12" s="16"/>
      <c r="G12" s="12"/>
      <c r="H12" s="15"/>
      <c r="I12" s="15"/>
      <c r="J12" s="15"/>
      <c r="K12" s="15"/>
      <c r="L12" s="17"/>
      <c r="M12" s="17"/>
      <c r="N12" s="17"/>
      <c r="O12" s="17"/>
      <c r="P12" s="17"/>
      <c r="Q12" s="17"/>
      <c r="R12" s="17"/>
      <c r="S12" s="15"/>
      <c r="T12" s="25"/>
      <c r="U12" s="13"/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38"/>
      <c r="B13" s="141"/>
      <c r="C13" s="85"/>
      <c r="D13" s="109"/>
      <c r="E13" s="15"/>
      <c r="F13" s="16"/>
      <c r="G13" s="12"/>
      <c r="H13" s="15"/>
      <c r="I13" s="15"/>
      <c r="J13" s="15"/>
      <c r="K13" s="15"/>
      <c r="L13" s="17"/>
      <c r="M13" s="17"/>
      <c r="N13" s="17"/>
      <c r="O13" s="17"/>
      <c r="P13" s="17"/>
      <c r="Q13" s="17"/>
      <c r="R13" s="17"/>
      <c r="S13" s="15"/>
      <c r="T13" s="25"/>
      <c r="U13" s="13"/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38"/>
      <c r="B14" s="141"/>
      <c r="C14" s="85"/>
      <c r="D14" s="109"/>
      <c r="E14" s="15"/>
      <c r="F14" s="16"/>
      <c r="G14" s="12"/>
      <c r="H14" s="15"/>
      <c r="I14" s="15"/>
      <c r="J14" s="15"/>
      <c r="K14" s="15"/>
      <c r="L14" s="17"/>
      <c r="M14" s="17"/>
      <c r="N14" s="17"/>
      <c r="O14" s="17"/>
      <c r="P14" s="17"/>
      <c r="Q14" s="17"/>
      <c r="R14" s="17"/>
      <c r="S14" s="15"/>
      <c r="T14" s="25"/>
      <c r="U14" s="13"/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38"/>
      <c r="B15" s="141"/>
      <c r="C15" s="85"/>
      <c r="D15" s="109"/>
      <c r="E15" s="15"/>
      <c r="F15" s="16"/>
      <c r="G15" s="12"/>
      <c r="H15" s="15"/>
      <c r="I15" s="15"/>
      <c r="J15" s="15"/>
      <c r="K15" s="15"/>
      <c r="L15" s="17"/>
      <c r="M15" s="17"/>
      <c r="N15" s="17"/>
      <c r="O15" s="17"/>
      <c r="P15" s="17"/>
      <c r="Q15" s="17"/>
      <c r="R15" s="17"/>
      <c r="S15" s="15"/>
      <c r="T15" s="25"/>
      <c r="U15" s="13"/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38"/>
      <c r="B16" s="141"/>
      <c r="C16" s="85"/>
      <c r="D16" s="109"/>
      <c r="E16" s="15"/>
      <c r="F16" s="16"/>
      <c r="G16" s="12"/>
      <c r="H16" s="15"/>
      <c r="I16" s="15"/>
      <c r="J16" s="15"/>
      <c r="K16" s="15"/>
      <c r="L16" s="17"/>
      <c r="M16" s="17"/>
      <c r="N16" s="17"/>
      <c r="O16" s="17"/>
      <c r="P16" s="17"/>
      <c r="Q16" s="17"/>
      <c r="R16" s="17"/>
      <c r="S16" s="15"/>
      <c r="T16" s="25"/>
      <c r="U16" s="13"/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38"/>
      <c r="B17" s="141"/>
      <c r="C17" s="85"/>
      <c r="D17" s="106"/>
      <c r="E17" s="15"/>
      <c r="F17" s="16"/>
      <c r="G17" s="15"/>
      <c r="H17" s="15"/>
      <c r="I17" s="15"/>
      <c r="J17" s="15"/>
      <c r="K17" s="15"/>
      <c r="L17" s="17"/>
      <c r="M17" s="17"/>
      <c r="N17" s="17"/>
      <c r="O17" s="17"/>
      <c r="P17" s="17"/>
      <c r="Q17" s="17"/>
      <c r="R17" s="17"/>
      <c r="S17" s="15"/>
      <c r="T17" s="25"/>
      <c r="U17" s="15"/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38"/>
      <c r="B18" s="141"/>
      <c r="C18" s="85"/>
      <c r="D18" s="110"/>
      <c r="E18" s="18"/>
      <c r="F18" s="16"/>
      <c r="G18" s="18"/>
      <c r="H18" s="15"/>
      <c r="I18" s="15"/>
      <c r="J18" s="18"/>
      <c r="K18" s="15"/>
      <c r="L18" s="19"/>
      <c r="M18" s="19"/>
      <c r="N18" s="19"/>
      <c r="O18" s="19"/>
      <c r="P18" s="19"/>
      <c r="Q18" s="19"/>
      <c r="R18" s="19"/>
      <c r="S18" s="15"/>
      <c r="T18" s="25"/>
      <c r="U18" s="15"/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38"/>
      <c r="B19" s="141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38"/>
      <c r="B20" s="141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38"/>
      <c r="B21" s="141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38"/>
      <c r="B22" s="141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38"/>
      <c r="B23" s="141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38"/>
      <c r="B24" s="141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38"/>
      <c r="B25" s="141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217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38"/>
      <c r="B26" s="141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39"/>
      <c r="B27" s="142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117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8</v>
      </c>
      <c r="D28" s="112"/>
      <c r="E28" s="29"/>
      <c r="F28" s="29" t="s">
        <v>34</v>
      </c>
      <c r="G28" s="29">
        <f>COUNTIF(G3:G27,"S")</f>
        <v>8</v>
      </c>
      <c r="H28" s="29">
        <f>COUNTIF(H3:H27,"E")</f>
        <v>3</v>
      </c>
      <c r="I28" s="29">
        <f t="shared" ref="I28:S28" si="0">SUM(I3:I27)</f>
        <v>0</v>
      </c>
      <c r="J28" s="29">
        <f t="shared" si="0"/>
        <v>7</v>
      </c>
      <c r="K28" s="29">
        <f t="shared" si="0"/>
        <v>1</v>
      </c>
      <c r="L28" s="29">
        <f t="shared" si="0"/>
        <v>0</v>
      </c>
      <c r="M28" s="29">
        <f t="shared" si="0"/>
        <v>1</v>
      </c>
      <c r="N28" s="29">
        <f t="shared" si="0"/>
        <v>0</v>
      </c>
      <c r="O28" s="29">
        <f t="shared" si="0"/>
        <v>3</v>
      </c>
      <c r="P28" s="29">
        <f t="shared" si="0"/>
        <v>3</v>
      </c>
      <c r="Q28" s="29">
        <f t="shared" si="0"/>
        <v>1</v>
      </c>
      <c r="R28" s="29">
        <f t="shared" si="0"/>
        <v>3</v>
      </c>
      <c r="S28" s="29">
        <f t="shared" si="0"/>
        <v>1</v>
      </c>
      <c r="T28" s="29" t="s">
        <v>64</v>
      </c>
      <c r="U28" s="29">
        <f>COUNTIF(H3:H27,"M")</f>
        <v>0</v>
      </c>
      <c r="AA28" s="151" t="s">
        <v>104</v>
      </c>
      <c r="AB28" s="152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0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20</v>
      </c>
      <c r="T29" s="29"/>
      <c r="U29" s="29"/>
      <c r="X29" t="s">
        <v>136</v>
      </c>
      <c r="AA29" s="153"/>
      <c r="AB29" s="154"/>
      <c r="AC29" s="146">
        <f>SUM(AC28:AE28)</f>
        <v>0</v>
      </c>
      <c r="AD29" s="147"/>
      <c r="AE29" s="148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AYG109</v>
      </c>
      <c r="B31" s="24">
        <f>B1</f>
        <v>45799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35" t="s">
        <v>119</v>
      </c>
      <c r="Y32" s="136"/>
      <c r="AA32" s="155" t="s">
        <v>47</v>
      </c>
      <c r="AB32" s="156"/>
    </row>
    <row r="33" spans="1:29" ht="19.5" thickTop="1" x14ac:dyDescent="0.4">
      <c r="A33" s="137">
        <v>2</v>
      </c>
      <c r="B33" s="140"/>
      <c r="C33" s="85" t="s">
        <v>227</v>
      </c>
      <c r="D33" s="109" t="s">
        <v>204</v>
      </c>
      <c r="E33" s="15" t="s">
        <v>75</v>
      </c>
      <c r="F33" s="14"/>
      <c r="G33" s="12" t="s">
        <v>187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25">
        <v>45816</v>
      </c>
      <c r="U33" s="13" t="s">
        <v>147</v>
      </c>
      <c r="V33">
        <v>1</v>
      </c>
      <c r="X33" s="51" t="s">
        <v>106</v>
      </c>
      <c r="Y33" s="52">
        <f>COUNTIF(U33:U57,"K")</f>
        <v>7</v>
      </c>
      <c r="AA33" s="31" t="s">
        <v>46</v>
      </c>
      <c r="AB33" s="32">
        <f>J28+J178+J148+J118+J208+J238+J268+J298+J328+J358</f>
        <v>46</v>
      </c>
    </row>
    <row r="34" spans="1:29" x14ac:dyDescent="0.4">
      <c r="A34" s="138"/>
      <c r="B34" s="141"/>
      <c r="C34" s="85" t="s">
        <v>228</v>
      </c>
      <c r="D34" s="109" t="s">
        <v>203</v>
      </c>
      <c r="E34" s="15" t="s">
        <v>39</v>
      </c>
      <c r="F34" s="16"/>
      <c r="G34" s="12" t="s">
        <v>187</v>
      </c>
      <c r="H34" s="15"/>
      <c r="I34" s="13"/>
      <c r="J34" s="15">
        <v>1</v>
      </c>
      <c r="K34" s="15">
        <v>1</v>
      </c>
      <c r="L34" s="17"/>
      <c r="M34" s="17"/>
      <c r="N34" s="13"/>
      <c r="O34" s="17"/>
      <c r="P34" s="17"/>
      <c r="Q34" s="17"/>
      <c r="R34" s="17"/>
      <c r="S34" s="15"/>
      <c r="T34" s="25">
        <v>45823</v>
      </c>
      <c r="U34" s="13" t="s">
        <v>146</v>
      </c>
      <c r="V34">
        <v>2</v>
      </c>
      <c r="X34" s="51" t="s">
        <v>107</v>
      </c>
      <c r="Y34" s="52">
        <f>COUNTIF(U33:U57,"R")</f>
        <v>3</v>
      </c>
      <c r="AA34" s="31" t="s">
        <v>48</v>
      </c>
      <c r="AB34" s="32">
        <f>K28+K178+K148+K118+K208+K238+K268+K298+K328+K358</f>
        <v>16</v>
      </c>
    </row>
    <row r="35" spans="1:29" ht="19.5" thickBot="1" x14ac:dyDescent="0.45">
      <c r="A35" s="138"/>
      <c r="B35" s="141"/>
      <c r="C35" s="85" t="s">
        <v>229</v>
      </c>
      <c r="D35" s="109" t="s">
        <v>199</v>
      </c>
      <c r="E35" s="15" t="s">
        <v>75</v>
      </c>
      <c r="F35" s="16"/>
      <c r="G35" s="12" t="s">
        <v>187</v>
      </c>
      <c r="H35" s="13"/>
      <c r="I35" s="13"/>
      <c r="J35" s="15"/>
      <c r="K35" s="15"/>
      <c r="L35" s="17"/>
      <c r="M35" s="17"/>
      <c r="N35" s="13"/>
      <c r="O35" s="17"/>
      <c r="P35" s="17"/>
      <c r="Q35" s="17"/>
      <c r="R35" s="17"/>
      <c r="S35" s="15"/>
      <c r="T35" s="25">
        <v>45824</v>
      </c>
      <c r="U35" s="13" t="s">
        <v>147</v>
      </c>
      <c r="V35">
        <v>3</v>
      </c>
      <c r="X35" s="53" t="s">
        <v>108</v>
      </c>
      <c r="Y35" s="54">
        <f>COUNTIF(U33:U57,"J")</f>
        <v>2</v>
      </c>
      <c r="AA35" s="31" t="s">
        <v>49</v>
      </c>
      <c r="AB35" s="32">
        <f>L28+L178+L148+L118+L208+L238+L268+L298+L328+L358</f>
        <v>11</v>
      </c>
    </row>
    <row r="36" spans="1:29" x14ac:dyDescent="0.4">
      <c r="A36" s="138"/>
      <c r="B36" s="141"/>
      <c r="C36" s="85" t="s">
        <v>230</v>
      </c>
      <c r="D36" s="109" t="s">
        <v>198</v>
      </c>
      <c r="E36" s="15" t="s">
        <v>40</v>
      </c>
      <c r="F36" s="16"/>
      <c r="G36" s="12" t="s">
        <v>187</v>
      </c>
      <c r="H36" s="15"/>
      <c r="I36" s="13"/>
      <c r="J36" s="13"/>
      <c r="K36" s="15"/>
      <c r="L36" s="17"/>
      <c r="M36" s="17"/>
      <c r="N36" s="13"/>
      <c r="O36" s="17">
        <v>1</v>
      </c>
      <c r="P36" s="17">
        <v>1</v>
      </c>
      <c r="Q36" s="17"/>
      <c r="R36" s="17">
        <v>1</v>
      </c>
      <c r="S36" s="15"/>
      <c r="T36" s="25">
        <v>45822</v>
      </c>
      <c r="U36" s="13" t="s">
        <v>148</v>
      </c>
      <c r="V36">
        <v>4</v>
      </c>
      <c r="AA36" s="31" t="s">
        <v>50</v>
      </c>
      <c r="AB36" s="32">
        <f>M28+M178+M148+M118+M208+M238+M268+M298+M328+M358</f>
        <v>21</v>
      </c>
    </row>
    <row r="37" spans="1:29" x14ac:dyDescent="0.4">
      <c r="A37" s="138"/>
      <c r="B37" s="141"/>
      <c r="C37" s="85" t="s">
        <v>231</v>
      </c>
      <c r="D37" s="109" t="s">
        <v>197</v>
      </c>
      <c r="E37" s="15" t="s">
        <v>41</v>
      </c>
      <c r="F37" s="16"/>
      <c r="G37" s="12" t="s">
        <v>187</v>
      </c>
      <c r="H37" s="15"/>
      <c r="I37" s="13"/>
      <c r="J37" s="15"/>
      <c r="K37" s="15"/>
      <c r="L37" s="17"/>
      <c r="M37" s="17"/>
      <c r="N37" s="13">
        <v>1</v>
      </c>
      <c r="O37" s="17"/>
      <c r="P37" s="17"/>
      <c r="Q37" s="17"/>
      <c r="R37" s="17"/>
      <c r="S37" s="15"/>
      <c r="T37" s="25">
        <v>45815</v>
      </c>
      <c r="U37" s="13" t="s">
        <v>147</v>
      </c>
      <c r="V37">
        <v>5</v>
      </c>
      <c r="AA37" s="31" t="s">
        <v>51</v>
      </c>
      <c r="AB37" s="32">
        <f>N28+N178+N148+N118+N208+N238+N268+N298+N328+N358</f>
        <v>19</v>
      </c>
    </row>
    <row r="38" spans="1:29" x14ac:dyDescent="0.4">
      <c r="A38" s="138"/>
      <c r="B38" s="141"/>
      <c r="C38" s="85" t="s">
        <v>232</v>
      </c>
      <c r="D38" s="109" t="s">
        <v>197</v>
      </c>
      <c r="E38" s="15" t="s">
        <v>37</v>
      </c>
      <c r="F38" s="16"/>
      <c r="G38" s="12" t="s">
        <v>187</v>
      </c>
      <c r="H38" s="13"/>
      <c r="I38" s="13"/>
      <c r="J38" s="15">
        <v>1</v>
      </c>
      <c r="K38" s="15">
        <v>1</v>
      </c>
      <c r="L38" s="17"/>
      <c r="M38" s="17"/>
      <c r="N38" s="13"/>
      <c r="O38" s="17"/>
      <c r="P38" s="17"/>
      <c r="Q38" s="17"/>
      <c r="R38" s="17"/>
      <c r="S38" s="15"/>
      <c r="T38" s="25">
        <v>45830</v>
      </c>
      <c r="U38" s="13" t="s">
        <v>146</v>
      </c>
      <c r="V38">
        <v>6</v>
      </c>
      <c r="AA38" s="31" t="s">
        <v>52</v>
      </c>
      <c r="AB38" s="32">
        <f>O28+O178+O148+O118+O208+O238+O268+O298+O328+O358</f>
        <v>11</v>
      </c>
    </row>
    <row r="39" spans="1:29" x14ac:dyDescent="0.4">
      <c r="A39" s="138"/>
      <c r="B39" s="141"/>
      <c r="C39" s="85" t="s">
        <v>233</v>
      </c>
      <c r="D39" s="109" t="s">
        <v>190</v>
      </c>
      <c r="E39" s="15" t="s">
        <v>59</v>
      </c>
      <c r="F39" s="16"/>
      <c r="G39" s="12" t="s">
        <v>187</v>
      </c>
      <c r="H39" s="15" t="s">
        <v>196</v>
      </c>
      <c r="I39" s="13"/>
      <c r="J39" s="15">
        <v>2</v>
      </c>
      <c r="K39" s="15"/>
      <c r="L39" s="17"/>
      <c r="M39" s="17"/>
      <c r="N39" s="13"/>
      <c r="O39" s="17"/>
      <c r="P39" s="17"/>
      <c r="Q39" s="17"/>
      <c r="R39" s="17"/>
      <c r="S39" s="15"/>
      <c r="T39" s="25">
        <v>45831</v>
      </c>
      <c r="U39" s="13" t="s">
        <v>146</v>
      </c>
      <c r="V39">
        <v>7</v>
      </c>
      <c r="AA39" s="31" t="s">
        <v>53</v>
      </c>
      <c r="AB39" s="32">
        <f>P28+P178+P148+P118+P208+P238+P268+P298+P328+P358</f>
        <v>11</v>
      </c>
    </row>
    <row r="40" spans="1:29" x14ac:dyDescent="0.4">
      <c r="A40" s="138"/>
      <c r="B40" s="141"/>
      <c r="C40" s="85" t="s">
        <v>234</v>
      </c>
      <c r="D40" s="109" t="s">
        <v>190</v>
      </c>
      <c r="E40" s="15" t="s">
        <v>59</v>
      </c>
      <c r="F40" s="16"/>
      <c r="G40" s="12" t="s">
        <v>187</v>
      </c>
      <c r="H40" s="15" t="s">
        <v>196</v>
      </c>
      <c r="I40" s="13"/>
      <c r="J40" s="15">
        <v>2</v>
      </c>
      <c r="K40" s="15"/>
      <c r="L40" s="17"/>
      <c r="M40" s="17"/>
      <c r="N40" s="13"/>
      <c r="O40" s="17"/>
      <c r="P40" s="17"/>
      <c r="Q40" s="17"/>
      <c r="R40" s="17"/>
      <c r="S40" s="15"/>
      <c r="T40" s="25">
        <v>45831</v>
      </c>
      <c r="U40" s="13" t="s">
        <v>146</v>
      </c>
      <c r="V40">
        <v>8</v>
      </c>
      <c r="AA40" s="31" t="s">
        <v>54</v>
      </c>
      <c r="AB40" s="32">
        <f>Q28+Q178+Q148+Q118+Q208+Q238+Q268+Q298+Q328+Q358</f>
        <v>16</v>
      </c>
    </row>
    <row r="41" spans="1:29" x14ac:dyDescent="0.4">
      <c r="A41" s="138"/>
      <c r="B41" s="141"/>
      <c r="C41" s="85" t="s">
        <v>235</v>
      </c>
      <c r="D41" s="109" t="s">
        <v>205</v>
      </c>
      <c r="E41" s="15" t="s">
        <v>36</v>
      </c>
      <c r="F41" s="16"/>
      <c r="G41" s="12" t="s">
        <v>187</v>
      </c>
      <c r="H41" s="15"/>
      <c r="I41" s="13"/>
      <c r="J41" s="15">
        <v>1</v>
      </c>
      <c r="K41" s="15">
        <v>1</v>
      </c>
      <c r="L41" s="17"/>
      <c r="M41" s="17"/>
      <c r="N41" s="13"/>
      <c r="O41" s="17"/>
      <c r="P41" s="17"/>
      <c r="Q41" s="17"/>
      <c r="R41" s="17"/>
      <c r="S41" s="15"/>
      <c r="T41" s="25">
        <v>45828</v>
      </c>
      <c r="U41" s="13" t="s">
        <v>146</v>
      </c>
      <c r="V41">
        <v>9</v>
      </c>
      <c r="AA41" s="31" t="s">
        <v>55</v>
      </c>
      <c r="AB41" s="32">
        <f>R28+R178+R148+R118+R208+R238+R268+R298+R328+R358</f>
        <v>4</v>
      </c>
      <c r="AC41" t="s">
        <v>123</v>
      </c>
    </row>
    <row r="42" spans="1:29" ht="19.5" thickBot="1" x14ac:dyDescent="0.45">
      <c r="A42" s="138"/>
      <c r="B42" s="141"/>
      <c r="C42" s="85" t="s">
        <v>236</v>
      </c>
      <c r="D42" s="109" t="s">
        <v>205</v>
      </c>
      <c r="E42" s="15" t="s">
        <v>78</v>
      </c>
      <c r="F42" s="16"/>
      <c r="G42" s="12" t="s">
        <v>187</v>
      </c>
      <c r="H42" s="15"/>
      <c r="I42" s="15"/>
      <c r="J42" s="15">
        <v>1</v>
      </c>
      <c r="K42" s="15">
        <v>1</v>
      </c>
      <c r="L42" s="17"/>
      <c r="M42" s="17"/>
      <c r="N42" s="17"/>
      <c r="O42" s="17"/>
      <c r="P42" s="17"/>
      <c r="Q42" s="17"/>
      <c r="R42" s="17"/>
      <c r="S42" s="15"/>
      <c r="T42" s="25">
        <v>45828</v>
      </c>
      <c r="U42" s="13" t="s">
        <v>146</v>
      </c>
      <c r="V42">
        <v>10</v>
      </c>
      <c r="AA42" s="33" t="s">
        <v>56</v>
      </c>
      <c r="AB42" s="34">
        <f>S28+S178+S148+S118+S208+S238+S268+S298+S328+S358</f>
        <v>3</v>
      </c>
      <c r="AC42" s="73">
        <f>SUM(AB33:AB42)</f>
        <v>158</v>
      </c>
    </row>
    <row r="43" spans="1:29" ht="19.5" thickBot="1" x14ac:dyDescent="0.45">
      <c r="A43" s="138"/>
      <c r="B43" s="141"/>
      <c r="C43" s="85" t="s">
        <v>237</v>
      </c>
      <c r="D43" s="109" t="s">
        <v>238</v>
      </c>
      <c r="E43" s="15" t="s">
        <v>38</v>
      </c>
      <c r="F43" s="16"/>
      <c r="G43" s="12" t="s">
        <v>187</v>
      </c>
      <c r="H43" s="15"/>
      <c r="I43" s="15"/>
      <c r="J43" s="15">
        <v>1</v>
      </c>
      <c r="K43" s="15">
        <v>1</v>
      </c>
      <c r="L43" s="17"/>
      <c r="M43" s="17"/>
      <c r="N43" s="17"/>
      <c r="O43" s="17"/>
      <c r="P43" s="17"/>
      <c r="Q43" s="17"/>
      <c r="R43" s="17"/>
      <c r="S43" s="15"/>
      <c r="T43" s="25">
        <v>45828</v>
      </c>
      <c r="U43" s="13" t="s">
        <v>146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38"/>
      <c r="B44" s="141"/>
      <c r="C44" s="85" t="s">
        <v>239</v>
      </c>
      <c r="D44" s="109" t="s">
        <v>188</v>
      </c>
      <c r="E44" s="15" t="s">
        <v>40</v>
      </c>
      <c r="F44" s="16"/>
      <c r="G44" s="12" t="s">
        <v>187</v>
      </c>
      <c r="H44" s="15"/>
      <c r="I44" s="15"/>
      <c r="J44" s="15"/>
      <c r="K44" s="15"/>
      <c r="L44" s="17"/>
      <c r="M44" s="17"/>
      <c r="N44" s="17"/>
      <c r="O44" s="17">
        <v>1</v>
      </c>
      <c r="P44" s="17">
        <v>1</v>
      </c>
      <c r="Q44" s="17"/>
      <c r="R44" s="17"/>
      <c r="S44" s="15"/>
      <c r="T44" s="25">
        <v>45819</v>
      </c>
      <c r="U44" s="13" t="s">
        <v>148</v>
      </c>
      <c r="V44">
        <v>12</v>
      </c>
      <c r="AA44" s="103" t="s">
        <v>66</v>
      </c>
      <c r="AB44" s="104">
        <f>H28+H58+H88+H118+H148+H178+H208+H238+H268+H298+H328+H358</f>
        <v>11</v>
      </c>
    </row>
    <row r="45" spans="1:29" x14ac:dyDescent="0.4">
      <c r="A45" s="138"/>
      <c r="B45" s="141"/>
      <c r="C45" s="85"/>
      <c r="D45" s="109"/>
      <c r="E45" s="15"/>
      <c r="F45" s="16"/>
      <c r="G45" s="12"/>
      <c r="H45" s="15"/>
      <c r="I45" s="15"/>
      <c r="J45" s="15"/>
      <c r="K45" s="15"/>
      <c r="L45" s="17"/>
      <c r="M45" s="17"/>
      <c r="N45" s="17"/>
      <c r="O45" s="17"/>
      <c r="P45" s="17"/>
      <c r="Q45" s="17"/>
      <c r="R45" s="17"/>
      <c r="S45" s="15"/>
      <c r="T45" s="25"/>
      <c r="U45" s="13"/>
      <c r="V45">
        <v>13</v>
      </c>
      <c r="AA45" s="35" t="s">
        <v>65</v>
      </c>
      <c r="AB45" s="36">
        <f>H29+H59+H89+H119+H149+H179+H209+H239+H269+H299+H329+H359</f>
        <v>3</v>
      </c>
    </row>
    <row r="46" spans="1:29" x14ac:dyDescent="0.4">
      <c r="A46" s="138"/>
      <c r="B46" s="141"/>
      <c r="C46" s="85"/>
      <c r="D46" s="109"/>
      <c r="E46" s="15"/>
      <c r="F46" s="16"/>
      <c r="G46" s="12"/>
      <c r="H46" s="15"/>
      <c r="I46" s="15"/>
      <c r="J46" s="15"/>
      <c r="K46" s="15"/>
      <c r="L46" s="17"/>
      <c r="M46" s="17"/>
      <c r="N46" s="17"/>
      <c r="O46" s="17"/>
      <c r="P46" s="17"/>
      <c r="Q46" s="17"/>
      <c r="R46" s="17"/>
      <c r="S46" s="15"/>
      <c r="T46" s="25"/>
      <c r="U46" s="13"/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38"/>
      <c r="B47" s="141"/>
      <c r="C47" s="85"/>
      <c r="D47" s="106"/>
      <c r="E47" s="15"/>
      <c r="F47" s="16"/>
      <c r="G47" s="15"/>
      <c r="H47" s="15"/>
      <c r="I47" s="15"/>
      <c r="J47" s="15"/>
      <c r="K47" s="15"/>
      <c r="L47" s="17"/>
      <c r="M47" s="17"/>
      <c r="N47" s="17"/>
      <c r="O47" s="17"/>
      <c r="P47" s="17"/>
      <c r="Q47" s="17"/>
      <c r="R47" s="17"/>
      <c r="S47" s="15"/>
      <c r="T47" s="25"/>
      <c r="U47" s="15"/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38"/>
      <c r="B48" s="141"/>
      <c r="C48" s="85"/>
      <c r="D48" s="110"/>
      <c r="E48" s="18"/>
      <c r="F48" s="16"/>
      <c r="G48" s="18"/>
      <c r="H48" s="15"/>
      <c r="I48" s="15"/>
      <c r="J48" s="18"/>
      <c r="K48" s="15"/>
      <c r="L48" s="19"/>
      <c r="M48" s="19"/>
      <c r="N48" s="19"/>
      <c r="O48" s="19"/>
      <c r="P48" s="19"/>
      <c r="Q48" s="19"/>
      <c r="R48" s="19"/>
      <c r="S48" s="15"/>
      <c r="T48" s="25"/>
      <c r="U48" s="15"/>
      <c r="V48" s="73">
        <v>16</v>
      </c>
    </row>
    <row r="49" spans="1:28" x14ac:dyDescent="0.4">
      <c r="A49" s="138"/>
      <c r="B49" s="141"/>
      <c r="C49" s="85"/>
      <c r="D49" s="110"/>
      <c r="E49" s="18"/>
      <c r="F49" s="16"/>
      <c r="G49" s="18"/>
      <c r="H49" s="15"/>
      <c r="I49" s="15"/>
      <c r="J49" s="18"/>
      <c r="K49" s="15"/>
      <c r="L49" s="19"/>
      <c r="M49" s="19"/>
      <c r="N49" s="19"/>
      <c r="O49" s="19"/>
      <c r="P49" s="19"/>
      <c r="Q49" s="19"/>
      <c r="R49" s="19"/>
      <c r="S49" s="15"/>
      <c r="T49" s="26"/>
      <c r="U49" s="15"/>
      <c r="V49">
        <v>17</v>
      </c>
      <c r="AA49" s="39" t="s">
        <v>70</v>
      </c>
      <c r="AB49" s="40">
        <f>G28+G58+G88+G118+G148+G178+G208+G238+G268+G298+G328+G358</f>
        <v>101</v>
      </c>
    </row>
    <row r="50" spans="1:28" ht="19.5" thickBot="1" x14ac:dyDescent="0.45">
      <c r="A50" s="138"/>
      <c r="B50" s="141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11</v>
      </c>
    </row>
    <row r="51" spans="1:28" ht="19.5" thickBot="1" x14ac:dyDescent="0.45">
      <c r="A51" s="138"/>
      <c r="B51" s="141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38"/>
      <c r="B52" s="141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57">
        <v>76</v>
      </c>
    </row>
    <row r="53" spans="1:28" ht="19.5" thickBot="1" x14ac:dyDescent="0.45">
      <c r="A53" s="138"/>
      <c r="B53" s="141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58"/>
    </row>
    <row r="54" spans="1:28" ht="19.5" thickBot="1" x14ac:dyDescent="0.45">
      <c r="A54" s="138"/>
      <c r="B54" s="141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38"/>
      <c r="B55" s="141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35" t="s">
        <v>73</v>
      </c>
      <c r="AB55" s="45"/>
    </row>
    <row r="56" spans="1:28" ht="19.5" thickBot="1" x14ac:dyDescent="0.45">
      <c r="A56" s="138"/>
      <c r="B56" s="141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50"/>
      <c r="AB56" s="46"/>
    </row>
    <row r="57" spans="1:28" ht="19.5" thickBot="1" x14ac:dyDescent="0.45">
      <c r="A57" s="139"/>
      <c r="B57" s="142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35"/>
      <c r="AB57" s="45">
        <v>7</v>
      </c>
    </row>
    <row r="58" spans="1:28" ht="19.5" thickBot="1" x14ac:dyDescent="0.45">
      <c r="A58" s="27"/>
      <c r="B58" s="28"/>
      <c r="C58" s="88">
        <f>COUNTA(C33:C57)</f>
        <v>12</v>
      </c>
      <c r="D58" s="112"/>
      <c r="E58" s="29"/>
      <c r="F58" s="29" t="s">
        <v>34</v>
      </c>
      <c r="G58" s="29">
        <f>COUNTIF(G33:G57,"S")</f>
        <v>12</v>
      </c>
      <c r="H58" s="29">
        <f>COUNTIF(H33:H57,"E")</f>
        <v>2</v>
      </c>
      <c r="I58" s="29">
        <f>SUM(I33:I57)</f>
        <v>0</v>
      </c>
      <c r="J58" s="29">
        <f t="shared" ref="J58:S58" si="1">SUM(J33:J57)</f>
        <v>9</v>
      </c>
      <c r="K58" s="29">
        <f t="shared" si="1"/>
        <v>5</v>
      </c>
      <c r="L58" s="29">
        <f t="shared" si="1"/>
        <v>0</v>
      </c>
      <c r="M58" s="29">
        <f t="shared" si="1"/>
        <v>0</v>
      </c>
      <c r="N58" s="29">
        <f t="shared" si="1"/>
        <v>1</v>
      </c>
      <c r="O58" s="29">
        <f t="shared" si="1"/>
        <v>2</v>
      </c>
      <c r="P58" s="29">
        <f t="shared" si="1"/>
        <v>2</v>
      </c>
      <c r="Q58" s="29">
        <f t="shared" si="1"/>
        <v>0</v>
      </c>
      <c r="R58" s="29">
        <f t="shared" si="1"/>
        <v>1</v>
      </c>
      <c r="S58" s="29">
        <f t="shared" si="1"/>
        <v>0</v>
      </c>
      <c r="T58" s="29" t="s">
        <v>64</v>
      </c>
      <c r="U58" s="29">
        <f>COUNTIF(H33:H57,"M")</f>
        <v>0</v>
      </c>
      <c r="AA58" s="150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20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AYG109</v>
      </c>
      <c r="B61" s="24">
        <f>B1</f>
        <v>45799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35" t="s">
        <v>118</v>
      </c>
      <c r="Y62" s="136"/>
    </row>
    <row r="63" spans="1:28" ht="20.25" thickTop="1" thickBot="1" x14ac:dyDescent="0.45">
      <c r="A63" s="137">
        <v>3</v>
      </c>
      <c r="B63" s="143"/>
      <c r="C63" s="85" t="s">
        <v>240</v>
      </c>
      <c r="D63" s="109" t="s">
        <v>186</v>
      </c>
      <c r="E63" s="15" t="s">
        <v>40</v>
      </c>
      <c r="F63" s="14"/>
      <c r="G63" s="12" t="s">
        <v>187</v>
      </c>
      <c r="H63" s="13"/>
      <c r="I63" s="13"/>
      <c r="J63" s="13"/>
      <c r="K63" s="13"/>
      <c r="L63" s="13"/>
      <c r="M63" s="13"/>
      <c r="N63" s="13"/>
      <c r="O63" s="13">
        <v>1</v>
      </c>
      <c r="P63" s="13">
        <v>1</v>
      </c>
      <c r="Q63" s="13"/>
      <c r="R63" s="13">
        <v>1</v>
      </c>
      <c r="S63" s="13"/>
      <c r="T63" s="25">
        <v>45819</v>
      </c>
      <c r="U63" s="13" t="s">
        <v>148</v>
      </c>
      <c r="V63">
        <v>1</v>
      </c>
      <c r="X63" s="51" t="s">
        <v>106</v>
      </c>
      <c r="Y63" s="52">
        <f>COUNTIF(U63:U87,"K")</f>
        <v>2</v>
      </c>
      <c r="AA63" s="59" t="s">
        <v>120</v>
      </c>
      <c r="AB63" s="60" t="s">
        <v>121</v>
      </c>
    </row>
    <row r="64" spans="1:28" x14ac:dyDescent="0.4">
      <c r="A64" s="138"/>
      <c r="B64" s="144"/>
      <c r="C64" s="85" t="s">
        <v>241</v>
      </c>
      <c r="D64" s="109" t="s">
        <v>209</v>
      </c>
      <c r="E64" s="15" t="s">
        <v>38</v>
      </c>
      <c r="F64" s="16"/>
      <c r="G64" s="12" t="s">
        <v>187</v>
      </c>
      <c r="H64" s="15"/>
      <c r="I64" s="15"/>
      <c r="J64" s="13">
        <v>1</v>
      </c>
      <c r="K64" s="15">
        <v>1</v>
      </c>
      <c r="L64" s="13"/>
      <c r="M64" s="17"/>
      <c r="N64" s="17"/>
      <c r="O64" s="17"/>
      <c r="P64" s="17"/>
      <c r="Q64" s="17"/>
      <c r="R64" s="17"/>
      <c r="S64" s="15"/>
      <c r="T64" s="25">
        <v>45836</v>
      </c>
      <c r="U64" s="13" t="s">
        <v>142</v>
      </c>
      <c r="V64">
        <v>2</v>
      </c>
      <c r="X64" s="51" t="s">
        <v>107</v>
      </c>
      <c r="Y64" s="52">
        <f>COUNTIF(U63:U87,"R")</f>
        <v>10</v>
      </c>
      <c r="AA64" s="47" t="s">
        <v>81</v>
      </c>
      <c r="AB64" s="48" t="s">
        <v>60</v>
      </c>
    </row>
    <row r="65" spans="1:28" ht="19.5" thickBot="1" x14ac:dyDescent="0.45">
      <c r="A65" s="138"/>
      <c r="B65" s="144"/>
      <c r="C65" s="85" t="s">
        <v>242</v>
      </c>
      <c r="D65" s="109" t="s">
        <v>209</v>
      </c>
      <c r="E65" s="15" t="s">
        <v>40</v>
      </c>
      <c r="F65" s="16"/>
      <c r="G65" s="12" t="s">
        <v>187</v>
      </c>
      <c r="H65" s="15"/>
      <c r="I65" s="15"/>
      <c r="J65" s="13"/>
      <c r="K65" s="15"/>
      <c r="L65" s="13"/>
      <c r="M65" s="17"/>
      <c r="N65" s="17"/>
      <c r="O65" s="17">
        <v>1</v>
      </c>
      <c r="P65" s="17">
        <v>1</v>
      </c>
      <c r="Q65" s="17">
        <v>1</v>
      </c>
      <c r="R65" s="17">
        <v>1</v>
      </c>
      <c r="S65" s="15"/>
      <c r="T65" s="25">
        <v>45836</v>
      </c>
      <c r="U65" s="13" t="s">
        <v>148</v>
      </c>
      <c r="V65">
        <v>3</v>
      </c>
      <c r="X65" s="53" t="s">
        <v>108</v>
      </c>
      <c r="Y65" s="54">
        <f>COUNTIF(U63:U87,"J")</f>
        <v>4</v>
      </c>
      <c r="AA65" s="49" t="s">
        <v>82</v>
      </c>
      <c r="AB65" s="50" t="s">
        <v>39</v>
      </c>
    </row>
    <row r="66" spans="1:28" x14ac:dyDescent="0.4">
      <c r="A66" s="138"/>
      <c r="B66" s="144"/>
      <c r="C66" s="85" t="s">
        <v>244</v>
      </c>
      <c r="D66" s="109" t="s">
        <v>243</v>
      </c>
      <c r="E66" s="15" t="s">
        <v>38</v>
      </c>
      <c r="F66" s="16"/>
      <c r="G66" s="12" t="s">
        <v>187</v>
      </c>
      <c r="H66" s="13"/>
      <c r="I66" s="15"/>
      <c r="J66" s="13"/>
      <c r="K66" s="15"/>
      <c r="L66" s="13"/>
      <c r="M66" s="17">
        <v>1</v>
      </c>
      <c r="N66" s="17">
        <v>1</v>
      </c>
      <c r="O66" s="17"/>
      <c r="P66" s="17"/>
      <c r="Q66" s="17">
        <v>1</v>
      </c>
      <c r="R66" s="17"/>
      <c r="S66" s="15"/>
      <c r="T66" s="25">
        <v>45820</v>
      </c>
      <c r="U66" s="13" t="s">
        <v>147</v>
      </c>
      <c r="V66">
        <v>4</v>
      </c>
      <c r="AA66" s="49" t="s">
        <v>83</v>
      </c>
      <c r="AB66" s="50" t="s">
        <v>38</v>
      </c>
    </row>
    <row r="67" spans="1:28" x14ac:dyDescent="0.4">
      <c r="A67" s="138"/>
      <c r="B67" s="144"/>
      <c r="C67" s="85" t="s">
        <v>245</v>
      </c>
      <c r="D67" s="109" t="s">
        <v>243</v>
      </c>
      <c r="E67" s="15" t="s">
        <v>38</v>
      </c>
      <c r="F67" s="16"/>
      <c r="G67" s="12" t="s">
        <v>187</v>
      </c>
      <c r="H67" s="15" t="s">
        <v>147</v>
      </c>
      <c r="I67" s="15"/>
      <c r="J67" s="13"/>
      <c r="K67" s="15"/>
      <c r="L67" s="13"/>
      <c r="M67" s="17">
        <v>1</v>
      </c>
      <c r="N67" s="17">
        <v>1</v>
      </c>
      <c r="O67" s="17"/>
      <c r="P67" s="17"/>
      <c r="Q67" s="17">
        <v>1</v>
      </c>
      <c r="R67" s="17"/>
      <c r="S67" s="15"/>
      <c r="T67" s="25">
        <v>45820</v>
      </c>
      <c r="U67" s="13" t="s">
        <v>147</v>
      </c>
      <c r="V67">
        <v>5</v>
      </c>
      <c r="AA67" s="49" t="s">
        <v>84</v>
      </c>
      <c r="AB67" s="50" t="s">
        <v>44</v>
      </c>
    </row>
    <row r="68" spans="1:28" x14ac:dyDescent="0.4">
      <c r="A68" s="138"/>
      <c r="B68" s="144"/>
      <c r="C68" s="85" t="s">
        <v>246</v>
      </c>
      <c r="D68" s="109" t="s">
        <v>243</v>
      </c>
      <c r="E68" s="15" t="s">
        <v>44</v>
      </c>
      <c r="F68" s="16"/>
      <c r="G68" s="12" t="s">
        <v>187</v>
      </c>
      <c r="H68" s="15"/>
      <c r="I68" s="15"/>
      <c r="J68" s="13"/>
      <c r="K68" s="15"/>
      <c r="L68" s="13"/>
      <c r="M68" s="17">
        <v>1</v>
      </c>
      <c r="N68" s="17">
        <v>1</v>
      </c>
      <c r="O68" s="17"/>
      <c r="P68" s="17"/>
      <c r="Q68" s="17">
        <v>1</v>
      </c>
      <c r="R68" s="17"/>
      <c r="S68" s="15"/>
      <c r="T68" s="25">
        <v>45820</v>
      </c>
      <c r="U68" s="13" t="s">
        <v>147</v>
      </c>
      <c r="V68">
        <v>6</v>
      </c>
      <c r="AA68" s="49" t="s">
        <v>85</v>
      </c>
      <c r="AB68" s="50" t="s">
        <v>43</v>
      </c>
    </row>
    <row r="69" spans="1:28" x14ac:dyDescent="0.4">
      <c r="A69" s="138"/>
      <c r="B69" s="144"/>
      <c r="C69" s="85" t="s">
        <v>247</v>
      </c>
      <c r="D69" s="109" t="s">
        <v>243</v>
      </c>
      <c r="E69" s="15" t="s">
        <v>44</v>
      </c>
      <c r="F69" s="16"/>
      <c r="G69" s="12" t="s">
        <v>187</v>
      </c>
      <c r="H69" s="15"/>
      <c r="I69" s="15"/>
      <c r="J69" s="13"/>
      <c r="K69" s="15"/>
      <c r="L69" s="13"/>
      <c r="M69" s="17">
        <v>1</v>
      </c>
      <c r="N69" s="17">
        <v>1</v>
      </c>
      <c r="O69" s="17"/>
      <c r="P69" s="17"/>
      <c r="Q69" s="17">
        <v>1</v>
      </c>
      <c r="R69" s="17"/>
      <c r="S69" s="15"/>
      <c r="T69" s="25">
        <v>45830</v>
      </c>
      <c r="U69" s="13" t="s">
        <v>147</v>
      </c>
      <c r="V69">
        <v>7</v>
      </c>
      <c r="AA69" s="49" t="s">
        <v>86</v>
      </c>
      <c r="AB69" s="50" t="s">
        <v>45</v>
      </c>
    </row>
    <row r="70" spans="1:28" x14ac:dyDescent="0.4">
      <c r="A70" s="138"/>
      <c r="B70" s="144"/>
      <c r="C70" s="85" t="s">
        <v>248</v>
      </c>
      <c r="D70" s="109" t="s">
        <v>243</v>
      </c>
      <c r="E70" s="15" t="s">
        <v>44</v>
      </c>
      <c r="F70" s="16"/>
      <c r="G70" s="12" t="s">
        <v>187</v>
      </c>
      <c r="H70" s="15" t="s">
        <v>147</v>
      </c>
      <c r="I70" s="15"/>
      <c r="J70" s="13"/>
      <c r="K70" s="15"/>
      <c r="L70" s="13"/>
      <c r="M70" s="17">
        <v>1</v>
      </c>
      <c r="N70" s="17">
        <v>1</v>
      </c>
      <c r="O70" s="17"/>
      <c r="P70" s="17"/>
      <c r="Q70" s="17">
        <v>1</v>
      </c>
      <c r="R70" s="17"/>
      <c r="S70" s="15"/>
      <c r="T70" s="25">
        <v>45830</v>
      </c>
      <c r="U70" s="13" t="s">
        <v>147</v>
      </c>
      <c r="V70">
        <v>8</v>
      </c>
      <c r="AA70" s="49" t="s">
        <v>87</v>
      </c>
      <c r="AB70" s="50" t="s">
        <v>37</v>
      </c>
    </row>
    <row r="71" spans="1:28" x14ac:dyDescent="0.4">
      <c r="A71" s="138"/>
      <c r="B71" s="144"/>
      <c r="C71" s="85" t="s">
        <v>249</v>
      </c>
      <c r="D71" s="109" t="s">
        <v>243</v>
      </c>
      <c r="E71" s="15" t="s">
        <v>38</v>
      </c>
      <c r="F71" s="16"/>
      <c r="G71" s="12" t="s">
        <v>187</v>
      </c>
      <c r="H71" s="15"/>
      <c r="I71" s="15"/>
      <c r="J71" s="13"/>
      <c r="K71" s="15"/>
      <c r="L71" s="13"/>
      <c r="M71" s="17">
        <v>1</v>
      </c>
      <c r="N71" s="17">
        <v>1</v>
      </c>
      <c r="O71" s="17"/>
      <c r="P71" s="17"/>
      <c r="Q71" s="17">
        <v>1</v>
      </c>
      <c r="R71" s="17"/>
      <c r="S71" s="15"/>
      <c r="T71" s="25">
        <v>45830</v>
      </c>
      <c r="U71" s="13" t="s">
        <v>147</v>
      </c>
      <c r="V71">
        <v>9</v>
      </c>
      <c r="AA71" s="49" t="s">
        <v>88</v>
      </c>
      <c r="AB71" s="50" t="s">
        <v>74</v>
      </c>
    </row>
    <row r="72" spans="1:28" x14ac:dyDescent="0.4">
      <c r="A72" s="138"/>
      <c r="B72" s="144"/>
      <c r="C72" s="85" t="s">
        <v>250</v>
      </c>
      <c r="D72" s="109" t="s">
        <v>243</v>
      </c>
      <c r="E72" s="15" t="s">
        <v>44</v>
      </c>
      <c r="F72" s="16"/>
      <c r="G72" s="12" t="s">
        <v>187</v>
      </c>
      <c r="H72" s="15" t="s">
        <v>147</v>
      </c>
      <c r="I72" s="15"/>
      <c r="J72" s="13"/>
      <c r="K72" s="15"/>
      <c r="L72" s="13"/>
      <c r="M72" s="17">
        <v>1</v>
      </c>
      <c r="N72" s="17">
        <v>1</v>
      </c>
      <c r="O72" s="17"/>
      <c r="P72" s="17"/>
      <c r="Q72" s="17">
        <v>1</v>
      </c>
      <c r="R72" s="17"/>
      <c r="S72" s="15"/>
      <c r="T72" s="25">
        <v>45830</v>
      </c>
      <c r="U72" s="13" t="s">
        <v>147</v>
      </c>
      <c r="V72">
        <v>10</v>
      </c>
      <c r="AA72" s="49" t="s">
        <v>89</v>
      </c>
      <c r="AB72" s="50" t="s">
        <v>36</v>
      </c>
    </row>
    <row r="73" spans="1:28" x14ac:dyDescent="0.4">
      <c r="A73" s="138"/>
      <c r="B73" s="144"/>
      <c r="C73" s="85" t="s">
        <v>251</v>
      </c>
      <c r="D73" s="109" t="s">
        <v>194</v>
      </c>
      <c r="E73" s="15" t="s">
        <v>40</v>
      </c>
      <c r="F73" s="16"/>
      <c r="G73" s="15" t="s">
        <v>187</v>
      </c>
      <c r="H73" s="15"/>
      <c r="I73" s="15"/>
      <c r="J73" s="15"/>
      <c r="K73" s="15"/>
      <c r="L73" s="17"/>
      <c r="M73" s="17"/>
      <c r="N73" s="17"/>
      <c r="O73" s="17">
        <v>1</v>
      </c>
      <c r="P73" s="17"/>
      <c r="Q73" s="17"/>
      <c r="R73" s="17">
        <v>1</v>
      </c>
      <c r="S73" s="15"/>
      <c r="T73" s="25">
        <v>45831</v>
      </c>
      <c r="U73" s="15" t="s">
        <v>148</v>
      </c>
      <c r="V73">
        <v>11</v>
      </c>
      <c r="AA73" s="49" t="s">
        <v>90</v>
      </c>
      <c r="AB73" s="50" t="s">
        <v>58</v>
      </c>
    </row>
    <row r="74" spans="1:28" x14ac:dyDescent="0.4">
      <c r="A74" s="138"/>
      <c r="B74" s="144"/>
      <c r="C74" s="85" t="s">
        <v>252</v>
      </c>
      <c r="D74" s="109" t="s">
        <v>194</v>
      </c>
      <c r="E74" s="15" t="s">
        <v>41</v>
      </c>
      <c r="F74" s="16"/>
      <c r="G74" s="15" t="s">
        <v>187</v>
      </c>
      <c r="H74" s="15"/>
      <c r="I74" s="15"/>
      <c r="J74" s="15"/>
      <c r="K74" s="15"/>
      <c r="L74" s="17"/>
      <c r="M74" s="17"/>
      <c r="N74" s="17">
        <v>1</v>
      </c>
      <c r="O74" s="17"/>
      <c r="P74" s="17"/>
      <c r="Q74" s="17">
        <v>1</v>
      </c>
      <c r="R74" s="17"/>
      <c r="S74" s="15"/>
      <c r="T74" s="25">
        <v>45831</v>
      </c>
      <c r="U74" s="15" t="s">
        <v>147</v>
      </c>
      <c r="V74">
        <v>12</v>
      </c>
      <c r="AA74" s="49" t="s">
        <v>91</v>
      </c>
      <c r="AB74" s="50" t="s">
        <v>75</v>
      </c>
    </row>
    <row r="75" spans="1:28" x14ac:dyDescent="0.4">
      <c r="A75" s="138"/>
      <c r="B75" s="144"/>
      <c r="C75" s="85" t="s">
        <v>253</v>
      </c>
      <c r="D75" s="109" t="s">
        <v>186</v>
      </c>
      <c r="E75" s="15" t="s">
        <v>36</v>
      </c>
      <c r="F75" s="16"/>
      <c r="G75" s="15" t="s">
        <v>187</v>
      </c>
      <c r="H75" s="15"/>
      <c r="I75" s="15"/>
      <c r="J75" s="15"/>
      <c r="K75" s="15"/>
      <c r="L75" s="17"/>
      <c r="M75" s="17">
        <v>1</v>
      </c>
      <c r="N75" s="17">
        <v>1</v>
      </c>
      <c r="O75" s="17"/>
      <c r="P75" s="17"/>
      <c r="Q75" s="17">
        <v>1</v>
      </c>
      <c r="R75" s="17"/>
      <c r="S75" s="15"/>
      <c r="T75" s="25">
        <v>45821</v>
      </c>
      <c r="U75" s="15" t="s">
        <v>147</v>
      </c>
      <c r="V75">
        <v>13</v>
      </c>
      <c r="AA75" s="49" t="s">
        <v>92</v>
      </c>
      <c r="AB75" s="50" t="s">
        <v>40</v>
      </c>
    </row>
    <row r="76" spans="1:28" x14ac:dyDescent="0.4">
      <c r="A76" s="138"/>
      <c r="B76" s="144"/>
      <c r="C76" s="85" t="s">
        <v>255</v>
      </c>
      <c r="D76" s="109" t="s">
        <v>254</v>
      </c>
      <c r="E76" s="15" t="s">
        <v>41</v>
      </c>
      <c r="F76" s="16"/>
      <c r="G76" s="15" t="s">
        <v>187</v>
      </c>
      <c r="H76" s="15"/>
      <c r="I76" s="15"/>
      <c r="J76" s="15">
        <v>1</v>
      </c>
      <c r="K76" s="15"/>
      <c r="L76" s="17"/>
      <c r="M76" s="17"/>
      <c r="N76" s="17"/>
      <c r="O76" s="17"/>
      <c r="P76" s="17"/>
      <c r="Q76" s="17"/>
      <c r="R76" s="17"/>
      <c r="S76" s="15"/>
      <c r="T76" s="25">
        <v>45836</v>
      </c>
      <c r="U76" s="15" t="s">
        <v>146</v>
      </c>
      <c r="V76">
        <v>14</v>
      </c>
      <c r="AA76" s="49" t="s">
        <v>93</v>
      </c>
      <c r="AB76" s="50" t="s">
        <v>57</v>
      </c>
    </row>
    <row r="77" spans="1:28" x14ac:dyDescent="0.4">
      <c r="A77" s="138"/>
      <c r="B77" s="144"/>
      <c r="C77" s="85" t="s">
        <v>256</v>
      </c>
      <c r="D77" s="109" t="s">
        <v>254</v>
      </c>
      <c r="E77" s="15" t="s">
        <v>40</v>
      </c>
      <c r="F77" s="16"/>
      <c r="G77" s="15" t="s">
        <v>187</v>
      </c>
      <c r="H77" s="15"/>
      <c r="I77" s="15"/>
      <c r="J77" s="15">
        <v>1</v>
      </c>
      <c r="K77" s="15"/>
      <c r="L77" s="17"/>
      <c r="M77" s="17"/>
      <c r="N77" s="17"/>
      <c r="O77" s="17">
        <v>1</v>
      </c>
      <c r="P77" s="17"/>
      <c r="Q77" s="17"/>
      <c r="R77" s="17"/>
      <c r="S77" s="15"/>
      <c r="T77" s="25">
        <v>45836</v>
      </c>
      <c r="U77" s="15" t="s">
        <v>148</v>
      </c>
      <c r="V77">
        <v>15</v>
      </c>
      <c r="AA77" s="49" t="s">
        <v>94</v>
      </c>
      <c r="AB77" s="50" t="s">
        <v>41</v>
      </c>
    </row>
    <row r="78" spans="1:28" x14ac:dyDescent="0.4">
      <c r="A78" s="138"/>
      <c r="B78" s="144"/>
      <c r="C78" s="85" t="s">
        <v>257</v>
      </c>
      <c r="D78" s="109" t="s">
        <v>204</v>
      </c>
      <c r="E78" s="15" t="s">
        <v>36</v>
      </c>
      <c r="F78" s="16"/>
      <c r="G78" s="15" t="s">
        <v>187</v>
      </c>
      <c r="H78" s="15"/>
      <c r="I78" s="15"/>
      <c r="J78" s="15"/>
      <c r="K78" s="15"/>
      <c r="L78" s="19"/>
      <c r="M78" s="19">
        <v>1</v>
      </c>
      <c r="N78" s="19">
        <v>1</v>
      </c>
      <c r="O78" s="19"/>
      <c r="P78" s="19"/>
      <c r="Q78" s="19"/>
      <c r="R78" s="19"/>
      <c r="S78" s="15"/>
      <c r="T78" s="25">
        <v>45819</v>
      </c>
      <c r="U78" s="15" t="s">
        <v>147</v>
      </c>
      <c r="V78">
        <v>16</v>
      </c>
      <c r="AA78" s="49" t="s">
        <v>95</v>
      </c>
      <c r="AB78" s="50" t="s">
        <v>42</v>
      </c>
    </row>
    <row r="79" spans="1:28" x14ac:dyDescent="0.4">
      <c r="A79" s="138"/>
      <c r="B79" s="144"/>
      <c r="C79" s="85"/>
      <c r="D79" s="109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38"/>
      <c r="B80" s="144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38"/>
      <c r="B81" s="144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38"/>
      <c r="B82" s="144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38"/>
      <c r="B83" s="144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38"/>
      <c r="B84" s="144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38"/>
      <c r="B85" s="144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38"/>
      <c r="B86" s="144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39"/>
      <c r="B87" s="145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16</v>
      </c>
      <c r="D88" s="112"/>
      <c r="E88" s="29"/>
      <c r="F88" s="29" t="s">
        <v>34</v>
      </c>
      <c r="G88" s="29">
        <f>COUNTIF(G63:G87,"S")</f>
        <v>16</v>
      </c>
      <c r="H88" s="29">
        <f>COUNTIF(H63:H87,"E")</f>
        <v>0</v>
      </c>
      <c r="I88" s="29">
        <f>SUM(I63:I87)</f>
        <v>0</v>
      </c>
      <c r="J88" s="29"/>
      <c r="K88" s="29">
        <f t="shared" ref="K88:S88" si="2">SUM(K63:K87)</f>
        <v>1</v>
      </c>
      <c r="L88" s="29">
        <f t="shared" si="2"/>
        <v>0</v>
      </c>
      <c r="M88" s="29">
        <f t="shared" si="2"/>
        <v>9</v>
      </c>
      <c r="N88" s="29">
        <f t="shared" si="2"/>
        <v>10</v>
      </c>
      <c r="O88" s="29">
        <f t="shared" si="2"/>
        <v>4</v>
      </c>
      <c r="P88" s="29">
        <f t="shared" si="2"/>
        <v>2</v>
      </c>
      <c r="Q88" s="29">
        <f t="shared" si="2"/>
        <v>10</v>
      </c>
      <c r="R88" s="29">
        <f t="shared" si="2"/>
        <v>3</v>
      </c>
      <c r="S88" s="29">
        <f t="shared" si="2"/>
        <v>0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3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39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AYG109</v>
      </c>
      <c r="B91" s="24">
        <f>B1</f>
        <v>45799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35" t="s">
        <v>117</v>
      </c>
      <c r="Y92" s="136"/>
    </row>
    <row r="93" spans="1:28" ht="20.25" thickTop="1" thickBot="1" x14ac:dyDescent="0.45">
      <c r="A93" s="137">
        <v>4</v>
      </c>
      <c r="B93" s="140"/>
      <c r="C93" s="85" t="s">
        <v>258</v>
      </c>
      <c r="D93" s="109" t="s">
        <v>186</v>
      </c>
      <c r="E93" s="15" t="s">
        <v>75</v>
      </c>
      <c r="F93" s="14"/>
      <c r="G93" s="12" t="s">
        <v>187</v>
      </c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25">
        <v>45816</v>
      </c>
      <c r="U93" s="13" t="s">
        <v>147</v>
      </c>
      <c r="V93">
        <v>1</v>
      </c>
      <c r="X93" s="51" t="s">
        <v>106</v>
      </c>
      <c r="Y93" s="52">
        <f>COUNTIF(U93:U117,"K")</f>
        <v>5</v>
      </c>
      <c r="AA93" s="59" t="s">
        <v>120</v>
      </c>
      <c r="AB93" s="60" t="s">
        <v>121</v>
      </c>
    </row>
    <row r="94" spans="1:28" x14ac:dyDescent="0.4">
      <c r="A94" s="138"/>
      <c r="B94" s="141"/>
      <c r="C94" s="85" t="s">
        <v>259</v>
      </c>
      <c r="D94" s="109" t="s">
        <v>186</v>
      </c>
      <c r="E94" s="15" t="s">
        <v>75</v>
      </c>
      <c r="F94" s="16"/>
      <c r="G94" s="12" t="s">
        <v>187</v>
      </c>
      <c r="H94" s="15"/>
      <c r="I94" s="15"/>
      <c r="J94" s="15"/>
      <c r="K94" s="15"/>
      <c r="L94" s="17"/>
      <c r="M94" s="17"/>
      <c r="N94" s="17"/>
      <c r="O94" s="17"/>
      <c r="P94" s="17"/>
      <c r="Q94" s="17"/>
      <c r="R94" s="17"/>
      <c r="S94" s="15"/>
      <c r="T94" s="25">
        <v>45822</v>
      </c>
      <c r="U94" s="13" t="s">
        <v>147</v>
      </c>
      <c r="V94">
        <v>2</v>
      </c>
      <c r="X94" s="51" t="s">
        <v>107</v>
      </c>
      <c r="Y94" s="52">
        <f>COUNTIF(U93:U117,"R")</f>
        <v>7</v>
      </c>
      <c r="AA94" s="47" t="s">
        <v>81</v>
      </c>
      <c r="AB94" s="48" t="s">
        <v>60</v>
      </c>
    </row>
    <row r="95" spans="1:28" ht="19.5" thickBot="1" x14ac:dyDescent="0.45">
      <c r="A95" s="138"/>
      <c r="B95" s="141"/>
      <c r="C95" s="85" t="s">
        <v>260</v>
      </c>
      <c r="D95" s="109" t="s">
        <v>195</v>
      </c>
      <c r="E95" s="15" t="s">
        <v>37</v>
      </c>
      <c r="F95" s="16"/>
      <c r="G95" s="12" t="s">
        <v>187</v>
      </c>
      <c r="H95" s="15"/>
      <c r="I95" s="15"/>
      <c r="J95" s="15"/>
      <c r="K95" s="15"/>
      <c r="L95" s="17"/>
      <c r="M95" s="17"/>
      <c r="N95" s="17"/>
      <c r="O95" s="17"/>
      <c r="P95" s="17"/>
      <c r="Q95" s="17"/>
      <c r="R95" s="17"/>
      <c r="S95" s="15"/>
      <c r="T95" s="25">
        <v>45832</v>
      </c>
      <c r="U95" s="13" t="s">
        <v>147</v>
      </c>
      <c r="V95">
        <v>3</v>
      </c>
      <c r="X95" s="53" t="s">
        <v>108</v>
      </c>
      <c r="Y95" s="54">
        <f>COUNTIF(U93:U117,"J")</f>
        <v>1</v>
      </c>
      <c r="AA95" s="49" t="s">
        <v>122</v>
      </c>
      <c r="AB95" s="50" t="s">
        <v>39</v>
      </c>
    </row>
    <row r="96" spans="1:28" x14ac:dyDescent="0.4">
      <c r="A96" s="138"/>
      <c r="B96" s="141"/>
      <c r="C96" s="85" t="s">
        <v>261</v>
      </c>
      <c r="D96" s="109" t="s">
        <v>209</v>
      </c>
      <c r="E96" s="15" t="s">
        <v>36</v>
      </c>
      <c r="F96" s="16"/>
      <c r="G96" s="12" t="s">
        <v>187</v>
      </c>
      <c r="H96" s="15"/>
      <c r="I96" s="15"/>
      <c r="J96" s="15">
        <v>1</v>
      </c>
      <c r="K96" s="15">
        <v>1</v>
      </c>
      <c r="L96" s="17"/>
      <c r="M96" s="17"/>
      <c r="N96" s="17"/>
      <c r="O96" s="17"/>
      <c r="P96" s="17"/>
      <c r="Q96" s="17"/>
      <c r="R96" s="17"/>
      <c r="S96" s="15"/>
      <c r="T96" s="25">
        <v>45846</v>
      </c>
      <c r="U96" s="13" t="s">
        <v>142</v>
      </c>
      <c r="V96">
        <v>4</v>
      </c>
      <c r="AA96" s="49" t="s">
        <v>83</v>
      </c>
      <c r="AB96" s="50" t="s">
        <v>38</v>
      </c>
    </row>
    <row r="97" spans="1:28" x14ac:dyDescent="0.4">
      <c r="A97" s="138"/>
      <c r="B97" s="141"/>
      <c r="C97" s="85" t="s">
        <v>262</v>
      </c>
      <c r="D97" s="109" t="s">
        <v>206</v>
      </c>
      <c r="E97" s="15" t="s">
        <v>38</v>
      </c>
      <c r="F97" s="16"/>
      <c r="G97" s="12" t="s">
        <v>187</v>
      </c>
      <c r="H97" s="15"/>
      <c r="I97" s="15"/>
      <c r="J97" s="15">
        <v>1</v>
      </c>
      <c r="K97" s="15">
        <v>1</v>
      </c>
      <c r="L97" s="17"/>
      <c r="M97" s="17"/>
      <c r="N97" s="17"/>
      <c r="O97" s="17"/>
      <c r="P97" s="17"/>
      <c r="Q97" s="17"/>
      <c r="R97" s="17"/>
      <c r="S97" s="15"/>
      <c r="T97" s="25">
        <v>45831</v>
      </c>
      <c r="U97" s="13" t="s">
        <v>146</v>
      </c>
      <c r="V97">
        <v>5</v>
      </c>
      <c r="AA97" s="49" t="s">
        <v>84</v>
      </c>
      <c r="AB97" s="50" t="s">
        <v>44</v>
      </c>
    </row>
    <row r="98" spans="1:28" x14ac:dyDescent="0.4">
      <c r="A98" s="138"/>
      <c r="B98" s="141"/>
      <c r="C98" s="85" t="s">
        <v>263</v>
      </c>
      <c r="D98" s="109" t="s">
        <v>195</v>
      </c>
      <c r="E98" s="15" t="s">
        <v>37</v>
      </c>
      <c r="F98" s="16"/>
      <c r="G98" s="12" t="s">
        <v>187</v>
      </c>
      <c r="H98" s="13"/>
      <c r="I98" s="15"/>
      <c r="J98" s="15"/>
      <c r="K98" s="15"/>
      <c r="L98" s="17"/>
      <c r="M98" s="17">
        <v>1</v>
      </c>
      <c r="N98" s="17">
        <v>1</v>
      </c>
      <c r="O98" s="17"/>
      <c r="P98" s="17"/>
      <c r="Q98" s="17">
        <v>1</v>
      </c>
      <c r="R98" s="17"/>
      <c r="S98" s="15"/>
      <c r="T98" s="25">
        <v>45832</v>
      </c>
      <c r="U98" s="13" t="s">
        <v>147</v>
      </c>
      <c r="V98">
        <v>6</v>
      </c>
      <c r="AA98" s="49" t="s">
        <v>85</v>
      </c>
      <c r="AB98" s="50" t="s">
        <v>43</v>
      </c>
    </row>
    <row r="99" spans="1:28" x14ac:dyDescent="0.4">
      <c r="A99" s="138"/>
      <c r="B99" s="141"/>
      <c r="C99" s="85" t="s">
        <v>264</v>
      </c>
      <c r="D99" s="109" t="s">
        <v>195</v>
      </c>
      <c r="E99" s="15" t="s">
        <v>36</v>
      </c>
      <c r="F99" s="16"/>
      <c r="G99" s="12" t="s">
        <v>187</v>
      </c>
      <c r="H99" s="15"/>
      <c r="I99" s="15"/>
      <c r="J99" s="15"/>
      <c r="K99" s="15"/>
      <c r="L99" s="17"/>
      <c r="M99" s="17">
        <v>1</v>
      </c>
      <c r="N99" s="17">
        <v>1</v>
      </c>
      <c r="O99" s="17"/>
      <c r="P99" s="17"/>
      <c r="Q99" s="17">
        <v>1</v>
      </c>
      <c r="R99" s="17"/>
      <c r="S99" s="15"/>
      <c r="T99" s="25">
        <v>45831</v>
      </c>
      <c r="U99" s="13" t="s">
        <v>147</v>
      </c>
      <c r="V99">
        <v>7</v>
      </c>
      <c r="AA99" s="49" t="s">
        <v>86</v>
      </c>
      <c r="AB99" s="50" t="s">
        <v>45</v>
      </c>
    </row>
    <row r="100" spans="1:28" x14ac:dyDescent="0.4">
      <c r="A100" s="138"/>
      <c r="B100" s="141"/>
      <c r="C100" s="85" t="s">
        <v>265</v>
      </c>
      <c r="D100" s="109" t="s">
        <v>195</v>
      </c>
      <c r="E100" s="15" t="s">
        <v>38</v>
      </c>
      <c r="F100" s="16"/>
      <c r="G100" s="12" t="s">
        <v>187</v>
      </c>
      <c r="H100" s="15"/>
      <c r="I100" s="15"/>
      <c r="J100" s="15">
        <v>1</v>
      </c>
      <c r="K100" s="15">
        <v>1</v>
      </c>
      <c r="L100" s="17"/>
      <c r="M100" s="17"/>
      <c r="N100" s="17"/>
      <c r="O100" s="17"/>
      <c r="P100" s="17"/>
      <c r="Q100" s="17"/>
      <c r="R100" s="17"/>
      <c r="S100" s="15"/>
      <c r="T100" s="25">
        <v>45831</v>
      </c>
      <c r="U100" s="15" t="s">
        <v>146</v>
      </c>
      <c r="V100">
        <v>8</v>
      </c>
      <c r="AA100" s="49" t="s">
        <v>87</v>
      </c>
      <c r="AB100" s="50" t="s">
        <v>37</v>
      </c>
    </row>
    <row r="101" spans="1:28" x14ac:dyDescent="0.4">
      <c r="A101" s="138"/>
      <c r="B101" s="141"/>
      <c r="C101" s="85" t="s">
        <v>266</v>
      </c>
      <c r="D101" s="109" t="s">
        <v>190</v>
      </c>
      <c r="E101" s="15" t="s">
        <v>39</v>
      </c>
      <c r="F101" s="16"/>
      <c r="G101" s="12" t="s">
        <v>191</v>
      </c>
      <c r="H101" s="15"/>
      <c r="I101" s="15"/>
      <c r="J101" s="15">
        <v>1</v>
      </c>
      <c r="K101" s="15">
        <v>1</v>
      </c>
      <c r="L101" s="17"/>
      <c r="M101" s="17"/>
      <c r="N101" s="17"/>
      <c r="O101" s="17"/>
      <c r="P101" s="17"/>
      <c r="Q101" s="17"/>
      <c r="R101" s="17"/>
      <c r="S101" s="15"/>
      <c r="T101" s="25">
        <v>45831</v>
      </c>
      <c r="U101" s="15" t="s">
        <v>146</v>
      </c>
      <c r="V101">
        <v>9</v>
      </c>
      <c r="AA101" s="49" t="s">
        <v>88</v>
      </c>
      <c r="AB101" s="50" t="s">
        <v>74</v>
      </c>
    </row>
    <row r="102" spans="1:28" x14ac:dyDescent="0.4">
      <c r="A102" s="138"/>
      <c r="B102" s="141"/>
      <c r="C102" s="85" t="s">
        <v>267</v>
      </c>
      <c r="D102" s="109" t="s">
        <v>190</v>
      </c>
      <c r="E102" s="15" t="s">
        <v>39</v>
      </c>
      <c r="F102" s="16"/>
      <c r="G102" s="12" t="s">
        <v>191</v>
      </c>
      <c r="H102" s="15"/>
      <c r="I102" s="15"/>
      <c r="J102" s="15"/>
      <c r="K102" s="15"/>
      <c r="L102" s="17"/>
      <c r="M102" s="17"/>
      <c r="N102" s="17"/>
      <c r="O102" s="17"/>
      <c r="P102" s="17"/>
      <c r="Q102" s="17"/>
      <c r="R102" s="17"/>
      <c r="S102" s="15"/>
      <c r="T102" s="25">
        <v>45831</v>
      </c>
      <c r="U102" s="15" t="s">
        <v>146</v>
      </c>
      <c r="V102">
        <v>10</v>
      </c>
      <c r="AA102" s="49" t="s">
        <v>89</v>
      </c>
      <c r="AB102" s="50" t="s">
        <v>36</v>
      </c>
    </row>
    <row r="103" spans="1:28" x14ac:dyDescent="0.4">
      <c r="A103" s="138"/>
      <c r="B103" s="141"/>
      <c r="C103" s="85" t="s">
        <v>268</v>
      </c>
      <c r="D103" s="109" t="s">
        <v>204</v>
      </c>
      <c r="E103" s="15" t="s">
        <v>40</v>
      </c>
      <c r="F103" s="16"/>
      <c r="G103" s="12" t="s">
        <v>187</v>
      </c>
      <c r="H103" s="15"/>
      <c r="I103" s="15"/>
      <c r="J103" s="15"/>
      <c r="K103" s="15"/>
      <c r="L103" s="17"/>
      <c r="M103" s="17"/>
      <c r="N103" s="17"/>
      <c r="O103" s="17">
        <v>1</v>
      </c>
      <c r="P103" s="17">
        <v>1</v>
      </c>
      <c r="Q103" s="17"/>
      <c r="R103" s="17"/>
      <c r="S103" s="15"/>
      <c r="T103" s="25">
        <v>45834</v>
      </c>
      <c r="U103" s="15" t="s">
        <v>148</v>
      </c>
      <c r="V103">
        <v>11</v>
      </c>
      <c r="AA103" s="49" t="s">
        <v>90</v>
      </c>
      <c r="AB103" s="50" t="s">
        <v>58</v>
      </c>
    </row>
    <row r="104" spans="1:28" x14ac:dyDescent="0.4">
      <c r="A104" s="138"/>
      <c r="B104" s="141"/>
      <c r="C104" s="85" t="s">
        <v>269</v>
      </c>
      <c r="D104" s="109" t="s">
        <v>186</v>
      </c>
      <c r="E104" s="15" t="s">
        <v>75</v>
      </c>
      <c r="F104" s="16"/>
      <c r="G104" s="12" t="s">
        <v>187</v>
      </c>
      <c r="H104" s="15"/>
      <c r="I104" s="15"/>
      <c r="J104" s="15"/>
      <c r="K104" s="15"/>
      <c r="L104" s="17"/>
      <c r="M104" s="17"/>
      <c r="N104" s="17"/>
      <c r="O104" s="17"/>
      <c r="P104" s="17"/>
      <c r="Q104" s="17"/>
      <c r="R104" s="17"/>
      <c r="S104" s="15"/>
      <c r="T104" s="25">
        <v>45816</v>
      </c>
      <c r="U104" s="15" t="s">
        <v>147</v>
      </c>
      <c r="V104">
        <v>12</v>
      </c>
      <c r="AA104" s="49" t="s">
        <v>91</v>
      </c>
      <c r="AB104" s="50" t="s">
        <v>75</v>
      </c>
    </row>
    <row r="105" spans="1:28" x14ac:dyDescent="0.4">
      <c r="A105" s="138"/>
      <c r="B105" s="141"/>
      <c r="C105" s="85" t="s">
        <v>270</v>
      </c>
      <c r="D105" s="109" t="s">
        <v>200</v>
      </c>
      <c r="E105" s="15" t="s">
        <v>38</v>
      </c>
      <c r="F105" s="16"/>
      <c r="G105" s="12" t="s">
        <v>187</v>
      </c>
      <c r="H105" s="15"/>
      <c r="I105" s="15"/>
      <c r="J105" s="15"/>
      <c r="K105" s="15"/>
      <c r="L105" s="17"/>
      <c r="M105" s="17">
        <v>1</v>
      </c>
      <c r="N105" s="17">
        <v>1</v>
      </c>
      <c r="O105" s="17"/>
      <c r="P105" s="17"/>
      <c r="Q105" s="17">
        <v>1</v>
      </c>
      <c r="R105" s="17"/>
      <c r="S105" s="15"/>
      <c r="T105" s="25">
        <v>45829</v>
      </c>
      <c r="U105" s="132" t="s">
        <v>147</v>
      </c>
      <c r="V105">
        <v>13</v>
      </c>
      <c r="AA105" s="49" t="s">
        <v>92</v>
      </c>
      <c r="AB105" s="50" t="s">
        <v>40</v>
      </c>
    </row>
    <row r="106" spans="1:28" x14ac:dyDescent="0.4">
      <c r="A106" s="138"/>
      <c r="B106" s="141"/>
      <c r="C106" s="85"/>
      <c r="D106" s="109"/>
      <c r="E106" s="15"/>
      <c r="F106" s="16"/>
      <c r="G106" s="12"/>
      <c r="H106" s="15"/>
      <c r="I106" s="15"/>
      <c r="J106" s="15"/>
      <c r="K106" s="15"/>
      <c r="L106" s="17"/>
      <c r="M106" s="17"/>
      <c r="N106" s="17"/>
      <c r="O106" s="17"/>
      <c r="P106" s="17"/>
      <c r="Q106" s="17"/>
      <c r="R106" s="17"/>
      <c r="S106" s="15"/>
      <c r="T106" s="25"/>
      <c r="U106" s="15"/>
      <c r="V106">
        <v>14</v>
      </c>
      <c r="AA106" s="49" t="s">
        <v>93</v>
      </c>
      <c r="AB106" s="50" t="s">
        <v>57</v>
      </c>
    </row>
    <row r="107" spans="1:28" x14ac:dyDescent="0.4">
      <c r="A107" s="138"/>
      <c r="B107" s="141"/>
      <c r="C107" s="85"/>
      <c r="D107" s="109"/>
      <c r="E107" s="15"/>
      <c r="F107" s="16"/>
      <c r="G107" s="15"/>
      <c r="H107" s="15"/>
      <c r="I107" s="15"/>
      <c r="J107" s="15"/>
      <c r="K107" s="15"/>
      <c r="L107" s="17"/>
      <c r="M107" s="17"/>
      <c r="N107" s="17"/>
      <c r="O107" s="17"/>
      <c r="P107" s="17"/>
      <c r="Q107" s="17"/>
      <c r="R107" s="17"/>
      <c r="S107" s="15"/>
      <c r="T107" s="25"/>
      <c r="U107" s="15"/>
      <c r="V107">
        <v>15</v>
      </c>
      <c r="AA107" s="49" t="s">
        <v>94</v>
      </c>
      <c r="AB107" s="50" t="s">
        <v>41</v>
      </c>
    </row>
    <row r="108" spans="1:28" x14ac:dyDescent="0.4">
      <c r="A108" s="138"/>
      <c r="B108" s="141"/>
      <c r="C108" s="85"/>
      <c r="D108" s="109"/>
      <c r="E108" s="15"/>
      <c r="F108" s="16"/>
      <c r="G108" s="15"/>
      <c r="H108" s="15"/>
      <c r="I108" s="15"/>
      <c r="J108" s="18"/>
      <c r="K108" s="15"/>
      <c r="L108" s="19"/>
      <c r="M108" s="19"/>
      <c r="N108" s="19"/>
      <c r="O108" s="19"/>
      <c r="P108" s="19"/>
      <c r="Q108" s="19"/>
      <c r="R108" s="19"/>
      <c r="S108" s="15"/>
      <c r="T108" s="25"/>
      <c r="U108" s="15"/>
      <c r="V108">
        <v>16</v>
      </c>
      <c r="AA108" s="49" t="s">
        <v>95</v>
      </c>
      <c r="AB108" s="50" t="s">
        <v>42</v>
      </c>
    </row>
    <row r="109" spans="1:28" x14ac:dyDescent="0.4">
      <c r="A109" s="138"/>
      <c r="B109" s="141"/>
      <c r="C109" s="85"/>
      <c r="D109" s="110"/>
      <c r="E109" s="15"/>
      <c r="F109" s="16"/>
      <c r="G109" s="18"/>
      <c r="H109" s="15"/>
      <c r="I109" s="15"/>
      <c r="J109" s="18"/>
      <c r="K109" s="15"/>
      <c r="L109" s="19"/>
      <c r="M109" s="19"/>
      <c r="N109" s="19"/>
      <c r="O109" s="19"/>
      <c r="P109" s="19"/>
      <c r="Q109" s="19"/>
      <c r="R109" s="19"/>
      <c r="S109" s="15"/>
      <c r="T109" s="26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38"/>
      <c r="B110" s="141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38"/>
      <c r="B111" s="141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38"/>
      <c r="B112" s="141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38"/>
      <c r="B113" s="141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38"/>
      <c r="B114" s="141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38"/>
      <c r="B115" s="141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38"/>
      <c r="B116" s="141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39"/>
      <c r="B117" s="142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13</v>
      </c>
      <c r="D118" s="112"/>
      <c r="E118" s="29"/>
      <c r="F118" s="29" t="s">
        <v>34</v>
      </c>
      <c r="G118" s="29">
        <f>COUNTIF(G93:G117,"S")</f>
        <v>11</v>
      </c>
      <c r="H118" s="29">
        <f>COUNTIF(H93:H117,"E")</f>
        <v>0</v>
      </c>
      <c r="I118" s="29">
        <f>SUM(I93:I117)</f>
        <v>0</v>
      </c>
      <c r="J118" s="29">
        <f t="shared" ref="J118" si="3">SUM(J93:J117)</f>
        <v>4</v>
      </c>
      <c r="K118" s="29">
        <f t="shared" ref="K118" si="4">SUM(K93:K117)</f>
        <v>4</v>
      </c>
      <c r="L118" s="29">
        <f t="shared" ref="L118" si="5">SUM(L93:L117)</f>
        <v>0</v>
      </c>
      <c r="M118" s="29">
        <f t="shared" ref="M118" si="6">SUM(M93:M117)</f>
        <v>3</v>
      </c>
      <c r="N118" s="29">
        <f t="shared" ref="N118" si="7">SUM(N93:N117)</f>
        <v>3</v>
      </c>
      <c r="O118" s="29">
        <f t="shared" ref="O118" si="8">SUM(O93:O117)</f>
        <v>1</v>
      </c>
      <c r="P118" s="29">
        <f t="shared" ref="P118" si="9">SUM(P93:P117)</f>
        <v>1</v>
      </c>
      <c r="Q118" s="29">
        <f t="shared" ref="Q118" si="10">SUM(Q93:Q117)</f>
        <v>3</v>
      </c>
      <c r="R118" s="29">
        <f t="shared" ref="R118" si="11">SUM(R93:R117)</f>
        <v>0</v>
      </c>
      <c r="S118" s="29">
        <f t="shared" ref="S118" si="12">SUM(S93:S117)</f>
        <v>0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2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19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AYG109</v>
      </c>
      <c r="B121" s="24">
        <f>B1</f>
        <v>45799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35" t="s">
        <v>116</v>
      </c>
      <c r="Y122" s="136"/>
    </row>
    <row r="123" spans="1:28" ht="20.25" thickTop="1" thickBot="1" x14ac:dyDescent="0.45">
      <c r="A123" s="137">
        <v>5</v>
      </c>
      <c r="B123" s="140"/>
      <c r="C123" s="85" t="s">
        <v>271</v>
      </c>
      <c r="D123" s="106" t="s">
        <v>186</v>
      </c>
      <c r="E123" s="15" t="s">
        <v>36</v>
      </c>
      <c r="F123" s="14"/>
      <c r="G123" s="12" t="s">
        <v>187</v>
      </c>
      <c r="H123" s="13"/>
      <c r="I123" s="13"/>
      <c r="J123" s="13"/>
      <c r="K123" s="13"/>
      <c r="L123" s="13"/>
      <c r="M123" s="13">
        <v>1</v>
      </c>
      <c r="N123" s="13">
        <v>1</v>
      </c>
      <c r="O123" s="13"/>
      <c r="P123" s="13"/>
      <c r="Q123" s="13">
        <v>1</v>
      </c>
      <c r="R123" s="13"/>
      <c r="S123" s="13"/>
      <c r="T123" s="25">
        <v>45804</v>
      </c>
      <c r="U123" s="13" t="s">
        <v>146</v>
      </c>
      <c r="V123">
        <v>1</v>
      </c>
      <c r="X123" s="51" t="s">
        <v>106</v>
      </c>
      <c r="Y123" s="52">
        <f>COUNTIF(U123:U147,"K")</f>
        <v>7</v>
      </c>
      <c r="AA123" s="59" t="s">
        <v>120</v>
      </c>
      <c r="AB123" s="60" t="s">
        <v>121</v>
      </c>
    </row>
    <row r="124" spans="1:28" x14ac:dyDescent="0.4">
      <c r="A124" s="138"/>
      <c r="B124" s="141"/>
      <c r="C124" s="85" t="s">
        <v>272</v>
      </c>
      <c r="D124" s="106" t="s">
        <v>186</v>
      </c>
      <c r="E124" s="15" t="s">
        <v>75</v>
      </c>
      <c r="F124" s="16"/>
      <c r="G124" s="12" t="s">
        <v>187</v>
      </c>
      <c r="H124" s="15"/>
      <c r="I124" s="15"/>
      <c r="J124" s="15"/>
      <c r="K124" s="15"/>
      <c r="L124" s="17"/>
      <c r="M124" s="17"/>
      <c r="N124" s="13"/>
      <c r="O124" s="17"/>
      <c r="P124" s="17"/>
      <c r="Q124" s="17"/>
      <c r="R124" s="17"/>
      <c r="S124" s="15"/>
      <c r="T124" s="25">
        <v>45825</v>
      </c>
      <c r="U124" s="13" t="s">
        <v>147</v>
      </c>
      <c r="V124">
        <v>2</v>
      </c>
      <c r="X124" s="51" t="s">
        <v>107</v>
      </c>
      <c r="Y124" s="52">
        <f>COUNTIF(U123:U147,"R")</f>
        <v>7</v>
      </c>
      <c r="AA124" s="47" t="s">
        <v>81</v>
      </c>
      <c r="AB124" s="48" t="s">
        <v>60</v>
      </c>
    </row>
    <row r="125" spans="1:28" ht="19.5" thickBot="1" x14ac:dyDescent="0.45">
      <c r="A125" s="138"/>
      <c r="B125" s="141"/>
      <c r="C125" s="85" t="s">
        <v>273</v>
      </c>
      <c r="D125" s="106" t="s">
        <v>209</v>
      </c>
      <c r="E125" s="15" t="s">
        <v>74</v>
      </c>
      <c r="F125" s="16"/>
      <c r="G125" s="12" t="s">
        <v>187</v>
      </c>
      <c r="H125" s="13"/>
      <c r="I125" s="15"/>
      <c r="J125" s="15">
        <v>1</v>
      </c>
      <c r="K125" s="15">
        <v>1</v>
      </c>
      <c r="L125" s="17"/>
      <c r="M125" s="17"/>
      <c r="N125" s="13"/>
      <c r="O125" s="17"/>
      <c r="P125" s="17"/>
      <c r="Q125" s="17"/>
      <c r="R125" s="17"/>
      <c r="S125" s="15"/>
      <c r="T125" s="25">
        <v>45825</v>
      </c>
      <c r="U125" s="13" t="s">
        <v>146</v>
      </c>
      <c r="V125">
        <v>3</v>
      </c>
      <c r="X125" s="53" t="s">
        <v>108</v>
      </c>
      <c r="Y125" s="54">
        <f>COUNTIF(U123:U147,"J")</f>
        <v>0</v>
      </c>
      <c r="AA125" s="49" t="s">
        <v>82</v>
      </c>
      <c r="AB125" s="50" t="s">
        <v>39</v>
      </c>
    </row>
    <row r="126" spans="1:28" x14ac:dyDescent="0.4">
      <c r="A126" s="138"/>
      <c r="B126" s="141"/>
      <c r="C126" s="85" t="s">
        <v>274</v>
      </c>
      <c r="D126" s="106" t="s">
        <v>198</v>
      </c>
      <c r="E126" s="15" t="s">
        <v>36</v>
      </c>
      <c r="F126" s="16"/>
      <c r="G126" s="12" t="s">
        <v>187</v>
      </c>
      <c r="H126" s="15"/>
      <c r="I126" s="15"/>
      <c r="J126" s="15">
        <v>1</v>
      </c>
      <c r="K126" s="15">
        <v>1</v>
      </c>
      <c r="L126" s="17"/>
      <c r="M126" s="17"/>
      <c r="N126" s="13"/>
      <c r="O126" s="17"/>
      <c r="P126" s="17"/>
      <c r="Q126" s="17"/>
      <c r="R126" s="17"/>
      <c r="S126" s="15"/>
      <c r="T126" s="25">
        <v>45832</v>
      </c>
      <c r="U126" s="13" t="s">
        <v>146</v>
      </c>
      <c r="V126">
        <v>4</v>
      </c>
      <c r="AA126" s="49" t="s">
        <v>83</v>
      </c>
      <c r="AB126" s="50" t="s">
        <v>38</v>
      </c>
    </row>
    <row r="127" spans="1:28" x14ac:dyDescent="0.4">
      <c r="A127" s="138"/>
      <c r="B127" s="141"/>
      <c r="C127" s="85" t="s">
        <v>275</v>
      </c>
      <c r="D127" s="106" t="s">
        <v>199</v>
      </c>
      <c r="E127" s="15" t="s">
        <v>75</v>
      </c>
      <c r="F127" s="16"/>
      <c r="G127" s="12" t="s">
        <v>187</v>
      </c>
      <c r="H127" s="15"/>
      <c r="I127" s="15"/>
      <c r="J127" s="15"/>
      <c r="K127" s="15"/>
      <c r="L127" s="17"/>
      <c r="M127" s="17"/>
      <c r="N127" s="13">
        <v>1</v>
      </c>
      <c r="O127" s="17"/>
      <c r="P127" s="17"/>
      <c r="Q127" s="17"/>
      <c r="R127" s="17"/>
      <c r="S127" s="15"/>
      <c r="T127" s="25">
        <v>45824</v>
      </c>
      <c r="U127" s="13" t="s">
        <v>147</v>
      </c>
      <c r="V127">
        <v>5</v>
      </c>
      <c r="AA127" s="49" t="s">
        <v>84</v>
      </c>
      <c r="AB127" s="50" t="s">
        <v>44</v>
      </c>
    </row>
    <row r="128" spans="1:28" x14ac:dyDescent="0.4">
      <c r="A128" s="138"/>
      <c r="B128" s="141"/>
      <c r="C128" s="85" t="s">
        <v>276</v>
      </c>
      <c r="D128" s="106" t="s">
        <v>190</v>
      </c>
      <c r="E128" s="15" t="s">
        <v>39</v>
      </c>
      <c r="F128" s="16"/>
      <c r="G128" s="12" t="s">
        <v>187</v>
      </c>
      <c r="H128" s="13"/>
      <c r="I128" s="15"/>
      <c r="J128" s="15">
        <v>1</v>
      </c>
      <c r="K128" s="15"/>
      <c r="L128" s="17">
        <v>1</v>
      </c>
      <c r="M128" s="17"/>
      <c r="N128" s="13"/>
      <c r="O128" s="17"/>
      <c r="P128" s="17"/>
      <c r="Q128" s="17"/>
      <c r="R128" s="17"/>
      <c r="S128" s="15"/>
      <c r="T128" s="25">
        <v>45833</v>
      </c>
      <c r="U128" s="13" t="s">
        <v>146</v>
      </c>
      <c r="V128">
        <v>6</v>
      </c>
      <c r="AA128" s="49" t="s">
        <v>85</v>
      </c>
      <c r="AB128" s="50" t="s">
        <v>43</v>
      </c>
    </row>
    <row r="129" spans="1:28" x14ac:dyDescent="0.4">
      <c r="A129" s="138"/>
      <c r="B129" s="141"/>
      <c r="C129" s="85" t="s">
        <v>277</v>
      </c>
      <c r="D129" s="106" t="s">
        <v>190</v>
      </c>
      <c r="E129" s="15" t="s">
        <v>39</v>
      </c>
      <c r="F129" s="16"/>
      <c r="G129" s="12" t="s">
        <v>187</v>
      </c>
      <c r="H129" s="15"/>
      <c r="I129" s="15"/>
      <c r="J129" s="15">
        <v>1</v>
      </c>
      <c r="K129" s="15"/>
      <c r="L129" s="17">
        <v>1</v>
      </c>
      <c r="M129" s="17"/>
      <c r="N129" s="13"/>
      <c r="O129" s="17"/>
      <c r="P129" s="17"/>
      <c r="Q129" s="17"/>
      <c r="R129" s="17"/>
      <c r="S129" s="15"/>
      <c r="T129" s="25">
        <v>45833</v>
      </c>
      <c r="U129" s="13" t="s">
        <v>146</v>
      </c>
      <c r="V129">
        <v>7</v>
      </c>
      <c r="AA129" s="49" t="s">
        <v>86</v>
      </c>
      <c r="AB129" s="50" t="s">
        <v>45</v>
      </c>
    </row>
    <row r="130" spans="1:28" x14ac:dyDescent="0.4">
      <c r="A130" s="138"/>
      <c r="B130" s="141"/>
      <c r="C130" s="85" t="s">
        <v>278</v>
      </c>
      <c r="D130" s="106" t="s">
        <v>201</v>
      </c>
      <c r="E130" s="15" t="s">
        <v>41</v>
      </c>
      <c r="F130" s="16"/>
      <c r="G130" s="12" t="s">
        <v>187</v>
      </c>
      <c r="H130" s="15"/>
      <c r="I130" s="15"/>
      <c r="J130" s="15"/>
      <c r="K130" s="15"/>
      <c r="L130" s="17"/>
      <c r="M130" s="17"/>
      <c r="N130" s="13"/>
      <c r="O130" s="17"/>
      <c r="P130" s="17"/>
      <c r="Q130" s="17">
        <v>1</v>
      </c>
      <c r="R130" s="17"/>
      <c r="S130" s="15"/>
      <c r="T130" s="25">
        <v>45824</v>
      </c>
      <c r="U130" s="13" t="s">
        <v>147</v>
      </c>
      <c r="V130">
        <v>8</v>
      </c>
      <c r="AA130" s="49" t="s">
        <v>87</v>
      </c>
      <c r="AB130" s="50" t="s">
        <v>37</v>
      </c>
    </row>
    <row r="131" spans="1:28" x14ac:dyDescent="0.4">
      <c r="A131" s="138"/>
      <c r="B131" s="141"/>
      <c r="C131" s="85" t="s">
        <v>279</v>
      </c>
      <c r="D131" s="106" t="s">
        <v>201</v>
      </c>
      <c r="E131" s="15" t="s">
        <v>57</v>
      </c>
      <c r="F131" s="16"/>
      <c r="G131" s="12" t="s">
        <v>192</v>
      </c>
      <c r="H131" s="15"/>
      <c r="I131" s="15"/>
      <c r="J131" s="15"/>
      <c r="K131" s="15"/>
      <c r="L131" s="17"/>
      <c r="M131" s="17"/>
      <c r="N131" s="13"/>
      <c r="O131" s="17"/>
      <c r="P131" s="17"/>
      <c r="Q131" s="17"/>
      <c r="R131" s="17"/>
      <c r="S131" s="86"/>
      <c r="T131" s="25">
        <v>45824</v>
      </c>
      <c r="U131" s="13" t="s">
        <v>147</v>
      </c>
      <c r="V131">
        <v>9</v>
      </c>
      <c r="AA131" s="49" t="s">
        <v>88</v>
      </c>
      <c r="AB131" s="50" t="s">
        <v>74</v>
      </c>
    </row>
    <row r="132" spans="1:28" x14ac:dyDescent="0.4">
      <c r="A132" s="138"/>
      <c r="B132" s="141"/>
      <c r="C132" s="85" t="s">
        <v>280</v>
      </c>
      <c r="D132" s="106" t="s">
        <v>201</v>
      </c>
      <c r="E132" s="15" t="s">
        <v>57</v>
      </c>
      <c r="F132" s="16"/>
      <c r="G132" s="12" t="s">
        <v>192</v>
      </c>
      <c r="H132" s="15"/>
      <c r="I132" s="15"/>
      <c r="J132" s="15"/>
      <c r="K132" s="15"/>
      <c r="L132" s="17"/>
      <c r="M132" s="17"/>
      <c r="N132" s="13"/>
      <c r="O132" s="17"/>
      <c r="P132" s="17"/>
      <c r="Q132" s="17"/>
      <c r="R132" s="17"/>
      <c r="S132" s="15"/>
      <c r="T132" s="25">
        <v>45824</v>
      </c>
      <c r="U132" s="13" t="s">
        <v>147</v>
      </c>
      <c r="V132">
        <v>10</v>
      </c>
      <c r="AA132" s="49" t="s">
        <v>89</v>
      </c>
      <c r="AB132" s="50" t="s">
        <v>36</v>
      </c>
    </row>
    <row r="133" spans="1:28" x14ac:dyDescent="0.4">
      <c r="A133" s="138"/>
      <c r="B133" s="141"/>
      <c r="C133" s="85" t="s">
        <v>281</v>
      </c>
      <c r="D133" s="106" t="s">
        <v>201</v>
      </c>
      <c r="E133" s="15" t="s">
        <v>57</v>
      </c>
      <c r="F133" s="16"/>
      <c r="G133" s="12" t="s">
        <v>192</v>
      </c>
      <c r="H133" s="15"/>
      <c r="I133" s="15"/>
      <c r="J133" s="15"/>
      <c r="K133" s="15"/>
      <c r="L133" s="17"/>
      <c r="M133" s="17"/>
      <c r="N133" s="13"/>
      <c r="O133" s="17"/>
      <c r="P133" s="17"/>
      <c r="Q133" s="17"/>
      <c r="R133" s="17"/>
      <c r="S133" s="15"/>
      <c r="T133" s="25">
        <v>45824</v>
      </c>
      <c r="U133" s="13" t="s">
        <v>147</v>
      </c>
      <c r="V133">
        <v>11</v>
      </c>
      <c r="AA133" s="49" t="s">
        <v>90</v>
      </c>
      <c r="AB133" s="50" t="s">
        <v>58</v>
      </c>
    </row>
    <row r="134" spans="1:28" x14ac:dyDescent="0.4">
      <c r="A134" s="138"/>
      <c r="B134" s="141"/>
      <c r="C134" s="85" t="s">
        <v>282</v>
      </c>
      <c r="D134" s="106" t="s">
        <v>201</v>
      </c>
      <c r="E134" s="15" t="s">
        <v>57</v>
      </c>
      <c r="F134" s="16"/>
      <c r="G134" s="12" t="s">
        <v>192</v>
      </c>
      <c r="H134" s="15"/>
      <c r="I134" s="15"/>
      <c r="J134" s="15"/>
      <c r="K134" s="15"/>
      <c r="L134" s="17"/>
      <c r="M134" s="17"/>
      <c r="N134" s="13"/>
      <c r="O134" s="17"/>
      <c r="P134" s="17"/>
      <c r="Q134" s="17"/>
      <c r="R134" s="17"/>
      <c r="S134" s="15"/>
      <c r="T134" s="25">
        <v>45824</v>
      </c>
      <c r="U134" s="13" t="s">
        <v>147</v>
      </c>
      <c r="V134">
        <v>12</v>
      </c>
      <c r="AA134" s="49" t="s">
        <v>91</v>
      </c>
      <c r="AB134" s="50" t="s">
        <v>75</v>
      </c>
    </row>
    <row r="135" spans="1:28" x14ac:dyDescent="0.4">
      <c r="A135" s="138"/>
      <c r="B135" s="141"/>
      <c r="C135" s="85" t="s">
        <v>283</v>
      </c>
      <c r="D135" s="106" t="s">
        <v>206</v>
      </c>
      <c r="E135" s="15" t="s">
        <v>58</v>
      </c>
      <c r="F135" s="16"/>
      <c r="G135" s="12" t="s">
        <v>187</v>
      </c>
      <c r="H135" s="15"/>
      <c r="I135" s="15"/>
      <c r="J135" s="15"/>
      <c r="K135" s="15"/>
      <c r="L135" s="17"/>
      <c r="M135" s="17"/>
      <c r="N135" s="13"/>
      <c r="O135" s="17"/>
      <c r="P135" s="17"/>
      <c r="Q135" s="17"/>
      <c r="R135" s="17"/>
      <c r="S135" s="15">
        <v>1</v>
      </c>
      <c r="T135" s="25">
        <v>45806</v>
      </c>
      <c r="U135" s="13" t="s">
        <v>146</v>
      </c>
      <c r="V135">
        <v>13</v>
      </c>
      <c r="AA135" s="49" t="s">
        <v>92</v>
      </c>
      <c r="AB135" s="50" t="s">
        <v>40</v>
      </c>
    </row>
    <row r="136" spans="1:28" x14ac:dyDescent="0.4">
      <c r="A136" s="138"/>
      <c r="B136" s="141"/>
      <c r="C136" s="85" t="s">
        <v>284</v>
      </c>
      <c r="D136" s="106" t="s">
        <v>206</v>
      </c>
      <c r="E136" s="15" t="s">
        <v>36</v>
      </c>
      <c r="F136" s="16"/>
      <c r="G136" s="12" t="s">
        <v>187</v>
      </c>
      <c r="H136" s="15"/>
      <c r="I136" s="15"/>
      <c r="J136" s="15">
        <v>1</v>
      </c>
      <c r="K136" s="15">
        <v>1</v>
      </c>
      <c r="L136" s="17"/>
      <c r="M136" s="17"/>
      <c r="N136" s="13"/>
      <c r="O136" s="17"/>
      <c r="P136" s="17"/>
      <c r="Q136" s="17"/>
      <c r="R136" s="17"/>
      <c r="S136" s="15"/>
      <c r="T136" s="25">
        <v>45831</v>
      </c>
      <c r="U136" s="13" t="s">
        <v>146</v>
      </c>
      <c r="V136">
        <v>14</v>
      </c>
      <c r="AA136" s="49" t="s">
        <v>93</v>
      </c>
      <c r="AB136" s="50" t="s">
        <v>57</v>
      </c>
    </row>
    <row r="137" spans="1:28" x14ac:dyDescent="0.4">
      <c r="A137" s="138"/>
      <c r="B137" s="141"/>
      <c r="C137" s="85"/>
      <c r="D137" s="106"/>
      <c r="E137" s="15"/>
      <c r="F137" s="16"/>
      <c r="G137" s="12"/>
      <c r="H137" s="15"/>
      <c r="I137" s="15"/>
      <c r="J137" s="15"/>
      <c r="K137" s="15"/>
      <c r="L137" s="17"/>
      <c r="M137" s="17"/>
      <c r="N137" s="13"/>
      <c r="O137" s="17"/>
      <c r="P137" s="17"/>
      <c r="Q137" s="17"/>
      <c r="R137" s="17"/>
      <c r="S137" s="15"/>
      <c r="T137" s="25"/>
      <c r="U137" s="13"/>
      <c r="V137">
        <v>15</v>
      </c>
      <c r="AA137" s="49" t="s">
        <v>94</v>
      </c>
      <c r="AB137" s="50" t="s">
        <v>41</v>
      </c>
    </row>
    <row r="138" spans="1:28" x14ac:dyDescent="0.4">
      <c r="A138" s="138"/>
      <c r="B138" s="141"/>
      <c r="C138" s="85"/>
      <c r="D138" s="106"/>
      <c r="E138" s="15"/>
      <c r="F138" s="16"/>
      <c r="G138" s="12"/>
      <c r="H138" s="15"/>
      <c r="I138" s="15"/>
      <c r="J138" s="18"/>
      <c r="K138" s="15"/>
      <c r="L138" s="19"/>
      <c r="M138" s="19"/>
      <c r="N138" s="13"/>
      <c r="O138" s="19"/>
      <c r="P138" s="19"/>
      <c r="Q138" s="19"/>
      <c r="R138" s="19"/>
      <c r="S138" s="15"/>
      <c r="T138" s="25"/>
      <c r="U138" s="13"/>
      <c r="V138" s="73">
        <v>16</v>
      </c>
      <c r="AA138" s="49" t="s">
        <v>95</v>
      </c>
      <c r="AB138" s="50" t="s">
        <v>42</v>
      </c>
    </row>
    <row r="139" spans="1:28" x14ac:dyDescent="0.4">
      <c r="A139" s="138"/>
      <c r="B139" s="141"/>
      <c r="C139" s="85"/>
      <c r="D139" s="106"/>
      <c r="E139" s="15"/>
      <c r="F139" s="16"/>
      <c r="G139" s="12"/>
      <c r="H139" s="15"/>
      <c r="I139" s="15"/>
      <c r="J139" s="18"/>
      <c r="K139" s="15"/>
      <c r="L139" s="19"/>
      <c r="M139" s="19"/>
      <c r="N139" s="13"/>
      <c r="O139" s="19"/>
      <c r="P139" s="19"/>
      <c r="Q139" s="19"/>
      <c r="R139" s="19"/>
      <c r="S139" s="15"/>
      <c r="T139" s="26"/>
      <c r="U139" s="13"/>
      <c r="V139">
        <v>17</v>
      </c>
      <c r="AA139" s="49" t="s">
        <v>96</v>
      </c>
      <c r="AB139" s="50" t="s">
        <v>61</v>
      </c>
    </row>
    <row r="140" spans="1:28" x14ac:dyDescent="0.4">
      <c r="A140" s="138"/>
      <c r="B140" s="141"/>
      <c r="C140" s="85"/>
      <c r="D140" s="106"/>
      <c r="E140" s="15"/>
      <c r="F140" s="16"/>
      <c r="G140" s="12"/>
      <c r="H140" s="15"/>
      <c r="I140" s="15"/>
      <c r="J140" s="18"/>
      <c r="K140" s="15"/>
      <c r="L140" s="19"/>
      <c r="M140" s="19"/>
      <c r="N140" s="13"/>
      <c r="O140" s="19"/>
      <c r="P140" s="19"/>
      <c r="Q140" s="19"/>
      <c r="R140" s="19"/>
      <c r="S140" s="15"/>
      <c r="T140" s="26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38"/>
      <c r="B141" s="141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38"/>
      <c r="B142" s="141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38"/>
      <c r="B143" s="141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38"/>
      <c r="B144" s="141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38"/>
      <c r="B145" s="141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38"/>
      <c r="B146" s="141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39"/>
      <c r="B147" s="142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14</v>
      </c>
      <c r="D148" s="112"/>
      <c r="E148" s="29"/>
      <c r="F148" s="29" t="s">
        <v>34</v>
      </c>
      <c r="G148" s="29">
        <f>COUNTIF(G123:G147,"S")</f>
        <v>10</v>
      </c>
      <c r="H148" s="29">
        <f>COUNTIF(H123:H147,"E")</f>
        <v>0</v>
      </c>
      <c r="I148" s="29">
        <f>SUM(I123:I147)</f>
        <v>0</v>
      </c>
      <c r="J148" s="29">
        <f t="shared" ref="J148" si="13">SUM(J123:J147)</f>
        <v>5</v>
      </c>
      <c r="K148" s="29">
        <f t="shared" ref="K148" si="14">SUM(K123:K147)</f>
        <v>3</v>
      </c>
      <c r="L148" s="29">
        <f t="shared" ref="L148" si="15">SUM(L123:L147)</f>
        <v>2</v>
      </c>
      <c r="M148" s="29">
        <f t="shared" ref="M148" si="16">SUM(M123:M147)</f>
        <v>1</v>
      </c>
      <c r="N148" s="29">
        <f t="shared" ref="N148" si="17">SUM(N123:N147)</f>
        <v>2</v>
      </c>
      <c r="O148" s="29">
        <f t="shared" ref="O148" si="18">SUM(O123:O147)</f>
        <v>0</v>
      </c>
      <c r="P148" s="29">
        <f t="shared" ref="P148" si="19">SUM(P123:P147)</f>
        <v>0</v>
      </c>
      <c r="Q148" s="29">
        <f t="shared" ref="Q148" si="20">SUM(Q123:Q147)</f>
        <v>2</v>
      </c>
      <c r="R148" s="29">
        <f t="shared" ref="R148" si="21">SUM(R123:R147)</f>
        <v>0</v>
      </c>
      <c r="S148" s="29">
        <f t="shared" ref="S148" si="22">SUM(S123:S147)</f>
        <v>1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0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16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AYG109</v>
      </c>
      <c r="B151" s="24">
        <f>B1</f>
        <v>45799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 t="s">
        <v>177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35" t="s">
        <v>115</v>
      </c>
      <c r="Y152" s="136"/>
    </row>
    <row r="153" spans="1:28" ht="20.25" thickTop="1" thickBot="1" x14ac:dyDescent="0.45">
      <c r="A153" s="137">
        <v>6</v>
      </c>
      <c r="B153" s="143"/>
      <c r="C153" s="85" t="s">
        <v>285</v>
      </c>
      <c r="D153" s="109" t="s">
        <v>186</v>
      </c>
      <c r="E153" s="13" t="s">
        <v>75</v>
      </c>
      <c r="F153" s="14"/>
      <c r="G153" s="12" t="s">
        <v>187</v>
      </c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26">
        <v>45821</v>
      </c>
      <c r="U153" s="13" t="s">
        <v>147</v>
      </c>
      <c r="V153">
        <v>1</v>
      </c>
      <c r="X153" s="51" t="s">
        <v>106</v>
      </c>
      <c r="Y153" s="52">
        <f>COUNTIF(U153:U177,"K")</f>
        <v>7</v>
      </c>
      <c r="AA153" s="59" t="s">
        <v>120</v>
      </c>
      <c r="AB153" s="60" t="s">
        <v>121</v>
      </c>
    </row>
    <row r="154" spans="1:28" x14ac:dyDescent="0.4">
      <c r="A154" s="138"/>
      <c r="B154" s="144"/>
      <c r="C154" s="85" t="s">
        <v>286</v>
      </c>
      <c r="D154" s="109" t="s">
        <v>186</v>
      </c>
      <c r="E154" s="13" t="s">
        <v>38</v>
      </c>
      <c r="F154" s="16"/>
      <c r="G154" s="12" t="s">
        <v>187</v>
      </c>
      <c r="H154" s="15"/>
      <c r="I154" s="15"/>
      <c r="J154" s="15"/>
      <c r="K154" s="15">
        <v>1</v>
      </c>
      <c r="L154" s="17"/>
      <c r="M154" s="17"/>
      <c r="N154" s="17"/>
      <c r="O154" s="17"/>
      <c r="P154" s="17"/>
      <c r="Q154" s="17"/>
      <c r="R154" s="17"/>
      <c r="S154" s="15"/>
      <c r="T154" s="26">
        <v>45826</v>
      </c>
      <c r="U154" s="13" t="s">
        <v>142</v>
      </c>
      <c r="V154">
        <v>2</v>
      </c>
      <c r="X154" s="51" t="s">
        <v>107</v>
      </c>
      <c r="Y154" s="52">
        <f>COUNTIF(U153:U177,"R")</f>
        <v>2</v>
      </c>
      <c r="AA154" s="47" t="s">
        <v>81</v>
      </c>
      <c r="AB154" s="48" t="s">
        <v>60</v>
      </c>
    </row>
    <row r="155" spans="1:28" ht="19.5" thickBot="1" x14ac:dyDescent="0.45">
      <c r="A155" s="138"/>
      <c r="B155" s="144"/>
      <c r="C155" s="85" t="s">
        <v>287</v>
      </c>
      <c r="D155" s="106" t="s">
        <v>186</v>
      </c>
      <c r="E155" s="106" t="s">
        <v>40</v>
      </c>
      <c r="F155" s="16"/>
      <c r="G155" s="12" t="s">
        <v>187</v>
      </c>
      <c r="H155" s="13"/>
      <c r="I155" s="15"/>
      <c r="J155" s="13"/>
      <c r="K155" s="15"/>
      <c r="L155" s="13"/>
      <c r="M155" s="17"/>
      <c r="N155" s="17"/>
      <c r="O155" s="17">
        <v>1</v>
      </c>
      <c r="P155" s="17">
        <v>1</v>
      </c>
      <c r="Q155" s="17"/>
      <c r="R155" s="17">
        <v>1</v>
      </c>
      <c r="S155" s="15"/>
      <c r="T155" s="25">
        <v>45826</v>
      </c>
      <c r="U155" s="13" t="s">
        <v>148</v>
      </c>
      <c r="V155">
        <v>3</v>
      </c>
      <c r="X155" s="53" t="s">
        <v>108</v>
      </c>
      <c r="Y155" s="54">
        <f>COUNTIF(U153:U177,"J")</f>
        <v>2</v>
      </c>
      <c r="AA155" s="49" t="s">
        <v>82</v>
      </c>
      <c r="AB155" s="50" t="s">
        <v>39</v>
      </c>
    </row>
    <row r="156" spans="1:28" x14ac:dyDescent="0.4">
      <c r="A156" s="138"/>
      <c r="B156" s="144"/>
      <c r="C156" s="85" t="s">
        <v>288</v>
      </c>
      <c r="D156" s="106" t="s">
        <v>186</v>
      </c>
      <c r="E156" s="106" t="s">
        <v>40</v>
      </c>
      <c r="F156" s="16"/>
      <c r="G156" s="12" t="s">
        <v>187</v>
      </c>
      <c r="H156" s="15"/>
      <c r="I156" s="15"/>
      <c r="J156" s="13"/>
      <c r="K156" s="15"/>
      <c r="L156" s="13"/>
      <c r="M156" s="17"/>
      <c r="N156" s="17"/>
      <c r="O156" s="17">
        <v>1</v>
      </c>
      <c r="P156" s="17">
        <v>1</v>
      </c>
      <c r="Q156" s="17"/>
      <c r="R156" s="17"/>
      <c r="S156" s="15"/>
      <c r="T156" s="25">
        <v>45825</v>
      </c>
      <c r="U156" s="13" t="s">
        <v>148</v>
      </c>
      <c r="V156">
        <v>4</v>
      </c>
      <c r="AA156" s="49" t="s">
        <v>83</v>
      </c>
      <c r="AB156" s="50" t="s">
        <v>38</v>
      </c>
    </row>
    <row r="157" spans="1:28" x14ac:dyDescent="0.4">
      <c r="A157" s="138"/>
      <c r="B157" s="144"/>
      <c r="C157" s="85" t="s">
        <v>289</v>
      </c>
      <c r="D157" s="106" t="s">
        <v>205</v>
      </c>
      <c r="E157" s="106" t="s">
        <v>41</v>
      </c>
      <c r="F157" s="16"/>
      <c r="G157" s="12" t="s">
        <v>187</v>
      </c>
      <c r="H157" s="15"/>
      <c r="I157" s="15"/>
      <c r="J157" s="13"/>
      <c r="K157" s="15"/>
      <c r="L157" s="13"/>
      <c r="M157" s="17"/>
      <c r="N157" s="17">
        <v>1</v>
      </c>
      <c r="O157" s="17"/>
      <c r="P157" s="17"/>
      <c r="Q157" s="17"/>
      <c r="R157" s="17"/>
      <c r="S157" s="15"/>
      <c r="T157" s="25">
        <v>45829</v>
      </c>
      <c r="U157" s="13" t="s">
        <v>147</v>
      </c>
      <c r="V157">
        <v>5</v>
      </c>
      <c r="AA157" s="49" t="s">
        <v>84</v>
      </c>
      <c r="AB157" s="50" t="s">
        <v>44</v>
      </c>
    </row>
    <row r="158" spans="1:28" x14ac:dyDescent="0.4">
      <c r="A158" s="138"/>
      <c r="B158" s="144"/>
      <c r="C158" s="85" t="s">
        <v>290</v>
      </c>
      <c r="D158" s="106" t="s">
        <v>205</v>
      </c>
      <c r="E158" s="106" t="s">
        <v>39</v>
      </c>
      <c r="F158" s="16"/>
      <c r="G158" s="12" t="s">
        <v>187</v>
      </c>
      <c r="H158" s="13"/>
      <c r="I158" s="15"/>
      <c r="J158" s="13">
        <v>1</v>
      </c>
      <c r="K158" s="15">
        <v>1</v>
      </c>
      <c r="L158" s="13"/>
      <c r="M158" s="17"/>
      <c r="N158" s="17"/>
      <c r="O158" s="17"/>
      <c r="P158" s="17"/>
      <c r="Q158" s="17"/>
      <c r="R158" s="17"/>
      <c r="S158" s="15"/>
      <c r="T158" s="25">
        <v>45829</v>
      </c>
      <c r="U158" s="13" t="s">
        <v>146</v>
      </c>
      <c r="V158">
        <v>6</v>
      </c>
      <c r="AA158" s="49" t="s">
        <v>85</v>
      </c>
      <c r="AB158" s="50" t="s">
        <v>43</v>
      </c>
    </row>
    <row r="159" spans="1:28" x14ac:dyDescent="0.4">
      <c r="A159" s="138"/>
      <c r="B159" s="144"/>
      <c r="C159" s="85" t="s">
        <v>291</v>
      </c>
      <c r="D159" s="106" t="s">
        <v>190</v>
      </c>
      <c r="E159" s="106" t="s">
        <v>39</v>
      </c>
      <c r="F159" s="16"/>
      <c r="G159" s="12" t="s">
        <v>191</v>
      </c>
      <c r="H159" s="15"/>
      <c r="I159" s="15"/>
      <c r="J159" s="13">
        <v>1</v>
      </c>
      <c r="K159" s="15"/>
      <c r="L159" s="13">
        <v>1</v>
      </c>
      <c r="M159" s="17"/>
      <c r="N159" s="17"/>
      <c r="O159" s="17"/>
      <c r="P159" s="17"/>
      <c r="Q159" s="17"/>
      <c r="R159" s="17"/>
      <c r="S159" s="15"/>
      <c r="T159" s="25">
        <v>45837</v>
      </c>
      <c r="U159" s="13" t="s">
        <v>146</v>
      </c>
      <c r="V159">
        <v>7</v>
      </c>
      <c r="AA159" s="49" t="s">
        <v>86</v>
      </c>
      <c r="AB159" s="50" t="s">
        <v>45</v>
      </c>
    </row>
    <row r="160" spans="1:28" x14ac:dyDescent="0.4">
      <c r="A160" s="138"/>
      <c r="B160" s="144"/>
      <c r="C160" s="85" t="s">
        <v>293</v>
      </c>
      <c r="D160" s="106" t="s">
        <v>292</v>
      </c>
      <c r="E160" s="106" t="s">
        <v>39</v>
      </c>
      <c r="F160" s="16"/>
      <c r="G160" s="12" t="s">
        <v>187</v>
      </c>
      <c r="H160" s="15"/>
      <c r="I160" s="15"/>
      <c r="J160" s="13">
        <v>1</v>
      </c>
      <c r="K160" s="15">
        <v>1</v>
      </c>
      <c r="L160" s="13"/>
      <c r="M160" s="17"/>
      <c r="N160" s="17"/>
      <c r="O160" s="17"/>
      <c r="P160" s="17"/>
      <c r="Q160" s="17"/>
      <c r="R160" s="17"/>
      <c r="S160" s="15"/>
      <c r="T160" s="25">
        <v>45838</v>
      </c>
      <c r="U160" s="13" t="s">
        <v>146</v>
      </c>
      <c r="V160">
        <v>8</v>
      </c>
      <c r="AA160" s="49" t="s">
        <v>87</v>
      </c>
      <c r="AB160" s="50" t="s">
        <v>37</v>
      </c>
    </row>
    <row r="161" spans="1:28" x14ac:dyDescent="0.4">
      <c r="A161" s="138"/>
      <c r="B161" s="144"/>
      <c r="C161" s="85" t="s">
        <v>294</v>
      </c>
      <c r="D161" s="106" t="s">
        <v>295</v>
      </c>
      <c r="E161" s="106" t="s">
        <v>37</v>
      </c>
      <c r="F161" s="16"/>
      <c r="G161" s="12" t="s">
        <v>187</v>
      </c>
      <c r="H161" s="15"/>
      <c r="I161" s="15"/>
      <c r="J161" s="13">
        <v>1</v>
      </c>
      <c r="K161" s="15">
        <v>1</v>
      </c>
      <c r="L161" s="13"/>
      <c r="M161" s="17"/>
      <c r="N161" s="17"/>
      <c r="O161" s="17"/>
      <c r="P161" s="17"/>
      <c r="Q161" s="17"/>
      <c r="R161" s="17"/>
      <c r="S161" s="15"/>
      <c r="T161" s="25">
        <v>45865</v>
      </c>
      <c r="U161" s="13" t="s">
        <v>146</v>
      </c>
      <c r="V161">
        <v>9</v>
      </c>
      <c r="AA161" s="49" t="s">
        <v>88</v>
      </c>
      <c r="AB161" s="50" t="s">
        <v>74</v>
      </c>
    </row>
    <row r="162" spans="1:28" x14ac:dyDescent="0.4">
      <c r="A162" s="138"/>
      <c r="B162" s="144"/>
      <c r="C162" s="85" t="s">
        <v>296</v>
      </c>
      <c r="D162" s="106" t="s">
        <v>190</v>
      </c>
      <c r="E162" s="106" t="s">
        <v>39</v>
      </c>
      <c r="F162" s="106"/>
      <c r="G162" s="12" t="s">
        <v>191</v>
      </c>
      <c r="H162" s="15"/>
      <c r="I162" s="15"/>
      <c r="J162" s="13">
        <v>1</v>
      </c>
      <c r="K162" s="15"/>
      <c r="L162" s="13">
        <v>1</v>
      </c>
      <c r="M162" s="17"/>
      <c r="N162" s="17"/>
      <c r="O162" s="17"/>
      <c r="P162" s="17"/>
      <c r="Q162" s="17"/>
      <c r="R162" s="17"/>
      <c r="S162" s="15"/>
      <c r="T162" s="25">
        <v>45838</v>
      </c>
      <c r="U162" s="13" t="s">
        <v>146</v>
      </c>
      <c r="V162">
        <v>10</v>
      </c>
      <c r="AA162" s="49" t="s">
        <v>89</v>
      </c>
      <c r="AB162" s="50" t="s">
        <v>36</v>
      </c>
    </row>
    <row r="163" spans="1:28" x14ac:dyDescent="0.4">
      <c r="A163" s="138"/>
      <c r="B163" s="144"/>
      <c r="C163" s="85" t="s">
        <v>297</v>
      </c>
      <c r="D163" s="106" t="s">
        <v>190</v>
      </c>
      <c r="E163" s="106" t="s">
        <v>39</v>
      </c>
      <c r="F163" s="16"/>
      <c r="G163" s="12" t="s">
        <v>191</v>
      </c>
      <c r="H163" s="15"/>
      <c r="I163" s="15"/>
      <c r="J163" s="15">
        <v>1</v>
      </c>
      <c r="K163" s="15"/>
      <c r="L163" s="17">
        <v>1</v>
      </c>
      <c r="M163" s="17"/>
      <c r="N163" s="17"/>
      <c r="O163" s="17"/>
      <c r="P163" s="17"/>
      <c r="Q163" s="17"/>
      <c r="R163" s="17"/>
      <c r="S163" s="15"/>
      <c r="T163" s="25">
        <v>45838</v>
      </c>
      <c r="U163" s="13" t="s">
        <v>146</v>
      </c>
      <c r="V163">
        <v>11</v>
      </c>
      <c r="AA163" s="49" t="s">
        <v>90</v>
      </c>
      <c r="AB163" s="50" t="s">
        <v>58</v>
      </c>
    </row>
    <row r="164" spans="1:28" x14ac:dyDescent="0.4">
      <c r="A164" s="138"/>
      <c r="B164" s="144"/>
      <c r="C164" s="85"/>
      <c r="D164" s="106"/>
      <c r="E164" s="106"/>
      <c r="F164" s="16"/>
      <c r="G164" s="12"/>
      <c r="H164" s="15"/>
      <c r="I164" s="15"/>
      <c r="J164" s="15"/>
      <c r="K164" s="15"/>
      <c r="L164" s="17"/>
      <c r="M164" s="17"/>
      <c r="N164" s="17"/>
      <c r="O164" s="17"/>
      <c r="P164" s="17"/>
      <c r="Q164" s="17"/>
      <c r="R164" s="17"/>
      <c r="S164" s="15"/>
      <c r="T164" s="25"/>
      <c r="U164" s="13"/>
      <c r="V164">
        <v>12</v>
      </c>
      <c r="AA164" s="49" t="s">
        <v>91</v>
      </c>
      <c r="AB164" s="50" t="s">
        <v>75</v>
      </c>
    </row>
    <row r="165" spans="1:28" x14ac:dyDescent="0.4">
      <c r="A165" s="138"/>
      <c r="B165" s="144"/>
      <c r="C165" s="85"/>
      <c r="D165" s="106"/>
      <c r="E165" s="106"/>
      <c r="F165" s="16"/>
      <c r="G165" s="12"/>
      <c r="H165" s="15"/>
      <c r="I165" s="15"/>
      <c r="J165" s="15"/>
      <c r="K165" s="15"/>
      <c r="L165" s="17"/>
      <c r="M165" s="17"/>
      <c r="N165" s="17"/>
      <c r="O165" s="17"/>
      <c r="P165" s="17"/>
      <c r="Q165" s="17"/>
      <c r="R165" s="17"/>
      <c r="S165" s="15"/>
      <c r="T165" s="25"/>
      <c r="U165" s="13"/>
      <c r="V165">
        <v>13</v>
      </c>
      <c r="AA165" s="49" t="s">
        <v>92</v>
      </c>
      <c r="AB165" s="50" t="s">
        <v>40</v>
      </c>
    </row>
    <row r="166" spans="1:28" x14ac:dyDescent="0.4">
      <c r="A166" s="138"/>
      <c r="B166" s="144"/>
      <c r="C166" s="85"/>
      <c r="D166" s="106"/>
      <c r="E166" s="106"/>
      <c r="F166" s="16"/>
      <c r="G166" s="12"/>
      <c r="H166" s="15"/>
      <c r="I166" s="15"/>
      <c r="J166" s="15"/>
      <c r="K166" s="15"/>
      <c r="L166" s="17"/>
      <c r="M166" s="17"/>
      <c r="N166" s="17"/>
      <c r="O166" s="17"/>
      <c r="P166" s="17"/>
      <c r="Q166" s="17"/>
      <c r="R166" s="17"/>
      <c r="S166" s="15"/>
      <c r="T166" s="25"/>
      <c r="U166" s="13"/>
      <c r="V166">
        <v>14</v>
      </c>
      <c r="AA166" s="49" t="s">
        <v>93</v>
      </c>
      <c r="AB166" s="50" t="s">
        <v>57</v>
      </c>
    </row>
    <row r="167" spans="1:28" x14ac:dyDescent="0.4">
      <c r="A167" s="138"/>
      <c r="B167" s="144"/>
      <c r="C167" s="85"/>
      <c r="D167" s="106"/>
      <c r="E167" s="106"/>
      <c r="F167" s="16"/>
      <c r="G167" s="12"/>
      <c r="H167" s="15"/>
      <c r="I167" s="15"/>
      <c r="J167" s="15"/>
      <c r="K167" s="15"/>
      <c r="L167" s="17"/>
      <c r="M167" s="17"/>
      <c r="N167" s="17"/>
      <c r="O167" s="17"/>
      <c r="P167" s="17"/>
      <c r="Q167" s="17"/>
      <c r="R167" s="17"/>
      <c r="S167" s="15"/>
      <c r="T167" s="25"/>
      <c r="U167" s="13"/>
      <c r="V167">
        <v>15</v>
      </c>
      <c r="AA167" s="49" t="s">
        <v>94</v>
      </c>
      <c r="AB167" s="50" t="s">
        <v>41</v>
      </c>
    </row>
    <row r="168" spans="1:28" x14ac:dyDescent="0.4">
      <c r="A168" s="138"/>
      <c r="B168" s="144"/>
      <c r="C168" s="85"/>
      <c r="D168" s="106"/>
      <c r="E168" s="106"/>
      <c r="F168" s="16"/>
      <c r="G168" s="12"/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/>
      <c r="T168" s="25"/>
      <c r="U168" s="13"/>
      <c r="V168">
        <v>16</v>
      </c>
      <c r="AA168" s="49" t="s">
        <v>95</v>
      </c>
      <c r="AB168" s="50" t="s">
        <v>42</v>
      </c>
    </row>
    <row r="169" spans="1:28" x14ac:dyDescent="0.4">
      <c r="A169" s="138"/>
      <c r="B169" s="144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38"/>
      <c r="B170" s="144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38"/>
      <c r="B171" s="144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38"/>
      <c r="B172" s="144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38"/>
      <c r="B173" s="144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38"/>
      <c r="B174" s="144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38"/>
      <c r="B175" s="144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38"/>
      <c r="B176" s="144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39"/>
      <c r="B177" s="145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11</v>
      </c>
      <c r="D178" s="112"/>
      <c r="E178" s="29"/>
      <c r="F178" s="29" t="s">
        <v>34</v>
      </c>
      <c r="G178" s="29">
        <f>COUNTIF(G153:G177,"S")</f>
        <v>8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6</v>
      </c>
      <c r="K178" s="29">
        <f t="shared" ref="K178" si="24">SUM(K153:K177)</f>
        <v>4</v>
      </c>
      <c r="L178" s="29">
        <f t="shared" ref="L178" si="25">SUM(L153:L177)</f>
        <v>3</v>
      </c>
      <c r="M178" s="29">
        <f t="shared" ref="M178" si="26">SUM(M153:M177)</f>
        <v>0</v>
      </c>
      <c r="N178" s="29">
        <f t="shared" ref="N178" si="27">SUM(N153:N177)</f>
        <v>1</v>
      </c>
      <c r="O178" s="29">
        <f t="shared" ref="O178" si="28">SUM(O153:O177)</f>
        <v>2</v>
      </c>
      <c r="P178" s="29">
        <f t="shared" ref="P178" si="29">SUM(P153:P177)</f>
        <v>2</v>
      </c>
      <c r="Q178" s="29">
        <f t="shared" ref="Q178" si="30">SUM(Q153:Q177)</f>
        <v>0</v>
      </c>
      <c r="R178" s="29">
        <f t="shared" ref="R178" si="31">SUM(R153:R177)</f>
        <v>1</v>
      </c>
      <c r="S178" s="29">
        <f t="shared" ref="S178" si="32">SUM(S153:S177)</f>
        <v>0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3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19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184</v>
      </c>
      <c r="B181" s="24">
        <v>45789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35" t="s">
        <v>114</v>
      </c>
      <c r="Y182" s="136"/>
    </row>
    <row r="183" spans="1:28" ht="20.25" thickTop="1" thickBot="1" x14ac:dyDescent="0.45">
      <c r="A183" s="137">
        <v>7</v>
      </c>
      <c r="B183" s="143"/>
      <c r="C183" s="85" t="s">
        <v>298</v>
      </c>
      <c r="D183" s="110" t="s">
        <v>204</v>
      </c>
      <c r="E183" s="18" t="s">
        <v>37</v>
      </c>
      <c r="F183" s="16"/>
      <c r="G183" s="18" t="s">
        <v>187</v>
      </c>
      <c r="H183" s="15"/>
      <c r="I183" s="15"/>
      <c r="J183" s="18"/>
      <c r="K183" s="15"/>
      <c r="L183" s="19"/>
      <c r="M183" s="19">
        <v>1</v>
      </c>
      <c r="N183" s="19"/>
      <c r="O183" s="19"/>
      <c r="P183" s="19"/>
      <c r="Q183" s="19">
        <v>1</v>
      </c>
      <c r="R183" s="19"/>
      <c r="S183" s="15"/>
      <c r="T183" s="25">
        <v>45824</v>
      </c>
      <c r="U183" s="15" t="s">
        <v>147</v>
      </c>
      <c r="V183">
        <v>1</v>
      </c>
      <c r="X183" s="51" t="s">
        <v>106</v>
      </c>
      <c r="Y183" s="52">
        <f>COUNTIF(U183:U207,"K")</f>
        <v>1</v>
      </c>
      <c r="AA183" s="59" t="s">
        <v>120</v>
      </c>
      <c r="AB183" s="60" t="s">
        <v>121</v>
      </c>
    </row>
    <row r="184" spans="1:28" x14ac:dyDescent="0.4">
      <c r="A184" s="138"/>
      <c r="B184" s="144"/>
      <c r="C184" s="85" t="s">
        <v>299</v>
      </c>
      <c r="D184" s="110" t="s">
        <v>204</v>
      </c>
      <c r="E184" s="15" t="s">
        <v>37</v>
      </c>
      <c r="F184" s="16"/>
      <c r="G184" s="18" t="s">
        <v>187</v>
      </c>
      <c r="H184" s="15"/>
      <c r="I184" s="15"/>
      <c r="J184" s="18"/>
      <c r="K184" s="15"/>
      <c r="L184" s="19"/>
      <c r="M184" s="19">
        <v>1</v>
      </c>
      <c r="N184" s="19">
        <v>1</v>
      </c>
      <c r="O184" s="19"/>
      <c r="P184" s="19"/>
      <c r="Q184" s="19">
        <v>1</v>
      </c>
      <c r="R184" s="19"/>
      <c r="S184" s="15"/>
      <c r="T184" s="25">
        <v>45834</v>
      </c>
      <c r="U184" s="15" t="s">
        <v>147</v>
      </c>
      <c r="V184">
        <v>2</v>
      </c>
      <c r="X184" s="51" t="s">
        <v>107</v>
      </c>
      <c r="Y184" s="52">
        <f>COUNTIF(U183:U207,"R")</f>
        <v>13</v>
      </c>
      <c r="AA184" s="47" t="s">
        <v>81</v>
      </c>
      <c r="AB184" s="48" t="s">
        <v>60</v>
      </c>
    </row>
    <row r="185" spans="1:28" ht="19.5" thickBot="1" x14ac:dyDescent="0.45">
      <c r="A185" s="138"/>
      <c r="B185" s="144"/>
      <c r="C185" s="85" t="s">
        <v>300</v>
      </c>
      <c r="D185" s="110" t="s">
        <v>204</v>
      </c>
      <c r="E185" s="15" t="s">
        <v>37</v>
      </c>
      <c r="F185" s="16"/>
      <c r="G185" s="18" t="s">
        <v>187</v>
      </c>
      <c r="H185" s="15"/>
      <c r="I185" s="15"/>
      <c r="J185" s="15"/>
      <c r="K185" s="15"/>
      <c r="L185" s="17"/>
      <c r="M185" s="17">
        <v>1</v>
      </c>
      <c r="N185" s="17">
        <v>1</v>
      </c>
      <c r="O185" s="17"/>
      <c r="P185" s="17"/>
      <c r="Q185" s="17">
        <v>1</v>
      </c>
      <c r="R185" s="17"/>
      <c r="S185" s="15"/>
      <c r="T185" s="25">
        <v>45834</v>
      </c>
      <c r="U185" s="15" t="s">
        <v>147</v>
      </c>
      <c r="V185">
        <v>3</v>
      </c>
      <c r="X185" s="53" t="s">
        <v>108</v>
      </c>
      <c r="Y185" s="54">
        <f>COUNTIF(U183:U207,"J")</f>
        <v>1</v>
      </c>
      <c r="AA185" s="49" t="s">
        <v>82</v>
      </c>
      <c r="AB185" s="50" t="s">
        <v>39</v>
      </c>
    </row>
    <row r="186" spans="1:28" x14ac:dyDescent="0.4">
      <c r="A186" s="138"/>
      <c r="B186" s="144"/>
      <c r="C186" s="85" t="s">
        <v>301</v>
      </c>
      <c r="D186" s="110" t="s">
        <v>186</v>
      </c>
      <c r="E186" s="15" t="s">
        <v>36</v>
      </c>
      <c r="F186" s="16"/>
      <c r="G186" s="18" t="s">
        <v>187</v>
      </c>
      <c r="H186" s="15"/>
      <c r="I186" s="15"/>
      <c r="J186" s="15"/>
      <c r="K186" s="15"/>
      <c r="L186" s="17"/>
      <c r="M186" s="17">
        <v>1</v>
      </c>
      <c r="N186" s="17">
        <v>1</v>
      </c>
      <c r="O186" s="17"/>
      <c r="P186" s="17"/>
      <c r="Q186" s="17">
        <v>1</v>
      </c>
      <c r="R186" s="17"/>
      <c r="S186" s="15"/>
      <c r="T186" s="25">
        <v>45824</v>
      </c>
      <c r="U186" s="25" t="s">
        <v>147</v>
      </c>
      <c r="V186">
        <v>4</v>
      </c>
      <c r="AA186" s="49" t="s">
        <v>83</v>
      </c>
      <c r="AB186" s="50" t="s">
        <v>38</v>
      </c>
    </row>
    <row r="187" spans="1:28" x14ac:dyDescent="0.4">
      <c r="A187" s="138"/>
      <c r="B187" s="144"/>
      <c r="C187" s="85" t="s">
        <v>302</v>
      </c>
      <c r="D187" s="106" t="s">
        <v>188</v>
      </c>
      <c r="E187" s="13" t="s">
        <v>36</v>
      </c>
      <c r="F187" s="16"/>
      <c r="G187" s="18" t="s">
        <v>187</v>
      </c>
      <c r="H187" s="15"/>
      <c r="I187" s="15"/>
      <c r="J187" s="15"/>
      <c r="K187" s="15"/>
      <c r="L187" s="17"/>
      <c r="M187" s="17">
        <v>1</v>
      </c>
      <c r="N187" s="17">
        <v>1</v>
      </c>
      <c r="O187" s="17"/>
      <c r="P187" s="17"/>
      <c r="Q187" s="17"/>
      <c r="R187" s="17"/>
      <c r="S187" s="15"/>
      <c r="T187" s="25">
        <v>45826</v>
      </c>
      <c r="U187" s="25" t="s">
        <v>147</v>
      </c>
      <c r="V187">
        <v>5</v>
      </c>
      <c r="AA187" s="49" t="s">
        <v>84</v>
      </c>
      <c r="AB187" s="50" t="s">
        <v>44</v>
      </c>
    </row>
    <row r="188" spans="1:28" x14ac:dyDescent="0.4">
      <c r="A188" s="138"/>
      <c r="B188" s="144"/>
      <c r="C188" s="85" t="s">
        <v>303</v>
      </c>
      <c r="D188" s="106" t="s">
        <v>188</v>
      </c>
      <c r="E188" s="13" t="s">
        <v>40</v>
      </c>
      <c r="F188" s="16"/>
      <c r="G188" s="18" t="s">
        <v>191</v>
      </c>
      <c r="H188" s="13"/>
      <c r="I188" s="15"/>
      <c r="J188" s="15"/>
      <c r="K188" s="15"/>
      <c r="L188" s="17"/>
      <c r="M188" s="17"/>
      <c r="N188" s="17"/>
      <c r="O188" s="17">
        <v>1</v>
      </c>
      <c r="P188" s="17">
        <v>1</v>
      </c>
      <c r="Q188" s="17"/>
      <c r="R188" s="17"/>
      <c r="S188" s="15"/>
      <c r="T188" s="25">
        <v>45826</v>
      </c>
      <c r="U188" s="25" t="s">
        <v>148</v>
      </c>
      <c r="V188">
        <v>6</v>
      </c>
      <c r="AA188" s="49" t="s">
        <v>85</v>
      </c>
      <c r="AB188" s="50" t="s">
        <v>43</v>
      </c>
    </row>
    <row r="189" spans="1:28" x14ac:dyDescent="0.4">
      <c r="A189" s="138"/>
      <c r="B189" s="144"/>
      <c r="C189" s="85" t="s">
        <v>304</v>
      </c>
      <c r="D189" s="106" t="s">
        <v>188</v>
      </c>
      <c r="E189" s="13" t="s">
        <v>75</v>
      </c>
      <c r="F189" s="16"/>
      <c r="G189" s="18" t="s">
        <v>187</v>
      </c>
      <c r="H189" s="15"/>
      <c r="I189" s="15"/>
      <c r="J189" s="15"/>
      <c r="K189" s="15"/>
      <c r="L189" s="17"/>
      <c r="M189" s="17"/>
      <c r="N189" s="17"/>
      <c r="O189" s="17"/>
      <c r="P189" s="17"/>
      <c r="Q189" s="17"/>
      <c r="R189" s="17"/>
      <c r="S189" s="15"/>
      <c r="T189" s="25">
        <v>45826</v>
      </c>
      <c r="U189" s="25" t="s">
        <v>147</v>
      </c>
      <c r="V189">
        <v>7</v>
      </c>
      <c r="AA189" s="49" t="s">
        <v>86</v>
      </c>
      <c r="AB189" s="50" t="s">
        <v>45</v>
      </c>
    </row>
    <row r="190" spans="1:28" x14ac:dyDescent="0.4">
      <c r="A190" s="138"/>
      <c r="B190" s="144"/>
      <c r="C190" s="85" t="s">
        <v>305</v>
      </c>
      <c r="D190" s="106" t="s">
        <v>199</v>
      </c>
      <c r="E190" s="13" t="s">
        <v>37</v>
      </c>
      <c r="F190" s="16"/>
      <c r="G190" s="18" t="s">
        <v>187</v>
      </c>
      <c r="H190" s="15"/>
      <c r="I190" s="15"/>
      <c r="J190" s="15"/>
      <c r="K190" s="15"/>
      <c r="L190" s="17"/>
      <c r="M190" s="17">
        <v>1</v>
      </c>
      <c r="N190" s="17">
        <v>1</v>
      </c>
      <c r="O190" s="17"/>
      <c r="P190" s="17"/>
      <c r="Q190" s="17"/>
      <c r="R190" s="17"/>
      <c r="S190" s="15"/>
      <c r="T190" s="25">
        <v>45824</v>
      </c>
      <c r="U190" s="25" t="s">
        <v>147</v>
      </c>
      <c r="V190">
        <v>8</v>
      </c>
      <c r="AA190" s="49" t="s">
        <v>87</v>
      </c>
      <c r="AB190" s="50" t="s">
        <v>37</v>
      </c>
    </row>
    <row r="191" spans="1:28" x14ac:dyDescent="0.4">
      <c r="A191" s="138"/>
      <c r="B191" s="144"/>
      <c r="C191" s="85" t="s">
        <v>306</v>
      </c>
      <c r="D191" s="106" t="s">
        <v>199</v>
      </c>
      <c r="E191" s="13" t="s">
        <v>37</v>
      </c>
      <c r="F191" s="16"/>
      <c r="G191" s="18" t="s">
        <v>187</v>
      </c>
      <c r="H191" s="15"/>
      <c r="I191" s="15"/>
      <c r="J191" s="15"/>
      <c r="K191" s="15"/>
      <c r="L191" s="17"/>
      <c r="M191" s="17"/>
      <c r="N191" s="17">
        <v>1</v>
      </c>
      <c r="O191" s="17"/>
      <c r="P191" s="17"/>
      <c r="Q191" s="17"/>
      <c r="R191" s="17"/>
      <c r="S191" s="15"/>
      <c r="T191" s="25">
        <v>45829</v>
      </c>
      <c r="U191" s="25" t="s">
        <v>147</v>
      </c>
      <c r="V191">
        <v>9</v>
      </c>
      <c r="AA191" s="49" t="s">
        <v>88</v>
      </c>
      <c r="AB191" s="50" t="s">
        <v>74</v>
      </c>
    </row>
    <row r="192" spans="1:28" x14ac:dyDescent="0.4">
      <c r="A192" s="138"/>
      <c r="B192" s="144"/>
      <c r="C192" s="85" t="s">
        <v>307</v>
      </c>
      <c r="D192" s="106" t="s">
        <v>199</v>
      </c>
      <c r="E192" s="13" t="s">
        <v>58</v>
      </c>
      <c r="F192" s="16"/>
      <c r="G192" s="18" t="s">
        <v>187</v>
      </c>
      <c r="H192" s="15"/>
      <c r="I192" s="15"/>
      <c r="J192" s="15"/>
      <c r="K192" s="15"/>
      <c r="L192" s="17"/>
      <c r="M192" s="17"/>
      <c r="N192" s="17"/>
      <c r="O192" s="17"/>
      <c r="P192" s="17"/>
      <c r="Q192" s="17"/>
      <c r="R192" s="17"/>
      <c r="S192" s="15"/>
      <c r="T192" s="25">
        <v>45824</v>
      </c>
      <c r="U192" s="15" t="s">
        <v>147</v>
      </c>
      <c r="V192">
        <v>10</v>
      </c>
      <c r="AA192" s="49" t="s">
        <v>89</v>
      </c>
      <c r="AB192" s="50" t="s">
        <v>36</v>
      </c>
    </row>
    <row r="193" spans="1:28" x14ac:dyDescent="0.4">
      <c r="A193" s="138"/>
      <c r="B193" s="144"/>
      <c r="C193" s="85" t="s">
        <v>308</v>
      </c>
      <c r="D193" s="106" t="s">
        <v>186</v>
      </c>
      <c r="E193" s="13" t="s">
        <v>36</v>
      </c>
      <c r="F193" s="16"/>
      <c r="G193" s="18" t="s">
        <v>187</v>
      </c>
      <c r="H193" s="15"/>
      <c r="I193" s="15"/>
      <c r="J193" s="15"/>
      <c r="K193" s="15"/>
      <c r="L193" s="17"/>
      <c r="M193" s="17">
        <v>1</v>
      </c>
      <c r="N193" s="17">
        <v>1</v>
      </c>
      <c r="O193" s="17"/>
      <c r="P193" s="17"/>
      <c r="Q193" s="17"/>
      <c r="R193" s="17"/>
      <c r="S193" s="15"/>
      <c r="T193" s="25">
        <v>45826</v>
      </c>
      <c r="U193" s="15" t="s">
        <v>147</v>
      </c>
      <c r="V193">
        <v>11</v>
      </c>
      <c r="AA193" s="49" t="s">
        <v>90</v>
      </c>
      <c r="AB193" s="50" t="s">
        <v>58</v>
      </c>
    </row>
    <row r="194" spans="1:28" x14ac:dyDescent="0.4">
      <c r="A194" s="138"/>
      <c r="B194" s="144"/>
      <c r="C194" s="85" t="s">
        <v>309</v>
      </c>
      <c r="D194" s="106" t="s">
        <v>200</v>
      </c>
      <c r="E194" s="13" t="s">
        <v>75</v>
      </c>
      <c r="F194" s="16"/>
      <c r="G194" s="18" t="s">
        <v>187</v>
      </c>
      <c r="H194" s="15"/>
      <c r="I194" s="15"/>
      <c r="J194" s="15"/>
      <c r="K194" s="15"/>
      <c r="L194" s="17"/>
      <c r="M194" s="17"/>
      <c r="N194" s="17"/>
      <c r="O194" s="17"/>
      <c r="P194" s="17"/>
      <c r="Q194" s="17"/>
      <c r="R194" s="17"/>
      <c r="S194" s="15"/>
      <c r="T194" s="25">
        <v>45829</v>
      </c>
      <c r="U194" s="15" t="s">
        <v>147</v>
      </c>
      <c r="V194">
        <v>12</v>
      </c>
      <c r="AA194" s="49" t="s">
        <v>91</v>
      </c>
      <c r="AB194" s="50" t="s">
        <v>75</v>
      </c>
    </row>
    <row r="195" spans="1:28" x14ac:dyDescent="0.4">
      <c r="A195" s="138"/>
      <c r="B195" s="144"/>
      <c r="C195" s="85" t="s">
        <v>310</v>
      </c>
      <c r="D195" s="106" t="s">
        <v>186</v>
      </c>
      <c r="E195" s="15" t="s">
        <v>36</v>
      </c>
      <c r="F195" s="16"/>
      <c r="G195" s="18" t="s">
        <v>187</v>
      </c>
      <c r="H195" s="15"/>
      <c r="I195" s="15"/>
      <c r="J195" s="15"/>
      <c r="K195" s="15"/>
      <c r="L195" s="17"/>
      <c r="M195" s="17">
        <v>1</v>
      </c>
      <c r="N195" s="17">
        <v>1</v>
      </c>
      <c r="O195" s="17"/>
      <c r="P195" s="17"/>
      <c r="Q195" s="17">
        <v>1</v>
      </c>
      <c r="R195" s="17"/>
      <c r="S195" s="15"/>
      <c r="T195" s="25">
        <v>45823</v>
      </c>
      <c r="U195" s="15" t="s">
        <v>147</v>
      </c>
      <c r="V195">
        <v>13</v>
      </c>
      <c r="AA195" s="49" t="s">
        <v>92</v>
      </c>
      <c r="AB195" s="50" t="s">
        <v>40</v>
      </c>
    </row>
    <row r="196" spans="1:28" x14ac:dyDescent="0.4">
      <c r="A196" s="138"/>
      <c r="B196" s="144"/>
      <c r="C196" s="85" t="s">
        <v>311</v>
      </c>
      <c r="D196" s="106" t="s">
        <v>202</v>
      </c>
      <c r="E196" s="15" t="s">
        <v>57</v>
      </c>
      <c r="F196" s="16"/>
      <c r="G196" s="18" t="s">
        <v>192</v>
      </c>
      <c r="H196" s="15"/>
      <c r="I196" s="15"/>
      <c r="J196" s="15"/>
      <c r="K196" s="15"/>
      <c r="L196" s="17"/>
      <c r="M196" s="17"/>
      <c r="N196" s="17"/>
      <c r="O196" s="17"/>
      <c r="P196" s="17"/>
      <c r="Q196" s="17"/>
      <c r="R196" s="17"/>
      <c r="S196" s="15"/>
      <c r="T196" s="25">
        <v>45838</v>
      </c>
      <c r="U196" s="15" t="s">
        <v>147</v>
      </c>
      <c r="V196">
        <v>14</v>
      </c>
      <c r="AA196" s="49" t="s">
        <v>93</v>
      </c>
      <c r="AB196" s="50" t="s">
        <v>57</v>
      </c>
    </row>
    <row r="197" spans="1:28" x14ac:dyDescent="0.4">
      <c r="A197" s="138"/>
      <c r="B197" s="144"/>
      <c r="C197" s="85" t="s">
        <v>312</v>
      </c>
      <c r="D197" s="106" t="s">
        <v>198</v>
      </c>
      <c r="E197" s="15" t="s">
        <v>36</v>
      </c>
      <c r="F197" s="16"/>
      <c r="G197" s="15" t="s">
        <v>187</v>
      </c>
      <c r="H197" s="15"/>
      <c r="I197" s="15"/>
      <c r="J197" s="15">
        <v>1</v>
      </c>
      <c r="K197" s="15">
        <v>1</v>
      </c>
      <c r="L197" s="17"/>
      <c r="M197" s="17"/>
      <c r="N197" s="17"/>
      <c r="O197" s="17"/>
      <c r="P197" s="17"/>
      <c r="Q197" s="17"/>
      <c r="R197" s="17"/>
      <c r="S197" s="15"/>
      <c r="T197" s="25">
        <v>45838</v>
      </c>
      <c r="U197" s="15" t="s">
        <v>146</v>
      </c>
      <c r="V197">
        <v>15</v>
      </c>
      <c r="AA197" s="49" t="s">
        <v>94</v>
      </c>
      <c r="AB197" s="50" t="s">
        <v>41</v>
      </c>
    </row>
    <row r="198" spans="1:28" x14ac:dyDescent="0.4">
      <c r="A198" s="138"/>
      <c r="B198" s="144"/>
      <c r="C198" s="85"/>
      <c r="D198" s="106"/>
      <c r="E198" s="15"/>
      <c r="F198" s="16"/>
      <c r="G198" s="15"/>
      <c r="H198" s="15"/>
      <c r="I198" s="15"/>
      <c r="J198" s="15"/>
      <c r="K198" s="15"/>
      <c r="L198" s="19"/>
      <c r="M198" s="19"/>
      <c r="N198" s="19"/>
      <c r="O198" s="19"/>
      <c r="P198" s="19"/>
      <c r="Q198" s="19"/>
      <c r="R198" s="19"/>
      <c r="S198" s="15"/>
      <c r="T198" s="25"/>
      <c r="U198" s="15"/>
      <c r="V198">
        <v>16</v>
      </c>
      <c r="AA198" s="49" t="s">
        <v>95</v>
      </c>
      <c r="AB198" s="50" t="s">
        <v>42</v>
      </c>
    </row>
    <row r="199" spans="1:28" x14ac:dyDescent="0.4">
      <c r="A199" s="138"/>
      <c r="B199" s="144"/>
      <c r="C199" s="85"/>
      <c r="D199" s="106"/>
      <c r="E199" s="18"/>
      <c r="F199" s="16"/>
      <c r="G199" s="18"/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25"/>
      <c r="U199" s="15"/>
      <c r="V199">
        <v>17</v>
      </c>
      <c r="AA199" s="49" t="s">
        <v>96</v>
      </c>
      <c r="AB199" s="50" t="s">
        <v>61</v>
      </c>
    </row>
    <row r="200" spans="1:28" x14ac:dyDescent="0.4">
      <c r="A200" s="138"/>
      <c r="B200" s="144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38"/>
      <c r="B201" s="144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38"/>
      <c r="B202" s="144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38"/>
      <c r="B203" s="144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38"/>
      <c r="B204" s="144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38"/>
      <c r="B205" s="144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38"/>
      <c r="B206" s="144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39"/>
      <c r="B207" s="145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15</v>
      </c>
      <c r="D208" s="112"/>
      <c r="E208" s="29"/>
      <c r="F208" s="29" t="s">
        <v>34</v>
      </c>
      <c r="G208" s="29">
        <f>COUNTIF(G183:G207,"S")</f>
        <v>13</v>
      </c>
      <c r="H208" s="29">
        <f>COUNTIF(H183:H207,"E")</f>
        <v>0</v>
      </c>
      <c r="I208" s="29">
        <f>SUM(I183:I207)</f>
        <v>0</v>
      </c>
      <c r="J208" s="29">
        <f t="shared" ref="J208" si="33">SUM(J183:J207)</f>
        <v>1</v>
      </c>
      <c r="K208" s="29">
        <f t="shared" ref="K208" si="34">SUM(K183:K207)</f>
        <v>1</v>
      </c>
      <c r="L208" s="29">
        <f t="shared" ref="L208" si="35">SUM(L183:L207)</f>
        <v>0</v>
      </c>
      <c r="M208" s="29">
        <f t="shared" ref="M208" si="36">SUM(M183:M207)</f>
        <v>8</v>
      </c>
      <c r="N208" s="29">
        <f t="shared" ref="N208" si="37">SUM(N183:N207)</f>
        <v>8</v>
      </c>
      <c r="O208" s="29">
        <f t="shared" ref="O208" si="38">SUM(O183:O207)</f>
        <v>1</v>
      </c>
      <c r="P208" s="29">
        <f t="shared" ref="P208" si="39">SUM(P183:P207)</f>
        <v>1</v>
      </c>
      <c r="Q208" s="29">
        <f t="shared" ref="Q208" si="40">SUM(Q183:Q207)</f>
        <v>5</v>
      </c>
      <c r="R208" s="29">
        <f t="shared" ref="R208" si="41">SUM(R183:R207)</f>
        <v>0</v>
      </c>
      <c r="S208" s="29">
        <f t="shared" ref="S208" si="42">SUM(S183:S207)</f>
        <v>0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1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25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AYG109</v>
      </c>
      <c r="B211" s="24">
        <f>B1</f>
        <v>45799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35" t="s">
        <v>113</v>
      </c>
      <c r="Y212" s="136"/>
    </row>
    <row r="213" spans="1:28" ht="20.25" thickTop="1" thickBot="1" x14ac:dyDescent="0.45">
      <c r="A213" s="137">
        <v>8</v>
      </c>
      <c r="B213" s="143"/>
      <c r="C213" s="85" t="s">
        <v>313</v>
      </c>
      <c r="D213" s="106" t="s">
        <v>190</v>
      </c>
      <c r="E213" s="106" t="s">
        <v>59</v>
      </c>
      <c r="F213" s="14"/>
      <c r="G213" s="12" t="s">
        <v>187</v>
      </c>
      <c r="H213" s="13" t="s">
        <v>196</v>
      </c>
      <c r="I213" s="13"/>
      <c r="J213" s="13">
        <v>2</v>
      </c>
      <c r="K213" s="13"/>
      <c r="L213" s="13"/>
      <c r="M213" s="13"/>
      <c r="N213" s="13"/>
      <c r="O213" s="13"/>
      <c r="P213" s="13"/>
      <c r="Q213" s="13"/>
      <c r="R213" s="13"/>
      <c r="S213" s="13"/>
      <c r="T213" s="25">
        <v>45840</v>
      </c>
      <c r="U213" s="13" t="s">
        <v>146</v>
      </c>
      <c r="V213">
        <v>1</v>
      </c>
      <c r="X213" s="51" t="s">
        <v>106</v>
      </c>
      <c r="Y213" s="52">
        <f>COUNTIF(U213:U237,"K")</f>
        <v>4</v>
      </c>
      <c r="AA213" s="59" t="s">
        <v>120</v>
      </c>
      <c r="AB213" s="60" t="s">
        <v>121</v>
      </c>
    </row>
    <row r="214" spans="1:28" x14ac:dyDescent="0.4">
      <c r="A214" s="138"/>
      <c r="B214" s="144"/>
      <c r="C214" s="85" t="s">
        <v>314</v>
      </c>
      <c r="D214" s="106" t="s">
        <v>190</v>
      </c>
      <c r="E214" s="106" t="s">
        <v>59</v>
      </c>
      <c r="F214" s="16"/>
      <c r="G214" s="12" t="s">
        <v>187</v>
      </c>
      <c r="H214" s="15" t="s">
        <v>196</v>
      </c>
      <c r="I214" s="15"/>
      <c r="J214" s="13">
        <v>2</v>
      </c>
      <c r="K214" s="15"/>
      <c r="L214" s="13"/>
      <c r="M214" s="17"/>
      <c r="N214" s="17"/>
      <c r="O214" s="17"/>
      <c r="P214" s="17"/>
      <c r="Q214" s="17"/>
      <c r="R214" s="17"/>
      <c r="S214" s="15"/>
      <c r="T214" s="25">
        <v>45840</v>
      </c>
      <c r="U214" s="13" t="s">
        <v>146</v>
      </c>
      <c r="V214">
        <v>2</v>
      </c>
      <c r="X214" s="51" t="s">
        <v>107</v>
      </c>
      <c r="Y214" s="52">
        <f>COUNTIF(U213:U237,"R")</f>
        <v>0</v>
      </c>
      <c r="AA214" s="47" t="s">
        <v>81</v>
      </c>
      <c r="AB214" s="48" t="s">
        <v>60</v>
      </c>
    </row>
    <row r="215" spans="1:28" ht="19.5" thickBot="1" x14ac:dyDescent="0.45">
      <c r="A215" s="138"/>
      <c r="B215" s="144"/>
      <c r="C215" s="85" t="s">
        <v>315</v>
      </c>
      <c r="D215" s="106" t="s">
        <v>190</v>
      </c>
      <c r="E215" s="106" t="s">
        <v>59</v>
      </c>
      <c r="F215" s="16"/>
      <c r="G215" s="12" t="s">
        <v>187</v>
      </c>
      <c r="H215" s="13" t="s">
        <v>196</v>
      </c>
      <c r="I215" s="15"/>
      <c r="J215" s="13">
        <v>2</v>
      </c>
      <c r="K215" s="15"/>
      <c r="L215" s="13"/>
      <c r="M215" s="17"/>
      <c r="N215" s="17"/>
      <c r="O215" s="17"/>
      <c r="P215" s="17"/>
      <c r="Q215" s="17"/>
      <c r="R215" s="17"/>
      <c r="S215" s="15"/>
      <c r="T215" s="25">
        <v>45843</v>
      </c>
      <c r="U215" s="13" t="s">
        <v>146</v>
      </c>
      <c r="V215">
        <v>3</v>
      </c>
      <c r="X215" s="53" t="s">
        <v>108</v>
      </c>
      <c r="Y215" s="54">
        <f>COUNTIF(U213:U237,"J")</f>
        <v>0</v>
      </c>
      <c r="AA215" s="49" t="s">
        <v>82</v>
      </c>
      <c r="AB215" s="50" t="s">
        <v>39</v>
      </c>
    </row>
    <row r="216" spans="1:28" x14ac:dyDescent="0.4">
      <c r="A216" s="138"/>
      <c r="B216" s="144"/>
      <c r="C216" s="85" t="s">
        <v>316</v>
      </c>
      <c r="D216" s="106" t="s">
        <v>190</v>
      </c>
      <c r="E216" s="106" t="s">
        <v>59</v>
      </c>
      <c r="F216" s="16"/>
      <c r="G216" s="12" t="s">
        <v>187</v>
      </c>
      <c r="H216" s="15" t="s">
        <v>196</v>
      </c>
      <c r="I216" s="15"/>
      <c r="J216" s="13">
        <v>2</v>
      </c>
      <c r="K216" s="15"/>
      <c r="L216" s="13"/>
      <c r="M216" s="17"/>
      <c r="N216" s="17"/>
      <c r="O216" s="17"/>
      <c r="P216" s="17"/>
      <c r="Q216" s="17"/>
      <c r="R216" s="17"/>
      <c r="S216" s="15"/>
      <c r="T216" s="25">
        <v>45843</v>
      </c>
      <c r="U216" s="13" t="s">
        <v>146</v>
      </c>
      <c r="V216">
        <v>4</v>
      </c>
      <c r="AA216" s="49" t="s">
        <v>83</v>
      </c>
      <c r="AB216" s="50" t="s">
        <v>38</v>
      </c>
    </row>
    <row r="217" spans="1:28" x14ac:dyDescent="0.4">
      <c r="A217" s="138"/>
      <c r="B217" s="144"/>
      <c r="C217" s="85"/>
      <c r="D217" s="106"/>
      <c r="E217" s="106"/>
      <c r="F217" s="16"/>
      <c r="G217" s="12"/>
      <c r="H217" s="15"/>
      <c r="I217" s="15"/>
      <c r="J217" s="13"/>
      <c r="K217" s="15"/>
      <c r="L217" s="13"/>
      <c r="M217" s="17"/>
      <c r="N217" s="17"/>
      <c r="O217" s="17"/>
      <c r="P217" s="17"/>
      <c r="Q217" s="17"/>
      <c r="R217" s="17"/>
      <c r="S217" s="15"/>
      <c r="T217" s="25"/>
      <c r="U217" s="13"/>
      <c r="V217">
        <v>5</v>
      </c>
      <c r="AA217" s="49" t="s">
        <v>84</v>
      </c>
      <c r="AB217" s="50" t="s">
        <v>44</v>
      </c>
    </row>
    <row r="218" spans="1:28" x14ac:dyDescent="0.4">
      <c r="A218" s="138"/>
      <c r="B218" s="144"/>
      <c r="C218" s="85"/>
      <c r="D218" s="106"/>
      <c r="E218" s="106"/>
      <c r="F218" s="16"/>
      <c r="G218" s="12"/>
      <c r="H218" s="13"/>
      <c r="I218" s="15"/>
      <c r="J218" s="13"/>
      <c r="K218" s="15"/>
      <c r="L218" s="13"/>
      <c r="M218" s="17"/>
      <c r="N218" s="17"/>
      <c r="O218" s="17"/>
      <c r="P218" s="17"/>
      <c r="Q218" s="17"/>
      <c r="R218" s="17"/>
      <c r="S218" s="15"/>
      <c r="T218" s="25"/>
      <c r="U218" s="13"/>
      <c r="V218">
        <v>6</v>
      </c>
      <c r="AA218" s="49" t="s">
        <v>85</v>
      </c>
      <c r="AB218" s="50" t="s">
        <v>43</v>
      </c>
    </row>
    <row r="219" spans="1:28" x14ac:dyDescent="0.4">
      <c r="A219" s="138"/>
      <c r="B219" s="144"/>
      <c r="C219" s="85"/>
      <c r="D219" s="106"/>
      <c r="E219" s="106"/>
      <c r="F219" s="16"/>
      <c r="G219" s="12"/>
      <c r="H219" s="15"/>
      <c r="I219" s="15"/>
      <c r="J219" s="13"/>
      <c r="K219" s="15"/>
      <c r="L219" s="13"/>
      <c r="M219" s="17"/>
      <c r="N219" s="17"/>
      <c r="O219" s="17"/>
      <c r="P219" s="17"/>
      <c r="Q219" s="17"/>
      <c r="R219" s="17"/>
      <c r="S219" s="15"/>
      <c r="T219" s="25"/>
      <c r="U219" s="13"/>
      <c r="V219">
        <v>7</v>
      </c>
      <c r="AA219" s="49" t="s">
        <v>86</v>
      </c>
      <c r="AB219" s="50" t="s">
        <v>45</v>
      </c>
    </row>
    <row r="220" spans="1:28" x14ac:dyDescent="0.4">
      <c r="A220" s="138"/>
      <c r="B220" s="144"/>
      <c r="C220" s="85"/>
      <c r="D220" s="106"/>
      <c r="E220" s="106"/>
      <c r="F220" s="16"/>
      <c r="G220" s="12"/>
      <c r="H220" s="15"/>
      <c r="I220" s="15"/>
      <c r="J220" s="13"/>
      <c r="K220" s="15"/>
      <c r="L220" s="13"/>
      <c r="M220" s="17"/>
      <c r="N220" s="17"/>
      <c r="O220" s="17"/>
      <c r="P220" s="17"/>
      <c r="Q220" s="17"/>
      <c r="R220" s="17"/>
      <c r="S220" s="15"/>
      <c r="T220" s="25"/>
      <c r="U220" s="13"/>
      <c r="V220">
        <v>8</v>
      </c>
      <c r="AA220" s="49" t="s">
        <v>87</v>
      </c>
      <c r="AB220" s="50" t="s">
        <v>37</v>
      </c>
    </row>
    <row r="221" spans="1:28" x14ac:dyDescent="0.4">
      <c r="A221" s="138"/>
      <c r="B221" s="144"/>
      <c r="C221" s="85"/>
      <c r="D221" s="106"/>
      <c r="E221" s="106"/>
      <c r="F221" s="16"/>
      <c r="G221" s="12"/>
      <c r="H221" s="15"/>
      <c r="I221" s="15"/>
      <c r="J221" s="13"/>
      <c r="K221" s="15"/>
      <c r="L221" s="13"/>
      <c r="M221" s="17"/>
      <c r="N221" s="17"/>
      <c r="O221" s="17"/>
      <c r="P221" s="17"/>
      <c r="Q221" s="17"/>
      <c r="R221" s="17"/>
      <c r="S221" s="15"/>
      <c r="T221" s="25"/>
      <c r="U221" s="13"/>
      <c r="V221">
        <v>9</v>
      </c>
      <c r="AA221" s="49" t="s">
        <v>88</v>
      </c>
      <c r="AB221" s="50" t="s">
        <v>74</v>
      </c>
    </row>
    <row r="222" spans="1:28" x14ac:dyDescent="0.4">
      <c r="A222" s="138"/>
      <c r="B222" s="144"/>
      <c r="C222" s="85"/>
      <c r="D222" s="106"/>
      <c r="E222" s="106"/>
      <c r="F222" s="106"/>
      <c r="G222" s="12"/>
      <c r="H222" s="15"/>
      <c r="I222" s="15"/>
      <c r="J222" s="13"/>
      <c r="K222" s="15"/>
      <c r="L222" s="13"/>
      <c r="M222" s="17"/>
      <c r="N222" s="17"/>
      <c r="O222" s="17"/>
      <c r="P222" s="17"/>
      <c r="Q222" s="17"/>
      <c r="R222" s="17"/>
      <c r="S222" s="15"/>
      <c r="T222" s="25"/>
      <c r="U222" s="13"/>
      <c r="V222">
        <v>10</v>
      </c>
      <c r="AA222" s="49" t="s">
        <v>89</v>
      </c>
      <c r="AB222" s="50" t="s">
        <v>36</v>
      </c>
    </row>
    <row r="223" spans="1:28" x14ac:dyDescent="0.4">
      <c r="A223" s="138"/>
      <c r="B223" s="144"/>
      <c r="C223" s="85"/>
      <c r="D223" s="106"/>
      <c r="E223" s="106"/>
      <c r="F223" s="16"/>
      <c r="G223" s="12"/>
      <c r="H223" s="15"/>
      <c r="I223" s="15"/>
      <c r="J223" s="15"/>
      <c r="K223" s="15"/>
      <c r="L223" s="17"/>
      <c r="M223" s="17"/>
      <c r="N223" s="17"/>
      <c r="O223" s="17"/>
      <c r="P223" s="17"/>
      <c r="Q223" s="17"/>
      <c r="R223" s="17"/>
      <c r="S223" s="15"/>
      <c r="T223" s="25"/>
      <c r="U223" s="13"/>
      <c r="V223">
        <v>11</v>
      </c>
      <c r="AA223" s="49" t="s">
        <v>90</v>
      </c>
      <c r="AB223" s="50" t="s">
        <v>58</v>
      </c>
    </row>
    <row r="224" spans="1:28" x14ac:dyDescent="0.4">
      <c r="A224" s="138"/>
      <c r="B224" s="144"/>
      <c r="C224" s="85"/>
      <c r="D224" s="106"/>
      <c r="E224" s="106"/>
      <c r="F224" s="16"/>
      <c r="G224" s="12"/>
      <c r="H224" s="15"/>
      <c r="I224" s="15"/>
      <c r="J224" s="15"/>
      <c r="K224" s="15"/>
      <c r="L224" s="17"/>
      <c r="M224" s="17"/>
      <c r="N224" s="17"/>
      <c r="O224" s="17"/>
      <c r="P224" s="17"/>
      <c r="Q224" s="17"/>
      <c r="R224" s="17"/>
      <c r="S224" s="15"/>
      <c r="T224" s="25"/>
      <c r="U224" s="13"/>
      <c r="V224">
        <v>12</v>
      </c>
      <c r="AA224" s="49" t="s">
        <v>91</v>
      </c>
      <c r="AB224" s="50" t="s">
        <v>75</v>
      </c>
    </row>
    <row r="225" spans="1:28" x14ac:dyDescent="0.4">
      <c r="A225" s="138"/>
      <c r="B225" s="144"/>
      <c r="C225" s="85"/>
      <c r="D225" s="106"/>
      <c r="E225" s="106"/>
      <c r="F225" s="16"/>
      <c r="G225" s="12"/>
      <c r="H225" s="15"/>
      <c r="I225" s="15"/>
      <c r="J225" s="15"/>
      <c r="K225" s="15"/>
      <c r="L225" s="17"/>
      <c r="M225" s="17"/>
      <c r="N225" s="17"/>
      <c r="O225" s="17"/>
      <c r="P225" s="17"/>
      <c r="Q225" s="17"/>
      <c r="R225" s="17"/>
      <c r="S225" s="15"/>
      <c r="T225" s="25"/>
      <c r="U225" s="13"/>
      <c r="V225">
        <v>13</v>
      </c>
      <c r="AA225" s="49" t="s">
        <v>92</v>
      </c>
      <c r="AB225" s="50" t="s">
        <v>40</v>
      </c>
    </row>
    <row r="226" spans="1:28" x14ac:dyDescent="0.4">
      <c r="A226" s="138"/>
      <c r="B226" s="144"/>
      <c r="C226" s="85"/>
      <c r="D226" s="106"/>
      <c r="E226" s="106"/>
      <c r="F226" s="16"/>
      <c r="G226" s="12"/>
      <c r="H226" s="15"/>
      <c r="I226" s="15"/>
      <c r="J226" s="15"/>
      <c r="K226" s="15"/>
      <c r="L226" s="17"/>
      <c r="M226" s="17"/>
      <c r="N226" s="17"/>
      <c r="O226" s="17"/>
      <c r="P226" s="17"/>
      <c r="Q226" s="17"/>
      <c r="R226" s="17"/>
      <c r="S226" s="15"/>
      <c r="T226" s="25"/>
      <c r="U226" s="13"/>
      <c r="V226">
        <v>14</v>
      </c>
      <c r="AA226" s="49" t="s">
        <v>93</v>
      </c>
      <c r="AB226" s="50" t="s">
        <v>57</v>
      </c>
    </row>
    <row r="227" spans="1:28" x14ac:dyDescent="0.4">
      <c r="A227" s="138"/>
      <c r="B227" s="144"/>
      <c r="C227" s="85"/>
      <c r="D227" s="106"/>
      <c r="E227" s="106"/>
      <c r="F227" s="16"/>
      <c r="G227" s="12"/>
      <c r="H227" s="15"/>
      <c r="I227" s="15"/>
      <c r="J227" s="15"/>
      <c r="K227" s="15"/>
      <c r="L227" s="17"/>
      <c r="M227" s="17"/>
      <c r="N227" s="17"/>
      <c r="O227" s="17"/>
      <c r="P227" s="17"/>
      <c r="Q227" s="17"/>
      <c r="R227" s="17"/>
      <c r="S227" s="15"/>
      <c r="T227" s="25"/>
      <c r="U227" s="13"/>
      <c r="V227">
        <v>15</v>
      </c>
      <c r="AA227" s="49" t="s">
        <v>94</v>
      </c>
      <c r="AB227" s="50" t="s">
        <v>41</v>
      </c>
    </row>
    <row r="228" spans="1:28" x14ac:dyDescent="0.4">
      <c r="A228" s="138"/>
      <c r="B228" s="144"/>
      <c r="C228" s="85"/>
      <c r="D228" s="106"/>
      <c r="E228" s="106"/>
      <c r="F228" s="16"/>
      <c r="G228" s="12"/>
      <c r="H228" s="15"/>
      <c r="I228" s="15"/>
      <c r="J228" s="18"/>
      <c r="K228" s="15"/>
      <c r="L228" s="19"/>
      <c r="M228" s="19"/>
      <c r="N228" s="19"/>
      <c r="O228" s="19"/>
      <c r="P228" s="19"/>
      <c r="Q228" s="19"/>
      <c r="R228" s="19"/>
      <c r="S228" s="15"/>
      <c r="T228" s="25"/>
      <c r="U228" s="13"/>
      <c r="V228">
        <v>16</v>
      </c>
      <c r="AA228" s="49" t="s">
        <v>95</v>
      </c>
      <c r="AB228" s="50" t="s">
        <v>42</v>
      </c>
    </row>
    <row r="229" spans="1:28" x14ac:dyDescent="0.4">
      <c r="A229" s="138"/>
      <c r="B229" s="144"/>
      <c r="C229" s="85"/>
      <c r="D229" s="106"/>
      <c r="E229" s="106"/>
      <c r="F229" s="16"/>
      <c r="G229" s="12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25"/>
      <c r="U229" s="13"/>
      <c r="V229">
        <v>17</v>
      </c>
      <c r="AA229" s="49" t="s">
        <v>96</v>
      </c>
      <c r="AB229" s="50" t="s">
        <v>61</v>
      </c>
    </row>
    <row r="230" spans="1:28" x14ac:dyDescent="0.4">
      <c r="A230" s="138"/>
      <c r="B230" s="144"/>
      <c r="C230" s="85"/>
      <c r="D230" s="110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38"/>
      <c r="B231" s="144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38"/>
      <c r="B232" s="144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30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38"/>
      <c r="B233" s="144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30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38"/>
      <c r="B234" s="144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17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38"/>
      <c r="B235" s="144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20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38"/>
      <c r="B236" s="144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17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39"/>
      <c r="B237" s="145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4</v>
      </c>
      <c r="D238" s="112"/>
      <c r="E238" s="29"/>
      <c r="F238" s="29" t="s">
        <v>34</v>
      </c>
      <c r="G238" s="29">
        <f>COUNTIF(G213:G237,"S")</f>
        <v>4</v>
      </c>
      <c r="H238" s="29">
        <f>COUNTIF(H213:H237,"E")</f>
        <v>4</v>
      </c>
      <c r="I238" s="29">
        <f>SUM(I213:I237)</f>
        <v>0</v>
      </c>
      <c r="J238" s="29">
        <f t="shared" ref="J238" si="43">SUM(J213:J237)</f>
        <v>8</v>
      </c>
      <c r="K238" s="29">
        <f t="shared" ref="K238" si="44">SUM(K213:K237)</f>
        <v>0</v>
      </c>
      <c r="L238" s="29">
        <f t="shared" ref="L238" si="45">SUM(L213:L237)</f>
        <v>0</v>
      </c>
      <c r="M238" s="29">
        <f t="shared" ref="M238" si="46">SUM(M213:M237)</f>
        <v>0</v>
      </c>
      <c r="N238" s="29">
        <f t="shared" ref="N238" si="47">SUM(N213:N237)</f>
        <v>0</v>
      </c>
      <c r="O238" s="29">
        <f t="shared" ref="O238" si="48">SUM(O213:O237)</f>
        <v>0</v>
      </c>
      <c r="P238" s="29">
        <f t="shared" ref="P238" si="49">SUM(P213:P237)</f>
        <v>0</v>
      </c>
      <c r="Q238" s="29">
        <f t="shared" ref="Q238" si="50">SUM(Q213:Q237)</f>
        <v>0</v>
      </c>
      <c r="R238" s="29">
        <f t="shared" ref="R238" si="51">SUM(R213:R237)</f>
        <v>0</v>
      </c>
      <c r="S238" s="29">
        <f t="shared" ref="S238" si="52">SUM(S213:S237)</f>
        <v>0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8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AYG109</v>
      </c>
      <c r="B241" s="24">
        <f>B1</f>
        <v>45799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49" t="s">
        <v>112</v>
      </c>
      <c r="Y242" s="149"/>
    </row>
    <row r="243" spans="1:28" ht="20.25" thickTop="1" thickBot="1" x14ac:dyDescent="0.45">
      <c r="A243" s="137">
        <v>9</v>
      </c>
      <c r="B243" s="143"/>
      <c r="C243" s="85" t="s">
        <v>317</v>
      </c>
      <c r="D243" s="109" t="s">
        <v>190</v>
      </c>
      <c r="E243" s="13" t="s">
        <v>39</v>
      </c>
      <c r="F243" s="14"/>
      <c r="G243" s="12" t="s">
        <v>191</v>
      </c>
      <c r="H243" s="13"/>
      <c r="I243" s="13"/>
      <c r="J243" s="13">
        <v>1</v>
      </c>
      <c r="K243" s="13"/>
      <c r="L243" s="13">
        <v>1</v>
      </c>
      <c r="M243" s="13"/>
      <c r="N243" s="13"/>
      <c r="O243" s="13"/>
      <c r="P243" s="13"/>
      <c r="Q243" s="13"/>
      <c r="R243" s="13"/>
      <c r="S243" s="13"/>
      <c r="T243" s="26">
        <v>45838</v>
      </c>
      <c r="U243" s="13" t="s">
        <v>146</v>
      </c>
      <c r="V243">
        <v>1</v>
      </c>
      <c r="X243" t="s">
        <v>106</v>
      </c>
      <c r="Y243">
        <f>COUNTIF(U243:U267,"K")</f>
        <v>7</v>
      </c>
      <c r="AA243" s="59" t="s">
        <v>120</v>
      </c>
      <c r="AB243" s="60" t="s">
        <v>121</v>
      </c>
    </row>
    <row r="244" spans="1:28" x14ac:dyDescent="0.4">
      <c r="A244" s="138"/>
      <c r="B244" s="144"/>
      <c r="C244" s="85" t="s">
        <v>318</v>
      </c>
      <c r="D244" s="109" t="s">
        <v>190</v>
      </c>
      <c r="E244" s="13" t="s">
        <v>39</v>
      </c>
      <c r="F244" s="16"/>
      <c r="G244" s="12" t="s">
        <v>191</v>
      </c>
      <c r="H244" s="15"/>
      <c r="I244" s="15"/>
      <c r="J244" s="15">
        <v>1</v>
      </c>
      <c r="K244" s="15"/>
      <c r="L244" s="17">
        <v>1</v>
      </c>
      <c r="M244" s="17"/>
      <c r="N244" s="17"/>
      <c r="O244" s="17"/>
      <c r="P244" s="17"/>
      <c r="Q244" s="17"/>
      <c r="R244" s="17"/>
      <c r="S244" s="15"/>
      <c r="T244" s="26">
        <v>45838</v>
      </c>
      <c r="U244" s="13" t="s">
        <v>146</v>
      </c>
      <c r="V244">
        <v>2</v>
      </c>
      <c r="X244" t="s">
        <v>107</v>
      </c>
      <c r="Y244">
        <f>COUNTIF(U243:U267,"R")</f>
        <v>0</v>
      </c>
      <c r="AA244" s="47" t="s">
        <v>81</v>
      </c>
      <c r="AB244" s="48" t="s">
        <v>60</v>
      </c>
    </row>
    <row r="245" spans="1:28" x14ac:dyDescent="0.4">
      <c r="A245" s="138"/>
      <c r="B245" s="144"/>
      <c r="C245" s="85" t="s">
        <v>319</v>
      </c>
      <c r="D245" s="109" t="s">
        <v>190</v>
      </c>
      <c r="E245" s="13" t="s">
        <v>39</v>
      </c>
      <c r="F245" s="16"/>
      <c r="G245" s="12" t="s">
        <v>191</v>
      </c>
      <c r="H245" s="15"/>
      <c r="I245" s="15"/>
      <c r="J245" s="15">
        <v>1</v>
      </c>
      <c r="K245" s="15"/>
      <c r="L245" s="17">
        <v>1</v>
      </c>
      <c r="M245" s="17"/>
      <c r="N245" s="17"/>
      <c r="O245" s="17"/>
      <c r="P245" s="17"/>
      <c r="Q245" s="17"/>
      <c r="R245" s="17"/>
      <c r="S245" s="15"/>
      <c r="T245" s="26">
        <v>45838</v>
      </c>
      <c r="U245" s="13" t="s">
        <v>146</v>
      </c>
      <c r="V245">
        <v>3</v>
      </c>
      <c r="X245" t="s">
        <v>108</v>
      </c>
      <c r="Y245">
        <f>COUNTIF(U243:U267,"J")</f>
        <v>0</v>
      </c>
      <c r="AA245" s="49" t="s">
        <v>82</v>
      </c>
      <c r="AB245" s="50" t="s">
        <v>39</v>
      </c>
    </row>
    <row r="246" spans="1:28" x14ac:dyDescent="0.4">
      <c r="A246" s="138"/>
      <c r="B246" s="144"/>
      <c r="C246" s="85" t="s">
        <v>320</v>
      </c>
      <c r="D246" s="109" t="s">
        <v>190</v>
      </c>
      <c r="E246" s="13" t="s">
        <v>39</v>
      </c>
      <c r="F246" s="16"/>
      <c r="G246" s="12" t="s">
        <v>191</v>
      </c>
      <c r="H246" s="15"/>
      <c r="I246" s="15"/>
      <c r="J246" s="15">
        <v>1</v>
      </c>
      <c r="K246" s="15"/>
      <c r="L246" s="17">
        <v>1</v>
      </c>
      <c r="M246" s="17"/>
      <c r="N246" s="17"/>
      <c r="O246" s="17"/>
      <c r="P246" s="17"/>
      <c r="Q246" s="17"/>
      <c r="R246" s="17"/>
      <c r="S246" s="15"/>
      <c r="T246" s="26">
        <v>45838</v>
      </c>
      <c r="U246" s="13" t="s">
        <v>146</v>
      </c>
      <c r="V246">
        <v>4</v>
      </c>
      <c r="AA246" s="49" t="s">
        <v>83</v>
      </c>
      <c r="AB246" s="50" t="s">
        <v>38</v>
      </c>
    </row>
    <row r="247" spans="1:28" x14ac:dyDescent="0.4">
      <c r="A247" s="138"/>
      <c r="B247" s="144"/>
      <c r="C247" s="85" t="s">
        <v>321</v>
      </c>
      <c r="D247" s="109" t="s">
        <v>190</v>
      </c>
      <c r="E247" s="13" t="s">
        <v>39</v>
      </c>
      <c r="F247" s="16"/>
      <c r="G247" s="12" t="s">
        <v>191</v>
      </c>
      <c r="H247" s="15"/>
      <c r="I247" s="15"/>
      <c r="J247" s="15">
        <v>1</v>
      </c>
      <c r="K247" s="15"/>
      <c r="L247" s="17">
        <v>1</v>
      </c>
      <c r="M247" s="17"/>
      <c r="N247" s="17"/>
      <c r="O247" s="17"/>
      <c r="P247" s="17"/>
      <c r="Q247" s="17"/>
      <c r="R247" s="17"/>
      <c r="S247" s="15"/>
      <c r="T247" s="26">
        <v>45838</v>
      </c>
      <c r="U247" s="13" t="s">
        <v>146</v>
      </c>
      <c r="V247">
        <v>5</v>
      </c>
      <c r="AA247" s="49" t="s">
        <v>84</v>
      </c>
      <c r="AB247" s="50" t="s">
        <v>44</v>
      </c>
    </row>
    <row r="248" spans="1:28" x14ac:dyDescent="0.4">
      <c r="A248" s="138"/>
      <c r="B248" s="144"/>
      <c r="C248" s="85" t="s">
        <v>322</v>
      </c>
      <c r="D248" s="109" t="s">
        <v>190</v>
      </c>
      <c r="E248" s="13" t="s">
        <v>59</v>
      </c>
      <c r="F248" s="16"/>
      <c r="G248" s="12" t="s">
        <v>187</v>
      </c>
      <c r="H248" s="13" t="s">
        <v>196</v>
      </c>
      <c r="I248" s="15"/>
      <c r="J248" s="15">
        <v>2</v>
      </c>
      <c r="K248" s="15"/>
      <c r="L248" s="17"/>
      <c r="M248" s="17"/>
      <c r="N248" s="17"/>
      <c r="O248" s="17"/>
      <c r="P248" s="17"/>
      <c r="Q248" s="17"/>
      <c r="R248" s="17"/>
      <c r="S248" s="15"/>
      <c r="T248" s="26">
        <v>45840</v>
      </c>
      <c r="U248" s="13" t="s">
        <v>146</v>
      </c>
      <c r="V248">
        <v>6</v>
      </c>
      <c r="AA248" s="49" t="s">
        <v>85</v>
      </c>
      <c r="AB248" s="50" t="s">
        <v>43</v>
      </c>
    </row>
    <row r="249" spans="1:28" x14ac:dyDescent="0.4">
      <c r="A249" s="138"/>
      <c r="B249" s="144"/>
      <c r="C249" s="85" t="s">
        <v>323</v>
      </c>
      <c r="D249" s="109" t="s">
        <v>190</v>
      </c>
      <c r="E249" s="13" t="s">
        <v>59</v>
      </c>
      <c r="F249" s="16"/>
      <c r="G249" s="12" t="s">
        <v>187</v>
      </c>
      <c r="H249" s="15" t="s">
        <v>196</v>
      </c>
      <c r="I249" s="15"/>
      <c r="J249" s="15">
        <v>2</v>
      </c>
      <c r="K249" s="15"/>
      <c r="L249" s="17"/>
      <c r="M249" s="17"/>
      <c r="N249" s="17"/>
      <c r="O249" s="17"/>
      <c r="P249" s="17"/>
      <c r="Q249" s="17"/>
      <c r="R249" s="17"/>
      <c r="S249" s="15"/>
      <c r="T249" s="26">
        <v>45840</v>
      </c>
      <c r="U249" s="13" t="s">
        <v>146</v>
      </c>
      <c r="V249">
        <v>7</v>
      </c>
      <c r="AA249" s="49" t="s">
        <v>86</v>
      </c>
      <c r="AB249" s="50" t="s">
        <v>45</v>
      </c>
    </row>
    <row r="250" spans="1:28" x14ac:dyDescent="0.4">
      <c r="A250" s="138"/>
      <c r="B250" s="144"/>
      <c r="C250" s="85"/>
      <c r="D250" s="109"/>
      <c r="E250" s="13"/>
      <c r="F250" s="16"/>
      <c r="G250" s="12"/>
      <c r="H250" s="15"/>
      <c r="I250" s="15"/>
      <c r="J250" s="15"/>
      <c r="K250" s="15"/>
      <c r="L250" s="17"/>
      <c r="M250" s="17"/>
      <c r="N250" s="17"/>
      <c r="O250" s="17"/>
      <c r="P250" s="17"/>
      <c r="Q250" s="17"/>
      <c r="R250" s="17"/>
      <c r="S250" s="15"/>
      <c r="T250" s="26"/>
      <c r="U250" s="13"/>
      <c r="V250">
        <v>8</v>
      </c>
      <c r="AA250" s="49" t="s">
        <v>87</v>
      </c>
      <c r="AB250" s="50" t="s">
        <v>37</v>
      </c>
    </row>
    <row r="251" spans="1:28" x14ac:dyDescent="0.4">
      <c r="A251" s="138"/>
      <c r="B251" s="144"/>
      <c r="C251" s="85"/>
      <c r="D251" s="109"/>
      <c r="E251" s="13"/>
      <c r="F251" s="16"/>
      <c r="G251" s="12"/>
      <c r="H251" s="15"/>
      <c r="I251" s="15"/>
      <c r="J251" s="15"/>
      <c r="K251" s="15"/>
      <c r="L251" s="17"/>
      <c r="M251" s="17"/>
      <c r="N251" s="17"/>
      <c r="O251" s="17"/>
      <c r="P251" s="17"/>
      <c r="Q251" s="17"/>
      <c r="R251" s="17"/>
      <c r="S251" s="15"/>
      <c r="T251" s="26"/>
      <c r="U251" s="13"/>
      <c r="V251">
        <v>9</v>
      </c>
      <c r="AA251" s="49" t="s">
        <v>88</v>
      </c>
      <c r="AB251" s="50" t="s">
        <v>74</v>
      </c>
    </row>
    <row r="252" spans="1:28" x14ac:dyDescent="0.4">
      <c r="A252" s="138"/>
      <c r="B252" s="144"/>
      <c r="C252" s="85"/>
      <c r="D252" s="109"/>
      <c r="E252" s="13"/>
      <c r="F252" s="16"/>
      <c r="G252" s="12"/>
      <c r="H252" s="15"/>
      <c r="I252" s="15"/>
      <c r="J252" s="15"/>
      <c r="K252" s="15"/>
      <c r="L252" s="17"/>
      <c r="M252" s="17"/>
      <c r="N252" s="17"/>
      <c r="O252" s="17"/>
      <c r="P252" s="17"/>
      <c r="Q252" s="17"/>
      <c r="R252" s="17"/>
      <c r="S252" s="15"/>
      <c r="T252" s="26"/>
      <c r="U252" s="13"/>
      <c r="V252">
        <v>10</v>
      </c>
      <c r="AA252" s="49" t="s">
        <v>89</v>
      </c>
      <c r="AB252" s="50" t="s">
        <v>36</v>
      </c>
    </row>
    <row r="253" spans="1:28" x14ac:dyDescent="0.4">
      <c r="A253" s="138"/>
      <c r="B253" s="144"/>
      <c r="C253" s="85"/>
      <c r="D253" s="109"/>
      <c r="E253" s="13"/>
      <c r="F253" s="16"/>
      <c r="G253" s="12"/>
      <c r="H253" s="15"/>
      <c r="I253" s="15"/>
      <c r="J253" s="15"/>
      <c r="K253" s="15"/>
      <c r="L253" s="17"/>
      <c r="M253" s="17"/>
      <c r="N253" s="17"/>
      <c r="O253" s="17"/>
      <c r="P253" s="17"/>
      <c r="Q253" s="17"/>
      <c r="R253" s="17"/>
      <c r="S253" s="15"/>
      <c r="T253" s="26"/>
      <c r="U253" s="13"/>
      <c r="V253">
        <v>11</v>
      </c>
      <c r="AA253" s="49" t="s">
        <v>90</v>
      </c>
      <c r="AB253" s="50" t="s">
        <v>58</v>
      </c>
    </row>
    <row r="254" spans="1:28" x14ac:dyDescent="0.4">
      <c r="A254" s="138"/>
      <c r="B254" s="144"/>
      <c r="C254" s="85"/>
      <c r="D254" s="109"/>
      <c r="E254" s="13"/>
      <c r="F254" s="16"/>
      <c r="G254" s="12"/>
      <c r="H254" s="15"/>
      <c r="I254" s="15"/>
      <c r="J254" s="15"/>
      <c r="K254" s="15"/>
      <c r="L254" s="17"/>
      <c r="M254" s="17"/>
      <c r="N254" s="17"/>
      <c r="O254" s="17"/>
      <c r="P254" s="17"/>
      <c r="Q254" s="17"/>
      <c r="R254" s="17"/>
      <c r="S254" s="15"/>
      <c r="T254" s="26"/>
      <c r="U254" s="13"/>
      <c r="V254">
        <v>12</v>
      </c>
      <c r="AA254" s="49" t="s">
        <v>91</v>
      </c>
      <c r="AB254" s="50" t="s">
        <v>75</v>
      </c>
    </row>
    <row r="255" spans="1:28" x14ac:dyDescent="0.4">
      <c r="A255" s="138"/>
      <c r="B255" s="144"/>
      <c r="C255" s="85"/>
      <c r="D255" s="109"/>
      <c r="E255" s="13"/>
      <c r="F255" s="16"/>
      <c r="G255" s="12"/>
      <c r="H255" s="15"/>
      <c r="I255" s="15"/>
      <c r="J255" s="15"/>
      <c r="K255" s="15"/>
      <c r="L255" s="17"/>
      <c r="M255" s="17"/>
      <c r="N255" s="17"/>
      <c r="O255" s="17"/>
      <c r="P255" s="17"/>
      <c r="Q255" s="17"/>
      <c r="R255" s="17"/>
      <c r="S255" s="15"/>
      <c r="T255" s="26"/>
      <c r="U255" s="13"/>
      <c r="V255">
        <v>13</v>
      </c>
      <c r="AA255" s="49" t="s">
        <v>92</v>
      </c>
      <c r="AB255" s="50" t="s">
        <v>40</v>
      </c>
    </row>
    <row r="256" spans="1:28" x14ac:dyDescent="0.4">
      <c r="A256" s="138"/>
      <c r="B256" s="144"/>
      <c r="C256" s="85"/>
      <c r="D256" s="109"/>
      <c r="E256" s="13"/>
      <c r="F256" s="16"/>
      <c r="G256" s="15"/>
      <c r="H256" s="15"/>
      <c r="I256" s="15"/>
      <c r="J256" s="15"/>
      <c r="K256" s="15"/>
      <c r="L256" s="17"/>
      <c r="M256" s="17"/>
      <c r="N256" s="17"/>
      <c r="O256" s="17"/>
      <c r="P256" s="17"/>
      <c r="Q256" s="17"/>
      <c r="R256" s="17"/>
      <c r="S256" s="15"/>
      <c r="T256" s="26"/>
      <c r="U256" s="13"/>
      <c r="V256">
        <v>14</v>
      </c>
      <c r="AA256" s="49" t="s">
        <v>93</v>
      </c>
      <c r="AB256" s="50" t="s">
        <v>57</v>
      </c>
    </row>
    <row r="257" spans="1:28" x14ac:dyDescent="0.4">
      <c r="A257" s="138"/>
      <c r="B257" s="144"/>
      <c r="C257" s="85"/>
      <c r="D257" s="109"/>
      <c r="E257" s="13"/>
      <c r="F257" s="16"/>
      <c r="G257" s="15"/>
      <c r="H257" s="15"/>
      <c r="I257" s="15"/>
      <c r="J257" s="15"/>
      <c r="K257" s="15"/>
      <c r="L257" s="17"/>
      <c r="M257" s="17"/>
      <c r="N257" s="17"/>
      <c r="O257" s="17"/>
      <c r="P257" s="17"/>
      <c r="Q257" s="17"/>
      <c r="R257" s="17"/>
      <c r="S257" s="15"/>
      <c r="T257" s="26"/>
      <c r="U257" s="13"/>
      <c r="V257">
        <v>15</v>
      </c>
      <c r="AA257" s="49" t="s">
        <v>94</v>
      </c>
      <c r="AB257" s="50" t="s">
        <v>41</v>
      </c>
    </row>
    <row r="258" spans="1:28" x14ac:dyDescent="0.4">
      <c r="A258" s="138"/>
      <c r="B258" s="144"/>
      <c r="C258" s="85"/>
      <c r="D258" s="109"/>
      <c r="E258" s="15"/>
      <c r="F258" s="16"/>
      <c r="G258" s="15"/>
      <c r="H258" s="15"/>
      <c r="I258" s="15"/>
      <c r="J258" s="15"/>
      <c r="K258" s="15"/>
      <c r="L258" s="19"/>
      <c r="M258" s="19"/>
      <c r="N258" s="19"/>
      <c r="O258" s="19"/>
      <c r="P258" s="19"/>
      <c r="Q258" s="19"/>
      <c r="R258" s="19"/>
      <c r="S258" s="15"/>
      <c r="T258" s="26"/>
      <c r="U258" s="13"/>
      <c r="V258">
        <v>16</v>
      </c>
      <c r="AA258" s="49" t="s">
        <v>95</v>
      </c>
      <c r="AB258" s="50" t="s">
        <v>42</v>
      </c>
    </row>
    <row r="259" spans="1:28" x14ac:dyDescent="0.4">
      <c r="A259" s="138"/>
      <c r="B259" s="144"/>
      <c r="C259" s="85"/>
      <c r="D259" s="110"/>
      <c r="E259" s="18"/>
      <c r="F259" s="16"/>
      <c r="G259" s="18"/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26"/>
      <c r="U259" s="15"/>
      <c r="V259">
        <v>17</v>
      </c>
      <c r="AA259" s="49" t="s">
        <v>96</v>
      </c>
      <c r="AB259" s="50" t="s">
        <v>61</v>
      </c>
    </row>
    <row r="260" spans="1:28" x14ac:dyDescent="0.4">
      <c r="A260" s="138"/>
      <c r="B260" s="144"/>
      <c r="C260" s="85"/>
      <c r="D260" s="110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38"/>
      <c r="B261" s="144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38"/>
      <c r="B262" s="144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26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38"/>
      <c r="B263" s="144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26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38"/>
      <c r="B264" s="144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38"/>
      <c r="B265" s="144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38"/>
      <c r="B266" s="144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39"/>
      <c r="B267" s="145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7</v>
      </c>
      <c r="D268" s="112"/>
      <c r="E268" s="29"/>
      <c r="F268" s="29" t="s">
        <v>34</v>
      </c>
      <c r="G268" s="29">
        <f>COUNTIF(G243:G267,"S")</f>
        <v>2</v>
      </c>
      <c r="H268" s="29">
        <f>COUNTIF(H243:H267,"E")</f>
        <v>2</v>
      </c>
      <c r="I268" s="29">
        <f>SUM(I243:I267)</f>
        <v>0</v>
      </c>
      <c r="J268" s="29">
        <f t="shared" ref="J268" si="53">SUM(J243:J267)</f>
        <v>9</v>
      </c>
      <c r="K268" s="29">
        <f t="shared" ref="K268" si="54">SUM(K243:K267)</f>
        <v>0</v>
      </c>
      <c r="L268" s="29">
        <f t="shared" ref="L268" si="55">SUM(L243:L267)</f>
        <v>5</v>
      </c>
      <c r="M268" s="29">
        <f t="shared" ref="M268" si="56">SUM(M243:M267)</f>
        <v>0</v>
      </c>
      <c r="N268" s="29">
        <f t="shared" ref="N268" si="57">SUM(N243:N267)</f>
        <v>0</v>
      </c>
      <c r="O268" s="29">
        <f t="shared" ref="O268" si="58">SUM(O243:O267)</f>
        <v>0</v>
      </c>
      <c r="P268" s="29">
        <f t="shared" ref="P268" si="59">SUM(P243:P267)</f>
        <v>0</v>
      </c>
      <c r="Q268" s="29">
        <f t="shared" ref="Q268" si="60">SUM(Q243:Q267)</f>
        <v>0</v>
      </c>
      <c r="R268" s="29">
        <f t="shared" ref="R268" si="61">SUM(R243:R267)</f>
        <v>0</v>
      </c>
      <c r="S268" s="29">
        <f t="shared" ref="S268" si="62">SUM(S243:S267)</f>
        <v>0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5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14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AYG109</v>
      </c>
      <c r="B271" s="24">
        <f>B1</f>
        <v>45799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35" t="s">
        <v>111</v>
      </c>
      <c r="Y272" s="136"/>
    </row>
    <row r="273" spans="1:28" ht="20.25" thickTop="1" thickBot="1" x14ac:dyDescent="0.45">
      <c r="A273" s="137">
        <v>10</v>
      </c>
      <c r="B273" s="143"/>
      <c r="C273" s="85" t="s">
        <v>324</v>
      </c>
      <c r="D273" s="109" t="s">
        <v>186</v>
      </c>
      <c r="E273" s="13" t="s">
        <v>37</v>
      </c>
      <c r="F273" s="14"/>
      <c r="G273" s="12" t="s">
        <v>187</v>
      </c>
      <c r="H273" s="13"/>
      <c r="I273" s="13"/>
      <c r="J273" s="13"/>
      <c r="K273" s="13"/>
      <c r="L273" s="13"/>
      <c r="M273" s="13">
        <v>1</v>
      </c>
      <c r="N273" s="13">
        <v>1</v>
      </c>
      <c r="O273" s="13"/>
      <c r="P273" s="13"/>
      <c r="Q273" s="13">
        <v>1</v>
      </c>
      <c r="R273" s="13"/>
      <c r="S273" s="13"/>
      <c r="T273" s="26">
        <v>45816</v>
      </c>
      <c r="U273" s="13" t="s">
        <v>147</v>
      </c>
      <c r="V273">
        <v>1</v>
      </c>
      <c r="X273" s="51" t="s">
        <v>106</v>
      </c>
      <c r="Y273" s="52">
        <f>COUNTIF(U273:U297,"K")</f>
        <v>5</v>
      </c>
      <c r="AA273" s="59" t="s">
        <v>120</v>
      </c>
      <c r="AB273" s="60" t="s">
        <v>121</v>
      </c>
    </row>
    <row r="274" spans="1:28" x14ac:dyDescent="0.4">
      <c r="A274" s="138"/>
      <c r="B274" s="144"/>
      <c r="C274" s="85" t="s">
        <v>325</v>
      </c>
      <c r="D274" s="109" t="s">
        <v>206</v>
      </c>
      <c r="E274" s="13" t="s">
        <v>36</v>
      </c>
      <c r="F274" s="16"/>
      <c r="G274" s="12" t="s">
        <v>187</v>
      </c>
      <c r="H274" s="15"/>
      <c r="I274" s="15"/>
      <c r="J274" s="15"/>
      <c r="K274" s="15"/>
      <c r="L274" s="17"/>
      <c r="M274" s="17">
        <v>1</v>
      </c>
      <c r="N274" s="17"/>
      <c r="O274" s="17"/>
      <c r="P274" s="17"/>
      <c r="Q274" s="17">
        <v>1</v>
      </c>
      <c r="R274" s="17"/>
      <c r="S274" s="15"/>
      <c r="T274" s="26">
        <v>45836</v>
      </c>
      <c r="U274" s="13" t="s">
        <v>147</v>
      </c>
      <c r="V274">
        <v>2</v>
      </c>
      <c r="X274" s="51" t="s">
        <v>107</v>
      </c>
      <c r="Y274" s="52">
        <f>COUNTIF(U273:U297,"R")</f>
        <v>8</v>
      </c>
      <c r="AA274" s="47" t="s">
        <v>81</v>
      </c>
      <c r="AB274" s="48" t="s">
        <v>60</v>
      </c>
    </row>
    <row r="275" spans="1:28" ht="19.5" thickBot="1" x14ac:dyDescent="0.45">
      <c r="A275" s="138"/>
      <c r="B275" s="144"/>
      <c r="C275" s="85" t="s">
        <v>326</v>
      </c>
      <c r="D275" s="109" t="s">
        <v>186</v>
      </c>
      <c r="E275" s="13" t="s">
        <v>37</v>
      </c>
      <c r="F275" s="16"/>
      <c r="G275" s="12" t="s">
        <v>187</v>
      </c>
      <c r="H275" s="15"/>
      <c r="I275" s="15"/>
      <c r="J275" s="15"/>
      <c r="K275" s="15"/>
      <c r="L275" s="17"/>
      <c r="M275" s="17">
        <v>1</v>
      </c>
      <c r="N275" s="17">
        <v>1</v>
      </c>
      <c r="O275" s="17"/>
      <c r="P275" s="17"/>
      <c r="Q275" s="17">
        <v>1</v>
      </c>
      <c r="R275" s="17"/>
      <c r="S275" s="15"/>
      <c r="T275" s="26">
        <v>45816</v>
      </c>
      <c r="U275" s="13" t="s">
        <v>147</v>
      </c>
      <c r="V275">
        <v>3</v>
      </c>
      <c r="X275" s="53" t="s">
        <v>108</v>
      </c>
      <c r="Y275" s="54">
        <f>COUNTIF(U273:U297,"J")</f>
        <v>4</v>
      </c>
      <c r="AA275" s="49" t="s">
        <v>82</v>
      </c>
      <c r="AB275" s="50" t="s">
        <v>39</v>
      </c>
    </row>
    <row r="276" spans="1:28" x14ac:dyDescent="0.4">
      <c r="A276" s="138"/>
      <c r="B276" s="144"/>
      <c r="C276" s="85" t="s">
        <v>327</v>
      </c>
      <c r="D276" s="109" t="s">
        <v>186</v>
      </c>
      <c r="E276" s="13" t="s">
        <v>37</v>
      </c>
      <c r="F276" s="16"/>
      <c r="G276" s="12" t="s">
        <v>187</v>
      </c>
      <c r="H276" s="15"/>
      <c r="I276" s="15"/>
      <c r="J276" s="15"/>
      <c r="K276" s="15"/>
      <c r="L276" s="17"/>
      <c r="M276" s="17">
        <v>1</v>
      </c>
      <c r="N276" s="17">
        <v>1</v>
      </c>
      <c r="O276" s="17"/>
      <c r="P276" s="17"/>
      <c r="Q276" s="17"/>
      <c r="R276" s="17"/>
      <c r="S276" s="15"/>
      <c r="T276" s="26">
        <v>45816</v>
      </c>
      <c r="U276" s="13" t="s">
        <v>147</v>
      </c>
      <c r="V276">
        <v>4</v>
      </c>
      <c r="AA276" s="49" t="s">
        <v>83</v>
      </c>
      <c r="AB276" s="50" t="s">
        <v>38</v>
      </c>
    </row>
    <row r="277" spans="1:28" x14ac:dyDescent="0.4">
      <c r="A277" s="138"/>
      <c r="B277" s="144"/>
      <c r="C277" s="85" t="s">
        <v>328</v>
      </c>
      <c r="D277" s="109" t="s">
        <v>295</v>
      </c>
      <c r="E277" s="13" t="s">
        <v>36</v>
      </c>
      <c r="F277" s="16"/>
      <c r="G277" s="12" t="s">
        <v>187</v>
      </c>
      <c r="H277" s="15"/>
      <c r="I277" s="15"/>
      <c r="J277" s="15"/>
      <c r="K277" s="15"/>
      <c r="L277" s="17"/>
      <c r="M277" s="17">
        <v>1</v>
      </c>
      <c r="N277" s="17">
        <v>1</v>
      </c>
      <c r="O277" s="17"/>
      <c r="P277" s="17"/>
      <c r="Q277" s="17"/>
      <c r="R277" s="17"/>
      <c r="S277" s="15"/>
      <c r="T277" s="26">
        <v>45836</v>
      </c>
      <c r="U277" s="13" t="s">
        <v>147</v>
      </c>
      <c r="V277">
        <v>5</v>
      </c>
      <c r="AA277" s="49" t="s">
        <v>84</v>
      </c>
      <c r="AB277" s="50" t="s">
        <v>44</v>
      </c>
    </row>
    <row r="278" spans="1:28" x14ac:dyDescent="0.4">
      <c r="A278" s="138"/>
      <c r="B278" s="144"/>
      <c r="C278" s="85" t="s">
        <v>329</v>
      </c>
      <c r="D278" s="109" t="s">
        <v>189</v>
      </c>
      <c r="E278" s="13" t="s">
        <v>75</v>
      </c>
      <c r="F278" s="16"/>
      <c r="G278" s="12" t="s">
        <v>187</v>
      </c>
      <c r="H278" s="13"/>
      <c r="I278" s="15"/>
      <c r="J278" s="15"/>
      <c r="K278" s="15"/>
      <c r="L278" s="17"/>
      <c r="M278" s="17"/>
      <c r="N278" s="17"/>
      <c r="O278" s="17"/>
      <c r="P278" s="17"/>
      <c r="Q278" s="17"/>
      <c r="R278" s="17"/>
      <c r="S278" s="15">
        <v>1</v>
      </c>
      <c r="T278" s="26">
        <v>45838</v>
      </c>
      <c r="U278" s="13" t="s">
        <v>142</v>
      </c>
      <c r="V278">
        <v>6</v>
      </c>
      <c r="AA278" s="49" t="s">
        <v>85</v>
      </c>
      <c r="AB278" s="50" t="s">
        <v>43</v>
      </c>
    </row>
    <row r="279" spans="1:28" x14ac:dyDescent="0.4">
      <c r="A279" s="138"/>
      <c r="B279" s="144"/>
      <c r="C279" s="85" t="s">
        <v>330</v>
      </c>
      <c r="D279" s="109" t="s">
        <v>206</v>
      </c>
      <c r="E279" s="13" t="s">
        <v>60</v>
      </c>
      <c r="F279" s="16"/>
      <c r="G279" s="12" t="s">
        <v>187</v>
      </c>
      <c r="H279" s="15"/>
      <c r="I279" s="15"/>
      <c r="J279" s="15">
        <v>1</v>
      </c>
      <c r="K279" s="15"/>
      <c r="L279" s="17">
        <v>1</v>
      </c>
      <c r="M279" s="17"/>
      <c r="N279" s="17"/>
      <c r="O279" s="17"/>
      <c r="P279" s="17"/>
      <c r="Q279" s="17"/>
      <c r="R279" s="17"/>
      <c r="S279" s="15"/>
      <c r="T279" s="26">
        <v>45836</v>
      </c>
      <c r="U279" s="13" t="s">
        <v>146</v>
      </c>
      <c r="V279">
        <v>7</v>
      </c>
      <c r="AA279" s="49" t="s">
        <v>86</v>
      </c>
      <c r="AB279" s="50" t="s">
        <v>45</v>
      </c>
    </row>
    <row r="280" spans="1:28" x14ac:dyDescent="0.4">
      <c r="A280" s="138"/>
      <c r="B280" s="144"/>
      <c r="C280" s="85" t="s">
        <v>331</v>
      </c>
      <c r="D280" s="109" t="s">
        <v>206</v>
      </c>
      <c r="E280" s="13" t="s">
        <v>38</v>
      </c>
      <c r="F280" s="16"/>
      <c r="G280" s="12" t="s">
        <v>187</v>
      </c>
      <c r="H280" s="15"/>
      <c r="I280" s="15"/>
      <c r="J280" s="15">
        <v>1</v>
      </c>
      <c r="K280" s="15">
        <v>1</v>
      </c>
      <c r="L280" s="17"/>
      <c r="M280" s="17"/>
      <c r="N280" s="17"/>
      <c r="O280" s="17"/>
      <c r="P280" s="17"/>
      <c r="Q280" s="17"/>
      <c r="R280" s="17"/>
      <c r="S280" s="15"/>
      <c r="T280" s="26">
        <v>45837</v>
      </c>
      <c r="U280" s="13" t="s">
        <v>146</v>
      </c>
      <c r="V280">
        <v>8</v>
      </c>
      <c r="AA280" s="49" t="s">
        <v>87</v>
      </c>
      <c r="AB280" s="50" t="s">
        <v>37</v>
      </c>
    </row>
    <row r="281" spans="1:28" x14ac:dyDescent="0.4">
      <c r="A281" s="138"/>
      <c r="B281" s="144"/>
      <c r="C281" s="85" t="s">
        <v>332</v>
      </c>
      <c r="D281" s="109" t="s">
        <v>207</v>
      </c>
      <c r="E281" s="13" t="s">
        <v>37</v>
      </c>
      <c r="F281" s="16"/>
      <c r="G281" s="12" t="s">
        <v>187</v>
      </c>
      <c r="H281" s="15"/>
      <c r="I281" s="15"/>
      <c r="J281" s="15"/>
      <c r="K281" s="15"/>
      <c r="L281" s="17"/>
      <c r="M281" s="17">
        <v>1</v>
      </c>
      <c r="N281" s="17">
        <v>1</v>
      </c>
      <c r="O281" s="17"/>
      <c r="P281" s="17"/>
      <c r="Q281" s="17">
        <v>1</v>
      </c>
      <c r="R281" s="17"/>
      <c r="S281" s="15"/>
      <c r="T281" s="26">
        <v>45826</v>
      </c>
      <c r="U281" s="13" t="s">
        <v>147</v>
      </c>
      <c r="V281">
        <v>9</v>
      </c>
      <c r="AA281" s="49" t="s">
        <v>88</v>
      </c>
      <c r="AB281" s="50" t="s">
        <v>74</v>
      </c>
    </row>
    <row r="282" spans="1:28" x14ac:dyDescent="0.4">
      <c r="A282" s="138"/>
      <c r="B282" s="144"/>
      <c r="C282" s="85" t="s">
        <v>332</v>
      </c>
      <c r="D282" s="109" t="s">
        <v>207</v>
      </c>
      <c r="E282" s="13" t="s">
        <v>37</v>
      </c>
      <c r="F282" s="16"/>
      <c r="G282" s="12" t="s">
        <v>187</v>
      </c>
      <c r="H282" s="15"/>
      <c r="I282" s="15"/>
      <c r="J282" s="15">
        <v>1</v>
      </c>
      <c r="K282" s="15"/>
      <c r="L282" s="17"/>
      <c r="M282" s="17"/>
      <c r="N282" s="17"/>
      <c r="O282" s="17">
        <v>1</v>
      </c>
      <c r="P282" s="17">
        <v>1</v>
      </c>
      <c r="Q282" s="17"/>
      <c r="R282" s="17"/>
      <c r="S282" s="15"/>
      <c r="T282" s="26">
        <v>45826</v>
      </c>
      <c r="U282" s="13" t="s">
        <v>148</v>
      </c>
      <c r="V282">
        <v>10</v>
      </c>
      <c r="AA282" s="49" t="s">
        <v>89</v>
      </c>
      <c r="AB282" s="50" t="s">
        <v>36</v>
      </c>
    </row>
    <row r="283" spans="1:28" x14ac:dyDescent="0.4">
      <c r="A283" s="138"/>
      <c r="B283" s="144"/>
      <c r="C283" s="85"/>
      <c r="D283" s="109"/>
      <c r="E283" s="13"/>
      <c r="F283" s="16"/>
      <c r="G283" s="12"/>
      <c r="H283" s="15"/>
      <c r="I283" s="15"/>
      <c r="J283" s="15"/>
      <c r="K283" s="15"/>
      <c r="L283" s="17"/>
      <c r="M283" s="17"/>
      <c r="N283" s="17"/>
      <c r="O283" s="17"/>
      <c r="P283" s="17"/>
      <c r="Q283" s="17"/>
      <c r="R283" s="17"/>
      <c r="S283" s="15"/>
      <c r="T283" s="26"/>
      <c r="U283" s="13"/>
      <c r="V283">
        <v>11</v>
      </c>
      <c r="AA283" s="49" t="s">
        <v>90</v>
      </c>
      <c r="AB283" s="50" t="s">
        <v>58</v>
      </c>
    </row>
    <row r="284" spans="1:28" x14ac:dyDescent="0.4">
      <c r="A284" s="138"/>
      <c r="B284" s="144"/>
      <c r="C284" s="85" t="s">
        <v>333</v>
      </c>
      <c r="D284" s="109" t="s">
        <v>207</v>
      </c>
      <c r="E284" s="13" t="s">
        <v>40</v>
      </c>
      <c r="F284" s="16"/>
      <c r="G284" s="12" t="s">
        <v>187</v>
      </c>
      <c r="H284" s="15"/>
      <c r="I284" s="15"/>
      <c r="J284" s="15">
        <v>1</v>
      </c>
      <c r="K284" s="15"/>
      <c r="L284" s="17"/>
      <c r="M284" s="17"/>
      <c r="N284" s="17"/>
      <c r="O284" s="17">
        <v>1</v>
      </c>
      <c r="P284" s="17">
        <v>1</v>
      </c>
      <c r="Q284" s="17"/>
      <c r="R284" s="17"/>
      <c r="S284" s="15"/>
      <c r="T284" s="26">
        <v>45826</v>
      </c>
      <c r="U284" s="13" t="s">
        <v>148</v>
      </c>
      <c r="V284">
        <v>12</v>
      </c>
      <c r="AA284" s="49" t="s">
        <v>91</v>
      </c>
      <c r="AB284" s="50" t="s">
        <v>75</v>
      </c>
    </row>
    <row r="285" spans="1:28" x14ac:dyDescent="0.4">
      <c r="A285" s="138"/>
      <c r="B285" s="144"/>
      <c r="C285" s="85" t="s">
        <v>334</v>
      </c>
      <c r="D285" s="109" t="s">
        <v>193</v>
      </c>
      <c r="E285" s="13" t="s">
        <v>38</v>
      </c>
      <c r="F285" s="16"/>
      <c r="G285" s="12" t="s">
        <v>187</v>
      </c>
      <c r="H285" s="15"/>
      <c r="I285" s="15"/>
      <c r="J285" s="15">
        <v>1</v>
      </c>
      <c r="K285" s="15">
        <v>1</v>
      </c>
      <c r="L285" s="17"/>
      <c r="M285" s="17"/>
      <c r="N285" s="17"/>
      <c r="O285" s="17"/>
      <c r="P285" s="17"/>
      <c r="Q285" s="17"/>
      <c r="R285" s="17"/>
      <c r="S285" s="15"/>
      <c r="T285" s="26">
        <v>45836</v>
      </c>
      <c r="U285" s="13" t="s">
        <v>146</v>
      </c>
      <c r="V285">
        <v>13</v>
      </c>
      <c r="AA285" s="49" t="s">
        <v>92</v>
      </c>
      <c r="AB285" s="50" t="s">
        <v>40</v>
      </c>
    </row>
    <row r="286" spans="1:28" x14ac:dyDescent="0.4">
      <c r="A286" s="138"/>
      <c r="B286" s="144"/>
      <c r="C286" s="85" t="s">
        <v>335</v>
      </c>
      <c r="D286" s="109" t="s">
        <v>208</v>
      </c>
      <c r="E286" s="15" t="s">
        <v>37</v>
      </c>
      <c r="F286" s="16"/>
      <c r="G286" s="12" t="s">
        <v>187</v>
      </c>
      <c r="H286" s="15"/>
      <c r="I286" s="15"/>
      <c r="J286" s="15"/>
      <c r="K286" s="15"/>
      <c r="L286" s="17"/>
      <c r="M286" s="17">
        <v>1</v>
      </c>
      <c r="N286" s="17"/>
      <c r="O286" s="17"/>
      <c r="P286" s="17"/>
      <c r="Q286" s="17"/>
      <c r="R286" s="17"/>
      <c r="S286" s="15"/>
      <c r="T286" s="26">
        <v>45836</v>
      </c>
      <c r="U286" s="15" t="s">
        <v>147</v>
      </c>
      <c r="V286">
        <v>14</v>
      </c>
      <c r="AA286" s="49" t="s">
        <v>93</v>
      </c>
      <c r="AB286" s="50" t="s">
        <v>57</v>
      </c>
    </row>
    <row r="287" spans="1:28" x14ac:dyDescent="0.4">
      <c r="A287" s="138"/>
      <c r="B287" s="144"/>
      <c r="C287" s="85" t="s">
        <v>336</v>
      </c>
      <c r="D287" s="109" t="s">
        <v>208</v>
      </c>
      <c r="E287" s="15" t="s">
        <v>39</v>
      </c>
      <c r="F287" s="16"/>
      <c r="G287" s="15" t="s">
        <v>187</v>
      </c>
      <c r="H287" s="15"/>
      <c r="I287" s="15"/>
      <c r="J287" s="15">
        <v>1</v>
      </c>
      <c r="K287" s="15">
        <v>1</v>
      </c>
      <c r="L287" s="17"/>
      <c r="M287" s="17"/>
      <c r="N287" s="17"/>
      <c r="O287" s="17"/>
      <c r="P287" s="17"/>
      <c r="Q287" s="17"/>
      <c r="R287" s="17"/>
      <c r="S287" s="15"/>
      <c r="T287" s="26">
        <v>45836</v>
      </c>
      <c r="U287" s="15" t="s">
        <v>146</v>
      </c>
      <c r="V287">
        <v>15</v>
      </c>
      <c r="AA287" s="49" t="s">
        <v>94</v>
      </c>
      <c r="AB287" s="50" t="s">
        <v>41</v>
      </c>
    </row>
    <row r="288" spans="1:28" x14ac:dyDescent="0.4">
      <c r="A288" s="138"/>
      <c r="B288" s="144"/>
      <c r="C288" s="85" t="s">
        <v>337</v>
      </c>
      <c r="D288" s="109" t="s">
        <v>208</v>
      </c>
      <c r="E288" s="15" t="s">
        <v>133</v>
      </c>
      <c r="F288" s="16"/>
      <c r="G288" s="15" t="s">
        <v>187</v>
      </c>
      <c r="H288" s="15"/>
      <c r="I288" s="15"/>
      <c r="J288" s="15"/>
      <c r="K288" s="15"/>
      <c r="L288" s="19"/>
      <c r="M288" s="19"/>
      <c r="N288" s="19"/>
      <c r="O288" s="19">
        <v>1</v>
      </c>
      <c r="P288" s="19">
        <v>1</v>
      </c>
      <c r="Q288" s="19"/>
      <c r="R288" s="19"/>
      <c r="S288" s="15"/>
      <c r="T288" s="26">
        <v>45836</v>
      </c>
      <c r="U288" s="15" t="s">
        <v>148</v>
      </c>
      <c r="V288">
        <v>16</v>
      </c>
      <c r="AA288" s="49" t="s">
        <v>95</v>
      </c>
      <c r="AB288" s="50" t="s">
        <v>42</v>
      </c>
    </row>
    <row r="289" spans="1:28" x14ac:dyDescent="0.4">
      <c r="A289" s="138"/>
      <c r="B289" s="144"/>
      <c r="C289" s="85" t="s">
        <v>338</v>
      </c>
      <c r="D289" s="109" t="s">
        <v>201</v>
      </c>
      <c r="E289" s="18" t="s">
        <v>37</v>
      </c>
      <c r="F289" s="16"/>
      <c r="G289" s="18" t="s">
        <v>187</v>
      </c>
      <c r="H289" s="15"/>
      <c r="I289" s="15"/>
      <c r="J289" s="18"/>
      <c r="K289" s="15"/>
      <c r="L289" s="19"/>
      <c r="M289" s="19">
        <v>1</v>
      </c>
      <c r="N289" s="19"/>
      <c r="O289" s="19"/>
      <c r="P289" s="19"/>
      <c r="Q289" s="19">
        <v>1</v>
      </c>
      <c r="R289" s="19"/>
      <c r="S289" s="15"/>
      <c r="T289" s="26">
        <v>45822</v>
      </c>
      <c r="U289" s="15" t="s">
        <v>147</v>
      </c>
      <c r="V289">
        <v>17</v>
      </c>
      <c r="AA289" s="49" t="s">
        <v>96</v>
      </c>
      <c r="AB289" s="50" t="s">
        <v>61</v>
      </c>
    </row>
    <row r="290" spans="1:28" x14ac:dyDescent="0.4">
      <c r="A290" s="138"/>
      <c r="B290" s="144"/>
      <c r="C290" s="85" t="s">
        <v>339</v>
      </c>
      <c r="D290" s="109" t="s">
        <v>201</v>
      </c>
      <c r="E290" s="18" t="s">
        <v>40</v>
      </c>
      <c r="F290" s="16"/>
      <c r="G290" s="18" t="s">
        <v>187</v>
      </c>
      <c r="H290" s="15"/>
      <c r="I290" s="15"/>
      <c r="J290" s="18"/>
      <c r="K290" s="15"/>
      <c r="L290" s="19"/>
      <c r="M290" s="19"/>
      <c r="N290" s="19"/>
      <c r="O290" s="19">
        <v>1</v>
      </c>
      <c r="P290" s="19">
        <v>1</v>
      </c>
      <c r="Q290" s="19"/>
      <c r="R290" s="19"/>
      <c r="S290" s="15"/>
      <c r="T290" s="26">
        <v>45822</v>
      </c>
      <c r="U290" s="15" t="s">
        <v>148</v>
      </c>
      <c r="V290">
        <v>18</v>
      </c>
      <c r="AA290" s="49" t="s">
        <v>97</v>
      </c>
      <c r="AB290" s="50" t="s">
        <v>76</v>
      </c>
    </row>
    <row r="291" spans="1:28" x14ac:dyDescent="0.4">
      <c r="A291" s="138"/>
      <c r="B291" s="144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38"/>
      <c r="B292" s="144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38"/>
      <c r="B293" s="144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38"/>
      <c r="B294" s="144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38"/>
      <c r="B295" s="144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38"/>
      <c r="B296" s="144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39"/>
      <c r="B297" s="145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17</v>
      </c>
      <c r="D298" s="112"/>
      <c r="E298" s="29"/>
      <c r="F298" s="29" t="s">
        <v>34</v>
      </c>
      <c r="G298" s="29">
        <f>COUNTIF(G273:G297,"S")</f>
        <v>17</v>
      </c>
      <c r="H298" s="29">
        <f>COUNTIF(H273:H297,"E")</f>
        <v>0</v>
      </c>
      <c r="I298" s="29">
        <f>SUM(I273:I297)</f>
        <v>0</v>
      </c>
      <c r="J298" s="29">
        <f t="shared" ref="J298" si="63">SUM(J273:J297)</f>
        <v>6</v>
      </c>
      <c r="K298" s="29">
        <f t="shared" ref="K298" si="64">SUM(K273:K297)</f>
        <v>3</v>
      </c>
      <c r="L298" s="29">
        <f t="shared" ref="L298" si="65">SUM(L273:L297)</f>
        <v>1</v>
      </c>
      <c r="M298" s="29">
        <f t="shared" ref="M298" si="66">SUM(M273:M297)</f>
        <v>8</v>
      </c>
      <c r="N298" s="29">
        <f t="shared" ref="N298" si="67">SUM(N273:N297)</f>
        <v>5</v>
      </c>
      <c r="O298" s="29">
        <f t="shared" ref="O298" si="68">SUM(O273:O297)</f>
        <v>4</v>
      </c>
      <c r="P298" s="29">
        <f t="shared" ref="P298" si="69">SUM(P273:P297)</f>
        <v>4</v>
      </c>
      <c r="Q298" s="29">
        <f t="shared" ref="Q298" si="70">SUM(Q273:Q297)</f>
        <v>5</v>
      </c>
      <c r="R298" s="29">
        <f t="shared" ref="R298" si="71">SUM(R273:R297)</f>
        <v>0</v>
      </c>
      <c r="S298" s="29">
        <f t="shared" ref="S298" si="72">SUM(S273:S297)</f>
        <v>1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37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AYG109</v>
      </c>
      <c r="B301" s="24">
        <f>B1</f>
        <v>45799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35" t="s">
        <v>110</v>
      </c>
      <c r="Y302" s="136"/>
    </row>
    <row r="303" spans="1:28" ht="20.25" thickTop="1" thickBot="1" x14ac:dyDescent="0.45">
      <c r="A303" s="137">
        <v>11</v>
      </c>
      <c r="B303" s="143"/>
      <c r="C303" s="85"/>
      <c r="D303" s="109"/>
      <c r="E303" s="13"/>
      <c r="F303" s="14"/>
      <c r="G303" s="12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26"/>
      <c r="U303" s="13"/>
      <c r="V303">
        <v>1</v>
      </c>
      <c r="X303" s="51" t="s">
        <v>106</v>
      </c>
      <c r="Y303" s="52">
        <f>COUNTIF(U303:U327,"K")</f>
        <v>0</v>
      </c>
      <c r="AA303" s="59" t="s">
        <v>120</v>
      </c>
      <c r="AB303" s="60" t="s">
        <v>121</v>
      </c>
    </row>
    <row r="304" spans="1:28" x14ac:dyDescent="0.4">
      <c r="A304" s="138"/>
      <c r="B304" s="144"/>
      <c r="C304" s="85"/>
      <c r="D304" s="109"/>
      <c r="E304" s="13"/>
      <c r="F304" s="16"/>
      <c r="G304" s="12"/>
      <c r="H304" s="15"/>
      <c r="I304" s="15"/>
      <c r="J304" s="15"/>
      <c r="K304" s="15"/>
      <c r="L304" s="17"/>
      <c r="M304" s="13"/>
      <c r="N304" s="13"/>
      <c r="O304" s="17"/>
      <c r="P304" s="17"/>
      <c r="Q304" s="17"/>
      <c r="R304" s="17"/>
      <c r="S304" s="15"/>
      <c r="T304" s="26"/>
      <c r="U304" s="13"/>
      <c r="V304">
        <v>2</v>
      </c>
      <c r="X304" s="51" t="s">
        <v>107</v>
      </c>
      <c r="Y304" s="52">
        <f>COUNTIF(U303:U327,"R")</f>
        <v>0</v>
      </c>
      <c r="AA304" s="47" t="s">
        <v>81</v>
      </c>
      <c r="AB304" s="48" t="s">
        <v>60</v>
      </c>
    </row>
    <row r="305" spans="1:28" ht="19.5" thickBot="1" x14ac:dyDescent="0.45">
      <c r="A305" s="138"/>
      <c r="B305" s="144"/>
      <c r="C305" s="85"/>
      <c r="D305" s="109"/>
      <c r="E305" s="13"/>
      <c r="F305" s="16"/>
      <c r="G305" s="12"/>
      <c r="H305" s="15"/>
      <c r="I305" s="15"/>
      <c r="J305" s="15"/>
      <c r="K305" s="15"/>
      <c r="L305" s="17"/>
      <c r="M305" s="13"/>
      <c r="N305" s="13"/>
      <c r="O305" s="17"/>
      <c r="P305" s="17"/>
      <c r="Q305" s="17"/>
      <c r="R305" s="17"/>
      <c r="S305" s="15"/>
      <c r="T305" s="26"/>
      <c r="U305" s="13"/>
      <c r="V305">
        <v>3</v>
      </c>
      <c r="X305" s="53" t="s">
        <v>108</v>
      </c>
      <c r="Y305" s="54">
        <f>COUNTIF(U303:U327,"J")</f>
        <v>0</v>
      </c>
      <c r="AA305" s="49" t="s">
        <v>82</v>
      </c>
      <c r="AB305" s="50" t="s">
        <v>39</v>
      </c>
    </row>
    <row r="306" spans="1:28" x14ac:dyDescent="0.4">
      <c r="A306" s="138"/>
      <c r="B306" s="144"/>
      <c r="C306" s="85"/>
      <c r="D306" s="109"/>
      <c r="E306" s="13"/>
      <c r="F306" s="16"/>
      <c r="G306" s="12"/>
      <c r="H306" s="15"/>
      <c r="I306" s="15"/>
      <c r="J306" s="15"/>
      <c r="K306" s="15"/>
      <c r="L306" s="17"/>
      <c r="M306" s="13"/>
      <c r="N306" s="13"/>
      <c r="O306" s="17"/>
      <c r="P306" s="17"/>
      <c r="Q306" s="17"/>
      <c r="R306" s="17"/>
      <c r="S306" s="15"/>
      <c r="T306" s="26"/>
      <c r="U306" s="13"/>
      <c r="V306">
        <v>4</v>
      </c>
      <c r="AA306" s="49" t="s">
        <v>83</v>
      </c>
      <c r="AB306" s="50" t="s">
        <v>38</v>
      </c>
    </row>
    <row r="307" spans="1:28" x14ac:dyDescent="0.4">
      <c r="A307" s="138"/>
      <c r="B307" s="144"/>
      <c r="C307" s="85"/>
      <c r="D307" s="109"/>
      <c r="E307" s="13"/>
      <c r="F307" s="16"/>
      <c r="G307" s="12"/>
      <c r="H307" s="15"/>
      <c r="I307" s="15"/>
      <c r="J307" s="15"/>
      <c r="K307" s="15"/>
      <c r="L307" s="17"/>
      <c r="M307" s="13"/>
      <c r="N307" s="13"/>
      <c r="O307" s="17"/>
      <c r="P307" s="17"/>
      <c r="Q307" s="17"/>
      <c r="R307" s="17"/>
      <c r="S307" s="15"/>
      <c r="T307" s="26"/>
      <c r="U307" s="13"/>
      <c r="V307">
        <v>5</v>
      </c>
      <c r="AA307" s="49" t="s">
        <v>84</v>
      </c>
      <c r="AB307" s="50" t="s">
        <v>44</v>
      </c>
    </row>
    <row r="308" spans="1:28" x14ac:dyDescent="0.4">
      <c r="A308" s="138"/>
      <c r="B308" s="144"/>
      <c r="C308" s="85"/>
      <c r="D308" s="109"/>
      <c r="E308" s="13"/>
      <c r="F308" s="16"/>
      <c r="G308" s="12"/>
      <c r="H308" s="13"/>
      <c r="I308" s="15"/>
      <c r="J308" s="15"/>
      <c r="K308" s="15"/>
      <c r="L308" s="17"/>
      <c r="M308" s="13"/>
      <c r="N308" s="13"/>
      <c r="O308" s="17"/>
      <c r="P308" s="17"/>
      <c r="Q308" s="17"/>
      <c r="R308" s="17"/>
      <c r="S308" s="15"/>
      <c r="T308" s="26"/>
      <c r="U308" s="13"/>
      <c r="V308">
        <v>6</v>
      </c>
      <c r="AA308" s="49" t="s">
        <v>85</v>
      </c>
      <c r="AB308" s="50" t="s">
        <v>43</v>
      </c>
    </row>
    <row r="309" spans="1:28" x14ac:dyDescent="0.4">
      <c r="A309" s="138"/>
      <c r="B309" s="144"/>
      <c r="C309" s="85"/>
      <c r="D309" s="109"/>
      <c r="E309" s="13"/>
      <c r="F309" s="16"/>
      <c r="G309" s="12"/>
      <c r="H309" s="15"/>
      <c r="I309" s="15"/>
      <c r="J309" s="15"/>
      <c r="K309" s="15"/>
      <c r="L309" s="17"/>
      <c r="M309" s="13"/>
      <c r="N309" s="13"/>
      <c r="O309" s="17"/>
      <c r="P309" s="17"/>
      <c r="Q309" s="17"/>
      <c r="R309" s="17"/>
      <c r="S309" s="15"/>
      <c r="T309" s="26"/>
      <c r="U309" s="13"/>
      <c r="V309">
        <v>7</v>
      </c>
      <c r="AA309" s="49" t="s">
        <v>86</v>
      </c>
      <c r="AB309" s="50" t="s">
        <v>45</v>
      </c>
    </row>
    <row r="310" spans="1:28" x14ac:dyDescent="0.4">
      <c r="A310" s="138"/>
      <c r="B310" s="144"/>
      <c r="C310" s="85"/>
      <c r="D310" s="109"/>
      <c r="E310" s="13"/>
      <c r="F310" s="16"/>
      <c r="G310" s="12"/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/>
      <c r="T310" s="26"/>
      <c r="U310" s="13"/>
      <c r="V310">
        <v>8</v>
      </c>
      <c r="AA310" s="49" t="s">
        <v>87</v>
      </c>
      <c r="AB310" s="50" t="s">
        <v>37</v>
      </c>
    </row>
    <row r="311" spans="1:28" x14ac:dyDescent="0.4">
      <c r="A311" s="138"/>
      <c r="B311" s="144"/>
      <c r="C311" s="85"/>
      <c r="D311" s="109"/>
      <c r="E311" s="13"/>
      <c r="F311" s="16"/>
      <c r="G311" s="12"/>
      <c r="H311" s="15"/>
      <c r="I311" s="15"/>
      <c r="J311" s="15"/>
      <c r="K311" s="15"/>
      <c r="L311" s="17"/>
      <c r="M311" s="13"/>
      <c r="N311" s="13"/>
      <c r="O311" s="17"/>
      <c r="P311" s="17"/>
      <c r="Q311" s="17"/>
      <c r="R311" s="17"/>
      <c r="S311" s="15"/>
      <c r="T311" s="26"/>
      <c r="U311" s="13"/>
      <c r="V311">
        <v>9</v>
      </c>
      <c r="AA311" s="49" t="s">
        <v>88</v>
      </c>
      <c r="AB311" s="50" t="s">
        <v>74</v>
      </c>
    </row>
    <row r="312" spans="1:28" x14ac:dyDescent="0.4">
      <c r="A312" s="138"/>
      <c r="B312" s="144"/>
      <c r="C312" s="85"/>
      <c r="D312" s="109"/>
      <c r="E312" s="13"/>
      <c r="F312" s="16"/>
      <c r="G312" s="12"/>
      <c r="H312" s="15"/>
      <c r="I312" s="15"/>
      <c r="J312" s="15"/>
      <c r="K312" s="15"/>
      <c r="L312" s="17"/>
      <c r="M312" s="13"/>
      <c r="N312" s="13"/>
      <c r="O312" s="17"/>
      <c r="P312" s="17"/>
      <c r="Q312" s="17"/>
      <c r="R312" s="17"/>
      <c r="S312" s="15"/>
      <c r="T312" s="26"/>
      <c r="U312" s="13"/>
      <c r="V312">
        <v>10</v>
      </c>
      <c r="AA312" s="49" t="s">
        <v>89</v>
      </c>
      <c r="AB312" s="50" t="s">
        <v>36</v>
      </c>
    </row>
    <row r="313" spans="1:28" x14ac:dyDescent="0.4">
      <c r="A313" s="138"/>
      <c r="B313" s="144"/>
      <c r="C313" s="85"/>
      <c r="D313" s="109"/>
      <c r="E313" s="13"/>
      <c r="F313" s="16"/>
      <c r="G313" s="12"/>
      <c r="H313" s="15"/>
      <c r="I313" s="15"/>
      <c r="J313" s="15"/>
      <c r="K313" s="15"/>
      <c r="L313" s="17"/>
      <c r="M313" s="13"/>
      <c r="N313" s="13"/>
      <c r="O313" s="17"/>
      <c r="P313" s="17"/>
      <c r="Q313" s="17"/>
      <c r="R313" s="17"/>
      <c r="S313" s="15"/>
      <c r="T313" s="26"/>
      <c r="U313" s="13"/>
      <c r="V313">
        <v>11</v>
      </c>
      <c r="AA313" s="49" t="s">
        <v>90</v>
      </c>
      <c r="AB313" s="50" t="s">
        <v>58</v>
      </c>
    </row>
    <row r="314" spans="1:28" x14ac:dyDescent="0.4">
      <c r="A314" s="138"/>
      <c r="B314" s="144"/>
      <c r="C314" s="85"/>
      <c r="D314" s="109"/>
      <c r="E314" s="13"/>
      <c r="F314" s="16"/>
      <c r="G314" s="12"/>
      <c r="H314" s="15"/>
      <c r="I314" s="15"/>
      <c r="J314" s="15"/>
      <c r="K314" s="15"/>
      <c r="L314" s="17"/>
      <c r="M314" s="13"/>
      <c r="N314" s="13"/>
      <c r="O314" s="17"/>
      <c r="P314" s="17"/>
      <c r="Q314" s="17"/>
      <c r="R314" s="17"/>
      <c r="S314" s="15"/>
      <c r="T314" s="26"/>
      <c r="U314" s="13"/>
      <c r="V314">
        <v>12</v>
      </c>
      <c r="AA314" s="49" t="s">
        <v>91</v>
      </c>
      <c r="AB314" s="50" t="s">
        <v>75</v>
      </c>
    </row>
    <row r="315" spans="1:28" x14ac:dyDescent="0.4">
      <c r="A315" s="138"/>
      <c r="B315" s="144"/>
      <c r="C315" s="85"/>
      <c r="D315" s="109"/>
      <c r="E315" s="13"/>
      <c r="F315" s="16"/>
      <c r="G315" s="12"/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/>
      <c r="U315" s="13"/>
      <c r="V315">
        <v>13</v>
      </c>
      <c r="AA315" s="49" t="s">
        <v>92</v>
      </c>
      <c r="AB315" s="50" t="s">
        <v>40</v>
      </c>
    </row>
    <row r="316" spans="1:28" x14ac:dyDescent="0.4">
      <c r="A316" s="138"/>
      <c r="B316" s="144"/>
      <c r="C316" s="85"/>
      <c r="D316" s="109"/>
      <c r="E316" s="13"/>
      <c r="F316" s="16"/>
      <c r="G316" s="12"/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/>
      <c r="U316" s="13"/>
      <c r="V316">
        <v>14</v>
      </c>
      <c r="AA316" s="49" t="s">
        <v>93</v>
      </c>
      <c r="AB316" s="50" t="s">
        <v>57</v>
      </c>
    </row>
    <row r="317" spans="1:28" x14ac:dyDescent="0.4">
      <c r="A317" s="138"/>
      <c r="B317" s="144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38"/>
      <c r="B318" s="144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38"/>
      <c r="B319" s="144"/>
      <c r="C319" s="86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38"/>
      <c r="B320" s="144"/>
      <c r="C320" s="86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38"/>
      <c r="B321" s="144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38"/>
      <c r="B322" s="144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38"/>
      <c r="B323" s="144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38"/>
      <c r="B324" s="144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38"/>
      <c r="B325" s="144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38"/>
      <c r="B326" s="144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39"/>
      <c r="B327" s="145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0</v>
      </c>
      <c r="D328" s="112"/>
      <c r="E328" s="29"/>
      <c r="F328" s="29" t="s">
        <v>34</v>
      </c>
      <c r="G328" s="29">
        <f>COUNTIF(G303:G327,"S")</f>
        <v>0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0</v>
      </c>
      <c r="K328" s="29">
        <f t="shared" ref="K328" si="74">SUM(K303:K327)</f>
        <v>0</v>
      </c>
      <c r="L328" s="29">
        <f t="shared" ref="L328" si="75">SUM(L303:L327)</f>
        <v>0</v>
      </c>
      <c r="M328" s="29">
        <f t="shared" ref="M328" si="76">SUM(M303:M327)</f>
        <v>0</v>
      </c>
      <c r="N328" s="29">
        <f t="shared" ref="N328" si="77">SUM(N303:N327)</f>
        <v>0</v>
      </c>
      <c r="O328" s="29">
        <f t="shared" ref="O328" si="78">SUM(O303:O327)</f>
        <v>0</v>
      </c>
      <c r="P328" s="29">
        <f t="shared" ref="P328" si="79">SUM(P303:P327)</f>
        <v>0</v>
      </c>
      <c r="Q328" s="29">
        <f t="shared" ref="Q328" si="80">SUM(Q303:Q327)</f>
        <v>0</v>
      </c>
      <c r="R328" s="29">
        <f t="shared" ref="R328" si="81">SUM(R303:R327)</f>
        <v>0</v>
      </c>
      <c r="S328" s="29">
        <f t="shared" ref="S328" si="82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0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AYG109</v>
      </c>
      <c r="B331" s="24">
        <f>B151</f>
        <v>45799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35" t="s">
        <v>109</v>
      </c>
      <c r="Y332" s="136"/>
    </row>
    <row r="333" spans="1:28" ht="20.25" thickTop="1" thickBot="1" x14ac:dyDescent="0.45">
      <c r="A333" s="137">
        <v>12</v>
      </c>
      <c r="B333" s="143"/>
      <c r="C333" s="86"/>
      <c r="D333" s="109"/>
      <c r="E333" s="109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38"/>
      <c r="B334" s="144"/>
      <c r="C334" s="86"/>
      <c r="D334" s="109"/>
      <c r="E334" s="109"/>
      <c r="F334" s="16"/>
      <c r="G334" s="12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38"/>
      <c r="B335" s="144"/>
      <c r="C335" s="86"/>
      <c r="D335" s="109"/>
      <c r="E335" s="109"/>
      <c r="F335" s="16"/>
      <c r="G335" s="12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38"/>
      <c r="B336" s="144"/>
      <c r="C336" s="86"/>
      <c r="D336" s="109"/>
      <c r="E336" s="109"/>
      <c r="F336" s="16"/>
      <c r="G336" s="12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38"/>
      <c r="B337" s="144"/>
      <c r="C337" s="86"/>
      <c r="D337" s="109"/>
      <c r="E337" s="109"/>
      <c r="F337" s="16"/>
      <c r="G337" s="12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38"/>
      <c r="B338" s="144"/>
      <c r="C338" s="86"/>
      <c r="D338" s="109"/>
      <c r="E338" s="109"/>
      <c r="F338" s="16"/>
      <c r="G338" s="12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38"/>
      <c r="B339" s="144"/>
      <c r="C339" s="86"/>
      <c r="D339" s="109"/>
      <c r="E339" s="109"/>
      <c r="F339" s="16"/>
      <c r="G339" s="12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38"/>
      <c r="B340" s="144"/>
      <c r="C340" s="86"/>
      <c r="D340" s="109"/>
      <c r="E340" s="109"/>
      <c r="F340" s="16"/>
      <c r="G340" s="12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38"/>
      <c r="B341" s="144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38"/>
      <c r="B342" s="144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38"/>
      <c r="B343" s="144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38"/>
      <c r="B344" s="144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38"/>
      <c r="B345" s="144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38"/>
      <c r="B346" s="144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38"/>
      <c r="B347" s="144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38"/>
      <c r="B348" s="144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38"/>
      <c r="B349" s="144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38"/>
      <c r="B350" s="144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38"/>
      <c r="B351" s="144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38"/>
      <c r="B352" s="144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38"/>
      <c r="B353" s="144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38"/>
      <c r="B354" s="144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38"/>
      <c r="B355" s="144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38"/>
      <c r="B356" s="144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39"/>
      <c r="B357" s="145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0</v>
      </c>
      <c r="K358" s="29">
        <f t="shared" si="83"/>
        <v>0</v>
      </c>
      <c r="L358" s="29">
        <f t="shared" si="83"/>
        <v>0</v>
      </c>
      <c r="M358" s="29">
        <f t="shared" si="83"/>
        <v>0</v>
      </c>
      <c r="N358" s="29">
        <f t="shared" si="83"/>
        <v>0</v>
      </c>
      <c r="O358" s="29">
        <f t="shared" si="83"/>
        <v>0</v>
      </c>
      <c r="P358" s="29">
        <f t="shared" si="83"/>
        <v>0</v>
      </c>
      <c r="Q358" s="29">
        <f t="shared" si="83"/>
        <v>0</v>
      </c>
      <c r="R358" s="29">
        <f t="shared" si="83"/>
        <v>0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184</v>
      </c>
      <c r="B361" s="24">
        <v>45789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35" t="s">
        <v>138</v>
      </c>
      <c r="Y362" s="136"/>
    </row>
    <row r="363" spans="1:28" ht="19.5" thickTop="1" x14ac:dyDescent="0.4">
      <c r="A363" s="137">
        <v>13</v>
      </c>
      <c r="B363" s="143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38"/>
      <c r="B364" s="144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38"/>
      <c r="B365" s="144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38"/>
      <c r="B366" s="144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38"/>
      <c r="B367" s="144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38"/>
      <c r="B368" s="144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38"/>
      <c r="B369" s="144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38"/>
      <c r="B370" s="144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38"/>
      <c r="B371" s="144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38"/>
      <c r="B372" s="144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38"/>
      <c r="B373" s="144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38"/>
      <c r="B374" s="144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38"/>
      <c r="B375" s="144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38"/>
      <c r="B376" s="144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38"/>
      <c r="B377" s="144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38"/>
      <c r="B378" s="144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38"/>
      <c r="B379" s="144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38"/>
      <c r="B380" s="144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38"/>
      <c r="B381" s="144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38"/>
      <c r="B382" s="144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38"/>
      <c r="B383" s="144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38"/>
      <c r="B384" s="144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38"/>
      <c r="B385" s="144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38"/>
      <c r="B386" s="144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39"/>
      <c r="B387" s="145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0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35" t="s">
        <v>139</v>
      </c>
      <c r="Y392" s="136"/>
    </row>
    <row r="393" spans="1:25" ht="19.5" thickTop="1" x14ac:dyDescent="0.4">
      <c r="A393" s="137">
        <v>14</v>
      </c>
      <c r="B393" s="143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38"/>
      <c r="B394" s="144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38"/>
      <c r="B395" s="144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38"/>
      <c r="B396" s="144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38"/>
      <c r="B397" s="144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38"/>
      <c r="B398" s="144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38"/>
      <c r="B399" s="144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38"/>
      <c r="B400" s="144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38"/>
      <c r="B401" s="144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38"/>
      <c r="B402" s="144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38"/>
      <c r="B403" s="144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38"/>
      <c r="B404" s="144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38"/>
      <c r="B405" s="144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38"/>
      <c r="B406" s="144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38"/>
      <c r="B407" s="144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38"/>
      <c r="B408" s="144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38"/>
      <c r="B409" s="144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38"/>
      <c r="B410" s="144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38"/>
      <c r="B411" s="144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38"/>
      <c r="B412" s="144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38"/>
      <c r="B413" s="144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38"/>
      <c r="B414" s="144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38"/>
      <c r="B415" s="144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38"/>
      <c r="B416" s="144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39"/>
      <c r="B417" s="145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35" t="s">
        <v>140</v>
      </c>
      <c r="Y422" s="136"/>
    </row>
    <row r="423" spans="1:25" ht="19.5" thickTop="1" x14ac:dyDescent="0.4">
      <c r="A423" s="137">
        <v>15</v>
      </c>
      <c r="B423" s="143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38"/>
      <c r="B424" s="144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38"/>
      <c r="B425" s="144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38"/>
      <c r="B426" s="144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38"/>
      <c r="B427" s="144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38"/>
      <c r="B428" s="144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38"/>
      <c r="B429" s="144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38"/>
      <c r="B430" s="144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38"/>
      <c r="B431" s="144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38"/>
      <c r="B432" s="144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38"/>
      <c r="B433" s="144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38"/>
      <c r="B434" s="144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38"/>
      <c r="B435" s="144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38"/>
      <c r="B436" s="144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38"/>
      <c r="B437" s="144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38"/>
      <c r="B438" s="144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38"/>
      <c r="B439" s="144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38"/>
      <c r="B440" s="144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38"/>
      <c r="B441" s="144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38"/>
      <c r="B442" s="144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38"/>
      <c r="B443" s="144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38"/>
      <c r="B444" s="144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38"/>
      <c r="B445" s="144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38"/>
      <c r="B446" s="144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39"/>
      <c r="B447" s="145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35" t="s">
        <v>105</v>
      </c>
      <c r="Y451" s="136"/>
    </row>
    <row r="452" spans="1:25" ht="19.5" thickTop="1" x14ac:dyDescent="0.4">
      <c r="A452" s="137">
        <v>16</v>
      </c>
      <c r="B452" s="140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38"/>
      <c r="B453" s="141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38"/>
      <c r="B454" s="141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38"/>
      <c r="B455" s="141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38"/>
      <c r="B456" s="141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38"/>
      <c r="B457" s="141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38"/>
      <c r="B458" s="141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38"/>
      <c r="B459" s="141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38"/>
      <c r="B460" s="141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38"/>
      <c r="B461" s="141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38"/>
      <c r="B462" s="141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38"/>
      <c r="B463" s="141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38"/>
      <c r="B464" s="141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38"/>
      <c r="B465" s="141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38"/>
      <c r="B466" s="141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38"/>
      <c r="B467" s="141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38"/>
      <c r="B468" s="141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38"/>
      <c r="B469" s="141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38"/>
      <c r="B470" s="141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38"/>
      <c r="B471" s="141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38"/>
      <c r="B472" s="141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38"/>
      <c r="B473" s="141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38"/>
      <c r="B474" s="141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38"/>
      <c r="B475" s="141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39"/>
      <c r="B476" s="142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59" t="s">
        <v>47</v>
      </c>
      <c r="C26" s="159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60"/>
      <c r="C27" s="160"/>
      <c r="D27" s="161">
        <f>SUM(D26:F26)</f>
        <v>116</v>
      </c>
      <c r="E27" s="161"/>
      <c r="F27" s="161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BH1469"/>
  <sheetViews>
    <sheetView zoomScaleNormal="100" workbookViewId="0">
      <selection sqref="A1:D28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33" width="16.625" customWidth="1"/>
    <col min="34" max="34" width="11" customWidth="1"/>
    <col min="35" max="35" width="10.5" style="121" customWidth="1"/>
    <col min="36" max="36" width="10.25" style="121" customWidth="1"/>
    <col min="37" max="37" width="10.875" style="121" customWidth="1"/>
    <col min="38" max="51" width="16.625" customWidth="1"/>
    <col min="52" max="52" width="20.5" customWidth="1"/>
    <col min="57" max="57" width="12.375" customWidth="1"/>
    <col min="58" max="58" width="11.25" customWidth="1"/>
    <col min="59" max="59" width="10.5" customWidth="1"/>
    <col min="60" max="60" width="10.25" customWidth="1"/>
  </cols>
  <sheetData>
    <row r="1" spans="1:56" x14ac:dyDescent="0.4">
      <c r="A1" s="120" t="s">
        <v>185</v>
      </c>
      <c r="B1" s="121"/>
      <c r="C1" s="121"/>
      <c r="D1" s="121"/>
      <c r="Q1" t="s">
        <v>143</v>
      </c>
      <c r="R1" t="s">
        <v>144</v>
      </c>
      <c r="AB1" t="s">
        <v>143</v>
      </c>
      <c r="AC1" t="s">
        <v>144</v>
      </c>
      <c r="AH1" s="120"/>
      <c r="AZ1" t="s">
        <v>143</v>
      </c>
      <c r="BA1" t="s">
        <v>144</v>
      </c>
    </row>
    <row r="2" spans="1:56" ht="20.100000000000001" customHeight="1" x14ac:dyDescent="0.4">
      <c r="A2" s="116"/>
      <c r="B2" s="123" t="s">
        <v>146</v>
      </c>
      <c r="C2" s="123" t="s">
        <v>147</v>
      </c>
      <c r="D2" s="123" t="s">
        <v>148</v>
      </c>
      <c r="Q2" s="25">
        <v>45804</v>
      </c>
      <c r="R2" s="13" t="s">
        <v>146</v>
      </c>
      <c r="AB2" s="25">
        <v>45669</v>
      </c>
      <c r="AC2" s="13" t="s">
        <v>147</v>
      </c>
      <c r="AH2" s="116"/>
      <c r="AI2" s="123"/>
      <c r="AJ2" s="123"/>
      <c r="AK2" s="123"/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25">
        <v>45258</v>
      </c>
      <c r="BA2" s="13" t="s">
        <v>162</v>
      </c>
      <c r="BD2" s="114"/>
    </row>
    <row r="3" spans="1:56" ht="20.100000000000001" customHeight="1" x14ac:dyDescent="0.4">
      <c r="A3" s="117">
        <v>45815</v>
      </c>
      <c r="B3" s="123"/>
      <c r="C3" s="123">
        <v>1</v>
      </c>
      <c r="D3" s="123"/>
      <c r="P3" s="115" t="s">
        <v>179</v>
      </c>
      <c r="Q3" s="13">
        <f>SUBTOTAL(3,Q2:Q2)</f>
        <v>1</v>
      </c>
      <c r="R3" s="13">
        <f>SUBTOTAL(3,R2:R2)</f>
        <v>1</v>
      </c>
      <c r="AB3" s="25"/>
      <c r="AC3" s="13"/>
      <c r="AH3" s="116"/>
      <c r="AI3" s="123"/>
      <c r="AJ3" s="123"/>
      <c r="AK3" s="123"/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25"/>
      <c r="BA3" s="13"/>
      <c r="BD3" s="114"/>
    </row>
    <row r="4" spans="1:56" ht="20.100000000000001" customHeight="1" x14ac:dyDescent="0.4">
      <c r="A4" s="117">
        <v>45816</v>
      </c>
      <c r="B4" s="123">
        <v>2</v>
      </c>
      <c r="C4" s="123">
        <v>6</v>
      </c>
      <c r="D4" s="123"/>
      <c r="N4" s="115"/>
      <c r="O4" s="115"/>
      <c r="P4" s="115"/>
      <c r="Q4" s="25">
        <v>45806</v>
      </c>
      <c r="R4" s="13" t="s">
        <v>146</v>
      </c>
      <c r="AB4" s="25"/>
      <c r="AC4" s="13"/>
      <c r="AH4" s="116"/>
      <c r="AI4" s="123"/>
      <c r="AJ4" s="123"/>
      <c r="AK4" s="123"/>
      <c r="AP4" s="115"/>
      <c r="AQ4" s="115"/>
      <c r="AR4" s="115"/>
      <c r="AS4" s="115"/>
      <c r="AT4" s="115"/>
      <c r="AU4" s="115"/>
      <c r="AV4" s="115"/>
      <c r="AW4" s="115"/>
      <c r="AX4" s="115"/>
      <c r="AY4" s="115"/>
      <c r="AZ4" s="25"/>
      <c r="BA4" s="13"/>
      <c r="BD4" s="114"/>
    </row>
    <row r="5" spans="1:56" ht="20.100000000000001" customHeight="1" x14ac:dyDescent="0.4">
      <c r="A5" s="117">
        <v>45819</v>
      </c>
      <c r="B5" s="123"/>
      <c r="C5" s="123">
        <v>1</v>
      </c>
      <c r="D5" s="123">
        <v>2</v>
      </c>
      <c r="N5" s="115"/>
      <c r="O5" s="115"/>
      <c r="P5" s="115" t="s">
        <v>340</v>
      </c>
      <c r="Q5" s="13">
        <f>SUBTOTAL(3,Q4:Q4)</f>
        <v>1</v>
      </c>
      <c r="R5" s="13">
        <f>SUBTOTAL(3,R4:R4)</f>
        <v>1</v>
      </c>
      <c r="AB5" s="25"/>
      <c r="AC5" s="13"/>
      <c r="AH5" s="116"/>
      <c r="AI5" s="123"/>
      <c r="AJ5" s="123"/>
      <c r="AK5" s="123"/>
      <c r="AP5" s="115"/>
      <c r="AQ5" s="115"/>
      <c r="AR5" s="115"/>
      <c r="AS5" s="115"/>
      <c r="AT5" s="115"/>
      <c r="AU5" s="115"/>
      <c r="AV5" s="115"/>
      <c r="AW5" s="115"/>
      <c r="AX5" s="115"/>
      <c r="AY5" s="115"/>
      <c r="AZ5" s="25"/>
      <c r="BA5" s="13"/>
      <c r="BD5" s="114"/>
    </row>
    <row r="6" spans="1:56" ht="20.100000000000001" customHeight="1" x14ac:dyDescent="0.4">
      <c r="A6" s="117">
        <v>45820</v>
      </c>
      <c r="B6" s="123"/>
      <c r="C6" s="123">
        <v>3</v>
      </c>
      <c r="D6" s="123"/>
      <c r="N6" s="115"/>
      <c r="O6" s="115"/>
      <c r="P6" s="115"/>
      <c r="Q6" s="25">
        <v>45815</v>
      </c>
      <c r="R6" s="13" t="s">
        <v>147</v>
      </c>
      <c r="AB6" s="25"/>
      <c r="AC6" s="13"/>
      <c r="AH6" s="116"/>
      <c r="AI6" s="123"/>
      <c r="AJ6" s="123"/>
      <c r="AK6" s="123"/>
      <c r="AP6" s="115"/>
      <c r="AQ6" s="115"/>
      <c r="AR6" s="115"/>
      <c r="AS6" s="115"/>
      <c r="AT6" s="115"/>
      <c r="AU6" s="115"/>
      <c r="AV6" s="115"/>
      <c r="AW6" s="115"/>
      <c r="AX6" s="115"/>
      <c r="AY6" s="115"/>
      <c r="AZ6" s="25"/>
      <c r="BA6" s="13"/>
      <c r="BD6" s="114"/>
    </row>
    <row r="7" spans="1:56" ht="20.100000000000001" customHeight="1" x14ac:dyDescent="0.4">
      <c r="A7" s="117">
        <v>45821</v>
      </c>
      <c r="B7" s="123"/>
      <c r="C7" s="123">
        <v>2</v>
      </c>
      <c r="D7" s="123"/>
      <c r="N7" s="115"/>
      <c r="O7" s="115"/>
      <c r="P7" s="115" t="s">
        <v>341</v>
      </c>
      <c r="Q7" s="13">
        <f>SUBTOTAL(3,Q6:Q6)</f>
        <v>1</v>
      </c>
      <c r="R7" s="13">
        <f>SUBTOTAL(3,R6:R6)</f>
        <v>1</v>
      </c>
      <c r="AB7" s="25"/>
      <c r="AC7" s="13"/>
      <c r="AH7" s="116"/>
      <c r="AI7" s="123"/>
      <c r="AJ7" s="123"/>
      <c r="AK7" s="123"/>
      <c r="AP7" s="115"/>
      <c r="AQ7" s="115"/>
      <c r="AR7" s="115"/>
      <c r="AS7" s="115"/>
      <c r="AT7" s="115"/>
      <c r="AU7" s="115"/>
      <c r="AV7" s="115"/>
      <c r="AW7" s="115"/>
      <c r="AX7" s="115"/>
      <c r="AY7" s="115"/>
      <c r="AZ7" s="25"/>
      <c r="BA7" s="13"/>
      <c r="BD7" s="114"/>
    </row>
    <row r="8" spans="1:56" ht="20.100000000000001" customHeight="1" x14ac:dyDescent="0.4">
      <c r="A8" s="117">
        <v>45822</v>
      </c>
      <c r="B8" s="123"/>
      <c r="C8" s="123">
        <v>2</v>
      </c>
      <c r="D8" s="123">
        <v>2</v>
      </c>
      <c r="K8" s="115"/>
      <c r="L8" s="115"/>
      <c r="M8" s="115"/>
      <c r="N8" s="115"/>
      <c r="O8" s="115"/>
      <c r="P8" s="115"/>
      <c r="Q8" s="25">
        <v>45816</v>
      </c>
      <c r="R8" s="13" t="s">
        <v>147</v>
      </c>
      <c r="AB8" s="25"/>
      <c r="AC8" s="13"/>
      <c r="AH8" s="116"/>
      <c r="AI8" s="123"/>
      <c r="AJ8" s="123"/>
      <c r="AK8" s="123"/>
      <c r="AP8" s="115"/>
      <c r="AQ8" s="115"/>
      <c r="AR8" s="115"/>
      <c r="AS8" s="115"/>
      <c r="AT8" s="115"/>
      <c r="AU8" s="115"/>
      <c r="AV8" s="115"/>
      <c r="AW8" s="115"/>
      <c r="AX8" s="115"/>
      <c r="AY8" s="115"/>
      <c r="AZ8" s="25"/>
      <c r="BA8" s="13"/>
      <c r="BD8" s="114"/>
    </row>
    <row r="9" spans="1:56" ht="20.100000000000001" customHeight="1" x14ac:dyDescent="0.4">
      <c r="A9" s="117">
        <v>45823</v>
      </c>
      <c r="B9" s="123">
        <v>1</v>
      </c>
      <c r="C9" s="123">
        <v>1</v>
      </c>
      <c r="D9" s="123"/>
      <c r="K9" s="115"/>
      <c r="L9" s="115"/>
      <c r="M9" s="115"/>
      <c r="N9" s="115"/>
      <c r="O9" s="115"/>
      <c r="P9" s="115"/>
      <c r="Q9" s="25">
        <v>45816</v>
      </c>
      <c r="R9" s="13" t="s">
        <v>147</v>
      </c>
      <c r="AB9" s="25"/>
      <c r="AC9" s="13"/>
      <c r="AH9" s="116"/>
      <c r="AI9" s="123"/>
      <c r="AJ9" s="123"/>
      <c r="AK9" s="123"/>
      <c r="AP9" s="115"/>
      <c r="AQ9" s="115"/>
      <c r="AR9" s="115"/>
      <c r="AS9" s="115"/>
      <c r="AT9" s="115"/>
      <c r="AU9" s="115"/>
      <c r="AV9" s="115"/>
      <c r="AW9" s="115"/>
      <c r="AX9" s="115"/>
      <c r="AY9" s="115"/>
      <c r="AZ9" s="25"/>
      <c r="BA9" s="13"/>
      <c r="BD9" s="114"/>
    </row>
    <row r="10" spans="1:56" ht="20.100000000000001" customHeight="1" x14ac:dyDescent="0.4">
      <c r="A10" s="117">
        <v>45824</v>
      </c>
      <c r="B10" s="123"/>
      <c r="C10" s="123">
        <v>11</v>
      </c>
      <c r="D10" s="123"/>
      <c r="K10" s="115"/>
      <c r="L10" s="115"/>
      <c r="M10" s="115"/>
      <c r="N10" s="115"/>
      <c r="O10" s="115"/>
      <c r="P10" s="115"/>
      <c r="Q10" s="25">
        <v>45816</v>
      </c>
      <c r="R10" s="13" t="s">
        <v>147</v>
      </c>
      <c r="AB10" s="25"/>
      <c r="AC10" s="13"/>
      <c r="AH10" s="116"/>
      <c r="AI10" s="123"/>
      <c r="AJ10" s="123"/>
      <c r="AK10" s="123"/>
      <c r="AP10" s="115"/>
      <c r="AQ10" s="115"/>
      <c r="AR10" s="115"/>
      <c r="AS10" s="115"/>
      <c r="AT10" s="115"/>
      <c r="AU10" s="115"/>
      <c r="AV10" s="115"/>
      <c r="AW10" s="115"/>
      <c r="AX10" s="115"/>
      <c r="AY10" s="115"/>
      <c r="AZ10" s="25"/>
      <c r="BA10" s="13"/>
      <c r="BD10" s="114"/>
    </row>
    <row r="11" spans="1:56" ht="20.100000000000001" customHeight="1" x14ac:dyDescent="0.4">
      <c r="A11" s="117">
        <v>45825</v>
      </c>
      <c r="B11" s="123">
        <v>1</v>
      </c>
      <c r="C11" s="123">
        <v>1</v>
      </c>
      <c r="D11" s="123">
        <v>1</v>
      </c>
      <c r="K11" s="115"/>
      <c r="L11" s="115"/>
      <c r="M11" s="115"/>
      <c r="N11" s="115"/>
      <c r="O11" s="115"/>
      <c r="P11" s="115"/>
      <c r="Q11" s="25">
        <v>45816</v>
      </c>
      <c r="R11" s="13" t="s">
        <v>147</v>
      </c>
      <c r="AB11" s="25"/>
      <c r="AC11" s="13"/>
      <c r="AH11" s="116"/>
      <c r="AI11" s="123"/>
      <c r="AJ11" s="123"/>
      <c r="AK11" s="123"/>
      <c r="AP11" s="115"/>
      <c r="AQ11" s="115"/>
      <c r="AR11" s="115"/>
      <c r="AS11" s="115"/>
      <c r="AT11" s="115"/>
      <c r="AU11" s="115"/>
      <c r="AV11" s="115"/>
      <c r="AW11" s="115"/>
      <c r="AX11" s="115"/>
      <c r="AY11" s="115"/>
      <c r="AZ11" s="25"/>
      <c r="BA11" s="13"/>
      <c r="BD11" s="114"/>
    </row>
    <row r="12" spans="1:56" ht="20.100000000000001" customHeight="1" x14ac:dyDescent="0.4">
      <c r="A12" s="117">
        <v>45826</v>
      </c>
      <c r="B12" s="123">
        <v>1</v>
      </c>
      <c r="C12" s="123">
        <v>4</v>
      </c>
      <c r="D12" s="123">
        <v>5</v>
      </c>
      <c r="J12" s="115"/>
      <c r="K12" s="115"/>
      <c r="L12" s="115"/>
      <c r="M12" s="115"/>
      <c r="N12" s="115"/>
      <c r="O12" s="115"/>
      <c r="P12" s="115"/>
      <c r="Q12" s="25">
        <v>45816</v>
      </c>
      <c r="R12" s="13" t="s">
        <v>147</v>
      </c>
      <c r="AB12" s="25"/>
      <c r="AC12" s="13"/>
      <c r="AH12" s="116"/>
      <c r="AI12" s="123"/>
      <c r="AJ12" s="123"/>
      <c r="AK12" s="123"/>
      <c r="AP12" s="115"/>
      <c r="AQ12" s="115"/>
      <c r="AR12" s="115"/>
      <c r="AS12" s="115"/>
      <c r="AT12" s="115"/>
      <c r="AU12" s="115"/>
      <c r="AV12" s="115"/>
      <c r="AW12" s="115"/>
      <c r="AX12" s="115"/>
      <c r="AY12" s="115"/>
      <c r="AZ12" s="25"/>
      <c r="BA12" s="13"/>
      <c r="BD12" s="114"/>
    </row>
    <row r="13" spans="1:56" ht="20.100000000000001" customHeight="1" x14ac:dyDescent="0.4">
      <c r="A13" s="117">
        <v>45828</v>
      </c>
      <c r="B13" s="123">
        <v>3</v>
      </c>
      <c r="C13" s="123"/>
      <c r="D13" s="123"/>
      <c r="J13" s="115"/>
      <c r="K13" s="115"/>
      <c r="L13" s="115"/>
      <c r="M13" s="115"/>
      <c r="N13" s="115"/>
      <c r="O13" s="115"/>
      <c r="P13" s="115"/>
      <c r="Q13" s="25">
        <v>45816</v>
      </c>
      <c r="R13" s="13" t="s">
        <v>147</v>
      </c>
      <c r="AB13" s="25"/>
      <c r="AC13" s="13"/>
      <c r="AH13" s="116"/>
      <c r="AI13" s="123"/>
      <c r="AJ13" s="123"/>
      <c r="AK13" s="123"/>
      <c r="AP13" s="115"/>
      <c r="AQ13" s="115"/>
      <c r="AR13" s="115"/>
      <c r="AS13" s="115"/>
      <c r="AT13" s="115"/>
      <c r="AU13" s="115"/>
      <c r="AV13" s="115"/>
      <c r="AW13" s="115"/>
      <c r="AX13" s="115"/>
      <c r="AY13" s="115"/>
      <c r="AZ13" s="25"/>
      <c r="BA13" s="13"/>
      <c r="BD13" s="114"/>
    </row>
    <row r="14" spans="1:56" ht="20.100000000000001" customHeight="1" x14ac:dyDescent="0.4">
      <c r="A14" s="117">
        <v>45829</v>
      </c>
      <c r="B14" s="123">
        <v>1</v>
      </c>
      <c r="C14" s="123">
        <v>4</v>
      </c>
      <c r="D14" s="123"/>
      <c r="J14" s="115"/>
      <c r="K14" s="115"/>
      <c r="L14" s="115"/>
      <c r="M14" s="115"/>
      <c r="N14" s="115"/>
      <c r="O14" s="115"/>
      <c r="P14" s="115" t="s">
        <v>180</v>
      </c>
      <c r="Q14" s="13">
        <f>SUBTOTAL(3,Q8:Q13)</f>
        <v>6</v>
      </c>
      <c r="R14" s="13">
        <f>SUBTOTAL(3,R8:R13)</f>
        <v>6</v>
      </c>
      <c r="AB14" s="25"/>
      <c r="AC14" s="13"/>
      <c r="AH14" s="116"/>
      <c r="AI14" s="123"/>
      <c r="AJ14" s="123"/>
      <c r="AK14" s="123"/>
      <c r="AP14" s="115"/>
      <c r="AQ14" s="115"/>
      <c r="AR14" s="115"/>
      <c r="AS14" s="115"/>
      <c r="AT14" s="115"/>
      <c r="AU14" s="115"/>
      <c r="AV14" s="115"/>
      <c r="AW14" s="115"/>
      <c r="AX14" s="115"/>
      <c r="AY14" s="115"/>
      <c r="AZ14" s="25"/>
      <c r="BA14" s="13"/>
      <c r="BD14" s="114"/>
    </row>
    <row r="15" spans="1:56" ht="20.100000000000001" customHeight="1" x14ac:dyDescent="0.4">
      <c r="A15" s="117">
        <v>45830</v>
      </c>
      <c r="B15" s="123">
        <v>3</v>
      </c>
      <c r="C15" s="123">
        <v>4</v>
      </c>
      <c r="D15" s="123"/>
      <c r="Q15" s="25">
        <v>45819</v>
      </c>
      <c r="R15" s="13" t="s">
        <v>148</v>
      </c>
      <c r="AB15" s="25"/>
      <c r="AC15" s="13"/>
      <c r="AH15" s="116"/>
      <c r="AI15" s="123"/>
      <c r="AJ15" s="123"/>
      <c r="AK15" s="123"/>
      <c r="AP15" s="115"/>
      <c r="AQ15" s="115"/>
      <c r="AR15" s="115"/>
      <c r="AS15" s="115"/>
      <c r="AT15" s="115"/>
      <c r="AU15" s="115"/>
      <c r="AV15" s="115"/>
      <c r="AW15" s="115"/>
      <c r="AX15" s="115"/>
      <c r="AY15" s="115"/>
      <c r="AZ15" s="25"/>
      <c r="BA15" s="13"/>
      <c r="BD15" s="114"/>
    </row>
    <row r="16" spans="1:56" ht="20.100000000000001" customHeight="1" x14ac:dyDescent="0.4">
      <c r="A16" s="117">
        <v>45831</v>
      </c>
      <c r="B16" s="123">
        <v>8</v>
      </c>
      <c r="C16" s="123">
        <v>2</v>
      </c>
      <c r="D16" s="123">
        <v>1</v>
      </c>
      <c r="O16" s="115"/>
      <c r="P16" s="115"/>
      <c r="Q16" s="25">
        <v>45819</v>
      </c>
      <c r="R16" s="13" t="s">
        <v>148</v>
      </c>
      <c r="AB16" s="25"/>
      <c r="AC16" s="13"/>
      <c r="AH16" s="116"/>
      <c r="AI16" s="123"/>
      <c r="AJ16" s="123"/>
      <c r="AK16" s="123"/>
      <c r="AP16" s="115"/>
      <c r="AQ16" s="115"/>
      <c r="AR16" s="115"/>
      <c r="AS16" s="115"/>
      <c r="AT16" s="115"/>
      <c r="AU16" s="115"/>
      <c r="AV16" s="115"/>
      <c r="AW16" s="115"/>
      <c r="AX16" s="115"/>
      <c r="AY16" s="115"/>
      <c r="AZ16" s="25"/>
      <c r="BA16" s="13"/>
      <c r="BD16" s="114"/>
    </row>
    <row r="17" spans="1:56" ht="20.100000000000001" customHeight="1" x14ac:dyDescent="0.4">
      <c r="A17" s="117">
        <v>45832</v>
      </c>
      <c r="B17" s="123">
        <v>1</v>
      </c>
      <c r="C17" s="123">
        <v>2</v>
      </c>
      <c r="D17" s="123"/>
      <c r="N17" s="115"/>
      <c r="O17" s="115"/>
      <c r="P17" s="115"/>
      <c r="Q17" s="25">
        <v>45819</v>
      </c>
      <c r="R17" s="13" t="s">
        <v>147</v>
      </c>
      <c r="AB17" s="25"/>
      <c r="AC17" s="13"/>
      <c r="AH17" s="116"/>
      <c r="AI17" s="123"/>
      <c r="AJ17" s="123"/>
      <c r="AK17" s="123"/>
      <c r="AP17" s="115"/>
      <c r="AQ17" s="115"/>
      <c r="AR17" s="115"/>
      <c r="AS17" s="115"/>
      <c r="AT17" s="115"/>
      <c r="AU17" s="115"/>
      <c r="AV17" s="115"/>
      <c r="AW17" s="115"/>
      <c r="AX17" s="115"/>
      <c r="AY17" s="115"/>
      <c r="AZ17" s="25"/>
      <c r="BA17" s="13"/>
      <c r="BD17" s="114"/>
    </row>
    <row r="18" spans="1:56" ht="20.100000000000001" customHeight="1" x14ac:dyDescent="0.4">
      <c r="A18" s="117">
        <v>45833</v>
      </c>
      <c r="B18" s="123">
        <v>2</v>
      </c>
      <c r="C18" s="123"/>
      <c r="D18" s="123"/>
      <c r="N18" s="115"/>
      <c r="O18" s="115"/>
      <c r="P18" s="115" t="s">
        <v>210</v>
      </c>
      <c r="Q18" s="13">
        <f>SUBTOTAL(3,Q15:Q17)</f>
        <v>3</v>
      </c>
      <c r="R18" s="13">
        <f>SUBTOTAL(3,R15:R17)</f>
        <v>3</v>
      </c>
      <c r="AB18" s="25"/>
      <c r="AC18" s="13"/>
      <c r="AH18" s="116"/>
      <c r="AI18" s="123"/>
      <c r="AJ18" s="123"/>
      <c r="AK18" s="123"/>
      <c r="AP18" s="115"/>
      <c r="AQ18" s="115"/>
      <c r="AR18" s="115"/>
      <c r="AS18" s="115"/>
      <c r="AT18" s="115"/>
      <c r="AU18" s="115"/>
      <c r="AV18" s="115"/>
      <c r="AW18" s="115"/>
      <c r="AX18" s="115"/>
      <c r="AY18" s="115"/>
      <c r="AZ18" s="25"/>
      <c r="BA18" s="13"/>
      <c r="BD18" s="114"/>
    </row>
    <row r="19" spans="1:56" ht="20.100000000000001" customHeight="1" x14ac:dyDescent="0.4">
      <c r="A19" s="117">
        <v>45834</v>
      </c>
      <c r="B19" s="123"/>
      <c r="C19" s="123">
        <v>2</v>
      </c>
      <c r="D19" s="123">
        <v>1</v>
      </c>
      <c r="M19" s="115"/>
      <c r="N19" s="115"/>
      <c r="O19" s="115"/>
      <c r="P19" s="115"/>
      <c r="Q19" s="25">
        <v>45820</v>
      </c>
      <c r="R19" s="13" t="s">
        <v>147</v>
      </c>
      <c r="AB19" s="25"/>
      <c r="AC19" s="13"/>
      <c r="AH19" s="116"/>
      <c r="AI19" s="123"/>
      <c r="AJ19" s="123"/>
      <c r="AK19" s="123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25"/>
      <c r="BA19" s="13"/>
      <c r="BD19" s="114"/>
    </row>
    <row r="20" spans="1:56" ht="20.100000000000001" customHeight="1" x14ac:dyDescent="0.4">
      <c r="A20" s="117">
        <v>45836</v>
      </c>
      <c r="B20" s="123">
        <v>6</v>
      </c>
      <c r="C20" s="123">
        <v>3</v>
      </c>
      <c r="D20" s="123">
        <v>5</v>
      </c>
      <c r="M20" s="115"/>
      <c r="N20" s="115"/>
      <c r="O20" s="115"/>
      <c r="P20" s="115"/>
      <c r="Q20" s="25">
        <v>45820</v>
      </c>
      <c r="R20" s="13" t="s">
        <v>147</v>
      </c>
      <c r="AB20" s="25"/>
      <c r="AC20" s="13"/>
      <c r="AH20" s="116"/>
      <c r="AI20" s="123"/>
      <c r="AJ20" s="123"/>
      <c r="AK20" s="123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25"/>
      <c r="BA20" s="13"/>
      <c r="BD20" s="114"/>
    </row>
    <row r="21" spans="1:56" ht="20.100000000000001" customHeight="1" x14ac:dyDescent="0.4">
      <c r="A21" s="117">
        <v>45837</v>
      </c>
      <c r="B21" s="123">
        <v>2</v>
      </c>
      <c r="C21" s="123"/>
      <c r="D21" s="123"/>
      <c r="M21" s="115"/>
      <c r="N21" s="115"/>
      <c r="O21" s="115"/>
      <c r="P21" s="115"/>
      <c r="Q21" s="25">
        <v>45820</v>
      </c>
      <c r="R21" s="13" t="s">
        <v>147</v>
      </c>
      <c r="AB21" s="25"/>
      <c r="AC21" s="13"/>
      <c r="AH21" s="116"/>
      <c r="AI21" s="123"/>
      <c r="AJ21" s="123"/>
      <c r="AK21" s="123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25"/>
      <c r="BA21" s="13"/>
      <c r="BD21" s="114"/>
    </row>
    <row r="22" spans="1:56" ht="20.100000000000001" customHeight="1" x14ac:dyDescent="0.4">
      <c r="A22" s="117">
        <v>45838</v>
      </c>
      <c r="B22" s="123">
        <v>10</v>
      </c>
      <c r="C22" s="123">
        <v>1</v>
      </c>
      <c r="D22" s="123"/>
      <c r="M22" s="115"/>
      <c r="N22" s="115"/>
      <c r="O22" s="115"/>
      <c r="P22" s="115" t="s">
        <v>342</v>
      </c>
      <c r="Q22" s="13">
        <f>SUBTOTAL(3,Q19:Q21)</f>
        <v>3</v>
      </c>
      <c r="R22" s="13">
        <f>SUBTOTAL(3,R19:R21)</f>
        <v>3</v>
      </c>
      <c r="AB22" s="25"/>
      <c r="AC22" s="13"/>
      <c r="AH22" s="116"/>
      <c r="AI22" s="123"/>
      <c r="AJ22" s="123"/>
      <c r="AK22" s="123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25"/>
      <c r="BA22" s="13"/>
      <c r="BD22" s="114"/>
    </row>
    <row r="23" spans="1:56" ht="20.100000000000001" customHeight="1" x14ac:dyDescent="0.4">
      <c r="A23" s="117">
        <v>45840</v>
      </c>
      <c r="B23" s="123">
        <v>4</v>
      </c>
      <c r="C23" s="123"/>
      <c r="D23" s="123"/>
      <c r="L23" s="115"/>
      <c r="M23" s="115"/>
      <c r="N23" s="115"/>
      <c r="O23" s="115"/>
      <c r="P23" s="115"/>
      <c r="Q23" s="25">
        <v>45821</v>
      </c>
      <c r="R23" s="13" t="s">
        <v>147</v>
      </c>
      <c r="AB23" s="25"/>
      <c r="AC23" s="13"/>
      <c r="AH23" s="116"/>
      <c r="AI23" s="123"/>
      <c r="AJ23" s="123"/>
      <c r="AK23" s="123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25"/>
      <c r="BA23" s="13"/>
      <c r="BD23" s="114"/>
    </row>
    <row r="24" spans="1:56" ht="20.100000000000001" customHeight="1" x14ac:dyDescent="0.4">
      <c r="A24" s="117">
        <v>45843</v>
      </c>
      <c r="B24" s="123">
        <v>3</v>
      </c>
      <c r="C24" s="123"/>
      <c r="D24" s="123">
        <v>1</v>
      </c>
      <c r="L24" s="115"/>
      <c r="M24" s="115"/>
      <c r="N24" s="115"/>
      <c r="O24" s="115"/>
      <c r="P24" s="115"/>
      <c r="Q24" s="25">
        <v>45821</v>
      </c>
      <c r="R24" s="13" t="s">
        <v>147</v>
      </c>
      <c r="AB24" s="25"/>
      <c r="AC24" s="13"/>
      <c r="AH24" s="116"/>
      <c r="AI24" s="123"/>
      <c r="AJ24" s="123"/>
      <c r="AK24" s="123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25"/>
      <c r="BA24" s="13"/>
      <c r="BD24" s="114"/>
    </row>
    <row r="25" spans="1:56" ht="20.100000000000001" customHeight="1" x14ac:dyDescent="0.4">
      <c r="A25" s="117">
        <v>45846</v>
      </c>
      <c r="B25" s="123">
        <v>1</v>
      </c>
      <c r="C25" s="123"/>
      <c r="D25" s="123"/>
      <c r="L25" s="115"/>
      <c r="M25" s="115"/>
      <c r="N25" s="115"/>
      <c r="O25" s="115"/>
      <c r="P25" s="115" t="s">
        <v>181</v>
      </c>
      <c r="Q25" s="13">
        <f>SUBTOTAL(3,Q23:Q24)</f>
        <v>2</v>
      </c>
      <c r="R25" s="13">
        <f>SUBTOTAL(3,R23:R24)</f>
        <v>2</v>
      </c>
      <c r="AB25" s="25"/>
      <c r="AC25" s="13"/>
      <c r="AH25" s="116"/>
      <c r="AI25" s="123"/>
      <c r="AJ25" s="123"/>
      <c r="AK25" s="123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25"/>
      <c r="BA25" s="13"/>
      <c r="BD25" s="114"/>
    </row>
    <row r="26" spans="1:56" ht="20.100000000000001" customHeight="1" x14ac:dyDescent="0.4">
      <c r="A26" s="117">
        <v>45865</v>
      </c>
      <c r="B26" s="123">
        <v>1</v>
      </c>
      <c r="C26" s="123"/>
      <c r="D26" s="123"/>
      <c r="L26" s="115"/>
      <c r="M26" s="115"/>
      <c r="N26" s="115"/>
      <c r="O26" s="115"/>
      <c r="P26" s="115"/>
      <c r="Q26" s="25">
        <v>45822</v>
      </c>
      <c r="R26" s="13" t="s">
        <v>148</v>
      </c>
      <c r="AB26" s="25"/>
      <c r="AC26" s="13"/>
      <c r="AH26" s="116"/>
      <c r="AI26" s="123"/>
      <c r="AJ26" s="123"/>
      <c r="AK26" s="123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25"/>
      <c r="BA26" s="13"/>
      <c r="BD26" s="114"/>
    </row>
    <row r="27" spans="1:56" ht="20.100000000000001" customHeight="1" x14ac:dyDescent="0.4">
      <c r="A27" s="117"/>
      <c r="B27" s="123">
        <f>SUM(B3:B26)</f>
        <v>50</v>
      </c>
      <c r="C27" s="123">
        <f>SUM(C3:C26)</f>
        <v>50</v>
      </c>
      <c r="D27" s="123">
        <f>SUM(D3:D26)</f>
        <v>18</v>
      </c>
      <c r="L27" s="115"/>
      <c r="M27" s="115"/>
      <c r="N27" s="115"/>
      <c r="O27" s="115"/>
      <c r="P27" s="115"/>
      <c r="Q27" s="25">
        <v>45822</v>
      </c>
      <c r="R27" s="13" t="s">
        <v>147</v>
      </c>
      <c r="AB27" s="25"/>
      <c r="AC27" s="13"/>
      <c r="AH27" s="116"/>
      <c r="AI27" s="123"/>
      <c r="AJ27" s="123"/>
      <c r="AK27" s="123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25"/>
      <c r="BA27" s="13"/>
      <c r="BD27" s="114"/>
    </row>
    <row r="28" spans="1:56" ht="20.100000000000001" customHeight="1" x14ac:dyDescent="0.4">
      <c r="A28" s="117"/>
      <c r="B28" s="123"/>
      <c r="C28" s="123"/>
      <c r="D28" s="123">
        <f>SUM(B27:D27)</f>
        <v>118</v>
      </c>
      <c r="L28" s="115"/>
      <c r="M28" s="115"/>
      <c r="N28" s="115"/>
      <c r="O28" s="115"/>
      <c r="P28" s="115"/>
      <c r="Q28" s="25">
        <v>45822</v>
      </c>
      <c r="R28" s="13" t="s">
        <v>147</v>
      </c>
      <c r="AB28" s="25"/>
      <c r="AC28" s="13"/>
      <c r="AH28" s="116"/>
      <c r="AI28" s="123"/>
      <c r="AJ28" s="123"/>
      <c r="AK28" s="123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25"/>
      <c r="BA28" s="13"/>
      <c r="BD28" s="114"/>
    </row>
    <row r="29" spans="1:56" ht="20.100000000000001" customHeight="1" x14ac:dyDescent="0.4">
      <c r="A29" s="117"/>
      <c r="B29" s="123"/>
      <c r="C29" s="123"/>
      <c r="D29" s="123"/>
      <c r="Q29" s="25">
        <v>45822</v>
      </c>
      <c r="R29" s="13" t="s">
        <v>148</v>
      </c>
      <c r="AB29" s="25"/>
      <c r="AC29" s="13"/>
      <c r="AH29" s="116"/>
      <c r="AI29" s="123"/>
      <c r="AJ29" s="123"/>
      <c r="AK29" s="123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25"/>
      <c r="BA29" s="13"/>
      <c r="BD29" s="114"/>
    </row>
    <row r="30" spans="1:56" ht="20.100000000000001" customHeight="1" x14ac:dyDescent="0.4">
      <c r="A30" s="117"/>
      <c r="B30" s="123"/>
      <c r="C30" s="123"/>
      <c r="D30" s="123"/>
      <c r="P30" s="115" t="s">
        <v>211</v>
      </c>
      <c r="Q30" s="13">
        <f>SUBTOTAL(3,Q26:Q29)</f>
        <v>4</v>
      </c>
      <c r="R30" s="13">
        <f>SUBTOTAL(3,R26:R29)</f>
        <v>4</v>
      </c>
      <c r="AB30" s="25"/>
      <c r="AC30" s="13"/>
      <c r="AH30" s="116"/>
      <c r="AI30" s="123"/>
      <c r="AJ30" s="123"/>
      <c r="AK30" s="123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25"/>
      <c r="BA30" s="13"/>
      <c r="BD30" s="114"/>
    </row>
    <row r="31" spans="1:56" ht="20.100000000000001" customHeight="1" x14ac:dyDescent="0.4">
      <c r="A31" s="117"/>
      <c r="B31" s="123"/>
      <c r="C31" s="123"/>
      <c r="D31" s="123"/>
      <c r="N31" s="115"/>
      <c r="O31" s="115"/>
      <c r="P31" s="115"/>
      <c r="Q31" s="25">
        <v>45823</v>
      </c>
      <c r="R31" s="13" t="s">
        <v>146</v>
      </c>
      <c r="AB31" s="25"/>
      <c r="AC31" s="13"/>
      <c r="AH31" s="116"/>
      <c r="AI31" s="123"/>
      <c r="AJ31" s="123"/>
      <c r="AK31" s="123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25"/>
      <c r="BA31" s="13"/>
      <c r="BD31" s="114"/>
    </row>
    <row r="32" spans="1:56" ht="20.100000000000001" customHeight="1" x14ac:dyDescent="0.4">
      <c r="A32" s="117"/>
      <c r="B32" s="123"/>
      <c r="C32" s="123"/>
      <c r="D32" s="123"/>
      <c r="N32" s="115"/>
      <c r="O32" s="115"/>
      <c r="P32" s="115"/>
      <c r="Q32" s="25">
        <v>45823</v>
      </c>
      <c r="R32" s="13" t="s">
        <v>147</v>
      </c>
      <c r="AB32" s="25"/>
      <c r="AC32" s="13"/>
      <c r="AH32" s="116"/>
      <c r="AI32" s="123"/>
      <c r="AJ32" s="123"/>
      <c r="AK32" s="123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25"/>
      <c r="BA32" s="13"/>
      <c r="BD32" s="114"/>
    </row>
    <row r="33" spans="1:56" ht="20.100000000000001" customHeight="1" x14ac:dyDescent="0.4">
      <c r="A33" s="117"/>
      <c r="B33" s="123"/>
      <c r="C33" s="123"/>
      <c r="D33" s="123"/>
      <c r="N33" s="115"/>
      <c r="O33" s="115"/>
      <c r="P33" s="115" t="s">
        <v>212</v>
      </c>
      <c r="Q33" s="13">
        <f>SUBTOTAL(3,Q31:Q32)</f>
        <v>2</v>
      </c>
      <c r="R33" s="13">
        <f>SUBTOTAL(3,R31:R32)</f>
        <v>2</v>
      </c>
      <c r="AB33" s="25"/>
      <c r="AC33" s="13"/>
      <c r="AH33" s="116"/>
      <c r="AI33" s="123"/>
      <c r="AJ33" s="123"/>
      <c r="AK33" s="123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25"/>
      <c r="BA33" s="13"/>
      <c r="BD33" s="114"/>
    </row>
    <row r="34" spans="1:56" ht="20.100000000000001" customHeight="1" x14ac:dyDescent="0.4">
      <c r="A34" s="117"/>
      <c r="B34" s="123"/>
      <c r="C34" s="123"/>
      <c r="D34" s="123"/>
      <c r="L34" s="115"/>
      <c r="M34" s="115"/>
      <c r="N34" s="115"/>
      <c r="O34" s="115"/>
      <c r="P34" s="115"/>
      <c r="Q34" s="25">
        <v>45824</v>
      </c>
      <c r="R34" s="13" t="s">
        <v>147</v>
      </c>
      <c r="AB34" s="25"/>
      <c r="AC34" s="13"/>
      <c r="AH34" s="116"/>
      <c r="AI34" s="123"/>
      <c r="AJ34" s="123"/>
      <c r="AK34" s="123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25"/>
      <c r="BA34" s="13"/>
      <c r="BD34" s="114"/>
    </row>
    <row r="35" spans="1:56" ht="20.100000000000001" customHeight="1" x14ac:dyDescent="0.4">
      <c r="A35" s="117"/>
      <c r="B35" s="123"/>
      <c r="C35" s="123"/>
      <c r="D35" s="123"/>
      <c r="L35" s="115"/>
      <c r="M35" s="115"/>
      <c r="N35" s="115"/>
      <c r="O35" s="115"/>
      <c r="P35" s="115"/>
      <c r="Q35" s="25">
        <v>45824</v>
      </c>
      <c r="R35" s="13" t="s">
        <v>147</v>
      </c>
      <c r="AB35" s="25"/>
      <c r="AC35" s="13"/>
      <c r="AH35" s="116"/>
      <c r="AI35" s="123"/>
      <c r="AJ35" s="123"/>
      <c r="AK35" s="123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25"/>
      <c r="BA35" s="13"/>
      <c r="BD35" s="114"/>
    </row>
    <row r="36" spans="1:56" ht="20.100000000000001" customHeight="1" x14ac:dyDescent="0.4">
      <c r="A36" s="117"/>
      <c r="B36" s="123"/>
      <c r="C36" s="123"/>
      <c r="D36" s="123"/>
      <c r="L36" s="115"/>
      <c r="M36" s="115"/>
      <c r="N36" s="115"/>
      <c r="O36" s="115"/>
      <c r="P36" s="115"/>
      <c r="Q36" s="25">
        <v>45824</v>
      </c>
      <c r="R36" s="13" t="s">
        <v>147</v>
      </c>
      <c r="AB36" s="25"/>
      <c r="AC36" s="13"/>
      <c r="AH36" s="116"/>
      <c r="AI36" s="123"/>
      <c r="AJ36" s="123"/>
      <c r="AK36" s="123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25"/>
      <c r="BA36" s="13"/>
      <c r="BD36" s="114"/>
    </row>
    <row r="37" spans="1:56" ht="20.100000000000001" customHeight="1" x14ac:dyDescent="0.4">
      <c r="A37" s="117"/>
      <c r="B37" s="123"/>
      <c r="C37" s="123"/>
      <c r="D37" s="123"/>
      <c r="K37" s="115"/>
      <c r="L37" s="115"/>
      <c r="M37" s="115"/>
      <c r="N37" s="115"/>
      <c r="O37" s="115"/>
      <c r="P37" s="115"/>
      <c r="Q37" s="25">
        <v>45824</v>
      </c>
      <c r="R37" s="13" t="s">
        <v>147</v>
      </c>
      <c r="AB37" s="25"/>
      <c r="AC37" s="13"/>
      <c r="AH37" s="116"/>
      <c r="AI37" s="123"/>
      <c r="AJ37" s="123"/>
      <c r="AK37" s="123"/>
      <c r="AP37" s="115"/>
      <c r="AQ37" s="115"/>
      <c r="AR37" s="115"/>
      <c r="AS37" s="115"/>
      <c r="AT37" s="115"/>
      <c r="AU37" s="115"/>
      <c r="AV37" s="115"/>
      <c r="AW37" s="115"/>
      <c r="AX37" s="115"/>
      <c r="AY37" s="115"/>
      <c r="AZ37" s="25"/>
      <c r="BA37" s="13"/>
      <c r="BD37" s="114"/>
    </row>
    <row r="38" spans="1:56" ht="20.100000000000001" customHeight="1" x14ac:dyDescent="0.4">
      <c r="A38" s="117"/>
      <c r="B38" s="123"/>
      <c r="C38" s="123"/>
      <c r="D38" s="123"/>
      <c r="K38" s="115"/>
      <c r="L38" s="115"/>
      <c r="M38" s="115"/>
      <c r="N38" s="115"/>
      <c r="O38" s="115"/>
      <c r="P38" s="115"/>
      <c r="Q38" s="25">
        <v>45824</v>
      </c>
      <c r="R38" s="13" t="s">
        <v>147</v>
      </c>
      <c r="AB38" s="25"/>
      <c r="AC38" s="13"/>
      <c r="AH38" s="116"/>
      <c r="AI38" s="123"/>
      <c r="AJ38" s="123"/>
      <c r="AK38" s="123"/>
      <c r="AP38" s="115"/>
      <c r="AQ38" s="115"/>
      <c r="AR38" s="115"/>
      <c r="AS38" s="115"/>
      <c r="AT38" s="115"/>
      <c r="AU38" s="115"/>
      <c r="AV38" s="115"/>
      <c r="AW38" s="115"/>
      <c r="AX38" s="115"/>
      <c r="AY38" s="115"/>
      <c r="AZ38" s="25"/>
      <c r="BA38" s="13"/>
      <c r="BD38" s="114"/>
    </row>
    <row r="39" spans="1:56" ht="20.100000000000001" customHeight="1" x14ac:dyDescent="0.4">
      <c r="A39" s="117"/>
      <c r="B39" s="123"/>
      <c r="C39" s="123"/>
      <c r="D39" s="123"/>
      <c r="K39" s="115"/>
      <c r="L39" s="115"/>
      <c r="M39" s="115"/>
      <c r="N39" s="115"/>
      <c r="O39" s="115"/>
      <c r="P39" s="115"/>
      <c r="Q39" s="25">
        <v>45824</v>
      </c>
      <c r="R39" s="13" t="s">
        <v>147</v>
      </c>
      <c r="AB39" s="25"/>
      <c r="AC39" s="13"/>
      <c r="AH39" s="116"/>
      <c r="AI39" s="123"/>
      <c r="AJ39" s="123"/>
      <c r="AK39" s="123"/>
      <c r="AP39" s="115"/>
      <c r="AQ39" s="115"/>
      <c r="AR39" s="115"/>
      <c r="AS39" s="115"/>
      <c r="AT39" s="115"/>
      <c r="AU39" s="115"/>
      <c r="AV39" s="115"/>
      <c r="AW39" s="115"/>
      <c r="AX39" s="115"/>
      <c r="AY39" s="115"/>
      <c r="AZ39" s="25"/>
      <c r="BA39" s="13"/>
      <c r="BD39" s="114"/>
    </row>
    <row r="40" spans="1:56" ht="20.100000000000001" customHeight="1" x14ac:dyDescent="0.4">
      <c r="A40" s="117"/>
      <c r="B40" s="123"/>
      <c r="C40" s="123"/>
      <c r="D40" s="123"/>
      <c r="K40" s="115"/>
      <c r="L40" s="115"/>
      <c r="M40" s="115"/>
      <c r="N40" s="115"/>
      <c r="O40" s="115"/>
      <c r="P40" s="115"/>
      <c r="Q40" s="25">
        <v>45824</v>
      </c>
      <c r="R40" s="13" t="s">
        <v>147</v>
      </c>
      <c r="AB40" s="25"/>
      <c r="AC40" s="13"/>
      <c r="AH40" s="116"/>
      <c r="AI40" s="123"/>
      <c r="AJ40" s="123"/>
      <c r="AK40" s="123"/>
      <c r="AP40" s="115"/>
      <c r="AQ40" s="115"/>
      <c r="AR40" s="115"/>
      <c r="AS40" s="115"/>
      <c r="AT40" s="115"/>
      <c r="AU40" s="115"/>
      <c r="AV40" s="115"/>
      <c r="AW40" s="115"/>
      <c r="AX40" s="115"/>
      <c r="AY40" s="115"/>
      <c r="AZ40" s="25"/>
      <c r="BA40" s="13"/>
      <c r="BD40" s="114"/>
    </row>
    <row r="41" spans="1:56" ht="20.100000000000001" customHeight="1" x14ac:dyDescent="0.4">
      <c r="A41" s="117"/>
      <c r="B41" s="123"/>
      <c r="C41" s="123"/>
      <c r="D41" s="123"/>
      <c r="F41" s="125"/>
      <c r="Q41" s="25">
        <v>45824</v>
      </c>
      <c r="R41" s="15" t="s">
        <v>147</v>
      </c>
      <c r="AB41" s="25"/>
      <c r="AC41" s="13"/>
      <c r="AH41" s="116"/>
      <c r="AI41" s="123"/>
      <c r="AJ41" s="123"/>
      <c r="AK41" s="123"/>
      <c r="AP41" s="115"/>
      <c r="AQ41" s="115"/>
      <c r="AR41" s="115"/>
      <c r="AS41" s="115"/>
      <c r="AT41" s="115"/>
      <c r="AU41" s="115"/>
      <c r="AV41" s="115"/>
      <c r="AW41" s="115"/>
      <c r="AX41" s="115"/>
      <c r="AY41" s="115"/>
      <c r="AZ41" s="25"/>
      <c r="BA41" s="13"/>
      <c r="BD41" s="114"/>
    </row>
    <row r="42" spans="1:56" ht="20.100000000000001" customHeight="1" x14ac:dyDescent="0.4">
      <c r="A42" s="117"/>
      <c r="B42" s="123"/>
      <c r="C42" s="123"/>
      <c r="D42" s="123"/>
      <c r="F42" s="117"/>
      <c r="J42" s="115"/>
      <c r="K42" s="115"/>
      <c r="L42" s="115"/>
      <c r="M42" s="115"/>
      <c r="N42" s="115"/>
      <c r="O42" s="115"/>
      <c r="P42" s="115"/>
      <c r="Q42" s="25">
        <v>45824</v>
      </c>
      <c r="R42" s="105" t="s">
        <v>147</v>
      </c>
      <c r="AB42" s="25"/>
      <c r="AC42" s="13"/>
      <c r="AH42" s="116"/>
      <c r="AI42" s="123"/>
      <c r="AJ42" s="123"/>
      <c r="AK42" s="123"/>
      <c r="AP42" s="115"/>
      <c r="AQ42" s="115"/>
      <c r="AR42" s="115"/>
      <c r="AS42" s="115"/>
      <c r="AT42" s="115"/>
      <c r="AU42" s="115"/>
      <c r="AV42" s="115"/>
      <c r="AW42" s="115"/>
      <c r="AX42" s="115"/>
      <c r="AY42" s="115"/>
      <c r="AZ42" s="25"/>
      <c r="BA42" s="13"/>
      <c r="BD42" s="114"/>
    </row>
    <row r="43" spans="1:56" ht="20.100000000000001" customHeight="1" x14ac:dyDescent="0.4">
      <c r="A43" s="117"/>
      <c r="B43" s="123"/>
      <c r="C43" s="123"/>
      <c r="D43" s="123"/>
      <c r="F43" s="117"/>
      <c r="J43" s="115"/>
      <c r="K43" s="115"/>
      <c r="L43" s="115"/>
      <c r="M43" s="115"/>
      <c r="N43" s="115"/>
      <c r="O43" s="115"/>
      <c r="P43" s="115"/>
      <c r="Q43" s="25">
        <v>45824</v>
      </c>
      <c r="R43" s="105" t="s">
        <v>147</v>
      </c>
      <c r="AB43" s="25"/>
      <c r="AC43" s="13"/>
      <c r="AH43" s="116"/>
      <c r="AI43" s="123"/>
      <c r="AJ43" s="123"/>
      <c r="AK43" s="123"/>
      <c r="AP43" s="115"/>
      <c r="AQ43" s="115"/>
      <c r="AR43" s="115"/>
      <c r="AS43" s="115"/>
      <c r="AT43" s="115"/>
      <c r="AU43" s="115"/>
      <c r="AV43" s="115"/>
      <c r="AW43" s="115"/>
      <c r="AX43" s="115"/>
      <c r="AY43" s="115"/>
      <c r="AZ43" s="25"/>
      <c r="BA43" s="13"/>
      <c r="BD43" s="114"/>
    </row>
    <row r="44" spans="1:56" ht="20.100000000000001" customHeight="1" x14ac:dyDescent="0.4">
      <c r="A44" s="117"/>
      <c r="B44" s="123"/>
      <c r="C44" s="123"/>
      <c r="D44" s="123"/>
      <c r="F44" s="117"/>
      <c r="J44" s="115"/>
      <c r="K44" s="115"/>
      <c r="L44" s="115"/>
      <c r="M44" s="115"/>
      <c r="N44" s="115"/>
      <c r="O44" s="115"/>
      <c r="P44" s="115"/>
      <c r="Q44" s="25">
        <v>45824</v>
      </c>
      <c r="R44" s="15" t="s">
        <v>147</v>
      </c>
      <c r="AB44" s="25"/>
      <c r="AC44" s="13"/>
      <c r="AH44" s="116"/>
      <c r="AI44" s="123"/>
      <c r="AJ44" s="123"/>
      <c r="AK44" s="123"/>
      <c r="AP44" s="115"/>
      <c r="AQ44" s="115"/>
      <c r="AR44" s="115"/>
      <c r="AS44" s="115"/>
      <c r="AT44" s="115"/>
      <c r="AU44" s="115"/>
      <c r="AV44" s="115"/>
      <c r="AW44" s="115"/>
      <c r="AX44" s="115"/>
      <c r="AY44" s="115"/>
      <c r="AZ44" s="25"/>
      <c r="BA44" s="13"/>
      <c r="BD44" s="114"/>
    </row>
    <row r="45" spans="1:56" ht="20.100000000000001" customHeight="1" x14ac:dyDescent="0.4">
      <c r="A45" s="117"/>
      <c r="B45" s="123"/>
      <c r="C45" s="123"/>
      <c r="D45" s="123"/>
      <c r="F45" s="117"/>
      <c r="J45" s="115"/>
      <c r="K45" s="115"/>
      <c r="L45" s="115"/>
      <c r="M45" s="115"/>
      <c r="N45" s="115"/>
      <c r="O45" s="115"/>
      <c r="P45" s="115" t="s">
        <v>178</v>
      </c>
      <c r="Q45" s="13">
        <f>SUBTOTAL(3,Q34:Q44)</f>
        <v>11</v>
      </c>
      <c r="R45" s="15">
        <f>SUBTOTAL(3,R34:R44)</f>
        <v>11</v>
      </c>
      <c r="AB45" s="25"/>
      <c r="AC45" s="13"/>
      <c r="AH45" s="116"/>
      <c r="AI45" s="123"/>
      <c r="AJ45" s="123"/>
      <c r="AK45" s="123"/>
      <c r="AP45" s="115"/>
      <c r="AQ45" s="115"/>
      <c r="AR45" s="115"/>
      <c r="AS45" s="115"/>
      <c r="AT45" s="115"/>
      <c r="AU45" s="115"/>
      <c r="AV45" s="115"/>
      <c r="AW45" s="115"/>
      <c r="AX45" s="115"/>
      <c r="AY45" s="115"/>
      <c r="AZ45" s="25"/>
      <c r="BA45" s="13"/>
      <c r="BD45" s="114"/>
    </row>
    <row r="46" spans="1:56" ht="20.100000000000001" customHeight="1" x14ac:dyDescent="0.4">
      <c r="A46" s="117"/>
      <c r="B46" s="123"/>
      <c r="C46" s="123"/>
      <c r="D46" s="123"/>
      <c r="F46" s="117"/>
      <c r="H46" s="115"/>
      <c r="I46" s="115"/>
      <c r="J46" s="115"/>
      <c r="K46" s="115"/>
      <c r="L46" s="115"/>
      <c r="M46" s="115"/>
      <c r="N46" s="115"/>
      <c r="O46" s="115"/>
      <c r="P46" s="115"/>
      <c r="Q46" s="25">
        <v>45825</v>
      </c>
      <c r="R46" s="15" t="s">
        <v>147</v>
      </c>
      <c r="AB46" s="25"/>
      <c r="AC46" s="13"/>
      <c r="AH46" s="116"/>
      <c r="AI46" s="123"/>
      <c r="AJ46" s="123"/>
      <c r="AK46" s="123"/>
      <c r="AP46" s="115"/>
      <c r="AQ46" s="115"/>
      <c r="AR46" s="115"/>
      <c r="AS46" s="115"/>
      <c r="AT46" s="115"/>
      <c r="AU46" s="115"/>
      <c r="AV46" s="115"/>
      <c r="AW46" s="115"/>
      <c r="AX46" s="115"/>
      <c r="AY46" s="115"/>
      <c r="AZ46" s="25"/>
      <c r="BA46" s="13"/>
      <c r="BD46" s="114"/>
    </row>
    <row r="47" spans="1:56" ht="20.100000000000001" customHeight="1" x14ac:dyDescent="0.4">
      <c r="A47" s="117"/>
      <c r="B47" s="123"/>
      <c r="C47" s="123"/>
      <c r="D47" s="123"/>
      <c r="F47" s="117"/>
      <c r="H47" s="115"/>
      <c r="I47" s="115"/>
      <c r="J47" s="115"/>
      <c r="K47" s="115"/>
      <c r="L47" s="115"/>
      <c r="M47" s="115"/>
      <c r="N47" s="115"/>
      <c r="O47" s="115"/>
      <c r="P47" s="115"/>
      <c r="Q47" s="25">
        <v>45825</v>
      </c>
      <c r="R47" s="15" t="s">
        <v>146</v>
      </c>
      <c r="AB47" s="25"/>
      <c r="AC47" s="13"/>
      <c r="AH47" s="116"/>
      <c r="AI47" s="123"/>
      <c r="AJ47" s="123"/>
      <c r="AK47" s="123"/>
      <c r="AP47" s="115"/>
      <c r="AQ47" s="115"/>
      <c r="AR47" s="115"/>
      <c r="AS47" s="115"/>
      <c r="AT47" s="115"/>
      <c r="AU47" s="115"/>
      <c r="AV47" s="115"/>
      <c r="AW47" s="115"/>
      <c r="AX47" s="115"/>
      <c r="AY47" s="115"/>
      <c r="AZ47" s="25"/>
      <c r="BA47" s="13"/>
      <c r="BD47" s="114"/>
    </row>
    <row r="48" spans="1:56" ht="20.100000000000001" customHeight="1" x14ac:dyDescent="0.4">
      <c r="A48" s="117"/>
      <c r="B48" s="123"/>
      <c r="C48" s="123"/>
      <c r="D48" s="123"/>
      <c r="F48" s="117"/>
      <c r="H48" s="115"/>
      <c r="I48" s="115"/>
      <c r="J48" s="115"/>
      <c r="K48" s="115"/>
      <c r="L48" s="115"/>
      <c r="M48" s="115"/>
      <c r="N48" s="115"/>
      <c r="O48" s="115"/>
      <c r="P48" s="115"/>
      <c r="Q48" s="25">
        <v>45825</v>
      </c>
      <c r="R48" s="13" t="s">
        <v>148</v>
      </c>
      <c r="AB48" s="25"/>
      <c r="AC48" s="13"/>
      <c r="AH48" s="116"/>
      <c r="AI48" s="123"/>
      <c r="AJ48" s="123"/>
      <c r="AK48" s="123"/>
      <c r="AP48" s="115"/>
      <c r="AQ48" s="115"/>
      <c r="AR48" s="115"/>
      <c r="AS48" s="115"/>
      <c r="AT48" s="115"/>
      <c r="AU48" s="115"/>
      <c r="AV48" s="115"/>
      <c r="AW48" s="115"/>
      <c r="AX48" s="115"/>
      <c r="AY48" s="115"/>
      <c r="AZ48" s="25"/>
      <c r="BA48" s="13"/>
      <c r="BD48" s="114"/>
    </row>
    <row r="49" spans="1:56" ht="20.100000000000001" customHeight="1" x14ac:dyDescent="0.4">
      <c r="A49" s="117"/>
      <c r="B49" s="123"/>
      <c r="C49" s="123"/>
      <c r="D49" s="123"/>
      <c r="F49" s="117"/>
      <c r="H49" s="115"/>
      <c r="I49" s="115"/>
      <c r="J49" s="115"/>
      <c r="K49" s="115"/>
      <c r="L49" s="115"/>
      <c r="M49" s="115"/>
      <c r="N49" s="115"/>
      <c r="O49" s="115"/>
      <c r="P49" s="115" t="s">
        <v>213</v>
      </c>
      <c r="Q49" s="13">
        <f>SUBTOTAL(3,Q46:Q48)</f>
        <v>3</v>
      </c>
      <c r="R49" s="13">
        <f>SUBTOTAL(3,R46:R48)</f>
        <v>3</v>
      </c>
      <c r="AB49" s="25"/>
      <c r="AC49" s="13"/>
      <c r="AH49" s="116"/>
      <c r="AI49" s="123"/>
      <c r="AJ49" s="123"/>
      <c r="AK49" s="123"/>
      <c r="AP49" s="115"/>
      <c r="AQ49" s="115"/>
      <c r="AR49" s="115"/>
      <c r="AS49" s="115"/>
      <c r="AT49" s="115"/>
      <c r="AU49" s="115"/>
      <c r="AV49" s="115"/>
      <c r="AW49" s="115"/>
      <c r="AX49" s="115"/>
      <c r="AY49" s="115"/>
      <c r="AZ49" s="25"/>
      <c r="BA49" s="13"/>
      <c r="BD49" s="114"/>
    </row>
    <row r="50" spans="1:56" ht="20.100000000000001" customHeight="1" x14ac:dyDescent="0.4">
      <c r="A50" s="117"/>
      <c r="B50" s="123"/>
      <c r="C50" s="123"/>
      <c r="D50" s="123"/>
      <c r="F50" s="117"/>
      <c r="H50" s="115"/>
      <c r="I50" s="115"/>
      <c r="J50" s="115"/>
      <c r="K50" s="115"/>
      <c r="L50" s="115"/>
      <c r="M50" s="115"/>
      <c r="N50" s="115"/>
      <c r="O50" s="115"/>
      <c r="P50" s="115"/>
      <c r="Q50" s="25">
        <v>45826</v>
      </c>
      <c r="R50" s="13" t="s">
        <v>142</v>
      </c>
      <c r="AB50" s="25"/>
      <c r="AC50" s="13"/>
      <c r="AH50" s="116"/>
      <c r="AI50" s="123"/>
      <c r="AJ50" s="123"/>
      <c r="AK50" s="123"/>
      <c r="AP50" s="115"/>
      <c r="AQ50" s="115"/>
      <c r="AR50" s="115"/>
      <c r="AS50" s="115"/>
      <c r="AT50" s="115"/>
      <c r="AU50" s="115"/>
      <c r="AV50" s="115"/>
      <c r="AW50" s="115"/>
      <c r="AX50" s="115"/>
      <c r="AY50" s="115"/>
      <c r="AZ50" s="25"/>
      <c r="BA50" s="13"/>
      <c r="BD50" s="114"/>
    </row>
    <row r="51" spans="1:56" ht="20.100000000000001" customHeight="1" x14ac:dyDescent="0.4">
      <c r="A51" s="117"/>
      <c r="B51" s="123"/>
      <c r="C51" s="123"/>
      <c r="D51" s="123"/>
      <c r="F51" s="117"/>
      <c r="H51" s="115"/>
      <c r="I51" s="115"/>
      <c r="J51" s="115"/>
      <c r="K51" s="115"/>
      <c r="L51" s="115"/>
      <c r="M51" s="115"/>
      <c r="N51" s="115"/>
      <c r="O51" s="115"/>
      <c r="P51" s="115"/>
      <c r="Q51" s="25">
        <v>45826</v>
      </c>
      <c r="R51" s="13" t="s">
        <v>148</v>
      </c>
      <c r="AB51" s="25"/>
      <c r="AC51" s="13"/>
      <c r="AH51" s="116"/>
      <c r="AI51" s="123"/>
      <c r="AJ51" s="123"/>
      <c r="AK51" s="123"/>
      <c r="AP51" s="115"/>
      <c r="AQ51" s="115"/>
      <c r="AR51" s="115"/>
      <c r="AS51" s="115"/>
      <c r="AT51" s="115"/>
      <c r="AU51" s="115"/>
      <c r="AV51" s="115"/>
      <c r="AW51" s="115"/>
      <c r="AX51" s="115"/>
      <c r="AY51" s="115"/>
      <c r="AZ51" s="25"/>
      <c r="BA51" s="13"/>
      <c r="BD51" s="114"/>
    </row>
    <row r="52" spans="1:56" ht="20.100000000000001" customHeight="1" x14ac:dyDescent="0.4">
      <c r="A52" s="117"/>
      <c r="B52" s="123"/>
      <c r="C52" s="123"/>
      <c r="D52" s="123"/>
      <c r="F52" s="117"/>
      <c r="H52" s="115"/>
      <c r="I52" s="115"/>
      <c r="J52" s="115"/>
      <c r="K52" s="115"/>
      <c r="L52" s="115"/>
      <c r="M52" s="115"/>
      <c r="N52" s="115"/>
      <c r="O52" s="115"/>
      <c r="P52" s="115"/>
      <c r="Q52" s="25">
        <v>45826</v>
      </c>
      <c r="R52" s="25" t="s">
        <v>147</v>
      </c>
      <c r="AB52" s="25"/>
      <c r="AC52" s="13"/>
      <c r="AH52" s="116"/>
      <c r="AI52" s="123"/>
      <c r="AJ52" s="123"/>
      <c r="AK52" s="123"/>
      <c r="AP52" s="115"/>
      <c r="AQ52" s="115"/>
      <c r="AR52" s="115"/>
      <c r="AS52" s="115"/>
      <c r="AT52" s="115"/>
      <c r="AU52" s="115"/>
      <c r="AV52" s="115"/>
      <c r="AW52" s="115"/>
      <c r="AX52" s="115"/>
      <c r="AY52" s="115"/>
      <c r="AZ52" s="25"/>
      <c r="BA52" s="13"/>
      <c r="BD52" s="114"/>
    </row>
    <row r="53" spans="1:56" ht="20.100000000000001" customHeight="1" x14ac:dyDescent="0.4">
      <c r="A53" s="117"/>
      <c r="B53" s="123"/>
      <c r="C53" s="123"/>
      <c r="D53" s="123"/>
      <c r="F53" s="117"/>
      <c r="H53" s="115"/>
      <c r="I53" s="115"/>
      <c r="J53" s="115"/>
      <c r="K53" s="115"/>
      <c r="L53" s="115"/>
      <c r="M53" s="115"/>
      <c r="N53" s="115"/>
      <c r="O53" s="115"/>
      <c r="P53" s="115"/>
      <c r="Q53" s="25">
        <v>45826</v>
      </c>
      <c r="R53" s="25" t="s">
        <v>148</v>
      </c>
      <c r="AB53" s="25"/>
      <c r="AC53" s="13"/>
      <c r="AH53" s="116"/>
      <c r="AI53" s="123"/>
      <c r="AJ53" s="123"/>
      <c r="AK53" s="123"/>
      <c r="AP53" s="115"/>
      <c r="AQ53" s="115"/>
      <c r="AR53" s="115"/>
      <c r="AS53" s="115"/>
      <c r="AT53" s="115"/>
      <c r="AU53" s="115"/>
      <c r="AV53" s="115"/>
      <c r="AW53" s="115"/>
      <c r="AX53" s="115"/>
      <c r="AY53" s="115"/>
      <c r="AZ53" s="25"/>
      <c r="BA53" s="13"/>
      <c r="BD53" s="114"/>
    </row>
    <row r="54" spans="1:56" ht="20.100000000000001" customHeight="1" x14ac:dyDescent="0.4">
      <c r="A54" s="117"/>
      <c r="B54" s="123"/>
      <c r="C54" s="123"/>
      <c r="D54" s="123"/>
      <c r="F54" s="117"/>
      <c r="H54" s="115"/>
      <c r="I54" s="115"/>
      <c r="J54" s="115"/>
      <c r="K54" s="115"/>
      <c r="L54" s="115"/>
      <c r="M54" s="115"/>
      <c r="N54" s="115"/>
      <c r="O54" s="115"/>
      <c r="P54" s="115"/>
      <c r="Q54" s="25">
        <v>45826</v>
      </c>
      <c r="R54" s="25" t="s">
        <v>147</v>
      </c>
      <c r="AB54" s="25"/>
      <c r="AC54" s="13"/>
      <c r="AH54" s="116"/>
      <c r="AI54" s="123"/>
      <c r="AJ54" s="123"/>
      <c r="AK54" s="123"/>
      <c r="AP54" s="115"/>
      <c r="AQ54" s="115"/>
      <c r="AR54" s="115"/>
      <c r="AS54" s="115"/>
      <c r="AT54" s="115"/>
      <c r="AU54" s="115"/>
      <c r="AV54" s="115"/>
      <c r="AW54" s="115"/>
      <c r="AX54" s="115"/>
      <c r="AY54" s="115"/>
      <c r="AZ54" s="25"/>
      <c r="BA54" s="13"/>
      <c r="BD54" s="114"/>
    </row>
    <row r="55" spans="1:56" ht="20.100000000000001" customHeight="1" x14ac:dyDescent="0.4">
      <c r="A55" s="117"/>
      <c r="B55" s="123"/>
      <c r="C55" s="123"/>
      <c r="D55" s="123"/>
      <c r="F55" s="125"/>
      <c r="H55" s="115"/>
      <c r="I55" s="115"/>
      <c r="J55" s="115"/>
      <c r="K55" s="115"/>
      <c r="L55" s="115"/>
      <c r="M55" s="115"/>
      <c r="N55" s="115"/>
      <c r="O55" s="115"/>
      <c r="P55" s="115"/>
      <c r="Q55" s="25">
        <v>45826</v>
      </c>
      <c r="R55" s="13" t="s">
        <v>147</v>
      </c>
      <c r="AB55" s="25"/>
      <c r="AC55" s="13"/>
      <c r="AH55" s="116"/>
      <c r="AI55" s="123"/>
      <c r="AJ55" s="123"/>
      <c r="AK55" s="123"/>
      <c r="AP55" s="115"/>
      <c r="AQ55" s="115"/>
      <c r="AR55" s="115"/>
      <c r="AS55" s="115"/>
      <c r="AT55" s="115"/>
      <c r="AU55" s="115"/>
      <c r="AV55" s="115"/>
      <c r="AW55" s="115"/>
      <c r="AX55" s="115"/>
      <c r="AY55" s="115"/>
      <c r="AZ55" s="25"/>
      <c r="BA55" s="13"/>
      <c r="BD55" s="114"/>
    </row>
    <row r="56" spans="1:56" ht="20.100000000000001" customHeight="1" x14ac:dyDescent="0.4">
      <c r="A56" s="117"/>
      <c r="B56" s="123"/>
      <c r="C56" s="123"/>
      <c r="D56" s="123"/>
      <c r="F56" s="125"/>
      <c r="H56" s="115"/>
      <c r="I56" s="115"/>
      <c r="J56" s="115"/>
      <c r="K56" s="115"/>
      <c r="L56" s="115"/>
      <c r="M56" s="115"/>
      <c r="N56" s="115"/>
      <c r="O56" s="115"/>
      <c r="P56" s="115"/>
      <c r="Q56" s="25">
        <v>45826</v>
      </c>
      <c r="R56" s="15" t="s">
        <v>147</v>
      </c>
      <c r="AB56" s="25"/>
      <c r="AC56" s="13"/>
      <c r="AH56" s="116"/>
      <c r="AI56" s="123"/>
      <c r="AJ56" s="123"/>
      <c r="AK56" s="123"/>
      <c r="AP56" s="115"/>
      <c r="AQ56" s="115"/>
      <c r="AR56" s="115"/>
      <c r="AS56" s="115"/>
      <c r="AT56" s="115"/>
      <c r="AU56" s="115"/>
      <c r="AV56" s="115"/>
      <c r="AW56" s="115"/>
      <c r="AX56" s="115"/>
      <c r="AY56" s="115"/>
      <c r="AZ56" s="25"/>
      <c r="BA56" s="13"/>
      <c r="BD56" s="114"/>
    </row>
    <row r="57" spans="1:56" ht="20.100000000000001" customHeight="1" x14ac:dyDescent="0.4">
      <c r="A57" s="117"/>
      <c r="B57" s="123"/>
      <c r="C57" s="123"/>
      <c r="D57" s="123"/>
      <c r="F57" s="125"/>
      <c r="H57" s="115"/>
      <c r="I57" s="115"/>
      <c r="J57" s="115"/>
      <c r="K57" s="115"/>
      <c r="L57" s="115"/>
      <c r="M57" s="115"/>
      <c r="N57" s="115"/>
      <c r="O57" s="115"/>
      <c r="P57" s="115"/>
      <c r="Q57" s="25">
        <v>45826</v>
      </c>
      <c r="R57" s="15" t="s">
        <v>148</v>
      </c>
      <c r="AB57" s="25"/>
      <c r="AC57" s="13"/>
      <c r="AH57" s="116"/>
      <c r="AI57" s="123"/>
      <c r="AJ57" s="123"/>
      <c r="AK57" s="123"/>
      <c r="AP57" s="115"/>
      <c r="AQ57" s="115"/>
      <c r="AR57" s="115"/>
      <c r="AS57" s="115"/>
      <c r="AT57" s="115"/>
      <c r="AU57" s="115"/>
      <c r="AV57" s="115"/>
      <c r="AW57" s="115"/>
      <c r="AX57" s="115"/>
      <c r="AY57" s="115"/>
      <c r="AZ57" s="25"/>
      <c r="BA57" s="13"/>
      <c r="BD57" s="114"/>
    </row>
    <row r="58" spans="1:56" ht="20.100000000000001" customHeight="1" x14ac:dyDescent="0.4">
      <c r="A58" s="117"/>
      <c r="B58" s="123"/>
      <c r="C58" s="123"/>
      <c r="D58" s="123"/>
      <c r="F58" s="125"/>
      <c r="H58" s="115"/>
      <c r="I58" s="115"/>
      <c r="J58" s="115"/>
      <c r="K58" s="115"/>
      <c r="L58" s="115"/>
      <c r="M58" s="115"/>
      <c r="N58" s="115"/>
      <c r="O58" s="115"/>
      <c r="P58" s="115"/>
      <c r="Q58" s="25">
        <v>45826</v>
      </c>
      <c r="R58" s="15" t="s">
        <v>148</v>
      </c>
      <c r="AB58" s="25"/>
      <c r="AC58" s="13"/>
      <c r="AH58" s="116"/>
      <c r="AI58" s="123"/>
      <c r="AJ58" s="123"/>
      <c r="AK58" s="123"/>
      <c r="AP58" s="115"/>
      <c r="AQ58" s="115"/>
      <c r="AR58" s="115"/>
      <c r="AS58" s="115"/>
      <c r="AT58" s="115"/>
      <c r="AU58" s="115"/>
      <c r="AV58" s="115"/>
      <c r="AW58" s="115"/>
      <c r="AX58" s="115"/>
      <c r="AY58" s="115"/>
      <c r="AZ58" s="25"/>
      <c r="BA58" s="13"/>
      <c r="BD58" s="114"/>
    </row>
    <row r="59" spans="1:56" ht="20.100000000000001" customHeight="1" x14ac:dyDescent="0.4">
      <c r="A59" s="117"/>
      <c r="B59" s="123"/>
      <c r="C59" s="123"/>
      <c r="D59" s="123"/>
      <c r="F59" s="125"/>
      <c r="H59" s="115"/>
      <c r="I59" s="115"/>
      <c r="J59" s="115"/>
      <c r="K59" s="115"/>
      <c r="L59" s="115"/>
      <c r="M59" s="115"/>
      <c r="N59" s="115"/>
      <c r="O59" s="115"/>
      <c r="P59" s="115"/>
      <c r="Q59" s="25">
        <v>45826</v>
      </c>
      <c r="R59" s="15" t="s">
        <v>148</v>
      </c>
      <c r="AB59" s="25"/>
      <c r="AC59" s="13"/>
      <c r="AH59" s="116"/>
      <c r="AI59" s="123"/>
      <c r="AJ59" s="123"/>
      <c r="AK59" s="123"/>
      <c r="AP59" s="115"/>
      <c r="AQ59" s="115"/>
      <c r="AR59" s="115"/>
      <c r="AS59" s="115"/>
      <c r="AT59" s="115"/>
      <c r="AU59" s="115"/>
      <c r="AV59" s="115"/>
      <c r="AW59" s="115"/>
      <c r="AX59" s="115"/>
      <c r="AY59" s="115"/>
      <c r="AZ59" s="25"/>
      <c r="BA59" s="13"/>
      <c r="BD59" s="114"/>
    </row>
    <row r="60" spans="1:56" ht="20.100000000000001" customHeight="1" x14ac:dyDescent="0.4">
      <c r="A60" s="117"/>
      <c r="B60" s="123"/>
      <c r="C60" s="123"/>
      <c r="D60" s="123"/>
      <c r="F60" s="125"/>
      <c r="H60" s="115"/>
      <c r="I60" s="115"/>
      <c r="J60" s="115"/>
      <c r="K60" s="115"/>
      <c r="L60" s="115"/>
      <c r="M60" s="115"/>
      <c r="N60" s="115"/>
      <c r="O60" s="115"/>
      <c r="P60" s="115" t="s">
        <v>182</v>
      </c>
      <c r="Q60" s="13">
        <f>SUBTOTAL(3,Q50:Q59)</f>
        <v>10</v>
      </c>
      <c r="R60" s="15">
        <f>SUBTOTAL(3,R50:R59)</f>
        <v>10</v>
      </c>
      <c r="AB60" s="25"/>
      <c r="AC60" s="13"/>
      <c r="AH60" s="116"/>
      <c r="AI60" s="123"/>
      <c r="AJ60" s="123"/>
      <c r="AK60" s="123"/>
      <c r="AP60" s="115"/>
      <c r="AQ60" s="115"/>
      <c r="AR60" s="115"/>
      <c r="AS60" s="115"/>
      <c r="AT60" s="115"/>
      <c r="AU60" s="115"/>
      <c r="AV60" s="115"/>
      <c r="AW60" s="115"/>
      <c r="AX60" s="115"/>
      <c r="AY60" s="115"/>
      <c r="AZ60" s="25"/>
      <c r="BA60" s="13"/>
      <c r="BD60" s="114"/>
    </row>
    <row r="61" spans="1:56" ht="20.100000000000001" customHeight="1" x14ac:dyDescent="0.4">
      <c r="A61" s="117"/>
      <c r="B61" s="123"/>
      <c r="C61" s="123"/>
      <c r="D61" s="123"/>
      <c r="F61" s="125"/>
      <c r="H61" s="115"/>
      <c r="I61" s="115"/>
      <c r="J61" s="115"/>
      <c r="K61" s="115"/>
      <c r="L61" s="115"/>
      <c r="M61" s="115"/>
      <c r="N61" s="115"/>
      <c r="O61" s="115"/>
      <c r="P61" s="115"/>
      <c r="Q61" s="25">
        <v>45828</v>
      </c>
      <c r="R61" s="15" t="s">
        <v>146</v>
      </c>
      <c r="AB61" s="25"/>
      <c r="AC61" s="13"/>
      <c r="AH61" s="116"/>
      <c r="AI61" s="123"/>
      <c r="AJ61" s="123"/>
      <c r="AK61" s="123"/>
      <c r="AP61" s="115"/>
      <c r="AQ61" s="115"/>
      <c r="AR61" s="115"/>
      <c r="AS61" s="115"/>
      <c r="AT61" s="115"/>
      <c r="AU61" s="115"/>
      <c r="AV61" s="115"/>
      <c r="AW61" s="115"/>
      <c r="AX61" s="115"/>
      <c r="AY61" s="115"/>
      <c r="AZ61" s="25"/>
      <c r="BA61" s="13"/>
      <c r="BD61" s="114"/>
    </row>
    <row r="62" spans="1:56" ht="20.100000000000001" customHeight="1" x14ac:dyDescent="0.4">
      <c r="A62" s="117"/>
      <c r="B62" s="123"/>
      <c r="C62" s="123"/>
      <c r="D62" s="123"/>
      <c r="F62" s="125"/>
      <c r="H62" s="115"/>
      <c r="I62" s="115"/>
      <c r="J62" s="115"/>
      <c r="K62" s="115"/>
      <c r="L62" s="115"/>
      <c r="M62" s="115"/>
      <c r="N62" s="115"/>
      <c r="O62" s="115"/>
      <c r="P62" s="115"/>
      <c r="Q62" s="25">
        <v>45828</v>
      </c>
      <c r="R62" s="15" t="s">
        <v>146</v>
      </c>
      <c r="AB62" s="25"/>
      <c r="AC62" s="13"/>
      <c r="AH62" s="116"/>
      <c r="AI62" s="123"/>
      <c r="AJ62" s="123"/>
      <c r="AK62" s="123"/>
      <c r="AP62" s="115"/>
      <c r="AQ62" s="115"/>
      <c r="AR62" s="115"/>
      <c r="AS62" s="115"/>
      <c r="AT62" s="115"/>
      <c r="AU62" s="115"/>
      <c r="AV62" s="115"/>
      <c r="AW62" s="115"/>
      <c r="AX62" s="115"/>
      <c r="AY62" s="115"/>
      <c r="AZ62" s="25"/>
      <c r="BA62" s="13"/>
      <c r="BD62" s="114"/>
    </row>
    <row r="63" spans="1:56" ht="20.100000000000001" customHeight="1" x14ac:dyDescent="0.4">
      <c r="A63" s="117"/>
      <c r="B63" s="123"/>
      <c r="C63" s="123"/>
      <c r="D63" s="123"/>
      <c r="F63" s="125"/>
      <c r="H63" s="115"/>
      <c r="I63" s="115"/>
      <c r="J63" s="115"/>
      <c r="K63" s="115"/>
      <c r="L63" s="115"/>
      <c r="M63" s="115"/>
      <c r="N63" s="115"/>
      <c r="O63" s="115"/>
      <c r="P63" s="115"/>
      <c r="Q63" s="25">
        <v>45828</v>
      </c>
      <c r="R63" s="13" t="s">
        <v>146</v>
      </c>
      <c r="AB63" s="25"/>
      <c r="AC63" s="13"/>
      <c r="AH63" s="116"/>
      <c r="AI63" s="123"/>
      <c r="AJ63" s="123"/>
      <c r="AK63" s="123"/>
      <c r="AP63" s="115"/>
      <c r="AQ63" s="115"/>
      <c r="AR63" s="115"/>
      <c r="AS63" s="115"/>
      <c r="AT63" s="115"/>
      <c r="AU63" s="115"/>
      <c r="AV63" s="115"/>
      <c r="AW63" s="115"/>
      <c r="AX63" s="115"/>
      <c r="AY63" s="115"/>
      <c r="AZ63" s="25"/>
      <c r="BA63" s="13"/>
      <c r="BD63" s="114"/>
    </row>
    <row r="64" spans="1:56" ht="20.100000000000001" customHeight="1" x14ac:dyDescent="0.4">
      <c r="A64" s="117"/>
      <c r="B64" s="123"/>
      <c r="C64" s="123"/>
      <c r="D64" s="123"/>
      <c r="F64" s="125"/>
      <c r="H64" s="115"/>
      <c r="I64" s="115"/>
      <c r="J64" s="115"/>
      <c r="K64" s="115"/>
      <c r="L64" s="115"/>
      <c r="M64" s="115"/>
      <c r="N64" s="115"/>
      <c r="O64" s="115"/>
      <c r="P64" s="115" t="s">
        <v>214</v>
      </c>
      <c r="Q64" s="13">
        <f>SUBTOTAL(3,Q61:Q63)</f>
        <v>3</v>
      </c>
      <c r="R64" s="13">
        <f>SUBTOTAL(3,R61:R63)</f>
        <v>3</v>
      </c>
      <c r="AB64" s="25"/>
      <c r="AC64" s="13"/>
      <c r="AH64" s="116"/>
      <c r="AI64" s="123"/>
      <c r="AJ64" s="123"/>
      <c r="AK64" s="123"/>
      <c r="AP64" s="115"/>
      <c r="AQ64" s="115"/>
      <c r="AR64" s="115"/>
      <c r="AS64" s="115"/>
      <c r="AT64" s="115"/>
      <c r="AU64" s="115"/>
      <c r="AV64" s="115"/>
      <c r="AW64" s="115"/>
      <c r="AX64" s="115"/>
      <c r="AY64" s="115"/>
      <c r="AZ64" s="25"/>
      <c r="BA64" s="13"/>
      <c r="BD64" s="114"/>
    </row>
    <row r="65" spans="1:56" ht="20.100000000000001" customHeight="1" x14ac:dyDescent="0.4">
      <c r="A65" s="117"/>
      <c r="B65" s="123"/>
      <c r="C65" s="123"/>
      <c r="D65" s="123"/>
      <c r="F65" s="125"/>
      <c r="H65" s="115"/>
      <c r="I65" s="115"/>
      <c r="J65" s="115"/>
      <c r="K65" s="115"/>
      <c r="L65" s="115"/>
      <c r="M65" s="115"/>
      <c r="N65" s="115"/>
      <c r="O65" s="115"/>
      <c r="P65" s="115"/>
      <c r="Q65" s="25">
        <v>45829</v>
      </c>
      <c r="R65" s="134" t="s">
        <v>147</v>
      </c>
      <c r="AB65" s="25"/>
      <c r="AC65" s="13"/>
      <c r="AH65" s="116"/>
      <c r="AI65" s="123"/>
      <c r="AJ65" s="123"/>
      <c r="AK65" s="123"/>
      <c r="AP65" s="115"/>
      <c r="AQ65" s="115"/>
      <c r="AR65" s="115"/>
      <c r="AS65" s="115"/>
      <c r="AT65" s="115"/>
      <c r="AU65" s="115"/>
      <c r="AV65" s="115"/>
      <c r="AW65" s="115"/>
      <c r="AX65" s="115"/>
      <c r="AY65" s="115"/>
      <c r="AZ65" s="25"/>
      <c r="BA65" s="13"/>
      <c r="BD65" s="114"/>
    </row>
    <row r="66" spans="1:56" ht="20.100000000000001" customHeight="1" x14ac:dyDescent="0.4">
      <c r="A66" s="117"/>
      <c r="B66" s="123"/>
      <c r="C66" s="123"/>
      <c r="D66" s="123"/>
      <c r="F66" s="125"/>
      <c r="H66" s="115"/>
      <c r="I66" s="115"/>
      <c r="J66" s="115"/>
      <c r="K66" s="115"/>
      <c r="L66" s="115"/>
      <c r="M66" s="115"/>
      <c r="N66" s="115"/>
      <c r="O66" s="115"/>
      <c r="P66" s="115"/>
      <c r="Q66" s="25">
        <v>45829</v>
      </c>
      <c r="R66" s="13" t="s">
        <v>147</v>
      </c>
      <c r="AB66" s="25"/>
      <c r="AC66" s="13"/>
      <c r="AH66" s="116"/>
      <c r="AI66" s="123"/>
      <c r="AJ66" s="123"/>
      <c r="AK66" s="123"/>
      <c r="AP66" s="115"/>
      <c r="AQ66" s="115"/>
      <c r="AR66" s="115"/>
      <c r="AS66" s="115"/>
      <c r="AT66" s="115"/>
      <c r="AU66" s="115"/>
      <c r="AV66" s="115"/>
      <c r="AW66" s="115"/>
      <c r="AX66" s="115"/>
      <c r="AY66" s="115"/>
      <c r="AZ66" s="25"/>
      <c r="BA66" s="13"/>
      <c r="BD66" s="114"/>
    </row>
    <row r="67" spans="1:56" ht="20.100000000000001" customHeight="1" x14ac:dyDescent="0.4">
      <c r="A67" s="117"/>
      <c r="B67" s="123"/>
      <c r="C67" s="123"/>
      <c r="D67" s="123"/>
      <c r="F67" s="125"/>
      <c r="H67" s="115"/>
      <c r="I67" s="115"/>
      <c r="J67" s="115"/>
      <c r="K67" s="115"/>
      <c r="L67" s="115"/>
      <c r="M67" s="115"/>
      <c r="N67" s="115"/>
      <c r="O67" s="115"/>
      <c r="P67" s="115"/>
      <c r="Q67" s="25">
        <v>45829</v>
      </c>
      <c r="R67" s="13" t="s">
        <v>146</v>
      </c>
      <c r="AB67" s="25"/>
      <c r="AC67" s="13"/>
      <c r="AH67" s="116"/>
      <c r="AI67" s="123"/>
      <c r="AJ67" s="123"/>
      <c r="AK67" s="123"/>
      <c r="AP67" s="115"/>
      <c r="AQ67" s="115"/>
      <c r="AR67" s="115"/>
      <c r="AS67" s="115"/>
      <c r="AT67" s="115"/>
      <c r="AU67" s="115"/>
      <c r="AV67" s="115"/>
      <c r="AW67" s="115"/>
      <c r="AX67" s="115"/>
      <c r="AY67" s="115"/>
      <c r="AZ67" s="25"/>
      <c r="BA67" s="13"/>
      <c r="BD67" s="114"/>
    </row>
    <row r="68" spans="1:56" ht="20.100000000000001" customHeight="1" x14ac:dyDescent="0.4">
      <c r="A68" s="117"/>
      <c r="B68" s="123"/>
      <c r="C68" s="123"/>
      <c r="D68" s="123"/>
      <c r="F68" s="125"/>
      <c r="H68" s="115"/>
      <c r="I68" s="115"/>
      <c r="J68" s="115"/>
      <c r="K68" s="115"/>
      <c r="L68" s="115"/>
      <c r="M68" s="115"/>
      <c r="N68" s="115"/>
      <c r="O68" s="115"/>
      <c r="P68" s="115"/>
      <c r="Q68" s="25">
        <v>45829</v>
      </c>
      <c r="R68" s="25" t="s">
        <v>147</v>
      </c>
      <c r="AB68" s="25"/>
      <c r="AC68" s="13"/>
      <c r="AH68" s="116"/>
      <c r="AI68" s="123"/>
      <c r="AJ68" s="123"/>
      <c r="AK68" s="123"/>
      <c r="AP68" s="115"/>
      <c r="AQ68" s="115"/>
      <c r="AR68" s="115"/>
      <c r="AS68" s="115"/>
      <c r="AT68" s="115"/>
      <c r="AU68" s="115"/>
      <c r="AV68" s="115"/>
      <c r="AW68" s="115"/>
      <c r="AX68" s="115"/>
      <c r="AY68" s="115"/>
      <c r="AZ68" s="25"/>
      <c r="BA68" s="13"/>
      <c r="BD68" s="114"/>
    </row>
    <row r="69" spans="1:56" ht="20.100000000000001" customHeight="1" x14ac:dyDescent="0.4">
      <c r="A69" s="117"/>
      <c r="B69" s="123"/>
      <c r="C69" s="123"/>
      <c r="D69" s="123"/>
      <c r="F69" s="125"/>
      <c r="H69" s="115"/>
      <c r="I69" s="115"/>
      <c r="J69" s="115"/>
      <c r="K69" s="115"/>
      <c r="L69" s="115"/>
      <c r="M69" s="115"/>
      <c r="N69" s="115"/>
      <c r="O69" s="115"/>
      <c r="P69" s="115"/>
      <c r="Q69" s="25">
        <v>45829</v>
      </c>
      <c r="R69" s="13" t="s">
        <v>147</v>
      </c>
      <c r="AB69" s="25"/>
      <c r="AC69" s="13"/>
      <c r="AH69" s="116"/>
      <c r="AI69" s="123"/>
      <c r="AJ69" s="123"/>
      <c r="AK69" s="123"/>
      <c r="AP69" s="115"/>
      <c r="AQ69" s="115"/>
      <c r="AR69" s="115"/>
      <c r="AS69" s="115"/>
      <c r="AT69" s="115"/>
      <c r="AU69" s="115"/>
      <c r="AV69" s="115"/>
      <c r="AW69" s="115"/>
      <c r="AX69" s="115"/>
      <c r="AY69" s="115"/>
      <c r="AZ69" s="25"/>
      <c r="BA69" s="13"/>
      <c r="BD69" s="114"/>
    </row>
    <row r="70" spans="1:56" ht="20.100000000000001" customHeight="1" x14ac:dyDescent="0.4">
      <c r="A70" s="117"/>
      <c r="B70" s="123"/>
      <c r="C70" s="123"/>
      <c r="D70" s="123"/>
      <c r="F70" s="125"/>
      <c r="H70" s="115"/>
      <c r="I70" s="115"/>
      <c r="J70" s="115"/>
      <c r="K70" s="115"/>
      <c r="L70" s="115"/>
      <c r="M70" s="115"/>
      <c r="N70" s="115"/>
      <c r="O70" s="115"/>
      <c r="P70" s="115" t="s">
        <v>215</v>
      </c>
      <c r="Q70" s="13">
        <f>SUBTOTAL(3,Q65:Q69)</f>
        <v>5</v>
      </c>
      <c r="R70" s="13">
        <f>SUBTOTAL(3,R65:R69)</f>
        <v>5</v>
      </c>
      <c r="AB70" s="25"/>
      <c r="AC70" s="13"/>
      <c r="AH70" s="116"/>
      <c r="AI70" s="123"/>
      <c r="AJ70" s="123"/>
      <c r="AK70" s="123"/>
      <c r="AP70" s="115"/>
      <c r="AQ70" s="115"/>
      <c r="AR70" s="115"/>
      <c r="AS70" s="115"/>
      <c r="AT70" s="115"/>
      <c r="AU70" s="115"/>
      <c r="AV70" s="115"/>
      <c r="AW70" s="115"/>
      <c r="AX70" s="115"/>
      <c r="AY70" s="115"/>
      <c r="AZ70" s="25"/>
      <c r="BA70" s="13"/>
      <c r="BD70" s="114"/>
    </row>
    <row r="71" spans="1:56" ht="20.100000000000001" customHeight="1" x14ac:dyDescent="0.4">
      <c r="A71" s="117"/>
      <c r="B71" s="123"/>
      <c r="C71" s="123"/>
      <c r="D71" s="123"/>
      <c r="F71" s="125"/>
      <c r="H71" s="115"/>
      <c r="I71" s="115"/>
      <c r="J71" s="115"/>
      <c r="K71" s="115"/>
      <c r="L71" s="115"/>
      <c r="M71" s="115"/>
      <c r="N71" s="115"/>
      <c r="O71" s="115"/>
      <c r="P71" s="115"/>
      <c r="Q71" s="25">
        <v>45830</v>
      </c>
      <c r="R71" s="13" t="s">
        <v>146</v>
      </c>
      <c r="AB71" s="25"/>
      <c r="AC71" s="13"/>
      <c r="AH71" s="116"/>
      <c r="AI71" s="123"/>
      <c r="AJ71" s="123"/>
      <c r="AK71" s="123"/>
      <c r="AP71" s="115"/>
      <c r="AQ71" s="115"/>
      <c r="AR71" s="115"/>
      <c r="AS71" s="115"/>
      <c r="AT71" s="115"/>
      <c r="AU71" s="115"/>
      <c r="AV71" s="115"/>
      <c r="AW71" s="115"/>
      <c r="AX71" s="115"/>
      <c r="AY71" s="115"/>
      <c r="AZ71" s="25"/>
      <c r="BA71" s="13"/>
      <c r="BD71" s="114"/>
    </row>
    <row r="72" spans="1:56" ht="20.100000000000001" customHeight="1" x14ac:dyDescent="0.4">
      <c r="A72" s="117"/>
      <c r="B72" s="123"/>
      <c r="C72" s="123"/>
      <c r="D72" s="123"/>
      <c r="F72" s="125"/>
      <c r="Q72" s="25">
        <v>45830</v>
      </c>
      <c r="R72" s="13" t="s">
        <v>146</v>
      </c>
      <c r="X72" s="115"/>
      <c r="Y72" s="115"/>
      <c r="Z72" s="115"/>
      <c r="AA72" s="115"/>
      <c r="AB72" s="25">
        <v>45669</v>
      </c>
      <c r="AC72" s="13" t="s">
        <v>147</v>
      </c>
      <c r="AH72" s="116"/>
      <c r="AI72" s="123"/>
      <c r="AJ72" s="123"/>
      <c r="AK72" s="123"/>
      <c r="AP72" s="115"/>
      <c r="AQ72" s="115"/>
      <c r="AR72" s="115"/>
      <c r="AS72" s="115"/>
      <c r="AT72" s="115"/>
      <c r="AU72" s="115"/>
      <c r="AV72" s="115"/>
      <c r="AW72" s="115"/>
      <c r="AX72" s="115"/>
      <c r="AY72" s="115"/>
      <c r="AZ72" s="25"/>
      <c r="BA72" s="13"/>
      <c r="BD72" s="114"/>
    </row>
    <row r="73" spans="1:56" ht="20.100000000000001" customHeight="1" x14ac:dyDescent="0.4">
      <c r="A73" s="117"/>
      <c r="B73" s="123"/>
      <c r="C73" s="123"/>
      <c r="D73" s="123"/>
      <c r="F73" s="125"/>
      <c r="N73" s="115"/>
      <c r="O73" s="115"/>
      <c r="P73" s="115"/>
      <c r="Q73" s="25">
        <v>45830</v>
      </c>
      <c r="R73" s="13" t="s">
        <v>146</v>
      </c>
      <c r="X73" s="115"/>
      <c r="Y73" s="115"/>
      <c r="Z73" s="115"/>
      <c r="AA73" s="115"/>
      <c r="AB73" s="25"/>
      <c r="AC73" s="13"/>
      <c r="AH73" s="116"/>
      <c r="AI73" s="123"/>
      <c r="AJ73" s="123"/>
      <c r="AK73" s="123"/>
      <c r="AP73" s="115"/>
      <c r="AQ73" s="115"/>
      <c r="AR73" s="115"/>
      <c r="AS73" s="115"/>
      <c r="AT73" s="115"/>
      <c r="AU73" s="115"/>
      <c r="AV73" s="115"/>
      <c r="AW73" s="115"/>
      <c r="AX73" s="115"/>
      <c r="AY73" s="115"/>
      <c r="AZ73" s="25"/>
      <c r="BA73" s="13"/>
      <c r="BD73" s="114"/>
    </row>
    <row r="74" spans="1:56" ht="20.100000000000001" customHeight="1" x14ac:dyDescent="0.4">
      <c r="A74" s="117"/>
      <c r="B74" s="123"/>
      <c r="C74" s="123"/>
      <c r="D74" s="123"/>
      <c r="F74" s="125"/>
      <c r="Q74" s="25">
        <v>45830</v>
      </c>
      <c r="R74" s="13" t="s">
        <v>147</v>
      </c>
      <c r="X74" s="115"/>
      <c r="Y74" s="115"/>
      <c r="Z74" s="115"/>
      <c r="AA74" s="115"/>
      <c r="AB74" s="25"/>
      <c r="AC74" s="13"/>
      <c r="AH74" s="116"/>
      <c r="AI74" s="123"/>
      <c r="AJ74" s="123"/>
      <c r="AK74" s="123"/>
      <c r="AP74" s="115"/>
      <c r="AQ74" s="115"/>
      <c r="AR74" s="115"/>
      <c r="AS74" s="115"/>
      <c r="AT74" s="115"/>
      <c r="AU74" s="115"/>
      <c r="AV74" s="115"/>
      <c r="AW74" s="115"/>
      <c r="AX74" s="115"/>
      <c r="AY74" s="115"/>
      <c r="AZ74" s="25"/>
      <c r="BA74" s="13"/>
      <c r="BD74" s="114"/>
    </row>
    <row r="75" spans="1:56" ht="20.100000000000001" customHeight="1" x14ac:dyDescent="0.4">
      <c r="A75" s="117"/>
      <c r="B75" s="123"/>
      <c r="C75" s="123"/>
      <c r="D75" s="123"/>
      <c r="F75" s="125"/>
      <c r="I75" s="115"/>
      <c r="J75" s="115"/>
      <c r="K75" s="115"/>
      <c r="L75" s="115"/>
      <c r="M75" s="115"/>
      <c r="N75" s="115"/>
      <c r="O75" s="115"/>
      <c r="P75" s="115"/>
      <c r="Q75" s="25">
        <v>45830</v>
      </c>
      <c r="R75" s="13" t="s">
        <v>147</v>
      </c>
      <c r="X75" s="115"/>
      <c r="Y75" s="115"/>
      <c r="Z75" s="115"/>
      <c r="AA75" s="115"/>
      <c r="AB75" s="25"/>
      <c r="AC75" s="13"/>
      <c r="AH75" s="116"/>
      <c r="AI75" s="123"/>
      <c r="AJ75" s="123"/>
      <c r="AK75" s="123"/>
      <c r="AP75" s="115"/>
      <c r="AQ75" s="115"/>
      <c r="AR75" s="115"/>
      <c r="AS75" s="115"/>
      <c r="AT75" s="115"/>
      <c r="AU75" s="115"/>
      <c r="AV75" s="115"/>
      <c r="AW75" s="115"/>
      <c r="AX75" s="115"/>
      <c r="AY75" s="115"/>
      <c r="AZ75" s="25"/>
      <c r="BA75" s="13"/>
      <c r="BD75" s="114"/>
    </row>
    <row r="76" spans="1:56" ht="20.100000000000001" customHeight="1" x14ac:dyDescent="0.4">
      <c r="A76" s="117"/>
      <c r="B76" s="123"/>
      <c r="C76" s="123"/>
      <c r="D76" s="123"/>
      <c r="F76" s="125"/>
      <c r="H76" s="115"/>
      <c r="I76" s="115"/>
      <c r="J76" s="115"/>
      <c r="K76" s="115"/>
      <c r="L76" s="115"/>
      <c r="M76" s="115"/>
      <c r="N76" s="115"/>
      <c r="O76" s="115"/>
      <c r="P76" s="115"/>
      <c r="Q76" s="25">
        <v>45830</v>
      </c>
      <c r="R76" s="13" t="s">
        <v>147</v>
      </c>
      <c r="X76" s="115"/>
      <c r="Y76" s="115"/>
      <c r="Z76" s="115"/>
      <c r="AA76" s="115"/>
      <c r="AB76" s="25"/>
      <c r="AC76" s="13"/>
      <c r="AH76" s="116"/>
      <c r="AI76" s="123"/>
      <c r="AJ76" s="123"/>
      <c r="AK76" s="123"/>
      <c r="AP76" s="115"/>
      <c r="AQ76" s="115"/>
      <c r="AR76" s="115"/>
      <c r="AS76" s="115"/>
      <c r="AT76" s="115"/>
      <c r="AU76" s="115"/>
      <c r="AV76" s="115"/>
      <c r="AW76" s="115"/>
      <c r="AX76" s="115"/>
      <c r="AY76" s="115"/>
      <c r="AZ76" s="25"/>
      <c r="BA76" s="13"/>
      <c r="BD76" s="114"/>
    </row>
    <row r="77" spans="1:56" ht="20.100000000000001" customHeight="1" x14ac:dyDescent="0.4">
      <c r="A77" s="117"/>
      <c r="B77" s="123"/>
      <c r="C77" s="123"/>
      <c r="D77" s="123"/>
      <c r="F77" s="125"/>
      <c r="H77" s="115"/>
      <c r="I77" s="115"/>
      <c r="J77" s="115"/>
      <c r="K77" s="115"/>
      <c r="L77" s="115"/>
      <c r="M77" s="115"/>
      <c r="N77" s="115"/>
      <c r="O77" s="115"/>
      <c r="P77" s="115"/>
      <c r="Q77" s="25">
        <v>45830</v>
      </c>
      <c r="R77" s="13" t="s">
        <v>147</v>
      </c>
      <c r="X77" s="115"/>
      <c r="Y77" s="115"/>
      <c r="Z77" s="115"/>
      <c r="AA77" s="115"/>
      <c r="AB77" s="25"/>
      <c r="AC77" s="13"/>
      <c r="AH77" s="116"/>
      <c r="AI77" s="123"/>
      <c r="AJ77" s="123"/>
      <c r="AK77" s="123"/>
      <c r="AP77" s="115"/>
      <c r="AQ77" s="115"/>
      <c r="AR77" s="115"/>
      <c r="AS77" s="115"/>
      <c r="AT77" s="115"/>
      <c r="AU77" s="115"/>
      <c r="AV77" s="115"/>
      <c r="AW77" s="115"/>
      <c r="AX77" s="115"/>
      <c r="AY77" s="115"/>
      <c r="AZ77" s="25"/>
      <c r="BA77" s="13"/>
      <c r="BD77" s="114"/>
    </row>
    <row r="78" spans="1:56" ht="20.100000000000001" customHeight="1" x14ac:dyDescent="0.4">
      <c r="A78" s="117"/>
      <c r="B78" s="123"/>
      <c r="C78" s="123"/>
      <c r="D78" s="123"/>
      <c r="F78" s="125"/>
      <c r="H78" s="115"/>
      <c r="I78" s="115"/>
      <c r="J78" s="115"/>
      <c r="K78" s="115"/>
      <c r="L78" s="115"/>
      <c r="M78" s="115"/>
      <c r="N78" s="115"/>
      <c r="O78" s="115"/>
      <c r="P78" s="115" t="s">
        <v>216</v>
      </c>
      <c r="Q78" s="13">
        <f>SUBTOTAL(3,Q71:Q77)</f>
        <v>7</v>
      </c>
      <c r="R78" s="13">
        <f>SUBTOTAL(3,R71:R77)</f>
        <v>7</v>
      </c>
      <c r="X78" s="115"/>
      <c r="Y78" s="115"/>
      <c r="Z78" s="115"/>
      <c r="AA78" s="115"/>
      <c r="AB78" s="25"/>
      <c r="AC78" s="13"/>
      <c r="AH78" s="116"/>
      <c r="AI78" s="123"/>
      <c r="AJ78" s="123"/>
      <c r="AK78" s="123"/>
      <c r="AP78" s="115"/>
      <c r="AQ78" s="115"/>
      <c r="AR78" s="115"/>
      <c r="AS78" s="115"/>
      <c r="AT78" s="115"/>
      <c r="AU78" s="115"/>
      <c r="AV78" s="115"/>
      <c r="AW78" s="115"/>
      <c r="AX78" s="115"/>
      <c r="AY78" s="115"/>
      <c r="AZ78" s="25"/>
      <c r="BA78" s="13"/>
      <c r="BD78" s="114"/>
    </row>
    <row r="79" spans="1:56" ht="20.100000000000001" customHeight="1" x14ac:dyDescent="0.4">
      <c r="A79" s="117"/>
      <c r="B79" s="123"/>
      <c r="C79" s="123"/>
      <c r="D79" s="123"/>
      <c r="F79" s="125"/>
      <c r="H79" s="115"/>
      <c r="I79" s="115"/>
      <c r="J79" s="115"/>
      <c r="K79" s="115"/>
      <c r="L79" s="115"/>
      <c r="M79" s="115"/>
      <c r="N79" s="115"/>
      <c r="O79" s="115"/>
      <c r="P79" s="115"/>
      <c r="Q79" s="25">
        <v>45831</v>
      </c>
      <c r="R79" s="13" t="s">
        <v>146</v>
      </c>
      <c r="X79" s="115"/>
      <c r="Y79" s="115"/>
      <c r="Z79" s="115"/>
      <c r="AA79" s="115"/>
      <c r="AB79" s="25"/>
      <c r="AC79" s="13"/>
      <c r="AH79" s="116"/>
      <c r="AI79" s="123"/>
      <c r="AJ79" s="123"/>
      <c r="AK79" s="123"/>
      <c r="AP79" s="115"/>
      <c r="AQ79" s="115"/>
      <c r="AR79" s="115"/>
      <c r="AS79" s="115"/>
      <c r="AT79" s="115"/>
      <c r="AU79" s="115"/>
      <c r="AV79" s="115"/>
      <c r="AW79" s="115"/>
      <c r="AX79" s="115"/>
      <c r="AY79" s="115"/>
      <c r="AZ79" s="25"/>
      <c r="BA79" s="13"/>
      <c r="BD79" s="114"/>
    </row>
    <row r="80" spans="1:56" ht="20.100000000000001" customHeight="1" x14ac:dyDescent="0.4">
      <c r="A80" s="117"/>
      <c r="B80" s="123"/>
      <c r="C80" s="123"/>
      <c r="D80" s="123"/>
      <c r="F80" s="125"/>
      <c r="H80" s="115"/>
      <c r="I80" s="115"/>
      <c r="J80" s="115"/>
      <c r="K80" s="115"/>
      <c r="L80" s="115"/>
      <c r="M80" s="115"/>
      <c r="N80" s="115"/>
      <c r="O80" s="115"/>
      <c r="P80" s="115"/>
      <c r="Q80" s="26">
        <v>45831</v>
      </c>
      <c r="R80" s="13" t="s">
        <v>146</v>
      </c>
      <c r="X80" s="115"/>
      <c r="Y80" s="115"/>
      <c r="Z80" s="115"/>
      <c r="AA80" s="115"/>
      <c r="AB80" s="25"/>
      <c r="AC80" s="13"/>
      <c r="AH80" s="116"/>
      <c r="AI80" s="123"/>
      <c r="AJ80" s="123"/>
      <c r="AK80" s="123"/>
      <c r="AP80" s="115"/>
      <c r="AQ80" s="115"/>
      <c r="AR80" s="115"/>
      <c r="AS80" s="115"/>
      <c r="AT80" s="115"/>
      <c r="AU80" s="115"/>
      <c r="AV80" s="115"/>
      <c r="AW80" s="115"/>
      <c r="AX80" s="115"/>
      <c r="AY80" s="115"/>
      <c r="AZ80" s="25"/>
      <c r="BA80" s="13"/>
      <c r="BD80" s="114"/>
    </row>
    <row r="81" spans="1:56" ht="20.100000000000001" customHeight="1" x14ac:dyDescent="0.4">
      <c r="A81" s="117"/>
      <c r="B81" s="123"/>
      <c r="C81" s="123"/>
      <c r="D81" s="123"/>
      <c r="F81" s="125"/>
      <c r="H81" s="115"/>
      <c r="I81" s="115"/>
      <c r="J81" s="115"/>
      <c r="K81" s="115"/>
      <c r="L81" s="115"/>
      <c r="M81" s="115"/>
      <c r="N81" s="115"/>
      <c r="O81" s="115"/>
      <c r="P81" s="115"/>
      <c r="Q81" s="26">
        <v>45831</v>
      </c>
      <c r="R81" s="13" t="s">
        <v>146</v>
      </c>
      <c r="X81" s="115"/>
      <c r="Y81" s="115"/>
      <c r="Z81" s="115"/>
      <c r="AA81" s="115"/>
      <c r="AB81" s="25"/>
      <c r="AC81" s="13"/>
      <c r="AH81" s="116"/>
      <c r="AI81" s="123"/>
      <c r="AJ81" s="123"/>
      <c r="AK81" s="123"/>
      <c r="AP81" s="115"/>
      <c r="AQ81" s="115"/>
      <c r="AR81" s="115"/>
      <c r="AS81" s="115"/>
      <c r="AT81" s="115"/>
      <c r="AU81" s="115"/>
      <c r="AV81" s="115"/>
      <c r="AW81" s="115"/>
      <c r="AX81" s="115"/>
      <c r="AY81" s="115"/>
      <c r="AZ81" s="25"/>
      <c r="BA81" s="13"/>
      <c r="BD81" s="114"/>
    </row>
    <row r="82" spans="1:56" ht="20.100000000000001" customHeight="1" x14ac:dyDescent="0.4">
      <c r="A82" s="117"/>
      <c r="B82" s="123"/>
      <c r="C82" s="123"/>
      <c r="D82" s="123"/>
      <c r="F82" s="125"/>
      <c r="H82" s="115"/>
      <c r="I82" s="115"/>
      <c r="J82" s="115"/>
      <c r="K82" s="115"/>
      <c r="L82" s="115"/>
      <c r="M82" s="115"/>
      <c r="N82" s="115"/>
      <c r="O82" s="115"/>
      <c r="P82" s="115"/>
      <c r="Q82" s="25">
        <v>45831</v>
      </c>
      <c r="R82" s="13" t="s">
        <v>148</v>
      </c>
      <c r="X82" s="115"/>
      <c r="Y82" s="115"/>
      <c r="Z82" s="115"/>
      <c r="AA82" s="115"/>
      <c r="AB82" s="25"/>
      <c r="AC82" s="13"/>
      <c r="AH82" s="116"/>
      <c r="AI82" s="123"/>
      <c r="AJ82" s="123"/>
      <c r="AK82" s="123"/>
      <c r="AP82" s="115"/>
      <c r="AQ82" s="115"/>
      <c r="AR82" s="115"/>
      <c r="AS82" s="115"/>
      <c r="AT82" s="115"/>
      <c r="AU82" s="115"/>
      <c r="AV82" s="115"/>
      <c r="AW82" s="115"/>
      <c r="AX82" s="115"/>
      <c r="AY82" s="115"/>
      <c r="AZ82" s="25"/>
      <c r="BA82" s="13"/>
      <c r="BD82" s="114"/>
    </row>
    <row r="83" spans="1:56" ht="20.100000000000001" customHeight="1" x14ac:dyDescent="0.4">
      <c r="A83" s="117"/>
      <c r="B83" s="123"/>
      <c r="C83" s="123"/>
      <c r="D83" s="123"/>
      <c r="F83" s="125"/>
      <c r="H83" s="115"/>
      <c r="I83" s="115"/>
      <c r="J83" s="115"/>
      <c r="K83" s="115"/>
      <c r="L83" s="115"/>
      <c r="M83" s="115"/>
      <c r="N83" s="115"/>
      <c r="O83" s="115"/>
      <c r="P83" s="115"/>
      <c r="Q83" s="25">
        <v>45831</v>
      </c>
      <c r="R83" s="13" t="s">
        <v>147</v>
      </c>
      <c r="X83" s="115"/>
      <c r="Y83" s="115"/>
      <c r="Z83" s="115"/>
      <c r="AA83" s="115"/>
      <c r="AB83" s="25"/>
      <c r="AC83" s="13"/>
      <c r="AH83" s="116"/>
      <c r="AI83" s="123"/>
      <c r="AJ83" s="123"/>
      <c r="AK83" s="123"/>
      <c r="AP83" s="115"/>
      <c r="AQ83" s="115"/>
      <c r="AR83" s="115"/>
      <c r="AS83" s="115"/>
      <c r="AT83" s="115"/>
      <c r="AU83" s="115"/>
      <c r="AV83" s="115"/>
      <c r="AW83" s="115"/>
      <c r="AX83" s="115"/>
      <c r="AY83" s="115"/>
      <c r="AZ83" s="25"/>
      <c r="BA83" s="13"/>
      <c r="BD83" s="114"/>
    </row>
    <row r="84" spans="1:56" ht="20.100000000000001" customHeight="1" x14ac:dyDescent="0.4">
      <c r="A84" s="117"/>
      <c r="B84" s="123"/>
      <c r="C84" s="123"/>
      <c r="D84" s="123"/>
      <c r="F84" s="125"/>
      <c r="H84" s="115"/>
      <c r="I84" s="115"/>
      <c r="J84" s="115"/>
      <c r="K84" s="115"/>
      <c r="L84" s="115"/>
      <c r="M84" s="115"/>
      <c r="N84" s="115"/>
      <c r="O84" s="115"/>
      <c r="P84" s="115"/>
      <c r="Q84" s="25">
        <v>45831</v>
      </c>
      <c r="R84" s="13" t="s">
        <v>146</v>
      </c>
      <c r="X84" s="115"/>
      <c r="Y84" s="115"/>
      <c r="Z84" s="115"/>
      <c r="AA84" s="115"/>
      <c r="AB84" s="25"/>
      <c r="AC84" s="13"/>
      <c r="AH84" s="116"/>
      <c r="AI84" s="123"/>
      <c r="AJ84" s="123"/>
      <c r="AK84" s="123"/>
      <c r="AP84" s="115"/>
      <c r="AQ84" s="115"/>
      <c r="AR84" s="115"/>
      <c r="AS84" s="115"/>
      <c r="AT84" s="115"/>
      <c r="AU84" s="115"/>
      <c r="AV84" s="115"/>
      <c r="AW84" s="115"/>
      <c r="AX84" s="115"/>
      <c r="AY84" s="115"/>
      <c r="AZ84" s="25"/>
      <c r="BA84" s="13"/>
      <c r="BD84" s="114"/>
    </row>
    <row r="85" spans="1:56" ht="20.100000000000001" customHeight="1" x14ac:dyDescent="0.4">
      <c r="A85" s="117"/>
      <c r="B85" s="123"/>
      <c r="C85" s="123"/>
      <c r="D85" s="123"/>
      <c r="F85" s="125"/>
      <c r="H85" s="115"/>
      <c r="I85" s="115"/>
      <c r="J85" s="115"/>
      <c r="K85" s="115"/>
      <c r="L85" s="115"/>
      <c r="M85" s="115"/>
      <c r="N85" s="115"/>
      <c r="O85" s="115"/>
      <c r="P85" s="115"/>
      <c r="Q85" s="25">
        <v>45831</v>
      </c>
      <c r="R85" s="13" t="s">
        <v>147</v>
      </c>
      <c r="X85" s="115"/>
      <c r="Y85" s="115"/>
      <c r="Z85" s="115"/>
      <c r="AA85" s="115"/>
      <c r="AB85" s="25"/>
      <c r="AC85" s="13"/>
      <c r="AH85" s="116"/>
      <c r="AI85" s="123"/>
      <c r="AJ85" s="123"/>
      <c r="AK85" s="123"/>
      <c r="AP85" s="115"/>
      <c r="AQ85" s="115"/>
      <c r="AR85" s="115"/>
      <c r="AS85" s="115"/>
      <c r="AT85" s="115"/>
      <c r="AU85" s="115"/>
      <c r="AV85" s="115"/>
      <c r="AW85" s="115"/>
      <c r="AX85" s="115"/>
      <c r="AY85" s="115"/>
      <c r="AZ85" s="25"/>
      <c r="BA85" s="13"/>
      <c r="BD85" s="114"/>
    </row>
    <row r="86" spans="1:56" ht="20.100000000000001" customHeight="1" x14ac:dyDescent="0.4">
      <c r="A86" s="117"/>
      <c r="B86" s="123"/>
      <c r="C86" s="123"/>
      <c r="D86" s="123"/>
      <c r="F86" s="125"/>
      <c r="Q86" s="25">
        <v>45831</v>
      </c>
      <c r="R86" s="13" t="s">
        <v>146</v>
      </c>
      <c r="X86" s="115"/>
      <c r="Y86" s="115"/>
      <c r="Z86" s="115"/>
      <c r="AA86" s="115"/>
      <c r="AB86" s="25">
        <v>45671</v>
      </c>
      <c r="AC86" s="13" t="s">
        <v>146</v>
      </c>
      <c r="AH86" s="116"/>
      <c r="AI86" s="123"/>
      <c r="AJ86" s="123"/>
      <c r="AK86" s="123"/>
      <c r="AP86" s="115"/>
      <c r="AQ86" s="115"/>
      <c r="AR86" s="115"/>
      <c r="AS86" s="115"/>
      <c r="AT86" s="115"/>
      <c r="AU86" s="115"/>
      <c r="AV86" s="115"/>
      <c r="AW86" s="115"/>
      <c r="AX86" s="115"/>
      <c r="AY86" s="115"/>
      <c r="AZ86" s="25"/>
      <c r="BA86" s="13"/>
      <c r="BD86" s="114"/>
    </row>
    <row r="87" spans="1:56" ht="20.100000000000001" customHeight="1" x14ac:dyDescent="0.4">
      <c r="A87" s="117"/>
      <c r="B87" s="123"/>
      <c r="C87" s="123"/>
      <c r="D87" s="123"/>
      <c r="F87" s="125"/>
      <c r="J87" s="115"/>
      <c r="K87" s="115"/>
      <c r="L87" s="115"/>
      <c r="M87" s="115"/>
      <c r="N87" s="115"/>
      <c r="O87" s="115"/>
      <c r="P87" s="115"/>
      <c r="Q87" s="25">
        <v>45831</v>
      </c>
      <c r="R87" s="13" t="s">
        <v>146</v>
      </c>
      <c r="X87" s="115"/>
      <c r="Y87" s="115"/>
      <c r="Z87" s="115"/>
      <c r="AA87" s="115"/>
      <c r="AB87" s="25"/>
      <c r="AC87" s="13"/>
      <c r="AH87" s="116"/>
      <c r="AI87" s="123"/>
      <c r="AJ87" s="123"/>
      <c r="AK87" s="123"/>
      <c r="AP87" s="115"/>
      <c r="AQ87" s="115"/>
      <c r="AR87" s="115"/>
      <c r="AS87" s="115"/>
      <c r="AT87" s="115"/>
      <c r="AU87" s="115"/>
      <c r="AV87" s="115"/>
      <c r="AW87" s="115"/>
      <c r="AX87" s="115"/>
      <c r="AY87" s="115"/>
      <c r="AZ87" s="25"/>
      <c r="BA87" s="13"/>
      <c r="BD87" s="114"/>
    </row>
    <row r="88" spans="1:56" ht="20.100000000000001" customHeight="1" x14ac:dyDescent="0.4">
      <c r="A88" s="117"/>
      <c r="B88" s="123"/>
      <c r="C88" s="123"/>
      <c r="D88" s="123"/>
      <c r="F88" s="125"/>
      <c r="J88" s="115"/>
      <c r="K88" s="115"/>
      <c r="L88" s="115"/>
      <c r="M88" s="115"/>
      <c r="N88" s="115"/>
      <c r="O88" s="115"/>
      <c r="P88" s="115"/>
      <c r="Q88" s="25">
        <v>45831</v>
      </c>
      <c r="R88" s="13" t="s">
        <v>146</v>
      </c>
      <c r="X88" s="115"/>
      <c r="Y88" s="115"/>
      <c r="Z88" s="115"/>
      <c r="AA88" s="115"/>
      <c r="AB88" s="25"/>
      <c r="AC88" s="13"/>
      <c r="AH88" s="116"/>
      <c r="AI88" s="123"/>
      <c r="AJ88" s="123"/>
      <c r="AK88" s="123"/>
      <c r="AP88" s="115"/>
      <c r="AQ88" s="115"/>
      <c r="AR88" s="115"/>
      <c r="AS88" s="115"/>
      <c r="AT88" s="115"/>
      <c r="AU88" s="115"/>
      <c r="AV88" s="115"/>
      <c r="AW88" s="115"/>
      <c r="AX88" s="115"/>
      <c r="AY88" s="115"/>
      <c r="AZ88" s="25"/>
      <c r="BA88" s="13"/>
      <c r="BD88" s="114"/>
    </row>
    <row r="89" spans="1:56" ht="20.100000000000001" customHeight="1" x14ac:dyDescent="0.4">
      <c r="A89" s="117"/>
      <c r="B89" s="123"/>
      <c r="C89" s="123"/>
      <c r="D89" s="123"/>
      <c r="F89" s="125"/>
      <c r="Q89" s="25">
        <v>45831</v>
      </c>
      <c r="R89" s="13" t="s">
        <v>146</v>
      </c>
      <c r="V89" s="115"/>
      <c r="W89" s="115"/>
      <c r="X89" s="115"/>
      <c r="Y89" s="115"/>
      <c r="Z89" s="115"/>
      <c r="AA89" s="115"/>
      <c r="AB89" s="25">
        <v>45671</v>
      </c>
      <c r="AC89" s="13" t="s">
        <v>148</v>
      </c>
      <c r="AH89" s="116"/>
      <c r="AI89" s="123"/>
      <c r="AJ89" s="123"/>
      <c r="AK89" s="123"/>
      <c r="AP89" s="115"/>
      <c r="AQ89" s="115"/>
      <c r="AR89" s="115"/>
      <c r="AS89" s="115"/>
      <c r="AT89" s="115"/>
      <c r="AU89" s="115"/>
      <c r="AV89" s="115"/>
      <c r="AW89" s="115"/>
      <c r="AX89" s="115"/>
      <c r="AY89" s="115"/>
      <c r="AZ89" s="25"/>
      <c r="BA89" s="13"/>
      <c r="BD89" s="114"/>
    </row>
    <row r="90" spans="1:56" ht="20.100000000000001" customHeight="1" x14ac:dyDescent="0.4">
      <c r="A90" s="117"/>
      <c r="B90" s="123"/>
      <c r="C90" s="123"/>
      <c r="D90" s="123"/>
      <c r="F90" s="125"/>
      <c r="P90" s="115" t="s">
        <v>343</v>
      </c>
      <c r="Q90" s="13">
        <f>SUBTOTAL(3,Q79:Q89)</f>
        <v>11</v>
      </c>
      <c r="R90" s="13">
        <f>SUBTOTAL(3,R79:R89)</f>
        <v>11</v>
      </c>
      <c r="V90" s="115"/>
      <c r="W90" s="115"/>
      <c r="X90" s="115"/>
      <c r="Y90" s="115"/>
      <c r="Z90" s="115"/>
      <c r="AA90" s="115"/>
      <c r="AB90" s="25"/>
      <c r="AC90" s="13"/>
      <c r="AH90" s="116"/>
      <c r="AI90" s="123"/>
      <c r="AJ90" s="123"/>
      <c r="AK90" s="123"/>
      <c r="AP90" s="115"/>
      <c r="AQ90" s="115"/>
      <c r="AR90" s="115"/>
      <c r="AS90" s="115"/>
      <c r="AT90" s="115"/>
      <c r="AU90" s="115"/>
      <c r="AV90" s="115"/>
      <c r="AW90" s="115"/>
      <c r="AX90" s="115"/>
      <c r="AY90" s="115"/>
      <c r="AZ90" s="25"/>
      <c r="BA90" s="13"/>
      <c r="BD90" s="114"/>
    </row>
    <row r="91" spans="1:56" ht="20.100000000000001" customHeight="1" x14ac:dyDescent="0.4">
      <c r="A91" s="117"/>
      <c r="B91" s="123"/>
      <c r="C91" s="123"/>
      <c r="D91" s="123"/>
      <c r="Q91" s="25">
        <v>45832</v>
      </c>
      <c r="R91" s="13" t="s">
        <v>147</v>
      </c>
      <c r="V91" s="115"/>
      <c r="W91" s="115"/>
      <c r="X91" s="115"/>
      <c r="Y91" s="115"/>
      <c r="Z91" s="115"/>
      <c r="AA91" s="115"/>
      <c r="AB91" s="25"/>
      <c r="AC91" s="13"/>
      <c r="AH91" s="116"/>
      <c r="AI91" s="123"/>
      <c r="AJ91" s="123"/>
      <c r="AK91" s="123"/>
      <c r="AP91" s="115"/>
      <c r="AQ91" s="115"/>
      <c r="AR91" s="115"/>
      <c r="AS91" s="115"/>
      <c r="AT91" s="115"/>
      <c r="AU91" s="115"/>
      <c r="AV91" s="115"/>
      <c r="AW91" s="115"/>
      <c r="AX91" s="115"/>
      <c r="AY91" s="115"/>
      <c r="AZ91" s="25"/>
      <c r="BA91" s="13"/>
      <c r="BD91" s="114"/>
    </row>
    <row r="92" spans="1:56" ht="20.100000000000001" customHeight="1" x14ac:dyDescent="0.4">
      <c r="A92" s="117"/>
      <c r="B92" s="123"/>
      <c r="C92" s="123"/>
      <c r="D92" s="123"/>
      <c r="N92" s="115"/>
      <c r="O92" s="115"/>
      <c r="P92" s="115"/>
      <c r="Q92" s="25">
        <v>45832</v>
      </c>
      <c r="R92" s="15" t="s">
        <v>147</v>
      </c>
      <c r="V92" s="115"/>
      <c r="W92" s="115"/>
      <c r="X92" s="115"/>
      <c r="Y92" s="115"/>
      <c r="Z92" s="115"/>
      <c r="AA92" s="115"/>
      <c r="AB92" s="25"/>
      <c r="AC92" s="13"/>
      <c r="AH92" s="116"/>
      <c r="AI92" s="123"/>
      <c r="AJ92" s="123"/>
      <c r="AK92" s="123"/>
      <c r="AP92" s="115"/>
      <c r="AQ92" s="115"/>
      <c r="AR92" s="115"/>
      <c r="AS92" s="115"/>
      <c r="AT92" s="115"/>
      <c r="AU92" s="115"/>
      <c r="AV92" s="115"/>
      <c r="AW92" s="115"/>
      <c r="AX92" s="115"/>
      <c r="AY92" s="115"/>
      <c r="AZ92" s="25"/>
      <c r="BA92" s="13"/>
      <c r="BD92" s="114"/>
    </row>
    <row r="93" spans="1:56" ht="20.100000000000001" customHeight="1" x14ac:dyDescent="0.4">
      <c r="A93" s="117"/>
      <c r="B93" s="123"/>
      <c r="C93" s="123"/>
      <c r="D93" s="123"/>
      <c r="N93" s="115"/>
      <c r="O93" s="115"/>
      <c r="P93" s="115"/>
      <c r="Q93" s="25">
        <v>45832</v>
      </c>
      <c r="R93" s="15" t="s">
        <v>146</v>
      </c>
      <c r="V93" s="115"/>
      <c r="W93" s="115"/>
      <c r="X93" s="115"/>
      <c r="Y93" s="115"/>
      <c r="Z93" s="115"/>
      <c r="AA93" s="115"/>
      <c r="AB93" s="25"/>
      <c r="AC93" s="13"/>
      <c r="AH93" s="116"/>
      <c r="AI93" s="123"/>
      <c r="AJ93" s="123"/>
      <c r="AK93" s="123"/>
      <c r="AP93" s="115"/>
      <c r="AQ93" s="115"/>
      <c r="AR93" s="115"/>
      <c r="AS93" s="115"/>
      <c r="AT93" s="115"/>
      <c r="AU93" s="115"/>
      <c r="AV93" s="115"/>
      <c r="AW93" s="115"/>
      <c r="AX93" s="115"/>
      <c r="AY93" s="115"/>
      <c r="AZ93" s="25"/>
      <c r="BA93" s="13"/>
      <c r="BD93" s="114"/>
    </row>
    <row r="94" spans="1:56" ht="20.100000000000001" customHeight="1" x14ac:dyDescent="0.4">
      <c r="A94" s="117"/>
      <c r="B94" s="123"/>
      <c r="C94" s="123"/>
      <c r="D94" s="123"/>
      <c r="N94" s="115"/>
      <c r="O94" s="115"/>
      <c r="P94" s="115" t="s">
        <v>217</v>
      </c>
      <c r="Q94" s="13">
        <f>SUBTOTAL(3,Q91:Q93)</f>
        <v>3</v>
      </c>
      <c r="R94" s="15">
        <f>SUBTOTAL(3,R91:R93)</f>
        <v>3</v>
      </c>
      <c r="V94" s="115"/>
      <c r="W94" s="115"/>
      <c r="X94" s="115"/>
      <c r="Y94" s="115"/>
      <c r="Z94" s="115"/>
      <c r="AA94" s="115"/>
      <c r="AB94" s="25"/>
      <c r="AC94" s="13"/>
      <c r="AH94" s="116"/>
      <c r="AI94" s="123"/>
      <c r="AJ94" s="123"/>
      <c r="AK94" s="123"/>
      <c r="AP94" s="115"/>
      <c r="AQ94" s="115"/>
      <c r="AR94" s="115"/>
      <c r="AS94" s="115"/>
      <c r="AT94" s="115"/>
      <c r="AU94" s="115"/>
      <c r="AV94" s="115"/>
      <c r="AW94" s="115"/>
      <c r="AX94" s="115"/>
      <c r="AY94" s="115"/>
      <c r="AZ94" s="25"/>
      <c r="BA94" s="13"/>
      <c r="BD94" s="114"/>
    </row>
    <row r="95" spans="1:56" ht="20.100000000000001" customHeight="1" x14ac:dyDescent="0.4">
      <c r="A95" s="117"/>
      <c r="B95" s="123"/>
      <c r="C95" s="123"/>
      <c r="D95" s="123"/>
      <c r="Q95" s="25">
        <v>45833</v>
      </c>
      <c r="R95" s="15" t="s">
        <v>146</v>
      </c>
      <c r="V95" s="115"/>
      <c r="W95" s="115"/>
      <c r="X95" s="115"/>
      <c r="Y95" s="115"/>
      <c r="Z95" s="115"/>
      <c r="AA95" s="115"/>
      <c r="AB95" s="25"/>
      <c r="AC95" s="13"/>
      <c r="AH95" s="116"/>
      <c r="AI95" s="123"/>
      <c r="AJ95" s="123"/>
      <c r="AK95" s="123"/>
      <c r="AP95" s="115"/>
      <c r="AQ95" s="115"/>
      <c r="AR95" s="115"/>
      <c r="AS95" s="115"/>
      <c r="AT95" s="115"/>
      <c r="AU95" s="115"/>
      <c r="AV95" s="115"/>
      <c r="AW95" s="115"/>
      <c r="AX95" s="115"/>
      <c r="AY95" s="115"/>
      <c r="AZ95" s="25"/>
      <c r="BA95" s="13"/>
      <c r="BD95" s="114"/>
    </row>
    <row r="96" spans="1:56" ht="20.100000000000001" customHeight="1" x14ac:dyDescent="0.4">
      <c r="A96" s="117"/>
      <c r="B96" s="123"/>
      <c r="C96" s="123"/>
      <c r="D96" s="123"/>
      <c r="M96" s="115"/>
      <c r="N96" s="115"/>
      <c r="O96" s="115"/>
      <c r="P96" s="115"/>
      <c r="Q96" s="25">
        <v>45833</v>
      </c>
      <c r="R96" s="13" t="s">
        <v>146</v>
      </c>
      <c r="V96" s="115"/>
      <c r="W96" s="115"/>
      <c r="X96" s="115"/>
      <c r="Y96" s="115"/>
      <c r="Z96" s="115"/>
      <c r="AA96" s="115"/>
      <c r="AB96" s="25"/>
      <c r="AC96" s="13"/>
      <c r="AH96" s="116"/>
      <c r="AI96" s="123"/>
      <c r="AJ96" s="123"/>
      <c r="AK96" s="123"/>
      <c r="AP96" s="115"/>
      <c r="AQ96" s="115"/>
      <c r="AR96" s="115"/>
      <c r="AS96" s="115"/>
      <c r="AT96" s="115"/>
      <c r="AU96" s="115"/>
      <c r="AV96" s="115"/>
      <c r="AW96" s="115"/>
      <c r="AX96" s="115"/>
      <c r="AY96" s="115"/>
      <c r="AZ96" s="25"/>
      <c r="BA96" s="13"/>
      <c r="BD96" s="114"/>
    </row>
    <row r="97" spans="1:56" ht="20.100000000000001" customHeight="1" x14ac:dyDescent="0.4">
      <c r="A97" s="117"/>
      <c r="B97" s="123"/>
      <c r="C97" s="123"/>
      <c r="D97" s="123"/>
      <c r="M97" s="115"/>
      <c r="N97" s="115"/>
      <c r="O97" s="115"/>
      <c r="P97" s="115" t="s">
        <v>344</v>
      </c>
      <c r="Q97" s="13">
        <f>SUBTOTAL(3,Q95:Q96)</f>
        <v>2</v>
      </c>
      <c r="R97" s="13">
        <f>SUBTOTAL(3,R95:R96)</f>
        <v>2</v>
      </c>
      <c r="V97" s="115"/>
      <c r="W97" s="115"/>
      <c r="X97" s="115"/>
      <c r="Y97" s="115"/>
      <c r="Z97" s="115"/>
      <c r="AA97" s="115"/>
      <c r="AB97" s="25"/>
      <c r="AC97" s="13"/>
      <c r="AH97" s="116"/>
      <c r="AI97" s="123"/>
      <c r="AJ97" s="123"/>
      <c r="AK97" s="123"/>
      <c r="AP97" s="115"/>
      <c r="AQ97" s="115"/>
      <c r="AR97" s="115"/>
      <c r="AS97" s="115"/>
      <c r="AT97" s="115"/>
      <c r="AU97" s="115"/>
      <c r="AV97" s="115"/>
      <c r="AW97" s="115"/>
      <c r="AX97" s="115"/>
      <c r="AY97" s="115"/>
      <c r="AZ97" s="25"/>
      <c r="BA97" s="13"/>
      <c r="BD97" s="114"/>
    </row>
    <row r="98" spans="1:56" ht="20.100000000000001" customHeight="1" x14ac:dyDescent="0.4">
      <c r="A98" s="117"/>
      <c r="B98" s="123"/>
      <c r="C98" s="123"/>
      <c r="D98" s="123"/>
      <c r="Q98" s="25">
        <v>45834</v>
      </c>
      <c r="R98" s="13" t="s">
        <v>148</v>
      </c>
      <c r="V98" s="115"/>
      <c r="W98" s="115"/>
      <c r="X98" s="115"/>
      <c r="Y98" s="115"/>
      <c r="Z98" s="115"/>
      <c r="AA98" s="115"/>
      <c r="AB98" s="25"/>
      <c r="AC98" s="13"/>
      <c r="AH98" s="116"/>
      <c r="AI98" s="123"/>
      <c r="AJ98" s="123"/>
      <c r="AK98" s="123"/>
      <c r="AP98" s="115"/>
      <c r="AQ98" s="115"/>
      <c r="AR98" s="115"/>
      <c r="AS98" s="115"/>
      <c r="AT98" s="115"/>
      <c r="AU98" s="115"/>
      <c r="AV98" s="115"/>
      <c r="AW98" s="115"/>
      <c r="AX98" s="115"/>
      <c r="AY98" s="115"/>
      <c r="AZ98" s="25"/>
      <c r="BA98" s="13"/>
      <c r="BD98" s="114"/>
    </row>
    <row r="99" spans="1:56" ht="20.100000000000001" customHeight="1" x14ac:dyDescent="0.4">
      <c r="A99" s="117"/>
      <c r="B99" s="123"/>
      <c r="C99" s="123"/>
      <c r="D99" s="123"/>
      <c r="K99" s="115"/>
      <c r="L99" s="115"/>
      <c r="M99" s="115"/>
      <c r="N99" s="115"/>
      <c r="O99" s="115"/>
      <c r="P99" s="115"/>
      <c r="Q99" s="25">
        <v>45834</v>
      </c>
      <c r="R99" s="13" t="s">
        <v>147</v>
      </c>
      <c r="V99" s="115"/>
      <c r="W99" s="115"/>
      <c r="X99" s="115"/>
      <c r="Y99" s="115"/>
      <c r="Z99" s="115"/>
      <c r="AA99" s="115"/>
      <c r="AB99" s="25"/>
      <c r="AC99" s="13"/>
      <c r="AH99" s="116"/>
      <c r="AI99" s="123"/>
      <c r="AJ99" s="123"/>
      <c r="AK99" s="123"/>
      <c r="AP99" s="115"/>
      <c r="AQ99" s="115"/>
      <c r="AR99" s="115"/>
      <c r="AS99" s="115"/>
      <c r="AT99" s="115"/>
      <c r="AU99" s="115"/>
      <c r="AV99" s="115"/>
      <c r="AW99" s="115"/>
      <c r="AX99" s="115"/>
      <c r="AY99" s="115"/>
      <c r="AZ99" s="25"/>
      <c r="BA99" s="13"/>
      <c r="BD99" s="114"/>
    </row>
    <row r="100" spans="1:56" ht="20.100000000000001" customHeight="1" x14ac:dyDescent="0.4">
      <c r="A100" s="117"/>
      <c r="B100" s="123"/>
      <c r="C100" s="123"/>
      <c r="D100" s="123"/>
      <c r="J100" s="115"/>
      <c r="K100" s="115"/>
      <c r="L100" s="115"/>
      <c r="M100" s="115"/>
      <c r="N100" s="115"/>
      <c r="O100" s="115"/>
      <c r="P100" s="115"/>
      <c r="Q100" s="25">
        <v>45834</v>
      </c>
      <c r="R100" s="13" t="s">
        <v>147</v>
      </c>
      <c r="V100" s="115"/>
      <c r="W100" s="115"/>
      <c r="X100" s="115"/>
      <c r="Y100" s="115"/>
      <c r="Z100" s="115"/>
      <c r="AA100" s="115"/>
      <c r="AB100" s="25"/>
      <c r="AC100" s="13"/>
      <c r="AH100" s="116"/>
      <c r="AI100" s="123"/>
      <c r="AJ100" s="123"/>
      <c r="AK100" s="123"/>
      <c r="AP100" s="115"/>
      <c r="AQ100" s="115"/>
      <c r="AR100" s="115"/>
      <c r="AS100" s="115"/>
      <c r="AT100" s="115"/>
      <c r="AU100" s="115"/>
      <c r="AV100" s="115"/>
      <c r="AW100" s="115"/>
      <c r="AX100" s="115"/>
      <c r="AY100" s="115"/>
      <c r="AZ100" s="25"/>
      <c r="BA100" s="13"/>
      <c r="BD100" s="114"/>
    </row>
    <row r="101" spans="1:56" ht="20.100000000000001" customHeight="1" x14ac:dyDescent="0.4">
      <c r="A101" s="117"/>
      <c r="B101" s="123"/>
      <c r="C101" s="123"/>
      <c r="D101" s="123"/>
      <c r="J101" s="115"/>
      <c r="K101" s="115"/>
      <c r="L101" s="115"/>
      <c r="M101" s="115"/>
      <c r="N101" s="115"/>
      <c r="O101" s="115"/>
      <c r="P101" s="115" t="s">
        <v>218</v>
      </c>
      <c r="Q101" s="13">
        <f>SUBTOTAL(3,Q98:Q100)</f>
        <v>3</v>
      </c>
      <c r="R101" s="13">
        <f>SUBTOTAL(3,R98:R100)</f>
        <v>3</v>
      </c>
      <c r="V101" s="115"/>
      <c r="W101" s="115"/>
      <c r="X101" s="115"/>
      <c r="Y101" s="115"/>
      <c r="Z101" s="115"/>
      <c r="AA101" s="115"/>
      <c r="AB101" s="25"/>
      <c r="AC101" s="13"/>
      <c r="AH101" s="116"/>
      <c r="AI101" s="123"/>
      <c r="AJ101" s="123"/>
      <c r="AK101" s="123"/>
      <c r="AP101" s="115"/>
      <c r="AQ101" s="115"/>
      <c r="AR101" s="115"/>
      <c r="AS101" s="115"/>
      <c r="AT101" s="115"/>
      <c r="AU101" s="115"/>
      <c r="AV101" s="115"/>
      <c r="AW101" s="115"/>
      <c r="AX101" s="115"/>
      <c r="AY101" s="115"/>
      <c r="AZ101" s="25"/>
      <c r="BA101" s="13"/>
      <c r="BD101" s="114"/>
    </row>
    <row r="102" spans="1:56" ht="20.100000000000001" customHeight="1" x14ac:dyDescent="0.4">
      <c r="A102" s="117"/>
      <c r="B102" s="123"/>
      <c r="C102" s="123"/>
      <c r="D102" s="123"/>
      <c r="I102" s="115"/>
      <c r="J102" s="115"/>
      <c r="K102" s="115"/>
      <c r="L102" s="115"/>
      <c r="M102" s="115"/>
      <c r="N102" s="115"/>
      <c r="O102" s="115"/>
      <c r="P102" s="115"/>
      <c r="Q102" s="25">
        <v>45836</v>
      </c>
      <c r="R102" s="13" t="s">
        <v>146</v>
      </c>
      <c r="V102" s="115"/>
      <c r="W102" s="115"/>
      <c r="X102" s="115"/>
      <c r="Y102" s="115"/>
      <c r="Z102" s="115"/>
      <c r="AA102" s="115"/>
      <c r="AB102" s="25"/>
      <c r="AC102" s="13"/>
      <c r="AH102" s="116"/>
      <c r="AI102" s="123"/>
      <c r="AJ102" s="123"/>
      <c r="AK102" s="123"/>
      <c r="AP102" s="115"/>
      <c r="AQ102" s="115"/>
      <c r="AR102" s="115"/>
      <c r="AS102" s="115"/>
      <c r="AT102" s="115"/>
      <c r="AU102" s="115"/>
      <c r="AV102" s="115"/>
      <c r="AW102" s="115"/>
      <c r="AX102" s="115"/>
      <c r="AY102" s="115"/>
      <c r="AZ102" s="25"/>
      <c r="BA102" s="13"/>
      <c r="BD102" s="114"/>
    </row>
    <row r="103" spans="1:56" ht="20.100000000000001" customHeight="1" x14ac:dyDescent="0.4">
      <c r="A103" s="117"/>
      <c r="B103" s="123"/>
      <c r="C103" s="123"/>
      <c r="D103" s="123"/>
      <c r="I103" s="115"/>
      <c r="J103" s="115"/>
      <c r="K103" s="115"/>
      <c r="L103" s="115"/>
      <c r="M103" s="115"/>
      <c r="N103" s="115"/>
      <c r="O103" s="115"/>
      <c r="P103" s="115"/>
      <c r="Q103" s="25">
        <v>45836</v>
      </c>
      <c r="R103" s="13" t="s">
        <v>148</v>
      </c>
      <c r="V103" s="115"/>
      <c r="W103" s="115"/>
      <c r="X103" s="115"/>
      <c r="Y103" s="115"/>
      <c r="Z103" s="115"/>
      <c r="AA103" s="115"/>
      <c r="AB103" s="25"/>
      <c r="AC103" s="13"/>
      <c r="AH103" s="116"/>
      <c r="AI103" s="123"/>
      <c r="AJ103" s="123"/>
      <c r="AK103" s="123"/>
      <c r="AP103" s="115"/>
      <c r="AQ103" s="115"/>
      <c r="AR103" s="115"/>
      <c r="AS103" s="115"/>
      <c r="AT103" s="115"/>
      <c r="AU103" s="115"/>
      <c r="AV103" s="115"/>
      <c r="AW103" s="115"/>
      <c r="AX103" s="115"/>
      <c r="AY103" s="115"/>
      <c r="AZ103" s="25"/>
      <c r="BA103" s="13"/>
      <c r="BD103" s="114"/>
    </row>
    <row r="104" spans="1:56" ht="20.100000000000001" customHeight="1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115"/>
      <c r="O104" s="115"/>
      <c r="P104" s="115"/>
      <c r="Q104" s="25">
        <v>45836</v>
      </c>
      <c r="R104" s="15" t="s">
        <v>148</v>
      </c>
      <c r="V104" s="115"/>
      <c r="W104" s="115"/>
      <c r="X104" s="115"/>
      <c r="Y104" s="115"/>
      <c r="Z104" s="115"/>
      <c r="AA104" s="115"/>
      <c r="AB104" s="25"/>
      <c r="AC104" s="13"/>
      <c r="AH104" s="116"/>
      <c r="AI104" s="123"/>
      <c r="AJ104" s="123"/>
      <c r="AK104" s="123"/>
      <c r="AP104" s="115"/>
      <c r="AQ104" s="115"/>
      <c r="AR104" s="115"/>
      <c r="AS104" s="115"/>
      <c r="AT104" s="115"/>
      <c r="AU104" s="115"/>
      <c r="AV104" s="115"/>
      <c r="AW104" s="115"/>
      <c r="AX104" s="115"/>
      <c r="AY104" s="115"/>
      <c r="AZ104" s="25"/>
      <c r="BA104" s="13"/>
      <c r="BD104" s="114"/>
    </row>
    <row r="105" spans="1:56" ht="20.100000000000001" customHeight="1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115"/>
      <c r="O105" s="115"/>
      <c r="P105" s="115"/>
      <c r="Q105" s="25">
        <v>45836</v>
      </c>
      <c r="R105" s="15" t="s">
        <v>142</v>
      </c>
      <c r="V105" s="115"/>
      <c r="W105" s="115"/>
      <c r="X105" s="115"/>
      <c r="Y105" s="115"/>
      <c r="Z105" s="115"/>
      <c r="AA105" s="115"/>
      <c r="AB105" s="25"/>
      <c r="AC105" s="13"/>
      <c r="AH105" s="116"/>
      <c r="AI105" s="123"/>
      <c r="AJ105" s="123"/>
      <c r="AK105" s="123"/>
      <c r="AP105" s="115"/>
      <c r="AQ105" s="115"/>
      <c r="AR105" s="115"/>
      <c r="AS105" s="115"/>
      <c r="AT105" s="115"/>
      <c r="AU105" s="115"/>
      <c r="AV105" s="115"/>
      <c r="AW105" s="115"/>
      <c r="AX105" s="115"/>
      <c r="AY105" s="115"/>
      <c r="AZ105" s="25"/>
      <c r="BA105" s="13"/>
      <c r="BD105" s="114"/>
    </row>
    <row r="106" spans="1:56" ht="20.100000000000001" customHeight="1" x14ac:dyDescent="0.4">
      <c r="A106" s="117"/>
      <c r="B106" s="123"/>
      <c r="C106" s="123"/>
      <c r="D106" s="123"/>
      <c r="Q106" s="25">
        <v>45836</v>
      </c>
      <c r="R106" s="15" t="s">
        <v>148</v>
      </c>
      <c r="V106" s="115"/>
      <c r="W106" s="115"/>
      <c r="X106" s="115"/>
      <c r="Y106" s="115"/>
      <c r="Z106" s="115"/>
      <c r="AA106" s="115"/>
      <c r="AB106" s="25">
        <v>45672</v>
      </c>
      <c r="AC106" s="13" t="s">
        <v>146</v>
      </c>
      <c r="AH106" s="116"/>
      <c r="AI106" s="123"/>
      <c r="AJ106" s="123"/>
      <c r="AK106" s="123"/>
      <c r="AP106" s="115"/>
      <c r="AQ106" s="115"/>
      <c r="AR106" s="115"/>
      <c r="AS106" s="115"/>
      <c r="AT106" s="115"/>
      <c r="AU106" s="115"/>
      <c r="AV106" s="115"/>
      <c r="AW106" s="115"/>
      <c r="AX106" s="115"/>
      <c r="AY106" s="115"/>
      <c r="AZ106" s="25"/>
      <c r="BA106" s="13"/>
      <c r="BD106" s="114"/>
    </row>
    <row r="107" spans="1:56" ht="20.100000000000001" customHeight="1" x14ac:dyDescent="0.4">
      <c r="A107" s="117"/>
      <c r="B107" s="123"/>
      <c r="C107" s="123"/>
      <c r="D107" s="123"/>
      <c r="O107" s="115"/>
      <c r="P107" s="115"/>
      <c r="Q107" s="25">
        <v>45836</v>
      </c>
      <c r="R107" s="15" t="s">
        <v>146</v>
      </c>
      <c r="V107" s="115"/>
      <c r="W107" s="115"/>
      <c r="X107" s="115"/>
      <c r="Y107" s="115"/>
      <c r="Z107" s="115"/>
      <c r="AA107" s="115"/>
      <c r="AB107" s="25"/>
      <c r="AC107" s="13"/>
      <c r="AH107" s="116"/>
      <c r="AI107" s="123"/>
      <c r="AJ107" s="123"/>
      <c r="AK107" s="123"/>
      <c r="AP107" s="115"/>
      <c r="AQ107" s="115"/>
      <c r="AR107" s="115"/>
      <c r="AS107" s="115"/>
      <c r="AT107" s="115"/>
      <c r="AU107" s="115"/>
      <c r="AV107" s="115"/>
      <c r="AW107" s="115"/>
      <c r="AX107" s="115"/>
      <c r="AY107" s="115"/>
      <c r="AZ107" s="25"/>
      <c r="BA107" s="13"/>
      <c r="BD107" s="114"/>
    </row>
    <row r="108" spans="1:56" ht="20.100000000000001" customHeight="1" x14ac:dyDescent="0.4">
      <c r="A108" s="117"/>
      <c r="B108" s="123"/>
      <c r="C108" s="123"/>
      <c r="D108" s="123"/>
      <c r="N108" s="115"/>
      <c r="O108" s="115"/>
      <c r="P108" s="115"/>
      <c r="Q108" s="25">
        <v>45836</v>
      </c>
      <c r="R108" s="15" t="s">
        <v>148</v>
      </c>
      <c r="V108" s="115"/>
      <c r="W108" s="115"/>
      <c r="X108" s="115"/>
      <c r="Y108" s="115"/>
      <c r="Z108" s="115"/>
      <c r="AA108" s="115"/>
      <c r="AB108" s="25"/>
      <c r="AC108" s="13"/>
      <c r="AH108" s="116"/>
      <c r="AI108" s="123"/>
      <c r="AJ108" s="123"/>
      <c r="AK108" s="123"/>
      <c r="AP108" s="115"/>
      <c r="AQ108" s="115"/>
      <c r="AR108" s="115"/>
      <c r="AS108" s="115"/>
      <c r="AT108" s="115"/>
      <c r="AU108" s="115"/>
      <c r="AV108" s="115"/>
      <c r="AW108" s="115"/>
      <c r="AX108" s="115"/>
      <c r="AY108" s="115"/>
      <c r="AZ108" s="25"/>
      <c r="BA108" s="13"/>
      <c r="BD108" s="114"/>
    </row>
    <row r="109" spans="1:56" ht="20.100000000000001" customHeight="1" x14ac:dyDescent="0.4">
      <c r="A109" s="117"/>
      <c r="B109" s="123"/>
      <c r="C109" s="123"/>
      <c r="D109" s="123"/>
      <c r="Q109" s="25">
        <v>45836</v>
      </c>
      <c r="R109" s="15" t="s">
        <v>147</v>
      </c>
      <c r="V109" s="115"/>
      <c r="W109" s="115"/>
      <c r="X109" s="115"/>
      <c r="Y109" s="115"/>
      <c r="Z109" s="115"/>
      <c r="AA109" s="115"/>
      <c r="AB109" s="25">
        <v>45672</v>
      </c>
      <c r="AC109" s="13" t="s">
        <v>146</v>
      </c>
      <c r="AH109" s="116"/>
      <c r="AI109" s="123"/>
      <c r="AJ109" s="123"/>
      <c r="AK109" s="123"/>
      <c r="AP109" s="115"/>
      <c r="AQ109" s="115"/>
      <c r="AR109" s="115"/>
      <c r="AS109" s="115"/>
      <c r="AT109" s="115"/>
      <c r="AU109" s="115"/>
      <c r="AV109" s="115"/>
      <c r="AW109" s="115"/>
      <c r="AX109" s="115"/>
      <c r="AY109" s="115"/>
      <c r="AZ109" s="25"/>
      <c r="BA109" s="13"/>
      <c r="BD109" s="114"/>
    </row>
    <row r="110" spans="1:56" ht="20.100000000000001" customHeight="1" x14ac:dyDescent="0.4">
      <c r="A110" s="117"/>
      <c r="B110" s="123"/>
      <c r="C110" s="123"/>
      <c r="D110" s="123"/>
      <c r="Q110" s="25">
        <v>45836</v>
      </c>
      <c r="R110" s="13" t="s">
        <v>147</v>
      </c>
      <c r="V110" s="115"/>
      <c r="W110" s="115"/>
      <c r="X110" s="115"/>
      <c r="Y110" s="115"/>
      <c r="Z110" s="115"/>
      <c r="AA110" s="115"/>
      <c r="AB110" s="25"/>
      <c r="AC110" s="13"/>
      <c r="AH110" s="116"/>
      <c r="AI110" s="123"/>
      <c r="AJ110" s="123"/>
      <c r="AK110" s="123"/>
      <c r="AP110" s="115"/>
      <c r="AQ110" s="115"/>
      <c r="AR110" s="115"/>
      <c r="AS110" s="115"/>
      <c r="AT110" s="115"/>
      <c r="AU110" s="115"/>
      <c r="AV110" s="115"/>
      <c r="AW110" s="115"/>
      <c r="AX110" s="115"/>
      <c r="AY110" s="115"/>
      <c r="AZ110" s="25"/>
      <c r="BA110" s="13"/>
      <c r="BD110" s="114"/>
    </row>
    <row r="111" spans="1:56" ht="20.100000000000001" customHeight="1" x14ac:dyDescent="0.4">
      <c r="A111" s="117"/>
      <c r="B111" s="123"/>
      <c r="C111" s="123"/>
      <c r="D111" s="123"/>
      <c r="Q111" s="25">
        <v>45836</v>
      </c>
      <c r="R111" s="13" t="s">
        <v>146</v>
      </c>
      <c r="V111" s="115"/>
      <c r="W111" s="115"/>
      <c r="X111" s="115"/>
      <c r="Y111" s="115"/>
      <c r="Z111" s="115"/>
      <c r="AA111" s="115"/>
      <c r="AB111" s="25">
        <v>45672</v>
      </c>
      <c r="AC111" s="25" t="s">
        <v>147</v>
      </c>
      <c r="AH111" s="116"/>
      <c r="AI111" s="123"/>
      <c r="AJ111" s="123"/>
      <c r="AK111" s="123"/>
      <c r="AP111" s="115"/>
      <c r="AQ111" s="115"/>
      <c r="AR111" s="115"/>
      <c r="AS111" s="115"/>
      <c r="AT111" s="115"/>
      <c r="AU111" s="115"/>
      <c r="AV111" s="115"/>
      <c r="AW111" s="115"/>
      <c r="AX111" s="115"/>
      <c r="AY111" s="115"/>
      <c r="AZ111" s="25"/>
      <c r="BA111" s="13"/>
      <c r="BD111" s="114"/>
    </row>
    <row r="112" spans="1:56" ht="20.100000000000001" customHeight="1" x14ac:dyDescent="0.4">
      <c r="A112" s="117"/>
      <c r="B112" s="123"/>
      <c r="C112" s="123"/>
      <c r="D112" s="123"/>
      <c r="Q112" s="25">
        <v>45836</v>
      </c>
      <c r="R112" s="13" t="s">
        <v>146</v>
      </c>
      <c r="V112" s="115"/>
      <c r="W112" s="115"/>
      <c r="X112" s="115"/>
      <c r="Y112" s="115"/>
      <c r="Z112" s="115"/>
      <c r="AA112" s="115"/>
      <c r="AB112" s="25"/>
      <c r="AC112" s="25"/>
      <c r="AH112" s="116"/>
      <c r="AI112" s="123"/>
      <c r="AJ112" s="123"/>
      <c r="AK112" s="123"/>
      <c r="AP112" s="115"/>
      <c r="AQ112" s="115"/>
      <c r="AR112" s="115"/>
      <c r="AS112" s="115"/>
      <c r="AT112" s="115"/>
      <c r="AU112" s="115"/>
      <c r="AV112" s="115"/>
      <c r="AW112" s="115"/>
      <c r="AX112" s="115"/>
      <c r="AY112" s="115"/>
      <c r="AZ112" s="25"/>
      <c r="BA112" s="13"/>
      <c r="BD112" s="114"/>
    </row>
    <row r="113" spans="1:56" ht="20.100000000000001" customHeight="1" x14ac:dyDescent="0.4">
      <c r="A113" s="117"/>
      <c r="B113" s="123"/>
      <c r="C113" s="123"/>
      <c r="D113" s="123"/>
      <c r="O113" s="115"/>
      <c r="P113" s="115"/>
      <c r="Q113" s="25">
        <v>45836</v>
      </c>
      <c r="R113" s="13" t="s">
        <v>147</v>
      </c>
      <c r="V113" s="115"/>
      <c r="W113" s="115"/>
      <c r="X113" s="115"/>
      <c r="Y113" s="115"/>
      <c r="Z113" s="115"/>
      <c r="AA113" s="115"/>
      <c r="AB113" s="25"/>
      <c r="AC113" s="25"/>
      <c r="AH113" s="116"/>
      <c r="AI113" s="123"/>
      <c r="AJ113" s="123"/>
      <c r="AK113" s="123"/>
      <c r="AP113" s="115"/>
      <c r="AQ113" s="115"/>
      <c r="AR113" s="115"/>
      <c r="AS113" s="115"/>
      <c r="AT113" s="115"/>
      <c r="AU113" s="115"/>
      <c r="AV113" s="115"/>
      <c r="AW113" s="115"/>
      <c r="AX113" s="115"/>
      <c r="AY113" s="115"/>
      <c r="AZ113" s="25"/>
      <c r="BA113" s="13"/>
      <c r="BD113" s="114"/>
    </row>
    <row r="114" spans="1:56" ht="20.100000000000001" customHeight="1" x14ac:dyDescent="0.4">
      <c r="A114" s="117"/>
      <c r="B114" s="123"/>
      <c r="C114" s="123"/>
      <c r="D114" s="123"/>
      <c r="N114" s="115"/>
      <c r="O114" s="115"/>
      <c r="P114" s="115"/>
      <c r="Q114" s="26">
        <v>45836</v>
      </c>
      <c r="R114" s="13" t="s">
        <v>146</v>
      </c>
      <c r="V114" s="115"/>
      <c r="W114" s="115"/>
      <c r="X114" s="115"/>
      <c r="Y114" s="115"/>
      <c r="Z114" s="115"/>
      <c r="AA114" s="115"/>
      <c r="AB114" s="25"/>
      <c r="AC114" s="25"/>
      <c r="AH114" s="116"/>
      <c r="AI114" s="123"/>
      <c r="AJ114" s="123"/>
      <c r="AK114" s="123"/>
      <c r="AP114" s="115"/>
      <c r="AQ114" s="115"/>
      <c r="AR114" s="115"/>
      <c r="AS114" s="115"/>
      <c r="AT114" s="115"/>
      <c r="AU114" s="115"/>
      <c r="AV114" s="115"/>
      <c r="AW114" s="115"/>
      <c r="AX114" s="115"/>
      <c r="AY114" s="115"/>
      <c r="AZ114" s="25"/>
      <c r="BA114" s="13"/>
      <c r="BD114" s="114"/>
    </row>
    <row r="115" spans="1:56" ht="20.100000000000001" customHeight="1" x14ac:dyDescent="0.4">
      <c r="A115" s="117"/>
      <c r="B115" s="123"/>
      <c r="C115" s="123"/>
      <c r="D115" s="123"/>
      <c r="Q115" s="26">
        <v>45836</v>
      </c>
      <c r="R115" s="13" t="s">
        <v>148</v>
      </c>
      <c r="V115" s="115"/>
      <c r="W115" s="115"/>
      <c r="X115" s="115"/>
      <c r="Y115" s="115"/>
      <c r="Z115" s="115"/>
      <c r="AA115" s="115"/>
      <c r="AB115" s="25">
        <v>45673</v>
      </c>
      <c r="AC115" s="13" t="s">
        <v>147</v>
      </c>
      <c r="AH115" s="116"/>
      <c r="AI115" s="123"/>
      <c r="AJ115" s="123"/>
      <c r="AK115" s="123"/>
      <c r="AP115" s="115"/>
      <c r="AQ115" s="115"/>
      <c r="AR115" s="115"/>
      <c r="AS115" s="115"/>
      <c r="AT115" s="115"/>
      <c r="AU115" s="115"/>
      <c r="AV115" s="115"/>
      <c r="AW115" s="115"/>
      <c r="AX115" s="115"/>
      <c r="AY115" s="115"/>
      <c r="AZ115" s="25"/>
      <c r="BA115" s="13"/>
      <c r="BD115" s="114"/>
    </row>
    <row r="116" spans="1:56" ht="20.100000000000001" customHeight="1" x14ac:dyDescent="0.4">
      <c r="A116" s="117"/>
      <c r="B116" s="123"/>
      <c r="C116" s="123"/>
      <c r="D116" s="123"/>
      <c r="P116" s="115" t="s">
        <v>183</v>
      </c>
      <c r="Q116" s="17">
        <f>SUBTOTAL(3,Q102:Q115)</f>
        <v>14</v>
      </c>
      <c r="R116" s="13">
        <f>SUBTOTAL(3,R102:R115)</f>
        <v>14</v>
      </c>
      <c r="V116" s="115"/>
      <c r="W116" s="115"/>
      <c r="X116" s="115"/>
      <c r="Y116" s="115"/>
      <c r="Z116" s="115"/>
      <c r="AA116" s="115"/>
      <c r="AB116" s="25"/>
      <c r="AC116" s="13"/>
      <c r="AH116" s="116"/>
      <c r="AI116" s="123"/>
      <c r="AJ116" s="123"/>
      <c r="AK116" s="123"/>
      <c r="AP116" s="115"/>
      <c r="AQ116" s="115"/>
      <c r="AR116" s="115"/>
      <c r="AS116" s="115"/>
      <c r="AT116" s="115"/>
      <c r="AU116" s="115"/>
      <c r="AV116" s="115"/>
      <c r="AW116" s="115"/>
      <c r="AX116" s="115"/>
      <c r="AY116" s="115"/>
      <c r="AZ116" s="25"/>
      <c r="BA116" s="13"/>
      <c r="BD116" s="114"/>
    </row>
    <row r="117" spans="1:56" ht="20.100000000000001" customHeight="1" x14ac:dyDescent="0.4">
      <c r="A117" s="117"/>
      <c r="B117" s="123"/>
      <c r="C117" s="123"/>
      <c r="D117" s="123"/>
      <c r="L117" s="115"/>
      <c r="M117" s="115"/>
      <c r="N117" s="115"/>
      <c r="O117" s="115"/>
      <c r="P117" s="115"/>
      <c r="Q117" s="26">
        <v>45837</v>
      </c>
      <c r="R117" s="13" t="s">
        <v>146</v>
      </c>
      <c r="V117" s="115"/>
      <c r="W117" s="115"/>
      <c r="X117" s="115"/>
      <c r="Y117" s="115"/>
      <c r="Z117" s="115"/>
      <c r="AA117" s="115"/>
      <c r="AB117" s="25"/>
      <c r="AC117" s="13"/>
      <c r="AH117" s="116"/>
      <c r="AI117" s="123"/>
      <c r="AJ117" s="123"/>
      <c r="AK117" s="123"/>
      <c r="AP117" s="115"/>
      <c r="AQ117" s="115"/>
      <c r="AR117" s="115"/>
      <c r="AS117" s="115"/>
      <c r="AT117" s="115"/>
      <c r="AU117" s="115"/>
      <c r="AV117" s="115"/>
      <c r="AW117" s="115"/>
      <c r="AX117" s="115"/>
      <c r="AY117" s="115"/>
      <c r="AZ117" s="25"/>
      <c r="BA117" s="13"/>
      <c r="BD117" s="114"/>
    </row>
    <row r="118" spans="1:56" ht="20.100000000000001" customHeight="1" x14ac:dyDescent="0.4">
      <c r="A118" s="117"/>
      <c r="B118" s="123"/>
      <c r="C118" s="123"/>
      <c r="D118" s="123"/>
      <c r="I118" s="115"/>
      <c r="J118" s="115"/>
      <c r="K118" s="115"/>
      <c r="L118" s="115"/>
      <c r="M118" s="115"/>
      <c r="N118" s="115"/>
      <c r="O118" s="115"/>
      <c r="P118" s="115"/>
      <c r="Q118" s="26">
        <v>45837</v>
      </c>
      <c r="R118" s="13" t="s">
        <v>146</v>
      </c>
      <c r="V118" s="115"/>
      <c r="W118" s="115"/>
      <c r="X118" s="115"/>
      <c r="Y118" s="115"/>
      <c r="Z118" s="115"/>
      <c r="AA118" s="115"/>
      <c r="AB118" s="25"/>
      <c r="AC118" s="13"/>
      <c r="AH118" s="116"/>
      <c r="AI118" s="123"/>
      <c r="AJ118" s="123"/>
      <c r="AK118" s="123"/>
      <c r="AP118" s="115"/>
      <c r="AQ118" s="115"/>
      <c r="AR118" s="115"/>
      <c r="AS118" s="115"/>
      <c r="AT118" s="115"/>
      <c r="AU118" s="115"/>
      <c r="AV118" s="115"/>
      <c r="AW118" s="115"/>
      <c r="AX118" s="115"/>
      <c r="AY118" s="115"/>
      <c r="AZ118" s="25"/>
      <c r="BA118" s="13"/>
      <c r="BD118" s="114"/>
    </row>
    <row r="119" spans="1:56" ht="20.100000000000001" customHeight="1" x14ac:dyDescent="0.4">
      <c r="A119" s="117"/>
      <c r="B119" s="123"/>
      <c r="C119" s="123"/>
      <c r="D119" s="123"/>
      <c r="I119" s="115"/>
      <c r="J119" s="115"/>
      <c r="K119" s="115"/>
      <c r="L119" s="115"/>
      <c r="M119" s="115"/>
      <c r="N119" s="115"/>
      <c r="O119" s="115"/>
      <c r="P119" s="115" t="s">
        <v>345</v>
      </c>
      <c r="Q119" s="17">
        <f>SUBTOTAL(3,Q117:Q118)</f>
        <v>2</v>
      </c>
      <c r="R119" s="13">
        <f>SUBTOTAL(3,R117:R118)</f>
        <v>2</v>
      </c>
      <c r="V119" s="115"/>
      <c r="W119" s="115"/>
      <c r="X119" s="115"/>
      <c r="Y119" s="115"/>
      <c r="Z119" s="115"/>
      <c r="AA119" s="115"/>
      <c r="AB119" s="25"/>
      <c r="AC119" s="13"/>
      <c r="AH119" s="116"/>
      <c r="AI119" s="123"/>
      <c r="AJ119" s="123"/>
      <c r="AK119" s="123"/>
      <c r="AP119" s="115"/>
      <c r="AQ119" s="115"/>
      <c r="AR119" s="115"/>
      <c r="AS119" s="115"/>
      <c r="AT119" s="115"/>
      <c r="AU119" s="115"/>
      <c r="AV119" s="115"/>
      <c r="AW119" s="115"/>
      <c r="AX119" s="115"/>
      <c r="AY119" s="115"/>
      <c r="AZ119" s="25"/>
      <c r="BA119" s="13"/>
      <c r="BD119" s="114"/>
    </row>
    <row r="120" spans="1:56" ht="20.100000000000001" customHeight="1" x14ac:dyDescent="0.4">
      <c r="A120" s="117"/>
      <c r="B120" s="123"/>
      <c r="C120" s="123"/>
      <c r="D120" s="123"/>
      <c r="I120" s="115"/>
      <c r="J120" s="115"/>
      <c r="K120" s="115"/>
      <c r="L120" s="115"/>
      <c r="M120" s="115"/>
      <c r="N120" s="115"/>
      <c r="O120" s="115"/>
      <c r="P120" s="115"/>
      <c r="Q120" s="26">
        <v>45838</v>
      </c>
      <c r="R120" s="13" t="s">
        <v>146</v>
      </c>
      <c r="V120" s="115"/>
      <c r="W120" s="115"/>
      <c r="X120" s="115"/>
      <c r="Y120" s="115"/>
      <c r="Z120" s="115"/>
      <c r="AA120" s="115"/>
      <c r="AB120" s="25"/>
      <c r="AC120" s="13"/>
      <c r="AH120" s="116"/>
      <c r="AI120" s="123"/>
      <c r="AJ120" s="123"/>
      <c r="AK120" s="123"/>
      <c r="AP120" s="115"/>
      <c r="AQ120" s="115"/>
      <c r="AR120" s="115"/>
      <c r="AS120" s="115"/>
      <c r="AT120" s="115"/>
      <c r="AU120" s="115"/>
      <c r="AV120" s="115"/>
      <c r="AW120" s="115"/>
      <c r="AX120" s="115"/>
      <c r="AY120" s="115"/>
      <c r="AZ120" s="25"/>
      <c r="BA120" s="13"/>
      <c r="BD120" s="114"/>
    </row>
    <row r="121" spans="1:56" ht="20.100000000000001" customHeight="1" x14ac:dyDescent="0.4">
      <c r="A121" s="117"/>
      <c r="B121" s="123"/>
      <c r="C121" s="123"/>
      <c r="D121" s="123"/>
      <c r="Q121" s="26">
        <v>45838</v>
      </c>
      <c r="R121" s="13" t="s">
        <v>146</v>
      </c>
      <c r="V121" s="115"/>
      <c r="W121" s="115"/>
      <c r="X121" s="115"/>
      <c r="Y121" s="115"/>
      <c r="Z121" s="115"/>
      <c r="AA121" s="115"/>
      <c r="AB121" s="25">
        <v>45673</v>
      </c>
      <c r="AC121" s="13" t="s">
        <v>147</v>
      </c>
      <c r="AH121" s="116"/>
      <c r="AI121" s="123"/>
      <c r="AJ121" s="123"/>
      <c r="AK121" s="123"/>
      <c r="AP121" s="115"/>
      <c r="AQ121" s="115"/>
      <c r="AR121" s="115"/>
      <c r="AS121" s="115"/>
      <c r="AT121" s="115"/>
      <c r="AU121" s="115"/>
      <c r="AV121" s="115"/>
      <c r="AW121" s="115"/>
      <c r="AX121" s="115"/>
      <c r="AY121" s="115"/>
      <c r="AZ121" s="25"/>
      <c r="BA121" s="13"/>
      <c r="BD121" s="114"/>
    </row>
    <row r="122" spans="1:56" ht="20.100000000000001" customHeight="1" x14ac:dyDescent="0.4">
      <c r="A122" s="117"/>
      <c r="B122" s="123"/>
      <c r="C122" s="123"/>
      <c r="D122" s="123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26">
        <v>45838</v>
      </c>
      <c r="R122" s="13" t="s">
        <v>146</v>
      </c>
      <c r="V122" s="115"/>
      <c r="W122" s="115"/>
      <c r="X122" s="115"/>
      <c r="Y122" s="115"/>
      <c r="Z122" s="115"/>
      <c r="AA122" s="115"/>
      <c r="AB122" s="25"/>
      <c r="AC122" s="13"/>
      <c r="AH122" s="116"/>
      <c r="AI122" s="123"/>
      <c r="AJ122" s="123"/>
      <c r="AK122" s="123"/>
      <c r="AP122" s="115"/>
      <c r="AQ122" s="115"/>
      <c r="AR122" s="115"/>
      <c r="AS122" s="115"/>
      <c r="AT122" s="115"/>
      <c r="AU122" s="115"/>
      <c r="AV122" s="115"/>
      <c r="AW122" s="115"/>
      <c r="AX122" s="115"/>
      <c r="AY122" s="115"/>
      <c r="AZ122" s="25"/>
      <c r="BA122" s="13"/>
      <c r="BD122" s="114"/>
    </row>
    <row r="123" spans="1:56" ht="20.100000000000001" customHeight="1" x14ac:dyDescent="0.4">
      <c r="A123" s="117"/>
      <c r="B123" s="123"/>
      <c r="C123" s="123"/>
      <c r="D123" s="123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26">
        <v>45838</v>
      </c>
      <c r="R123" s="13" t="s">
        <v>147</v>
      </c>
      <c r="V123" s="115"/>
      <c r="W123" s="115"/>
      <c r="X123" s="115"/>
      <c r="Y123" s="115"/>
      <c r="Z123" s="115"/>
      <c r="AA123" s="115"/>
      <c r="AB123" s="25"/>
      <c r="AC123" s="13"/>
      <c r="AH123" s="116"/>
      <c r="AI123" s="123"/>
      <c r="AJ123" s="123"/>
      <c r="AK123" s="123"/>
      <c r="AP123" s="115"/>
      <c r="AQ123" s="115"/>
      <c r="AR123" s="115"/>
      <c r="AS123" s="115"/>
      <c r="AT123" s="115"/>
      <c r="AU123" s="115"/>
      <c r="AV123" s="115"/>
      <c r="AW123" s="115"/>
      <c r="AX123" s="115"/>
      <c r="AY123" s="115"/>
      <c r="AZ123" s="25"/>
      <c r="BA123" s="13"/>
      <c r="BD123" s="114"/>
    </row>
    <row r="124" spans="1:56" ht="20.100000000000001" customHeight="1" x14ac:dyDescent="0.4">
      <c r="A124" s="117"/>
      <c r="B124" s="123"/>
      <c r="C124" s="123"/>
      <c r="D124" s="123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26">
        <v>45838</v>
      </c>
      <c r="R124" s="13" t="s">
        <v>146</v>
      </c>
      <c r="V124" s="115"/>
      <c r="W124" s="115"/>
      <c r="X124" s="115"/>
      <c r="Y124" s="115"/>
      <c r="Z124" s="115"/>
      <c r="AA124" s="115"/>
      <c r="AB124" s="25"/>
      <c r="AC124" s="13"/>
      <c r="AH124" s="116"/>
      <c r="AI124" s="123"/>
      <c r="AJ124" s="123"/>
      <c r="AK124" s="123"/>
      <c r="AP124" s="115"/>
      <c r="AQ124" s="115"/>
      <c r="AR124" s="115"/>
      <c r="AS124" s="115"/>
      <c r="AT124" s="115"/>
      <c r="AU124" s="115"/>
      <c r="AV124" s="115"/>
      <c r="AW124" s="115"/>
      <c r="AX124" s="115"/>
      <c r="AY124" s="115"/>
      <c r="AZ124" s="25"/>
      <c r="BA124" s="13"/>
      <c r="BD124" s="114"/>
    </row>
    <row r="125" spans="1:56" ht="20.100000000000001" customHeight="1" x14ac:dyDescent="0.4">
      <c r="A125" s="117"/>
      <c r="B125" s="123"/>
      <c r="C125" s="123"/>
      <c r="D125" s="123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26">
        <v>45838</v>
      </c>
      <c r="R125" s="13" t="s">
        <v>146</v>
      </c>
      <c r="V125" s="115"/>
      <c r="W125" s="115"/>
      <c r="X125" s="115"/>
      <c r="Y125" s="115"/>
      <c r="Z125" s="115"/>
      <c r="AA125" s="115"/>
      <c r="AB125" s="25"/>
      <c r="AC125" s="13"/>
      <c r="AH125" s="116"/>
      <c r="AI125" s="123"/>
      <c r="AJ125" s="123"/>
      <c r="AK125" s="123"/>
      <c r="AP125" s="115"/>
      <c r="AQ125" s="115"/>
      <c r="AR125" s="115"/>
      <c r="AS125" s="115"/>
      <c r="AT125" s="115"/>
      <c r="AU125" s="115"/>
      <c r="AV125" s="115"/>
      <c r="AW125" s="115"/>
      <c r="AX125" s="115"/>
      <c r="AY125" s="115"/>
      <c r="AZ125" s="25"/>
      <c r="BA125" s="13"/>
      <c r="BD125" s="114"/>
    </row>
    <row r="126" spans="1:56" ht="20.100000000000001" customHeight="1" x14ac:dyDescent="0.4">
      <c r="A126" s="117"/>
      <c r="B126" s="123"/>
      <c r="C126" s="123"/>
      <c r="D126" s="123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26">
        <v>45838</v>
      </c>
      <c r="R126" s="13" t="s">
        <v>146</v>
      </c>
      <c r="V126" s="115"/>
      <c r="W126" s="115"/>
      <c r="X126" s="115"/>
      <c r="Y126" s="115"/>
      <c r="Z126" s="115"/>
      <c r="AA126" s="115"/>
      <c r="AB126" s="25"/>
      <c r="AC126" s="13"/>
      <c r="AH126" s="116"/>
      <c r="AI126" s="123"/>
      <c r="AJ126" s="123"/>
      <c r="AK126" s="123"/>
      <c r="AP126" s="115"/>
      <c r="AQ126" s="115"/>
      <c r="AR126" s="115"/>
      <c r="AS126" s="115"/>
      <c r="AT126" s="115"/>
      <c r="AU126" s="115"/>
      <c r="AV126" s="115"/>
      <c r="AW126" s="115"/>
      <c r="AX126" s="115"/>
      <c r="AY126" s="115"/>
      <c r="AZ126" s="25"/>
      <c r="BA126" s="13"/>
      <c r="BD126" s="114"/>
    </row>
    <row r="127" spans="1:56" ht="20.100000000000001" customHeight="1" x14ac:dyDescent="0.4">
      <c r="A127" s="117"/>
      <c r="B127" s="123"/>
      <c r="C127" s="123"/>
      <c r="D127" s="123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26">
        <v>45838</v>
      </c>
      <c r="R127" s="13" t="s">
        <v>146</v>
      </c>
      <c r="V127" s="115"/>
      <c r="W127" s="115"/>
      <c r="X127" s="115"/>
      <c r="Y127" s="115"/>
      <c r="Z127" s="115"/>
      <c r="AA127" s="115"/>
      <c r="AB127" s="25"/>
      <c r="AC127" s="13"/>
      <c r="AH127" s="116"/>
      <c r="AI127" s="123"/>
      <c r="AJ127" s="123"/>
      <c r="AK127" s="123"/>
      <c r="AP127" s="115"/>
      <c r="AQ127" s="115"/>
      <c r="AR127" s="115"/>
      <c r="AS127" s="115"/>
      <c r="AT127" s="115"/>
      <c r="AU127" s="115"/>
      <c r="AV127" s="115"/>
      <c r="AW127" s="115"/>
      <c r="AX127" s="115"/>
      <c r="AY127" s="115"/>
      <c r="AZ127" s="25"/>
      <c r="BA127" s="13"/>
      <c r="BD127" s="114"/>
    </row>
    <row r="128" spans="1:56" ht="20.100000000000001" customHeight="1" x14ac:dyDescent="0.4">
      <c r="A128" s="117"/>
      <c r="B128" s="123"/>
      <c r="C128" s="123"/>
      <c r="D128" s="123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26">
        <v>45838</v>
      </c>
      <c r="R128" s="13" t="s">
        <v>146</v>
      </c>
      <c r="V128" s="115"/>
      <c r="W128" s="115"/>
      <c r="X128" s="115"/>
      <c r="Y128" s="115"/>
      <c r="Z128" s="115"/>
      <c r="AA128" s="115"/>
      <c r="AB128" s="25"/>
      <c r="AC128" s="13"/>
      <c r="AH128" s="116"/>
      <c r="AI128" s="123"/>
      <c r="AJ128" s="123"/>
      <c r="AK128" s="123"/>
      <c r="AP128" s="115"/>
      <c r="AQ128" s="115"/>
      <c r="AR128" s="115"/>
      <c r="AS128" s="115"/>
      <c r="AT128" s="115"/>
      <c r="AU128" s="115"/>
      <c r="AV128" s="115"/>
      <c r="AW128" s="115"/>
      <c r="AX128" s="115"/>
      <c r="AY128" s="115"/>
      <c r="AZ128" s="25"/>
      <c r="BA128" s="13"/>
      <c r="BD128" s="114"/>
    </row>
    <row r="129" spans="1:56" ht="20.100000000000001" customHeight="1" x14ac:dyDescent="0.4">
      <c r="A129" s="117"/>
      <c r="B129" s="123"/>
      <c r="C129" s="123"/>
      <c r="D129" s="123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26">
        <v>45838</v>
      </c>
      <c r="R129" s="13" t="s">
        <v>146</v>
      </c>
      <c r="V129" s="115"/>
      <c r="W129" s="115"/>
      <c r="X129" s="115"/>
      <c r="Y129" s="115"/>
      <c r="Z129" s="115"/>
      <c r="AA129" s="115"/>
      <c r="AB129" s="25"/>
      <c r="AC129" s="13"/>
      <c r="AH129" s="116"/>
      <c r="AI129" s="123"/>
      <c r="AJ129" s="123"/>
      <c r="AK129" s="123"/>
      <c r="AP129" s="115"/>
      <c r="AQ129" s="115"/>
      <c r="AR129" s="115"/>
      <c r="AS129" s="115"/>
      <c r="AT129" s="115"/>
      <c r="AU129" s="115"/>
      <c r="AV129" s="115"/>
      <c r="AW129" s="115"/>
      <c r="AX129" s="115"/>
      <c r="AY129" s="115"/>
      <c r="AZ129" s="25"/>
      <c r="BA129" s="13"/>
      <c r="BD129" s="114"/>
    </row>
    <row r="130" spans="1:56" ht="20.100000000000001" customHeight="1" x14ac:dyDescent="0.4">
      <c r="A130" s="117"/>
      <c r="B130" s="123"/>
      <c r="C130" s="123"/>
      <c r="D130" s="123"/>
      <c r="Q130" s="26">
        <v>45838</v>
      </c>
      <c r="R130" s="13" t="s">
        <v>142</v>
      </c>
      <c r="T130" s="115"/>
      <c r="U130" s="115"/>
      <c r="V130" s="115"/>
      <c r="W130" s="115"/>
      <c r="X130" s="115"/>
      <c r="Y130" s="115"/>
      <c r="Z130" s="115"/>
      <c r="AA130" s="115"/>
      <c r="AB130" s="25">
        <v>45673</v>
      </c>
      <c r="AC130" s="13" t="s">
        <v>148</v>
      </c>
      <c r="AH130" s="116"/>
      <c r="AI130" s="123"/>
      <c r="AJ130" s="123"/>
      <c r="AK130" s="123"/>
      <c r="AP130" s="115"/>
      <c r="AQ130" s="115"/>
      <c r="AR130" s="115"/>
      <c r="AS130" s="115"/>
      <c r="AT130" s="115"/>
      <c r="AU130" s="115"/>
      <c r="AV130" s="115"/>
      <c r="AW130" s="115"/>
      <c r="AX130" s="115"/>
      <c r="AY130" s="115"/>
      <c r="AZ130" s="25"/>
      <c r="BA130" s="13"/>
      <c r="BD130" s="114"/>
    </row>
    <row r="131" spans="1:56" ht="20.100000000000001" customHeight="1" x14ac:dyDescent="0.4">
      <c r="A131" s="117"/>
      <c r="B131" s="123"/>
      <c r="C131" s="123"/>
      <c r="D131" s="123"/>
      <c r="P131" s="115" t="s">
        <v>346</v>
      </c>
      <c r="Q131" s="17">
        <f>SUBTOTAL(3,Q120:Q130)</f>
        <v>11</v>
      </c>
      <c r="R131" s="13">
        <f>SUBTOTAL(3,R120:R130)</f>
        <v>11</v>
      </c>
      <c r="T131" s="115"/>
      <c r="U131" s="115"/>
      <c r="V131" s="115"/>
      <c r="W131" s="115"/>
      <c r="X131" s="115"/>
      <c r="Y131" s="115"/>
      <c r="Z131" s="115"/>
      <c r="AA131" s="115"/>
      <c r="AB131" s="25"/>
      <c r="AC131" s="13"/>
      <c r="AH131" s="116"/>
      <c r="AI131" s="123"/>
      <c r="AJ131" s="123"/>
      <c r="AK131" s="123"/>
      <c r="AP131" s="115"/>
      <c r="AQ131" s="115"/>
      <c r="AR131" s="115"/>
      <c r="AS131" s="115"/>
      <c r="AT131" s="115"/>
      <c r="AU131" s="115"/>
      <c r="AV131" s="115"/>
      <c r="AW131" s="115"/>
      <c r="AX131" s="115"/>
      <c r="AY131" s="115"/>
      <c r="AZ131" s="25"/>
      <c r="BA131" s="13"/>
      <c r="BD131" s="114"/>
    </row>
    <row r="132" spans="1:56" ht="20.100000000000001" customHeight="1" x14ac:dyDescent="0.4">
      <c r="A132" s="117"/>
      <c r="B132" s="123"/>
      <c r="C132" s="123"/>
      <c r="D132" s="123"/>
      <c r="K132" s="115"/>
      <c r="L132" s="115"/>
      <c r="M132" s="115"/>
      <c r="N132" s="115"/>
      <c r="O132" s="115"/>
      <c r="P132" s="115"/>
      <c r="Q132" s="26">
        <v>45840</v>
      </c>
      <c r="R132" s="13" t="s">
        <v>146</v>
      </c>
      <c r="T132" s="115"/>
      <c r="U132" s="115"/>
      <c r="V132" s="115"/>
      <c r="W132" s="115"/>
      <c r="X132" s="115"/>
      <c r="Y132" s="115"/>
      <c r="Z132" s="115"/>
      <c r="AA132" s="115"/>
      <c r="AB132" s="25"/>
      <c r="AC132" s="13"/>
      <c r="AH132" s="116"/>
      <c r="AI132" s="123"/>
      <c r="AJ132" s="123"/>
      <c r="AK132" s="123"/>
      <c r="AP132" s="115"/>
      <c r="AQ132" s="115"/>
      <c r="AR132" s="115"/>
      <c r="AS132" s="115"/>
      <c r="AT132" s="115"/>
      <c r="AU132" s="115"/>
      <c r="AV132" s="115"/>
      <c r="AW132" s="115"/>
      <c r="AX132" s="115"/>
      <c r="AY132" s="115"/>
      <c r="AZ132" s="25"/>
      <c r="BA132" s="13"/>
      <c r="BD132" s="114"/>
    </row>
    <row r="133" spans="1:56" ht="20.100000000000001" customHeight="1" x14ac:dyDescent="0.4">
      <c r="A133" s="117"/>
      <c r="B133" s="123"/>
      <c r="C133" s="123"/>
      <c r="D133" s="123"/>
      <c r="I133" s="115"/>
      <c r="J133" s="115"/>
      <c r="K133" s="115"/>
      <c r="L133" s="115"/>
      <c r="M133" s="115"/>
      <c r="N133" s="115"/>
      <c r="O133" s="115"/>
      <c r="P133" s="115"/>
      <c r="Q133" s="26">
        <v>45840</v>
      </c>
      <c r="R133" s="13" t="s">
        <v>146</v>
      </c>
      <c r="T133" s="115"/>
      <c r="U133" s="115"/>
      <c r="V133" s="115"/>
      <c r="W133" s="115"/>
      <c r="X133" s="115"/>
      <c r="Y133" s="115"/>
      <c r="Z133" s="115"/>
      <c r="AA133" s="115"/>
      <c r="AB133" s="25"/>
      <c r="AC133" s="13"/>
      <c r="AH133" s="116"/>
      <c r="AI133" s="123"/>
      <c r="AJ133" s="123"/>
      <c r="AK133" s="123"/>
      <c r="AP133" s="115"/>
      <c r="AQ133" s="115"/>
      <c r="AR133" s="115"/>
      <c r="AS133" s="115"/>
      <c r="AT133" s="115"/>
      <c r="AU133" s="115"/>
      <c r="AV133" s="115"/>
      <c r="AW133" s="115"/>
      <c r="AX133" s="115"/>
      <c r="AY133" s="115"/>
      <c r="AZ133" s="25"/>
      <c r="BA133" s="13"/>
      <c r="BD133" s="114"/>
    </row>
    <row r="134" spans="1:56" ht="20.100000000000001" customHeight="1" x14ac:dyDescent="0.4">
      <c r="A134" s="117"/>
      <c r="B134" s="123"/>
      <c r="C134" s="123"/>
      <c r="D134" s="123"/>
      <c r="I134" s="115"/>
      <c r="J134" s="115"/>
      <c r="K134" s="115"/>
      <c r="L134" s="115"/>
      <c r="M134" s="115"/>
      <c r="N134" s="115"/>
      <c r="O134" s="115"/>
      <c r="P134" s="115"/>
      <c r="Q134" s="26">
        <v>45840</v>
      </c>
      <c r="R134" s="13" t="s">
        <v>146</v>
      </c>
      <c r="T134" s="115"/>
      <c r="U134" s="115"/>
      <c r="V134" s="115"/>
      <c r="W134" s="115"/>
      <c r="X134" s="115"/>
      <c r="Y134" s="115"/>
      <c r="Z134" s="115"/>
      <c r="AA134" s="115"/>
      <c r="AB134" s="25"/>
      <c r="AC134" s="13"/>
      <c r="AH134" s="116"/>
      <c r="AI134" s="123"/>
      <c r="AJ134" s="123"/>
      <c r="AK134" s="123"/>
      <c r="AP134" s="115"/>
      <c r="AQ134" s="115"/>
      <c r="AR134" s="115"/>
      <c r="AS134" s="115"/>
      <c r="AT134" s="115"/>
      <c r="AU134" s="115"/>
      <c r="AV134" s="115"/>
      <c r="AW134" s="115"/>
      <c r="AX134" s="115"/>
      <c r="AY134" s="115"/>
      <c r="AZ134" s="25"/>
      <c r="BA134" s="13"/>
      <c r="BD134" s="114"/>
    </row>
    <row r="135" spans="1:56" ht="20.100000000000001" customHeight="1" x14ac:dyDescent="0.4">
      <c r="A135" s="117"/>
      <c r="B135" s="123"/>
      <c r="C135" s="123"/>
      <c r="D135" s="123"/>
      <c r="I135" s="115"/>
      <c r="J135" s="115"/>
      <c r="K135" s="115"/>
      <c r="L135" s="115"/>
      <c r="M135" s="115"/>
      <c r="N135" s="115"/>
      <c r="O135" s="115"/>
      <c r="P135" s="115"/>
      <c r="Q135" s="26">
        <v>45840</v>
      </c>
      <c r="R135" s="13" t="s">
        <v>146</v>
      </c>
      <c r="T135" s="115"/>
      <c r="U135" s="115"/>
      <c r="V135" s="115"/>
      <c r="W135" s="115"/>
      <c r="X135" s="115"/>
      <c r="Y135" s="115"/>
      <c r="Z135" s="115"/>
      <c r="AA135" s="115"/>
      <c r="AB135" s="25"/>
      <c r="AC135" s="13"/>
      <c r="AH135" s="116"/>
      <c r="AI135" s="123"/>
      <c r="AJ135" s="123"/>
      <c r="AK135" s="123"/>
      <c r="AP135" s="115"/>
      <c r="AQ135" s="115"/>
      <c r="AR135" s="115"/>
      <c r="AS135" s="115"/>
      <c r="AT135" s="115"/>
      <c r="AU135" s="115"/>
      <c r="AV135" s="115"/>
      <c r="AW135" s="115"/>
      <c r="AX135" s="115"/>
      <c r="AY135" s="115"/>
      <c r="AZ135" s="25"/>
      <c r="BA135" s="13"/>
      <c r="BD135" s="114"/>
    </row>
    <row r="136" spans="1:56" ht="20.100000000000001" customHeight="1" x14ac:dyDescent="0.4">
      <c r="A136" s="117"/>
      <c r="B136" s="123"/>
      <c r="C136" s="123"/>
      <c r="D136" s="123"/>
      <c r="I136" s="115"/>
      <c r="J136" s="115"/>
      <c r="K136" s="115"/>
      <c r="L136" s="115"/>
      <c r="M136" s="115"/>
      <c r="N136" s="115"/>
      <c r="O136" s="115"/>
      <c r="P136" s="115" t="s">
        <v>347</v>
      </c>
      <c r="Q136" s="17">
        <f>SUBTOTAL(3,Q132:Q135)</f>
        <v>4</v>
      </c>
      <c r="R136" s="13">
        <f>SUBTOTAL(3,R132:R135)</f>
        <v>4</v>
      </c>
      <c r="T136" s="115"/>
      <c r="U136" s="115"/>
      <c r="V136" s="115"/>
      <c r="W136" s="115"/>
      <c r="X136" s="115"/>
      <c r="Y136" s="115"/>
      <c r="Z136" s="115"/>
      <c r="AA136" s="115"/>
      <c r="AB136" s="25"/>
      <c r="AC136" s="13"/>
      <c r="AH136" s="116"/>
      <c r="AI136" s="123"/>
      <c r="AJ136" s="123"/>
      <c r="AK136" s="123"/>
      <c r="AP136" s="115"/>
      <c r="AQ136" s="115"/>
      <c r="AR136" s="115"/>
      <c r="AS136" s="115"/>
      <c r="AT136" s="115"/>
      <c r="AU136" s="115"/>
      <c r="AV136" s="115"/>
      <c r="AW136" s="115"/>
      <c r="AX136" s="115"/>
      <c r="AY136" s="115"/>
      <c r="AZ136" s="25"/>
      <c r="BA136" s="13"/>
      <c r="BD136" s="114"/>
    </row>
    <row r="137" spans="1:56" ht="20.100000000000001" customHeight="1" x14ac:dyDescent="0.4">
      <c r="A137" s="117"/>
      <c r="B137" s="123"/>
      <c r="C137" s="123"/>
      <c r="D137" s="123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26">
        <v>45843</v>
      </c>
      <c r="R137" s="13" t="s">
        <v>148</v>
      </c>
      <c r="T137" s="115"/>
      <c r="U137" s="115"/>
      <c r="V137" s="115"/>
      <c r="W137" s="115"/>
      <c r="X137" s="115"/>
      <c r="Y137" s="115"/>
      <c r="Z137" s="115"/>
      <c r="AA137" s="115"/>
      <c r="AB137" s="25"/>
      <c r="AC137" s="13"/>
      <c r="AH137" s="116"/>
      <c r="AI137" s="123"/>
      <c r="AJ137" s="123"/>
      <c r="AK137" s="123"/>
      <c r="AP137" s="115"/>
      <c r="AQ137" s="115"/>
      <c r="AR137" s="115"/>
      <c r="AS137" s="115"/>
      <c r="AT137" s="115"/>
      <c r="AU137" s="115"/>
      <c r="AV137" s="115"/>
      <c r="AW137" s="115"/>
      <c r="AX137" s="115"/>
      <c r="AY137" s="115"/>
      <c r="AZ137" s="25"/>
      <c r="BA137" s="13"/>
      <c r="BD137" s="114"/>
    </row>
    <row r="138" spans="1:56" ht="20.100000000000001" customHeight="1" x14ac:dyDescent="0.4">
      <c r="A138" s="117"/>
      <c r="B138" s="123"/>
      <c r="C138" s="123"/>
      <c r="D138" s="123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26">
        <v>45843</v>
      </c>
      <c r="R138" s="15" t="s">
        <v>146</v>
      </c>
      <c r="T138" s="115"/>
      <c r="U138" s="115"/>
      <c r="V138" s="115"/>
      <c r="W138" s="115"/>
      <c r="X138" s="115"/>
      <c r="Y138" s="115"/>
      <c r="Z138" s="115"/>
      <c r="AA138" s="115"/>
      <c r="AB138" s="25"/>
      <c r="AC138" s="13"/>
      <c r="AH138" s="116"/>
      <c r="AI138" s="123"/>
      <c r="AJ138" s="123"/>
      <c r="AK138" s="123"/>
      <c r="AP138" s="115"/>
      <c r="AQ138" s="115"/>
      <c r="AR138" s="115"/>
      <c r="AS138" s="115"/>
      <c r="AT138" s="115"/>
      <c r="AU138" s="115"/>
      <c r="AV138" s="115"/>
      <c r="AW138" s="115"/>
      <c r="AX138" s="115"/>
      <c r="AY138" s="115"/>
      <c r="AZ138" s="25"/>
      <c r="BA138" s="13"/>
      <c r="BD138" s="114"/>
    </row>
    <row r="139" spans="1:56" ht="20.100000000000001" customHeight="1" x14ac:dyDescent="0.4">
      <c r="A139" s="117"/>
      <c r="B139" s="123"/>
      <c r="C139" s="123"/>
      <c r="D139" s="123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26">
        <v>45843</v>
      </c>
      <c r="R139" s="15" t="s">
        <v>146</v>
      </c>
      <c r="T139" s="115"/>
      <c r="U139" s="115"/>
      <c r="V139" s="115"/>
      <c r="W139" s="115"/>
      <c r="X139" s="115"/>
      <c r="Y139" s="115"/>
      <c r="Z139" s="115"/>
      <c r="AA139" s="115"/>
      <c r="AB139" s="25"/>
      <c r="AC139" s="13"/>
      <c r="AH139" s="116"/>
      <c r="AI139" s="123"/>
      <c r="AJ139" s="123"/>
      <c r="AK139" s="123"/>
      <c r="AP139" s="115"/>
      <c r="AQ139" s="115"/>
      <c r="AR139" s="115"/>
      <c r="AS139" s="115"/>
      <c r="AT139" s="115"/>
      <c r="AU139" s="115"/>
      <c r="AV139" s="115"/>
      <c r="AW139" s="115"/>
      <c r="AX139" s="115"/>
      <c r="AY139" s="115"/>
      <c r="AZ139" s="25"/>
      <c r="BA139" s="13"/>
      <c r="BD139" s="114"/>
    </row>
    <row r="140" spans="1:56" ht="20.100000000000001" customHeight="1" x14ac:dyDescent="0.4">
      <c r="A140" s="117"/>
      <c r="B140" s="123"/>
      <c r="C140" s="123"/>
      <c r="D140" s="123"/>
      <c r="Q140" s="26">
        <v>45843</v>
      </c>
      <c r="R140" s="15" t="s">
        <v>146</v>
      </c>
      <c r="T140" s="115"/>
      <c r="U140" s="115"/>
      <c r="V140" s="115"/>
      <c r="W140" s="115"/>
      <c r="X140" s="115"/>
      <c r="Y140" s="115"/>
      <c r="Z140" s="115"/>
      <c r="AA140" s="115"/>
      <c r="AB140" s="25">
        <v>45673</v>
      </c>
      <c r="AC140" s="13" t="s">
        <v>147</v>
      </c>
      <c r="AH140" s="116"/>
      <c r="AI140" s="123"/>
      <c r="AJ140" s="123"/>
      <c r="AK140" s="123"/>
      <c r="AP140" s="115"/>
      <c r="AQ140" s="115"/>
      <c r="AR140" s="115"/>
      <c r="AS140" s="115"/>
      <c r="AT140" s="115"/>
      <c r="AU140" s="115"/>
      <c r="AV140" s="115"/>
      <c r="AW140" s="115"/>
      <c r="AX140" s="115"/>
      <c r="AY140" s="115"/>
      <c r="AZ140" s="25"/>
      <c r="BA140" s="13"/>
      <c r="BD140" s="114"/>
    </row>
    <row r="141" spans="1:56" ht="20.100000000000001" customHeight="1" x14ac:dyDescent="0.4">
      <c r="A141" s="117"/>
      <c r="B141" s="123"/>
      <c r="C141" s="123"/>
      <c r="D141" s="123"/>
      <c r="P141" s="115" t="s">
        <v>348</v>
      </c>
      <c r="Q141" s="17">
        <f>SUBTOTAL(3,Q137:Q140)</f>
        <v>4</v>
      </c>
      <c r="R141" s="15">
        <f>SUBTOTAL(3,R137:R140)</f>
        <v>4</v>
      </c>
      <c r="T141" s="115"/>
      <c r="U141" s="115"/>
      <c r="V141" s="115"/>
      <c r="W141" s="115"/>
      <c r="X141" s="115"/>
      <c r="Y141" s="115"/>
      <c r="Z141" s="115"/>
      <c r="AA141" s="115"/>
      <c r="AB141" s="25"/>
      <c r="AC141" s="13"/>
      <c r="AH141" s="116"/>
      <c r="AI141" s="123"/>
      <c r="AJ141" s="123"/>
      <c r="AK141" s="123"/>
      <c r="AP141" s="115"/>
      <c r="AQ141" s="115"/>
      <c r="AR141" s="115"/>
      <c r="AS141" s="115"/>
      <c r="AT141" s="115"/>
      <c r="AU141" s="115"/>
      <c r="AV141" s="115"/>
      <c r="AW141" s="115"/>
      <c r="AX141" s="115"/>
      <c r="AY141" s="115"/>
      <c r="AZ141" s="25"/>
      <c r="BA141" s="13"/>
      <c r="BD141" s="114"/>
    </row>
    <row r="142" spans="1:56" ht="20.100000000000001" customHeight="1" x14ac:dyDescent="0.4">
      <c r="A142" s="117"/>
      <c r="B142" s="123"/>
      <c r="C142" s="123"/>
      <c r="D142" s="123"/>
      <c r="Q142" s="26">
        <v>45846</v>
      </c>
      <c r="R142" s="15" t="s">
        <v>142</v>
      </c>
      <c r="T142" s="115"/>
      <c r="U142" s="115"/>
      <c r="V142" s="115"/>
      <c r="W142" s="115"/>
      <c r="X142" s="115"/>
      <c r="Y142" s="115"/>
      <c r="Z142" s="115"/>
      <c r="AA142" s="115"/>
      <c r="AB142" s="25"/>
      <c r="AC142" s="13"/>
      <c r="AH142" s="116"/>
      <c r="AI142" s="123"/>
      <c r="AJ142" s="123"/>
      <c r="AK142" s="123"/>
      <c r="AP142" s="115"/>
      <c r="AQ142" s="115"/>
      <c r="AR142" s="115"/>
      <c r="AS142" s="115"/>
      <c r="AT142" s="115"/>
      <c r="AU142" s="115"/>
      <c r="AV142" s="115"/>
      <c r="AW142" s="115"/>
      <c r="AX142" s="115"/>
      <c r="AY142" s="115"/>
      <c r="AZ142" s="25"/>
      <c r="BA142" s="13"/>
      <c r="BD142" s="114"/>
    </row>
    <row r="143" spans="1:56" ht="20.100000000000001" customHeight="1" x14ac:dyDescent="0.4">
      <c r="A143" s="117"/>
      <c r="B143" s="123"/>
      <c r="C143" s="123"/>
      <c r="D143" s="123"/>
      <c r="P143" s="115" t="s">
        <v>349</v>
      </c>
      <c r="Q143" s="17">
        <f>SUBTOTAL(3,Q142:Q142)</f>
        <v>1</v>
      </c>
      <c r="R143" s="15">
        <f>SUBTOTAL(3,R142:R142)</f>
        <v>1</v>
      </c>
      <c r="T143" s="115"/>
      <c r="U143" s="115"/>
      <c r="V143" s="115"/>
      <c r="W143" s="115"/>
      <c r="X143" s="115"/>
      <c r="Y143" s="115"/>
      <c r="Z143" s="115"/>
      <c r="AA143" s="115"/>
      <c r="AB143" s="25"/>
      <c r="AC143" s="13"/>
      <c r="AH143" s="116"/>
      <c r="AI143" s="123"/>
      <c r="AJ143" s="123"/>
      <c r="AK143" s="123"/>
      <c r="AP143" s="115"/>
      <c r="AQ143" s="115"/>
      <c r="AR143" s="115"/>
      <c r="AS143" s="115"/>
      <c r="AT143" s="115"/>
      <c r="AU143" s="115"/>
      <c r="AV143" s="115"/>
      <c r="AW143" s="115"/>
      <c r="AX143" s="115"/>
      <c r="AY143" s="115"/>
      <c r="AZ143" s="25"/>
      <c r="BA143" s="13"/>
      <c r="BD143" s="114"/>
    </row>
    <row r="144" spans="1:56" ht="20.100000000000001" customHeight="1" x14ac:dyDescent="0.4">
      <c r="A144" s="117"/>
      <c r="B144" s="123"/>
      <c r="C144" s="123"/>
      <c r="D144" s="123"/>
      <c r="K144" s="115"/>
      <c r="L144" s="115"/>
      <c r="M144" s="115"/>
      <c r="N144" s="115"/>
      <c r="O144" s="115"/>
      <c r="P144" s="115"/>
      <c r="Q144" s="26">
        <v>45865</v>
      </c>
      <c r="R144" s="15" t="s">
        <v>146</v>
      </c>
      <c r="T144" s="115"/>
      <c r="U144" s="115"/>
      <c r="V144" s="115"/>
      <c r="W144" s="115"/>
      <c r="X144" s="115"/>
      <c r="Y144" s="115"/>
      <c r="Z144" s="115"/>
      <c r="AA144" s="115"/>
      <c r="AB144" s="25"/>
      <c r="AC144" s="13"/>
      <c r="AH144" s="116"/>
      <c r="AI144" s="123"/>
      <c r="AJ144" s="123"/>
      <c r="AK144" s="123"/>
      <c r="AP144" s="115"/>
      <c r="AQ144" s="115"/>
      <c r="AR144" s="115"/>
      <c r="AS144" s="115"/>
      <c r="AT144" s="115"/>
      <c r="AU144" s="115"/>
      <c r="AV144" s="115"/>
      <c r="AW144" s="115"/>
      <c r="AX144" s="115"/>
      <c r="AY144" s="115"/>
      <c r="AZ144" s="25"/>
      <c r="BA144" s="13"/>
      <c r="BD144" s="114"/>
    </row>
    <row r="145" spans="1:56" ht="20.100000000000001" customHeight="1" x14ac:dyDescent="0.4">
      <c r="A145" s="117"/>
      <c r="B145" s="123"/>
      <c r="C145" s="123"/>
      <c r="D145" s="123"/>
      <c r="K145" s="115"/>
      <c r="L145" s="115"/>
      <c r="M145" s="115"/>
      <c r="N145" s="115"/>
      <c r="O145" s="115"/>
      <c r="P145" s="115" t="s">
        <v>350</v>
      </c>
      <c r="Q145" s="20">
        <f>SUBTOTAL(3,Q144:Q144)</f>
        <v>1</v>
      </c>
      <c r="R145" s="13">
        <f>SUBTOTAL(3,R144:R144)</f>
        <v>1</v>
      </c>
      <c r="T145" s="115"/>
      <c r="U145" s="115"/>
      <c r="V145" s="115"/>
      <c r="W145" s="115"/>
      <c r="X145" s="115"/>
      <c r="Y145" s="115"/>
      <c r="Z145" s="115"/>
      <c r="AA145" s="115"/>
      <c r="AB145" s="25"/>
      <c r="AC145" s="13"/>
      <c r="AH145" s="116"/>
      <c r="AI145" s="123"/>
      <c r="AJ145" s="123"/>
      <c r="AK145" s="123"/>
      <c r="AP145" s="115"/>
      <c r="AQ145" s="115"/>
      <c r="AR145" s="115"/>
      <c r="AS145" s="115"/>
      <c r="AT145" s="115"/>
      <c r="AU145" s="115"/>
      <c r="AV145" s="115"/>
      <c r="AW145" s="115"/>
      <c r="AX145" s="115"/>
      <c r="AY145" s="115"/>
      <c r="AZ145" s="25"/>
      <c r="BA145" s="13"/>
      <c r="BD145" s="114"/>
    </row>
    <row r="146" spans="1:56" ht="20.100000000000001" customHeight="1" x14ac:dyDescent="0.4">
      <c r="A146" s="117"/>
      <c r="B146" s="123"/>
      <c r="C146" s="123"/>
      <c r="D146" s="123"/>
      <c r="K146" s="115"/>
      <c r="L146" s="115"/>
      <c r="M146" s="115"/>
      <c r="N146" s="115"/>
      <c r="O146" s="115"/>
      <c r="P146" s="115" t="s">
        <v>145</v>
      </c>
      <c r="Q146" s="20">
        <f>SUBTOTAL(3,Q2:Q144)</f>
        <v>118</v>
      </c>
      <c r="R146" s="13">
        <f>SUBTOTAL(3,R2:R144)</f>
        <v>118</v>
      </c>
      <c r="T146" s="115"/>
      <c r="U146" s="115"/>
      <c r="V146" s="115"/>
      <c r="W146" s="115"/>
      <c r="X146" s="115"/>
      <c r="Y146" s="115"/>
      <c r="Z146" s="115"/>
      <c r="AA146" s="115"/>
      <c r="AB146" s="25"/>
      <c r="AC146" s="13"/>
      <c r="AH146" s="116"/>
      <c r="AI146" s="123"/>
      <c r="AJ146" s="123"/>
      <c r="AK146" s="123"/>
      <c r="AP146" s="115"/>
      <c r="AQ146" s="115"/>
      <c r="AR146" s="115"/>
      <c r="AS146" s="115"/>
      <c r="AT146" s="115"/>
      <c r="AU146" s="115"/>
      <c r="AV146" s="115"/>
      <c r="AW146" s="115"/>
      <c r="AX146" s="115"/>
      <c r="AY146" s="115"/>
      <c r="AZ146" s="25"/>
      <c r="BA146" s="13"/>
      <c r="BD146" s="114"/>
    </row>
    <row r="147" spans="1:56" ht="20.100000000000001" customHeight="1" x14ac:dyDescent="0.4">
      <c r="A147" s="117"/>
      <c r="B147" s="123"/>
      <c r="C147" s="123"/>
      <c r="D147" s="123"/>
      <c r="K147" s="115"/>
      <c r="L147" s="115"/>
      <c r="M147" s="115"/>
      <c r="N147" s="115"/>
      <c r="O147" s="115"/>
      <c r="P147" s="115"/>
      <c r="Q147" s="13"/>
      <c r="R147" s="13"/>
      <c r="T147" s="115"/>
      <c r="U147" s="115"/>
      <c r="V147" s="115"/>
      <c r="W147" s="115"/>
      <c r="X147" s="115"/>
      <c r="Y147" s="115"/>
      <c r="Z147" s="115"/>
      <c r="AA147" s="115"/>
      <c r="AB147" s="25"/>
      <c r="AC147" s="13"/>
      <c r="AH147" s="116"/>
      <c r="AI147" s="123"/>
      <c r="AJ147" s="123"/>
      <c r="AK147" s="123"/>
      <c r="AP147" s="115"/>
      <c r="AQ147" s="115"/>
      <c r="AR147" s="115"/>
      <c r="AS147" s="115"/>
      <c r="AT147" s="115"/>
      <c r="AU147" s="115"/>
      <c r="AV147" s="115"/>
      <c r="AW147" s="115"/>
      <c r="AX147" s="115"/>
      <c r="AY147" s="115"/>
      <c r="AZ147" s="25"/>
      <c r="BA147" s="13"/>
      <c r="BD147" s="114"/>
    </row>
    <row r="148" spans="1:56" ht="20.100000000000001" customHeight="1" x14ac:dyDescent="0.4">
      <c r="A148" s="117"/>
      <c r="B148" s="123"/>
      <c r="C148" s="123"/>
      <c r="D148" s="123"/>
      <c r="H148" s="115"/>
      <c r="I148" s="115"/>
      <c r="J148" s="115"/>
      <c r="K148" s="115"/>
      <c r="L148" s="115"/>
      <c r="M148" s="115"/>
      <c r="N148" s="115"/>
      <c r="O148" s="115"/>
      <c r="P148" s="115"/>
      <c r="Q148" s="25"/>
      <c r="R148" s="13"/>
      <c r="T148" s="115"/>
      <c r="U148" s="115"/>
      <c r="V148" s="115"/>
      <c r="W148" s="115"/>
      <c r="X148" s="115"/>
      <c r="Y148" s="115"/>
      <c r="Z148" s="115"/>
      <c r="AA148" s="115"/>
      <c r="AB148" s="25"/>
      <c r="AC148" s="13"/>
      <c r="AH148" s="116"/>
      <c r="AI148" s="123"/>
      <c r="AJ148" s="123"/>
      <c r="AK148" s="123"/>
      <c r="AP148" s="115"/>
      <c r="AQ148" s="115"/>
      <c r="AR148" s="115"/>
      <c r="AS148" s="115"/>
      <c r="AT148" s="115"/>
      <c r="AU148" s="115"/>
      <c r="AV148" s="115"/>
      <c r="AW148" s="115"/>
      <c r="AX148" s="115"/>
      <c r="AY148" s="115"/>
      <c r="AZ148" s="25"/>
      <c r="BA148" s="13"/>
      <c r="BD148" s="114"/>
    </row>
    <row r="149" spans="1:56" ht="20.100000000000001" customHeight="1" x14ac:dyDescent="0.4">
      <c r="A149" s="117"/>
      <c r="B149" s="123"/>
      <c r="C149" s="123"/>
      <c r="D149" s="123"/>
      <c r="H149" s="115"/>
      <c r="I149" s="115"/>
      <c r="J149" s="115"/>
      <c r="K149" s="115"/>
      <c r="L149" s="115"/>
      <c r="M149" s="115"/>
      <c r="N149" s="115"/>
      <c r="O149" s="115"/>
      <c r="P149" s="115"/>
      <c r="Q149" s="13"/>
      <c r="R149" s="13"/>
      <c r="T149" s="115"/>
      <c r="U149" s="115"/>
      <c r="V149" s="115"/>
      <c r="W149" s="115"/>
      <c r="X149" s="115"/>
      <c r="Y149" s="115"/>
      <c r="Z149" s="115"/>
      <c r="AA149" s="115"/>
      <c r="AB149" s="25"/>
      <c r="AC149" s="13"/>
      <c r="AH149" s="116"/>
      <c r="AI149" s="123"/>
      <c r="AJ149" s="123"/>
      <c r="AK149" s="123"/>
      <c r="AP149" s="115"/>
      <c r="AQ149" s="115"/>
      <c r="AR149" s="115"/>
      <c r="AS149" s="115"/>
      <c r="AT149" s="115"/>
      <c r="AU149" s="115"/>
      <c r="AV149" s="115"/>
      <c r="AW149" s="115"/>
      <c r="AX149" s="115"/>
      <c r="AY149" s="115"/>
      <c r="AZ149" s="25"/>
      <c r="BA149" s="13"/>
      <c r="BD149" s="114"/>
    </row>
    <row r="150" spans="1:56" ht="20.100000000000001" customHeight="1" x14ac:dyDescent="0.4">
      <c r="A150" s="117"/>
      <c r="B150" s="123"/>
      <c r="C150" s="123"/>
      <c r="D150" s="123"/>
      <c r="H150" s="115"/>
      <c r="I150" s="115"/>
      <c r="J150" s="115"/>
      <c r="K150" s="115"/>
      <c r="L150" s="115"/>
      <c r="M150" s="115"/>
      <c r="N150" s="115"/>
      <c r="O150" s="115"/>
      <c r="P150" s="115"/>
      <c r="Q150" s="25"/>
      <c r="R150" s="13"/>
      <c r="T150" s="115"/>
      <c r="U150" s="115"/>
      <c r="V150" s="115"/>
      <c r="W150" s="115"/>
      <c r="X150" s="115"/>
      <c r="Y150" s="115"/>
      <c r="Z150" s="115"/>
      <c r="AA150" s="115"/>
      <c r="AB150" s="25"/>
      <c r="AC150" s="13"/>
      <c r="AH150" s="116"/>
      <c r="AI150" s="123"/>
      <c r="AJ150" s="123"/>
      <c r="AK150" s="123"/>
      <c r="AP150" s="115"/>
      <c r="AQ150" s="115"/>
      <c r="AR150" s="115"/>
      <c r="AS150" s="115"/>
      <c r="AT150" s="115"/>
      <c r="AU150" s="115"/>
      <c r="AV150" s="115"/>
      <c r="AW150" s="115"/>
      <c r="AX150" s="115"/>
      <c r="AY150" s="115"/>
      <c r="AZ150" s="25"/>
      <c r="BA150" s="13"/>
      <c r="BD150" s="114"/>
    </row>
    <row r="151" spans="1:56" ht="20.100000000000001" customHeight="1" x14ac:dyDescent="0.4">
      <c r="A151" s="117"/>
      <c r="B151" s="123"/>
      <c r="C151" s="123"/>
      <c r="D151" s="123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25"/>
      <c r="R151" s="13"/>
      <c r="T151" s="115"/>
      <c r="U151" s="115"/>
      <c r="V151" s="115"/>
      <c r="W151" s="115"/>
      <c r="X151" s="115"/>
      <c r="Y151" s="115"/>
      <c r="Z151" s="115"/>
      <c r="AA151" s="115"/>
      <c r="AB151" s="25"/>
      <c r="AC151" s="13"/>
      <c r="AH151" s="116"/>
      <c r="AI151" s="123"/>
      <c r="AJ151" s="123"/>
      <c r="AK151" s="123"/>
      <c r="AP151" s="115"/>
      <c r="AQ151" s="115"/>
      <c r="AR151" s="115"/>
      <c r="AS151" s="115"/>
      <c r="AT151" s="115"/>
      <c r="AU151" s="115"/>
      <c r="AV151" s="115"/>
      <c r="AW151" s="115"/>
      <c r="AX151" s="115"/>
      <c r="AY151" s="115"/>
      <c r="AZ151" s="25"/>
      <c r="BA151" s="13"/>
      <c r="BD151" s="114"/>
    </row>
    <row r="152" spans="1:56" ht="20.100000000000001" customHeight="1" x14ac:dyDescent="0.4">
      <c r="A152" s="117"/>
      <c r="B152" s="123"/>
      <c r="C152" s="123"/>
      <c r="D152" s="123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25"/>
      <c r="R152" s="13"/>
      <c r="T152" s="115"/>
      <c r="U152" s="115"/>
      <c r="V152" s="115"/>
      <c r="W152" s="115"/>
      <c r="X152" s="115"/>
      <c r="Y152" s="115"/>
      <c r="Z152" s="115"/>
      <c r="AA152" s="115"/>
      <c r="AB152" s="25"/>
      <c r="AC152" s="13"/>
      <c r="AH152" s="116"/>
      <c r="AI152" s="123"/>
      <c r="AJ152" s="123"/>
      <c r="AK152" s="123"/>
      <c r="AP152" s="115"/>
      <c r="AQ152" s="115"/>
      <c r="AR152" s="115"/>
      <c r="AS152" s="115"/>
      <c r="AT152" s="115"/>
      <c r="AU152" s="115"/>
      <c r="AV152" s="115"/>
      <c r="AW152" s="115"/>
      <c r="AX152" s="115"/>
      <c r="AY152" s="115"/>
      <c r="AZ152" s="25"/>
      <c r="BA152" s="13"/>
      <c r="BD152" s="114"/>
    </row>
    <row r="153" spans="1:56" ht="20.100000000000001" customHeight="1" x14ac:dyDescent="0.4">
      <c r="A153" s="117"/>
      <c r="B153" s="123"/>
      <c r="C153" s="123"/>
      <c r="D153" s="123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25"/>
      <c r="R153" s="13"/>
      <c r="T153" s="115"/>
      <c r="U153" s="115"/>
      <c r="V153" s="115"/>
      <c r="W153" s="115"/>
      <c r="X153" s="115"/>
      <c r="Y153" s="115"/>
      <c r="Z153" s="115"/>
      <c r="AA153" s="115"/>
      <c r="AB153" s="25"/>
      <c r="AC153" s="13"/>
      <c r="AH153" s="116"/>
      <c r="AI153" s="123"/>
      <c r="AJ153" s="123"/>
      <c r="AK153" s="123"/>
      <c r="AP153" s="115"/>
      <c r="AQ153" s="115"/>
      <c r="AR153" s="115"/>
      <c r="AS153" s="115"/>
      <c r="AT153" s="115"/>
      <c r="AU153" s="115"/>
      <c r="AV153" s="115"/>
      <c r="AW153" s="115"/>
      <c r="AX153" s="115"/>
      <c r="AY153" s="115"/>
      <c r="AZ153" s="25"/>
      <c r="BA153" s="13"/>
      <c r="BD153" s="114"/>
    </row>
    <row r="154" spans="1:56" ht="20.100000000000001" customHeight="1" x14ac:dyDescent="0.4">
      <c r="A154" s="117"/>
      <c r="B154" s="123"/>
      <c r="C154" s="123"/>
      <c r="D154" s="123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25"/>
      <c r="R154" s="13"/>
      <c r="T154" s="115"/>
      <c r="U154" s="115"/>
      <c r="V154" s="115"/>
      <c r="W154" s="115"/>
      <c r="X154" s="115"/>
      <c r="Y154" s="115"/>
      <c r="Z154" s="115"/>
      <c r="AA154" s="115"/>
      <c r="AB154" s="25"/>
      <c r="AC154" s="13"/>
      <c r="AH154" s="116"/>
      <c r="AI154" s="123"/>
      <c r="AJ154" s="123"/>
      <c r="AK154" s="123"/>
      <c r="AP154" s="115"/>
      <c r="AQ154" s="115"/>
      <c r="AR154" s="115"/>
      <c r="AS154" s="115"/>
      <c r="AT154" s="115"/>
      <c r="AU154" s="115"/>
      <c r="AV154" s="115"/>
      <c r="AW154" s="115"/>
      <c r="AX154" s="115"/>
      <c r="AY154" s="115"/>
      <c r="AZ154" s="25"/>
      <c r="BA154" s="13"/>
      <c r="BD154" s="114"/>
    </row>
    <row r="155" spans="1:56" ht="20.100000000000001" customHeight="1" x14ac:dyDescent="0.4">
      <c r="A155" s="117"/>
      <c r="B155" s="123"/>
      <c r="C155" s="123"/>
      <c r="D155" s="123"/>
      <c r="Q155" s="25"/>
      <c r="R155" s="13"/>
      <c r="T155" s="115"/>
      <c r="U155" s="115"/>
      <c r="V155" s="115"/>
      <c r="W155" s="115"/>
      <c r="X155" s="115"/>
      <c r="Y155" s="115"/>
      <c r="Z155" s="115"/>
      <c r="AA155" s="115"/>
      <c r="AB155" s="25">
        <v>45673</v>
      </c>
      <c r="AC155" s="13" t="s">
        <v>147</v>
      </c>
      <c r="AH155" s="116"/>
      <c r="AI155" s="123"/>
      <c r="AJ155" s="123"/>
      <c r="AK155" s="123"/>
      <c r="AP155" s="115"/>
      <c r="AQ155" s="115"/>
      <c r="AR155" s="115"/>
      <c r="AS155" s="115"/>
      <c r="AT155" s="115"/>
      <c r="AU155" s="115"/>
      <c r="AV155" s="115"/>
      <c r="AW155" s="115"/>
      <c r="AX155" s="115"/>
      <c r="AY155" s="115"/>
      <c r="AZ155" s="25"/>
      <c r="BA155" s="13"/>
      <c r="BD155" s="114"/>
    </row>
    <row r="156" spans="1:56" ht="20.100000000000001" customHeight="1" x14ac:dyDescent="0.4">
      <c r="A156" s="117"/>
      <c r="B156" s="123"/>
      <c r="C156" s="123"/>
      <c r="D156" s="123"/>
      <c r="Q156" s="25"/>
      <c r="R156" s="13"/>
      <c r="T156" s="115"/>
      <c r="U156" s="115"/>
      <c r="V156" s="115"/>
      <c r="W156" s="115"/>
      <c r="X156" s="115"/>
      <c r="Y156" s="115"/>
      <c r="Z156" s="115"/>
      <c r="AA156" s="115"/>
      <c r="AB156" s="25">
        <v>45673</v>
      </c>
      <c r="AC156" s="13" t="s">
        <v>147</v>
      </c>
      <c r="AH156" s="116"/>
      <c r="AI156" s="123"/>
      <c r="AJ156" s="123"/>
      <c r="AK156" s="123"/>
      <c r="AP156" s="115"/>
      <c r="AQ156" s="115"/>
      <c r="AR156" s="115"/>
      <c r="AS156" s="115"/>
      <c r="AT156" s="115"/>
      <c r="AU156" s="115"/>
      <c r="AV156" s="115"/>
      <c r="AW156" s="115"/>
      <c r="AX156" s="115"/>
      <c r="AY156" s="115"/>
      <c r="AZ156" s="25"/>
      <c r="BA156" s="13"/>
      <c r="BD156" s="114"/>
    </row>
    <row r="157" spans="1:56" ht="20.100000000000001" customHeight="1" x14ac:dyDescent="0.4">
      <c r="A157" s="117"/>
      <c r="B157" s="123"/>
      <c r="C157" s="123"/>
      <c r="D157" s="123"/>
      <c r="Q157" s="25"/>
      <c r="R157" s="13"/>
      <c r="T157" s="115"/>
      <c r="U157" s="115"/>
      <c r="V157" s="115"/>
      <c r="W157" s="115"/>
      <c r="X157" s="115"/>
      <c r="Y157" s="115"/>
      <c r="Z157" s="115"/>
      <c r="AA157" s="115"/>
      <c r="AB157" s="25">
        <v>45675</v>
      </c>
      <c r="AC157" s="13" t="s">
        <v>147</v>
      </c>
      <c r="AH157" s="116"/>
      <c r="AI157" s="123"/>
      <c r="AJ157" s="123"/>
      <c r="AK157" s="123"/>
      <c r="AP157" s="115"/>
      <c r="AQ157" s="115"/>
      <c r="AR157" s="115"/>
      <c r="AS157" s="115"/>
      <c r="AT157" s="115"/>
      <c r="AU157" s="115"/>
      <c r="AV157" s="115"/>
      <c r="AW157" s="115"/>
      <c r="AX157" s="115"/>
      <c r="AY157" s="115"/>
      <c r="AZ157" s="25"/>
      <c r="BA157" s="13"/>
      <c r="BD157" s="114"/>
    </row>
    <row r="158" spans="1:56" ht="20.100000000000001" customHeight="1" x14ac:dyDescent="0.4">
      <c r="A158" s="117"/>
      <c r="B158" s="123"/>
      <c r="C158" s="123"/>
      <c r="D158" s="123"/>
      <c r="Q158" s="25"/>
      <c r="R158" s="13"/>
      <c r="T158" s="115"/>
      <c r="U158" s="115"/>
      <c r="V158" s="115"/>
      <c r="W158" s="115"/>
      <c r="X158" s="115"/>
      <c r="Y158" s="115"/>
      <c r="Z158" s="115"/>
      <c r="AA158" s="115"/>
      <c r="AB158" s="25"/>
      <c r="AC158" s="13"/>
      <c r="AH158" s="116"/>
      <c r="AI158" s="123"/>
      <c r="AJ158" s="123"/>
      <c r="AK158" s="123"/>
      <c r="AP158" s="115"/>
      <c r="AQ158" s="115"/>
      <c r="AR158" s="115"/>
      <c r="AS158" s="115"/>
      <c r="AT158" s="115"/>
      <c r="AU158" s="115"/>
      <c r="AV158" s="115"/>
      <c r="AW158" s="115"/>
      <c r="AX158" s="115"/>
      <c r="AY158" s="115"/>
      <c r="AZ158" s="25"/>
      <c r="BA158" s="13"/>
      <c r="BD158" s="114"/>
    </row>
    <row r="159" spans="1:56" ht="20.100000000000001" customHeight="1" x14ac:dyDescent="0.4">
      <c r="A159" s="117"/>
      <c r="B159" s="123"/>
      <c r="C159" s="123"/>
      <c r="D159" s="123"/>
      <c r="N159" s="115"/>
      <c r="O159" s="115"/>
      <c r="P159" s="115"/>
      <c r="Q159" s="25"/>
      <c r="R159" s="13"/>
      <c r="T159" s="115"/>
      <c r="U159" s="115"/>
      <c r="V159" s="115"/>
      <c r="W159" s="115"/>
      <c r="X159" s="115"/>
      <c r="Y159" s="115"/>
      <c r="Z159" s="115"/>
      <c r="AA159" s="115"/>
      <c r="AB159" s="25"/>
      <c r="AC159" s="13"/>
      <c r="AH159" s="116"/>
      <c r="AI159" s="123"/>
      <c r="AJ159" s="123"/>
      <c r="AK159" s="123"/>
      <c r="AP159" s="115"/>
      <c r="AQ159" s="115"/>
      <c r="AR159" s="115"/>
      <c r="AS159" s="115"/>
      <c r="AT159" s="115"/>
      <c r="AU159" s="115"/>
      <c r="AV159" s="115"/>
      <c r="AW159" s="115"/>
      <c r="AX159" s="115"/>
      <c r="AY159" s="115"/>
      <c r="AZ159" s="25"/>
      <c r="BA159" s="13"/>
      <c r="BD159" s="114"/>
    </row>
    <row r="160" spans="1:56" ht="20.100000000000001" customHeight="1" x14ac:dyDescent="0.4">
      <c r="A160" s="117"/>
      <c r="B160" s="123"/>
      <c r="C160" s="123"/>
      <c r="D160" s="123"/>
      <c r="Q160" s="25"/>
      <c r="R160" s="13"/>
      <c r="T160" s="115"/>
      <c r="U160" s="115"/>
      <c r="V160" s="115"/>
      <c r="W160" s="115"/>
      <c r="X160" s="115"/>
      <c r="Y160" s="115"/>
      <c r="Z160" s="115"/>
      <c r="AA160" s="115"/>
      <c r="AB160" s="25">
        <v>45675</v>
      </c>
      <c r="AC160" s="15" t="s">
        <v>147</v>
      </c>
      <c r="AH160" s="116"/>
      <c r="AI160" s="123"/>
      <c r="AJ160" s="123"/>
      <c r="AK160" s="123"/>
      <c r="AP160" s="115"/>
      <c r="AQ160" s="115"/>
      <c r="AR160" s="115"/>
      <c r="AS160" s="115"/>
      <c r="AT160" s="115"/>
      <c r="AU160" s="115"/>
      <c r="AV160" s="115"/>
      <c r="AW160" s="115"/>
      <c r="AX160" s="115"/>
      <c r="AY160" s="115"/>
      <c r="AZ160" s="25"/>
      <c r="BA160" s="13"/>
      <c r="BD160" s="114"/>
    </row>
    <row r="161" spans="1:56" ht="20.100000000000001" customHeight="1" x14ac:dyDescent="0.4">
      <c r="A161" s="117"/>
      <c r="B161" s="123"/>
      <c r="C161" s="123"/>
      <c r="D161" s="123"/>
      <c r="Q161" s="26"/>
      <c r="R161" s="13"/>
      <c r="T161" s="115"/>
      <c r="U161" s="115"/>
      <c r="V161" s="115"/>
      <c r="W161" s="115"/>
      <c r="X161" s="115"/>
      <c r="Y161" s="115"/>
      <c r="Z161" s="115"/>
      <c r="AA161" s="115"/>
      <c r="AB161" s="25"/>
      <c r="AC161" s="13"/>
      <c r="AH161" s="116"/>
      <c r="AI161" s="123"/>
      <c r="AJ161" s="123"/>
      <c r="AK161" s="123"/>
      <c r="AP161" s="115"/>
      <c r="AQ161" s="115"/>
      <c r="AR161" s="115"/>
      <c r="AS161" s="115"/>
      <c r="AT161" s="115"/>
      <c r="AU161" s="115"/>
      <c r="AV161" s="115"/>
      <c r="AW161" s="115"/>
      <c r="AX161" s="115"/>
      <c r="AY161" s="115"/>
      <c r="AZ161" s="25"/>
      <c r="BA161" s="13"/>
      <c r="BD161" s="114"/>
    </row>
    <row r="162" spans="1:56" ht="20.100000000000001" customHeight="1" x14ac:dyDescent="0.4">
      <c r="A162" s="117"/>
      <c r="B162" s="123"/>
      <c r="C162" s="123"/>
      <c r="D162" s="123"/>
      <c r="Q162" s="26"/>
      <c r="R162" s="13"/>
      <c r="T162" s="115"/>
      <c r="U162" s="115"/>
      <c r="V162" s="115"/>
      <c r="W162" s="115"/>
      <c r="X162" s="115"/>
      <c r="Y162" s="115"/>
      <c r="Z162" s="115"/>
      <c r="AA162" s="115"/>
      <c r="AB162" s="25">
        <v>45675</v>
      </c>
      <c r="AC162" s="13" t="s">
        <v>147</v>
      </c>
      <c r="AH162" s="116"/>
      <c r="AI162" s="123"/>
      <c r="AJ162" s="123"/>
      <c r="AK162" s="123"/>
      <c r="AP162" s="115"/>
      <c r="AQ162" s="115"/>
      <c r="AR162" s="115"/>
      <c r="AS162" s="115"/>
      <c r="AT162" s="115"/>
      <c r="AU162" s="115"/>
      <c r="AV162" s="115"/>
      <c r="AW162" s="115"/>
      <c r="AX162" s="115"/>
      <c r="AY162" s="115"/>
      <c r="AZ162" s="25"/>
      <c r="BA162" s="13"/>
      <c r="BD162" s="114"/>
    </row>
    <row r="163" spans="1:56" ht="20.100000000000001" customHeight="1" x14ac:dyDescent="0.4">
      <c r="A163" s="117"/>
      <c r="B163" s="123"/>
      <c r="C163" s="123"/>
      <c r="D163" s="123"/>
      <c r="K163" s="115"/>
      <c r="L163" s="115"/>
      <c r="M163" s="115"/>
      <c r="N163" s="115"/>
      <c r="O163" s="115"/>
      <c r="P163" s="115"/>
      <c r="Q163" s="26"/>
      <c r="R163" s="13"/>
      <c r="T163" s="115"/>
      <c r="U163" s="115"/>
      <c r="V163" s="115"/>
      <c r="W163" s="115"/>
      <c r="X163" s="115"/>
      <c r="Y163" s="115"/>
      <c r="Z163" s="115"/>
      <c r="AA163" s="115"/>
      <c r="AB163" s="25"/>
      <c r="AC163" s="13"/>
      <c r="AH163" s="116"/>
      <c r="AI163" s="123"/>
      <c r="AJ163" s="123"/>
      <c r="AK163" s="123"/>
      <c r="AP163" s="115"/>
      <c r="AQ163" s="115"/>
      <c r="AR163" s="115"/>
      <c r="AS163" s="115"/>
      <c r="AT163" s="115"/>
      <c r="AU163" s="115"/>
      <c r="AV163" s="115"/>
      <c r="AW163" s="115"/>
      <c r="AX163" s="115"/>
      <c r="AY163" s="115"/>
      <c r="AZ163" s="25"/>
      <c r="BA163" s="13"/>
      <c r="BD163" s="114"/>
    </row>
    <row r="164" spans="1:56" ht="20.100000000000001" customHeight="1" x14ac:dyDescent="0.4">
      <c r="A164" s="117"/>
      <c r="B164" s="123"/>
      <c r="C164" s="123"/>
      <c r="D164" s="123"/>
      <c r="Q164" s="26"/>
      <c r="R164" s="13"/>
      <c r="T164" s="115"/>
      <c r="U164" s="115"/>
      <c r="V164" s="115"/>
      <c r="W164" s="115"/>
      <c r="X164" s="115"/>
      <c r="Y164" s="115"/>
      <c r="Z164" s="115"/>
      <c r="AA164" s="115"/>
      <c r="AB164" s="25"/>
      <c r="AC164" s="13"/>
      <c r="AH164" s="116"/>
      <c r="AI164" s="123"/>
      <c r="AJ164" s="123"/>
      <c r="AK164" s="123"/>
      <c r="AP164" s="115"/>
      <c r="AQ164" s="115"/>
      <c r="AR164" s="115"/>
      <c r="AS164" s="115"/>
      <c r="AT164" s="115"/>
      <c r="AU164" s="115"/>
      <c r="AV164" s="115"/>
      <c r="AW164" s="115"/>
      <c r="AX164" s="115"/>
      <c r="AY164" s="115"/>
      <c r="AZ164" s="25"/>
      <c r="BA164" s="13"/>
      <c r="BD164" s="114"/>
    </row>
    <row r="165" spans="1:56" ht="20.100000000000001" customHeight="1" x14ac:dyDescent="0.4">
      <c r="A165" s="117"/>
      <c r="B165" s="123"/>
      <c r="C165" s="123"/>
      <c r="D165" s="123"/>
      <c r="M165" s="115"/>
      <c r="N165" s="115"/>
      <c r="O165" s="115"/>
      <c r="P165" s="115"/>
      <c r="Q165" s="26"/>
      <c r="R165" s="13"/>
      <c r="T165" s="115"/>
      <c r="U165" s="115"/>
      <c r="V165" s="115"/>
      <c r="W165" s="115"/>
      <c r="X165" s="115"/>
      <c r="Y165" s="115"/>
      <c r="Z165" s="115"/>
      <c r="AA165" s="115"/>
      <c r="AB165" s="25"/>
      <c r="AC165" s="13"/>
      <c r="AH165" s="116"/>
      <c r="AI165" s="123"/>
      <c r="AJ165" s="123"/>
      <c r="AK165" s="123"/>
      <c r="AP165" s="115"/>
      <c r="AQ165" s="115"/>
      <c r="AR165" s="115"/>
      <c r="AS165" s="115"/>
      <c r="AT165" s="115"/>
      <c r="AU165" s="115"/>
      <c r="AV165" s="115"/>
      <c r="AW165" s="115"/>
      <c r="AX165" s="115"/>
      <c r="AY165" s="115"/>
      <c r="AZ165" s="25"/>
      <c r="BA165" s="13"/>
      <c r="BD165" s="114"/>
    </row>
    <row r="166" spans="1:56" ht="20.100000000000001" customHeight="1" x14ac:dyDescent="0.4">
      <c r="A166" s="117"/>
      <c r="B166" s="123"/>
      <c r="C166" s="123"/>
      <c r="D166" s="123"/>
      <c r="M166" s="115"/>
      <c r="N166" s="115"/>
      <c r="O166" s="115"/>
      <c r="P166" s="115"/>
      <c r="Q166" s="17"/>
      <c r="R166" s="13"/>
      <c r="T166" s="115"/>
      <c r="U166" s="115"/>
      <c r="V166" s="115"/>
      <c r="W166" s="115"/>
      <c r="X166" s="115"/>
      <c r="Y166" s="115"/>
      <c r="Z166" s="115"/>
      <c r="AA166" s="115"/>
      <c r="AB166" s="25"/>
      <c r="AC166" s="13"/>
      <c r="AH166" s="116"/>
      <c r="AI166" s="123"/>
      <c r="AJ166" s="123"/>
      <c r="AK166" s="123"/>
      <c r="AP166" s="115"/>
      <c r="AQ166" s="115"/>
      <c r="AR166" s="115"/>
      <c r="AS166" s="115"/>
      <c r="AT166" s="115"/>
      <c r="AU166" s="115"/>
      <c r="AV166" s="115"/>
      <c r="AW166" s="115"/>
      <c r="AX166" s="115"/>
      <c r="AY166" s="115"/>
      <c r="AZ166" s="25"/>
      <c r="BA166" s="13"/>
      <c r="BD166" s="114"/>
    </row>
    <row r="167" spans="1:56" ht="20.100000000000001" customHeight="1" x14ac:dyDescent="0.4">
      <c r="A167" s="117"/>
      <c r="B167" s="123"/>
      <c r="C167" s="123"/>
      <c r="D167" s="123"/>
      <c r="L167" s="115"/>
      <c r="M167" s="115"/>
      <c r="N167" s="115"/>
      <c r="O167" s="115"/>
      <c r="P167" s="115"/>
      <c r="Q167" s="26"/>
      <c r="R167" s="25"/>
      <c r="T167" s="115"/>
      <c r="U167" s="115"/>
      <c r="V167" s="115"/>
      <c r="W167" s="115"/>
      <c r="X167" s="115"/>
      <c r="Y167" s="115"/>
      <c r="Z167" s="115"/>
      <c r="AA167" s="115"/>
      <c r="AB167" s="25"/>
      <c r="AC167" s="13"/>
      <c r="AH167" s="116"/>
      <c r="AI167" s="123"/>
      <c r="AJ167" s="123"/>
      <c r="AK167" s="123"/>
      <c r="AP167" s="115"/>
      <c r="AQ167" s="115"/>
      <c r="AR167" s="115"/>
      <c r="AS167" s="115"/>
      <c r="AT167" s="115"/>
      <c r="AU167" s="115"/>
      <c r="AV167" s="115"/>
      <c r="AW167" s="115"/>
      <c r="AX167" s="115"/>
      <c r="AY167" s="115"/>
      <c r="AZ167" s="25"/>
      <c r="BA167" s="13"/>
      <c r="BD167" s="114"/>
    </row>
    <row r="168" spans="1:56" ht="20.100000000000001" customHeight="1" x14ac:dyDescent="0.4">
      <c r="A168" s="117"/>
      <c r="B168" s="123"/>
      <c r="C168" s="123"/>
      <c r="D168" s="123"/>
      <c r="Q168" s="26"/>
      <c r="R168" s="25"/>
      <c r="T168" s="115"/>
      <c r="U168" s="115"/>
      <c r="V168" s="115"/>
      <c r="W168" s="115"/>
      <c r="X168" s="115"/>
      <c r="Y168" s="115"/>
      <c r="Z168" s="115"/>
      <c r="AA168" s="115"/>
      <c r="AB168" s="25"/>
      <c r="AC168" s="13"/>
      <c r="AH168" s="116"/>
      <c r="AI168" s="123"/>
      <c r="AJ168" s="123"/>
      <c r="AK168" s="123"/>
      <c r="AP168" s="115"/>
      <c r="AQ168" s="115"/>
      <c r="AR168" s="115"/>
      <c r="AS168" s="115"/>
      <c r="AT168" s="115"/>
      <c r="AU168" s="115"/>
      <c r="AV168" s="115"/>
      <c r="AW168" s="115"/>
      <c r="AX168" s="115"/>
      <c r="AY168" s="115"/>
      <c r="AZ168" s="25"/>
      <c r="BA168" s="13"/>
      <c r="BD168" s="114"/>
    </row>
    <row r="169" spans="1:56" ht="20.100000000000001" customHeight="1" x14ac:dyDescent="0.4">
      <c r="A169" s="117"/>
      <c r="B169" s="123"/>
      <c r="C169" s="123"/>
      <c r="D169" s="123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26"/>
      <c r="R169" s="25"/>
      <c r="T169" s="115"/>
      <c r="U169" s="115"/>
      <c r="V169" s="115"/>
      <c r="W169" s="115"/>
      <c r="X169" s="115"/>
      <c r="Y169" s="115"/>
      <c r="Z169" s="115"/>
      <c r="AA169" s="115"/>
      <c r="AB169" s="25"/>
      <c r="AC169" s="13"/>
      <c r="AH169" s="116"/>
      <c r="AI169" s="123"/>
      <c r="AJ169" s="123"/>
      <c r="AK169" s="123"/>
      <c r="AP169" s="115"/>
      <c r="AQ169" s="115"/>
      <c r="AR169" s="115"/>
      <c r="AS169" s="115"/>
      <c r="AT169" s="115"/>
      <c r="AU169" s="115"/>
      <c r="AV169" s="115"/>
      <c r="AW169" s="115"/>
      <c r="AX169" s="115"/>
      <c r="AY169" s="115"/>
      <c r="AZ169" s="25"/>
      <c r="BA169" s="13"/>
      <c r="BD169" s="114"/>
    </row>
    <row r="170" spans="1:56" ht="20.100000000000001" customHeight="1" x14ac:dyDescent="0.4">
      <c r="A170" s="117"/>
      <c r="B170" s="123"/>
      <c r="C170" s="123"/>
      <c r="D170" s="123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26"/>
      <c r="R170" s="13"/>
      <c r="T170" s="115"/>
      <c r="U170" s="115"/>
      <c r="V170" s="115"/>
      <c r="W170" s="115"/>
      <c r="X170" s="115"/>
      <c r="Y170" s="115"/>
      <c r="Z170" s="115"/>
      <c r="AA170" s="115"/>
      <c r="AB170" s="25"/>
      <c r="AC170" s="13"/>
      <c r="AH170" s="116"/>
      <c r="AI170" s="123"/>
      <c r="AJ170" s="123"/>
      <c r="AK170" s="123"/>
      <c r="AP170" s="115"/>
      <c r="AQ170" s="115"/>
      <c r="AR170" s="115"/>
      <c r="AS170" s="115"/>
      <c r="AT170" s="115"/>
      <c r="AU170" s="115"/>
      <c r="AV170" s="115"/>
      <c r="AW170" s="115"/>
      <c r="AX170" s="115"/>
      <c r="AY170" s="115"/>
      <c r="AZ170" s="25"/>
      <c r="BA170" s="13"/>
      <c r="BD170" s="114"/>
    </row>
    <row r="171" spans="1:56" ht="20.100000000000001" customHeight="1" x14ac:dyDescent="0.4">
      <c r="A171" s="117"/>
      <c r="B171" s="123"/>
      <c r="C171" s="123"/>
      <c r="D171" s="123"/>
      <c r="Q171" s="26"/>
      <c r="R171" s="13"/>
      <c r="S171" s="115"/>
      <c r="T171" s="115"/>
      <c r="U171" s="115"/>
      <c r="V171" s="115"/>
      <c r="W171" s="115"/>
      <c r="X171" s="115"/>
      <c r="Y171" s="115"/>
      <c r="Z171" s="115"/>
      <c r="AA171" s="115"/>
      <c r="AB171" s="25">
        <v>45675</v>
      </c>
      <c r="AC171" s="13" t="s">
        <v>146</v>
      </c>
      <c r="AH171" s="116"/>
      <c r="AI171" s="123"/>
      <c r="AJ171" s="123"/>
      <c r="AK171" s="123"/>
      <c r="AP171" s="115"/>
      <c r="AQ171" s="115"/>
      <c r="AR171" s="115"/>
      <c r="AS171" s="115"/>
      <c r="AT171" s="115"/>
      <c r="AU171" s="115"/>
      <c r="AV171" s="115"/>
      <c r="AW171" s="115"/>
      <c r="AX171" s="115"/>
      <c r="AY171" s="115"/>
      <c r="AZ171" s="25"/>
      <c r="BA171" s="13"/>
      <c r="BD171" s="114"/>
    </row>
    <row r="172" spans="1:56" ht="20.100000000000001" customHeight="1" x14ac:dyDescent="0.4">
      <c r="A172" s="117"/>
      <c r="B172" s="123"/>
      <c r="C172" s="123"/>
      <c r="D172" s="123"/>
      <c r="O172" s="115"/>
      <c r="P172" s="115"/>
      <c r="Q172" s="17"/>
      <c r="R172" s="13"/>
      <c r="S172" s="115"/>
      <c r="T172" s="115"/>
      <c r="U172" s="115"/>
      <c r="V172" s="115"/>
      <c r="W172" s="115"/>
      <c r="X172" s="115"/>
      <c r="Y172" s="115"/>
      <c r="Z172" s="115"/>
      <c r="AA172" s="115"/>
      <c r="AB172" s="25"/>
      <c r="AC172" s="13"/>
      <c r="AH172" s="116"/>
      <c r="AI172" s="123"/>
      <c r="AJ172" s="123"/>
      <c r="AK172" s="123"/>
      <c r="AP172" s="115"/>
      <c r="AQ172" s="115"/>
      <c r="AR172" s="115"/>
      <c r="AS172" s="115"/>
      <c r="AT172" s="115"/>
      <c r="AU172" s="115"/>
      <c r="AV172" s="115"/>
      <c r="AW172" s="115"/>
      <c r="AX172" s="115"/>
      <c r="AY172" s="115"/>
      <c r="AZ172" s="25"/>
      <c r="BA172" s="13"/>
      <c r="BD172" s="114"/>
    </row>
    <row r="173" spans="1:56" ht="20.100000000000001" customHeight="1" x14ac:dyDescent="0.4">
      <c r="A173" s="117"/>
      <c r="B173" s="123"/>
      <c r="C173" s="123"/>
      <c r="D173" s="123"/>
      <c r="Q173" s="26"/>
      <c r="R173" s="13"/>
      <c r="S173" s="115"/>
      <c r="T173" s="115"/>
      <c r="U173" s="115"/>
      <c r="V173" s="115"/>
      <c r="W173" s="115"/>
      <c r="X173" s="115"/>
      <c r="Y173" s="115"/>
      <c r="Z173" s="115"/>
      <c r="AA173" s="115"/>
      <c r="AB173" s="25">
        <v>45676</v>
      </c>
      <c r="AC173" s="13" t="s">
        <v>148</v>
      </c>
      <c r="AH173" s="116"/>
      <c r="AI173" s="123"/>
      <c r="AJ173" s="123"/>
      <c r="AK173" s="123"/>
      <c r="AP173" s="115"/>
      <c r="AQ173" s="115"/>
      <c r="AR173" s="115"/>
      <c r="AS173" s="115"/>
      <c r="AT173" s="115"/>
      <c r="AU173" s="115"/>
      <c r="AV173" s="115"/>
      <c r="AW173" s="115"/>
      <c r="AX173" s="115"/>
      <c r="AY173" s="115"/>
      <c r="AZ173" s="25"/>
      <c r="BA173" s="13"/>
      <c r="BD173" s="114"/>
    </row>
    <row r="174" spans="1:56" ht="20.100000000000001" customHeight="1" x14ac:dyDescent="0.4">
      <c r="A174" s="117"/>
      <c r="B174" s="123"/>
      <c r="C174" s="123"/>
      <c r="D174" s="123"/>
      <c r="O174" s="115"/>
      <c r="P174" s="115"/>
      <c r="Q174" s="17"/>
      <c r="R174" s="13"/>
      <c r="S174" s="115"/>
      <c r="T174" s="115"/>
      <c r="U174" s="115"/>
      <c r="V174" s="115"/>
      <c r="W174" s="115"/>
      <c r="X174" s="115"/>
      <c r="Y174" s="115"/>
      <c r="Z174" s="115"/>
      <c r="AA174" s="115"/>
      <c r="AB174" s="25"/>
      <c r="AC174" s="13"/>
      <c r="AH174" s="116"/>
      <c r="AI174" s="123"/>
      <c r="AJ174" s="123"/>
      <c r="AK174" s="123"/>
      <c r="AP174" s="115"/>
      <c r="AQ174" s="115"/>
      <c r="AR174" s="115"/>
      <c r="AS174" s="115"/>
      <c r="AT174" s="115"/>
      <c r="AU174" s="115"/>
      <c r="AV174" s="115"/>
      <c r="AW174" s="115"/>
      <c r="AX174" s="115"/>
      <c r="AY174" s="115"/>
      <c r="AZ174" s="25"/>
      <c r="BA174" s="13"/>
      <c r="BD174" s="114"/>
    </row>
    <row r="175" spans="1:56" ht="20.100000000000001" customHeight="1" x14ac:dyDescent="0.4">
      <c r="A175" s="117"/>
      <c r="B175" s="123"/>
      <c r="C175" s="123"/>
      <c r="D175" s="123"/>
      <c r="N175" s="115"/>
      <c r="O175" s="115"/>
      <c r="P175" s="115"/>
      <c r="Q175" s="26"/>
      <c r="R175" s="13"/>
      <c r="S175" s="115"/>
      <c r="T175" s="115"/>
      <c r="U175" s="115"/>
      <c r="V175" s="115"/>
      <c r="W175" s="115"/>
      <c r="X175" s="115"/>
      <c r="Y175" s="115"/>
      <c r="Z175" s="115"/>
      <c r="AA175" s="115"/>
      <c r="AB175" s="25"/>
      <c r="AC175" s="13"/>
      <c r="AH175" s="116"/>
      <c r="AI175" s="123"/>
      <c r="AJ175" s="123"/>
      <c r="AK175" s="123"/>
      <c r="AP175" s="115"/>
      <c r="AQ175" s="115"/>
      <c r="AR175" s="115"/>
      <c r="AS175" s="115"/>
      <c r="AT175" s="115"/>
      <c r="AU175" s="115"/>
      <c r="AV175" s="115"/>
      <c r="AW175" s="115"/>
      <c r="AX175" s="115"/>
      <c r="AY175" s="115"/>
      <c r="AZ175" s="25"/>
      <c r="BA175" s="13"/>
      <c r="BD175" s="114"/>
    </row>
    <row r="176" spans="1:56" ht="20.100000000000001" customHeight="1" x14ac:dyDescent="0.4">
      <c r="A176" s="117"/>
      <c r="B176" s="123"/>
      <c r="C176" s="123"/>
      <c r="D176" s="123"/>
      <c r="N176" s="115"/>
      <c r="O176" s="115"/>
      <c r="P176" s="115"/>
      <c r="Q176" s="17"/>
      <c r="R176" s="13"/>
      <c r="S176" s="115"/>
      <c r="T176" s="115"/>
      <c r="U176" s="115"/>
      <c r="V176" s="115"/>
      <c r="W176" s="115"/>
      <c r="X176" s="115"/>
      <c r="Y176" s="115"/>
      <c r="Z176" s="115"/>
      <c r="AA176" s="115"/>
      <c r="AB176" s="25"/>
      <c r="AC176" s="13"/>
      <c r="AH176" s="116"/>
      <c r="AI176" s="123"/>
      <c r="AJ176" s="123"/>
      <c r="AK176" s="123"/>
      <c r="AP176" s="115"/>
      <c r="AQ176" s="115"/>
      <c r="AR176" s="115"/>
      <c r="AS176" s="115"/>
      <c r="AT176" s="115"/>
      <c r="AU176" s="115"/>
      <c r="AV176" s="115"/>
      <c r="AW176" s="115"/>
      <c r="AX176" s="115"/>
      <c r="AY176" s="115"/>
      <c r="AZ176" s="25"/>
      <c r="BA176" s="13"/>
      <c r="BD176" s="114"/>
    </row>
    <row r="177" spans="1:56" ht="20.100000000000001" customHeight="1" x14ac:dyDescent="0.4">
      <c r="A177" s="117"/>
      <c r="B177" s="123"/>
      <c r="C177" s="123"/>
      <c r="D177" s="123"/>
      <c r="J177" s="115"/>
      <c r="K177" s="115"/>
      <c r="L177" s="115"/>
      <c r="M177" s="115"/>
      <c r="N177" s="115"/>
      <c r="O177" s="115"/>
      <c r="P177" s="115"/>
      <c r="Q177" s="26"/>
      <c r="R177" s="13"/>
      <c r="S177" s="115"/>
      <c r="T177" s="115"/>
      <c r="U177" s="115"/>
      <c r="V177" s="115"/>
      <c r="W177" s="115"/>
      <c r="X177" s="115"/>
      <c r="Y177" s="115"/>
      <c r="Z177" s="115"/>
      <c r="AA177" s="115"/>
      <c r="AB177" s="25"/>
      <c r="AC177" s="13"/>
      <c r="AH177" s="116"/>
      <c r="AI177" s="123"/>
      <c r="AJ177" s="123"/>
      <c r="AK177" s="123"/>
      <c r="AP177" s="115"/>
      <c r="AQ177" s="115"/>
      <c r="AR177" s="115"/>
      <c r="AS177" s="115"/>
      <c r="AT177" s="115"/>
      <c r="AU177" s="115"/>
      <c r="AV177" s="115"/>
      <c r="AW177" s="115"/>
      <c r="AX177" s="115"/>
      <c r="AY177" s="115"/>
      <c r="AZ177" s="25"/>
      <c r="BA177" s="13"/>
      <c r="BD177" s="114"/>
    </row>
    <row r="178" spans="1:56" ht="20.100000000000001" customHeight="1" x14ac:dyDescent="0.4">
      <c r="A178" s="117"/>
      <c r="B178" s="123"/>
      <c r="C178" s="123"/>
      <c r="D178" s="123"/>
      <c r="J178" s="115"/>
      <c r="K178" s="115"/>
      <c r="L178" s="115"/>
      <c r="M178" s="115"/>
      <c r="N178" s="115"/>
      <c r="O178" s="115"/>
      <c r="P178" s="115"/>
      <c r="Q178" s="26"/>
      <c r="R178" s="13"/>
      <c r="S178" s="115"/>
      <c r="T178" s="115"/>
      <c r="U178" s="115"/>
      <c r="V178" s="115"/>
      <c r="W178" s="115"/>
      <c r="X178" s="115"/>
      <c r="Y178" s="115"/>
      <c r="Z178" s="115"/>
      <c r="AA178" s="115"/>
      <c r="AB178" s="25"/>
      <c r="AC178" s="13"/>
      <c r="AH178" s="116"/>
      <c r="AI178" s="123"/>
      <c r="AJ178" s="123"/>
      <c r="AK178" s="123"/>
      <c r="AP178" s="115"/>
      <c r="AQ178" s="115"/>
      <c r="AR178" s="115"/>
      <c r="AS178" s="115"/>
      <c r="AT178" s="115"/>
      <c r="AU178" s="115"/>
      <c r="AV178" s="115"/>
      <c r="AW178" s="115"/>
      <c r="AX178" s="115"/>
      <c r="AY178" s="115"/>
      <c r="AZ178" s="25"/>
      <c r="BA178" s="13"/>
      <c r="BD178" s="114"/>
    </row>
    <row r="179" spans="1:56" ht="20.100000000000001" customHeight="1" x14ac:dyDescent="0.4">
      <c r="A179" s="117"/>
      <c r="B179" s="123"/>
      <c r="C179" s="123"/>
      <c r="D179" s="123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26"/>
      <c r="R179" s="13"/>
      <c r="S179" s="115"/>
      <c r="T179" s="115"/>
      <c r="U179" s="115"/>
      <c r="V179" s="115"/>
      <c r="W179" s="115"/>
      <c r="X179" s="115"/>
      <c r="Y179" s="115"/>
      <c r="Z179" s="115"/>
      <c r="AA179" s="115"/>
      <c r="AB179" s="25"/>
      <c r="AC179" s="13"/>
      <c r="AH179" s="116"/>
      <c r="AI179" s="123"/>
      <c r="AJ179" s="123"/>
      <c r="AK179" s="123"/>
      <c r="AP179" s="115"/>
      <c r="AQ179" s="115"/>
      <c r="AR179" s="115"/>
      <c r="AS179" s="115"/>
      <c r="AT179" s="115"/>
      <c r="AU179" s="115"/>
      <c r="AV179" s="115"/>
      <c r="AW179" s="115"/>
      <c r="AX179" s="115"/>
      <c r="AY179" s="115"/>
      <c r="AZ179" s="25"/>
      <c r="BA179" s="13"/>
      <c r="BD179" s="114"/>
    </row>
    <row r="180" spans="1:56" ht="20.100000000000001" customHeight="1" x14ac:dyDescent="0.4">
      <c r="A180" s="117"/>
      <c r="B180" s="123"/>
      <c r="C180" s="123"/>
      <c r="D180" s="123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26"/>
      <c r="R180" s="13"/>
      <c r="S180" s="115"/>
      <c r="T180" s="115"/>
      <c r="U180" s="115"/>
      <c r="V180" s="115"/>
      <c r="W180" s="115"/>
      <c r="X180" s="115"/>
      <c r="Y180" s="115"/>
      <c r="Z180" s="115"/>
      <c r="AA180" s="115"/>
      <c r="AB180" s="25"/>
      <c r="AC180" s="13"/>
      <c r="AH180" s="116"/>
      <c r="AI180" s="123"/>
      <c r="AJ180" s="123"/>
      <c r="AK180" s="123"/>
      <c r="AP180" s="115"/>
      <c r="AQ180" s="115"/>
      <c r="AR180" s="115"/>
      <c r="AS180" s="115"/>
      <c r="AT180" s="115"/>
      <c r="AU180" s="115"/>
      <c r="AV180" s="115"/>
      <c r="AW180" s="115"/>
      <c r="AX180" s="115"/>
      <c r="AY180" s="115"/>
      <c r="AZ180" s="25"/>
      <c r="BA180" s="13"/>
      <c r="BD180" s="114"/>
    </row>
    <row r="181" spans="1:56" ht="20.100000000000001" customHeight="1" x14ac:dyDescent="0.4">
      <c r="A181" s="117"/>
      <c r="B181" s="123"/>
      <c r="C181" s="123"/>
      <c r="D181" s="123"/>
      <c r="Q181" s="26"/>
      <c r="R181" s="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25">
        <v>45677</v>
      </c>
      <c r="AC181" s="13" t="s">
        <v>146</v>
      </c>
      <c r="AH181" s="116"/>
      <c r="AI181" s="123"/>
      <c r="AJ181" s="123"/>
      <c r="AK181" s="123"/>
      <c r="AP181" s="115"/>
      <c r="AQ181" s="115"/>
      <c r="AR181" s="115"/>
      <c r="AS181" s="115"/>
      <c r="AT181" s="115"/>
      <c r="AU181" s="115"/>
      <c r="AV181" s="115"/>
      <c r="AW181" s="115"/>
      <c r="AX181" s="115"/>
      <c r="AY181" s="115"/>
      <c r="AZ181" s="25"/>
      <c r="BA181" s="13"/>
      <c r="BD181" s="114"/>
    </row>
    <row r="182" spans="1:56" ht="20.100000000000001" customHeight="1" x14ac:dyDescent="0.4">
      <c r="A182" s="117"/>
      <c r="B182" s="123"/>
      <c r="C182" s="123"/>
      <c r="D182" s="123"/>
      <c r="I182" s="115"/>
      <c r="J182" s="115"/>
      <c r="K182" s="115"/>
      <c r="L182" s="115"/>
      <c r="M182" s="115"/>
      <c r="N182" s="115"/>
      <c r="O182" s="115"/>
      <c r="P182" s="115"/>
      <c r="Q182" s="26"/>
      <c r="R182" s="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25"/>
      <c r="AC182" s="13"/>
      <c r="AH182" s="116"/>
      <c r="AI182" s="123"/>
      <c r="AJ182" s="123"/>
      <c r="AK182" s="123"/>
      <c r="AP182" s="115"/>
      <c r="AQ182" s="115"/>
      <c r="AR182" s="115"/>
      <c r="AS182" s="115"/>
      <c r="AT182" s="115"/>
      <c r="AU182" s="115"/>
      <c r="AV182" s="115"/>
      <c r="AW182" s="115"/>
      <c r="AX182" s="115"/>
      <c r="AY182" s="115"/>
      <c r="AZ182" s="25"/>
      <c r="BA182" s="13"/>
      <c r="BD182" s="114"/>
    </row>
    <row r="183" spans="1:56" ht="20.100000000000001" customHeight="1" x14ac:dyDescent="0.4">
      <c r="A183" s="117"/>
      <c r="B183" s="123"/>
      <c r="C183" s="123"/>
      <c r="D183" s="123"/>
      <c r="Q183" s="26"/>
      <c r="R183" s="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25"/>
      <c r="AC183" s="13"/>
      <c r="AH183" s="116"/>
      <c r="AI183" s="123"/>
      <c r="AJ183" s="123"/>
      <c r="AK183" s="123"/>
      <c r="AP183" s="115"/>
      <c r="AQ183" s="115"/>
      <c r="AR183" s="115"/>
      <c r="AS183" s="115"/>
      <c r="AT183" s="115"/>
      <c r="AU183" s="115"/>
      <c r="AV183" s="115"/>
      <c r="AW183" s="115"/>
      <c r="AX183" s="115"/>
      <c r="AY183" s="115"/>
      <c r="AZ183" s="25"/>
      <c r="BA183" s="13"/>
      <c r="BD183" s="114"/>
    </row>
    <row r="184" spans="1:56" ht="20.100000000000001" customHeight="1" x14ac:dyDescent="0.4">
      <c r="A184" s="117"/>
      <c r="B184" s="123"/>
      <c r="C184" s="123"/>
      <c r="D184" s="123"/>
      <c r="K184" s="115"/>
      <c r="L184" s="115"/>
      <c r="M184" s="115"/>
      <c r="N184" s="115"/>
      <c r="O184" s="115"/>
      <c r="P184" s="115"/>
      <c r="Q184" s="26"/>
      <c r="R184" s="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25"/>
      <c r="AC184" s="13"/>
      <c r="AH184" s="116"/>
      <c r="AI184" s="123"/>
      <c r="AJ184" s="123"/>
      <c r="AK184" s="123"/>
      <c r="AP184" s="115"/>
      <c r="AQ184" s="115"/>
      <c r="AR184" s="115"/>
      <c r="AS184" s="115"/>
      <c r="AT184" s="115"/>
      <c r="AU184" s="115"/>
      <c r="AV184" s="115"/>
      <c r="AW184" s="115"/>
      <c r="AX184" s="115"/>
      <c r="AY184" s="115"/>
      <c r="AZ184" s="25"/>
      <c r="BA184" s="13"/>
      <c r="BD184" s="114"/>
    </row>
    <row r="185" spans="1:56" ht="20.100000000000001" customHeight="1" x14ac:dyDescent="0.4">
      <c r="A185" s="117"/>
      <c r="B185" s="123"/>
      <c r="C185" s="123"/>
      <c r="D185" s="123"/>
      <c r="K185" s="115"/>
      <c r="L185" s="115"/>
      <c r="M185" s="115"/>
      <c r="N185" s="115"/>
      <c r="O185" s="115"/>
      <c r="P185" s="115"/>
      <c r="Q185" s="26"/>
      <c r="R185" s="13"/>
      <c r="S185" s="115"/>
      <c r="T185" s="115"/>
      <c r="U185" s="115"/>
      <c r="V185" s="115"/>
      <c r="W185" s="115"/>
      <c r="X185" s="115"/>
      <c r="Y185" s="115"/>
      <c r="Z185" s="115"/>
      <c r="AA185" s="115"/>
      <c r="AB185" s="25"/>
      <c r="AC185" s="13"/>
      <c r="AH185" s="116"/>
      <c r="AI185" s="123"/>
      <c r="AJ185" s="123"/>
      <c r="AK185" s="123"/>
      <c r="AP185" s="115"/>
      <c r="AQ185" s="115"/>
      <c r="AR185" s="115"/>
      <c r="AS185" s="115"/>
      <c r="AT185" s="115"/>
      <c r="AU185" s="115"/>
      <c r="AV185" s="115"/>
      <c r="AW185" s="115"/>
      <c r="AX185" s="115"/>
      <c r="AY185" s="115"/>
      <c r="AZ185" s="25"/>
      <c r="BA185" s="13"/>
      <c r="BD185" s="114"/>
    </row>
    <row r="186" spans="1:56" ht="20.100000000000001" customHeight="1" x14ac:dyDescent="0.4">
      <c r="A186" s="117"/>
      <c r="B186" s="123"/>
      <c r="C186" s="123"/>
      <c r="D186" s="123"/>
      <c r="H186" s="115"/>
      <c r="I186" s="115"/>
      <c r="J186" s="115"/>
      <c r="K186" s="115"/>
      <c r="L186" s="115"/>
      <c r="M186" s="115"/>
      <c r="N186" s="115"/>
      <c r="O186" s="115"/>
      <c r="P186" s="115"/>
      <c r="Q186" s="26"/>
      <c r="R186" s="13"/>
      <c r="S186" s="115"/>
      <c r="T186" s="115"/>
      <c r="U186" s="115"/>
      <c r="V186" s="115"/>
      <c r="W186" s="115"/>
      <c r="X186" s="115"/>
      <c r="Y186" s="115"/>
      <c r="Z186" s="115"/>
      <c r="AA186" s="115"/>
      <c r="AB186" s="25"/>
      <c r="AC186" s="13"/>
      <c r="AH186" s="116"/>
      <c r="AI186" s="123"/>
      <c r="AJ186" s="123"/>
      <c r="AK186" s="123"/>
      <c r="AP186" s="115"/>
      <c r="AQ186" s="115"/>
      <c r="AR186" s="115"/>
      <c r="AS186" s="115"/>
      <c r="AT186" s="115"/>
      <c r="AU186" s="115"/>
      <c r="AV186" s="115"/>
      <c r="AW186" s="115"/>
      <c r="AX186" s="115"/>
      <c r="AY186" s="115"/>
      <c r="AZ186" s="25"/>
      <c r="BA186" s="13"/>
      <c r="BD186" s="114"/>
    </row>
    <row r="187" spans="1:56" ht="20.100000000000001" customHeight="1" x14ac:dyDescent="0.4">
      <c r="A187" s="117"/>
      <c r="B187" s="123"/>
      <c r="C187" s="123"/>
      <c r="D187" s="123"/>
      <c r="Q187" s="26"/>
      <c r="R187" s="13"/>
      <c r="S187" s="115"/>
      <c r="T187" s="115"/>
      <c r="U187" s="115"/>
      <c r="V187" s="115"/>
      <c r="W187" s="115"/>
      <c r="X187" s="115"/>
      <c r="Y187" s="115"/>
      <c r="Z187" s="115"/>
      <c r="AA187" s="115"/>
      <c r="AB187" s="25">
        <v>45677</v>
      </c>
      <c r="AC187" s="13" t="s">
        <v>146</v>
      </c>
      <c r="AH187" s="116"/>
      <c r="AI187" s="123"/>
      <c r="AJ187" s="123"/>
      <c r="AK187" s="123"/>
      <c r="AP187" s="115"/>
      <c r="AQ187" s="115"/>
      <c r="AR187" s="115"/>
      <c r="AS187" s="115"/>
      <c r="AT187" s="115"/>
      <c r="AU187" s="115"/>
      <c r="AV187" s="115"/>
      <c r="AW187" s="115"/>
      <c r="AX187" s="115"/>
      <c r="AY187" s="115"/>
      <c r="AZ187" s="25"/>
      <c r="BA187" s="13"/>
      <c r="BD187" s="114"/>
    </row>
    <row r="188" spans="1:56" ht="20.100000000000001" customHeight="1" x14ac:dyDescent="0.4">
      <c r="A188" s="117"/>
      <c r="B188" s="123"/>
      <c r="C188" s="123"/>
      <c r="D188" s="123"/>
      <c r="N188" s="115"/>
      <c r="O188" s="115"/>
      <c r="P188" s="115"/>
      <c r="Q188" s="26"/>
      <c r="R188" s="13"/>
      <c r="S188" s="115"/>
      <c r="T188" s="115"/>
      <c r="U188" s="115"/>
      <c r="V188" s="115"/>
      <c r="W188" s="115"/>
      <c r="X188" s="115"/>
      <c r="Y188" s="115"/>
      <c r="Z188" s="115"/>
      <c r="AA188" s="115"/>
      <c r="AB188" s="25"/>
      <c r="AC188" s="13"/>
      <c r="AH188" s="116"/>
      <c r="AI188" s="123"/>
      <c r="AJ188" s="123"/>
      <c r="AK188" s="123"/>
      <c r="AP188" s="115"/>
      <c r="AQ188" s="115"/>
      <c r="AR188" s="115"/>
      <c r="AS188" s="115"/>
      <c r="AT188" s="115"/>
      <c r="AU188" s="115"/>
      <c r="AV188" s="115"/>
      <c r="AW188" s="115"/>
      <c r="AX188" s="115"/>
      <c r="AY188" s="115"/>
      <c r="AZ188" s="25"/>
      <c r="BA188" s="13"/>
      <c r="BD188" s="114"/>
    </row>
    <row r="189" spans="1:56" ht="20.100000000000001" customHeight="1" x14ac:dyDescent="0.4">
      <c r="A189" s="117"/>
      <c r="B189" s="123"/>
      <c r="C189" s="123"/>
      <c r="D189" s="123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26"/>
      <c r="R189" s="13"/>
      <c r="S189" s="115"/>
      <c r="T189" s="115"/>
      <c r="U189" s="115"/>
      <c r="V189" s="115"/>
      <c r="W189" s="115"/>
      <c r="X189" s="115"/>
      <c r="Y189" s="115"/>
      <c r="Z189" s="115"/>
      <c r="AA189" s="115"/>
      <c r="AB189" s="25"/>
      <c r="AC189" s="13"/>
      <c r="AH189" s="116"/>
      <c r="AI189" s="123"/>
      <c r="AJ189" s="123"/>
      <c r="AK189" s="123"/>
      <c r="AP189" s="115"/>
      <c r="AQ189" s="115"/>
      <c r="AR189" s="115"/>
      <c r="AS189" s="115"/>
      <c r="AT189" s="115"/>
      <c r="AU189" s="115"/>
      <c r="AV189" s="115"/>
      <c r="AW189" s="115"/>
      <c r="AX189" s="115"/>
      <c r="AY189" s="115"/>
      <c r="AZ189" s="25"/>
      <c r="BA189" s="13"/>
      <c r="BD189" s="114"/>
    </row>
    <row r="190" spans="1:56" ht="20.100000000000001" customHeight="1" x14ac:dyDescent="0.4">
      <c r="A190" s="117"/>
      <c r="B190" s="123"/>
      <c r="C190" s="123"/>
      <c r="D190" s="123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7"/>
      <c r="R190" s="13"/>
      <c r="S190" s="115"/>
      <c r="T190" s="115"/>
      <c r="U190" s="115"/>
      <c r="V190" s="115"/>
      <c r="W190" s="115"/>
      <c r="X190" s="115"/>
      <c r="Y190" s="115"/>
      <c r="Z190" s="115"/>
      <c r="AA190" s="115"/>
      <c r="AB190" s="25"/>
      <c r="AC190" s="13"/>
      <c r="AH190" s="116"/>
      <c r="AI190" s="123"/>
      <c r="AJ190" s="123"/>
      <c r="AK190" s="123"/>
      <c r="AP190" s="115"/>
      <c r="AQ190" s="115"/>
      <c r="AR190" s="115"/>
      <c r="AS190" s="115"/>
      <c r="AT190" s="115"/>
      <c r="AU190" s="115"/>
      <c r="AV190" s="115"/>
      <c r="AW190" s="115"/>
      <c r="AX190" s="115"/>
      <c r="AY190" s="115"/>
      <c r="AZ190" s="25"/>
      <c r="BA190" s="13"/>
      <c r="BD190" s="114"/>
    </row>
    <row r="191" spans="1:56" ht="20.100000000000001" customHeight="1" x14ac:dyDescent="0.4">
      <c r="A191" s="117"/>
      <c r="B191" s="123"/>
      <c r="C191" s="123"/>
      <c r="D191" s="123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26"/>
      <c r="R191" s="13"/>
      <c r="S191" s="115"/>
      <c r="T191" s="115"/>
      <c r="U191" s="115"/>
      <c r="V191" s="115"/>
      <c r="W191" s="115"/>
      <c r="X191" s="115"/>
      <c r="Y191" s="115"/>
      <c r="Z191" s="115"/>
      <c r="AA191" s="115"/>
      <c r="AB191" s="25"/>
      <c r="AC191" s="13"/>
      <c r="AH191" s="116"/>
      <c r="AI191" s="123"/>
      <c r="AJ191" s="123"/>
      <c r="AK191" s="123"/>
      <c r="AP191" s="115"/>
      <c r="AQ191" s="115"/>
      <c r="AR191" s="115"/>
      <c r="AS191" s="115"/>
      <c r="AT191" s="115"/>
      <c r="AU191" s="115"/>
      <c r="AV191" s="115"/>
      <c r="AW191" s="115"/>
      <c r="AX191" s="115"/>
      <c r="AY191" s="115"/>
      <c r="AZ191" s="25"/>
      <c r="BA191" s="13"/>
      <c r="BD191" s="114"/>
    </row>
    <row r="192" spans="1:56" ht="20.100000000000001" customHeight="1" x14ac:dyDescent="0.4">
      <c r="A192" s="117"/>
      <c r="B192" s="123"/>
      <c r="C192" s="123"/>
      <c r="D192" s="123"/>
      <c r="Q192" s="26"/>
      <c r="R192" s="13"/>
      <c r="S192" s="115"/>
      <c r="T192" s="115"/>
      <c r="U192" s="115"/>
      <c r="V192" s="115"/>
      <c r="W192" s="115"/>
      <c r="X192" s="115"/>
      <c r="Y192" s="115"/>
      <c r="Z192" s="115"/>
      <c r="AA192" s="115"/>
      <c r="AB192" s="25">
        <v>45677</v>
      </c>
      <c r="AC192" s="13" t="s">
        <v>148</v>
      </c>
      <c r="AH192" s="116"/>
      <c r="AI192" s="123"/>
      <c r="AJ192" s="123"/>
      <c r="AK192" s="123"/>
      <c r="AP192" s="115"/>
      <c r="AQ192" s="115"/>
      <c r="AR192" s="115"/>
      <c r="AS192" s="115"/>
      <c r="AT192" s="115"/>
      <c r="AU192" s="115"/>
      <c r="AV192" s="115"/>
      <c r="AW192" s="115"/>
      <c r="AX192" s="115"/>
      <c r="AY192" s="115"/>
      <c r="AZ192" s="25"/>
      <c r="BA192" s="13"/>
      <c r="BD192" s="114"/>
    </row>
    <row r="193" spans="1:56" ht="19.5" x14ac:dyDescent="0.4">
      <c r="A193" s="117"/>
      <c r="B193" s="123"/>
      <c r="C193" s="123"/>
      <c r="D193" s="123"/>
      <c r="Q193" s="26"/>
      <c r="R193" s="13"/>
      <c r="S193" s="115"/>
      <c r="T193" s="115"/>
      <c r="U193" s="115"/>
      <c r="V193" s="115"/>
      <c r="W193" s="115"/>
      <c r="X193" s="115"/>
      <c r="Y193" s="115"/>
      <c r="Z193" s="115"/>
      <c r="AA193" s="115"/>
      <c r="AB193" s="25"/>
      <c r="AC193" s="13"/>
      <c r="AH193" s="116"/>
      <c r="AI193" s="123"/>
      <c r="AJ193" s="123"/>
      <c r="AK193" s="123"/>
      <c r="AP193" s="115"/>
      <c r="AQ193" s="115"/>
      <c r="AR193" s="115"/>
      <c r="AS193" s="115"/>
      <c r="AT193" s="115"/>
      <c r="AU193" s="115"/>
      <c r="AV193" s="115"/>
      <c r="AW193" s="115"/>
      <c r="AX193" s="115"/>
      <c r="AY193" s="115"/>
      <c r="AZ193" s="25"/>
      <c r="BA193" s="13"/>
      <c r="BD193" s="114"/>
    </row>
    <row r="194" spans="1:56" ht="19.5" x14ac:dyDescent="0.4">
      <c r="A194" s="117"/>
      <c r="B194" s="123"/>
      <c r="C194" s="123"/>
      <c r="D194" s="123"/>
      <c r="O194" s="115"/>
      <c r="P194" s="115"/>
      <c r="Q194" s="17"/>
      <c r="R194" s="13"/>
      <c r="S194" s="115"/>
      <c r="T194" s="115"/>
      <c r="U194" s="115"/>
      <c r="V194" s="115"/>
      <c r="W194" s="115"/>
      <c r="X194" s="115"/>
      <c r="Y194" s="115"/>
      <c r="Z194" s="115"/>
      <c r="AA194" s="115"/>
      <c r="AB194" s="25"/>
      <c r="AC194" s="13"/>
      <c r="AH194" s="116"/>
      <c r="AI194" s="123"/>
      <c r="AJ194" s="123"/>
      <c r="AK194" s="123"/>
      <c r="AP194" s="115"/>
      <c r="AQ194" s="115"/>
      <c r="AR194" s="115"/>
      <c r="AS194" s="115"/>
      <c r="AT194" s="115"/>
      <c r="AU194" s="115"/>
      <c r="AV194" s="115"/>
      <c r="AW194" s="115"/>
      <c r="AX194" s="115"/>
      <c r="AY194" s="115"/>
      <c r="AZ194" s="25"/>
      <c r="BA194" s="13"/>
      <c r="BD194" s="114"/>
    </row>
    <row r="195" spans="1:56" ht="19.5" x14ac:dyDescent="0.4">
      <c r="A195" s="117"/>
      <c r="B195" s="123"/>
      <c r="C195" s="123"/>
      <c r="D195" s="123"/>
      <c r="M195" s="115"/>
      <c r="N195" s="115"/>
      <c r="O195" s="115"/>
      <c r="P195" s="115"/>
      <c r="Q195" s="26"/>
      <c r="R195" s="13"/>
      <c r="S195" s="115"/>
      <c r="T195" s="115"/>
      <c r="U195" s="115"/>
      <c r="V195" s="115"/>
      <c r="W195" s="115"/>
      <c r="X195" s="115"/>
      <c r="Y195" s="115"/>
      <c r="Z195" s="115"/>
      <c r="AA195" s="115"/>
      <c r="AB195" s="25"/>
      <c r="AC195" s="13"/>
      <c r="AH195" s="116"/>
      <c r="AI195" s="123"/>
      <c r="AJ195" s="123"/>
      <c r="AK195" s="123"/>
      <c r="AP195" s="115"/>
      <c r="AQ195" s="115"/>
      <c r="AR195" s="115"/>
      <c r="AS195" s="115"/>
      <c r="AT195" s="115"/>
      <c r="AU195" s="115"/>
      <c r="AV195" s="115"/>
      <c r="AW195" s="115"/>
      <c r="AX195" s="115"/>
      <c r="AY195" s="115"/>
      <c r="AZ195" s="25"/>
      <c r="BA195" s="13"/>
      <c r="BD195" s="114"/>
    </row>
    <row r="196" spans="1:56" ht="19.5" x14ac:dyDescent="0.4">
      <c r="A196" s="117"/>
      <c r="B196" s="123"/>
      <c r="C196" s="123"/>
      <c r="D196" s="123"/>
      <c r="M196" s="115"/>
      <c r="N196" s="115"/>
      <c r="O196" s="115"/>
      <c r="P196" s="115"/>
      <c r="Q196" s="17"/>
      <c r="R196" s="13"/>
      <c r="S196" s="115"/>
      <c r="T196" s="115"/>
      <c r="U196" s="115"/>
      <c r="V196" s="115"/>
      <c r="W196" s="115"/>
      <c r="X196" s="115"/>
      <c r="Y196" s="115"/>
      <c r="Z196" s="115"/>
      <c r="AA196" s="115"/>
      <c r="AB196" s="25"/>
      <c r="AC196" s="13"/>
      <c r="AH196" s="116"/>
      <c r="AI196" s="123"/>
      <c r="AJ196" s="123"/>
      <c r="AK196" s="123"/>
      <c r="AP196" s="115"/>
      <c r="AQ196" s="115"/>
      <c r="AR196" s="115"/>
      <c r="AS196" s="115"/>
      <c r="AT196" s="115"/>
      <c r="AU196" s="115"/>
      <c r="AV196" s="115"/>
      <c r="AW196" s="115"/>
      <c r="AX196" s="115"/>
      <c r="AY196" s="115"/>
      <c r="AZ196" s="25"/>
      <c r="BA196" s="13"/>
      <c r="BD196" s="114"/>
    </row>
    <row r="197" spans="1:56" ht="19.5" x14ac:dyDescent="0.4">
      <c r="A197" s="117"/>
      <c r="B197" s="123"/>
      <c r="C197" s="123"/>
      <c r="D197" s="123"/>
      <c r="K197" s="115"/>
      <c r="L197" s="115"/>
      <c r="M197" s="115"/>
      <c r="N197" s="115"/>
      <c r="O197" s="115"/>
      <c r="P197" s="115"/>
      <c r="Q197" s="26"/>
      <c r="R197" s="13"/>
      <c r="S197" s="115"/>
      <c r="T197" s="115"/>
      <c r="U197" s="115"/>
      <c r="V197" s="115"/>
      <c r="W197" s="115"/>
      <c r="X197" s="115"/>
      <c r="Y197" s="115"/>
      <c r="Z197" s="115"/>
      <c r="AA197" s="115"/>
      <c r="AB197" s="25"/>
      <c r="AC197" s="13"/>
      <c r="AH197" s="116"/>
      <c r="AI197" s="123"/>
      <c r="AJ197" s="123"/>
      <c r="AK197" s="123"/>
      <c r="AP197" s="115"/>
      <c r="AQ197" s="115"/>
      <c r="AR197" s="115"/>
      <c r="AS197" s="115"/>
      <c r="AT197" s="115"/>
      <c r="AU197" s="115"/>
      <c r="AV197" s="115"/>
      <c r="AW197" s="115"/>
      <c r="AX197" s="115"/>
      <c r="AY197" s="115"/>
      <c r="AZ197" s="25"/>
      <c r="BA197" s="13"/>
      <c r="BD197" s="114"/>
    </row>
    <row r="198" spans="1:56" ht="19.5" x14ac:dyDescent="0.4">
      <c r="A198" s="117"/>
      <c r="B198" s="123"/>
      <c r="C198" s="123"/>
      <c r="D198" s="123"/>
      <c r="K198" s="115"/>
      <c r="L198" s="115"/>
      <c r="M198" s="115"/>
      <c r="N198" s="115"/>
      <c r="O198" s="115"/>
      <c r="P198" s="115"/>
      <c r="Q198" s="17"/>
      <c r="R198" s="13"/>
      <c r="S198" s="115"/>
      <c r="T198" s="115"/>
      <c r="U198" s="115"/>
      <c r="V198" s="115"/>
      <c r="W198" s="115"/>
      <c r="X198" s="115"/>
      <c r="Y198" s="115"/>
      <c r="Z198" s="115"/>
      <c r="AA198" s="115"/>
      <c r="AB198" s="25"/>
      <c r="AC198" s="13"/>
      <c r="AH198" s="116"/>
      <c r="AI198" s="123"/>
      <c r="AJ198" s="123"/>
      <c r="AK198" s="123"/>
      <c r="AP198" s="115"/>
      <c r="AQ198" s="115"/>
      <c r="AR198" s="115"/>
      <c r="AS198" s="115"/>
      <c r="AT198" s="115"/>
      <c r="AU198" s="115"/>
      <c r="AV198" s="115"/>
      <c r="AW198" s="115"/>
      <c r="AX198" s="115"/>
      <c r="AY198" s="115"/>
      <c r="AZ198" s="25"/>
      <c r="BA198" s="13"/>
      <c r="BD198" s="114"/>
    </row>
    <row r="199" spans="1:56" ht="19.5" x14ac:dyDescent="0.4">
      <c r="A199" s="117"/>
      <c r="B199" s="123"/>
      <c r="C199" s="123"/>
      <c r="D199" s="123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26"/>
      <c r="R199" s="13"/>
      <c r="S199" s="115"/>
      <c r="T199" s="115"/>
      <c r="U199" s="115"/>
      <c r="V199" s="115"/>
      <c r="W199" s="115"/>
      <c r="X199" s="115"/>
      <c r="Y199" s="115"/>
      <c r="Z199" s="115"/>
      <c r="AA199" s="115"/>
      <c r="AB199" s="25"/>
      <c r="AC199" s="13"/>
      <c r="AH199" s="116"/>
      <c r="AI199" s="123"/>
      <c r="AJ199" s="123"/>
      <c r="AK199" s="123"/>
      <c r="AP199" s="115"/>
      <c r="AQ199" s="115"/>
      <c r="AR199" s="115"/>
      <c r="AS199" s="115"/>
      <c r="AT199" s="115"/>
      <c r="AU199" s="115"/>
      <c r="AV199" s="115"/>
      <c r="AW199" s="115"/>
      <c r="AX199" s="115"/>
      <c r="AY199" s="115"/>
      <c r="AZ199" s="25"/>
      <c r="BA199" s="13"/>
      <c r="BD199" s="114"/>
    </row>
    <row r="200" spans="1:56" ht="19.5" x14ac:dyDescent="0.4">
      <c r="A200" s="117"/>
      <c r="B200" s="123"/>
      <c r="C200" s="123"/>
      <c r="D200" s="123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26"/>
      <c r="R200" s="13"/>
      <c r="S200" s="115"/>
      <c r="T200" s="115"/>
      <c r="U200" s="115"/>
      <c r="V200" s="115"/>
      <c r="W200" s="115"/>
      <c r="X200" s="115"/>
      <c r="Y200" s="115"/>
      <c r="Z200" s="115"/>
      <c r="AA200" s="115"/>
      <c r="AB200" s="25"/>
      <c r="AC200" s="13"/>
      <c r="AH200" s="116"/>
      <c r="AI200" s="123"/>
      <c r="AJ200" s="123"/>
      <c r="AK200" s="123"/>
      <c r="AP200" s="115"/>
      <c r="AQ200" s="115"/>
      <c r="AR200" s="115"/>
      <c r="AS200" s="115"/>
      <c r="AT200" s="115"/>
      <c r="AU200" s="115"/>
      <c r="AV200" s="115"/>
      <c r="AW200" s="115"/>
      <c r="AX200" s="115"/>
      <c r="AY200" s="115"/>
      <c r="AZ200" s="25"/>
      <c r="BA200" s="13"/>
      <c r="BD200" s="114"/>
    </row>
    <row r="201" spans="1:56" ht="19.5" x14ac:dyDescent="0.4">
      <c r="A201" s="117"/>
      <c r="B201" s="123"/>
      <c r="C201" s="123"/>
      <c r="D201" s="123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26"/>
      <c r="R201" s="13"/>
      <c r="S201" s="115"/>
      <c r="T201" s="115"/>
      <c r="U201" s="115"/>
      <c r="V201" s="115"/>
      <c r="W201" s="115"/>
      <c r="X201" s="115"/>
      <c r="Y201" s="115"/>
      <c r="Z201" s="115"/>
      <c r="AA201" s="115"/>
      <c r="AB201" s="25"/>
      <c r="AC201" s="13"/>
      <c r="AH201" s="116"/>
      <c r="AI201" s="123"/>
      <c r="AJ201" s="123"/>
      <c r="AK201" s="123"/>
      <c r="AP201" s="115"/>
      <c r="AQ201" s="115"/>
      <c r="AR201" s="115"/>
      <c r="AS201" s="115"/>
      <c r="AT201" s="115"/>
      <c r="AU201" s="115"/>
      <c r="AV201" s="115"/>
      <c r="AW201" s="115"/>
      <c r="AX201" s="115"/>
      <c r="AY201" s="115"/>
      <c r="AZ201" s="25"/>
      <c r="BA201" s="13"/>
      <c r="BD201" s="114"/>
    </row>
    <row r="202" spans="1:56" ht="19.5" x14ac:dyDescent="0.4">
      <c r="A202" s="117"/>
      <c r="B202" s="123"/>
      <c r="C202" s="123"/>
      <c r="D202" s="123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7"/>
      <c r="R202" s="13"/>
      <c r="S202" s="115"/>
      <c r="T202" s="115"/>
      <c r="U202" s="115"/>
      <c r="V202" s="115"/>
      <c r="W202" s="115"/>
      <c r="X202" s="115"/>
      <c r="Y202" s="115"/>
      <c r="Z202" s="115"/>
      <c r="AA202" s="115"/>
      <c r="AB202" s="25"/>
      <c r="AC202" s="13"/>
      <c r="AH202" s="116"/>
      <c r="AI202" s="123"/>
      <c r="AJ202" s="123"/>
      <c r="AK202" s="123"/>
      <c r="AP202" s="115"/>
      <c r="AQ202" s="115"/>
      <c r="AR202" s="115"/>
      <c r="AS202" s="115"/>
      <c r="AT202" s="115"/>
      <c r="AU202" s="115"/>
      <c r="AV202" s="115"/>
      <c r="AW202" s="115"/>
      <c r="AX202" s="115"/>
      <c r="AY202" s="115"/>
      <c r="AZ202" s="25"/>
      <c r="BA202" s="13"/>
      <c r="BD202" s="114"/>
    </row>
    <row r="203" spans="1:56" ht="19.5" x14ac:dyDescent="0.4">
      <c r="A203" s="117"/>
      <c r="B203" s="123"/>
      <c r="C203" s="123"/>
      <c r="D203" s="123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26"/>
      <c r="R203" s="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25"/>
      <c r="AC203" s="13"/>
      <c r="AH203" s="116"/>
      <c r="AI203" s="123"/>
      <c r="AJ203" s="123"/>
      <c r="AK203" s="123"/>
      <c r="AP203" s="115"/>
      <c r="AQ203" s="115"/>
      <c r="AR203" s="115"/>
      <c r="AS203" s="115"/>
      <c r="AT203" s="115"/>
      <c r="AU203" s="115"/>
      <c r="AV203" s="115"/>
      <c r="AW203" s="115"/>
      <c r="AX203" s="115"/>
      <c r="AY203" s="115"/>
      <c r="AZ203" s="25"/>
      <c r="BA203" s="13"/>
      <c r="BD203" s="114"/>
    </row>
    <row r="204" spans="1:56" ht="19.5" x14ac:dyDescent="0.4">
      <c r="A204" s="117"/>
      <c r="B204" s="123"/>
      <c r="C204" s="123"/>
      <c r="D204" s="123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7"/>
      <c r="R204" s="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25"/>
      <c r="AC204" s="13"/>
      <c r="AH204" s="116"/>
      <c r="AI204" s="123"/>
      <c r="AJ204" s="123"/>
      <c r="AK204" s="123"/>
      <c r="AP204" s="115"/>
      <c r="AQ204" s="115"/>
      <c r="AR204" s="115"/>
      <c r="AS204" s="115"/>
      <c r="AT204" s="115"/>
      <c r="AU204" s="115"/>
      <c r="AV204" s="115"/>
      <c r="AW204" s="115"/>
      <c r="AX204" s="115"/>
      <c r="AY204" s="115"/>
      <c r="AZ204" s="25"/>
      <c r="BA204" s="13"/>
      <c r="BD204" s="114"/>
    </row>
    <row r="205" spans="1:56" ht="19.5" x14ac:dyDescent="0.4">
      <c r="A205" s="117"/>
      <c r="B205" s="123"/>
      <c r="C205" s="123"/>
      <c r="D205" s="123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26"/>
      <c r="R205" s="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25"/>
      <c r="AC205" s="13"/>
      <c r="AH205" s="116"/>
      <c r="AI205" s="123"/>
      <c r="AJ205" s="123"/>
      <c r="AK205" s="123"/>
      <c r="AP205" s="115"/>
      <c r="AQ205" s="115"/>
      <c r="AR205" s="115"/>
      <c r="AS205" s="115"/>
      <c r="AT205" s="115"/>
      <c r="AU205" s="115"/>
      <c r="AV205" s="115"/>
      <c r="AW205" s="115"/>
      <c r="AX205" s="115"/>
      <c r="AY205" s="115"/>
      <c r="AZ205" s="25"/>
      <c r="BA205" s="13"/>
      <c r="BD205" s="114"/>
    </row>
    <row r="206" spans="1:56" ht="19.5" x14ac:dyDescent="0.4">
      <c r="A206" s="117"/>
      <c r="B206" s="123"/>
      <c r="C206" s="123"/>
      <c r="D206" s="123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7"/>
      <c r="R206" s="13"/>
      <c r="S206" s="115"/>
      <c r="T206" s="115"/>
      <c r="U206" s="115"/>
      <c r="V206" s="115"/>
      <c r="W206" s="115"/>
      <c r="X206" s="115"/>
      <c r="Y206" s="115"/>
      <c r="Z206" s="115"/>
      <c r="AA206" s="115"/>
      <c r="AB206" s="25"/>
      <c r="AC206" s="13"/>
      <c r="AH206" s="116"/>
      <c r="AI206" s="123"/>
      <c r="AJ206" s="123"/>
      <c r="AK206" s="123"/>
      <c r="AP206" s="115"/>
      <c r="AQ206" s="115"/>
      <c r="AR206" s="115"/>
      <c r="AS206" s="115"/>
      <c r="AT206" s="115"/>
      <c r="AU206" s="115"/>
      <c r="AV206" s="115"/>
      <c r="AW206" s="115"/>
      <c r="AX206" s="115"/>
      <c r="AY206" s="115"/>
      <c r="AZ206" s="25"/>
      <c r="BA206" s="13"/>
      <c r="BD206" s="114"/>
    </row>
    <row r="207" spans="1:56" ht="19.5" x14ac:dyDescent="0.4">
      <c r="A207" s="117"/>
      <c r="B207" s="123"/>
      <c r="C207" s="123"/>
      <c r="D207" s="123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7"/>
      <c r="R207" s="13"/>
      <c r="S207" s="115"/>
      <c r="T207" s="115"/>
      <c r="U207" s="115"/>
      <c r="V207" s="115"/>
      <c r="W207" s="115"/>
      <c r="X207" s="115"/>
      <c r="Y207" s="115"/>
      <c r="Z207" s="115"/>
      <c r="AA207" s="115"/>
      <c r="AB207" s="25"/>
      <c r="AC207" s="13"/>
      <c r="AH207" s="116"/>
      <c r="AI207" s="123"/>
      <c r="AJ207" s="123"/>
      <c r="AK207" s="123"/>
      <c r="AP207" s="115"/>
      <c r="AQ207" s="115"/>
      <c r="AR207" s="115"/>
      <c r="AS207" s="115"/>
      <c r="AT207" s="115"/>
      <c r="AU207" s="115"/>
      <c r="AV207" s="115"/>
      <c r="AW207" s="115"/>
      <c r="AX207" s="115"/>
      <c r="AY207" s="115"/>
      <c r="AZ207" s="25"/>
      <c r="BA207" s="13"/>
      <c r="BD207" s="114"/>
    </row>
    <row r="208" spans="1:56" ht="19.5" x14ac:dyDescent="0.4">
      <c r="A208" s="117"/>
      <c r="B208" s="123"/>
      <c r="C208" s="123"/>
      <c r="D208" s="123"/>
      <c r="Q208" s="26"/>
      <c r="R208" s="13"/>
      <c r="S208" s="115"/>
      <c r="T208" s="115"/>
      <c r="U208" s="115"/>
      <c r="V208" s="115"/>
      <c r="W208" s="115"/>
      <c r="X208" s="115"/>
      <c r="Y208" s="115"/>
      <c r="Z208" s="115"/>
      <c r="AA208" s="115"/>
      <c r="AB208" s="25">
        <v>45677</v>
      </c>
      <c r="AC208" s="13" t="s">
        <v>146</v>
      </c>
      <c r="AH208" s="116"/>
      <c r="AI208" s="123"/>
      <c r="AJ208" s="123"/>
      <c r="AK208" s="123"/>
      <c r="AP208" s="115"/>
      <c r="AQ208" s="115"/>
      <c r="AR208" s="115"/>
      <c r="AS208" s="115"/>
      <c r="AT208" s="115"/>
      <c r="AU208" s="115"/>
      <c r="AV208" s="115"/>
      <c r="AW208" s="115"/>
      <c r="AX208" s="115"/>
      <c r="AY208" s="115"/>
      <c r="AZ208" s="25"/>
      <c r="BA208" s="13"/>
      <c r="BD208" s="114"/>
    </row>
    <row r="209" spans="1:56" ht="19.5" x14ac:dyDescent="0.4">
      <c r="A209" s="117"/>
      <c r="B209" s="123"/>
      <c r="C209" s="123"/>
      <c r="D209" s="123"/>
      <c r="K209" s="115"/>
      <c r="L209" s="115"/>
      <c r="M209" s="115"/>
      <c r="N209" s="115"/>
      <c r="O209" s="115"/>
      <c r="P209" s="115"/>
      <c r="Q209" s="26"/>
      <c r="R209" s="13"/>
      <c r="S209" s="115"/>
      <c r="T209" s="115"/>
      <c r="U209" s="115"/>
      <c r="V209" s="115"/>
      <c r="W209" s="115"/>
      <c r="X209" s="115"/>
      <c r="Y209" s="115"/>
      <c r="Z209" s="115"/>
      <c r="AA209" s="115"/>
      <c r="AB209" s="25"/>
      <c r="AC209" s="13"/>
      <c r="AH209" s="116"/>
      <c r="AI209" s="123"/>
      <c r="AJ209" s="123"/>
      <c r="AK209" s="123"/>
      <c r="AP209" s="115"/>
      <c r="AQ209" s="115"/>
      <c r="AR209" s="115"/>
      <c r="AS209" s="115"/>
      <c r="AT209" s="115"/>
      <c r="AU209" s="115"/>
      <c r="AV209" s="115"/>
      <c r="AW209" s="115"/>
      <c r="AX209" s="115"/>
      <c r="AY209" s="115"/>
      <c r="AZ209" s="25"/>
      <c r="BA209" s="13"/>
      <c r="BD209" s="114"/>
    </row>
    <row r="210" spans="1:56" ht="19.5" x14ac:dyDescent="0.4">
      <c r="A210" s="117"/>
      <c r="B210" s="123"/>
      <c r="C210" s="123"/>
      <c r="D210" s="123"/>
      <c r="Q210" s="26"/>
      <c r="R210" s="13"/>
      <c r="S210" s="115"/>
      <c r="T210" s="115"/>
      <c r="U210" s="115"/>
      <c r="V210" s="115"/>
      <c r="W210" s="115"/>
      <c r="X210" s="115"/>
      <c r="Y210" s="115"/>
      <c r="Z210" s="115"/>
      <c r="AA210" s="115"/>
      <c r="AB210" s="25"/>
      <c r="AC210" s="13"/>
      <c r="AH210" s="116"/>
      <c r="AI210" s="123"/>
      <c r="AJ210" s="123"/>
      <c r="AK210" s="123"/>
      <c r="AP210" s="115"/>
      <c r="AQ210" s="115"/>
      <c r="AR210" s="115"/>
      <c r="AS210" s="115"/>
      <c r="AT210" s="115"/>
      <c r="AU210" s="115"/>
      <c r="AV210" s="115"/>
      <c r="AW210" s="115"/>
      <c r="AX210" s="115"/>
      <c r="AY210" s="115"/>
      <c r="AZ210" s="25"/>
      <c r="BA210" s="13"/>
      <c r="BD210" s="114"/>
    </row>
    <row r="211" spans="1:56" ht="19.5" x14ac:dyDescent="0.4">
      <c r="A211" s="117"/>
      <c r="B211" s="123"/>
      <c r="C211" s="123"/>
      <c r="D211" s="123"/>
      <c r="K211" s="115"/>
      <c r="L211" s="115"/>
      <c r="M211" s="115"/>
      <c r="N211" s="115"/>
      <c r="O211" s="115"/>
      <c r="P211" s="115"/>
      <c r="Q211" s="26"/>
      <c r="R211" s="13"/>
      <c r="S211" s="115"/>
      <c r="T211" s="115"/>
      <c r="U211" s="115"/>
      <c r="V211" s="115"/>
      <c r="W211" s="115"/>
      <c r="X211" s="115"/>
      <c r="Y211" s="115"/>
      <c r="Z211" s="115"/>
      <c r="AA211" s="115"/>
      <c r="AB211" s="25"/>
      <c r="AC211" s="13"/>
      <c r="AH211" s="116"/>
      <c r="AI211" s="123"/>
      <c r="AJ211" s="123"/>
      <c r="AK211" s="123"/>
      <c r="AP211" s="115"/>
      <c r="AQ211" s="115"/>
      <c r="AR211" s="115"/>
      <c r="AS211" s="115"/>
      <c r="AT211" s="115"/>
      <c r="AU211" s="115"/>
      <c r="AV211" s="115"/>
      <c r="AW211" s="115"/>
      <c r="AX211" s="115"/>
      <c r="AY211" s="115"/>
      <c r="AZ211" s="25"/>
      <c r="BA211" s="13"/>
      <c r="BD211" s="114"/>
    </row>
    <row r="212" spans="1:56" ht="19.5" x14ac:dyDescent="0.4">
      <c r="A212" s="117"/>
      <c r="B212" s="123"/>
      <c r="C212" s="123"/>
      <c r="D212" s="123"/>
      <c r="K212" s="115"/>
      <c r="L212" s="115"/>
      <c r="M212" s="115"/>
      <c r="N212" s="115"/>
      <c r="O212" s="115"/>
      <c r="P212" s="115"/>
      <c r="Q212" s="26"/>
      <c r="R212" s="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25"/>
      <c r="AC212" s="13"/>
      <c r="AH212" s="116"/>
      <c r="AI212" s="123"/>
      <c r="AJ212" s="123"/>
      <c r="AK212" s="123"/>
      <c r="AP212" s="115"/>
      <c r="AQ212" s="115"/>
      <c r="AR212" s="115"/>
      <c r="AS212" s="115"/>
      <c r="AT212" s="115"/>
      <c r="AU212" s="115"/>
      <c r="AV212" s="115"/>
      <c r="AW212" s="115"/>
      <c r="AX212" s="115"/>
      <c r="AY212" s="115"/>
      <c r="AZ212" s="25"/>
      <c r="BA212" s="13"/>
      <c r="BD212" s="114"/>
    </row>
    <row r="213" spans="1:56" ht="19.5" x14ac:dyDescent="0.4">
      <c r="A213" s="117"/>
      <c r="B213" s="123"/>
      <c r="C213" s="123"/>
      <c r="D213" s="123"/>
      <c r="Q213" s="26"/>
      <c r="R213" s="13"/>
      <c r="S213" s="115"/>
      <c r="T213" s="115"/>
      <c r="U213" s="115"/>
      <c r="V213" s="115"/>
      <c r="W213" s="115"/>
      <c r="X213" s="115"/>
      <c r="Y213" s="115"/>
      <c r="Z213" s="115"/>
      <c r="AA213" s="115"/>
      <c r="AB213" s="25"/>
      <c r="AC213" s="13"/>
      <c r="AH213" s="116"/>
      <c r="AI213" s="123"/>
      <c r="AJ213" s="123"/>
      <c r="AK213" s="123"/>
      <c r="AP213" s="115"/>
      <c r="AQ213" s="115"/>
      <c r="AR213" s="115"/>
      <c r="AS213" s="115"/>
      <c r="AT213" s="115"/>
      <c r="AU213" s="115"/>
      <c r="AV213" s="115"/>
      <c r="AW213" s="115"/>
      <c r="AX213" s="115"/>
      <c r="AY213" s="115"/>
      <c r="AZ213" s="25"/>
      <c r="BA213" s="13"/>
      <c r="BD213" s="114"/>
    </row>
    <row r="214" spans="1:56" ht="19.5" x14ac:dyDescent="0.4">
      <c r="A214" s="117"/>
      <c r="B214" s="123"/>
      <c r="C214" s="123"/>
      <c r="D214" s="123"/>
      <c r="M214" s="115"/>
      <c r="N214" s="115"/>
      <c r="O214" s="115"/>
      <c r="P214" s="115"/>
      <c r="Q214" s="26"/>
      <c r="R214" s="13"/>
      <c r="S214" s="115"/>
      <c r="T214" s="115"/>
      <c r="U214" s="115"/>
      <c r="V214" s="115"/>
      <c r="W214" s="115"/>
      <c r="X214" s="115"/>
      <c r="Y214" s="115"/>
      <c r="Z214" s="115"/>
      <c r="AA214" s="115"/>
      <c r="AB214" s="25"/>
      <c r="AC214" s="13"/>
      <c r="AH214" s="116"/>
      <c r="AI214" s="123"/>
      <c r="AJ214" s="123"/>
      <c r="AK214" s="123"/>
      <c r="AP214" s="115"/>
      <c r="AQ214" s="115"/>
      <c r="AR214" s="115"/>
      <c r="AS214" s="115"/>
      <c r="AT214" s="115"/>
      <c r="AU214" s="115"/>
      <c r="AV214" s="115"/>
      <c r="AW214" s="115"/>
      <c r="AX214" s="115"/>
      <c r="AY214" s="115"/>
      <c r="AZ214" s="25"/>
      <c r="BA214" s="13"/>
      <c r="BD214" s="114"/>
    </row>
    <row r="215" spans="1:56" ht="19.5" x14ac:dyDescent="0.4">
      <c r="A215" s="117"/>
      <c r="B215" s="123"/>
      <c r="C215" s="123"/>
      <c r="D215" s="123"/>
      <c r="H215" s="115"/>
      <c r="I215" s="115"/>
      <c r="J215" s="115"/>
      <c r="K215" s="115"/>
      <c r="L215" s="115"/>
      <c r="M215" s="115"/>
      <c r="N215" s="115"/>
      <c r="O215" s="115"/>
      <c r="P215" s="115"/>
      <c r="Q215" s="26"/>
      <c r="R215" s="13"/>
      <c r="S215" s="115"/>
      <c r="T215" s="115"/>
      <c r="U215" s="115"/>
      <c r="V215" s="115"/>
      <c r="W215" s="115"/>
      <c r="X215" s="115"/>
      <c r="Y215" s="115"/>
      <c r="Z215" s="115"/>
      <c r="AA215" s="115"/>
      <c r="AB215" s="25"/>
      <c r="AC215" s="13"/>
      <c r="AH215" s="116"/>
      <c r="AI215" s="123"/>
      <c r="AJ215" s="123"/>
      <c r="AK215" s="123"/>
      <c r="AP215" s="115"/>
      <c r="AQ215" s="115"/>
      <c r="AR215" s="115"/>
      <c r="AS215" s="115"/>
      <c r="AT215" s="115"/>
      <c r="AU215" s="115"/>
      <c r="AV215" s="115"/>
      <c r="AW215" s="115"/>
      <c r="AX215" s="115"/>
      <c r="AY215" s="115"/>
      <c r="AZ215" s="25"/>
      <c r="BA215" s="13"/>
      <c r="BD215" s="114"/>
    </row>
    <row r="216" spans="1:56" ht="19.5" x14ac:dyDescent="0.4">
      <c r="A216" s="117"/>
      <c r="B216" s="123"/>
      <c r="C216" s="123"/>
      <c r="D216" s="123"/>
      <c r="H216" s="115"/>
      <c r="I216" s="115"/>
      <c r="J216" s="115"/>
      <c r="K216" s="115"/>
      <c r="L216" s="115"/>
      <c r="M216" s="115"/>
      <c r="N216" s="115"/>
      <c r="O216" s="115"/>
      <c r="P216" s="115"/>
      <c r="Q216" s="26"/>
      <c r="R216" s="13"/>
      <c r="S216" s="115"/>
      <c r="T216" s="115"/>
      <c r="U216" s="115"/>
      <c r="V216" s="115"/>
      <c r="W216" s="115"/>
      <c r="X216" s="115"/>
      <c r="Y216" s="115"/>
      <c r="Z216" s="115"/>
      <c r="AA216" s="115"/>
      <c r="AB216" s="25"/>
      <c r="AC216" s="13"/>
      <c r="AH216" s="116"/>
      <c r="AI216" s="123"/>
      <c r="AJ216" s="123"/>
      <c r="AK216" s="123"/>
      <c r="AP216" s="115"/>
      <c r="AQ216" s="115"/>
      <c r="AR216" s="115"/>
      <c r="AS216" s="115"/>
      <c r="AT216" s="115"/>
      <c r="AU216" s="115"/>
      <c r="AV216" s="115"/>
      <c r="AW216" s="115"/>
      <c r="AX216" s="115"/>
      <c r="AY216" s="115"/>
      <c r="AZ216" s="25"/>
      <c r="BA216" s="13"/>
      <c r="BD216" s="114"/>
    </row>
    <row r="217" spans="1:56" ht="19.5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115"/>
      <c r="N217" s="115"/>
      <c r="O217" s="115"/>
      <c r="P217" s="115"/>
      <c r="Q217" s="17"/>
      <c r="R217" s="13"/>
      <c r="S217" s="115"/>
      <c r="T217" s="115"/>
      <c r="U217" s="115"/>
      <c r="V217" s="115"/>
      <c r="W217" s="115"/>
      <c r="X217" s="115"/>
      <c r="Y217" s="115"/>
      <c r="Z217" s="115"/>
      <c r="AA217" s="115"/>
      <c r="AB217" s="25"/>
      <c r="AC217" s="13"/>
      <c r="AH217" s="116"/>
      <c r="AI217" s="123"/>
      <c r="AJ217" s="123"/>
      <c r="AK217" s="123"/>
      <c r="AP217" s="115"/>
      <c r="AQ217" s="115"/>
      <c r="AR217" s="115"/>
      <c r="AS217" s="115"/>
      <c r="AT217" s="115"/>
      <c r="AU217" s="115"/>
      <c r="AV217" s="115"/>
      <c r="AW217" s="115"/>
      <c r="AX217" s="115"/>
      <c r="AY217" s="115"/>
      <c r="AZ217" s="25"/>
      <c r="BA217" s="13"/>
      <c r="BD217" s="114"/>
    </row>
    <row r="218" spans="1:56" ht="19.5" x14ac:dyDescent="0.4">
      <c r="A218" s="117"/>
      <c r="B218" s="123"/>
      <c r="C218" s="123"/>
      <c r="D218" s="123"/>
      <c r="Q218" s="26"/>
      <c r="R218" s="13"/>
      <c r="S218" s="115"/>
      <c r="T218" s="115"/>
      <c r="U218" s="115"/>
      <c r="V218" s="115"/>
      <c r="W218" s="115"/>
      <c r="X218" s="115"/>
      <c r="Y218" s="115"/>
      <c r="Z218" s="115"/>
      <c r="AA218" s="115"/>
      <c r="AB218" s="25">
        <v>45677</v>
      </c>
      <c r="AC218" s="13" t="s">
        <v>147</v>
      </c>
      <c r="AH218" s="116"/>
      <c r="AI218" s="123"/>
      <c r="AJ218" s="123"/>
      <c r="AK218" s="123"/>
      <c r="AP218" s="115"/>
      <c r="AQ218" s="115"/>
      <c r="AR218" s="115"/>
      <c r="AS218" s="115"/>
      <c r="AT218" s="115"/>
      <c r="AU218" s="115"/>
      <c r="AV218" s="115"/>
      <c r="AW218" s="115"/>
      <c r="AX218" s="115"/>
      <c r="AY218" s="115"/>
      <c r="AZ218" s="25"/>
      <c r="BA218" s="13"/>
      <c r="BD218" s="114"/>
    </row>
    <row r="219" spans="1:56" ht="19.5" x14ac:dyDescent="0.4">
      <c r="A219" s="117"/>
      <c r="B219" s="123"/>
      <c r="C219" s="123"/>
      <c r="D219" s="123"/>
      <c r="L219" s="115"/>
      <c r="M219" s="115"/>
      <c r="N219" s="115"/>
      <c r="O219" s="115"/>
      <c r="P219" s="115"/>
      <c r="Q219" s="26"/>
      <c r="R219" s="13"/>
      <c r="S219" s="115"/>
      <c r="T219" s="115"/>
      <c r="U219" s="115"/>
      <c r="V219" s="115"/>
      <c r="W219" s="115"/>
      <c r="X219" s="115"/>
      <c r="Y219" s="115"/>
      <c r="Z219" s="115"/>
      <c r="AA219" s="115"/>
      <c r="AB219" s="25"/>
      <c r="AC219" s="13"/>
      <c r="AH219" s="116"/>
      <c r="AI219" s="123"/>
      <c r="AJ219" s="123"/>
      <c r="AK219" s="123"/>
      <c r="AP219" s="115"/>
      <c r="AQ219" s="115"/>
      <c r="AR219" s="115"/>
      <c r="AS219" s="115"/>
      <c r="AT219" s="115"/>
      <c r="AU219" s="115"/>
      <c r="AV219" s="115"/>
      <c r="AW219" s="115"/>
      <c r="AX219" s="115"/>
      <c r="AY219" s="115"/>
      <c r="AZ219" s="25"/>
      <c r="BA219" s="13"/>
      <c r="BD219" s="114"/>
    </row>
    <row r="220" spans="1:56" ht="19.5" x14ac:dyDescent="0.4">
      <c r="A220" s="117"/>
      <c r="B220" s="123"/>
      <c r="C220" s="123"/>
      <c r="D220" s="123"/>
      <c r="Q220" s="26"/>
      <c r="R220" s="13"/>
      <c r="S220" s="115"/>
      <c r="T220" s="115"/>
      <c r="U220" s="115"/>
      <c r="V220" s="115"/>
      <c r="W220" s="115"/>
      <c r="X220" s="115"/>
      <c r="Y220" s="115"/>
      <c r="Z220" s="115"/>
      <c r="AA220" s="115"/>
      <c r="AB220" s="25">
        <v>45677</v>
      </c>
      <c r="AC220" s="25" t="s">
        <v>147</v>
      </c>
      <c r="AH220" s="116"/>
      <c r="AI220" s="123"/>
      <c r="AJ220" s="123"/>
      <c r="AK220" s="123"/>
      <c r="AP220" s="115"/>
      <c r="AQ220" s="115"/>
      <c r="AR220" s="115"/>
      <c r="AS220" s="115"/>
      <c r="AT220" s="115"/>
      <c r="AU220" s="115"/>
      <c r="AV220" s="115"/>
      <c r="AW220" s="115"/>
      <c r="AX220" s="115"/>
      <c r="AY220" s="115"/>
      <c r="AZ220" s="25"/>
      <c r="BA220" s="13"/>
      <c r="BD220" s="114"/>
    </row>
    <row r="221" spans="1:56" ht="19.5" x14ac:dyDescent="0.4">
      <c r="A221" s="117"/>
      <c r="B221" s="123"/>
      <c r="C221" s="123"/>
      <c r="D221" s="123"/>
      <c r="Q221" s="26"/>
      <c r="R221" s="13"/>
      <c r="S221" s="115"/>
      <c r="T221" s="115"/>
      <c r="U221" s="115"/>
      <c r="V221" s="115"/>
      <c r="W221" s="115"/>
      <c r="X221" s="115"/>
      <c r="Y221" s="115"/>
      <c r="Z221" s="115"/>
      <c r="AA221" s="115"/>
      <c r="AB221" s="25"/>
      <c r="AC221" s="25"/>
      <c r="AH221" s="116"/>
      <c r="AI221" s="123"/>
      <c r="AJ221" s="123"/>
      <c r="AK221" s="123"/>
      <c r="AP221" s="115"/>
      <c r="AQ221" s="115"/>
      <c r="AR221" s="115"/>
      <c r="AS221" s="115"/>
      <c r="AT221" s="115"/>
      <c r="AU221" s="115"/>
      <c r="AV221" s="115"/>
      <c r="AW221" s="115"/>
      <c r="AX221" s="115"/>
      <c r="AY221" s="115"/>
      <c r="AZ221" s="25"/>
      <c r="BA221" s="13"/>
      <c r="BD221" s="114"/>
    </row>
    <row r="222" spans="1:56" ht="19.5" x14ac:dyDescent="0.4">
      <c r="A222" s="117"/>
      <c r="B222" s="123"/>
      <c r="C222" s="123"/>
      <c r="D222" s="123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26"/>
      <c r="R222" s="13"/>
      <c r="S222" s="115"/>
      <c r="T222" s="115"/>
      <c r="U222" s="115"/>
      <c r="V222" s="115"/>
      <c r="W222" s="115"/>
      <c r="X222" s="115"/>
      <c r="Y222" s="115"/>
      <c r="Z222" s="115"/>
      <c r="AA222" s="115"/>
      <c r="AB222" s="25"/>
      <c r="AC222" s="25"/>
      <c r="AH222" s="116"/>
      <c r="AI222" s="123"/>
      <c r="AJ222" s="123"/>
      <c r="AK222" s="123"/>
      <c r="AP222" s="115"/>
      <c r="AQ222" s="115"/>
      <c r="AR222" s="115"/>
      <c r="AS222" s="115"/>
      <c r="AT222" s="115"/>
      <c r="AU222" s="115"/>
      <c r="AV222" s="115"/>
      <c r="AW222" s="115"/>
      <c r="AX222" s="115"/>
      <c r="AY222" s="115"/>
      <c r="AZ222" s="25"/>
      <c r="BA222" s="13"/>
      <c r="BD222" s="114"/>
    </row>
    <row r="223" spans="1:56" ht="19.5" x14ac:dyDescent="0.4">
      <c r="A223" s="117"/>
      <c r="B223" s="123"/>
      <c r="C223" s="123"/>
      <c r="D223" s="123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26"/>
      <c r="R223" s="13"/>
      <c r="S223" s="115"/>
      <c r="T223" s="115"/>
      <c r="U223" s="115"/>
      <c r="V223" s="115"/>
      <c r="W223" s="115"/>
      <c r="X223" s="115"/>
      <c r="Y223" s="115"/>
      <c r="Z223" s="115"/>
      <c r="AA223" s="115"/>
      <c r="AB223" s="25"/>
      <c r="AC223" s="25"/>
      <c r="AH223" s="116"/>
      <c r="AI223" s="123"/>
      <c r="AJ223" s="123"/>
      <c r="AK223" s="123"/>
      <c r="AP223" s="115"/>
      <c r="AQ223" s="115"/>
      <c r="AR223" s="115"/>
      <c r="AS223" s="115"/>
      <c r="AT223" s="115"/>
      <c r="AU223" s="115"/>
      <c r="AV223" s="115"/>
      <c r="AW223" s="115"/>
      <c r="AX223" s="115"/>
      <c r="AY223" s="115"/>
      <c r="AZ223" s="25"/>
      <c r="BA223" s="13"/>
      <c r="BD223" s="114"/>
    </row>
    <row r="224" spans="1:56" ht="19.5" x14ac:dyDescent="0.4">
      <c r="A224" s="117"/>
      <c r="B224" s="123"/>
      <c r="C224" s="123"/>
      <c r="D224" s="123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26"/>
      <c r="R224" s="13"/>
      <c r="S224" s="115"/>
      <c r="T224" s="115"/>
      <c r="U224" s="115"/>
      <c r="V224" s="115"/>
      <c r="W224" s="115"/>
      <c r="X224" s="115"/>
      <c r="Y224" s="115"/>
      <c r="Z224" s="115"/>
      <c r="AA224" s="115"/>
      <c r="AB224" s="25"/>
      <c r="AC224" s="25"/>
      <c r="AH224" s="116"/>
      <c r="AI224" s="123"/>
      <c r="AJ224" s="123"/>
      <c r="AK224" s="123"/>
      <c r="AP224" s="115"/>
      <c r="AQ224" s="115"/>
      <c r="AR224" s="115"/>
      <c r="AS224" s="115"/>
      <c r="AT224" s="115"/>
      <c r="AU224" s="115"/>
      <c r="AV224" s="115"/>
      <c r="AW224" s="115"/>
      <c r="AX224" s="115"/>
      <c r="AY224" s="115"/>
      <c r="AZ224" s="25"/>
      <c r="BA224" s="13"/>
      <c r="BD224" s="114"/>
    </row>
    <row r="225" spans="1:56" ht="19.5" x14ac:dyDescent="0.4">
      <c r="A225" s="117"/>
      <c r="B225" s="123"/>
      <c r="C225" s="123"/>
      <c r="D225" s="123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7"/>
      <c r="R225" s="13"/>
      <c r="S225" s="115"/>
      <c r="T225" s="115"/>
      <c r="U225" s="115"/>
      <c r="V225" s="115"/>
      <c r="W225" s="115"/>
      <c r="X225" s="115"/>
      <c r="Y225" s="115"/>
      <c r="Z225" s="115"/>
      <c r="AA225" s="115"/>
      <c r="AB225" s="25"/>
      <c r="AC225" s="25"/>
      <c r="AH225" s="116"/>
      <c r="AI225" s="123"/>
      <c r="AJ225" s="123"/>
      <c r="AK225" s="123"/>
      <c r="AP225" s="115"/>
      <c r="AQ225" s="115"/>
      <c r="AR225" s="115"/>
      <c r="AS225" s="115"/>
      <c r="AT225" s="115"/>
      <c r="AU225" s="115"/>
      <c r="AV225" s="115"/>
      <c r="AW225" s="115"/>
      <c r="AX225" s="115"/>
      <c r="AY225" s="115"/>
      <c r="AZ225" s="25"/>
      <c r="BA225" s="13"/>
      <c r="BD225" s="114"/>
    </row>
    <row r="226" spans="1:56" ht="19.5" x14ac:dyDescent="0.4">
      <c r="A226" s="117"/>
      <c r="B226" s="123"/>
      <c r="C226" s="123"/>
      <c r="D226" s="123"/>
      <c r="Q226" s="26"/>
      <c r="R226" s="13"/>
      <c r="S226" s="115"/>
      <c r="T226" s="115"/>
      <c r="U226" s="115"/>
      <c r="V226" s="115"/>
      <c r="W226" s="115"/>
      <c r="X226" s="115"/>
      <c r="Y226" s="115"/>
      <c r="Z226" s="115"/>
      <c r="AA226" s="115"/>
      <c r="AB226" s="25">
        <v>45678</v>
      </c>
      <c r="AC226" s="13" t="s">
        <v>147</v>
      </c>
      <c r="AH226" s="116"/>
      <c r="AI226" s="123"/>
      <c r="AJ226" s="123"/>
      <c r="AK226" s="123"/>
      <c r="AP226" s="115"/>
      <c r="AQ226" s="115"/>
      <c r="AR226" s="115"/>
      <c r="AS226" s="115"/>
      <c r="AT226" s="115"/>
      <c r="AU226" s="115"/>
      <c r="AV226" s="115"/>
      <c r="AW226" s="115"/>
      <c r="AX226" s="115"/>
      <c r="AY226" s="115"/>
      <c r="AZ226" s="25"/>
      <c r="BA226" s="13"/>
      <c r="BD226" s="114"/>
    </row>
    <row r="227" spans="1:56" ht="19.5" x14ac:dyDescent="0.4">
      <c r="A227" s="117"/>
      <c r="B227" s="123"/>
      <c r="C227" s="123"/>
      <c r="D227" s="123"/>
      <c r="H227" s="115"/>
      <c r="I227" s="115"/>
      <c r="J227" s="115"/>
      <c r="K227" s="115"/>
      <c r="L227" s="115"/>
      <c r="M227" s="115"/>
      <c r="N227" s="115"/>
      <c r="O227" s="115"/>
      <c r="P227" s="115"/>
      <c r="Q227" s="26"/>
      <c r="R227" s="13"/>
      <c r="S227" s="115"/>
      <c r="T227" s="115"/>
      <c r="U227" s="115"/>
      <c r="V227" s="115"/>
      <c r="W227" s="115"/>
      <c r="X227" s="115"/>
      <c r="Y227" s="115"/>
      <c r="Z227" s="115"/>
      <c r="AA227" s="115"/>
      <c r="AB227" s="25"/>
      <c r="AC227" s="13"/>
      <c r="AH227" s="116"/>
      <c r="AI227" s="123"/>
      <c r="AJ227" s="123"/>
      <c r="AK227" s="123"/>
      <c r="AP227" s="115"/>
      <c r="AQ227" s="115"/>
      <c r="AR227" s="115"/>
      <c r="AS227" s="115"/>
      <c r="AT227" s="115"/>
      <c r="AU227" s="115"/>
      <c r="AV227" s="115"/>
      <c r="AW227" s="115"/>
      <c r="AX227" s="115"/>
      <c r="AY227" s="115"/>
      <c r="AZ227" s="25"/>
      <c r="BA227" s="13"/>
      <c r="BD227" s="114"/>
    </row>
    <row r="228" spans="1:56" ht="19.5" x14ac:dyDescent="0.4">
      <c r="A228" s="117"/>
      <c r="B228" s="123"/>
      <c r="C228" s="123"/>
      <c r="D228" s="123"/>
      <c r="Q228" s="26"/>
      <c r="R228" s="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25">
        <v>45678</v>
      </c>
      <c r="AC228" s="13" t="s">
        <v>146</v>
      </c>
      <c r="AH228" s="116"/>
      <c r="AI228" s="123"/>
      <c r="AJ228" s="123"/>
      <c r="AK228" s="123"/>
      <c r="AP228" s="115"/>
      <c r="AQ228" s="115"/>
      <c r="AR228" s="115"/>
      <c r="AS228" s="115"/>
      <c r="AT228" s="115"/>
      <c r="AU228" s="115"/>
      <c r="AV228" s="115"/>
      <c r="AW228" s="115"/>
      <c r="AX228" s="115"/>
      <c r="AY228" s="115"/>
      <c r="AZ228" s="25"/>
      <c r="BA228" s="13"/>
      <c r="BD228" s="114"/>
    </row>
    <row r="229" spans="1:56" ht="19.5" x14ac:dyDescent="0.4">
      <c r="A229" s="117"/>
      <c r="B229" s="123"/>
      <c r="C229" s="123"/>
      <c r="D229" s="123"/>
      <c r="I229" s="115"/>
      <c r="J229" s="115"/>
      <c r="K229" s="115"/>
      <c r="L229" s="115"/>
      <c r="M229" s="115"/>
      <c r="N229" s="115"/>
      <c r="O229" s="115"/>
      <c r="P229" s="115"/>
      <c r="Q229" s="26"/>
      <c r="R229" s="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25"/>
      <c r="AC229" s="13"/>
      <c r="AH229" s="116"/>
      <c r="AI229" s="123"/>
      <c r="AJ229" s="123"/>
      <c r="AK229" s="123"/>
      <c r="AP229" s="115"/>
      <c r="AQ229" s="115"/>
      <c r="AR229" s="115"/>
      <c r="AS229" s="115"/>
      <c r="AT229" s="115"/>
      <c r="AU229" s="115"/>
      <c r="AV229" s="115"/>
      <c r="AW229" s="115"/>
      <c r="AX229" s="115"/>
      <c r="AY229" s="115"/>
      <c r="AZ229" s="25"/>
      <c r="BA229" s="13"/>
      <c r="BD229" s="114"/>
    </row>
    <row r="230" spans="1:56" ht="19.5" x14ac:dyDescent="0.4">
      <c r="A230" s="117"/>
      <c r="B230" s="123"/>
      <c r="C230" s="123"/>
      <c r="D230" s="123"/>
      <c r="I230" s="115"/>
      <c r="J230" s="115"/>
      <c r="K230" s="115"/>
      <c r="L230" s="115"/>
      <c r="M230" s="115"/>
      <c r="N230" s="115"/>
      <c r="O230" s="115"/>
      <c r="P230" s="115"/>
      <c r="Q230" s="26"/>
      <c r="R230" s="13"/>
      <c r="S230" s="115"/>
      <c r="T230" s="115"/>
      <c r="U230" s="115"/>
      <c r="V230" s="115"/>
      <c r="W230" s="115"/>
      <c r="X230" s="115"/>
      <c r="Y230" s="115"/>
      <c r="Z230" s="115"/>
      <c r="AA230" s="115"/>
      <c r="AB230" s="25"/>
      <c r="AC230" s="13"/>
      <c r="AH230" s="116"/>
      <c r="AI230" s="123"/>
      <c r="AJ230" s="123"/>
      <c r="AK230" s="123"/>
      <c r="AP230" s="115"/>
      <c r="AQ230" s="115"/>
      <c r="AR230" s="115"/>
      <c r="AS230" s="115"/>
      <c r="AT230" s="115"/>
      <c r="AU230" s="115"/>
      <c r="AV230" s="115"/>
      <c r="AW230" s="115"/>
      <c r="AX230" s="115"/>
      <c r="AY230" s="115"/>
      <c r="AZ230" s="25"/>
      <c r="BA230" s="13"/>
      <c r="BD230" s="114"/>
    </row>
    <row r="231" spans="1:56" ht="19.5" x14ac:dyDescent="0.4">
      <c r="A231" s="117"/>
      <c r="B231" s="123"/>
      <c r="C231" s="123"/>
      <c r="D231" s="123"/>
      <c r="I231" s="115"/>
      <c r="J231" s="115"/>
      <c r="K231" s="115"/>
      <c r="L231" s="115"/>
      <c r="M231" s="115"/>
      <c r="N231" s="115"/>
      <c r="O231" s="115"/>
      <c r="P231" s="115"/>
      <c r="Q231" s="26"/>
      <c r="R231" s="13"/>
      <c r="S231" s="115"/>
      <c r="T231" s="115"/>
      <c r="U231" s="115"/>
      <c r="V231" s="115"/>
      <c r="W231" s="115"/>
      <c r="X231" s="115"/>
      <c r="Y231" s="115"/>
      <c r="Z231" s="115"/>
      <c r="AA231" s="115"/>
      <c r="AB231" s="25"/>
      <c r="AC231" s="13"/>
      <c r="AH231" s="116"/>
      <c r="AI231" s="123"/>
      <c r="AJ231" s="123"/>
      <c r="AK231" s="123"/>
      <c r="AP231" s="115"/>
      <c r="AQ231" s="115"/>
      <c r="AR231" s="115"/>
      <c r="AS231" s="115"/>
      <c r="AT231" s="115"/>
      <c r="AU231" s="115"/>
      <c r="AV231" s="115"/>
      <c r="AW231" s="115"/>
      <c r="AX231" s="115"/>
      <c r="AY231" s="115"/>
      <c r="AZ231" s="25"/>
      <c r="BA231" s="13"/>
      <c r="BD231" s="114"/>
    </row>
    <row r="232" spans="1:56" ht="19.5" x14ac:dyDescent="0.4">
      <c r="A232" s="117"/>
      <c r="B232" s="123"/>
      <c r="C232" s="123"/>
      <c r="D232" s="123"/>
      <c r="I232" s="115"/>
      <c r="J232" s="115"/>
      <c r="K232" s="115"/>
      <c r="L232" s="115"/>
      <c r="M232" s="115"/>
      <c r="N232" s="115"/>
      <c r="O232" s="115"/>
      <c r="P232" s="115"/>
      <c r="Q232" s="26"/>
      <c r="R232" s="13"/>
      <c r="S232" s="115"/>
      <c r="T232" s="115"/>
      <c r="U232" s="115"/>
      <c r="V232" s="115"/>
      <c r="W232" s="115"/>
      <c r="X232" s="115"/>
      <c r="Y232" s="115"/>
      <c r="Z232" s="115"/>
      <c r="AA232" s="115"/>
      <c r="AB232" s="25"/>
      <c r="AC232" s="13"/>
      <c r="AH232" s="116"/>
      <c r="AI232" s="123"/>
      <c r="AJ232" s="123"/>
      <c r="AK232" s="123"/>
      <c r="AP232" s="115"/>
      <c r="AQ232" s="115"/>
      <c r="AR232" s="115"/>
      <c r="AS232" s="115"/>
      <c r="AT232" s="115"/>
      <c r="AU232" s="115"/>
      <c r="AV232" s="115"/>
      <c r="AW232" s="115"/>
      <c r="AX232" s="115"/>
      <c r="AY232" s="115"/>
      <c r="AZ232" s="25"/>
      <c r="BA232" s="13"/>
      <c r="BD232" s="114"/>
    </row>
    <row r="233" spans="1:56" ht="19.5" x14ac:dyDescent="0.4">
      <c r="A233" s="117"/>
      <c r="B233" s="123"/>
      <c r="C233" s="123"/>
      <c r="D233" s="123"/>
      <c r="Q233" s="26"/>
      <c r="R233" s="13"/>
      <c r="S233" s="115"/>
      <c r="T233" s="115"/>
      <c r="U233" s="115"/>
      <c r="V233" s="115"/>
      <c r="W233" s="115"/>
      <c r="X233" s="115"/>
      <c r="Y233" s="115"/>
      <c r="Z233" s="115"/>
      <c r="AA233" s="115"/>
      <c r="AB233" s="25">
        <v>45678</v>
      </c>
      <c r="AC233" s="13" t="s">
        <v>148</v>
      </c>
      <c r="AH233" s="116"/>
      <c r="AI233" s="123"/>
      <c r="AJ233" s="123"/>
      <c r="AK233" s="123"/>
      <c r="AP233" s="115"/>
      <c r="AQ233" s="115"/>
      <c r="AR233" s="115"/>
      <c r="AS233" s="115"/>
      <c r="AT233" s="115"/>
      <c r="AU233" s="115"/>
      <c r="AV233" s="115"/>
      <c r="AW233" s="115"/>
      <c r="AX233" s="115"/>
      <c r="AY233" s="115"/>
      <c r="AZ233" s="25"/>
      <c r="BA233" s="13"/>
      <c r="BD233" s="114"/>
    </row>
    <row r="234" spans="1:56" ht="19.5" x14ac:dyDescent="0.4">
      <c r="A234" s="117"/>
      <c r="B234" s="123"/>
      <c r="C234" s="123"/>
      <c r="D234" s="123"/>
      <c r="K234" s="115"/>
      <c r="L234" s="115"/>
      <c r="M234" s="115"/>
      <c r="N234" s="115"/>
      <c r="O234" s="115"/>
      <c r="P234" s="115"/>
      <c r="Q234" s="26"/>
      <c r="R234" s="13"/>
      <c r="S234" s="115"/>
      <c r="T234" s="115"/>
      <c r="U234" s="115"/>
      <c r="V234" s="115"/>
      <c r="W234" s="115"/>
      <c r="X234" s="115"/>
      <c r="Y234" s="115"/>
      <c r="Z234" s="115"/>
      <c r="AA234" s="115"/>
      <c r="AB234" s="25"/>
      <c r="AC234" s="13"/>
      <c r="AH234" s="116"/>
      <c r="AI234" s="123"/>
      <c r="AJ234" s="123"/>
      <c r="AK234" s="123"/>
      <c r="AP234" s="115"/>
      <c r="AQ234" s="115"/>
      <c r="AR234" s="115"/>
      <c r="AS234" s="115"/>
      <c r="AT234" s="115"/>
      <c r="AU234" s="115"/>
      <c r="AV234" s="115"/>
      <c r="AW234" s="115"/>
      <c r="AX234" s="115"/>
      <c r="AY234" s="115"/>
      <c r="AZ234" s="25"/>
      <c r="BA234" s="13"/>
      <c r="BD234" s="114"/>
    </row>
    <row r="235" spans="1:56" ht="19.5" x14ac:dyDescent="0.4">
      <c r="A235" s="117"/>
      <c r="B235" s="123"/>
      <c r="C235" s="123"/>
      <c r="D235" s="123"/>
      <c r="K235" s="115"/>
      <c r="L235" s="115"/>
      <c r="M235" s="115"/>
      <c r="N235" s="115"/>
      <c r="O235" s="115"/>
      <c r="P235" s="115"/>
      <c r="Q235" s="17"/>
      <c r="R235" s="13"/>
      <c r="S235" s="115"/>
      <c r="T235" s="115"/>
      <c r="U235" s="115"/>
      <c r="V235" s="115"/>
      <c r="W235" s="115"/>
      <c r="X235" s="115"/>
      <c r="Y235" s="115"/>
      <c r="Z235" s="115"/>
      <c r="AA235" s="115"/>
      <c r="AB235" s="25"/>
      <c r="AC235" s="13"/>
      <c r="AH235" s="116"/>
      <c r="AI235" s="123"/>
      <c r="AJ235" s="123"/>
      <c r="AK235" s="123"/>
      <c r="AP235" s="115"/>
      <c r="AQ235" s="115"/>
      <c r="AR235" s="115"/>
      <c r="AS235" s="115"/>
      <c r="AT235" s="115"/>
      <c r="AU235" s="115"/>
      <c r="AV235" s="115"/>
      <c r="AW235" s="115"/>
      <c r="AX235" s="115"/>
      <c r="AY235" s="115"/>
      <c r="AZ235" s="25"/>
      <c r="BA235" s="13"/>
      <c r="BD235" s="114"/>
    </row>
    <row r="236" spans="1:56" ht="19.5" x14ac:dyDescent="0.4">
      <c r="A236" s="117"/>
      <c r="B236" s="123"/>
      <c r="C236" s="123"/>
      <c r="D236" s="123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26"/>
      <c r="R236" s="134"/>
      <c r="S236" s="115"/>
      <c r="T236" s="115"/>
      <c r="U236" s="115"/>
      <c r="V236" s="115"/>
      <c r="W236" s="115"/>
      <c r="X236" s="115"/>
      <c r="Y236" s="115"/>
      <c r="Z236" s="115"/>
      <c r="AA236" s="115"/>
      <c r="AB236" s="25"/>
      <c r="AC236" s="13"/>
      <c r="AH236" s="116"/>
      <c r="AI236" s="123"/>
      <c r="AJ236" s="123"/>
      <c r="AK236" s="123"/>
      <c r="AP236" s="115"/>
      <c r="AQ236" s="115"/>
      <c r="AR236" s="115"/>
      <c r="AS236" s="115"/>
      <c r="AT236" s="115"/>
      <c r="AU236" s="115"/>
      <c r="AV236" s="115"/>
      <c r="AW236" s="115"/>
      <c r="AX236" s="115"/>
      <c r="AY236" s="115"/>
      <c r="AZ236" s="25"/>
      <c r="BA236" s="13"/>
      <c r="BD236" s="114"/>
    </row>
    <row r="237" spans="1:56" ht="19.5" x14ac:dyDescent="0.4">
      <c r="A237" s="117"/>
      <c r="B237" s="123"/>
      <c r="C237" s="123"/>
      <c r="D237" s="123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26"/>
      <c r="R237" s="13"/>
      <c r="S237" s="115"/>
      <c r="T237" s="115"/>
      <c r="U237" s="115"/>
      <c r="V237" s="115"/>
      <c r="W237" s="115"/>
      <c r="X237" s="115"/>
      <c r="Y237" s="115"/>
      <c r="Z237" s="115"/>
      <c r="AA237" s="115"/>
      <c r="AB237" s="25"/>
      <c r="AC237" s="13"/>
      <c r="AH237" s="116"/>
      <c r="AI237" s="123"/>
      <c r="AJ237" s="123"/>
      <c r="AK237" s="123"/>
      <c r="AP237" s="115"/>
      <c r="AQ237" s="115"/>
      <c r="AR237" s="115"/>
      <c r="AS237" s="115"/>
      <c r="AT237" s="115"/>
      <c r="AU237" s="115"/>
      <c r="AV237" s="115"/>
      <c r="AW237" s="115"/>
      <c r="AX237" s="115"/>
      <c r="AY237" s="115"/>
      <c r="AZ237" s="25"/>
      <c r="BA237" s="13"/>
      <c r="BD237" s="114"/>
    </row>
    <row r="238" spans="1:56" ht="19.5" x14ac:dyDescent="0.4">
      <c r="A238" s="117"/>
      <c r="B238" s="123"/>
      <c r="C238" s="123"/>
      <c r="D238" s="123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26"/>
      <c r="R238" s="13"/>
      <c r="S238" s="115"/>
      <c r="T238" s="115"/>
      <c r="U238" s="115"/>
      <c r="V238" s="115"/>
      <c r="W238" s="115"/>
      <c r="X238" s="115"/>
      <c r="Y238" s="115"/>
      <c r="Z238" s="115"/>
      <c r="AA238" s="115"/>
      <c r="AB238" s="25"/>
      <c r="AC238" s="13"/>
      <c r="AH238" s="116"/>
      <c r="AI238" s="123"/>
      <c r="AJ238" s="123"/>
      <c r="AK238" s="123"/>
      <c r="AP238" s="115"/>
      <c r="AQ238" s="115"/>
      <c r="AR238" s="115"/>
      <c r="AS238" s="115"/>
      <c r="AT238" s="115"/>
      <c r="AU238" s="115"/>
      <c r="AV238" s="115"/>
      <c r="AW238" s="115"/>
      <c r="AX238" s="115"/>
      <c r="AY238" s="115"/>
      <c r="AZ238" s="25"/>
      <c r="BA238" s="13"/>
      <c r="BD238" s="114"/>
    </row>
    <row r="239" spans="1:56" ht="19.5" x14ac:dyDescent="0.4">
      <c r="A239" s="117"/>
      <c r="B239" s="123"/>
      <c r="C239" s="123"/>
      <c r="D239" s="123"/>
      <c r="Q239" s="26"/>
      <c r="R239" s="13"/>
      <c r="S239" s="115"/>
      <c r="T239" s="115"/>
      <c r="U239" s="115"/>
      <c r="V239" s="115"/>
      <c r="W239" s="115"/>
      <c r="X239" s="115"/>
      <c r="Y239" s="115"/>
      <c r="Z239" s="115"/>
      <c r="AA239" s="115"/>
      <c r="AB239" s="25">
        <v>45678</v>
      </c>
      <c r="AC239" s="13" t="s">
        <v>148</v>
      </c>
      <c r="AH239" s="116"/>
      <c r="AI239" s="123"/>
      <c r="AJ239" s="123"/>
      <c r="AK239" s="123"/>
      <c r="AP239" s="115"/>
      <c r="AQ239" s="115"/>
      <c r="AR239" s="115"/>
      <c r="AS239" s="115"/>
      <c r="AT239" s="115"/>
      <c r="AU239" s="115"/>
      <c r="AV239" s="115"/>
      <c r="AW239" s="115"/>
      <c r="AX239" s="115"/>
      <c r="AY239" s="115"/>
      <c r="AZ239" s="25"/>
      <c r="BA239" s="13"/>
      <c r="BD239" s="114"/>
    </row>
    <row r="240" spans="1:56" ht="19.5" x14ac:dyDescent="0.4">
      <c r="A240" s="117"/>
      <c r="B240" s="123"/>
      <c r="C240" s="123"/>
      <c r="D240" s="123"/>
      <c r="Q240" s="26"/>
      <c r="R240" s="13"/>
      <c r="S240" s="115"/>
      <c r="T240" s="115"/>
      <c r="U240" s="115"/>
      <c r="V240" s="115"/>
      <c r="W240" s="115"/>
      <c r="X240" s="115"/>
      <c r="Y240" s="115"/>
      <c r="Z240" s="115"/>
      <c r="AA240" s="115"/>
      <c r="AB240" s="25">
        <v>45678</v>
      </c>
      <c r="AC240" s="13" t="s">
        <v>148</v>
      </c>
      <c r="AH240" s="116"/>
      <c r="AI240" s="123"/>
      <c r="AJ240" s="123"/>
      <c r="AK240" s="123"/>
      <c r="AP240" s="115"/>
      <c r="AQ240" s="115"/>
      <c r="AR240" s="115"/>
      <c r="AS240" s="115"/>
      <c r="AT240" s="115"/>
      <c r="AU240" s="115"/>
      <c r="AV240" s="115"/>
      <c r="AW240" s="115"/>
      <c r="AX240" s="115"/>
      <c r="AY240" s="115"/>
      <c r="AZ240" s="25"/>
      <c r="BA240" s="13"/>
      <c r="BD240" s="114"/>
    </row>
    <row r="241" spans="1:56" ht="19.5" x14ac:dyDescent="0.4">
      <c r="A241" s="117"/>
      <c r="B241" s="123"/>
      <c r="C241" s="123"/>
      <c r="D241" s="123"/>
      <c r="L241" s="115"/>
      <c r="M241" s="115"/>
      <c r="N241" s="115"/>
      <c r="O241" s="115"/>
      <c r="P241" s="115"/>
      <c r="Q241" s="26"/>
      <c r="R241" s="13"/>
      <c r="S241" s="115"/>
      <c r="T241" s="115"/>
      <c r="U241" s="115"/>
      <c r="V241" s="115"/>
      <c r="W241" s="115"/>
      <c r="X241" s="115"/>
      <c r="Y241" s="115"/>
      <c r="Z241" s="115"/>
      <c r="AA241" s="115"/>
      <c r="AB241" s="25"/>
      <c r="AC241" s="13"/>
      <c r="AH241" s="116"/>
      <c r="AI241" s="123"/>
      <c r="AJ241" s="123"/>
      <c r="AK241" s="123"/>
      <c r="AP241" s="115"/>
      <c r="AQ241" s="115"/>
      <c r="AR241" s="115"/>
      <c r="AS241" s="115"/>
      <c r="AT241" s="115"/>
      <c r="AU241" s="115"/>
      <c r="AV241" s="115"/>
      <c r="AW241" s="115"/>
      <c r="AX241" s="115"/>
      <c r="AY241" s="115"/>
      <c r="AZ241" s="25"/>
      <c r="BA241" s="13"/>
      <c r="BD241" s="114"/>
    </row>
    <row r="242" spans="1:56" ht="19.5" x14ac:dyDescent="0.4">
      <c r="A242" s="117"/>
      <c r="B242" s="123"/>
      <c r="C242" s="123"/>
      <c r="D242" s="123"/>
      <c r="L242" s="115"/>
      <c r="M242" s="115"/>
      <c r="N242" s="115"/>
      <c r="O242" s="115"/>
      <c r="P242" s="115"/>
      <c r="Q242" s="26"/>
      <c r="R242" s="13"/>
      <c r="S242" s="115"/>
      <c r="T242" s="115"/>
      <c r="U242" s="115"/>
      <c r="V242" s="115"/>
      <c r="W242" s="115"/>
      <c r="X242" s="115"/>
      <c r="Y242" s="115"/>
      <c r="Z242" s="115"/>
      <c r="AA242" s="115"/>
      <c r="AB242" s="25"/>
      <c r="AC242" s="13"/>
      <c r="AH242" s="116"/>
      <c r="AI242" s="123"/>
      <c r="AJ242" s="123"/>
      <c r="AK242" s="123"/>
      <c r="AP242" s="115"/>
      <c r="AQ242" s="115"/>
      <c r="AR242" s="115"/>
      <c r="AS242" s="115"/>
      <c r="AT242" s="115"/>
      <c r="AU242" s="115"/>
      <c r="AV242" s="115"/>
      <c r="AW242" s="115"/>
      <c r="AX242" s="115"/>
      <c r="AY242" s="115"/>
      <c r="AZ242" s="25"/>
      <c r="BA242" s="13"/>
      <c r="BD242" s="114"/>
    </row>
    <row r="243" spans="1:56" ht="19.5" x14ac:dyDescent="0.4">
      <c r="A243" s="117"/>
      <c r="B243" s="123"/>
      <c r="C243" s="123"/>
      <c r="D243" s="123"/>
      <c r="J243" s="115"/>
      <c r="K243" s="115"/>
      <c r="L243" s="115"/>
      <c r="M243" s="115"/>
      <c r="N243" s="115"/>
      <c r="O243" s="115"/>
      <c r="P243" s="115"/>
      <c r="Q243" s="26"/>
      <c r="R243" s="13"/>
      <c r="S243" s="115"/>
      <c r="T243" s="115"/>
      <c r="U243" s="115"/>
      <c r="V243" s="115"/>
      <c r="W243" s="115"/>
      <c r="X243" s="115"/>
      <c r="Y243" s="115"/>
      <c r="Z243" s="115"/>
      <c r="AA243" s="115"/>
      <c r="AB243" s="25"/>
      <c r="AC243" s="13"/>
      <c r="AH243" s="116"/>
      <c r="AI243" s="123"/>
      <c r="AJ243" s="123"/>
      <c r="AK243" s="123"/>
      <c r="AP243" s="115"/>
      <c r="AQ243" s="115"/>
      <c r="AR243" s="115"/>
      <c r="AS243" s="115"/>
      <c r="AT243" s="115"/>
      <c r="AU243" s="115"/>
      <c r="AV243" s="115"/>
      <c r="AW243" s="115"/>
      <c r="AX243" s="115"/>
      <c r="AY243" s="115"/>
      <c r="AZ243" s="25"/>
      <c r="BA243" s="13"/>
      <c r="BD243" s="114"/>
    </row>
    <row r="244" spans="1:56" ht="19.5" x14ac:dyDescent="0.4">
      <c r="A244" s="117"/>
      <c r="B244" s="123"/>
      <c r="C244" s="123"/>
      <c r="D244" s="123"/>
      <c r="J244" s="115"/>
      <c r="K244" s="115"/>
      <c r="L244" s="115"/>
      <c r="M244" s="115"/>
      <c r="N244" s="115"/>
      <c r="O244" s="115"/>
      <c r="P244" s="115"/>
      <c r="Q244" s="26"/>
      <c r="R244" s="13"/>
      <c r="S244" s="115"/>
      <c r="T244" s="115"/>
      <c r="U244" s="115"/>
      <c r="V244" s="115"/>
      <c r="W244" s="115"/>
      <c r="X244" s="115"/>
      <c r="Y244" s="115"/>
      <c r="Z244" s="115"/>
      <c r="AA244" s="115"/>
      <c r="AB244" s="25"/>
      <c r="AC244" s="13"/>
      <c r="AH244" s="116"/>
      <c r="AI244" s="123"/>
      <c r="AJ244" s="123"/>
      <c r="AK244" s="123"/>
      <c r="AP244" s="115"/>
      <c r="AQ244" s="115"/>
      <c r="AR244" s="115"/>
      <c r="AS244" s="115"/>
      <c r="AT244" s="115"/>
      <c r="AU244" s="115"/>
      <c r="AV244" s="115"/>
      <c r="AW244" s="115"/>
      <c r="AX244" s="115"/>
      <c r="AY244" s="115"/>
      <c r="AZ244" s="25"/>
      <c r="BA244" s="13"/>
      <c r="BD244" s="114"/>
    </row>
    <row r="245" spans="1:56" ht="19.5" x14ac:dyDescent="0.4">
      <c r="A245" s="117"/>
      <c r="B245" s="123"/>
      <c r="C245" s="123"/>
      <c r="D245" s="123"/>
      <c r="Q245" s="26"/>
      <c r="R245" s="13"/>
      <c r="S245" s="115"/>
      <c r="T245" s="115"/>
      <c r="U245" s="115"/>
      <c r="V245" s="115"/>
      <c r="W245" s="115"/>
      <c r="X245" s="115"/>
      <c r="Y245" s="115"/>
      <c r="Z245" s="115"/>
      <c r="AA245" s="115"/>
      <c r="AB245" s="25">
        <v>45679</v>
      </c>
      <c r="AC245" s="15" t="s">
        <v>146</v>
      </c>
      <c r="AH245" s="116"/>
      <c r="AI245" s="123"/>
      <c r="AJ245" s="123"/>
      <c r="AK245" s="123"/>
      <c r="AP245" s="115"/>
      <c r="AQ245" s="115"/>
      <c r="AR245" s="115"/>
      <c r="AS245" s="115"/>
      <c r="AT245" s="115"/>
      <c r="AU245" s="115"/>
      <c r="AV245" s="115"/>
      <c r="AW245" s="115"/>
      <c r="AX245" s="115"/>
      <c r="AY245" s="115"/>
      <c r="AZ245" s="25"/>
      <c r="BA245" s="13"/>
      <c r="BD245" s="114"/>
    </row>
    <row r="246" spans="1:56" ht="19.5" x14ac:dyDescent="0.4">
      <c r="A246" s="117"/>
      <c r="B246" s="123"/>
      <c r="C246" s="123"/>
      <c r="D246" s="123"/>
      <c r="M246" s="115"/>
      <c r="N246" s="115"/>
      <c r="O246" s="115"/>
      <c r="P246" s="115"/>
      <c r="Q246" s="26"/>
      <c r="R246" s="13"/>
      <c r="S246" s="115"/>
      <c r="T246" s="115"/>
      <c r="U246" s="115"/>
      <c r="V246" s="115"/>
      <c r="W246" s="115"/>
      <c r="X246" s="115"/>
      <c r="Y246" s="115"/>
      <c r="Z246" s="115"/>
      <c r="AA246" s="115"/>
      <c r="AB246" s="25"/>
      <c r="AC246" s="15"/>
      <c r="AH246" s="116"/>
      <c r="AI246" s="123"/>
      <c r="AJ246" s="123"/>
      <c r="AK246" s="123"/>
      <c r="AP246" s="115"/>
      <c r="AQ246" s="115"/>
      <c r="AR246" s="115"/>
      <c r="AS246" s="115"/>
      <c r="AT246" s="115"/>
      <c r="AU246" s="115"/>
      <c r="AV246" s="115"/>
      <c r="AW246" s="115"/>
      <c r="AX246" s="115"/>
      <c r="AY246" s="115"/>
      <c r="AZ246" s="25"/>
      <c r="BA246" s="13"/>
      <c r="BD246" s="114"/>
    </row>
    <row r="247" spans="1:56" ht="19.5" x14ac:dyDescent="0.4">
      <c r="A247" s="117"/>
      <c r="B247" s="123"/>
      <c r="C247" s="123"/>
      <c r="D247" s="123"/>
      <c r="M247" s="115"/>
      <c r="N247" s="115"/>
      <c r="O247" s="115"/>
      <c r="P247" s="115"/>
      <c r="Q247" s="17"/>
      <c r="R247" s="13"/>
      <c r="S247" s="115"/>
      <c r="T247" s="115"/>
      <c r="U247" s="115"/>
      <c r="V247" s="115"/>
      <c r="W247" s="115"/>
      <c r="X247" s="115"/>
      <c r="Y247" s="115"/>
      <c r="Z247" s="115"/>
      <c r="AA247" s="115"/>
      <c r="AB247" s="25"/>
      <c r="AC247" s="15"/>
      <c r="AH247" s="116"/>
      <c r="AI247" s="123"/>
      <c r="AJ247" s="123"/>
      <c r="AK247" s="123"/>
      <c r="AP247" s="115"/>
      <c r="AQ247" s="115"/>
      <c r="AR247" s="115"/>
      <c r="AS247" s="115"/>
      <c r="AT247" s="115"/>
      <c r="AU247" s="115"/>
      <c r="AV247" s="115"/>
      <c r="AW247" s="115"/>
      <c r="AX247" s="115"/>
      <c r="AY247" s="115"/>
      <c r="AZ247" s="25"/>
      <c r="BA247" s="13"/>
      <c r="BD247" s="114"/>
    </row>
    <row r="248" spans="1:56" ht="19.5" x14ac:dyDescent="0.4">
      <c r="A248" s="117"/>
      <c r="B248" s="123"/>
      <c r="C248" s="123"/>
      <c r="D248" s="123"/>
      <c r="Q248" s="26"/>
      <c r="R248" s="13"/>
      <c r="S248" s="115"/>
      <c r="T248" s="115"/>
      <c r="U248" s="115"/>
      <c r="V248" s="115"/>
      <c r="W248" s="115"/>
      <c r="X248" s="115"/>
      <c r="Y248" s="115"/>
      <c r="Z248" s="115"/>
      <c r="AA248" s="115"/>
      <c r="AB248" s="25"/>
      <c r="AC248" s="15"/>
      <c r="AH248" s="116"/>
      <c r="AI248" s="123"/>
      <c r="AJ248" s="123"/>
      <c r="AK248" s="123"/>
      <c r="AP248" s="115"/>
      <c r="AQ248" s="115"/>
      <c r="AR248" s="115"/>
      <c r="AS248" s="115"/>
      <c r="AT248" s="115"/>
      <c r="AU248" s="115"/>
      <c r="AV248" s="115"/>
      <c r="AW248" s="115"/>
      <c r="AX248" s="115"/>
      <c r="AY248" s="115"/>
      <c r="AZ248" s="25"/>
      <c r="BA248" s="13"/>
      <c r="BD248" s="114"/>
    </row>
    <row r="249" spans="1:56" ht="19.5" x14ac:dyDescent="0.4">
      <c r="A249" s="117"/>
      <c r="B249" s="123"/>
      <c r="C249" s="123"/>
      <c r="D249" s="123"/>
      <c r="M249" s="115"/>
      <c r="N249" s="115"/>
      <c r="O249" s="115"/>
      <c r="P249" s="115"/>
      <c r="Q249" s="26"/>
      <c r="R249" s="13"/>
      <c r="S249" s="115"/>
      <c r="T249" s="115"/>
      <c r="U249" s="115"/>
      <c r="V249" s="115"/>
      <c r="W249" s="115"/>
      <c r="X249" s="115"/>
      <c r="Y249" s="115"/>
      <c r="Z249" s="115"/>
      <c r="AA249" s="115"/>
      <c r="AB249" s="25"/>
      <c r="AC249" s="15"/>
      <c r="AH249" s="116"/>
      <c r="AI249" s="123"/>
      <c r="AJ249" s="123"/>
      <c r="AK249" s="123"/>
      <c r="AP249" s="115"/>
      <c r="AQ249" s="115"/>
      <c r="AR249" s="115"/>
      <c r="AS249" s="115"/>
      <c r="AT249" s="115"/>
      <c r="AU249" s="115"/>
      <c r="AV249" s="115"/>
      <c r="AW249" s="115"/>
      <c r="AX249" s="115"/>
      <c r="AY249" s="115"/>
      <c r="AZ249" s="25"/>
      <c r="BA249" s="13"/>
      <c r="BD249" s="114"/>
    </row>
    <row r="250" spans="1:56" ht="19.5" x14ac:dyDescent="0.4">
      <c r="A250" s="117"/>
      <c r="B250" s="123"/>
      <c r="C250" s="123"/>
      <c r="D250" s="123"/>
      <c r="M250" s="115"/>
      <c r="N250" s="115"/>
      <c r="O250" s="115"/>
      <c r="P250" s="115"/>
      <c r="Q250" s="17"/>
      <c r="R250" s="13"/>
      <c r="S250" s="115"/>
      <c r="T250" s="115"/>
      <c r="U250" s="115"/>
      <c r="V250" s="115"/>
      <c r="W250" s="115"/>
      <c r="X250" s="115"/>
      <c r="Y250" s="115"/>
      <c r="Z250" s="115"/>
      <c r="AA250" s="115"/>
      <c r="AB250" s="25"/>
      <c r="AC250" s="15"/>
      <c r="AH250" s="116"/>
      <c r="AI250" s="123"/>
      <c r="AJ250" s="123"/>
      <c r="AK250" s="123"/>
      <c r="AP250" s="115"/>
      <c r="AQ250" s="115"/>
      <c r="AR250" s="115"/>
      <c r="AS250" s="115"/>
      <c r="AT250" s="115"/>
      <c r="AU250" s="115"/>
      <c r="AV250" s="115"/>
      <c r="AW250" s="115"/>
      <c r="AX250" s="115"/>
      <c r="AY250" s="115"/>
      <c r="AZ250" s="25"/>
      <c r="BA250" s="13"/>
      <c r="BD250" s="114"/>
    </row>
    <row r="251" spans="1:56" ht="19.5" x14ac:dyDescent="0.4">
      <c r="A251" s="117"/>
      <c r="B251" s="123"/>
      <c r="C251" s="123"/>
      <c r="D251" s="123"/>
      <c r="L251" s="115"/>
      <c r="M251" s="115"/>
      <c r="N251" s="115"/>
      <c r="O251" s="115"/>
      <c r="P251" s="115"/>
      <c r="Q251" s="26"/>
      <c r="R251" s="13"/>
      <c r="S251" s="115"/>
      <c r="T251" s="115"/>
      <c r="U251" s="115"/>
      <c r="V251" s="115"/>
      <c r="W251" s="115"/>
      <c r="X251" s="115"/>
      <c r="Y251" s="115"/>
      <c r="Z251" s="115"/>
      <c r="AA251" s="115"/>
      <c r="AB251" s="25"/>
      <c r="AC251" s="15"/>
      <c r="AH251" s="116"/>
      <c r="AI251" s="123"/>
      <c r="AJ251" s="123"/>
      <c r="AK251" s="123"/>
      <c r="AP251" s="115"/>
      <c r="AQ251" s="115"/>
      <c r="AR251" s="115"/>
      <c r="AS251" s="115"/>
      <c r="AT251" s="115"/>
      <c r="AU251" s="115"/>
      <c r="AV251" s="115"/>
      <c r="AW251" s="115"/>
      <c r="AX251" s="115"/>
      <c r="AY251" s="115"/>
      <c r="AZ251" s="25"/>
      <c r="BA251" s="13"/>
      <c r="BD251" s="114"/>
    </row>
    <row r="252" spans="1:56" ht="19.5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115"/>
      <c r="N252" s="115"/>
      <c r="O252" s="115"/>
      <c r="P252" s="115"/>
      <c r="Q252" s="26"/>
      <c r="R252" s="13"/>
      <c r="S252" s="115"/>
      <c r="T252" s="115"/>
      <c r="U252" s="115"/>
      <c r="V252" s="115"/>
      <c r="W252" s="115"/>
      <c r="X252" s="115"/>
      <c r="Y252" s="115"/>
      <c r="Z252" s="115"/>
      <c r="AA252" s="115"/>
      <c r="AB252" s="25"/>
      <c r="AC252" s="15"/>
      <c r="AH252" s="116"/>
      <c r="AI252" s="123"/>
      <c r="AJ252" s="123"/>
      <c r="AK252" s="123"/>
      <c r="AP252" s="115"/>
      <c r="AQ252" s="115"/>
      <c r="AR252" s="115"/>
      <c r="AS252" s="115"/>
      <c r="AT252" s="115"/>
      <c r="AU252" s="115"/>
      <c r="AV252" s="115"/>
      <c r="AW252" s="115"/>
      <c r="AX252" s="115"/>
      <c r="AY252" s="115"/>
      <c r="AZ252" s="25"/>
      <c r="BA252" s="13"/>
      <c r="BD252" s="114"/>
    </row>
    <row r="253" spans="1:56" ht="19.5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15"/>
      <c r="N253" s="115"/>
      <c r="O253" s="115"/>
      <c r="P253" s="115"/>
      <c r="Q253" s="26"/>
      <c r="R253" s="13"/>
      <c r="S253" s="115"/>
      <c r="T253" s="115"/>
      <c r="U253" s="115"/>
      <c r="V253" s="115"/>
      <c r="W253" s="115"/>
      <c r="X253" s="115"/>
      <c r="Y253" s="115"/>
      <c r="Z253" s="115"/>
      <c r="AA253" s="115"/>
      <c r="AB253" s="25"/>
      <c r="AC253" s="15"/>
      <c r="AH253" s="116"/>
      <c r="AI253" s="123"/>
      <c r="AJ253" s="123"/>
      <c r="AK253" s="123"/>
      <c r="AP253" s="115"/>
      <c r="AQ253" s="115"/>
      <c r="AR253" s="115"/>
      <c r="AS253" s="115"/>
      <c r="AT253" s="115"/>
      <c r="AU253" s="115"/>
      <c r="AV253" s="115"/>
      <c r="AW253" s="115"/>
      <c r="AX253" s="115"/>
      <c r="AY253" s="115"/>
      <c r="AZ253" s="25"/>
      <c r="BA253" s="13"/>
      <c r="BD253" s="114"/>
    </row>
    <row r="254" spans="1:56" ht="19.5" x14ac:dyDescent="0.4">
      <c r="A254" s="117"/>
      <c r="B254" s="123"/>
      <c r="C254" s="123"/>
      <c r="D254" s="123"/>
      <c r="Q254" s="26"/>
      <c r="R254" s="13"/>
      <c r="S254" s="115"/>
      <c r="T254" s="115"/>
      <c r="U254" s="115"/>
      <c r="V254" s="115"/>
      <c r="W254" s="115"/>
      <c r="X254" s="115"/>
      <c r="Y254" s="115"/>
      <c r="Z254" s="115"/>
      <c r="AA254" s="115"/>
      <c r="AB254" s="25">
        <v>45679</v>
      </c>
      <c r="AC254" s="15" t="s">
        <v>148</v>
      </c>
      <c r="AH254" s="116"/>
      <c r="AI254" s="123"/>
      <c r="AJ254" s="123"/>
      <c r="AK254" s="123"/>
      <c r="AP254" s="115"/>
      <c r="AQ254" s="115"/>
      <c r="AR254" s="115"/>
      <c r="AS254" s="115"/>
      <c r="AT254" s="115"/>
      <c r="AU254" s="115"/>
      <c r="AV254" s="115"/>
      <c r="AW254" s="115"/>
      <c r="AX254" s="115"/>
      <c r="AY254" s="115"/>
      <c r="AZ254" s="25"/>
      <c r="BA254" s="13"/>
      <c r="BD254" s="114"/>
    </row>
    <row r="255" spans="1:56" ht="19.5" x14ac:dyDescent="0.4">
      <c r="A255" s="117"/>
      <c r="B255" s="123"/>
      <c r="C255" s="123"/>
      <c r="D255" s="123"/>
      <c r="M255" s="115"/>
      <c r="N255" s="115"/>
      <c r="O255" s="115"/>
      <c r="P255" s="115"/>
      <c r="Q255" s="26"/>
      <c r="R255" s="13"/>
      <c r="S255" s="115"/>
      <c r="T255" s="115"/>
      <c r="U255" s="115"/>
      <c r="V255" s="115"/>
      <c r="W255" s="115"/>
      <c r="X255" s="115"/>
      <c r="Y255" s="115"/>
      <c r="Z255" s="115"/>
      <c r="AA255" s="115"/>
      <c r="AB255" s="25"/>
      <c r="AC255" s="13"/>
      <c r="AH255" s="116"/>
      <c r="AI255" s="123"/>
      <c r="AJ255" s="123"/>
      <c r="AK255" s="123"/>
      <c r="AP255" s="115"/>
      <c r="AQ255" s="115"/>
      <c r="AR255" s="115"/>
      <c r="AS255" s="115"/>
      <c r="AT255" s="115"/>
      <c r="AU255" s="115"/>
      <c r="AV255" s="115"/>
      <c r="AW255" s="115"/>
      <c r="AX255" s="115"/>
      <c r="AY255" s="115"/>
      <c r="AZ255" s="25"/>
      <c r="BA255" s="13"/>
      <c r="BD255" s="114"/>
    </row>
    <row r="256" spans="1:56" ht="19.5" x14ac:dyDescent="0.4">
      <c r="A256" s="117"/>
      <c r="B256" s="123"/>
      <c r="C256" s="123"/>
      <c r="D256" s="123"/>
      <c r="L256" s="115"/>
      <c r="M256" s="115"/>
      <c r="N256" s="115"/>
      <c r="O256" s="115"/>
      <c r="P256" s="115"/>
      <c r="Q256" s="26"/>
      <c r="R256" s="13"/>
      <c r="S256" s="115"/>
      <c r="T256" s="115"/>
      <c r="U256" s="115"/>
      <c r="V256" s="115"/>
      <c r="W256" s="115"/>
      <c r="X256" s="115"/>
      <c r="Y256" s="115"/>
      <c r="Z256" s="115"/>
      <c r="AA256" s="115"/>
      <c r="AB256" s="25"/>
      <c r="AC256" s="13"/>
      <c r="AH256" s="116"/>
      <c r="AI256" s="123"/>
      <c r="AJ256" s="123"/>
      <c r="AK256" s="123"/>
      <c r="AP256" s="115"/>
      <c r="AQ256" s="115"/>
      <c r="AR256" s="115"/>
      <c r="AS256" s="115"/>
      <c r="AT256" s="115"/>
      <c r="AU256" s="115"/>
      <c r="AV256" s="115"/>
      <c r="AW256" s="115"/>
      <c r="AX256" s="115"/>
      <c r="AY256" s="115"/>
      <c r="AZ256" s="25"/>
      <c r="BA256" s="13"/>
      <c r="BD256" s="114"/>
    </row>
    <row r="257" spans="1:56" ht="19.5" x14ac:dyDescent="0.4">
      <c r="A257" s="117"/>
      <c r="B257" s="123"/>
      <c r="C257" s="123"/>
      <c r="D257" s="123"/>
      <c r="L257" s="115"/>
      <c r="M257" s="115"/>
      <c r="N257" s="115"/>
      <c r="O257" s="115"/>
      <c r="P257" s="115"/>
      <c r="Q257" s="26"/>
      <c r="R257" s="13"/>
      <c r="S257" s="115"/>
      <c r="T257" s="115"/>
      <c r="U257" s="115"/>
      <c r="V257" s="115"/>
      <c r="W257" s="115"/>
      <c r="X257" s="115"/>
      <c r="Y257" s="115"/>
      <c r="Z257" s="115"/>
      <c r="AA257" s="115"/>
      <c r="AB257" s="25"/>
      <c r="AC257" s="13"/>
      <c r="AH257" s="116"/>
      <c r="AI257" s="123"/>
      <c r="AJ257" s="123"/>
      <c r="AK257" s="123"/>
      <c r="AP257" s="115"/>
      <c r="AQ257" s="115"/>
      <c r="AR257" s="115"/>
      <c r="AS257" s="115"/>
      <c r="AT257" s="115"/>
      <c r="AU257" s="115"/>
      <c r="AV257" s="115"/>
      <c r="AW257" s="115"/>
      <c r="AX257" s="115"/>
      <c r="AY257" s="115"/>
      <c r="AZ257" s="25"/>
      <c r="BA257" s="13"/>
      <c r="BD257" s="114"/>
    </row>
    <row r="258" spans="1:56" ht="19.5" x14ac:dyDescent="0.4">
      <c r="A258" s="117"/>
      <c r="B258" s="123"/>
      <c r="C258" s="123"/>
      <c r="D258" s="123"/>
      <c r="L258" s="115"/>
      <c r="M258" s="115"/>
      <c r="N258" s="115"/>
      <c r="O258" s="115"/>
      <c r="P258" s="115"/>
      <c r="Q258" s="17"/>
      <c r="R258" s="13"/>
      <c r="S258" s="115"/>
      <c r="T258" s="115"/>
      <c r="U258" s="115"/>
      <c r="V258" s="115"/>
      <c r="W258" s="115"/>
      <c r="X258" s="115"/>
      <c r="Y258" s="115"/>
      <c r="Z258" s="115"/>
      <c r="AA258" s="115"/>
      <c r="AB258" s="25"/>
      <c r="AC258" s="13"/>
      <c r="AH258" s="116"/>
      <c r="AI258" s="123"/>
      <c r="AJ258" s="123"/>
      <c r="AK258" s="123"/>
      <c r="AP258" s="115"/>
      <c r="AQ258" s="115"/>
      <c r="AR258" s="115"/>
      <c r="AS258" s="115"/>
      <c r="AT258" s="115"/>
      <c r="AU258" s="115"/>
      <c r="AV258" s="115"/>
      <c r="AW258" s="115"/>
      <c r="AX258" s="115"/>
      <c r="AY258" s="115"/>
      <c r="AZ258" s="25"/>
      <c r="BA258" s="13"/>
      <c r="BD258" s="114"/>
    </row>
    <row r="259" spans="1:56" ht="19.5" x14ac:dyDescent="0.4">
      <c r="A259" s="117"/>
      <c r="B259" s="123"/>
      <c r="C259" s="123"/>
      <c r="D259" s="123"/>
      <c r="K259" s="115"/>
      <c r="L259" s="115"/>
      <c r="M259" s="115"/>
      <c r="N259" s="115"/>
      <c r="O259" s="115"/>
      <c r="P259" s="115"/>
      <c r="Q259" s="26"/>
      <c r="R259" s="15"/>
      <c r="S259" s="115"/>
      <c r="T259" s="115"/>
      <c r="U259" s="115"/>
      <c r="V259" s="115"/>
      <c r="W259" s="115"/>
      <c r="X259" s="115"/>
      <c r="Y259" s="115"/>
      <c r="Z259" s="115"/>
      <c r="AA259" s="115"/>
      <c r="AB259" s="25"/>
      <c r="AC259" s="13"/>
      <c r="AH259" s="116"/>
      <c r="AI259" s="123"/>
      <c r="AJ259" s="123"/>
      <c r="AK259" s="123"/>
      <c r="AP259" s="115"/>
      <c r="AQ259" s="115"/>
      <c r="AR259" s="115"/>
      <c r="AS259" s="115"/>
      <c r="AT259" s="115"/>
      <c r="AU259" s="115"/>
      <c r="AV259" s="115"/>
      <c r="AW259" s="115"/>
      <c r="AX259" s="115"/>
      <c r="AY259" s="115"/>
      <c r="AZ259" s="25"/>
      <c r="BA259" s="13"/>
      <c r="BD259" s="114"/>
    </row>
    <row r="260" spans="1:56" ht="19.5" x14ac:dyDescent="0.4">
      <c r="A260" s="117"/>
      <c r="B260" s="123"/>
      <c r="C260" s="123"/>
      <c r="D260" s="123"/>
      <c r="K260" s="115"/>
      <c r="L260" s="115"/>
      <c r="M260" s="115"/>
      <c r="N260" s="115"/>
      <c r="O260" s="115"/>
      <c r="P260" s="115"/>
      <c r="Q260" s="17"/>
      <c r="R260" s="15"/>
      <c r="S260" s="115"/>
      <c r="T260" s="115"/>
      <c r="U260" s="115"/>
      <c r="V260" s="115"/>
      <c r="W260" s="115"/>
      <c r="X260" s="115"/>
      <c r="Y260" s="115"/>
      <c r="Z260" s="115"/>
      <c r="AA260" s="115"/>
      <c r="AB260" s="25"/>
      <c r="AC260" s="13"/>
      <c r="AH260" s="116"/>
      <c r="AI260" s="123"/>
      <c r="AJ260" s="123"/>
      <c r="AK260" s="123"/>
      <c r="AP260" s="115"/>
      <c r="AQ260" s="115"/>
      <c r="AR260" s="115"/>
      <c r="AS260" s="115"/>
      <c r="AT260" s="115"/>
      <c r="AU260" s="115"/>
      <c r="AV260" s="115"/>
      <c r="AW260" s="115"/>
      <c r="AX260" s="115"/>
      <c r="AY260" s="115"/>
      <c r="AZ260" s="25"/>
      <c r="BA260" s="13"/>
      <c r="BD260" s="114"/>
    </row>
    <row r="261" spans="1:56" ht="19.5" x14ac:dyDescent="0.4">
      <c r="A261" s="117"/>
      <c r="B261" s="123"/>
      <c r="C261" s="123"/>
      <c r="D261" s="123"/>
      <c r="K261" s="115"/>
      <c r="L261" s="115"/>
      <c r="M261" s="115"/>
      <c r="N261" s="115"/>
      <c r="O261" s="115"/>
      <c r="P261" s="115"/>
      <c r="Q261" s="26"/>
      <c r="R261" s="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25"/>
      <c r="AC261" s="13"/>
      <c r="AH261" s="116"/>
      <c r="AI261" s="123"/>
      <c r="AJ261" s="123"/>
      <c r="AK261" s="123"/>
      <c r="AP261" s="115"/>
      <c r="AQ261" s="115"/>
      <c r="AR261" s="115"/>
      <c r="AS261" s="115"/>
      <c r="AT261" s="115"/>
      <c r="AU261" s="115"/>
      <c r="AV261" s="115"/>
      <c r="AW261" s="115"/>
      <c r="AX261" s="115"/>
      <c r="AY261" s="115"/>
      <c r="AZ261" s="25"/>
      <c r="BA261" s="13"/>
      <c r="BD261" s="114"/>
    </row>
    <row r="262" spans="1:56" ht="19.5" x14ac:dyDescent="0.4">
      <c r="A262" s="117"/>
      <c r="B262" s="123"/>
      <c r="C262" s="123"/>
      <c r="D262" s="123"/>
      <c r="K262" s="115"/>
      <c r="L262" s="115"/>
      <c r="M262" s="115"/>
      <c r="N262" s="115"/>
      <c r="O262" s="115"/>
      <c r="P262" s="115"/>
      <c r="Q262" s="17"/>
      <c r="R262" s="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25"/>
      <c r="AC262" s="13"/>
      <c r="AH262" s="116"/>
      <c r="AI262" s="123"/>
      <c r="AJ262" s="123"/>
      <c r="AK262" s="123"/>
      <c r="AP262" s="115"/>
      <c r="AQ262" s="115"/>
      <c r="AR262" s="115"/>
      <c r="AS262" s="115"/>
      <c r="AT262" s="115"/>
      <c r="AU262" s="115"/>
      <c r="AV262" s="115"/>
      <c r="AW262" s="115"/>
      <c r="AX262" s="115"/>
      <c r="AY262" s="115"/>
      <c r="AZ262" s="25"/>
      <c r="BA262" s="13"/>
      <c r="BD262" s="114"/>
    </row>
    <row r="263" spans="1:56" ht="19.5" x14ac:dyDescent="0.4">
      <c r="A263" s="117"/>
      <c r="B263" s="123"/>
      <c r="C263" s="123"/>
      <c r="D263" s="123"/>
      <c r="K263" s="115"/>
      <c r="L263" s="115"/>
      <c r="M263" s="115"/>
      <c r="N263" s="115"/>
      <c r="O263" s="115"/>
      <c r="P263" s="115"/>
      <c r="Q263" s="26"/>
      <c r="R263" s="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25"/>
      <c r="AC263" s="13"/>
      <c r="AH263" s="116"/>
      <c r="AI263" s="123"/>
      <c r="AJ263" s="123"/>
      <c r="AK263" s="123"/>
      <c r="AP263" s="115"/>
      <c r="AQ263" s="115"/>
      <c r="AR263" s="115"/>
      <c r="AS263" s="115"/>
      <c r="AT263" s="115"/>
      <c r="AU263" s="115"/>
      <c r="AV263" s="115"/>
      <c r="AW263" s="115"/>
      <c r="AX263" s="115"/>
      <c r="AY263" s="115"/>
      <c r="AZ263" s="25"/>
      <c r="BA263" s="13"/>
      <c r="BD263" s="114"/>
    </row>
    <row r="264" spans="1:56" ht="19.5" x14ac:dyDescent="0.4">
      <c r="A264" s="117"/>
      <c r="B264" s="123"/>
      <c r="C264" s="123"/>
      <c r="D264" s="123"/>
      <c r="Q264" s="26"/>
      <c r="R264" s="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25">
        <v>45679</v>
      </c>
      <c r="AC264" s="13" t="s">
        <v>147</v>
      </c>
      <c r="AH264" s="116"/>
      <c r="AI264" s="123"/>
      <c r="AJ264" s="123"/>
      <c r="AK264" s="123"/>
      <c r="AP264" s="115"/>
      <c r="AQ264" s="115"/>
      <c r="AR264" s="115"/>
      <c r="AS264" s="115"/>
      <c r="AT264" s="115"/>
      <c r="AU264" s="115"/>
      <c r="AV264" s="115"/>
      <c r="AW264" s="115"/>
      <c r="AX264" s="115"/>
      <c r="AY264" s="115"/>
      <c r="AZ264" s="25"/>
      <c r="BA264" s="13"/>
      <c r="BD264" s="114"/>
    </row>
    <row r="265" spans="1:56" ht="19.5" x14ac:dyDescent="0.4">
      <c r="A265" s="117"/>
      <c r="B265" s="123"/>
      <c r="C265" s="123"/>
      <c r="D265" s="123"/>
      <c r="N265" s="115"/>
      <c r="O265" s="115"/>
      <c r="P265" s="115"/>
      <c r="Q265" s="17"/>
      <c r="R265" s="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25"/>
      <c r="AC265" s="13"/>
      <c r="AH265" s="116"/>
      <c r="AI265" s="123"/>
      <c r="AJ265" s="123"/>
      <c r="AK265" s="123"/>
      <c r="AP265" s="115"/>
      <c r="AQ265" s="115"/>
      <c r="AR265" s="115"/>
      <c r="AS265" s="115"/>
      <c r="AT265" s="115"/>
      <c r="AU265" s="115"/>
      <c r="AV265" s="115"/>
      <c r="AW265" s="115"/>
      <c r="AX265" s="115"/>
      <c r="AY265" s="115"/>
      <c r="AZ265" s="25"/>
      <c r="BA265" s="13"/>
      <c r="BD265" s="114"/>
    </row>
    <row r="266" spans="1:56" ht="19.5" x14ac:dyDescent="0.4">
      <c r="A266" s="117"/>
      <c r="B266" s="123"/>
      <c r="C266" s="123"/>
      <c r="D266" s="123"/>
      <c r="K266" s="115"/>
      <c r="L266" s="115"/>
      <c r="M266" s="115"/>
      <c r="N266" s="115"/>
      <c r="O266" s="115"/>
      <c r="P266" s="115"/>
      <c r="Q266" s="26"/>
      <c r="R266" s="15"/>
      <c r="S266" s="115"/>
      <c r="T266" s="115"/>
      <c r="U266" s="115"/>
      <c r="V266" s="115"/>
      <c r="W266" s="115"/>
      <c r="X266" s="115"/>
      <c r="Y266" s="115"/>
      <c r="Z266" s="115"/>
      <c r="AA266" s="115"/>
      <c r="AB266" s="25"/>
      <c r="AC266" s="13"/>
      <c r="AH266" s="116"/>
      <c r="AI266" s="123"/>
      <c r="AJ266" s="123"/>
      <c r="AK266" s="123"/>
      <c r="AP266" s="115"/>
      <c r="AQ266" s="115"/>
      <c r="AR266" s="115"/>
      <c r="AS266" s="115"/>
      <c r="AT266" s="115"/>
      <c r="AU266" s="115"/>
      <c r="AV266" s="115"/>
      <c r="AW266" s="115"/>
      <c r="AX266" s="115"/>
      <c r="AY266" s="115"/>
      <c r="AZ266" s="25"/>
      <c r="BA266" s="13"/>
      <c r="BD266" s="114"/>
    </row>
    <row r="267" spans="1:56" ht="19.5" x14ac:dyDescent="0.4">
      <c r="A267" s="117"/>
      <c r="B267" s="123"/>
      <c r="C267" s="123"/>
      <c r="D267" s="123"/>
      <c r="K267" s="115"/>
      <c r="L267" s="115"/>
      <c r="M267" s="115"/>
      <c r="N267" s="115"/>
      <c r="O267" s="115"/>
      <c r="P267" s="115"/>
      <c r="Q267" s="26"/>
      <c r="R267" s="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25"/>
      <c r="AC267" s="13"/>
      <c r="AH267" s="116"/>
      <c r="AI267" s="123"/>
      <c r="AJ267" s="123"/>
      <c r="AK267" s="123"/>
      <c r="AP267" s="115"/>
      <c r="AQ267" s="115"/>
      <c r="AR267" s="115"/>
      <c r="AS267" s="115"/>
      <c r="AT267" s="115"/>
      <c r="AU267" s="115"/>
      <c r="AV267" s="115"/>
      <c r="AW267" s="115"/>
      <c r="AX267" s="115"/>
      <c r="AY267" s="115"/>
      <c r="AZ267" s="25"/>
      <c r="BA267" s="13"/>
      <c r="BD267" s="114"/>
    </row>
    <row r="268" spans="1:56" ht="19.5" x14ac:dyDescent="0.4">
      <c r="A268" s="117"/>
      <c r="B268" s="123"/>
      <c r="C268" s="123"/>
      <c r="D268" s="123"/>
      <c r="K268" s="115"/>
      <c r="L268" s="115"/>
      <c r="M268" s="115"/>
      <c r="N268" s="115"/>
      <c r="O268" s="115"/>
      <c r="P268" s="115"/>
      <c r="Q268" s="17"/>
      <c r="R268" s="13"/>
      <c r="S268" s="115"/>
      <c r="T268" s="115"/>
      <c r="U268" s="115"/>
      <c r="V268" s="115"/>
      <c r="W268" s="115"/>
      <c r="X268" s="115"/>
      <c r="Y268" s="115"/>
      <c r="Z268" s="115"/>
      <c r="AA268" s="115"/>
      <c r="AB268" s="25"/>
      <c r="AC268" s="13"/>
      <c r="AH268" s="116"/>
      <c r="AI268" s="123"/>
      <c r="AJ268" s="123"/>
      <c r="AK268" s="123"/>
      <c r="AP268" s="115"/>
      <c r="AQ268" s="115"/>
      <c r="AR268" s="115"/>
      <c r="AS268" s="115"/>
      <c r="AT268" s="115"/>
      <c r="AU268" s="115"/>
      <c r="AV268" s="115"/>
      <c r="AW268" s="115"/>
      <c r="AX268" s="115"/>
      <c r="AY268" s="115"/>
      <c r="AZ268" s="25"/>
      <c r="BA268" s="13"/>
      <c r="BD268" s="114"/>
    </row>
    <row r="269" spans="1:56" ht="19.5" x14ac:dyDescent="0.4">
      <c r="A269" s="117"/>
      <c r="B269" s="123"/>
      <c r="C269" s="123"/>
      <c r="D269" s="123"/>
      <c r="K269" s="115"/>
      <c r="L269" s="115"/>
      <c r="M269" s="115"/>
      <c r="N269" s="115"/>
      <c r="O269" s="115"/>
      <c r="P269" s="115"/>
      <c r="Q269" s="17"/>
      <c r="R269" s="13"/>
      <c r="S269" s="115"/>
      <c r="T269" s="115"/>
      <c r="U269" s="115"/>
      <c r="V269" s="115"/>
      <c r="W269" s="115"/>
      <c r="X269" s="115"/>
      <c r="Y269" s="115"/>
      <c r="Z269" s="115"/>
      <c r="AA269" s="115"/>
      <c r="AB269" s="25"/>
      <c r="AC269" s="13"/>
      <c r="AH269" s="116"/>
      <c r="AI269" s="123"/>
      <c r="AJ269" s="123"/>
      <c r="AK269" s="123"/>
      <c r="AP269" s="115"/>
      <c r="AQ269" s="115"/>
      <c r="AR269" s="115"/>
      <c r="AS269" s="115"/>
      <c r="AT269" s="115"/>
      <c r="AU269" s="115"/>
      <c r="AV269" s="115"/>
      <c r="AW269" s="115"/>
      <c r="AX269" s="115"/>
      <c r="AY269" s="115"/>
      <c r="AZ269" s="25"/>
      <c r="BA269" s="13"/>
      <c r="BD269" s="114"/>
    </row>
    <row r="270" spans="1:56" ht="19.5" x14ac:dyDescent="0.4">
      <c r="A270" s="117"/>
      <c r="B270" s="123"/>
      <c r="C270" s="123"/>
      <c r="D270" s="123"/>
      <c r="K270" s="115"/>
      <c r="L270" s="115"/>
      <c r="M270" s="115"/>
      <c r="N270" s="115"/>
      <c r="O270" s="115"/>
      <c r="P270" s="115"/>
      <c r="Q270" s="26"/>
      <c r="R270" s="13"/>
      <c r="S270" s="115"/>
      <c r="T270" s="115"/>
      <c r="U270" s="115"/>
      <c r="V270" s="115"/>
      <c r="W270" s="115"/>
      <c r="X270" s="115"/>
      <c r="Y270" s="115"/>
      <c r="Z270" s="115"/>
      <c r="AA270" s="115"/>
      <c r="AB270" s="25"/>
      <c r="AC270" s="13"/>
      <c r="AH270" s="116"/>
      <c r="AI270" s="123"/>
      <c r="AJ270" s="123"/>
      <c r="AK270" s="123"/>
      <c r="AP270" s="115"/>
      <c r="AQ270" s="115"/>
      <c r="AR270" s="115"/>
      <c r="AS270" s="115"/>
      <c r="AT270" s="115"/>
      <c r="AU270" s="115"/>
      <c r="AV270" s="115"/>
      <c r="AW270" s="115"/>
      <c r="AX270" s="115"/>
      <c r="AY270" s="115"/>
      <c r="AZ270" s="25"/>
      <c r="BA270" s="13"/>
      <c r="BD270" s="114"/>
    </row>
    <row r="271" spans="1:56" ht="19.5" x14ac:dyDescent="0.4">
      <c r="A271" s="117"/>
      <c r="B271" s="123"/>
      <c r="C271" s="123"/>
      <c r="D271" s="123"/>
      <c r="K271" s="115"/>
      <c r="L271" s="115"/>
      <c r="M271" s="115"/>
      <c r="N271" s="115"/>
      <c r="O271" s="115"/>
      <c r="P271" s="115"/>
      <c r="Q271" s="17"/>
      <c r="R271" s="13"/>
      <c r="S271" s="115"/>
      <c r="T271" s="115"/>
      <c r="U271" s="115"/>
      <c r="V271" s="115"/>
      <c r="W271" s="115"/>
      <c r="X271" s="115"/>
      <c r="Y271" s="115"/>
      <c r="Z271" s="115"/>
      <c r="AA271" s="115"/>
      <c r="AB271" s="25"/>
      <c r="AC271" s="13"/>
      <c r="AH271" s="116"/>
      <c r="AI271" s="123"/>
      <c r="AJ271" s="123"/>
      <c r="AK271" s="123"/>
      <c r="AP271" s="115"/>
      <c r="AQ271" s="115"/>
      <c r="AR271" s="115"/>
      <c r="AS271" s="115"/>
      <c r="AT271" s="115"/>
      <c r="AU271" s="115"/>
      <c r="AV271" s="115"/>
      <c r="AW271" s="115"/>
      <c r="AX271" s="115"/>
      <c r="AY271" s="115"/>
      <c r="AZ271" s="25"/>
      <c r="BA271" s="13"/>
      <c r="BD271" s="114"/>
    </row>
    <row r="272" spans="1:56" ht="19.5" x14ac:dyDescent="0.4">
      <c r="A272" s="117"/>
      <c r="B272" s="123"/>
      <c r="C272" s="123"/>
      <c r="D272" s="123"/>
      <c r="J272" s="115"/>
      <c r="K272" s="115"/>
      <c r="L272" s="115"/>
      <c r="M272" s="115"/>
      <c r="N272" s="115"/>
      <c r="O272" s="115"/>
      <c r="P272" s="115"/>
      <c r="Q272" s="26"/>
      <c r="R272" s="13"/>
      <c r="S272" s="115"/>
      <c r="T272" s="115"/>
      <c r="U272" s="115"/>
      <c r="V272" s="115"/>
      <c r="W272" s="115"/>
      <c r="X272" s="115"/>
      <c r="Y272" s="115"/>
      <c r="Z272" s="115"/>
      <c r="AA272" s="115"/>
      <c r="AB272" s="25"/>
      <c r="AC272" s="13"/>
      <c r="AH272" s="116"/>
      <c r="AI272" s="123"/>
      <c r="AJ272" s="123"/>
      <c r="AK272" s="123"/>
      <c r="AP272" s="115"/>
      <c r="AQ272" s="115"/>
      <c r="AR272" s="115"/>
      <c r="AS272" s="115"/>
      <c r="AT272" s="115"/>
      <c r="AU272" s="115"/>
      <c r="AV272" s="115"/>
      <c r="AW272" s="115"/>
      <c r="AX272" s="115"/>
      <c r="AY272" s="115"/>
      <c r="AZ272" s="25"/>
      <c r="BA272" s="13"/>
      <c r="BD272" s="114"/>
    </row>
    <row r="273" spans="1:56" ht="19.5" x14ac:dyDescent="0.4">
      <c r="A273" s="117"/>
      <c r="B273" s="123"/>
      <c r="C273" s="123"/>
      <c r="D273" s="123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26"/>
      <c r="R273" s="13"/>
      <c r="S273" s="115"/>
      <c r="T273" s="115"/>
      <c r="U273" s="115"/>
      <c r="V273" s="115"/>
      <c r="W273" s="115"/>
      <c r="X273" s="115"/>
      <c r="Y273" s="115"/>
      <c r="Z273" s="115"/>
      <c r="AA273" s="115"/>
      <c r="AB273" s="25"/>
      <c r="AC273" s="13"/>
      <c r="AH273" s="116"/>
      <c r="AI273" s="123"/>
      <c r="AJ273" s="123"/>
      <c r="AK273" s="123"/>
      <c r="AP273" s="115"/>
      <c r="AQ273" s="115"/>
      <c r="AR273" s="115"/>
      <c r="AS273" s="115"/>
      <c r="AT273" s="115"/>
      <c r="AU273" s="115"/>
      <c r="AV273" s="115"/>
      <c r="AW273" s="115"/>
      <c r="AX273" s="115"/>
      <c r="AY273" s="115"/>
      <c r="AZ273" s="25"/>
      <c r="BA273" s="13"/>
      <c r="BD273" s="114"/>
    </row>
    <row r="274" spans="1:56" ht="19.5" x14ac:dyDescent="0.4">
      <c r="A274" s="117"/>
      <c r="B274" s="123"/>
      <c r="C274" s="123"/>
      <c r="D274" s="123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26"/>
      <c r="R274" s="13"/>
      <c r="S274" s="115"/>
      <c r="T274" s="115"/>
      <c r="U274" s="115"/>
      <c r="V274" s="115"/>
      <c r="W274" s="115"/>
      <c r="X274" s="115"/>
      <c r="Y274" s="115"/>
      <c r="Z274" s="115"/>
      <c r="AA274" s="115"/>
      <c r="AB274" s="25"/>
      <c r="AC274" s="13"/>
      <c r="AH274" s="116"/>
      <c r="AI274" s="123"/>
      <c r="AJ274" s="123"/>
      <c r="AK274" s="123"/>
      <c r="AP274" s="115"/>
      <c r="AQ274" s="115"/>
      <c r="AR274" s="115"/>
      <c r="AS274" s="115"/>
      <c r="AT274" s="115"/>
      <c r="AU274" s="115"/>
      <c r="AV274" s="115"/>
      <c r="AW274" s="115"/>
      <c r="AX274" s="115"/>
      <c r="AY274" s="115"/>
      <c r="AZ274" s="25"/>
      <c r="BA274" s="13"/>
      <c r="BD274" s="114"/>
    </row>
    <row r="275" spans="1:56" ht="19.5" x14ac:dyDescent="0.4">
      <c r="A275" s="117"/>
      <c r="B275" s="123"/>
      <c r="C275" s="123"/>
      <c r="D275" s="123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26"/>
      <c r="R275" s="13"/>
      <c r="S275" s="115"/>
      <c r="T275" s="115"/>
      <c r="U275" s="115"/>
      <c r="V275" s="115"/>
      <c r="W275" s="115"/>
      <c r="X275" s="115"/>
      <c r="Y275" s="115"/>
      <c r="Z275" s="115"/>
      <c r="AA275" s="115"/>
      <c r="AB275" s="25"/>
      <c r="AC275" s="13"/>
      <c r="AH275" s="116"/>
      <c r="AI275" s="123"/>
      <c r="AJ275" s="123"/>
      <c r="AK275" s="123"/>
      <c r="AP275" s="115"/>
      <c r="AQ275" s="115"/>
      <c r="AR275" s="115"/>
      <c r="AS275" s="115"/>
      <c r="AT275" s="115"/>
      <c r="AU275" s="115"/>
      <c r="AV275" s="115"/>
      <c r="AW275" s="115"/>
      <c r="AX275" s="115"/>
      <c r="AY275" s="115"/>
      <c r="AZ275" s="25"/>
      <c r="BA275" s="13"/>
      <c r="BD275" s="114"/>
    </row>
    <row r="276" spans="1:56" ht="19.5" x14ac:dyDescent="0.4">
      <c r="A276" s="117"/>
      <c r="B276" s="123"/>
      <c r="C276" s="123"/>
      <c r="D276" s="123"/>
      <c r="Q276" s="26"/>
      <c r="R276" s="13"/>
      <c r="AB276" s="25">
        <v>45679</v>
      </c>
      <c r="AC276" s="13" t="s">
        <v>147</v>
      </c>
      <c r="AH276" s="116"/>
      <c r="AI276" s="123"/>
      <c r="AJ276" s="123"/>
      <c r="AK276" s="123"/>
      <c r="AP276" s="115"/>
      <c r="AQ276" s="115"/>
      <c r="AR276" s="115"/>
      <c r="AS276" s="115"/>
      <c r="AT276" s="115"/>
      <c r="AU276" s="115"/>
      <c r="AV276" s="115"/>
      <c r="AW276" s="115"/>
      <c r="AX276" s="115"/>
      <c r="AY276" s="115"/>
      <c r="AZ276" s="25"/>
      <c r="BA276" s="13"/>
      <c r="BD276" s="114"/>
    </row>
    <row r="277" spans="1:56" ht="19.5" x14ac:dyDescent="0.4">
      <c r="A277" s="117"/>
      <c r="B277" s="123"/>
      <c r="C277" s="123"/>
      <c r="D277" s="123"/>
      <c r="K277" s="115"/>
      <c r="L277" s="115"/>
      <c r="M277" s="115"/>
      <c r="N277" s="115"/>
      <c r="O277" s="115"/>
      <c r="P277" s="115"/>
      <c r="Q277" s="26"/>
      <c r="R277" s="13"/>
      <c r="AB277" s="25"/>
      <c r="AC277" s="13"/>
      <c r="AH277" s="116"/>
      <c r="AI277" s="123"/>
      <c r="AJ277" s="123"/>
      <c r="AK277" s="123"/>
      <c r="AP277" s="115"/>
      <c r="AQ277" s="115"/>
      <c r="AR277" s="115"/>
      <c r="AS277" s="115"/>
      <c r="AT277" s="115"/>
      <c r="AU277" s="115"/>
      <c r="AV277" s="115"/>
      <c r="AW277" s="115"/>
      <c r="AX277" s="115"/>
      <c r="AY277" s="115"/>
      <c r="AZ277" s="25"/>
      <c r="BA277" s="13"/>
      <c r="BD277" s="114"/>
    </row>
    <row r="278" spans="1:56" ht="19.5" x14ac:dyDescent="0.4">
      <c r="A278" s="117"/>
      <c r="B278" s="123"/>
      <c r="C278" s="123"/>
      <c r="D278" s="123"/>
      <c r="Q278" s="26"/>
      <c r="R278" s="13"/>
      <c r="AB278" s="25"/>
      <c r="AC278" s="13"/>
      <c r="AH278" s="116"/>
      <c r="AI278" s="123"/>
      <c r="AJ278" s="123"/>
      <c r="AK278" s="123"/>
      <c r="AP278" s="115"/>
      <c r="AQ278" s="115"/>
      <c r="AR278" s="115"/>
      <c r="AS278" s="115"/>
      <c r="AT278" s="115"/>
      <c r="AU278" s="115"/>
      <c r="AV278" s="115"/>
      <c r="AW278" s="115"/>
      <c r="AX278" s="115"/>
      <c r="AY278" s="115"/>
      <c r="AZ278" s="25"/>
      <c r="BA278" s="13"/>
      <c r="BD278" s="114"/>
    </row>
    <row r="279" spans="1:56" ht="19.5" x14ac:dyDescent="0.4">
      <c r="A279" s="117"/>
      <c r="B279" s="123"/>
      <c r="C279" s="123"/>
      <c r="D279" s="123"/>
      <c r="K279" s="115"/>
      <c r="L279" s="115"/>
      <c r="M279" s="115"/>
      <c r="N279" s="115"/>
      <c r="O279" s="115"/>
      <c r="P279" s="115"/>
      <c r="Q279" s="26"/>
      <c r="R279" s="13"/>
      <c r="AB279" s="25"/>
      <c r="AC279" s="13"/>
      <c r="AH279" s="116"/>
      <c r="AI279" s="123"/>
      <c r="AJ279" s="123"/>
      <c r="AK279" s="123"/>
      <c r="AP279" s="115"/>
      <c r="AQ279" s="115"/>
      <c r="AR279" s="115"/>
      <c r="AS279" s="115"/>
      <c r="AT279" s="115"/>
      <c r="AU279" s="115"/>
      <c r="AV279" s="115"/>
      <c r="AW279" s="115"/>
      <c r="AX279" s="115"/>
      <c r="AY279" s="115"/>
      <c r="AZ279" s="25"/>
      <c r="BA279" s="13"/>
      <c r="BD279" s="114"/>
    </row>
    <row r="280" spans="1:56" ht="19.5" x14ac:dyDescent="0.4">
      <c r="A280" s="117"/>
      <c r="B280" s="123"/>
      <c r="C280" s="123"/>
      <c r="D280" s="123"/>
      <c r="K280" s="115"/>
      <c r="L280" s="115"/>
      <c r="M280" s="115"/>
      <c r="N280" s="115"/>
      <c r="O280" s="115"/>
      <c r="P280" s="115"/>
      <c r="Q280" s="17"/>
      <c r="R280" s="13"/>
      <c r="AB280" s="25"/>
      <c r="AC280" s="13"/>
      <c r="AH280" s="116"/>
      <c r="AI280" s="123"/>
      <c r="AJ280" s="123"/>
      <c r="AK280" s="123"/>
      <c r="AP280" s="115"/>
      <c r="AQ280" s="115"/>
      <c r="AR280" s="115"/>
      <c r="AS280" s="115"/>
      <c r="AT280" s="115"/>
      <c r="AU280" s="115"/>
      <c r="AV280" s="115"/>
      <c r="AW280" s="115"/>
      <c r="AX280" s="115"/>
      <c r="AY280" s="115"/>
      <c r="AZ280" s="25"/>
      <c r="BA280" s="13"/>
      <c r="BD280" s="114"/>
    </row>
    <row r="281" spans="1:56" ht="19.5" x14ac:dyDescent="0.4">
      <c r="A281" s="117"/>
      <c r="B281" s="123"/>
      <c r="C281" s="123"/>
      <c r="D281" s="123"/>
      <c r="Q281" s="26"/>
      <c r="R281" s="13"/>
      <c r="S281" s="115"/>
      <c r="T281" s="115"/>
      <c r="U281" s="115"/>
      <c r="V281" s="115"/>
      <c r="W281" s="115"/>
      <c r="X281" s="115"/>
      <c r="Y281" s="115"/>
      <c r="Z281" s="115"/>
      <c r="AA281" s="115"/>
      <c r="AB281" s="25">
        <v>45679</v>
      </c>
      <c r="AC281" s="13" t="s">
        <v>146</v>
      </c>
      <c r="AH281" s="116"/>
      <c r="AI281" s="123"/>
      <c r="AJ281" s="123"/>
      <c r="AK281" s="123"/>
      <c r="AP281" s="115"/>
      <c r="AQ281" s="115"/>
      <c r="AR281" s="115"/>
      <c r="AS281" s="115"/>
      <c r="AT281" s="115"/>
      <c r="AU281" s="115"/>
      <c r="AV281" s="115"/>
      <c r="AW281" s="115"/>
      <c r="AX281" s="115"/>
      <c r="AY281" s="115"/>
      <c r="AZ281" s="25"/>
      <c r="BA281" s="13"/>
      <c r="BD281" s="114"/>
    </row>
    <row r="282" spans="1:56" ht="19.5" x14ac:dyDescent="0.4">
      <c r="A282" s="117"/>
      <c r="B282" s="123"/>
      <c r="C282" s="123"/>
      <c r="D282" s="123"/>
      <c r="K282" s="115"/>
      <c r="L282" s="115"/>
      <c r="M282" s="115"/>
      <c r="N282" s="115"/>
      <c r="O282" s="115"/>
      <c r="P282" s="115"/>
      <c r="Q282" s="26"/>
      <c r="R282" s="13"/>
      <c r="S282" s="115"/>
      <c r="T282" s="115"/>
      <c r="U282" s="115"/>
      <c r="V282" s="115"/>
      <c r="W282" s="115"/>
      <c r="X282" s="115"/>
      <c r="Y282" s="115"/>
      <c r="Z282" s="115"/>
      <c r="AA282" s="115"/>
      <c r="AB282" s="25"/>
      <c r="AC282" s="13"/>
      <c r="AH282" s="116"/>
      <c r="AI282" s="123"/>
      <c r="AJ282" s="123"/>
      <c r="AK282" s="123"/>
      <c r="AP282" s="115"/>
      <c r="AQ282" s="115"/>
      <c r="AR282" s="115"/>
      <c r="AS282" s="115"/>
      <c r="AT282" s="115"/>
      <c r="AU282" s="115"/>
      <c r="AV282" s="115"/>
      <c r="AW282" s="115"/>
      <c r="AX282" s="115"/>
      <c r="AY282" s="115"/>
      <c r="AZ282" s="25"/>
      <c r="BA282" s="13"/>
      <c r="BD282" s="114"/>
    </row>
    <row r="283" spans="1:56" ht="19.5" x14ac:dyDescent="0.4">
      <c r="A283" s="117"/>
      <c r="B283" s="123"/>
      <c r="C283" s="123"/>
      <c r="D283" s="123"/>
      <c r="Q283" s="26"/>
      <c r="R283" s="13"/>
      <c r="S283" s="115"/>
      <c r="T283" s="115"/>
      <c r="U283" s="115"/>
      <c r="V283" s="115"/>
      <c r="W283" s="115"/>
      <c r="X283" s="115"/>
      <c r="Y283" s="115"/>
      <c r="Z283" s="115"/>
      <c r="AA283" s="115"/>
      <c r="AB283" s="25"/>
      <c r="AC283" s="13"/>
      <c r="AH283" s="116"/>
      <c r="AI283" s="123"/>
      <c r="AJ283" s="123"/>
      <c r="AK283" s="123"/>
      <c r="AP283" s="115"/>
      <c r="AQ283" s="115"/>
      <c r="AR283" s="115"/>
      <c r="AS283" s="115"/>
      <c r="AT283" s="115"/>
      <c r="AU283" s="115"/>
      <c r="AV283" s="115"/>
      <c r="AW283" s="115"/>
      <c r="AX283" s="115"/>
      <c r="AY283" s="115"/>
      <c r="AZ283" s="25"/>
      <c r="BA283" s="13"/>
      <c r="BD283" s="114"/>
    </row>
    <row r="284" spans="1:56" ht="19.5" x14ac:dyDescent="0.4">
      <c r="A284" s="117"/>
      <c r="B284" s="123"/>
      <c r="C284" s="123"/>
      <c r="D284" s="123"/>
      <c r="K284" s="115"/>
      <c r="L284" s="115"/>
      <c r="M284" s="115"/>
      <c r="N284" s="115"/>
      <c r="O284" s="115"/>
      <c r="P284" s="115"/>
      <c r="Q284" s="26"/>
      <c r="R284" s="13"/>
      <c r="S284" s="115"/>
      <c r="T284" s="115"/>
      <c r="U284" s="115"/>
      <c r="V284" s="115"/>
      <c r="W284" s="115"/>
      <c r="X284" s="115"/>
      <c r="Y284" s="115"/>
      <c r="Z284" s="115"/>
      <c r="AA284" s="115"/>
      <c r="AB284" s="25"/>
      <c r="AC284" s="13"/>
      <c r="AH284" s="116"/>
      <c r="AI284" s="123"/>
      <c r="AJ284" s="123"/>
      <c r="AK284" s="123"/>
      <c r="AP284" s="115"/>
      <c r="AQ284" s="115"/>
      <c r="AR284" s="115"/>
      <c r="AS284" s="115"/>
      <c r="AT284" s="115"/>
      <c r="AU284" s="115"/>
      <c r="AV284" s="115"/>
      <c r="AW284" s="115"/>
      <c r="AX284" s="115"/>
      <c r="AY284" s="115"/>
      <c r="AZ284" s="25"/>
      <c r="BA284" s="13"/>
      <c r="BD284" s="114"/>
    </row>
    <row r="285" spans="1:56" ht="19.5" x14ac:dyDescent="0.4">
      <c r="A285" s="117"/>
      <c r="B285" s="123"/>
      <c r="C285" s="123"/>
      <c r="D285" s="123"/>
      <c r="K285" s="115"/>
      <c r="L285" s="115"/>
      <c r="M285" s="115"/>
      <c r="N285" s="115"/>
      <c r="O285" s="115"/>
      <c r="P285" s="115"/>
      <c r="Q285" s="26"/>
      <c r="R285" s="13"/>
      <c r="S285" s="115"/>
      <c r="T285" s="115"/>
      <c r="U285" s="115"/>
      <c r="V285" s="115"/>
      <c r="W285" s="115"/>
      <c r="X285" s="115"/>
      <c r="Y285" s="115"/>
      <c r="Z285" s="115"/>
      <c r="AA285" s="115"/>
      <c r="AB285" s="25"/>
      <c r="AC285" s="13"/>
      <c r="AH285" s="116"/>
      <c r="AI285" s="123"/>
      <c r="AJ285" s="123"/>
      <c r="AK285" s="123"/>
      <c r="AP285" s="115"/>
      <c r="AQ285" s="115"/>
      <c r="AR285" s="115"/>
      <c r="AS285" s="115"/>
      <c r="AT285" s="115"/>
      <c r="AU285" s="115"/>
      <c r="AV285" s="115"/>
      <c r="AW285" s="115"/>
      <c r="AX285" s="115"/>
      <c r="AY285" s="115"/>
      <c r="AZ285" s="25"/>
      <c r="BA285" s="13"/>
      <c r="BD285" s="114"/>
    </row>
    <row r="286" spans="1:56" ht="19.5" x14ac:dyDescent="0.4">
      <c r="A286" s="117"/>
      <c r="B286" s="123"/>
      <c r="C286" s="123"/>
      <c r="D286" s="123"/>
      <c r="Q286" s="26"/>
      <c r="R286" s="13"/>
      <c r="S286" s="115"/>
      <c r="T286" s="115"/>
      <c r="U286" s="115"/>
      <c r="V286" s="115"/>
      <c r="W286" s="115"/>
      <c r="X286" s="115"/>
      <c r="Y286" s="115"/>
      <c r="Z286" s="115"/>
      <c r="AA286" s="115"/>
      <c r="AB286" s="25">
        <v>45679</v>
      </c>
      <c r="AC286" s="13" t="s">
        <v>147</v>
      </c>
      <c r="AH286" s="116"/>
      <c r="AI286" s="123"/>
      <c r="AJ286" s="123"/>
      <c r="AK286" s="123"/>
      <c r="AP286" s="115"/>
      <c r="AQ286" s="115"/>
      <c r="AR286" s="115"/>
      <c r="AS286" s="115"/>
      <c r="AT286" s="115"/>
      <c r="AU286" s="115"/>
      <c r="AV286" s="115"/>
      <c r="AW286" s="115"/>
      <c r="AX286" s="115"/>
      <c r="AY286" s="115"/>
      <c r="AZ286" s="25"/>
      <c r="BA286" s="13"/>
      <c r="BD286" s="114"/>
    </row>
    <row r="287" spans="1:56" ht="19.5" x14ac:dyDescent="0.4">
      <c r="A287" s="117"/>
      <c r="B287" s="123"/>
      <c r="C287" s="123"/>
      <c r="D287" s="123"/>
      <c r="Q287" s="26"/>
      <c r="R287" s="13"/>
      <c r="S287" s="115"/>
      <c r="T287" s="115"/>
      <c r="U287" s="115"/>
      <c r="V287" s="115"/>
      <c r="W287" s="115"/>
      <c r="X287" s="115"/>
      <c r="Y287" s="115"/>
      <c r="Z287" s="115"/>
      <c r="AA287" s="115"/>
      <c r="AB287" s="25">
        <v>45680</v>
      </c>
      <c r="AC287" s="13" t="s">
        <v>148</v>
      </c>
      <c r="AH287" s="116"/>
      <c r="AI287" s="123"/>
      <c r="AJ287" s="123"/>
      <c r="AK287" s="123"/>
      <c r="AP287" s="115"/>
      <c r="AQ287" s="115"/>
      <c r="AR287" s="115"/>
      <c r="AS287" s="115"/>
      <c r="AT287" s="115"/>
      <c r="AU287" s="115"/>
      <c r="AV287" s="115"/>
      <c r="AW287" s="115"/>
      <c r="AX287" s="115"/>
      <c r="AY287" s="115"/>
      <c r="AZ287" s="25"/>
      <c r="BA287" s="13"/>
      <c r="BD287" s="114"/>
    </row>
    <row r="288" spans="1:56" ht="19.5" x14ac:dyDescent="0.4">
      <c r="A288" s="117"/>
      <c r="B288" s="123"/>
      <c r="C288" s="123"/>
      <c r="D288" s="123"/>
      <c r="M288" s="115"/>
      <c r="N288" s="115"/>
      <c r="O288" s="115"/>
      <c r="P288" s="115"/>
      <c r="Q288" s="17"/>
      <c r="R288" s="13"/>
      <c r="S288" s="115"/>
      <c r="T288" s="115"/>
      <c r="U288" s="115"/>
      <c r="V288" s="115"/>
      <c r="W288" s="115"/>
      <c r="X288" s="115"/>
      <c r="Y288" s="115"/>
      <c r="Z288" s="115"/>
      <c r="AA288" s="115"/>
      <c r="AB288" s="25"/>
      <c r="AC288" s="13"/>
      <c r="AH288" s="116"/>
      <c r="AI288" s="123"/>
      <c r="AJ288" s="123"/>
      <c r="AK288" s="123"/>
      <c r="AP288" s="115"/>
      <c r="AQ288" s="115"/>
      <c r="AR288" s="115"/>
      <c r="AS288" s="115"/>
      <c r="AT288" s="115"/>
      <c r="AU288" s="115"/>
      <c r="AV288" s="115"/>
      <c r="AW288" s="115"/>
      <c r="AX288" s="115"/>
      <c r="AY288" s="115"/>
      <c r="AZ288" s="25"/>
      <c r="BA288" s="13"/>
      <c r="BD288" s="114"/>
    </row>
    <row r="289" spans="1:56" ht="19.5" x14ac:dyDescent="0.4">
      <c r="A289" s="117"/>
      <c r="B289" s="123"/>
      <c r="C289" s="123"/>
      <c r="D289" s="123"/>
      <c r="I289" s="115"/>
      <c r="J289" s="115"/>
      <c r="K289" s="115"/>
      <c r="L289" s="115"/>
      <c r="M289" s="115"/>
      <c r="N289" s="115"/>
      <c r="O289" s="115"/>
      <c r="P289" s="115"/>
      <c r="Q289" s="26"/>
      <c r="R289" s="13"/>
      <c r="S289" s="115"/>
      <c r="T289" s="115"/>
      <c r="U289" s="115"/>
      <c r="V289" s="115"/>
      <c r="W289" s="115"/>
      <c r="X289" s="115"/>
      <c r="Y289" s="115"/>
      <c r="Z289" s="115"/>
      <c r="AA289" s="115"/>
      <c r="AB289" s="25"/>
      <c r="AC289" s="13"/>
      <c r="AH289" s="116"/>
      <c r="AI289" s="123"/>
      <c r="AJ289" s="123"/>
      <c r="AK289" s="123"/>
      <c r="AP289" s="115"/>
      <c r="AQ289" s="115"/>
      <c r="AR289" s="115"/>
      <c r="AS289" s="115"/>
      <c r="AT289" s="115"/>
      <c r="AU289" s="115"/>
      <c r="AV289" s="115"/>
      <c r="AW289" s="115"/>
      <c r="AX289" s="115"/>
      <c r="AY289" s="115"/>
      <c r="AZ289" s="25"/>
      <c r="BA289" s="13"/>
      <c r="BD289" s="114"/>
    </row>
    <row r="290" spans="1:56" ht="19.5" x14ac:dyDescent="0.4">
      <c r="A290" s="117"/>
      <c r="B290" s="123"/>
      <c r="C290" s="123"/>
      <c r="D290" s="123"/>
      <c r="Q290" s="26"/>
      <c r="R290" s="13"/>
      <c r="S290" s="115"/>
      <c r="T290" s="115"/>
      <c r="U290" s="115"/>
      <c r="V290" s="115"/>
      <c r="W290" s="115"/>
      <c r="X290" s="115"/>
      <c r="Y290" s="115"/>
      <c r="Z290" s="115"/>
      <c r="AA290" s="115"/>
      <c r="AB290" s="25">
        <v>45680</v>
      </c>
      <c r="AC290" s="13" t="s">
        <v>147</v>
      </c>
      <c r="AH290" s="116"/>
      <c r="AI290" s="123"/>
      <c r="AJ290" s="123"/>
      <c r="AK290" s="123"/>
      <c r="AP290" s="115"/>
      <c r="AQ290" s="115"/>
      <c r="AR290" s="115"/>
      <c r="AS290" s="115"/>
      <c r="AT290" s="115"/>
      <c r="AU290" s="115"/>
      <c r="AV290" s="115"/>
      <c r="AW290" s="115"/>
      <c r="AX290" s="115"/>
      <c r="AY290" s="115"/>
      <c r="AZ290" s="25"/>
      <c r="BA290" s="13"/>
      <c r="BD290" s="114"/>
    </row>
    <row r="291" spans="1:56" ht="19.5" x14ac:dyDescent="0.4">
      <c r="A291" s="117"/>
      <c r="B291" s="123"/>
      <c r="C291" s="123"/>
      <c r="D291" s="123"/>
      <c r="I291" s="115"/>
      <c r="J291" s="115"/>
      <c r="K291" s="115"/>
      <c r="L291" s="115"/>
      <c r="M291" s="115"/>
      <c r="N291" s="115"/>
      <c r="O291" s="115"/>
      <c r="P291" s="115"/>
      <c r="Q291" s="26"/>
      <c r="R291" s="13"/>
      <c r="S291" s="115"/>
      <c r="T291" s="115"/>
      <c r="U291" s="115"/>
      <c r="V291" s="115"/>
      <c r="W291" s="115"/>
      <c r="X291" s="115"/>
      <c r="Y291" s="115"/>
      <c r="Z291" s="115"/>
      <c r="AA291" s="115"/>
      <c r="AB291" s="25"/>
      <c r="AC291" s="13"/>
      <c r="AH291" s="116"/>
      <c r="AI291" s="123"/>
      <c r="AJ291" s="123"/>
      <c r="AK291" s="123"/>
      <c r="AP291" s="115"/>
      <c r="AQ291" s="115"/>
      <c r="AR291" s="115"/>
      <c r="AS291" s="115"/>
      <c r="AT291" s="115"/>
      <c r="AU291" s="115"/>
      <c r="AV291" s="115"/>
      <c r="AW291" s="115"/>
      <c r="AX291" s="115"/>
      <c r="AY291" s="115"/>
      <c r="AZ291" s="25"/>
      <c r="BA291" s="13"/>
      <c r="BD291" s="114"/>
    </row>
    <row r="292" spans="1:56" ht="19.5" x14ac:dyDescent="0.4">
      <c r="A292" s="117"/>
      <c r="B292" s="123"/>
      <c r="C292" s="123"/>
      <c r="D292" s="123"/>
      <c r="I292" s="115"/>
      <c r="J292" s="115"/>
      <c r="K292" s="115"/>
      <c r="L292" s="115"/>
      <c r="M292" s="115"/>
      <c r="N292" s="115"/>
      <c r="O292" s="115"/>
      <c r="P292" s="115"/>
      <c r="Q292" s="26"/>
      <c r="R292" s="13"/>
      <c r="S292" s="115"/>
      <c r="T292" s="115"/>
      <c r="U292" s="115"/>
      <c r="V292" s="115"/>
      <c r="W292" s="115"/>
      <c r="X292" s="115"/>
      <c r="Y292" s="115"/>
      <c r="Z292" s="115"/>
      <c r="AA292" s="115"/>
      <c r="AB292" s="25"/>
      <c r="AC292" s="13"/>
      <c r="AH292" s="116"/>
      <c r="AI292" s="123"/>
      <c r="AJ292" s="123"/>
      <c r="AK292" s="123"/>
      <c r="AP292" s="115"/>
      <c r="AQ292" s="115"/>
      <c r="AR292" s="115"/>
      <c r="AS292" s="115"/>
      <c r="AT292" s="115"/>
      <c r="AU292" s="115"/>
      <c r="AV292" s="115"/>
      <c r="AW292" s="115"/>
      <c r="AX292" s="115"/>
      <c r="AY292" s="115"/>
      <c r="AZ292" s="25"/>
      <c r="BA292" s="13"/>
      <c r="BD292" s="114"/>
    </row>
    <row r="293" spans="1:56" ht="19.5" x14ac:dyDescent="0.4">
      <c r="A293" s="117"/>
      <c r="B293" s="123"/>
      <c r="C293" s="123"/>
      <c r="D293" s="123"/>
      <c r="Q293" s="26"/>
      <c r="R293" s="13"/>
      <c r="S293" s="115"/>
      <c r="T293" s="115"/>
      <c r="U293" s="115"/>
      <c r="V293" s="115"/>
      <c r="W293" s="115"/>
      <c r="X293" s="115"/>
      <c r="Y293" s="115"/>
      <c r="Z293" s="115"/>
      <c r="AA293" s="115"/>
      <c r="AB293" s="25">
        <v>45680</v>
      </c>
      <c r="AC293" s="13" t="s">
        <v>147</v>
      </c>
      <c r="AH293" s="116"/>
      <c r="AI293" s="123"/>
      <c r="AJ293" s="123"/>
      <c r="AK293" s="123"/>
      <c r="AP293" s="115"/>
      <c r="AQ293" s="115"/>
      <c r="AR293" s="115"/>
      <c r="AS293" s="115"/>
      <c r="AT293" s="115"/>
      <c r="AU293" s="115"/>
      <c r="AV293" s="115"/>
      <c r="AW293" s="115"/>
      <c r="AX293" s="115"/>
      <c r="AY293" s="115"/>
      <c r="AZ293" s="25"/>
      <c r="BA293" s="13"/>
      <c r="BD293" s="114"/>
    </row>
    <row r="294" spans="1:56" ht="19.5" x14ac:dyDescent="0.4">
      <c r="A294" s="117"/>
      <c r="B294" s="123"/>
      <c r="C294" s="123"/>
      <c r="D294" s="123"/>
      <c r="Q294" s="26"/>
      <c r="R294" s="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25"/>
      <c r="AC294" s="13"/>
      <c r="AH294" s="116"/>
      <c r="AI294" s="123"/>
      <c r="AJ294" s="123"/>
      <c r="AK294" s="123"/>
      <c r="AP294" s="115"/>
      <c r="AQ294" s="115"/>
      <c r="AR294" s="115"/>
      <c r="AS294" s="115"/>
      <c r="AT294" s="115"/>
      <c r="AU294" s="115"/>
      <c r="AV294" s="115"/>
      <c r="AW294" s="115"/>
      <c r="AX294" s="115"/>
      <c r="AY294" s="115"/>
      <c r="AZ294" s="25"/>
      <c r="BA294" s="13"/>
      <c r="BD294" s="114"/>
    </row>
    <row r="295" spans="1:56" ht="19.5" x14ac:dyDescent="0.4">
      <c r="A295" s="117"/>
      <c r="B295" s="123"/>
      <c r="C295" s="123"/>
      <c r="D295" s="123"/>
      <c r="H295" s="115"/>
      <c r="I295" s="115"/>
      <c r="J295" s="115"/>
      <c r="K295" s="115"/>
      <c r="L295" s="115"/>
      <c r="M295" s="115"/>
      <c r="N295" s="115"/>
      <c r="O295" s="115"/>
      <c r="P295" s="115"/>
      <c r="Q295" s="26"/>
      <c r="R295" s="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25"/>
      <c r="AC295" s="13"/>
      <c r="AH295" s="116"/>
      <c r="AI295" s="123"/>
      <c r="AJ295" s="123"/>
      <c r="AK295" s="123"/>
      <c r="AP295" s="115"/>
      <c r="AQ295" s="115"/>
      <c r="AR295" s="115"/>
      <c r="AS295" s="115"/>
      <c r="AT295" s="115"/>
      <c r="AU295" s="115"/>
      <c r="AV295" s="115"/>
      <c r="AW295" s="115"/>
      <c r="AX295" s="115"/>
      <c r="AY295" s="115"/>
      <c r="AZ295" s="25"/>
      <c r="BA295" s="13"/>
      <c r="BD295" s="114"/>
    </row>
    <row r="296" spans="1:56" ht="19.5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115"/>
      <c r="O296" s="115"/>
      <c r="P296" s="115"/>
      <c r="Q296" s="26"/>
      <c r="R296" s="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25"/>
      <c r="AC296" s="13"/>
      <c r="AH296" s="116"/>
      <c r="AI296" s="123"/>
      <c r="AJ296" s="123"/>
      <c r="AK296" s="123"/>
      <c r="AP296" s="115"/>
      <c r="AQ296" s="115"/>
      <c r="AR296" s="115"/>
      <c r="AS296" s="115"/>
      <c r="AT296" s="115"/>
      <c r="AU296" s="115"/>
      <c r="AV296" s="115"/>
      <c r="AW296" s="115"/>
      <c r="AX296" s="115"/>
      <c r="AY296" s="115"/>
      <c r="AZ296" s="25"/>
      <c r="BA296" s="13"/>
      <c r="BD296" s="114"/>
    </row>
    <row r="297" spans="1:56" ht="19.5" x14ac:dyDescent="0.4">
      <c r="A297" s="117"/>
      <c r="B297" s="123"/>
      <c r="C297" s="123"/>
      <c r="D297" s="123"/>
      <c r="Q297" s="26"/>
      <c r="R297" s="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25">
        <v>45680</v>
      </c>
      <c r="AC297" s="13" t="s">
        <v>146</v>
      </c>
      <c r="AH297" s="116"/>
      <c r="AI297" s="123"/>
      <c r="AJ297" s="123"/>
      <c r="AK297" s="123"/>
      <c r="AP297" s="115"/>
      <c r="AQ297" s="115"/>
      <c r="AR297" s="115"/>
      <c r="AS297" s="115"/>
      <c r="AT297" s="115"/>
      <c r="AU297" s="115"/>
      <c r="AV297" s="115"/>
      <c r="AW297" s="115"/>
      <c r="AX297" s="115"/>
      <c r="AY297" s="115"/>
      <c r="AZ297" s="25"/>
      <c r="BA297" s="13"/>
      <c r="BD297" s="114"/>
    </row>
    <row r="298" spans="1:56" ht="19.5" x14ac:dyDescent="0.4">
      <c r="A298" s="117"/>
      <c r="B298" s="123"/>
      <c r="C298" s="123"/>
      <c r="D298" s="123"/>
      <c r="Q298" s="26"/>
      <c r="R298" s="15"/>
      <c r="S298" s="115"/>
      <c r="T298" s="115"/>
      <c r="U298" s="115"/>
      <c r="V298" s="115"/>
      <c r="W298" s="115"/>
      <c r="X298" s="115"/>
      <c r="Y298" s="115"/>
      <c r="Z298" s="115"/>
      <c r="AA298" s="115"/>
      <c r="AB298" s="25">
        <v>45680</v>
      </c>
      <c r="AC298" s="13" t="s">
        <v>146</v>
      </c>
      <c r="AH298" s="116"/>
      <c r="AI298" s="123"/>
      <c r="AJ298" s="123"/>
      <c r="AK298" s="123"/>
      <c r="AP298" s="115"/>
      <c r="AQ298" s="115"/>
      <c r="AR298" s="115"/>
      <c r="AS298" s="115"/>
      <c r="AT298" s="115"/>
      <c r="AU298" s="115"/>
      <c r="AV298" s="115"/>
      <c r="AW298" s="115"/>
      <c r="AX298" s="115"/>
      <c r="AY298" s="115"/>
      <c r="AZ298" s="25"/>
      <c r="BA298" s="13"/>
      <c r="BD298" s="114"/>
    </row>
    <row r="299" spans="1:56" ht="19.5" x14ac:dyDescent="0.4">
      <c r="A299" s="117"/>
      <c r="B299" s="123"/>
      <c r="C299" s="123"/>
      <c r="D299" s="123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26"/>
      <c r="R299" s="15"/>
      <c r="S299" s="115"/>
      <c r="T299" s="115"/>
      <c r="U299" s="115"/>
      <c r="V299" s="115"/>
      <c r="W299" s="115"/>
      <c r="X299" s="115"/>
      <c r="Y299" s="115"/>
      <c r="Z299" s="115"/>
      <c r="AA299" s="115"/>
      <c r="AB299" s="25">
        <v>45680</v>
      </c>
      <c r="AC299" s="13" t="s">
        <v>147</v>
      </c>
      <c r="AH299" s="116"/>
      <c r="AI299" s="123"/>
      <c r="AJ299" s="123"/>
      <c r="AK299" s="123"/>
      <c r="AP299" s="115"/>
      <c r="AQ299" s="115"/>
      <c r="AR299" s="115"/>
      <c r="AS299" s="115"/>
      <c r="AT299" s="115"/>
      <c r="AU299" s="115"/>
      <c r="AV299" s="115"/>
      <c r="AW299" s="115"/>
      <c r="AX299" s="115"/>
      <c r="AY299" s="115"/>
      <c r="AZ299" s="25"/>
      <c r="BA299" s="13"/>
      <c r="BD299" s="114"/>
    </row>
    <row r="300" spans="1:56" ht="19.5" x14ac:dyDescent="0.4">
      <c r="A300" s="117"/>
      <c r="B300" s="123"/>
      <c r="C300" s="123"/>
      <c r="D300" s="123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26"/>
      <c r="R300" s="15"/>
      <c r="S300" s="115"/>
      <c r="T300" s="115"/>
      <c r="U300" s="115"/>
      <c r="V300" s="115"/>
      <c r="W300" s="115"/>
      <c r="X300" s="115"/>
      <c r="Y300" s="115"/>
      <c r="Z300" s="115"/>
      <c r="AA300" s="115"/>
      <c r="AB300" s="25"/>
      <c r="AC300" s="13"/>
      <c r="AH300" s="116"/>
      <c r="AI300" s="123"/>
      <c r="AJ300" s="123"/>
      <c r="AK300" s="123"/>
      <c r="AP300" s="115"/>
      <c r="AQ300" s="115"/>
      <c r="AR300" s="115"/>
      <c r="AS300" s="115"/>
      <c r="AT300" s="115"/>
      <c r="AU300" s="115"/>
      <c r="AV300" s="115"/>
      <c r="AW300" s="115"/>
      <c r="AX300" s="115"/>
      <c r="AY300" s="115"/>
      <c r="AZ300" s="25"/>
      <c r="BA300" s="13"/>
      <c r="BD300" s="114"/>
    </row>
    <row r="301" spans="1:56" ht="19.5" x14ac:dyDescent="0.4">
      <c r="A301" s="117"/>
      <c r="B301" s="123"/>
      <c r="C301" s="123"/>
      <c r="D301" s="123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7"/>
      <c r="R301" s="15"/>
      <c r="S301" s="115"/>
      <c r="T301" s="115"/>
      <c r="U301" s="115"/>
      <c r="V301" s="115"/>
      <c r="W301" s="115"/>
      <c r="X301" s="115"/>
      <c r="Y301" s="115"/>
      <c r="Z301" s="115"/>
      <c r="AA301" s="115"/>
      <c r="AB301" s="25"/>
      <c r="AC301" s="13"/>
      <c r="AH301" s="116"/>
      <c r="AI301" s="123"/>
      <c r="AJ301" s="123"/>
      <c r="AK301" s="123"/>
      <c r="AP301" s="115"/>
      <c r="AQ301" s="115"/>
      <c r="AR301" s="115"/>
      <c r="AS301" s="115"/>
      <c r="AT301" s="115"/>
      <c r="AU301" s="115"/>
      <c r="AV301" s="115"/>
      <c r="AW301" s="115"/>
      <c r="AX301" s="115"/>
      <c r="AY301" s="115"/>
      <c r="AZ301" s="25"/>
      <c r="BA301" s="13"/>
      <c r="BD301" s="114"/>
    </row>
    <row r="302" spans="1:56" ht="19.5" x14ac:dyDescent="0.4">
      <c r="A302" s="117"/>
      <c r="B302" s="123"/>
      <c r="C302" s="123"/>
      <c r="D302" s="123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26"/>
      <c r="R302" s="15"/>
      <c r="S302" s="115"/>
      <c r="T302" s="115"/>
      <c r="U302" s="115"/>
      <c r="V302" s="115"/>
      <c r="W302" s="115"/>
      <c r="X302" s="115"/>
      <c r="Y302" s="115"/>
      <c r="Z302" s="115"/>
      <c r="AA302" s="115"/>
      <c r="AB302" s="25"/>
      <c r="AC302" s="13"/>
      <c r="AH302" s="116"/>
      <c r="AI302" s="123"/>
      <c r="AJ302" s="123"/>
      <c r="AK302" s="123"/>
      <c r="AP302" s="115"/>
      <c r="AQ302" s="115"/>
      <c r="AR302" s="115"/>
      <c r="AS302" s="115"/>
      <c r="AT302" s="115"/>
      <c r="AU302" s="115"/>
      <c r="AV302" s="115"/>
      <c r="AW302" s="115"/>
      <c r="AX302" s="115"/>
      <c r="AY302" s="115"/>
      <c r="AZ302" s="25"/>
      <c r="BA302" s="13"/>
      <c r="BD302" s="114"/>
    </row>
    <row r="303" spans="1:56" ht="19.5" x14ac:dyDescent="0.4">
      <c r="A303" s="117"/>
      <c r="B303" s="123"/>
      <c r="C303" s="123"/>
      <c r="D303" s="123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7"/>
      <c r="R303" s="15"/>
      <c r="S303" s="115"/>
      <c r="T303" s="115"/>
      <c r="U303" s="115"/>
      <c r="V303" s="115"/>
      <c r="W303" s="115"/>
      <c r="X303" s="115"/>
      <c r="Y303" s="115"/>
      <c r="Z303" s="115"/>
      <c r="AA303" s="115"/>
      <c r="AB303" s="25"/>
      <c r="AC303" s="13"/>
      <c r="AH303" s="116"/>
      <c r="AI303" s="123"/>
      <c r="AJ303" s="123"/>
      <c r="AK303" s="123"/>
      <c r="AP303" s="115"/>
      <c r="AQ303" s="115"/>
      <c r="AR303" s="115"/>
      <c r="AS303" s="115"/>
      <c r="AT303" s="115"/>
      <c r="AU303" s="115"/>
      <c r="AV303" s="115"/>
      <c r="AW303" s="115"/>
      <c r="AX303" s="115"/>
      <c r="AY303" s="115"/>
      <c r="AZ303" s="25"/>
      <c r="BA303" s="13"/>
      <c r="BD303" s="114"/>
    </row>
    <row r="304" spans="1:56" ht="19.5" x14ac:dyDescent="0.4">
      <c r="A304" s="117"/>
      <c r="B304" s="123"/>
      <c r="C304" s="123"/>
      <c r="D304" s="123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26"/>
      <c r="R304" s="15"/>
      <c r="S304" s="115"/>
      <c r="T304" s="115"/>
      <c r="U304" s="115"/>
      <c r="V304" s="115"/>
      <c r="W304" s="115"/>
      <c r="X304" s="115"/>
      <c r="Y304" s="115"/>
      <c r="Z304" s="115"/>
      <c r="AA304" s="115"/>
      <c r="AB304" s="25">
        <v>45680</v>
      </c>
      <c r="AC304" s="15" t="s">
        <v>142</v>
      </c>
      <c r="AH304" s="116"/>
      <c r="AI304" s="123"/>
      <c r="AJ304" s="123"/>
      <c r="AK304" s="123"/>
      <c r="AP304" s="115"/>
      <c r="AQ304" s="115"/>
      <c r="AR304" s="115"/>
      <c r="AS304" s="115"/>
      <c r="AT304" s="115"/>
      <c r="AU304" s="115"/>
      <c r="AV304" s="115"/>
      <c r="AW304" s="115"/>
      <c r="AX304" s="115"/>
      <c r="AY304" s="115"/>
      <c r="AZ304" s="25"/>
      <c r="BA304" s="13"/>
      <c r="BD304" s="114"/>
    </row>
    <row r="305" spans="1:56" ht="19.5" x14ac:dyDescent="0.4">
      <c r="A305" s="117"/>
      <c r="B305" s="123"/>
      <c r="C305" s="123"/>
      <c r="D305" s="123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7"/>
      <c r="R305" s="15"/>
      <c r="S305" s="115"/>
      <c r="T305" s="115"/>
      <c r="U305" s="115"/>
      <c r="V305" s="115"/>
      <c r="W305" s="115"/>
      <c r="X305" s="115"/>
      <c r="Y305" s="115"/>
      <c r="Z305" s="115"/>
      <c r="AA305" s="115"/>
      <c r="AB305" s="25"/>
      <c r="AC305" s="15"/>
      <c r="AH305" s="116"/>
      <c r="AI305" s="123"/>
      <c r="AJ305" s="123"/>
      <c r="AK305" s="123"/>
      <c r="AP305" s="115"/>
      <c r="AQ305" s="115"/>
      <c r="AR305" s="115"/>
      <c r="AS305" s="115"/>
      <c r="AT305" s="115"/>
      <c r="AU305" s="115"/>
      <c r="AV305" s="115"/>
      <c r="AW305" s="115"/>
      <c r="AX305" s="115"/>
      <c r="AY305" s="115"/>
      <c r="AZ305" s="25"/>
      <c r="BA305" s="13"/>
      <c r="BD305" s="114"/>
    </row>
    <row r="306" spans="1:56" ht="19.5" x14ac:dyDescent="0.4">
      <c r="A306" s="117"/>
      <c r="B306" s="123"/>
      <c r="C306" s="123"/>
      <c r="D306" s="123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26"/>
      <c r="R306" s="15"/>
      <c r="S306" s="115"/>
      <c r="T306" s="115"/>
      <c r="U306" s="115"/>
      <c r="V306" s="115"/>
      <c r="W306" s="115"/>
      <c r="X306" s="115"/>
      <c r="Y306" s="115"/>
      <c r="Z306" s="115"/>
      <c r="AA306" s="115"/>
      <c r="AB306" s="25"/>
      <c r="AC306" s="15"/>
      <c r="AH306" s="116"/>
      <c r="AI306" s="123"/>
      <c r="AJ306" s="123"/>
      <c r="AK306" s="123"/>
      <c r="AP306" s="115"/>
      <c r="AQ306" s="115"/>
      <c r="AR306" s="115"/>
      <c r="AS306" s="115"/>
      <c r="AT306" s="115"/>
      <c r="AU306" s="115"/>
      <c r="AV306" s="115"/>
      <c r="AW306" s="115"/>
      <c r="AX306" s="115"/>
      <c r="AY306" s="115"/>
      <c r="AZ306" s="25"/>
      <c r="BA306" s="13"/>
      <c r="BD306" s="114"/>
    </row>
    <row r="307" spans="1:56" ht="19.5" x14ac:dyDescent="0.4">
      <c r="A307" s="117"/>
      <c r="B307" s="123"/>
      <c r="C307" s="123"/>
      <c r="D307" s="123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26"/>
      <c r="R307" s="15"/>
      <c r="S307" s="115"/>
      <c r="T307" s="115"/>
      <c r="U307" s="115"/>
      <c r="V307" s="115"/>
      <c r="W307" s="115"/>
      <c r="X307" s="115"/>
      <c r="Y307" s="115"/>
      <c r="Z307" s="115"/>
      <c r="AA307" s="115"/>
      <c r="AB307" s="25">
        <v>45680</v>
      </c>
      <c r="AC307" s="15" t="s">
        <v>146</v>
      </c>
      <c r="AH307" s="116"/>
      <c r="AI307" s="123"/>
      <c r="AJ307" s="123"/>
      <c r="AK307" s="123"/>
      <c r="AP307" s="115"/>
      <c r="AQ307" s="115"/>
      <c r="AR307" s="115"/>
      <c r="AS307" s="115"/>
      <c r="AT307" s="115"/>
      <c r="AU307" s="115"/>
      <c r="AV307" s="115"/>
      <c r="AW307" s="115"/>
      <c r="AX307" s="115"/>
      <c r="AY307" s="115"/>
      <c r="AZ307" s="25"/>
      <c r="BA307" s="13"/>
      <c r="BD307" s="114"/>
    </row>
    <row r="308" spans="1:56" ht="19.5" x14ac:dyDescent="0.4">
      <c r="A308" s="117"/>
      <c r="B308" s="123"/>
      <c r="C308" s="123"/>
      <c r="D308" s="123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26"/>
      <c r="R308" s="15"/>
      <c r="S308" s="115"/>
      <c r="T308" s="115"/>
      <c r="U308" s="115"/>
      <c r="V308" s="115"/>
      <c r="W308" s="115"/>
      <c r="X308" s="115"/>
      <c r="Y308" s="115"/>
      <c r="Z308" s="115"/>
      <c r="AA308" s="115"/>
      <c r="AB308" s="25"/>
      <c r="AC308" s="15"/>
      <c r="AH308" s="116"/>
      <c r="AI308" s="123"/>
      <c r="AJ308" s="123"/>
      <c r="AK308" s="123"/>
      <c r="AP308" s="115"/>
      <c r="AQ308" s="115"/>
      <c r="AR308" s="115"/>
      <c r="AS308" s="115"/>
      <c r="AT308" s="115"/>
      <c r="AU308" s="115"/>
      <c r="AV308" s="115"/>
      <c r="AW308" s="115"/>
      <c r="AX308" s="115"/>
      <c r="AY308" s="115"/>
      <c r="AZ308" s="25"/>
      <c r="BA308" s="13"/>
      <c r="BD308" s="114"/>
    </row>
    <row r="309" spans="1:56" ht="19.5" x14ac:dyDescent="0.4">
      <c r="A309" s="117"/>
      <c r="B309" s="123"/>
      <c r="C309" s="123"/>
      <c r="D309" s="123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26"/>
      <c r="R309" s="15"/>
      <c r="S309" s="115"/>
      <c r="T309" s="115"/>
      <c r="U309" s="115"/>
      <c r="V309" s="115"/>
      <c r="W309" s="115"/>
      <c r="X309" s="115"/>
      <c r="Y309" s="115"/>
      <c r="Z309" s="115"/>
      <c r="AA309" s="115"/>
      <c r="AB309" s="25">
        <v>45680</v>
      </c>
      <c r="AC309" s="15" t="s">
        <v>146</v>
      </c>
      <c r="AH309" s="116"/>
      <c r="AI309" s="123"/>
      <c r="AJ309" s="123"/>
      <c r="AK309" s="123"/>
      <c r="AP309" s="115"/>
      <c r="AQ309" s="115"/>
      <c r="AR309" s="115"/>
      <c r="AS309" s="115"/>
      <c r="AT309" s="115"/>
      <c r="AU309" s="115"/>
      <c r="AV309" s="115"/>
      <c r="AW309" s="115"/>
      <c r="AX309" s="115"/>
      <c r="AY309" s="115"/>
      <c r="AZ309" s="25"/>
      <c r="BA309" s="13"/>
      <c r="BD309" s="114"/>
    </row>
    <row r="310" spans="1:56" ht="19.5" x14ac:dyDescent="0.4">
      <c r="A310" s="117"/>
      <c r="B310" s="123"/>
      <c r="C310" s="123"/>
      <c r="D310" s="123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26"/>
      <c r="R310" s="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25"/>
      <c r="AC310" s="15"/>
      <c r="AH310" s="116"/>
      <c r="AI310" s="123"/>
      <c r="AJ310" s="123"/>
      <c r="AK310" s="123"/>
      <c r="AP310" s="115"/>
      <c r="AQ310" s="115"/>
      <c r="AR310" s="115"/>
      <c r="AS310" s="115"/>
      <c r="AT310" s="115"/>
      <c r="AU310" s="115"/>
      <c r="AV310" s="115"/>
      <c r="AW310" s="115"/>
      <c r="AX310" s="115"/>
      <c r="AY310" s="115"/>
      <c r="AZ310" s="25"/>
      <c r="BA310" s="13"/>
      <c r="BD310" s="114"/>
    </row>
    <row r="311" spans="1:56" ht="19.5" x14ac:dyDescent="0.4">
      <c r="A311" s="117"/>
      <c r="B311" s="123"/>
      <c r="C311" s="123"/>
      <c r="D311" s="123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26"/>
      <c r="R311" s="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25"/>
      <c r="AC311" s="15"/>
      <c r="AH311" s="116"/>
      <c r="AI311" s="123"/>
      <c r="AJ311" s="123"/>
      <c r="AK311" s="123"/>
      <c r="AP311" s="115"/>
      <c r="AQ311" s="115"/>
      <c r="AR311" s="115"/>
      <c r="AS311" s="115"/>
      <c r="AT311" s="115"/>
      <c r="AU311" s="115"/>
      <c r="AV311" s="115"/>
      <c r="AW311" s="115"/>
      <c r="AX311" s="115"/>
      <c r="AY311" s="115"/>
      <c r="AZ311" s="25"/>
      <c r="BA311" s="13"/>
      <c r="BD311" s="114"/>
    </row>
    <row r="312" spans="1:56" ht="19.5" x14ac:dyDescent="0.4">
      <c r="A312" s="117"/>
      <c r="B312" s="123"/>
      <c r="C312" s="123"/>
      <c r="D312" s="123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26"/>
      <c r="R312" s="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25"/>
      <c r="AC312" s="15"/>
      <c r="AH312" s="116"/>
      <c r="AI312" s="123"/>
      <c r="AJ312" s="123"/>
      <c r="AK312" s="123"/>
      <c r="AP312" s="115"/>
      <c r="AQ312" s="115"/>
      <c r="AR312" s="115"/>
      <c r="AS312" s="115"/>
      <c r="AT312" s="115"/>
      <c r="AU312" s="115"/>
      <c r="AV312" s="115"/>
      <c r="AW312" s="115"/>
      <c r="AX312" s="115"/>
      <c r="AY312" s="115"/>
      <c r="AZ312" s="25"/>
      <c r="BA312" s="13"/>
      <c r="BD312" s="114"/>
    </row>
    <row r="313" spans="1:56" ht="19.5" x14ac:dyDescent="0.4">
      <c r="A313" s="117"/>
      <c r="B313" s="123"/>
      <c r="C313" s="123"/>
      <c r="D313" s="123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26"/>
      <c r="R313" s="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25">
        <v>45680</v>
      </c>
      <c r="AC313" s="15" t="s">
        <v>146</v>
      </c>
      <c r="AH313" s="116"/>
      <c r="AI313" s="123"/>
      <c r="AJ313" s="123"/>
      <c r="AK313" s="123"/>
      <c r="AP313" s="115"/>
      <c r="AQ313" s="115"/>
      <c r="AR313" s="115"/>
      <c r="AS313" s="115"/>
      <c r="AT313" s="115"/>
      <c r="AU313" s="115"/>
      <c r="AV313" s="115"/>
      <c r="AW313" s="115"/>
      <c r="AX313" s="115"/>
      <c r="AY313" s="115"/>
      <c r="AZ313" s="25"/>
      <c r="BA313" s="13"/>
      <c r="BD313" s="114"/>
    </row>
    <row r="314" spans="1:56" ht="19.5" x14ac:dyDescent="0.4">
      <c r="A314" s="117"/>
      <c r="B314" s="123"/>
      <c r="C314" s="123"/>
      <c r="D314" s="123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26"/>
      <c r="R314" s="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25"/>
      <c r="AC314" s="15"/>
      <c r="AH314" s="116"/>
      <c r="AI314" s="123"/>
      <c r="AJ314" s="123"/>
      <c r="AK314" s="123"/>
      <c r="AP314" s="115"/>
      <c r="AQ314" s="115"/>
      <c r="AR314" s="115"/>
      <c r="AS314" s="115"/>
      <c r="AT314" s="115"/>
      <c r="AU314" s="115"/>
      <c r="AV314" s="115"/>
      <c r="AW314" s="115"/>
      <c r="AX314" s="115"/>
      <c r="AY314" s="115"/>
      <c r="AZ314" s="25"/>
      <c r="BA314" s="13"/>
      <c r="BD314" s="114"/>
    </row>
    <row r="315" spans="1:56" ht="19.5" x14ac:dyDescent="0.4">
      <c r="A315" s="117"/>
      <c r="B315" s="123"/>
      <c r="C315" s="123"/>
      <c r="D315" s="123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7"/>
      <c r="R315" s="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25"/>
      <c r="AC315" s="15"/>
      <c r="AH315" s="116"/>
      <c r="AI315" s="123"/>
      <c r="AJ315" s="123"/>
      <c r="AK315" s="123"/>
      <c r="AP315" s="115"/>
      <c r="AQ315" s="115"/>
      <c r="AR315" s="115"/>
      <c r="AS315" s="115"/>
      <c r="AT315" s="115"/>
      <c r="AU315" s="115"/>
      <c r="AV315" s="115"/>
      <c r="AW315" s="115"/>
      <c r="AX315" s="115"/>
      <c r="AY315" s="115"/>
      <c r="AZ315" s="25"/>
      <c r="BA315" s="13"/>
      <c r="BD315" s="114"/>
    </row>
    <row r="316" spans="1:56" ht="19.5" x14ac:dyDescent="0.4">
      <c r="A316" s="117"/>
      <c r="B316" s="123"/>
      <c r="C316" s="123"/>
      <c r="D316" s="123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26"/>
      <c r="R316" s="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25">
        <v>45680</v>
      </c>
      <c r="AC316" s="15" t="s">
        <v>147</v>
      </c>
      <c r="AH316" s="116"/>
      <c r="AI316" s="123"/>
      <c r="AJ316" s="123"/>
      <c r="AK316" s="123"/>
      <c r="AP316" s="115"/>
      <c r="AQ316" s="115"/>
      <c r="AR316" s="115"/>
      <c r="AS316" s="115"/>
      <c r="AT316" s="115"/>
      <c r="AU316" s="115"/>
      <c r="AV316" s="115"/>
      <c r="AW316" s="115"/>
      <c r="AX316" s="115"/>
      <c r="AY316" s="115"/>
      <c r="AZ316" s="25"/>
      <c r="BA316" s="13"/>
      <c r="BD316" s="114"/>
    </row>
    <row r="317" spans="1:56" ht="19.5" x14ac:dyDescent="0.4">
      <c r="A317" s="117"/>
      <c r="B317" s="123"/>
      <c r="C317" s="123"/>
      <c r="D317" s="123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7"/>
      <c r="R317" s="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25"/>
      <c r="AC317" s="13"/>
      <c r="AH317" s="116"/>
      <c r="AI317" s="123"/>
      <c r="AJ317" s="123"/>
      <c r="AK317" s="123"/>
      <c r="AP317" s="115"/>
      <c r="AQ317" s="115"/>
      <c r="AR317" s="115"/>
      <c r="AS317" s="115"/>
      <c r="AT317" s="115"/>
      <c r="AU317" s="115"/>
      <c r="AV317" s="115"/>
      <c r="AW317" s="115"/>
      <c r="AX317" s="115"/>
      <c r="AY317" s="115"/>
      <c r="AZ317" s="25"/>
      <c r="BA317" s="13"/>
      <c r="BD317" s="114"/>
    </row>
    <row r="318" spans="1:56" ht="19.5" x14ac:dyDescent="0.4">
      <c r="A318" s="117"/>
      <c r="B318" s="123"/>
      <c r="C318" s="123"/>
      <c r="D318" s="123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26"/>
      <c r="R318" s="15"/>
      <c r="S318" s="115"/>
      <c r="T318" s="115"/>
      <c r="U318" s="115"/>
      <c r="V318" s="115"/>
      <c r="W318" s="115"/>
      <c r="X318" s="115"/>
      <c r="Y318" s="115"/>
      <c r="Z318" s="115"/>
      <c r="AA318" s="115"/>
      <c r="AB318" s="25"/>
      <c r="AC318" s="13"/>
      <c r="AH318" s="116"/>
      <c r="AI318" s="123"/>
      <c r="AJ318" s="123"/>
      <c r="AK318" s="123"/>
      <c r="AP318" s="115"/>
      <c r="AQ318" s="115"/>
      <c r="AR318" s="115"/>
      <c r="AS318" s="115"/>
      <c r="AT318" s="115"/>
      <c r="AU318" s="115"/>
      <c r="AV318" s="115"/>
      <c r="AW318" s="115"/>
      <c r="AX318" s="115"/>
      <c r="AY318" s="115"/>
      <c r="AZ318" s="25"/>
      <c r="BA318" s="13"/>
      <c r="BD318" s="114"/>
    </row>
    <row r="319" spans="1:56" ht="19.5" x14ac:dyDescent="0.4">
      <c r="A319" s="117"/>
      <c r="B319" s="123"/>
      <c r="C319" s="123"/>
      <c r="D319" s="123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26"/>
      <c r="R319" s="15"/>
      <c r="S319" s="115"/>
      <c r="T319" s="115"/>
      <c r="U319" s="115"/>
      <c r="V319" s="115"/>
      <c r="W319" s="115"/>
      <c r="X319" s="115"/>
      <c r="Y319" s="115"/>
      <c r="Z319" s="115"/>
      <c r="AA319" s="115"/>
      <c r="AB319" s="25"/>
      <c r="AC319" s="13"/>
      <c r="AH319" s="116"/>
      <c r="AI319" s="123"/>
      <c r="AJ319" s="123"/>
      <c r="AK319" s="123"/>
      <c r="AP319" s="115"/>
      <c r="AQ319" s="115"/>
      <c r="AR319" s="115"/>
      <c r="AS319" s="115"/>
      <c r="AT319" s="115"/>
      <c r="AU319" s="115"/>
      <c r="AV319" s="115"/>
      <c r="AW319" s="115"/>
      <c r="AX319" s="115"/>
      <c r="AY319" s="115"/>
      <c r="AZ319" s="25"/>
      <c r="BA319" s="13"/>
      <c r="BD319" s="114"/>
    </row>
    <row r="320" spans="1:56" ht="19.5" x14ac:dyDescent="0.4">
      <c r="A320" s="117"/>
      <c r="B320" s="123"/>
      <c r="C320" s="123"/>
      <c r="D320" s="123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7"/>
      <c r="R320" s="13"/>
      <c r="S320" s="115"/>
      <c r="T320" s="115"/>
      <c r="U320" s="115"/>
      <c r="V320" s="115"/>
      <c r="W320" s="115"/>
      <c r="X320" s="115"/>
      <c r="Y320" s="115"/>
      <c r="Z320" s="115"/>
      <c r="AA320" s="115"/>
      <c r="AB320" s="25"/>
      <c r="AC320" s="13"/>
      <c r="AH320" s="116"/>
      <c r="AI320" s="123"/>
      <c r="AJ320" s="123"/>
      <c r="AK320" s="123"/>
      <c r="AP320" s="115"/>
      <c r="AQ320" s="115"/>
      <c r="AR320" s="115"/>
      <c r="AS320" s="115"/>
      <c r="AT320" s="115"/>
      <c r="AU320" s="115"/>
      <c r="AV320" s="115"/>
      <c r="AW320" s="115"/>
      <c r="AX320" s="115"/>
      <c r="AY320" s="115"/>
      <c r="AZ320" s="25"/>
      <c r="BA320" s="13"/>
      <c r="BD320" s="114"/>
    </row>
    <row r="321" spans="1:56" ht="19.5" x14ac:dyDescent="0.4">
      <c r="A321" s="117"/>
      <c r="B321" s="123"/>
      <c r="C321" s="123"/>
      <c r="D321" s="123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7"/>
      <c r="R321" s="13"/>
      <c r="S321" s="115"/>
      <c r="T321" s="115"/>
      <c r="U321" s="115"/>
      <c r="V321" s="115"/>
      <c r="W321" s="115"/>
      <c r="X321" s="115"/>
      <c r="Y321" s="115"/>
      <c r="Z321" s="115"/>
      <c r="AA321" s="115"/>
      <c r="AB321" s="25"/>
      <c r="AC321" s="13"/>
      <c r="AH321" s="116"/>
      <c r="AI321" s="123"/>
      <c r="AJ321" s="123"/>
      <c r="AK321" s="123"/>
      <c r="AP321" s="115"/>
      <c r="AQ321" s="115"/>
      <c r="AR321" s="115"/>
      <c r="AS321" s="115"/>
      <c r="AT321" s="115"/>
      <c r="AU321" s="115"/>
      <c r="AV321" s="115"/>
      <c r="AW321" s="115"/>
      <c r="AX321" s="115"/>
      <c r="AY321" s="115"/>
      <c r="AZ321" s="25"/>
      <c r="BA321" s="13"/>
      <c r="BD321" s="114"/>
    </row>
    <row r="322" spans="1:56" ht="19.5" x14ac:dyDescent="0.4">
      <c r="A322" s="117"/>
      <c r="B322" s="123"/>
      <c r="C322" s="123"/>
      <c r="D322" s="123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26"/>
      <c r="R322" s="13"/>
      <c r="S322" s="115"/>
      <c r="T322" s="115"/>
      <c r="U322" s="115"/>
      <c r="V322" s="115"/>
      <c r="W322" s="115"/>
      <c r="X322" s="115"/>
      <c r="Y322" s="115"/>
      <c r="Z322" s="115"/>
      <c r="AA322" s="115"/>
      <c r="AB322" s="25"/>
      <c r="AC322" s="13"/>
      <c r="AH322" s="116"/>
      <c r="AI322" s="123"/>
      <c r="AJ322" s="123"/>
      <c r="AK322" s="123"/>
      <c r="AP322" s="115"/>
      <c r="AQ322" s="115"/>
      <c r="AR322" s="115"/>
      <c r="AS322" s="115"/>
      <c r="AT322" s="115"/>
      <c r="AU322" s="115"/>
      <c r="AV322" s="115"/>
      <c r="AW322" s="115"/>
      <c r="AX322" s="115"/>
      <c r="AY322" s="115"/>
      <c r="AZ322" s="25"/>
      <c r="BA322" s="13"/>
      <c r="BD322" s="114"/>
    </row>
    <row r="323" spans="1:56" ht="19.5" x14ac:dyDescent="0.4">
      <c r="A323" s="117"/>
      <c r="B323" s="123"/>
      <c r="C323" s="123"/>
      <c r="D323" s="123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26"/>
      <c r="R323" s="13"/>
      <c r="S323" s="115"/>
      <c r="T323" s="115"/>
      <c r="U323" s="115"/>
      <c r="V323" s="115"/>
      <c r="W323" s="115"/>
      <c r="X323" s="115"/>
      <c r="Y323" s="115"/>
      <c r="Z323" s="115"/>
      <c r="AA323" s="115"/>
      <c r="AB323" s="25"/>
      <c r="AC323" s="13"/>
      <c r="AH323" s="116"/>
      <c r="AI323" s="123"/>
      <c r="AJ323" s="123"/>
      <c r="AK323" s="123"/>
      <c r="AP323" s="115"/>
      <c r="AQ323" s="115"/>
      <c r="AR323" s="115"/>
      <c r="AS323" s="115"/>
      <c r="AT323" s="115"/>
      <c r="AU323" s="115"/>
      <c r="AV323" s="115"/>
      <c r="AW323" s="115"/>
      <c r="AX323" s="115"/>
      <c r="AY323" s="115"/>
      <c r="AZ323" s="25"/>
      <c r="BA323" s="13"/>
      <c r="BD323" s="114"/>
    </row>
    <row r="324" spans="1:56" ht="19.5" x14ac:dyDescent="0.4">
      <c r="A324" s="117"/>
      <c r="B324" s="123"/>
      <c r="C324" s="123"/>
      <c r="D324" s="123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26"/>
      <c r="R324" s="13"/>
      <c r="S324" s="115"/>
      <c r="T324" s="115"/>
      <c r="U324" s="115"/>
      <c r="V324" s="115"/>
      <c r="W324" s="115"/>
      <c r="X324" s="115"/>
      <c r="Y324" s="115"/>
      <c r="Z324" s="115"/>
      <c r="AA324" s="115"/>
      <c r="AB324" s="25"/>
      <c r="AC324" s="13"/>
      <c r="AH324" s="116"/>
      <c r="AI324" s="123"/>
      <c r="AJ324" s="123"/>
      <c r="AK324" s="123"/>
      <c r="AP324" s="115"/>
      <c r="AQ324" s="115"/>
      <c r="AR324" s="115"/>
      <c r="AS324" s="115"/>
      <c r="AT324" s="115"/>
      <c r="AU324" s="115"/>
      <c r="AV324" s="115"/>
      <c r="AW324" s="115"/>
      <c r="AX324" s="115"/>
      <c r="AY324" s="115"/>
      <c r="AZ324" s="25"/>
      <c r="BA324" s="13"/>
      <c r="BD324" s="114"/>
    </row>
    <row r="325" spans="1:56" ht="19.5" x14ac:dyDescent="0.4">
      <c r="A325" s="117"/>
      <c r="B325" s="123"/>
      <c r="C325" s="123"/>
      <c r="D325" s="123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26"/>
      <c r="R325" s="13"/>
      <c r="S325" s="115"/>
      <c r="T325" s="115"/>
      <c r="U325" s="115"/>
      <c r="V325" s="115"/>
      <c r="W325" s="115"/>
      <c r="X325" s="115"/>
      <c r="Y325" s="115"/>
      <c r="Z325" s="115"/>
      <c r="AA325" s="115"/>
      <c r="AB325" s="25"/>
      <c r="AC325" s="13"/>
      <c r="AH325" s="116"/>
      <c r="AI325" s="123"/>
      <c r="AJ325" s="123"/>
      <c r="AK325" s="123"/>
      <c r="AP325" s="115"/>
      <c r="AQ325" s="115"/>
      <c r="AR325" s="115"/>
      <c r="AS325" s="115"/>
      <c r="AT325" s="115"/>
      <c r="AU325" s="115"/>
      <c r="AV325" s="115"/>
      <c r="AW325" s="115"/>
      <c r="AX325" s="115"/>
      <c r="AY325" s="115"/>
      <c r="AZ325" s="25"/>
      <c r="BA325" s="13"/>
      <c r="BD325" s="114"/>
    </row>
    <row r="326" spans="1:56" ht="19.5" x14ac:dyDescent="0.4">
      <c r="A326" s="117"/>
      <c r="B326" s="123"/>
      <c r="C326" s="123"/>
      <c r="D326" s="123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26"/>
      <c r="R326" s="13"/>
      <c r="S326" s="115"/>
      <c r="T326" s="115"/>
      <c r="U326" s="115"/>
      <c r="V326" s="115"/>
      <c r="W326" s="115"/>
      <c r="X326" s="115"/>
      <c r="Y326" s="115"/>
      <c r="Z326" s="115"/>
      <c r="AA326" s="115"/>
      <c r="AB326" s="25">
        <v>45680</v>
      </c>
      <c r="AC326" s="13" t="s">
        <v>146</v>
      </c>
      <c r="AH326" s="116"/>
      <c r="AI326" s="123"/>
      <c r="AJ326" s="123"/>
      <c r="AK326" s="123"/>
      <c r="AP326" s="115"/>
      <c r="AQ326" s="115"/>
      <c r="AR326" s="115"/>
      <c r="AS326" s="115"/>
      <c r="AT326" s="115"/>
      <c r="AU326" s="115"/>
      <c r="AV326" s="115"/>
      <c r="AW326" s="115"/>
      <c r="AX326" s="115"/>
      <c r="AY326" s="115"/>
      <c r="AZ326" s="25"/>
      <c r="BA326" s="13"/>
      <c r="BD326" s="114"/>
    </row>
    <row r="327" spans="1:56" ht="19.5" x14ac:dyDescent="0.4">
      <c r="A327" s="117"/>
      <c r="B327" s="123"/>
      <c r="C327" s="123"/>
      <c r="D327" s="123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7"/>
      <c r="R327" s="13"/>
      <c r="S327" s="115"/>
      <c r="T327" s="115"/>
      <c r="U327" s="115"/>
      <c r="V327" s="115"/>
      <c r="W327" s="115"/>
      <c r="X327" s="115"/>
      <c r="Y327" s="115"/>
      <c r="Z327" s="115"/>
      <c r="AA327" s="115"/>
      <c r="AB327" s="25"/>
      <c r="AC327" s="13"/>
      <c r="AH327" s="116"/>
      <c r="AI327" s="123"/>
      <c r="AJ327" s="123"/>
      <c r="AK327" s="123"/>
      <c r="AP327" s="115"/>
      <c r="AQ327" s="115"/>
      <c r="AR327" s="115"/>
      <c r="AS327" s="115"/>
      <c r="AT327" s="115"/>
      <c r="AU327" s="115"/>
      <c r="AV327" s="115"/>
      <c r="AW327" s="115"/>
      <c r="AX327" s="115"/>
      <c r="AY327" s="115"/>
      <c r="AZ327" s="25"/>
      <c r="BA327" s="13"/>
      <c r="BD327" s="114"/>
    </row>
    <row r="328" spans="1:56" ht="19.5" x14ac:dyDescent="0.4">
      <c r="A328" s="117"/>
      <c r="B328" s="123"/>
      <c r="C328" s="123"/>
      <c r="D328" s="123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26"/>
      <c r="R328" s="13"/>
      <c r="S328" s="115"/>
      <c r="T328" s="115"/>
      <c r="U328" s="115"/>
      <c r="V328" s="115"/>
      <c r="W328" s="115"/>
      <c r="X328" s="115"/>
      <c r="Y328" s="115"/>
      <c r="Z328" s="115"/>
      <c r="AA328" s="115"/>
      <c r="AB328" s="25">
        <v>45680</v>
      </c>
      <c r="AC328" s="13" t="s">
        <v>147</v>
      </c>
      <c r="AH328" s="116"/>
      <c r="AI328" s="123"/>
      <c r="AJ328" s="123"/>
      <c r="AK328" s="123"/>
      <c r="AP328" s="115"/>
      <c r="AQ328" s="115"/>
      <c r="AR328" s="115"/>
      <c r="AS328" s="115"/>
      <c r="AT328" s="115"/>
      <c r="AU328" s="115"/>
      <c r="AV328" s="115"/>
      <c r="AW328" s="115"/>
      <c r="AX328" s="115"/>
      <c r="AY328" s="115"/>
      <c r="AZ328" s="25"/>
      <c r="BA328" s="13"/>
      <c r="BD328" s="114"/>
    </row>
    <row r="329" spans="1:56" ht="19.5" x14ac:dyDescent="0.4">
      <c r="A329" s="117"/>
      <c r="B329" s="123"/>
      <c r="C329" s="123"/>
      <c r="D329" s="123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26"/>
      <c r="R329" s="13"/>
      <c r="S329" s="115"/>
      <c r="T329" s="115"/>
      <c r="U329" s="115"/>
      <c r="V329" s="115"/>
      <c r="W329" s="115"/>
      <c r="X329" s="115"/>
      <c r="Y329" s="115"/>
      <c r="Z329" s="115"/>
      <c r="AA329" s="115"/>
      <c r="AB329" s="25">
        <v>45680</v>
      </c>
      <c r="AC329" s="13" t="s">
        <v>146</v>
      </c>
      <c r="AH329" s="116"/>
      <c r="AI329" s="123"/>
      <c r="AJ329" s="123"/>
      <c r="AK329" s="123"/>
      <c r="AP329" s="115"/>
      <c r="AQ329" s="115"/>
      <c r="AR329" s="115"/>
      <c r="AS329" s="115"/>
      <c r="AT329" s="115"/>
      <c r="AU329" s="115"/>
      <c r="AV329" s="115"/>
      <c r="AW329" s="115"/>
      <c r="AX329" s="115"/>
      <c r="AY329" s="115"/>
      <c r="AZ329" s="25"/>
      <c r="BA329" s="13"/>
      <c r="BD329" s="114"/>
    </row>
    <row r="330" spans="1:56" ht="19.5" x14ac:dyDescent="0.4">
      <c r="A330" s="117"/>
      <c r="B330" s="123"/>
      <c r="C330" s="123"/>
      <c r="D330" s="123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7"/>
      <c r="R330" s="13"/>
      <c r="S330" s="115"/>
      <c r="T330" s="115"/>
      <c r="U330" s="115"/>
      <c r="V330" s="115"/>
      <c r="W330" s="115"/>
      <c r="X330" s="115"/>
      <c r="Y330" s="115"/>
      <c r="Z330" s="115"/>
      <c r="AA330" s="115"/>
      <c r="AB330" s="25"/>
      <c r="AC330" s="13"/>
      <c r="AH330" s="116"/>
      <c r="AI330" s="123"/>
      <c r="AJ330" s="123"/>
      <c r="AK330" s="123"/>
      <c r="AP330" s="115"/>
      <c r="AQ330" s="115"/>
      <c r="AR330" s="115"/>
      <c r="AS330" s="115"/>
      <c r="AT330" s="115"/>
      <c r="AU330" s="115"/>
      <c r="AV330" s="115"/>
      <c r="AW330" s="115"/>
      <c r="AX330" s="115"/>
      <c r="AY330" s="115"/>
      <c r="AZ330" s="25"/>
      <c r="BA330" s="13"/>
      <c r="BD330" s="114"/>
    </row>
    <row r="331" spans="1:56" ht="19.5" x14ac:dyDescent="0.4">
      <c r="A331" s="117"/>
      <c r="B331" s="123"/>
      <c r="C331" s="123"/>
      <c r="D331" s="123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26"/>
      <c r="R331" s="13"/>
      <c r="S331" s="115"/>
      <c r="T331" s="115"/>
      <c r="U331" s="115"/>
      <c r="V331" s="115"/>
      <c r="W331" s="115"/>
      <c r="X331" s="115"/>
      <c r="Y331" s="115"/>
      <c r="Z331" s="115"/>
      <c r="AA331" s="115"/>
      <c r="AB331" s="25"/>
      <c r="AC331" s="13"/>
      <c r="AH331" s="116"/>
      <c r="AI331" s="123"/>
      <c r="AJ331" s="123"/>
      <c r="AK331" s="123"/>
      <c r="AP331" s="115"/>
      <c r="AQ331" s="115"/>
      <c r="AR331" s="115"/>
      <c r="AS331" s="115"/>
      <c r="AT331" s="115"/>
      <c r="AU331" s="115"/>
      <c r="AV331" s="115"/>
      <c r="AW331" s="115"/>
      <c r="AX331" s="115"/>
      <c r="AY331" s="115"/>
      <c r="AZ331" s="25"/>
      <c r="BA331" s="13"/>
      <c r="BD331" s="114"/>
    </row>
    <row r="332" spans="1:56" ht="19.5" x14ac:dyDescent="0.4">
      <c r="A332" s="117"/>
      <c r="B332" s="123"/>
      <c r="C332" s="123"/>
      <c r="D332" s="123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7"/>
      <c r="R332" s="13"/>
      <c r="S332" s="115"/>
      <c r="T332" s="115"/>
      <c r="U332" s="115"/>
      <c r="V332" s="115"/>
      <c r="W332" s="115"/>
      <c r="X332" s="115"/>
      <c r="Y332" s="115"/>
      <c r="Z332" s="115"/>
      <c r="AA332" s="115"/>
      <c r="AB332" s="25"/>
      <c r="AC332" s="13"/>
      <c r="AH332" s="116"/>
      <c r="AI332" s="123"/>
      <c r="AJ332" s="123"/>
      <c r="AK332" s="123"/>
      <c r="AP332" s="115"/>
      <c r="AQ332" s="115"/>
      <c r="AR332" s="115"/>
      <c r="AS332" s="115"/>
      <c r="AT332" s="115"/>
      <c r="AU332" s="115"/>
      <c r="AV332" s="115"/>
      <c r="AW332" s="115"/>
      <c r="AX332" s="115"/>
      <c r="AY332" s="115"/>
      <c r="AZ332" s="25"/>
      <c r="BA332" s="13"/>
      <c r="BD332" s="114"/>
    </row>
    <row r="333" spans="1:56" ht="19.5" x14ac:dyDescent="0.4">
      <c r="A333" s="117"/>
      <c r="B333" s="123"/>
      <c r="C333" s="123"/>
      <c r="D333" s="123"/>
      <c r="Q333" s="26"/>
      <c r="R333" s="13"/>
      <c r="AB333" s="25">
        <v>45680</v>
      </c>
      <c r="AC333" s="13" t="s">
        <v>146</v>
      </c>
      <c r="AH333" s="117"/>
      <c r="AI333" s="123"/>
      <c r="AJ333" s="123"/>
      <c r="AK333" s="123"/>
      <c r="AP333" s="115"/>
      <c r="AQ333" s="115"/>
      <c r="AR333" s="115"/>
      <c r="AS333" s="115"/>
      <c r="AT333" s="115"/>
      <c r="AU333" s="115"/>
      <c r="AV333" s="115"/>
      <c r="AW333" s="115"/>
      <c r="AX333" s="115"/>
      <c r="AY333" s="115" t="s">
        <v>149</v>
      </c>
      <c r="AZ333" s="13">
        <f>SUBTOTAL(3,AZ2:AZ2)</f>
        <v>1</v>
      </c>
      <c r="BA333" s="13">
        <f>SUBTOTAL(3,BA2:BA2)</f>
        <v>1</v>
      </c>
      <c r="BD333" s="114"/>
    </row>
    <row r="334" spans="1:56" ht="19.5" x14ac:dyDescent="0.4">
      <c r="A334" s="117"/>
      <c r="B334" s="123"/>
      <c r="C334" s="123"/>
      <c r="D334" s="123"/>
      <c r="J334" s="115"/>
      <c r="K334" s="115"/>
      <c r="L334" s="115"/>
      <c r="M334" s="115"/>
      <c r="N334" s="115"/>
      <c r="O334" s="115"/>
      <c r="P334" s="115"/>
      <c r="Q334" s="17"/>
      <c r="R334" s="13"/>
      <c r="AB334" s="25"/>
      <c r="AC334" s="13"/>
      <c r="AH334" s="117"/>
      <c r="AI334" s="123"/>
      <c r="AJ334" s="123"/>
      <c r="AK334" s="123"/>
      <c r="AP334" s="115"/>
      <c r="AQ334" s="115"/>
      <c r="AR334" s="115"/>
      <c r="AS334" s="115"/>
      <c r="AT334" s="115"/>
      <c r="AU334" s="115"/>
      <c r="AV334" s="115"/>
      <c r="AW334" s="115"/>
      <c r="AX334" s="115"/>
      <c r="AY334" s="115"/>
      <c r="AZ334" s="13"/>
      <c r="BA334" s="13"/>
      <c r="BD334" s="114"/>
    </row>
    <row r="335" spans="1:56" ht="19.5" x14ac:dyDescent="0.4">
      <c r="A335" s="117"/>
      <c r="B335" s="123"/>
      <c r="C335" s="123"/>
      <c r="D335" s="123"/>
      <c r="Q335" s="26"/>
      <c r="R335" s="13"/>
      <c r="AB335" s="25"/>
      <c r="AC335" s="13"/>
      <c r="AH335" s="117"/>
      <c r="AI335" s="123"/>
      <c r="AJ335" s="123"/>
      <c r="AK335" s="123"/>
      <c r="AP335" s="115"/>
      <c r="AQ335" s="115"/>
      <c r="AR335" s="115"/>
      <c r="AS335" s="115"/>
      <c r="AT335" s="115"/>
      <c r="AU335" s="115"/>
      <c r="AV335" s="115"/>
      <c r="AW335" s="115"/>
      <c r="AX335" s="115"/>
      <c r="AY335" s="115"/>
      <c r="AZ335" s="13"/>
      <c r="BA335" s="13"/>
      <c r="BD335" s="114"/>
    </row>
    <row r="336" spans="1:56" ht="19.5" x14ac:dyDescent="0.4">
      <c r="A336" s="117"/>
      <c r="B336" s="123"/>
      <c r="C336" s="123"/>
      <c r="D336" s="123"/>
      <c r="Q336" s="26"/>
      <c r="R336" s="13"/>
      <c r="S336" s="115"/>
      <c r="T336" s="115"/>
      <c r="U336" s="115"/>
      <c r="V336" s="115"/>
      <c r="W336" s="115"/>
      <c r="X336" s="115"/>
      <c r="Y336" s="115"/>
      <c r="Z336" s="115"/>
      <c r="AA336" s="115"/>
      <c r="AB336" s="25">
        <v>45682</v>
      </c>
      <c r="AC336" s="13" t="s">
        <v>147</v>
      </c>
      <c r="AH336" s="117"/>
      <c r="AI336" s="123"/>
      <c r="AJ336" s="123"/>
      <c r="AK336" s="123"/>
      <c r="AP336" s="115"/>
      <c r="AQ336" s="115"/>
      <c r="AR336" s="115"/>
      <c r="AS336" s="115"/>
      <c r="AT336" s="115"/>
      <c r="AU336" s="115"/>
      <c r="AV336" s="115"/>
      <c r="AW336" s="115"/>
      <c r="AX336" s="115"/>
      <c r="AY336" s="115"/>
      <c r="AZ336" s="13"/>
      <c r="BA336" s="13"/>
      <c r="BD336" s="114"/>
    </row>
    <row r="337" spans="1:56" ht="19.5" x14ac:dyDescent="0.4">
      <c r="A337" s="117"/>
      <c r="B337" s="123"/>
      <c r="C337" s="123"/>
      <c r="D337" s="123"/>
      <c r="Q337" s="26"/>
      <c r="R337" s="13"/>
      <c r="S337" s="115"/>
      <c r="T337" s="115"/>
      <c r="U337" s="115"/>
      <c r="V337" s="115"/>
      <c r="W337" s="115"/>
      <c r="X337" s="115"/>
      <c r="Y337" s="115"/>
      <c r="Z337" s="115"/>
      <c r="AA337" s="115"/>
      <c r="AB337" s="25">
        <v>45682</v>
      </c>
      <c r="AC337" s="13" t="s">
        <v>146</v>
      </c>
      <c r="AH337" s="117"/>
      <c r="AI337" s="123"/>
      <c r="AJ337" s="123"/>
      <c r="AK337" s="123"/>
      <c r="AP337" s="115"/>
      <c r="AQ337" s="115"/>
      <c r="AR337" s="115"/>
      <c r="AS337" s="115"/>
      <c r="AT337" s="115"/>
      <c r="AU337" s="115"/>
      <c r="AV337" s="115"/>
      <c r="AW337" s="115"/>
      <c r="AX337" s="115"/>
      <c r="AY337" s="115"/>
      <c r="AZ337" s="13"/>
      <c r="BA337" s="13"/>
      <c r="BD337" s="114"/>
    </row>
    <row r="338" spans="1:56" ht="19.5" x14ac:dyDescent="0.4">
      <c r="A338" s="117"/>
      <c r="B338" s="123"/>
      <c r="C338" s="123"/>
      <c r="D338" s="123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26"/>
      <c r="R338" s="13"/>
      <c r="S338" s="115"/>
      <c r="T338" s="115"/>
      <c r="U338" s="115"/>
      <c r="V338" s="115"/>
      <c r="W338" s="115"/>
      <c r="X338" s="115"/>
      <c r="Y338" s="115"/>
      <c r="Z338" s="115"/>
      <c r="AA338" s="115"/>
      <c r="AB338" s="25"/>
      <c r="AC338" s="13"/>
      <c r="AH338" s="117"/>
      <c r="AI338" s="123"/>
      <c r="AJ338" s="123"/>
      <c r="AK338" s="123"/>
      <c r="AP338" s="115"/>
      <c r="AQ338" s="115"/>
      <c r="AR338" s="115"/>
      <c r="AS338" s="115"/>
      <c r="AT338" s="115"/>
      <c r="AU338" s="115"/>
      <c r="AV338" s="115"/>
      <c r="AW338" s="115"/>
      <c r="AX338" s="115"/>
      <c r="AY338" s="115"/>
      <c r="AZ338" s="13"/>
      <c r="BA338" s="13"/>
      <c r="BD338" s="114"/>
    </row>
    <row r="339" spans="1:56" ht="19.5" x14ac:dyDescent="0.4">
      <c r="A339" s="117"/>
      <c r="B339" s="123"/>
      <c r="C339" s="123"/>
      <c r="D339" s="123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26"/>
      <c r="R339" s="13"/>
      <c r="S339" s="115"/>
      <c r="T339" s="115"/>
      <c r="U339" s="115"/>
      <c r="V339" s="115"/>
      <c r="W339" s="115"/>
      <c r="X339" s="115"/>
      <c r="Y339" s="115"/>
      <c r="Z339" s="115"/>
      <c r="AA339" s="115"/>
      <c r="AB339" s="25"/>
      <c r="AC339" s="13"/>
      <c r="AH339" s="117"/>
      <c r="AI339" s="123"/>
      <c r="AJ339" s="123"/>
      <c r="AK339" s="123"/>
      <c r="AP339" s="115"/>
      <c r="AQ339" s="115"/>
      <c r="AR339" s="115"/>
      <c r="AS339" s="115"/>
      <c r="AT339" s="115"/>
      <c r="AU339" s="115"/>
      <c r="AV339" s="115"/>
      <c r="AW339" s="115"/>
      <c r="AX339" s="115"/>
      <c r="AY339" s="115"/>
      <c r="AZ339" s="13"/>
      <c r="BA339" s="13"/>
      <c r="BD339" s="114"/>
    </row>
    <row r="340" spans="1:56" ht="19.5" x14ac:dyDescent="0.4">
      <c r="A340" s="117"/>
      <c r="B340" s="123"/>
      <c r="C340" s="123"/>
      <c r="D340" s="123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7"/>
      <c r="R340" s="13"/>
      <c r="S340" s="115"/>
      <c r="T340" s="115"/>
      <c r="U340" s="115"/>
      <c r="V340" s="115"/>
      <c r="W340" s="115"/>
      <c r="X340" s="115"/>
      <c r="Y340" s="115"/>
      <c r="Z340" s="115"/>
      <c r="AA340" s="115"/>
      <c r="AB340" s="25"/>
      <c r="AC340" s="13"/>
      <c r="AH340" s="117"/>
      <c r="AI340" s="123"/>
      <c r="AJ340" s="123"/>
      <c r="AK340" s="123"/>
      <c r="AP340" s="115"/>
      <c r="AQ340" s="115"/>
      <c r="AR340" s="115"/>
      <c r="AS340" s="115"/>
      <c r="AT340" s="115"/>
      <c r="AU340" s="115"/>
      <c r="AV340" s="115"/>
      <c r="AW340" s="115"/>
      <c r="AX340" s="115"/>
      <c r="AY340" s="115"/>
      <c r="AZ340" s="13"/>
      <c r="BA340" s="13"/>
      <c r="BD340" s="114"/>
    </row>
    <row r="341" spans="1:56" ht="19.5" x14ac:dyDescent="0.4">
      <c r="A341" s="117"/>
      <c r="B341" s="123"/>
      <c r="C341" s="123"/>
      <c r="D341" s="123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26"/>
      <c r="R341" s="13"/>
      <c r="S341" s="115"/>
      <c r="T341" s="115"/>
      <c r="U341" s="115"/>
      <c r="V341" s="115"/>
      <c r="W341" s="115"/>
      <c r="X341" s="115"/>
      <c r="Y341" s="115"/>
      <c r="Z341" s="115"/>
      <c r="AA341" s="115"/>
      <c r="AB341" s="25"/>
      <c r="AC341" s="13"/>
      <c r="AH341" s="117"/>
      <c r="AI341" s="123"/>
      <c r="AJ341" s="123"/>
      <c r="AK341" s="123"/>
      <c r="AP341" s="115"/>
      <c r="AQ341" s="115"/>
      <c r="AR341" s="115"/>
      <c r="AS341" s="115"/>
      <c r="AT341" s="115"/>
      <c r="AU341" s="115"/>
      <c r="AV341" s="115"/>
      <c r="AW341" s="115"/>
      <c r="AX341" s="115"/>
      <c r="AY341" s="115"/>
      <c r="AZ341" s="13"/>
      <c r="BA341" s="13"/>
      <c r="BD341" s="114"/>
    </row>
    <row r="342" spans="1:56" ht="19.5" x14ac:dyDescent="0.4">
      <c r="A342" s="117"/>
      <c r="B342" s="123"/>
      <c r="C342" s="123"/>
      <c r="D342" s="123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7"/>
      <c r="R342" s="13"/>
      <c r="S342" s="115"/>
      <c r="T342" s="115"/>
      <c r="U342" s="115"/>
      <c r="V342" s="115"/>
      <c r="W342" s="115"/>
      <c r="X342" s="115"/>
      <c r="Y342" s="115"/>
      <c r="Z342" s="115"/>
      <c r="AA342" s="115"/>
      <c r="AB342" s="25"/>
      <c r="AC342" s="13"/>
      <c r="AH342" s="117"/>
      <c r="AI342" s="123"/>
      <c r="AJ342" s="123"/>
      <c r="AK342" s="123"/>
      <c r="AP342" s="115"/>
      <c r="AQ342" s="115"/>
      <c r="AR342" s="115"/>
      <c r="AS342" s="115"/>
      <c r="AT342" s="115"/>
      <c r="AU342" s="115"/>
      <c r="AV342" s="115"/>
      <c r="AW342" s="115"/>
      <c r="AX342" s="115"/>
      <c r="AY342" s="115"/>
      <c r="AZ342" s="13"/>
      <c r="BA342" s="13"/>
      <c r="BD342" s="114"/>
    </row>
    <row r="343" spans="1:56" ht="19.5" x14ac:dyDescent="0.4">
      <c r="A343" s="117"/>
      <c r="B343" s="123"/>
      <c r="C343" s="123"/>
      <c r="D343" s="123"/>
      <c r="Q343" s="26"/>
      <c r="R343" s="13"/>
      <c r="S343" s="115"/>
      <c r="T343" s="115"/>
      <c r="U343" s="115"/>
      <c r="V343" s="115"/>
      <c r="W343" s="115"/>
      <c r="X343" s="115"/>
      <c r="Y343" s="115"/>
      <c r="Z343" s="115"/>
      <c r="AA343" s="115"/>
      <c r="AB343" s="25">
        <v>45682</v>
      </c>
      <c r="AC343" s="13" t="s">
        <v>147</v>
      </c>
      <c r="AH343" s="117"/>
      <c r="AI343" s="123"/>
      <c r="AJ343" s="123"/>
      <c r="AK343" s="123"/>
      <c r="AP343" s="115"/>
      <c r="AQ343" s="115"/>
      <c r="AR343" s="115"/>
      <c r="AS343" s="115"/>
      <c r="AT343" s="115"/>
      <c r="AU343" s="115"/>
      <c r="AV343" s="115"/>
      <c r="AW343" s="115"/>
      <c r="AX343" s="115"/>
      <c r="AY343" s="115"/>
      <c r="AZ343" s="13"/>
      <c r="BA343" s="13"/>
      <c r="BD343" s="114"/>
    </row>
    <row r="344" spans="1:56" ht="19.5" x14ac:dyDescent="0.4">
      <c r="A344" s="117"/>
      <c r="B344" s="123"/>
      <c r="C344" s="123"/>
      <c r="D344" s="123"/>
      <c r="J344" s="115"/>
      <c r="K344" s="115"/>
      <c r="L344" s="115"/>
      <c r="M344" s="115"/>
      <c r="N344" s="115"/>
      <c r="O344" s="115"/>
      <c r="P344" s="115"/>
      <c r="Q344" s="17"/>
      <c r="R344" s="13"/>
      <c r="S344" s="115"/>
      <c r="T344" s="115"/>
      <c r="U344" s="115"/>
      <c r="V344" s="115"/>
      <c r="W344" s="115"/>
      <c r="X344" s="115"/>
      <c r="Y344" s="115"/>
      <c r="Z344" s="115"/>
      <c r="AA344" s="115"/>
      <c r="AB344" s="25"/>
      <c r="AC344" s="13"/>
      <c r="AH344" s="117"/>
      <c r="AI344" s="123"/>
      <c r="AJ344" s="123"/>
      <c r="AK344" s="123"/>
      <c r="AP344" s="115"/>
      <c r="AQ344" s="115"/>
      <c r="AR344" s="115"/>
      <c r="AS344" s="115"/>
      <c r="AT344" s="115"/>
      <c r="AU344" s="115"/>
      <c r="AV344" s="115"/>
      <c r="AW344" s="115"/>
      <c r="AX344" s="115"/>
      <c r="AY344" s="115"/>
      <c r="AZ344" s="13"/>
      <c r="BA344" s="13"/>
      <c r="BD344" s="114"/>
    </row>
    <row r="345" spans="1:56" ht="19.5" x14ac:dyDescent="0.4">
      <c r="A345" s="117"/>
      <c r="B345" s="123"/>
      <c r="C345" s="123"/>
      <c r="D345" s="123"/>
      <c r="J345" s="115"/>
      <c r="K345" s="115"/>
      <c r="L345" s="115"/>
      <c r="M345" s="115"/>
      <c r="N345" s="115"/>
      <c r="O345" s="115"/>
      <c r="P345" s="115"/>
      <c r="Q345" s="17"/>
      <c r="R345" s="13"/>
      <c r="S345" s="115"/>
      <c r="T345" s="115"/>
      <c r="U345" s="115"/>
      <c r="V345" s="115"/>
      <c r="W345" s="115"/>
      <c r="X345" s="115"/>
      <c r="Y345" s="115"/>
      <c r="Z345" s="115"/>
      <c r="AA345" s="115"/>
      <c r="AB345" s="25"/>
      <c r="AC345" s="13"/>
      <c r="AH345" s="117"/>
      <c r="AI345" s="123"/>
      <c r="AJ345" s="123"/>
      <c r="AK345" s="123"/>
      <c r="AP345" s="115"/>
      <c r="AQ345" s="115"/>
      <c r="AR345" s="115"/>
      <c r="AS345" s="115"/>
      <c r="AT345" s="115"/>
      <c r="AU345" s="115"/>
      <c r="AV345" s="115"/>
      <c r="AW345" s="115"/>
      <c r="AX345" s="115"/>
      <c r="AY345" s="115"/>
      <c r="AZ345" s="13"/>
      <c r="BA345" s="13"/>
      <c r="BD345" s="114"/>
    </row>
    <row r="346" spans="1:56" ht="19.5" x14ac:dyDescent="0.4">
      <c r="A346" s="117"/>
      <c r="B346" s="123"/>
      <c r="C346" s="123"/>
      <c r="D346" s="123"/>
      <c r="Q346" s="129"/>
      <c r="R346" s="13"/>
      <c r="S346" s="115"/>
      <c r="T346" s="115"/>
      <c r="U346" s="115"/>
      <c r="V346" s="115"/>
      <c r="W346" s="115"/>
      <c r="X346" s="115"/>
      <c r="Y346" s="115"/>
      <c r="Z346" s="115"/>
      <c r="AA346" s="115"/>
      <c r="AB346" s="25"/>
      <c r="AC346" s="13"/>
      <c r="AH346" s="117"/>
      <c r="AI346" s="123"/>
      <c r="AJ346" s="123"/>
      <c r="AK346" s="123"/>
      <c r="AP346" s="115"/>
      <c r="AQ346" s="115"/>
      <c r="AR346" s="115"/>
      <c r="AS346" s="115"/>
      <c r="AT346" s="115"/>
      <c r="AU346" s="115"/>
      <c r="AV346" s="115"/>
      <c r="AW346" s="115"/>
      <c r="AX346" s="115"/>
      <c r="AY346" s="115"/>
      <c r="AZ346" s="13"/>
      <c r="BA346" s="13"/>
      <c r="BD346" s="114"/>
    </row>
    <row r="347" spans="1:56" ht="19.5" x14ac:dyDescent="0.4">
      <c r="A347" s="117"/>
      <c r="B347" s="123"/>
      <c r="C347" s="123"/>
      <c r="D347" s="123"/>
      <c r="Q347" s="26"/>
      <c r="R347" s="13"/>
      <c r="S347" s="115"/>
      <c r="T347" s="115"/>
      <c r="U347" s="115"/>
      <c r="V347" s="115"/>
      <c r="W347" s="115"/>
      <c r="X347" s="115"/>
      <c r="Y347" s="115"/>
      <c r="Z347" s="115"/>
      <c r="AA347" s="115"/>
      <c r="AB347" s="25"/>
      <c r="AC347" s="13"/>
      <c r="AH347" s="117"/>
      <c r="AI347" s="123"/>
      <c r="AJ347" s="123"/>
      <c r="AK347" s="123"/>
      <c r="AP347" s="115"/>
      <c r="AQ347" s="115"/>
      <c r="AR347" s="115"/>
      <c r="AS347" s="115"/>
      <c r="AT347" s="115"/>
      <c r="AU347" s="115"/>
      <c r="AV347" s="115"/>
      <c r="AW347" s="115"/>
      <c r="AX347" s="115"/>
      <c r="AY347" s="115"/>
      <c r="AZ347" s="13"/>
      <c r="BA347" s="13"/>
      <c r="BD347" s="114"/>
    </row>
    <row r="348" spans="1:56" ht="19.5" x14ac:dyDescent="0.4">
      <c r="A348" s="117"/>
      <c r="B348" s="123"/>
      <c r="C348" s="123"/>
      <c r="D348" s="123"/>
      <c r="Q348" s="26"/>
      <c r="R348" s="13"/>
      <c r="AB348" s="25">
        <v>45682</v>
      </c>
      <c r="AC348" s="15" t="s">
        <v>146</v>
      </c>
      <c r="AH348" s="117"/>
      <c r="AI348" s="123"/>
      <c r="AJ348" s="123"/>
      <c r="AK348" s="123"/>
      <c r="AP348" s="115"/>
      <c r="AQ348" s="115"/>
      <c r="AR348" s="115"/>
      <c r="AS348" s="115"/>
      <c r="AT348" s="115"/>
      <c r="AU348" s="115"/>
      <c r="AV348" s="115"/>
      <c r="AW348" s="115"/>
      <c r="AX348" s="115"/>
      <c r="AY348" s="115"/>
      <c r="AZ348" s="13"/>
      <c r="BA348" s="13"/>
      <c r="BD348" s="114"/>
    </row>
    <row r="349" spans="1:56" ht="19.5" x14ac:dyDescent="0.4">
      <c r="A349" s="117"/>
      <c r="B349" s="123"/>
      <c r="C349" s="123"/>
      <c r="D349" s="123"/>
      <c r="Q349" s="129"/>
      <c r="R349" s="13"/>
      <c r="AB349" s="25"/>
      <c r="AC349" s="15"/>
      <c r="AH349" s="117"/>
      <c r="AI349" s="123"/>
      <c r="AJ349" s="123"/>
      <c r="AK349" s="123"/>
      <c r="AP349" s="115"/>
      <c r="AQ349" s="115"/>
      <c r="AR349" s="115"/>
      <c r="AS349" s="115"/>
      <c r="AT349" s="115"/>
      <c r="AU349" s="115"/>
      <c r="AV349" s="115"/>
      <c r="AW349" s="115"/>
      <c r="AX349" s="115"/>
      <c r="AY349" s="115"/>
      <c r="AZ349" s="13"/>
      <c r="BA349" s="13"/>
      <c r="BD349" s="114"/>
    </row>
    <row r="350" spans="1:56" ht="19.5" x14ac:dyDescent="0.4">
      <c r="A350" s="117"/>
      <c r="B350" s="123"/>
      <c r="C350" s="123"/>
      <c r="D350" s="123"/>
      <c r="Q350" s="26"/>
      <c r="R350" s="13"/>
      <c r="AB350" s="25"/>
      <c r="AC350" s="15"/>
      <c r="AH350" s="117"/>
      <c r="AI350" s="123"/>
      <c r="AJ350" s="123"/>
      <c r="AK350" s="123"/>
      <c r="AP350" s="115"/>
      <c r="AQ350" s="115"/>
      <c r="AR350" s="115"/>
      <c r="AS350" s="115"/>
      <c r="AT350" s="115"/>
      <c r="AU350" s="115"/>
      <c r="AV350" s="115"/>
      <c r="AW350" s="115"/>
      <c r="AX350" s="115"/>
      <c r="AY350" s="115"/>
      <c r="AZ350" s="13"/>
      <c r="BA350" s="13"/>
      <c r="BD350" s="114"/>
    </row>
    <row r="351" spans="1:56" ht="19.5" x14ac:dyDescent="0.4">
      <c r="A351" s="117"/>
      <c r="B351" s="123"/>
      <c r="C351" s="123"/>
      <c r="D351" s="123"/>
      <c r="I351" s="115"/>
      <c r="J351" s="115"/>
      <c r="K351" s="115"/>
      <c r="L351" s="115"/>
      <c r="M351" s="115"/>
      <c r="N351" s="115"/>
      <c r="O351" s="115"/>
      <c r="P351" s="115"/>
      <c r="Q351" s="26"/>
      <c r="R351" s="13"/>
      <c r="AB351" s="25"/>
      <c r="AC351" s="15"/>
      <c r="AH351" s="117"/>
      <c r="AI351" s="123"/>
      <c r="AJ351" s="123"/>
      <c r="AK351" s="123"/>
      <c r="AP351" s="115"/>
      <c r="AQ351" s="115"/>
      <c r="AR351" s="115"/>
      <c r="AS351" s="115"/>
      <c r="AT351" s="115"/>
      <c r="AU351" s="115"/>
      <c r="AV351" s="115"/>
      <c r="AW351" s="115"/>
      <c r="AX351" s="115"/>
      <c r="AY351" s="115"/>
      <c r="AZ351" s="13"/>
      <c r="BA351" s="13"/>
      <c r="BD351" s="114"/>
    </row>
    <row r="352" spans="1:56" ht="19.5" x14ac:dyDescent="0.4">
      <c r="A352" s="117"/>
      <c r="B352" s="123"/>
      <c r="C352" s="123"/>
      <c r="D352" s="123"/>
      <c r="Q352" s="26"/>
      <c r="R352" s="13"/>
      <c r="S352" s="115"/>
      <c r="T352" s="115"/>
      <c r="U352" s="115"/>
      <c r="V352" s="115"/>
      <c r="W352" s="115"/>
      <c r="X352" s="115"/>
      <c r="Y352" s="115"/>
      <c r="Z352" s="115"/>
      <c r="AA352" s="115"/>
      <c r="AB352" s="25">
        <v>45682</v>
      </c>
      <c r="AC352" s="15" t="s">
        <v>146</v>
      </c>
      <c r="AH352" s="117"/>
      <c r="AI352" s="123"/>
      <c r="AJ352" s="123"/>
      <c r="AK352" s="123"/>
      <c r="AP352" s="115"/>
      <c r="AQ352" s="115"/>
      <c r="AR352" s="115"/>
      <c r="AS352" s="115"/>
      <c r="AT352" s="115"/>
      <c r="AU352" s="115"/>
      <c r="AV352" s="115"/>
      <c r="AW352" s="115"/>
      <c r="AX352" s="115"/>
      <c r="AY352" s="115"/>
      <c r="AZ352" s="13"/>
      <c r="BA352" s="13"/>
      <c r="BD352" s="114"/>
    </row>
    <row r="353" spans="1:56" ht="19.5" x14ac:dyDescent="0.4">
      <c r="A353" s="117"/>
      <c r="B353" s="123"/>
      <c r="C353" s="123"/>
      <c r="D353" s="123"/>
      <c r="Q353" s="129"/>
      <c r="R353" s="13"/>
      <c r="S353" s="115"/>
      <c r="T353" s="115"/>
      <c r="U353" s="115"/>
      <c r="V353" s="115"/>
      <c r="W353" s="115"/>
      <c r="X353" s="115"/>
      <c r="Y353" s="115"/>
      <c r="Z353" s="115"/>
      <c r="AA353" s="115"/>
      <c r="AB353" s="25"/>
      <c r="AC353" s="15"/>
      <c r="AH353" s="117"/>
      <c r="AI353" s="123"/>
      <c r="AJ353" s="123"/>
      <c r="AK353" s="123"/>
      <c r="AP353" s="115"/>
      <c r="AQ353" s="115"/>
      <c r="AR353" s="115"/>
      <c r="AS353" s="115"/>
      <c r="AT353" s="115"/>
      <c r="AU353" s="115"/>
      <c r="AV353" s="115"/>
      <c r="AW353" s="115"/>
      <c r="AX353" s="115"/>
      <c r="AY353" s="115"/>
      <c r="AZ353" s="13"/>
      <c r="BA353" s="13"/>
      <c r="BD353" s="114"/>
    </row>
    <row r="354" spans="1:56" ht="19.5" x14ac:dyDescent="0.4">
      <c r="A354" s="117"/>
      <c r="B354" s="123"/>
      <c r="C354" s="123"/>
      <c r="D354" s="123"/>
      <c r="Q354" s="26"/>
      <c r="R354" s="13"/>
      <c r="S354" s="115"/>
      <c r="T354" s="115"/>
      <c r="U354" s="115"/>
      <c r="V354" s="115"/>
      <c r="W354" s="115"/>
      <c r="X354" s="115"/>
      <c r="Y354" s="115"/>
      <c r="Z354" s="115"/>
      <c r="AA354" s="115"/>
      <c r="AB354" s="25">
        <v>45682</v>
      </c>
      <c r="AC354" s="15" t="s">
        <v>148</v>
      </c>
      <c r="AH354" s="117"/>
      <c r="AI354" s="123"/>
      <c r="AJ354" s="123"/>
      <c r="AK354" s="123"/>
      <c r="AP354" s="115"/>
      <c r="AQ354" s="115"/>
      <c r="AR354" s="115"/>
      <c r="AS354" s="115"/>
      <c r="AT354" s="115"/>
      <c r="AU354" s="115"/>
      <c r="AV354" s="115"/>
      <c r="AW354" s="115"/>
      <c r="AX354" s="115"/>
      <c r="AY354" s="115"/>
      <c r="AZ354" s="13"/>
      <c r="BA354" s="13"/>
      <c r="BD354" s="114"/>
    </row>
    <row r="355" spans="1:56" ht="19.5" x14ac:dyDescent="0.4">
      <c r="A355" s="117"/>
      <c r="B355" s="123"/>
      <c r="C355" s="123"/>
      <c r="D355" s="123"/>
      <c r="Q355" s="26"/>
      <c r="R355" s="13"/>
      <c r="S355" s="115"/>
      <c r="T355" s="115"/>
      <c r="U355" s="115"/>
      <c r="V355" s="115"/>
      <c r="W355" s="115"/>
      <c r="X355" s="115"/>
      <c r="Y355" s="115"/>
      <c r="Z355" s="115"/>
      <c r="AA355" s="115"/>
      <c r="AB355" s="25">
        <v>45682</v>
      </c>
      <c r="AC355" s="15" t="s">
        <v>146</v>
      </c>
      <c r="AH355" s="117"/>
      <c r="AI355" s="123"/>
      <c r="AJ355" s="123"/>
      <c r="AK355" s="123"/>
      <c r="AP355" s="115"/>
      <c r="AQ355" s="115"/>
      <c r="AR355" s="115"/>
      <c r="AS355" s="115"/>
      <c r="AT355" s="115"/>
      <c r="AU355" s="115"/>
      <c r="AV355" s="115"/>
      <c r="AW355" s="115"/>
      <c r="AX355" s="115"/>
      <c r="AY355" s="115"/>
      <c r="AZ355" s="13"/>
      <c r="BA355" s="13"/>
      <c r="BD355" s="114"/>
    </row>
    <row r="356" spans="1:56" ht="19.5" x14ac:dyDescent="0.4">
      <c r="A356" s="117"/>
      <c r="B356" s="123"/>
      <c r="C356" s="123"/>
      <c r="D356" s="123"/>
      <c r="Q356" s="26"/>
      <c r="R356" s="13"/>
      <c r="S356" s="115"/>
      <c r="T356" s="115"/>
      <c r="U356" s="115"/>
      <c r="V356" s="115"/>
      <c r="W356" s="115"/>
      <c r="X356" s="115"/>
      <c r="Y356" s="115"/>
      <c r="Z356" s="115"/>
      <c r="AA356" s="115"/>
      <c r="AB356" s="25">
        <v>45682</v>
      </c>
      <c r="AC356" s="15" t="s">
        <v>148</v>
      </c>
      <c r="AH356" s="117"/>
      <c r="AI356" s="123"/>
      <c r="AJ356" s="123"/>
      <c r="AK356" s="123"/>
      <c r="AP356" s="115"/>
      <c r="AQ356" s="115"/>
      <c r="AR356" s="115"/>
      <c r="AS356" s="115"/>
      <c r="AT356" s="115"/>
      <c r="AU356" s="115"/>
      <c r="AV356" s="115"/>
      <c r="AW356" s="115"/>
      <c r="AX356" s="115"/>
      <c r="AY356" s="115"/>
      <c r="AZ356" s="13"/>
      <c r="BA356" s="13"/>
      <c r="BD356" s="114"/>
    </row>
    <row r="357" spans="1:56" ht="19.5" x14ac:dyDescent="0.4">
      <c r="A357" s="117"/>
      <c r="B357" s="123"/>
      <c r="C357" s="123"/>
      <c r="D357" s="123"/>
      <c r="I357" s="115"/>
      <c r="J357" s="115"/>
      <c r="K357" s="115"/>
      <c r="L357" s="115"/>
      <c r="M357" s="115"/>
      <c r="N357" s="115"/>
      <c r="O357" s="115"/>
      <c r="P357" s="115"/>
      <c r="Q357" s="26"/>
      <c r="R357" s="13"/>
      <c r="S357" s="115"/>
      <c r="T357" s="115"/>
      <c r="U357" s="115"/>
      <c r="V357" s="115"/>
      <c r="W357" s="115"/>
      <c r="X357" s="115"/>
      <c r="Y357" s="115"/>
      <c r="Z357" s="115"/>
      <c r="AA357" s="115"/>
      <c r="AB357" s="25"/>
      <c r="AC357" s="15"/>
      <c r="AH357" s="117"/>
      <c r="AI357" s="123"/>
      <c r="AJ357" s="123"/>
      <c r="AK357" s="123"/>
      <c r="AP357" s="115"/>
      <c r="AQ357" s="115"/>
      <c r="AR357" s="115"/>
      <c r="AS357" s="115"/>
      <c r="AT357" s="115"/>
      <c r="AU357" s="115"/>
      <c r="AV357" s="115"/>
      <c r="AW357" s="115"/>
      <c r="AX357" s="115"/>
      <c r="AY357" s="115"/>
      <c r="AZ357" s="13"/>
      <c r="BA357" s="13"/>
      <c r="BD357" s="114"/>
    </row>
    <row r="358" spans="1:56" ht="19.5" x14ac:dyDescent="0.4">
      <c r="A358" s="117"/>
      <c r="B358" s="123"/>
      <c r="C358" s="123"/>
      <c r="D358" s="123"/>
      <c r="Q358" s="26"/>
      <c r="R358" s="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25">
        <v>45682</v>
      </c>
      <c r="AC358" s="15" t="s">
        <v>148</v>
      </c>
      <c r="AH358" s="117"/>
      <c r="AI358" s="123"/>
      <c r="AJ358" s="123"/>
      <c r="AK358" s="123"/>
      <c r="AP358" s="115"/>
      <c r="AQ358" s="115"/>
      <c r="AR358" s="115"/>
      <c r="AS358" s="115"/>
      <c r="AT358" s="115"/>
      <c r="AU358" s="115"/>
      <c r="AV358" s="115"/>
      <c r="AW358" s="115"/>
      <c r="AX358" s="115"/>
      <c r="AY358" s="115"/>
      <c r="AZ358" s="13"/>
      <c r="BA358" s="13"/>
      <c r="BD358" s="114"/>
    </row>
    <row r="359" spans="1:56" ht="19.5" x14ac:dyDescent="0.4">
      <c r="A359" s="117"/>
      <c r="B359" s="123"/>
      <c r="C359" s="123"/>
      <c r="D359" s="123"/>
      <c r="Q359" s="26"/>
      <c r="R359" s="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25">
        <v>45682</v>
      </c>
      <c r="AC359" s="105" t="s">
        <v>148</v>
      </c>
      <c r="AH359" s="117"/>
      <c r="AI359" s="123"/>
      <c r="AJ359" s="123"/>
      <c r="AK359" s="123"/>
      <c r="AP359" s="115"/>
      <c r="AQ359" s="115"/>
      <c r="AR359" s="115"/>
      <c r="AS359" s="115"/>
      <c r="AT359" s="115"/>
      <c r="AU359" s="115"/>
      <c r="AV359" s="115"/>
      <c r="AW359" s="115"/>
      <c r="AX359" s="115"/>
      <c r="AY359" s="115"/>
      <c r="AZ359" s="13"/>
      <c r="BA359" s="13"/>
      <c r="BD359" s="114"/>
    </row>
    <row r="360" spans="1:56" ht="19.5" x14ac:dyDescent="0.4">
      <c r="A360" s="117"/>
      <c r="B360" s="123"/>
      <c r="C360" s="123"/>
      <c r="D360" s="123"/>
      <c r="Q360" s="26"/>
      <c r="R360" s="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25">
        <v>45682</v>
      </c>
      <c r="AC360" s="105" t="s">
        <v>146</v>
      </c>
      <c r="AH360" s="117"/>
      <c r="AI360" s="123"/>
      <c r="AJ360" s="123"/>
      <c r="AK360" s="123"/>
      <c r="AP360" s="115"/>
      <c r="AQ360" s="115"/>
      <c r="AR360" s="115"/>
      <c r="AS360" s="115"/>
      <c r="AT360" s="115"/>
      <c r="AU360" s="115"/>
      <c r="AV360" s="115"/>
      <c r="AW360" s="115"/>
      <c r="AX360" s="115"/>
      <c r="AY360" s="115"/>
      <c r="AZ360" s="13"/>
      <c r="BA360" s="13"/>
      <c r="BD360" s="114"/>
    </row>
    <row r="361" spans="1:56" ht="19.5" x14ac:dyDescent="0.4">
      <c r="A361" s="117"/>
      <c r="B361" s="123"/>
      <c r="C361" s="123"/>
      <c r="D361" s="123"/>
      <c r="Q361" s="129"/>
      <c r="R361" s="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25"/>
      <c r="AC361" s="105"/>
      <c r="AH361" s="117"/>
      <c r="AI361" s="123"/>
      <c r="AJ361" s="123"/>
      <c r="AK361" s="123"/>
      <c r="AP361" s="115"/>
      <c r="AQ361" s="115"/>
      <c r="AR361" s="115"/>
      <c r="AS361" s="115"/>
      <c r="AT361" s="115"/>
      <c r="AU361" s="115"/>
      <c r="AV361" s="115"/>
      <c r="AW361" s="115"/>
      <c r="AX361" s="115"/>
      <c r="AY361" s="115"/>
      <c r="AZ361" s="13"/>
      <c r="BA361" s="13"/>
      <c r="BD361" s="114"/>
    </row>
    <row r="362" spans="1:56" ht="19.5" x14ac:dyDescent="0.4">
      <c r="A362" s="117"/>
      <c r="B362" s="123"/>
      <c r="C362" s="123"/>
      <c r="D362" s="123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26"/>
      <c r="R362" s="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25">
        <v>45682</v>
      </c>
      <c r="AC362" s="15" t="s">
        <v>146</v>
      </c>
      <c r="AH362" s="117"/>
      <c r="AI362" s="123"/>
      <c r="AJ362" s="123"/>
      <c r="AK362" s="123"/>
      <c r="AP362" s="115"/>
      <c r="AQ362" s="115"/>
      <c r="AR362" s="115"/>
      <c r="AS362" s="115"/>
      <c r="AT362" s="115"/>
      <c r="AU362" s="115"/>
      <c r="AV362" s="115"/>
      <c r="AW362" s="115"/>
      <c r="AX362" s="115"/>
      <c r="AY362" s="115"/>
      <c r="AZ362" s="13"/>
      <c r="BA362" s="13"/>
      <c r="BD362" s="114"/>
    </row>
    <row r="363" spans="1:56" ht="19.5" x14ac:dyDescent="0.4">
      <c r="A363" s="117"/>
      <c r="B363" s="123"/>
      <c r="C363" s="123"/>
      <c r="D363" s="123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26"/>
      <c r="R363" s="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25">
        <v>45683</v>
      </c>
      <c r="AC363" s="13" t="s">
        <v>147</v>
      </c>
      <c r="AH363" s="117"/>
      <c r="AI363" s="123"/>
      <c r="AJ363" s="123"/>
      <c r="AK363" s="123"/>
      <c r="AP363" s="115"/>
      <c r="AQ363" s="115"/>
      <c r="AR363" s="115"/>
      <c r="AS363" s="115"/>
      <c r="AT363" s="115"/>
      <c r="AU363" s="115"/>
      <c r="AV363" s="115"/>
      <c r="AW363" s="115"/>
      <c r="AX363" s="115"/>
      <c r="AY363" s="115"/>
      <c r="AZ363" s="13"/>
      <c r="BA363" s="13"/>
      <c r="BD363" s="114"/>
    </row>
    <row r="364" spans="1:56" ht="19.5" x14ac:dyDescent="0.4">
      <c r="A364" s="117"/>
      <c r="B364" s="123"/>
      <c r="C364" s="123"/>
      <c r="D364" s="123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26"/>
      <c r="R364" s="13"/>
      <c r="S364" s="115"/>
      <c r="T364" s="115"/>
      <c r="U364" s="115"/>
      <c r="V364" s="115"/>
      <c r="W364" s="115"/>
      <c r="X364" s="115"/>
      <c r="Y364" s="115"/>
      <c r="Z364" s="115"/>
      <c r="AA364" s="115"/>
      <c r="AB364" s="25">
        <v>45683</v>
      </c>
      <c r="AC364" s="13" t="s">
        <v>147</v>
      </c>
      <c r="AH364" s="117"/>
      <c r="AI364" s="123"/>
      <c r="AJ364" s="123"/>
      <c r="AK364" s="123"/>
      <c r="AP364" s="115"/>
      <c r="AQ364" s="115"/>
      <c r="AR364" s="115"/>
      <c r="AS364" s="115"/>
      <c r="AT364" s="115"/>
      <c r="AU364" s="115"/>
      <c r="AV364" s="115"/>
      <c r="AW364" s="115"/>
      <c r="AX364" s="115"/>
      <c r="AY364" s="115"/>
      <c r="AZ364" s="13"/>
      <c r="BA364" s="13"/>
      <c r="BD364" s="114"/>
    </row>
    <row r="365" spans="1:56" ht="19.5" x14ac:dyDescent="0.4">
      <c r="A365" s="117"/>
      <c r="B365" s="123"/>
      <c r="C365" s="123"/>
      <c r="D365" s="123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26"/>
      <c r="R365" s="13"/>
      <c r="S365" s="115"/>
      <c r="T365" s="115"/>
      <c r="U365" s="115"/>
      <c r="V365" s="115"/>
      <c r="W365" s="115"/>
      <c r="X365" s="115"/>
      <c r="Y365" s="115"/>
      <c r="Z365" s="115"/>
      <c r="AA365" s="115"/>
      <c r="AB365" s="25"/>
      <c r="AC365" s="13"/>
      <c r="AH365" s="117"/>
      <c r="AI365" s="123"/>
      <c r="AJ365" s="123"/>
      <c r="AK365" s="123"/>
      <c r="AP365" s="115"/>
      <c r="AQ365" s="115"/>
      <c r="AR365" s="115"/>
      <c r="AS365" s="115"/>
      <c r="AT365" s="115"/>
      <c r="AU365" s="115"/>
      <c r="AV365" s="115"/>
      <c r="AW365" s="115"/>
      <c r="AX365" s="115"/>
      <c r="AY365" s="115"/>
      <c r="AZ365" s="13"/>
      <c r="BA365" s="13"/>
      <c r="BD365" s="114"/>
    </row>
    <row r="366" spans="1:56" ht="19.5" x14ac:dyDescent="0.4">
      <c r="A366" s="117"/>
      <c r="B366" s="123"/>
      <c r="C366" s="123"/>
      <c r="D366" s="123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26"/>
      <c r="R366" s="13"/>
      <c r="S366" s="115"/>
      <c r="T366" s="115"/>
      <c r="U366" s="115"/>
      <c r="V366" s="115"/>
      <c r="W366" s="115"/>
      <c r="X366" s="115"/>
      <c r="Y366" s="115"/>
      <c r="Z366" s="115"/>
      <c r="AA366" s="115"/>
      <c r="AB366" s="25">
        <v>45684</v>
      </c>
      <c r="AC366" s="13" t="s">
        <v>146</v>
      </c>
      <c r="AH366" s="117"/>
      <c r="AI366" s="123"/>
      <c r="AJ366" s="123"/>
      <c r="AK366" s="123"/>
      <c r="AP366" s="115"/>
      <c r="AQ366" s="115"/>
      <c r="AR366" s="115"/>
      <c r="AS366" s="115"/>
      <c r="AT366" s="115"/>
      <c r="AU366" s="115"/>
      <c r="AV366" s="115"/>
      <c r="AW366" s="115"/>
      <c r="AX366" s="115"/>
      <c r="AY366" s="115"/>
      <c r="AZ366" s="13"/>
      <c r="BA366" s="13"/>
      <c r="BD366" s="114"/>
    </row>
    <row r="367" spans="1:56" ht="19.5" x14ac:dyDescent="0.4">
      <c r="A367" s="117"/>
      <c r="B367" s="123"/>
      <c r="C367" s="123"/>
      <c r="D367" s="123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26"/>
      <c r="R367" s="13"/>
      <c r="S367" s="115"/>
      <c r="T367" s="115"/>
      <c r="U367" s="115"/>
      <c r="V367" s="115"/>
      <c r="W367" s="115"/>
      <c r="X367" s="115"/>
      <c r="Y367" s="115"/>
      <c r="Z367" s="115"/>
      <c r="AA367" s="115"/>
      <c r="AB367" s="25"/>
      <c r="AC367" s="13"/>
      <c r="AH367" s="117"/>
      <c r="AI367" s="123"/>
      <c r="AJ367" s="123"/>
      <c r="AK367" s="123"/>
      <c r="AP367" s="115"/>
      <c r="AQ367" s="115"/>
      <c r="AR367" s="115"/>
      <c r="AS367" s="115"/>
      <c r="AT367" s="115"/>
      <c r="AU367" s="115"/>
      <c r="AV367" s="115"/>
      <c r="AW367" s="115"/>
      <c r="AX367" s="115"/>
      <c r="AY367" s="115"/>
      <c r="AZ367" s="13"/>
      <c r="BA367" s="13"/>
      <c r="BD367" s="114"/>
    </row>
    <row r="368" spans="1:56" ht="19.5" x14ac:dyDescent="0.4">
      <c r="A368" s="117"/>
      <c r="B368" s="123"/>
      <c r="C368" s="123"/>
      <c r="D368" s="123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29"/>
      <c r="R368" s="13"/>
      <c r="S368" s="115"/>
      <c r="T368" s="115"/>
      <c r="U368" s="115"/>
      <c r="V368" s="115"/>
      <c r="W368" s="115"/>
      <c r="X368" s="115"/>
      <c r="Y368" s="115"/>
      <c r="Z368" s="115"/>
      <c r="AA368" s="115"/>
      <c r="AB368" s="25"/>
      <c r="AC368" s="13"/>
      <c r="AH368" s="117"/>
      <c r="AI368" s="123"/>
      <c r="AJ368" s="123"/>
      <c r="AK368" s="123"/>
      <c r="AP368" s="115"/>
      <c r="AQ368" s="115"/>
      <c r="AR368" s="115"/>
      <c r="AS368" s="115"/>
      <c r="AT368" s="115"/>
      <c r="AU368" s="115"/>
      <c r="AV368" s="115"/>
      <c r="AW368" s="115"/>
      <c r="AX368" s="115"/>
      <c r="AY368" s="115"/>
      <c r="AZ368" s="13"/>
      <c r="BA368" s="13"/>
      <c r="BD368" s="114"/>
    </row>
    <row r="369" spans="1:56" ht="19.5" x14ac:dyDescent="0.4">
      <c r="A369" s="117"/>
      <c r="B369" s="123"/>
      <c r="C369" s="123"/>
      <c r="D369" s="123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26"/>
      <c r="R369" s="13"/>
      <c r="S369" s="115"/>
      <c r="T369" s="115"/>
      <c r="U369" s="115"/>
      <c r="V369" s="115"/>
      <c r="W369" s="115"/>
      <c r="X369" s="115"/>
      <c r="Y369" s="115"/>
      <c r="Z369" s="115"/>
      <c r="AA369" s="115"/>
      <c r="AB369" s="25">
        <v>45684</v>
      </c>
      <c r="AC369" s="13" t="s">
        <v>148</v>
      </c>
      <c r="AH369" s="117"/>
      <c r="AI369" s="123"/>
      <c r="AJ369" s="123"/>
      <c r="AK369" s="123"/>
      <c r="AP369" s="115"/>
      <c r="AQ369" s="115"/>
      <c r="AR369" s="115"/>
      <c r="AS369" s="115"/>
      <c r="AT369" s="115"/>
      <c r="AU369" s="115"/>
      <c r="AV369" s="115"/>
      <c r="AW369" s="115"/>
      <c r="AX369" s="115"/>
      <c r="AY369" s="115"/>
      <c r="AZ369" s="13"/>
      <c r="BA369" s="13"/>
      <c r="BD369" s="114"/>
    </row>
    <row r="370" spans="1:56" ht="19.5" x14ac:dyDescent="0.4">
      <c r="A370" s="117"/>
      <c r="B370" s="123"/>
      <c r="C370" s="123"/>
      <c r="D370" s="123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26"/>
      <c r="R370" s="13"/>
      <c r="S370" s="115"/>
      <c r="T370" s="115"/>
      <c r="U370" s="115"/>
      <c r="V370" s="115"/>
      <c r="W370" s="115"/>
      <c r="X370" s="115"/>
      <c r="Y370" s="115"/>
      <c r="Z370" s="115"/>
      <c r="AA370" s="115"/>
      <c r="AB370" s="25"/>
      <c r="AC370" s="13"/>
      <c r="AH370" s="117"/>
      <c r="AI370" s="123"/>
      <c r="AJ370" s="123"/>
      <c r="AK370" s="123"/>
      <c r="AP370" s="115"/>
      <c r="AQ370" s="115"/>
      <c r="AR370" s="115"/>
      <c r="AS370" s="115"/>
      <c r="AT370" s="115"/>
      <c r="AU370" s="115"/>
      <c r="AV370" s="115"/>
      <c r="AW370" s="115"/>
      <c r="AX370" s="115"/>
      <c r="AY370" s="115"/>
      <c r="AZ370" s="13"/>
      <c r="BA370" s="13"/>
      <c r="BD370" s="114"/>
    </row>
    <row r="371" spans="1:56" ht="19.5" x14ac:dyDescent="0.4">
      <c r="A371" s="117"/>
      <c r="B371" s="123"/>
      <c r="C371" s="123"/>
      <c r="D371" s="123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26"/>
      <c r="R371" s="13"/>
      <c r="S371" s="115"/>
      <c r="T371" s="115"/>
      <c r="U371" s="115"/>
      <c r="V371" s="115"/>
      <c r="W371" s="115"/>
      <c r="X371" s="115"/>
      <c r="Y371" s="115"/>
      <c r="Z371" s="115"/>
      <c r="AA371" s="115"/>
      <c r="AB371" s="25"/>
      <c r="AC371" s="13"/>
      <c r="AH371" s="117"/>
      <c r="AI371" s="123"/>
      <c r="AJ371" s="123"/>
      <c r="AK371" s="123"/>
      <c r="AP371" s="115"/>
      <c r="AQ371" s="115"/>
      <c r="AR371" s="115"/>
      <c r="AS371" s="115"/>
      <c r="AT371" s="115"/>
      <c r="AU371" s="115"/>
      <c r="AV371" s="115"/>
      <c r="AW371" s="115"/>
      <c r="AX371" s="115"/>
      <c r="AY371" s="115"/>
      <c r="AZ371" s="13"/>
      <c r="BA371" s="13"/>
      <c r="BD371" s="114"/>
    </row>
    <row r="372" spans="1:56" ht="19.5" x14ac:dyDescent="0.4">
      <c r="A372" s="117"/>
      <c r="B372" s="123"/>
      <c r="C372" s="123"/>
      <c r="D372" s="123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29"/>
      <c r="R372" s="13"/>
      <c r="S372" s="115"/>
      <c r="T372" s="115"/>
      <c r="U372" s="115"/>
      <c r="V372" s="115"/>
      <c r="W372" s="115"/>
      <c r="X372" s="115"/>
      <c r="Y372" s="115"/>
      <c r="Z372" s="115"/>
      <c r="AA372" s="115"/>
      <c r="AB372" s="25"/>
      <c r="AC372" s="13"/>
      <c r="AH372" s="117"/>
      <c r="AI372" s="123"/>
      <c r="AJ372" s="123"/>
      <c r="AK372" s="123"/>
      <c r="AP372" s="115"/>
      <c r="AQ372" s="115"/>
      <c r="AR372" s="115"/>
      <c r="AS372" s="115"/>
      <c r="AT372" s="115"/>
      <c r="AU372" s="115"/>
      <c r="AV372" s="115"/>
      <c r="AW372" s="115"/>
      <c r="AX372" s="115"/>
      <c r="AY372" s="115"/>
      <c r="AZ372" s="13"/>
      <c r="BA372" s="13"/>
      <c r="BD372" s="114"/>
    </row>
    <row r="373" spans="1:56" ht="19.5" x14ac:dyDescent="0.4">
      <c r="A373" s="117"/>
      <c r="B373" s="123"/>
      <c r="C373" s="123"/>
      <c r="D373" s="123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26"/>
      <c r="R373" s="2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25"/>
      <c r="AC373" s="13"/>
      <c r="AH373" s="117"/>
      <c r="AI373" s="123"/>
      <c r="AJ373" s="123"/>
      <c r="AK373" s="123"/>
      <c r="AP373" s="115"/>
      <c r="AQ373" s="115"/>
      <c r="AR373" s="115"/>
      <c r="AS373" s="115"/>
      <c r="AT373" s="115"/>
      <c r="AU373" s="115"/>
      <c r="AV373" s="115"/>
      <c r="AW373" s="115"/>
      <c r="AX373" s="115"/>
      <c r="AY373" s="115"/>
      <c r="AZ373" s="13"/>
      <c r="BA373" s="13"/>
      <c r="BD373" s="114"/>
    </row>
    <row r="374" spans="1:56" ht="19.5" x14ac:dyDescent="0.4">
      <c r="A374" s="117"/>
      <c r="B374" s="123"/>
      <c r="C374" s="123"/>
      <c r="D374" s="123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26"/>
      <c r="R374" s="13"/>
      <c r="S374" s="115"/>
      <c r="T374" s="115"/>
      <c r="U374" s="115"/>
      <c r="V374" s="115"/>
      <c r="W374" s="115"/>
      <c r="X374" s="115"/>
      <c r="Y374" s="115"/>
      <c r="Z374" s="115"/>
      <c r="AA374" s="115"/>
      <c r="AB374" s="25"/>
      <c r="AC374" s="13"/>
      <c r="AH374" s="117"/>
      <c r="AI374" s="123"/>
      <c r="AJ374" s="123"/>
      <c r="AK374" s="123"/>
      <c r="AP374" s="115"/>
      <c r="AQ374" s="115"/>
      <c r="AR374" s="115"/>
      <c r="AS374" s="115"/>
      <c r="AT374" s="115"/>
      <c r="AU374" s="115"/>
      <c r="AV374" s="115"/>
      <c r="AW374" s="115"/>
      <c r="AX374" s="115"/>
      <c r="AY374" s="115"/>
      <c r="AZ374" s="13"/>
      <c r="BA374" s="13"/>
      <c r="BD374" s="114"/>
    </row>
    <row r="375" spans="1:56" ht="19.5" x14ac:dyDescent="0.4">
      <c r="A375" s="117"/>
      <c r="B375" s="123"/>
      <c r="C375" s="123"/>
      <c r="D375" s="123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26"/>
      <c r="R375" s="13"/>
      <c r="S375" s="115"/>
      <c r="T375" s="115"/>
      <c r="U375" s="115"/>
      <c r="V375" s="115"/>
      <c r="W375" s="115"/>
      <c r="X375" s="115"/>
      <c r="Y375" s="115"/>
      <c r="Z375" s="115"/>
      <c r="AA375" s="115"/>
      <c r="AB375" s="25"/>
      <c r="AC375" s="13"/>
      <c r="AH375" s="117"/>
      <c r="AI375" s="123"/>
      <c r="AJ375" s="123"/>
      <c r="AK375" s="123"/>
      <c r="AP375" s="115"/>
      <c r="AQ375" s="115"/>
      <c r="AR375" s="115"/>
      <c r="AS375" s="115"/>
      <c r="AT375" s="115"/>
      <c r="AU375" s="115"/>
      <c r="AV375" s="115"/>
      <c r="AW375" s="115"/>
      <c r="AX375" s="115"/>
      <c r="AY375" s="115"/>
      <c r="AZ375" s="13"/>
      <c r="BA375" s="13"/>
      <c r="BD375" s="114"/>
    </row>
    <row r="376" spans="1:56" ht="19.5" x14ac:dyDescent="0.4">
      <c r="A376" s="117"/>
      <c r="B376" s="123"/>
      <c r="C376" s="123"/>
      <c r="D376" s="123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29"/>
      <c r="R376" s="13"/>
      <c r="S376" s="115"/>
      <c r="T376" s="115"/>
      <c r="U376" s="115"/>
      <c r="V376" s="115"/>
      <c r="W376" s="115"/>
      <c r="X376" s="115"/>
      <c r="Y376" s="115"/>
      <c r="Z376" s="115"/>
      <c r="AA376" s="115"/>
      <c r="AB376" s="25"/>
      <c r="AC376" s="13"/>
      <c r="AH376" s="117"/>
      <c r="AI376" s="123"/>
      <c r="AJ376" s="123"/>
      <c r="AK376" s="123"/>
      <c r="AP376" s="115"/>
      <c r="AQ376" s="115"/>
      <c r="AR376" s="115"/>
      <c r="AS376" s="115"/>
      <c r="AT376" s="115"/>
      <c r="AU376" s="115"/>
      <c r="AV376" s="115"/>
      <c r="AW376" s="115"/>
      <c r="AX376" s="115"/>
      <c r="AY376" s="115"/>
      <c r="AZ376" s="13"/>
      <c r="BA376" s="13"/>
      <c r="BD376" s="114"/>
    </row>
    <row r="377" spans="1:56" ht="19.5" x14ac:dyDescent="0.4">
      <c r="A377" s="117"/>
      <c r="B377" s="123"/>
      <c r="C377" s="123"/>
      <c r="D377" s="123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26"/>
      <c r="R377" s="134"/>
      <c r="S377" s="115"/>
      <c r="T377" s="115"/>
      <c r="U377" s="115"/>
      <c r="V377" s="115"/>
      <c r="W377" s="115"/>
      <c r="X377" s="115"/>
      <c r="Y377" s="115"/>
      <c r="Z377" s="115"/>
      <c r="AA377" s="115"/>
      <c r="AB377" s="25"/>
      <c r="AC377" s="13"/>
      <c r="AH377" s="117"/>
      <c r="AI377" s="123"/>
      <c r="AJ377" s="123"/>
      <c r="AK377" s="123"/>
      <c r="AP377" s="115"/>
      <c r="AQ377" s="115"/>
      <c r="AR377" s="115"/>
      <c r="AS377" s="115"/>
      <c r="AT377" s="115"/>
      <c r="AU377" s="115"/>
      <c r="AV377" s="115"/>
      <c r="AW377" s="115"/>
      <c r="AX377" s="115"/>
      <c r="AY377" s="115"/>
      <c r="AZ377" s="13"/>
      <c r="BA377" s="13"/>
      <c r="BD377" s="114"/>
    </row>
    <row r="378" spans="1:56" ht="19.5" x14ac:dyDescent="0.4">
      <c r="A378" s="117"/>
      <c r="B378" s="123"/>
      <c r="C378" s="123"/>
      <c r="D378" s="123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26"/>
      <c r="R378" s="13"/>
      <c r="S378" s="115"/>
      <c r="T378" s="115"/>
      <c r="U378" s="115"/>
      <c r="V378" s="115"/>
      <c r="W378" s="115"/>
      <c r="X378" s="115"/>
      <c r="Y378" s="115"/>
      <c r="Z378" s="115"/>
      <c r="AA378" s="115"/>
      <c r="AB378" s="25">
        <v>45684</v>
      </c>
      <c r="AC378" s="13" t="s">
        <v>147</v>
      </c>
      <c r="AH378" s="117"/>
      <c r="AI378" s="123"/>
      <c r="AJ378" s="123"/>
      <c r="AK378" s="123"/>
      <c r="AP378" s="115"/>
      <c r="AQ378" s="115"/>
      <c r="AR378" s="115"/>
      <c r="AS378" s="115"/>
      <c r="AT378" s="115"/>
      <c r="AU378" s="115"/>
      <c r="AV378" s="115"/>
      <c r="AW378" s="115"/>
      <c r="AX378" s="115"/>
      <c r="AY378" s="115"/>
      <c r="AZ378" s="13"/>
      <c r="BA378" s="13"/>
      <c r="BD378" s="114"/>
    </row>
    <row r="379" spans="1:56" ht="19.5" x14ac:dyDescent="0.4">
      <c r="A379" s="117"/>
      <c r="B379" s="123"/>
      <c r="C379" s="123"/>
      <c r="D379" s="123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29"/>
      <c r="R379" s="13"/>
      <c r="S379" s="115"/>
      <c r="T379" s="115"/>
      <c r="U379" s="115"/>
      <c r="V379" s="115"/>
      <c r="W379" s="115"/>
      <c r="X379" s="115"/>
      <c r="Y379" s="115"/>
      <c r="Z379" s="115"/>
      <c r="AA379" s="115"/>
      <c r="AB379" s="25"/>
      <c r="AC379" s="13"/>
      <c r="AH379" s="117"/>
      <c r="AI379" s="123"/>
      <c r="AJ379" s="123"/>
      <c r="AK379" s="123"/>
      <c r="AP379" s="115"/>
      <c r="AQ379" s="115"/>
      <c r="AR379" s="115"/>
      <c r="AS379" s="115"/>
      <c r="AT379" s="115"/>
      <c r="AU379" s="115"/>
      <c r="AV379" s="115"/>
      <c r="AW379" s="115"/>
      <c r="AX379" s="115"/>
      <c r="AY379" s="115"/>
      <c r="AZ379" s="13"/>
      <c r="BA379" s="13"/>
      <c r="BD379" s="114"/>
    </row>
    <row r="380" spans="1:56" ht="19.5" x14ac:dyDescent="0.4">
      <c r="A380" s="117"/>
      <c r="B380" s="123"/>
      <c r="C380" s="123"/>
      <c r="D380" s="123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26"/>
      <c r="R380" s="13"/>
      <c r="S380" s="115"/>
      <c r="T380" s="115"/>
      <c r="U380" s="115"/>
      <c r="V380" s="115"/>
      <c r="W380" s="115"/>
      <c r="X380" s="115"/>
      <c r="Y380" s="115"/>
      <c r="Z380" s="115"/>
      <c r="AA380" s="115"/>
      <c r="AB380" s="25"/>
      <c r="AC380" s="13"/>
      <c r="AH380" s="117"/>
      <c r="AI380" s="123"/>
      <c r="AJ380" s="123"/>
      <c r="AK380" s="123"/>
      <c r="AP380" s="115"/>
      <c r="AQ380" s="115"/>
      <c r="AR380" s="115"/>
      <c r="AS380" s="115"/>
      <c r="AT380" s="115"/>
      <c r="AU380" s="115"/>
      <c r="AV380" s="115"/>
      <c r="AW380" s="115"/>
      <c r="AX380" s="115"/>
      <c r="AY380" s="115"/>
      <c r="AZ380" s="13"/>
      <c r="BA380" s="13"/>
      <c r="BD380" s="114"/>
    </row>
    <row r="381" spans="1:56" ht="19.5" x14ac:dyDescent="0.4">
      <c r="A381" s="117"/>
      <c r="B381" s="123"/>
      <c r="C381" s="123"/>
      <c r="D381" s="123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26"/>
      <c r="R381" s="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25">
        <v>45684</v>
      </c>
      <c r="AC381" s="13" t="s">
        <v>146</v>
      </c>
      <c r="AH381" s="117"/>
      <c r="AI381" s="123"/>
      <c r="AJ381" s="123"/>
      <c r="AK381" s="123"/>
      <c r="AP381" s="115"/>
      <c r="AQ381" s="115"/>
      <c r="AR381" s="115"/>
      <c r="AS381" s="115"/>
      <c r="AT381" s="115"/>
      <c r="AU381" s="115"/>
      <c r="AV381" s="115"/>
      <c r="AW381" s="115"/>
      <c r="AX381" s="115"/>
      <c r="AY381" s="115"/>
      <c r="AZ381" s="13"/>
      <c r="BA381" s="13"/>
      <c r="BD381" s="114"/>
    </row>
    <row r="382" spans="1:56" ht="19.5" x14ac:dyDescent="0.4">
      <c r="A382" s="117"/>
      <c r="B382" s="123"/>
      <c r="C382" s="123"/>
      <c r="D382" s="123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29"/>
      <c r="R382" s="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25"/>
      <c r="AC382" s="13"/>
      <c r="AH382" s="117"/>
      <c r="AI382" s="123"/>
      <c r="AJ382" s="123"/>
      <c r="AK382" s="123"/>
      <c r="AP382" s="115"/>
      <c r="AQ382" s="115"/>
      <c r="AR382" s="115"/>
      <c r="AS382" s="115"/>
      <c r="AT382" s="115"/>
      <c r="AU382" s="115"/>
      <c r="AV382" s="115"/>
      <c r="AW382" s="115"/>
      <c r="AX382" s="115"/>
      <c r="AY382" s="115"/>
      <c r="AZ382" s="13"/>
      <c r="BA382" s="13"/>
      <c r="BD382" s="114"/>
    </row>
    <row r="383" spans="1:56" ht="19.5" x14ac:dyDescent="0.4">
      <c r="A383" s="117"/>
      <c r="B383" s="123"/>
      <c r="C383" s="123"/>
      <c r="D383" s="123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26"/>
      <c r="R383" s="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25"/>
      <c r="AC383" s="13"/>
      <c r="AH383" s="117"/>
      <c r="AI383" s="123"/>
      <c r="AJ383" s="123"/>
      <c r="AK383" s="123"/>
      <c r="AP383" s="115"/>
      <c r="AQ383" s="115"/>
      <c r="AR383" s="115"/>
      <c r="AS383" s="115"/>
      <c r="AT383" s="115"/>
      <c r="AU383" s="115"/>
      <c r="AV383" s="115"/>
      <c r="AW383" s="115"/>
      <c r="AX383" s="115"/>
      <c r="AY383" s="115"/>
      <c r="AZ383" s="13"/>
      <c r="BA383" s="13"/>
      <c r="BD383" s="114"/>
    </row>
    <row r="384" spans="1:56" ht="19.5" x14ac:dyDescent="0.4">
      <c r="A384" s="117"/>
      <c r="B384" s="123"/>
      <c r="C384" s="123"/>
      <c r="D384" s="123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29"/>
      <c r="R384" s="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25"/>
      <c r="AC384" s="13"/>
      <c r="AH384" s="117"/>
      <c r="AI384" s="123"/>
      <c r="AJ384" s="123"/>
      <c r="AK384" s="123"/>
      <c r="AP384" s="115"/>
      <c r="AQ384" s="115"/>
      <c r="AR384" s="115"/>
      <c r="AS384" s="115"/>
      <c r="AT384" s="115"/>
      <c r="AU384" s="115"/>
      <c r="AV384" s="115"/>
      <c r="AW384" s="115"/>
      <c r="AX384" s="115"/>
      <c r="AY384" s="115"/>
      <c r="AZ384" s="13"/>
      <c r="BA384" s="13"/>
      <c r="BD384" s="114"/>
    </row>
    <row r="385" spans="1:56" ht="19.5" x14ac:dyDescent="0.4">
      <c r="A385" s="117"/>
      <c r="B385" s="123"/>
      <c r="C385" s="123"/>
      <c r="D385" s="123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26"/>
      <c r="R385" s="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25"/>
      <c r="AC385" s="13"/>
      <c r="AH385" s="117"/>
      <c r="AI385" s="123"/>
      <c r="AJ385" s="123"/>
      <c r="AK385" s="123"/>
      <c r="AP385" s="115"/>
      <c r="AQ385" s="115"/>
      <c r="AR385" s="115"/>
      <c r="AS385" s="115"/>
      <c r="AT385" s="115"/>
      <c r="AU385" s="115"/>
      <c r="AV385" s="115"/>
      <c r="AW385" s="115"/>
      <c r="AX385" s="115"/>
      <c r="AY385" s="115"/>
      <c r="AZ385" s="13"/>
      <c r="BA385" s="13"/>
      <c r="BD385" s="114"/>
    </row>
    <row r="386" spans="1:56" ht="19.5" x14ac:dyDescent="0.4">
      <c r="A386" s="117"/>
      <c r="B386" s="123"/>
      <c r="C386" s="123"/>
      <c r="D386" s="123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29"/>
      <c r="R386" s="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25"/>
      <c r="AC386" s="13"/>
      <c r="AH386" s="117"/>
      <c r="AI386" s="123"/>
      <c r="AJ386" s="123"/>
      <c r="AK386" s="123"/>
      <c r="AP386" s="115"/>
      <c r="AQ386" s="115"/>
      <c r="AR386" s="115"/>
      <c r="AS386" s="115"/>
      <c r="AT386" s="115"/>
      <c r="AU386" s="115"/>
      <c r="AV386" s="115"/>
      <c r="AW386" s="115"/>
      <c r="AX386" s="115"/>
      <c r="AY386" s="115"/>
      <c r="AZ386" s="13"/>
      <c r="BA386" s="13"/>
      <c r="BD386" s="114"/>
    </row>
    <row r="387" spans="1:56" ht="19.5" x14ac:dyDescent="0.4">
      <c r="A387" s="117"/>
      <c r="B387" s="123"/>
      <c r="C387" s="123"/>
      <c r="D387" s="123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29"/>
      <c r="R387" s="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25"/>
      <c r="AC387" s="13"/>
      <c r="AH387" s="117"/>
      <c r="AI387" s="123"/>
      <c r="AJ387" s="123"/>
      <c r="AK387" s="123"/>
      <c r="AP387" s="115"/>
      <c r="AQ387" s="115"/>
      <c r="AR387" s="115"/>
      <c r="AS387" s="115"/>
      <c r="AT387" s="115"/>
      <c r="AU387" s="115"/>
      <c r="AV387" s="115"/>
      <c r="AW387" s="115"/>
      <c r="AX387" s="115"/>
      <c r="AY387" s="115"/>
      <c r="AZ387" s="13"/>
      <c r="BA387" s="13"/>
      <c r="BD387" s="114"/>
    </row>
    <row r="388" spans="1:56" ht="19.5" x14ac:dyDescent="0.4">
      <c r="A388" s="117"/>
      <c r="B388" s="123"/>
      <c r="C388" s="123"/>
      <c r="D388" s="123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26"/>
      <c r="R388" s="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25">
        <v>45684</v>
      </c>
      <c r="AC388" s="13" t="s">
        <v>147</v>
      </c>
      <c r="AH388" s="117"/>
      <c r="AI388" s="123"/>
      <c r="AJ388" s="123"/>
      <c r="AK388" s="123"/>
      <c r="AP388" s="115"/>
      <c r="AQ388" s="115"/>
      <c r="AR388" s="115"/>
      <c r="AS388" s="115"/>
      <c r="AT388" s="115"/>
      <c r="AU388" s="115"/>
      <c r="AV388" s="115"/>
      <c r="AW388" s="115"/>
      <c r="AX388" s="115"/>
      <c r="AY388" s="115"/>
      <c r="AZ388" s="13"/>
      <c r="BA388" s="13"/>
      <c r="BD388" s="114"/>
    </row>
    <row r="389" spans="1:56" ht="19.5" x14ac:dyDescent="0.4">
      <c r="A389" s="117"/>
      <c r="B389" s="123"/>
      <c r="C389" s="123"/>
      <c r="D389" s="123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26"/>
      <c r="R389" s="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25">
        <v>45684</v>
      </c>
      <c r="AC389" s="13" t="s">
        <v>146</v>
      </c>
      <c r="AH389" s="117"/>
      <c r="AI389" s="123"/>
      <c r="AJ389" s="123"/>
      <c r="AK389" s="123"/>
      <c r="AP389" s="115"/>
      <c r="AQ389" s="115"/>
      <c r="AR389" s="115"/>
      <c r="AS389" s="115"/>
      <c r="AT389" s="115"/>
      <c r="AU389" s="115"/>
      <c r="AV389" s="115"/>
      <c r="AW389" s="115"/>
      <c r="AX389" s="115"/>
      <c r="AY389" s="115"/>
      <c r="AZ389" s="13"/>
      <c r="BA389" s="13"/>
      <c r="BD389" s="114"/>
    </row>
    <row r="390" spans="1:56" ht="19.5" x14ac:dyDescent="0.4">
      <c r="A390" s="117"/>
      <c r="B390" s="123"/>
      <c r="C390" s="123"/>
      <c r="D390" s="123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26"/>
      <c r="R390" s="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25">
        <v>45684</v>
      </c>
      <c r="AC390" s="13" t="s">
        <v>146</v>
      </c>
      <c r="AH390" s="117"/>
      <c r="AI390" s="123"/>
      <c r="AJ390" s="123"/>
      <c r="AK390" s="123"/>
      <c r="AP390" s="115"/>
      <c r="AQ390" s="115"/>
      <c r="AR390" s="115"/>
      <c r="AS390" s="115"/>
      <c r="AT390" s="115"/>
      <c r="AU390" s="115"/>
      <c r="AV390" s="115"/>
      <c r="AW390" s="115"/>
      <c r="AX390" s="115"/>
      <c r="AY390" s="115"/>
      <c r="AZ390" s="13"/>
      <c r="BA390" s="13"/>
      <c r="BD390" s="114"/>
    </row>
    <row r="391" spans="1:56" ht="19.5" x14ac:dyDescent="0.4">
      <c r="A391" s="117"/>
      <c r="B391" s="123"/>
      <c r="C391" s="123"/>
      <c r="D391" s="123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20"/>
      <c r="R391" s="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25"/>
      <c r="AC391" s="13"/>
      <c r="AH391" s="117"/>
      <c r="AI391" s="123"/>
      <c r="AJ391" s="123"/>
      <c r="AK391" s="123"/>
      <c r="AP391" s="115"/>
      <c r="AQ391" s="115"/>
      <c r="AR391" s="115"/>
      <c r="AS391" s="115"/>
      <c r="AT391" s="115"/>
      <c r="AU391" s="115"/>
      <c r="AV391" s="115"/>
      <c r="AW391" s="115"/>
      <c r="AX391" s="115"/>
      <c r="AY391" s="115"/>
      <c r="AZ391" s="13"/>
      <c r="BA391" s="13"/>
      <c r="BD391" s="114"/>
    </row>
    <row r="392" spans="1:56" ht="19.5" x14ac:dyDescent="0.4">
      <c r="A392" s="117"/>
      <c r="B392" s="123"/>
      <c r="C392" s="123"/>
      <c r="D392" s="123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20"/>
      <c r="R392" s="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25"/>
      <c r="AC392" s="13"/>
      <c r="AH392" s="117"/>
      <c r="AI392" s="123"/>
      <c r="AJ392" s="123"/>
      <c r="AK392" s="123"/>
      <c r="AP392" s="115"/>
      <c r="AQ392" s="115"/>
      <c r="AR392" s="115"/>
      <c r="AS392" s="115"/>
      <c r="AT392" s="115"/>
      <c r="AU392" s="115"/>
      <c r="AV392" s="115"/>
      <c r="AW392" s="115"/>
      <c r="AX392" s="115"/>
      <c r="AY392" s="115"/>
      <c r="AZ392" s="13"/>
      <c r="BA392" s="13"/>
      <c r="BD392" s="114"/>
    </row>
    <row r="393" spans="1:56" ht="19.5" x14ac:dyDescent="0.4">
      <c r="A393" s="117"/>
      <c r="B393" s="123"/>
      <c r="C393" s="123"/>
      <c r="D393" s="123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25"/>
      <c r="R393" s="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25">
        <v>45684</v>
      </c>
      <c r="AC393" s="13" t="s">
        <v>147</v>
      </c>
      <c r="AH393" s="117"/>
      <c r="AI393" s="123"/>
      <c r="AJ393" s="123"/>
      <c r="AK393" s="123"/>
      <c r="AP393" s="115"/>
      <c r="AQ393" s="115"/>
      <c r="AR393" s="115"/>
      <c r="AS393" s="115"/>
      <c r="AT393" s="115"/>
      <c r="AU393" s="115"/>
      <c r="AV393" s="115"/>
      <c r="AW393" s="115"/>
      <c r="AX393" s="115"/>
      <c r="AY393" s="115"/>
      <c r="AZ393" s="13"/>
      <c r="BA393" s="13"/>
      <c r="BD393" s="114"/>
    </row>
    <row r="394" spans="1:56" ht="19.5" x14ac:dyDescent="0.4">
      <c r="A394" s="117"/>
      <c r="B394" s="123"/>
      <c r="C394" s="123"/>
      <c r="D394" s="123"/>
      <c r="Q394" s="25"/>
      <c r="R394" s="15"/>
      <c r="AB394" s="25">
        <v>45685</v>
      </c>
      <c r="AC394" s="13" t="s">
        <v>146</v>
      </c>
      <c r="AH394" s="117"/>
      <c r="AI394" s="123"/>
      <c r="AJ394" s="123"/>
      <c r="AK394" s="123"/>
      <c r="AP394" s="115"/>
      <c r="AQ394" s="115"/>
      <c r="AR394" s="115"/>
      <c r="AS394" s="115"/>
      <c r="AT394" s="115"/>
      <c r="AU394" s="115"/>
      <c r="AV394" s="115"/>
      <c r="AW394" s="115"/>
      <c r="AX394" s="115"/>
      <c r="AY394" s="115"/>
      <c r="AZ394" s="25">
        <v>45263</v>
      </c>
      <c r="BA394" s="13" t="s">
        <v>162</v>
      </c>
      <c r="BD394" s="114"/>
    </row>
    <row r="395" spans="1:56" ht="19.5" x14ac:dyDescent="0.4">
      <c r="A395" s="117"/>
      <c r="B395" s="123"/>
      <c r="C395" s="123"/>
      <c r="D395" s="123"/>
      <c r="Q395" s="25"/>
      <c r="R395" s="15"/>
      <c r="Y395" s="115"/>
      <c r="Z395" s="115"/>
      <c r="AA395" s="115"/>
      <c r="AB395" s="25">
        <v>45685</v>
      </c>
      <c r="AC395" s="13" t="s">
        <v>147</v>
      </c>
      <c r="AH395" s="117"/>
      <c r="AI395" s="123"/>
      <c r="AJ395" s="123"/>
      <c r="AK395" s="123"/>
      <c r="AP395" s="115"/>
      <c r="AQ395" s="115"/>
      <c r="AR395" s="115"/>
      <c r="AS395" s="115"/>
      <c r="AT395" s="115"/>
      <c r="AU395" s="115"/>
      <c r="AV395" s="115"/>
      <c r="AW395" s="115"/>
      <c r="AX395" s="115"/>
      <c r="AY395" s="115"/>
      <c r="AZ395" s="25"/>
      <c r="BA395" s="13"/>
      <c r="BD395" s="114"/>
    </row>
    <row r="396" spans="1:56" ht="19.5" x14ac:dyDescent="0.4">
      <c r="A396" s="117"/>
      <c r="B396" s="123"/>
      <c r="C396" s="123"/>
      <c r="D396" s="123"/>
      <c r="Q396" s="133"/>
      <c r="R396" s="15"/>
      <c r="Y396" s="115"/>
      <c r="Z396" s="115"/>
      <c r="AA396" s="115"/>
      <c r="AB396" s="25"/>
      <c r="AC396" s="13"/>
      <c r="AH396" s="117"/>
      <c r="AI396" s="123"/>
      <c r="AJ396" s="123"/>
      <c r="AK396" s="123"/>
      <c r="AP396" s="115"/>
      <c r="AQ396" s="115"/>
      <c r="AR396" s="115"/>
      <c r="AS396" s="115"/>
      <c r="AT396" s="115"/>
      <c r="AU396" s="115"/>
      <c r="AV396" s="115"/>
      <c r="AW396" s="115"/>
      <c r="AX396" s="115"/>
      <c r="AY396" s="115"/>
      <c r="AZ396" s="25"/>
      <c r="BA396" s="13"/>
      <c r="BD396" s="114"/>
    </row>
    <row r="397" spans="1:56" ht="19.5" x14ac:dyDescent="0.4">
      <c r="A397" s="117"/>
      <c r="B397" s="123"/>
      <c r="C397" s="123"/>
      <c r="D397" s="123"/>
      <c r="Q397" s="25"/>
      <c r="R397" s="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25">
        <v>45685</v>
      </c>
      <c r="AC397" s="13" t="s">
        <v>147</v>
      </c>
      <c r="AH397" s="117"/>
      <c r="AI397" s="123"/>
      <c r="AJ397" s="123"/>
      <c r="AK397" s="123"/>
      <c r="AP397" s="115"/>
      <c r="AQ397" s="115"/>
      <c r="AR397" s="115"/>
      <c r="AS397" s="115"/>
      <c r="AT397" s="115"/>
      <c r="AU397" s="115"/>
      <c r="AV397" s="115"/>
      <c r="AW397" s="115"/>
      <c r="AX397" s="115"/>
      <c r="AY397" s="115"/>
      <c r="AZ397" s="25"/>
      <c r="BA397" s="13"/>
      <c r="BD397" s="114"/>
    </row>
    <row r="398" spans="1:56" ht="19.5" x14ac:dyDescent="0.4">
      <c r="A398" s="117"/>
      <c r="B398" s="123"/>
      <c r="C398" s="123"/>
      <c r="D398" s="123"/>
      <c r="Q398" s="25"/>
      <c r="R398" s="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25">
        <v>45685</v>
      </c>
      <c r="AC398" s="13" t="s">
        <v>148</v>
      </c>
      <c r="AH398" s="117"/>
      <c r="AI398" s="123"/>
      <c r="AJ398" s="123"/>
      <c r="AK398" s="123"/>
      <c r="AP398" s="115"/>
      <c r="AQ398" s="115"/>
      <c r="AR398" s="115"/>
      <c r="AS398" s="115"/>
      <c r="AT398" s="115"/>
      <c r="AU398" s="115"/>
      <c r="AV398" s="115"/>
      <c r="AW398" s="115"/>
      <c r="AX398" s="115"/>
      <c r="AY398" s="115"/>
      <c r="AZ398" s="25"/>
      <c r="BA398" s="13"/>
      <c r="BD398" s="114"/>
    </row>
    <row r="399" spans="1:56" ht="19.5" x14ac:dyDescent="0.4">
      <c r="A399" s="117"/>
      <c r="B399" s="123"/>
      <c r="C399" s="123"/>
      <c r="D399" s="123"/>
      <c r="Q399" s="25"/>
      <c r="R399" s="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25">
        <v>45685</v>
      </c>
      <c r="AC399" s="13" t="s">
        <v>148</v>
      </c>
      <c r="AH399" s="117"/>
      <c r="AI399" s="123"/>
      <c r="AJ399" s="123"/>
      <c r="AK399" s="123"/>
      <c r="AP399" s="115"/>
      <c r="AQ399" s="115"/>
      <c r="AR399" s="115"/>
      <c r="AS399" s="115"/>
      <c r="AT399" s="115"/>
      <c r="AU399" s="115"/>
      <c r="AV399" s="115"/>
      <c r="AW399" s="115"/>
      <c r="AX399" s="115"/>
      <c r="AY399" s="115"/>
      <c r="AZ399" s="25"/>
      <c r="BA399" s="13"/>
      <c r="BD399" s="114"/>
    </row>
    <row r="400" spans="1:56" ht="19.5" x14ac:dyDescent="0.4">
      <c r="A400" s="117"/>
      <c r="B400" s="123"/>
      <c r="C400" s="123"/>
      <c r="D400" s="123"/>
      <c r="Q400" s="133"/>
      <c r="R400" s="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25"/>
      <c r="AC400" s="13"/>
      <c r="AH400" s="117"/>
      <c r="AI400" s="123"/>
      <c r="AJ400" s="123"/>
      <c r="AK400" s="123"/>
      <c r="AP400" s="115"/>
      <c r="AQ400" s="115"/>
      <c r="AR400" s="115"/>
      <c r="AS400" s="115"/>
      <c r="AT400" s="115"/>
      <c r="AU400" s="115"/>
      <c r="AV400" s="115"/>
      <c r="AW400" s="115"/>
      <c r="AX400" s="115"/>
      <c r="AY400" s="115"/>
      <c r="AZ400" s="25"/>
      <c r="BA400" s="13"/>
      <c r="BD400" s="114"/>
    </row>
    <row r="401" spans="1:56" ht="19.5" x14ac:dyDescent="0.4">
      <c r="A401" s="117"/>
      <c r="B401" s="123"/>
      <c r="C401" s="123"/>
      <c r="D401" s="123"/>
      <c r="H401" s="115"/>
      <c r="I401" s="115"/>
      <c r="J401" s="115"/>
      <c r="K401" s="115"/>
      <c r="L401" s="115"/>
      <c r="M401" s="115"/>
      <c r="N401" s="115"/>
      <c r="O401" s="115"/>
      <c r="P401" s="115"/>
      <c r="Q401" s="25"/>
      <c r="R401" s="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25"/>
      <c r="AC401" s="13"/>
      <c r="AH401" s="117"/>
      <c r="AI401" s="123"/>
      <c r="AJ401" s="123"/>
      <c r="AK401" s="123"/>
      <c r="AP401" s="115"/>
      <c r="AQ401" s="115"/>
      <c r="AR401" s="115"/>
      <c r="AS401" s="115"/>
      <c r="AT401" s="115"/>
      <c r="AU401" s="115"/>
      <c r="AV401" s="115"/>
      <c r="AW401" s="115"/>
      <c r="AX401" s="115"/>
      <c r="AY401" s="115"/>
      <c r="AZ401" s="25"/>
      <c r="BA401" s="13"/>
      <c r="BD401" s="114"/>
    </row>
    <row r="402" spans="1:56" ht="19.5" x14ac:dyDescent="0.4">
      <c r="A402" s="117"/>
      <c r="B402" s="123"/>
      <c r="C402" s="123"/>
      <c r="D402" s="123"/>
      <c r="H402" s="115"/>
      <c r="I402" s="115"/>
      <c r="J402" s="115"/>
      <c r="K402" s="115"/>
      <c r="L402" s="115"/>
      <c r="M402" s="115"/>
      <c r="N402" s="115"/>
      <c r="O402" s="115"/>
      <c r="P402" s="115"/>
      <c r="Q402" s="133"/>
      <c r="R402" s="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25"/>
      <c r="AC402" s="13"/>
      <c r="AH402" s="117"/>
      <c r="AI402" s="123"/>
      <c r="AJ402" s="123"/>
      <c r="AK402" s="123"/>
      <c r="AP402" s="115"/>
      <c r="AQ402" s="115"/>
      <c r="AR402" s="115"/>
      <c r="AS402" s="115"/>
      <c r="AT402" s="115"/>
      <c r="AU402" s="115"/>
      <c r="AV402" s="115"/>
      <c r="AW402" s="115"/>
      <c r="AX402" s="115"/>
      <c r="AY402" s="115"/>
      <c r="AZ402" s="25"/>
      <c r="BA402" s="13"/>
      <c r="BD402" s="114"/>
    </row>
    <row r="403" spans="1:56" ht="19.5" x14ac:dyDescent="0.4">
      <c r="A403" s="117"/>
      <c r="B403" s="123"/>
      <c r="C403" s="123"/>
      <c r="D403" s="123"/>
      <c r="Q403" s="25"/>
      <c r="R403" s="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25">
        <v>45685</v>
      </c>
      <c r="AC403" s="13" t="s">
        <v>148</v>
      </c>
      <c r="AH403" s="117"/>
      <c r="AI403" s="123"/>
      <c r="AJ403" s="123"/>
      <c r="AK403" s="123"/>
      <c r="AP403" s="115"/>
      <c r="AQ403" s="115"/>
      <c r="AR403" s="115"/>
      <c r="AS403" s="115"/>
      <c r="AT403" s="115"/>
      <c r="AU403" s="115"/>
      <c r="AV403" s="115"/>
      <c r="AW403" s="115"/>
      <c r="AX403" s="115"/>
      <c r="AY403" s="115"/>
      <c r="AZ403" s="25"/>
      <c r="BA403" s="13"/>
      <c r="BD403" s="114"/>
    </row>
    <row r="404" spans="1:56" ht="19.5" x14ac:dyDescent="0.4">
      <c r="A404" s="117"/>
      <c r="B404" s="123"/>
      <c r="C404" s="123"/>
      <c r="D404" s="123"/>
      <c r="Q404" s="25"/>
      <c r="R404" s="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25">
        <v>45685</v>
      </c>
      <c r="AC404" s="13" t="s">
        <v>148</v>
      </c>
      <c r="AH404" s="117"/>
      <c r="AI404" s="123"/>
      <c r="AJ404" s="123"/>
      <c r="AK404" s="123"/>
      <c r="AP404" s="115"/>
      <c r="AQ404" s="115"/>
      <c r="AR404" s="115"/>
      <c r="AS404" s="115"/>
      <c r="AT404" s="115"/>
      <c r="AU404" s="115"/>
      <c r="AV404" s="115"/>
      <c r="AW404" s="115"/>
      <c r="AX404" s="115"/>
      <c r="AY404" s="115"/>
      <c r="AZ404" s="25"/>
      <c r="BA404" s="13"/>
      <c r="BD404" s="114"/>
    </row>
    <row r="405" spans="1:56" ht="19.5" x14ac:dyDescent="0.4">
      <c r="A405" s="117"/>
      <c r="B405" s="123"/>
      <c r="C405" s="123"/>
      <c r="D405" s="123"/>
      <c r="Q405" s="25"/>
      <c r="R405" s="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25">
        <v>45685</v>
      </c>
      <c r="AC405" s="13" t="s">
        <v>146</v>
      </c>
      <c r="AH405" s="117"/>
      <c r="AI405" s="123"/>
      <c r="AJ405" s="123"/>
      <c r="AK405" s="123"/>
      <c r="AP405" s="115"/>
      <c r="AQ405" s="115"/>
      <c r="AR405" s="115"/>
      <c r="AS405" s="115"/>
      <c r="AT405" s="115"/>
      <c r="AU405" s="115"/>
      <c r="AV405" s="115"/>
      <c r="AW405" s="115"/>
      <c r="AX405" s="115"/>
      <c r="AY405" s="115"/>
      <c r="AZ405" s="25"/>
      <c r="BA405" s="13"/>
      <c r="BD405" s="114"/>
    </row>
    <row r="406" spans="1:56" ht="19.5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115"/>
      <c r="N406" s="115"/>
      <c r="O406" s="115"/>
      <c r="P406" s="115"/>
      <c r="Q406" s="25"/>
      <c r="R406" s="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25"/>
      <c r="AC406" s="13"/>
      <c r="AH406" s="117"/>
      <c r="AI406" s="123"/>
      <c r="AJ406" s="123"/>
      <c r="AK406" s="123"/>
      <c r="AP406" s="115"/>
      <c r="AQ406" s="115"/>
      <c r="AR406" s="115"/>
      <c r="AS406" s="115"/>
      <c r="AT406" s="115"/>
      <c r="AU406" s="115"/>
      <c r="AV406" s="115"/>
      <c r="AW406" s="115"/>
      <c r="AX406" s="115"/>
      <c r="AY406" s="115"/>
      <c r="AZ406" s="25"/>
      <c r="BA406" s="13"/>
      <c r="BD406" s="114"/>
    </row>
    <row r="407" spans="1:56" ht="19.5" x14ac:dyDescent="0.4">
      <c r="A407" s="117"/>
      <c r="B407" s="123"/>
      <c r="C407" s="123"/>
      <c r="D407" s="123"/>
      <c r="Q407" s="25"/>
      <c r="R407" s="15"/>
      <c r="AB407" s="25">
        <v>45685</v>
      </c>
      <c r="AC407" s="13" t="s">
        <v>148</v>
      </c>
      <c r="AH407" s="117"/>
      <c r="AI407" s="123"/>
      <c r="AJ407" s="123"/>
      <c r="AK407" s="123"/>
      <c r="AP407" s="115"/>
      <c r="AQ407" s="115"/>
      <c r="AR407" s="115"/>
      <c r="AS407" s="115"/>
      <c r="AT407" s="115"/>
      <c r="AU407" s="115"/>
      <c r="AV407" s="115"/>
      <c r="AW407" s="115"/>
      <c r="AX407" s="115"/>
      <c r="AY407" s="115" t="s">
        <v>150</v>
      </c>
      <c r="AZ407" s="13">
        <f>SUBTOTAL(3,AZ394:AZ394)</f>
        <v>1</v>
      </c>
      <c r="BA407" s="13">
        <f>SUBTOTAL(3,BA394:BA394)</f>
        <v>1</v>
      </c>
      <c r="BD407" s="114"/>
    </row>
    <row r="408" spans="1:56" ht="19.5" x14ac:dyDescent="0.4">
      <c r="A408" s="117"/>
      <c r="B408" s="123"/>
      <c r="C408" s="123"/>
      <c r="D408" s="123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25"/>
      <c r="R408" s="15"/>
      <c r="AB408" s="25"/>
      <c r="AC408" s="13"/>
      <c r="AH408" s="117"/>
      <c r="AI408" s="123"/>
      <c r="AJ408" s="123"/>
      <c r="AK408" s="123"/>
      <c r="AP408" s="115"/>
      <c r="AQ408" s="115"/>
      <c r="AR408" s="115"/>
      <c r="AS408" s="115"/>
      <c r="AT408" s="115"/>
      <c r="AU408" s="115"/>
      <c r="AV408" s="115"/>
      <c r="AW408" s="115"/>
      <c r="AX408" s="115"/>
      <c r="AY408" s="115"/>
      <c r="AZ408" s="13"/>
      <c r="BA408" s="13"/>
      <c r="BD408" s="114"/>
    </row>
    <row r="409" spans="1:56" ht="19.5" x14ac:dyDescent="0.4">
      <c r="A409" s="117"/>
      <c r="B409" s="123"/>
      <c r="C409" s="123"/>
      <c r="D409" s="123"/>
      <c r="Q409" s="25"/>
      <c r="R409" s="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25">
        <v>45685</v>
      </c>
      <c r="AC409" s="15" t="s">
        <v>146</v>
      </c>
      <c r="AH409" s="117"/>
      <c r="AI409" s="123"/>
      <c r="AJ409" s="123"/>
      <c r="AK409" s="123"/>
      <c r="AP409" s="115"/>
      <c r="AQ409" s="115"/>
      <c r="AR409" s="115"/>
      <c r="AS409" s="115"/>
      <c r="AT409" s="115"/>
      <c r="AU409" s="115"/>
      <c r="AV409" s="115"/>
      <c r="AW409" s="115"/>
      <c r="AX409" s="115"/>
      <c r="AY409" s="115"/>
      <c r="AZ409" s="13"/>
      <c r="BA409" s="13"/>
      <c r="BD409" s="114"/>
    </row>
    <row r="410" spans="1:56" ht="19.5" x14ac:dyDescent="0.4">
      <c r="A410" s="117"/>
      <c r="B410" s="123"/>
      <c r="C410" s="123"/>
      <c r="D410" s="123"/>
      <c r="Q410" s="25"/>
      <c r="R410" s="15"/>
      <c r="AB410" s="25">
        <v>45685</v>
      </c>
      <c r="AC410" s="15" t="s">
        <v>146</v>
      </c>
      <c r="AH410" s="117"/>
      <c r="AI410" s="123"/>
      <c r="AJ410" s="123"/>
      <c r="AK410" s="123"/>
      <c r="AP410" s="115"/>
      <c r="AQ410" s="115"/>
      <c r="AR410" s="115"/>
      <c r="AS410" s="115"/>
      <c r="AT410" s="115"/>
      <c r="AU410" s="115"/>
      <c r="AV410" s="115"/>
      <c r="AW410" s="115"/>
      <c r="AX410" s="115"/>
      <c r="AY410" s="115"/>
      <c r="AZ410" s="25">
        <v>45264</v>
      </c>
      <c r="BA410" s="13" t="s">
        <v>162</v>
      </c>
      <c r="BD410" s="114"/>
    </row>
    <row r="411" spans="1:56" ht="19.5" x14ac:dyDescent="0.4">
      <c r="A411" s="117"/>
      <c r="B411" s="123"/>
      <c r="C411" s="123"/>
      <c r="D411" s="123"/>
      <c r="Q411" s="25"/>
      <c r="R411" s="15"/>
      <c r="X411" s="115"/>
      <c r="Y411" s="115"/>
      <c r="Z411" s="115"/>
      <c r="AA411" s="115"/>
      <c r="AB411" s="25">
        <v>45686</v>
      </c>
      <c r="AC411" s="15" t="s">
        <v>148</v>
      </c>
      <c r="AH411" s="117"/>
      <c r="AI411" s="123"/>
      <c r="AJ411" s="123"/>
      <c r="AK411" s="123"/>
      <c r="AP411" s="115"/>
      <c r="AQ411" s="115"/>
      <c r="AR411" s="115"/>
      <c r="AS411" s="115"/>
      <c r="AT411" s="115"/>
      <c r="AU411" s="115"/>
      <c r="AV411" s="115"/>
      <c r="AW411" s="115"/>
      <c r="AX411" s="115"/>
      <c r="AY411" s="115"/>
      <c r="AZ411" s="25"/>
      <c r="BA411" s="13"/>
      <c r="BD411" s="114"/>
    </row>
    <row r="412" spans="1:56" ht="19.5" x14ac:dyDescent="0.4">
      <c r="A412" s="117"/>
      <c r="B412" s="123"/>
      <c r="C412" s="123"/>
      <c r="D412" s="123"/>
      <c r="Q412" s="25"/>
      <c r="R412" s="15"/>
      <c r="V412" s="115"/>
      <c r="W412" s="115"/>
      <c r="X412" s="115"/>
      <c r="Y412" s="115"/>
      <c r="Z412" s="115"/>
      <c r="AA412" s="115"/>
      <c r="AB412" s="25">
        <v>45686</v>
      </c>
      <c r="AC412" s="15" t="s">
        <v>146</v>
      </c>
      <c r="AH412" s="117"/>
      <c r="AI412" s="123"/>
      <c r="AJ412" s="123"/>
      <c r="AK412" s="123"/>
      <c r="AP412" s="115"/>
      <c r="AQ412" s="115"/>
      <c r="AR412" s="115"/>
      <c r="AS412" s="115"/>
      <c r="AT412" s="115"/>
      <c r="AU412" s="115"/>
      <c r="AV412" s="115"/>
      <c r="AW412" s="115"/>
      <c r="AX412" s="115"/>
      <c r="AY412" s="115"/>
      <c r="AZ412" s="25"/>
      <c r="BA412" s="13"/>
      <c r="BD412" s="114"/>
    </row>
    <row r="413" spans="1:56" ht="19.5" x14ac:dyDescent="0.4">
      <c r="A413" s="117"/>
      <c r="B413" s="123"/>
      <c r="C413" s="123"/>
      <c r="D413" s="123"/>
      <c r="H413" s="115"/>
      <c r="I413" s="115"/>
      <c r="J413" s="115"/>
      <c r="K413" s="115"/>
      <c r="L413" s="115"/>
      <c r="M413" s="115"/>
      <c r="N413" s="115"/>
      <c r="O413" s="115"/>
      <c r="P413" s="115"/>
      <c r="Q413" s="25"/>
      <c r="R413" s="15"/>
      <c r="V413" s="115"/>
      <c r="W413" s="115"/>
      <c r="X413" s="115"/>
      <c r="Y413" s="115"/>
      <c r="Z413" s="115"/>
      <c r="AA413" s="115"/>
      <c r="AB413" s="25"/>
      <c r="AC413" s="15"/>
      <c r="AH413" s="117"/>
      <c r="AI413" s="123"/>
      <c r="AJ413" s="123"/>
      <c r="AK413" s="123"/>
      <c r="AP413" s="115"/>
      <c r="AQ413" s="115"/>
      <c r="AR413" s="115"/>
      <c r="AS413" s="115"/>
      <c r="AT413" s="115"/>
      <c r="AU413" s="115"/>
      <c r="AV413" s="115"/>
      <c r="AW413" s="115"/>
      <c r="AX413" s="115"/>
      <c r="AY413" s="115"/>
      <c r="AZ413" s="25"/>
      <c r="BA413" s="13"/>
      <c r="BD413" s="114"/>
    </row>
    <row r="414" spans="1:56" ht="19.5" x14ac:dyDescent="0.4">
      <c r="A414" s="117"/>
      <c r="B414" s="123"/>
      <c r="C414" s="123"/>
      <c r="D414" s="123"/>
      <c r="Q414" s="26"/>
      <c r="R414" s="15"/>
      <c r="V414" s="115"/>
      <c r="W414" s="115"/>
      <c r="X414" s="115"/>
      <c r="Y414" s="115"/>
      <c r="Z414" s="115"/>
      <c r="AA414" s="115"/>
      <c r="AB414" s="25">
        <v>45686</v>
      </c>
      <c r="AC414" s="15" t="s">
        <v>148</v>
      </c>
      <c r="AH414" s="117"/>
      <c r="AI414" s="123"/>
      <c r="AJ414" s="123"/>
      <c r="AK414" s="123"/>
      <c r="AP414" s="115"/>
      <c r="AQ414" s="115"/>
      <c r="AR414" s="115"/>
      <c r="AS414" s="115"/>
      <c r="AT414" s="115"/>
      <c r="AU414" s="115"/>
      <c r="AV414" s="115"/>
      <c r="AW414" s="115"/>
      <c r="AX414" s="115"/>
      <c r="AY414" s="115"/>
      <c r="AZ414" s="25"/>
      <c r="BA414" s="13"/>
      <c r="BD414" s="114"/>
    </row>
    <row r="415" spans="1:56" ht="19.5" x14ac:dyDescent="0.4">
      <c r="A415" s="117"/>
      <c r="B415" s="123"/>
      <c r="C415" s="123"/>
      <c r="D415" s="123"/>
      <c r="H415" s="115"/>
      <c r="I415" s="115"/>
      <c r="J415" s="115"/>
      <c r="K415" s="115"/>
      <c r="L415" s="115"/>
      <c r="M415" s="115"/>
      <c r="N415" s="115"/>
      <c r="O415" s="115"/>
      <c r="P415" s="115"/>
      <c r="Q415" s="26"/>
      <c r="R415" s="13"/>
      <c r="V415" s="115"/>
      <c r="W415" s="115"/>
      <c r="X415" s="115"/>
      <c r="Y415" s="115"/>
      <c r="Z415" s="115"/>
      <c r="AA415" s="115"/>
      <c r="AB415" s="25"/>
      <c r="AC415" s="15"/>
      <c r="AH415" s="117"/>
      <c r="AI415" s="123"/>
      <c r="AJ415" s="123"/>
      <c r="AK415" s="123"/>
      <c r="AP415" s="115"/>
      <c r="AQ415" s="115"/>
      <c r="AR415" s="115"/>
      <c r="AS415" s="115"/>
      <c r="AT415" s="115"/>
      <c r="AU415" s="115"/>
      <c r="AV415" s="115"/>
      <c r="AW415" s="115"/>
      <c r="AX415" s="115"/>
      <c r="AY415" s="115"/>
      <c r="AZ415" s="25"/>
      <c r="BA415" s="13"/>
      <c r="BD415" s="114"/>
    </row>
    <row r="416" spans="1:56" ht="19.5" x14ac:dyDescent="0.4">
      <c r="A416" s="117"/>
      <c r="B416" s="123"/>
      <c r="C416" s="123"/>
      <c r="D416" s="123"/>
      <c r="Q416" s="26"/>
      <c r="R416" s="13"/>
      <c r="AB416" s="25">
        <v>45686</v>
      </c>
      <c r="AC416" s="15" t="s">
        <v>146</v>
      </c>
      <c r="AH416" s="117"/>
      <c r="AI416" s="123"/>
      <c r="AJ416" s="123"/>
      <c r="AK416" s="123"/>
      <c r="AP416" s="115"/>
      <c r="AQ416" s="115"/>
      <c r="AR416" s="115"/>
      <c r="AS416" s="115"/>
      <c r="AT416" s="115"/>
      <c r="AU416" s="115"/>
      <c r="AV416" s="115"/>
      <c r="AW416" s="115"/>
      <c r="AX416" s="115"/>
      <c r="AY416" s="115" t="s">
        <v>154</v>
      </c>
      <c r="AZ416" s="13">
        <f>SUBTOTAL(3,AZ410:AZ410)</f>
        <v>1</v>
      </c>
      <c r="BA416" s="13">
        <f>SUBTOTAL(3,BA410:BA410)</f>
        <v>1</v>
      </c>
      <c r="BD416" s="114"/>
    </row>
    <row r="417" spans="1:56" ht="19.5" x14ac:dyDescent="0.4">
      <c r="A417" s="117"/>
      <c r="B417" s="123"/>
      <c r="C417" s="123"/>
      <c r="D417" s="123"/>
      <c r="H417" s="115"/>
      <c r="I417" s="115"/>
      <c r="J417" s="115"/>
      <c r="K417" s="115"/>
      <c r="L417" s="115"/>
      <c r="M417" s="115"/>
      <c r="N417" s="115"/>
      <c r="O417" s="115"/>
      <c r="P417" s="115"/>
      <c r="Q417" s="26"/>
      <c r="R417" s="13"/>
      <c r="AB417" s="25"/>
      <c r="AC417" s="15"/>
      <c r="AH417" s="117"/>
      <c r="AI417" s="123"/>
      <c r="AJ417" s="123"/>
      <c r="AK417" s="123"/>
      <c r="AP417" s="115"/>
      <c r="AQ417" s="115"/>
      <c r="AR417" s="115"/>
      <c r="AS417" s="115"/>
      <c r="AT417" s="115"/>
      <c r="AU417" s="115"/>
      <c r="AV417" s="115"/>
      <c r="AW417" s="115"/>
      <c r="AX417" s="115"/>
      <c r="AY417" s="115"/>
      <c r="AZ417" s="13"/>
      <c r="BA417" s="13"/>
      <c r="BD417" s="114"/>
    </row>
    <row r="418" spans="1:56" ht="19.5" x14ac:dyDescent="0.4">
      <c r="A418" s="117"/>
      <c r="B418" s="123"/>
      <c r="C418" s="123"/>
      <c r="D418" s="123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26"/>
      <c r="R418" s="13"/>
      <c r="AB418" s="25"/>
      <c r="AC418" s="15"/>
      <c r="AH418" s="117"/>
      <c r="AI418" s="123"/>
      <c r="AJ418" s="123"/>
      <c r="AK418" s="123"/>
      <c r="AP418" s="115"/>
      <c r="AQ418" s="115"/>
      <c r="AR418" s="115"/>
      <c r="AS418" s="115"/>
      <c r="AT418" s="115"/>
      <c r="AU418" s="115"/>
      <c r="AV418" s="115"/>
      <c r="AW418" s="115"/>
      <c r="AX418" s="115"/>
      <c r="AY418" s="115"/>
      <c r="AZ418" s="13"/>
      <c r="BA418" s="13"/>
      <c r="BD418" s="114"/>
    </row>
    <row r="419" spans="1:56" ht="19.5" x14ac:dyDescent="0.4">
      <c r="A419" s="117"/>
      <c r="B419" s="123"/>
      <c r="C419" s="123"/>
      <c r="D419" s="123"/>
      <c r="Q419" s="26"/>
      <c r="R419" s="13"/>
      <c r="AB419" s="25">
        <v>45686</v>
      </c>
      <c r="AC419" s="15" t="s">
        <v>146</v>
      </c>
      <c r="AH419" s="117"/>
      <c r="AI419" s="123"/>
      <c r="AJ419" s="123"/>
      <c r="AK419" s="123"/>
      <c r="AP419" s="115"/>
      <c r="AQ419" s="115"/>
      <c r="AR419" s="115"/>
      <c r="AS419" s="115"/>
      <c r="AT419" s="115"/>
      <c r="AU419" s="115"/>
      <c r="AV419" s="115"/>
      <c r="AW419" s="115"/>
      <c r="AX419" s="115"/>
      <c r="AY419" s="115"/>
      <c r="AZ419" s="25">
        <v>45265</v>
      </c>
      <c r="BA419" s="13" t="s">
        <v>162</v>
      </c>
      <c r="BD419" s="114"/>
    </row>
    <row r="420" spans="1:56" ht="19.5" x14ac:dyDescent="0.4">
      <c r="A420" s="117"/>
      <c r="B420" s="123"/>
      <c r="C420" s="123"/>
      <c r="D420" s="123"/>
      <c r="Q420" s="26"/>
      <c r="R420" s="13"/>
      <c r="AB420" s="25">
        <v>45686</v>
      </c>
      <c r="AC420" s="15" t="s">
        <v>146</v>
      </c>
      <c r="AH420" s="117"/>
      <c r="AI420" s="123"/>
      <c r="AJ420" s="123"/>
      <c r="AK420" s="123"/>
      <c r="AP420" s="115"/>
      <c r="AQ420" s="115"/>
      <c r="AR420" s="115"/>
      <c r="AS420" s="115"/>
      <c r="AT420" s="115"/>
      <c r="AU420" s="115"/>
      <c r="AV420" s="115"/>
      <c r="AW420" s="115"/>
      <c r="AX420" s="115"/>
      <c r="AY420" s="115"/>
      <c r="AZ420" s="25">
        <v>45265</v>
      </c>
      <c r="BA420" s="25" t="s">
        <v>162</v>
      </c>
      <c r="BD420" s="114"/>
    </row>
    <row r="421" spans="1:56" ht="19.5" x14ac:dyDescent="0.4">
      <c r="A421" s="117"/>
      <c r="B421" s="123"/>
      <c r="C421" s="123"/>
      <c r="D421" s="123"/>
      <c r="Q421" s="26"/>
      <c r="R421" s="13"/>
      <c r="S421" s="115"/>
      <c r="T421" s="115"/>
      <c r="U421" s="115"/>
      <c r="V421" s="115"/>
      <c r="W421" s="115"/>
      <c r="X421" s="115"/>
      <c r="Y421" s="115"/>
      <c r="Z421" s="115"/>
      <c r="AA421" s="115"/>
      <c r="AB421" s="25">
        <v>45686</v>
      </c>
      <c r="AC421" s="15" t="s">
        <v>146</v>
      </c>
      <c r="AH421" s="117"/>
      <c r="AI421" s="123"/>
      <c r="AJ421" s="123"/>
      <c r="AK421" s="123"/>
      <c r="AP421" s="115"/>
      <c r="AQ421" s="115"/>
      <c r="AR421" s="115"/>
      <c r="AS421" s="115"/>
      <c r="AT421" s="115"/>
      <c r="AU421" s="115"/>
      <c r="AV421" s="115"/>
      <c r="AW421" s="115"/>
      <c r="AX421" s="115"/>
      <c r="AY421" s="115"/>
      <c r="AZ421" s="25"/>
      <c r="BA421" s="25"/>
      <c r="BD421" s="114"/>
    </row>
    <row r="422" spans="1:56" ht="19.5" x14ac:dyDescent="0.4">
      <c r="A422" s="117"/>
      <c r="B422" s="123"/>
      <c r="C422" s="123"/>
      <c r="D422" s="123"/>
      <c r="Q422" s="129"/>
      <c r="R422" s="13"/>
      <c r="S422" s="115"/>
      <c r="T422" s="115"/>
      <c r="U422" s="115"/>
      <c r="V422" s="115"/>
      <c r="W422" s="115"/>
      <c r="X422" s="115"/>
      <c r="Y422" s="115"/>
      <c r="Z422" s="115"/>
      <c r="AA422" s="115"/>
      <c r="AB422" s="25"/>
      <c r="AC422" s="13"/>
      <c r="AH422" s="117"/>
      <c r="AI422" s="123"/>
      <c r="AJ422" s="123"/>
      <c r="AK422" s="123"/>
      <c r="AP422" s="115"/>
      <c r="AQ422" s="115"/>
      <c r="AR422" s="115"/>
      <c r="AS422" s="115"/>
      <c r="AT422" s="115"/>
      <c r="AU422" s="115"/>
      <c r="AV422" s="115"/>
      <c r="AW422" s="115"/>
      <c r="AX422" s="115"/>
      <c r="AY422" s="115"/>
      <c r="AZ422" s="25"/>
      <c r="BA422" s="25"/>
      <c r="BD422" s="114"/>
    </row>
    <row r="423" spans="1:56" ht="19.5" x14ac:dyDescent="0.4">
      <c r="A423" s="117"/>
      <c r="B423" s="123"/>
      <c r="C423" s="123"/>
      <c r="D423" s="123"/>
      <c r="Q423" s="26"/>
      <c r="R423" s="13"/>
      <c r="AB423" s="25">
        <v>45686</v>
      </c>
      <c r="AC423" s="13" t="s">
        <v>146</v>
      </c>
      <c r="AH423" s="117"/>
      <c r="AI423" s="123"/>
      <c r="AJ423" s="123"/>
      <c r="AK423" s="123"/>
      <c r="AP423" s="115"/>
      <c r="AQ423" s="115"/>
      <c r="AR423" s="115"/>
      <c r="AS423" s="115"/>
      <c r="AT423" s="115"/>
      <c r="AU423" s="115"/>
      <c r="AV423" s="115"/>
      <c r="AW423" s="115"/>
      <c r="AX423" s="115"/>
      <c r="AY423" s="115"/>
      <c r="AZ423" s="25">
        <v>45265</v>
      </c>
      <c r="BA423" s="13" t="s">
        <v>162</v>
      </c>
      <c r="BD423" s="114"/>
    </row>
    <row r="424" spans="1:56" ht="19.5" x14ac:dyDescent="0.4">
      <c r="A424" s="117"/>
      <c r="B424" s="123"/>
      <c r="C424" s="123"/>
      <c r="D424" s="123"/>
      <c r="H424" s="115"/>
      <c r="I424" s="115"/>
      <c r="J424" s="115"/>
      <c r="K424" s="115"/>
      <c r="L424" s="115"/>
      <c r="M424" s="115"/>
      <c r="N424" s="115"/>
      <c r="O424" s="115"/>
      <c r="P424" s="115"/>
      <c r="Q424" s="26"/>
      <c r="R424" s="13"/>
      <c r="AB424" s="25"/>
      <c r="AC424" s="13"/>
      <c r="AH424" s="117"/>
      <c r="AI424" s="123"/>
      <c r="AJ424" s="123"/>
      <c r="AK424" s="123"/>
      <c r="AP424" s="115"/>
      <c r="AQ424" s="115"/>
      <c r="AR424" s="115"/>
      <c r="AS424" s="115"/>
      <c r="AT424" s="115"/>
      <c r="AU424" s="115"/>
      <c r="AV424" s="115"/>
      <c r="AW424" s="115"/>
      <c r="AX424" s="115"/>
      <c r="AY424" s="115"/>
      <c r="AZ424" s="25"/>
      <c r="BA424" s="13"/>
      <c r="BD424" s="114"/>
    </row>
    <row r="425" spans="1:56" ht="19.5" x14ac:dyDescent="0.4">
      <c r="A425" s="117"/>
      <c r="B425" s="123"/>
      <c r="C425" s="123"/>
      <c r="D425" s="123"/>
      <c r="Q425" s="26"/>
      <c r="R425" s="13"/>
      <c r="X425" s="115"/>
      <c r="Y425" s="115"/>
      <c r="Z425" s="115"/>
      <c r="AA425" s="115"/>
      <c r="AB425" s="25">
        <v>45686</v>
      </c>
      <c r="AC425" s="15" t="s">
        <v>146</v>
      </c>
      <c r="AH425" s="117"/>
      <c r="AI425" s="123"/>
      <c r="AJ425" s="123"/>
      <c r="AK425" s="123"/>
      <c r="AP425" s="115"/>
      <c r="AQ425" s="115"/>
      <c r="AR425" s="115"/>
      <c r="AS425" s="115"/>
      <c r="AT425" s="115"/>
      <c r="AU425" s="115"/>
      <c r="AV425" s="115"/>
      <c r="AW425" s="115"/>
      <c r="AX425" s="115"/>
      <c r="AY425" s="115"/>
      <c r="AZ425" s="25"/>
      <c r="BA425" s="13"/>
      <c r="BD425" s="114"/>
    </row>
    <row r="426" spans="1:56" ht="19.5" x14ac:dyDescent="0.4">
      <c r="A426" s="117"/>
      <c r="B426" s="123"/>
      <c r="C426" s="123"/>
      <c r="D426" s="123"/>
      <c r="Q426" s="26"/>
      <c r="R426" s="13"/>
      <c r="AB426" s="25">
        <v>45686</v>
      </c>
      <c r="AC426" s="15" t="s">
        <v>147</v>
      </c>
      <c r="AH426" s="117"/>
      <c r="AI426" s="123"/>
      <c r="AJ426" s="123"/>
      <c r="AK426" s="123"/>
      <c r="AP426" s="115"/>
      <c r="AQ426" s="115"/>
      <c r="AR426" s="115"/>
      <c r="AS426" s="115"/>
      <c r="AT426" s="115"/>
      <c r="AU426" s="115"/>
      <c r="AV426" s="115"/>
      <c r="AW426" s="115"/>
      <c r="AX426" s="115"/>
      <c r="AY426" s="115"/>
      <c r="AZ426" s="25">
        <v>45265</v>
      </c>
      <c r="BA426" s="13" t="s">
        <v>162</v>
      </c>
      <c r="BD426" s="114"/>
    </row>
    <row r="427" spans="1:56" ht="19.5" x14ac:dyDescent="0.4">
      <c r="A427" s="117"/>
      <c r="B427" s="123"/>
      <c r="C427" s="123"/>
      <c r="D427" s="123"/>
      <c r="Q427" s="26"/>
      <c r="R427" s="13"/>
      <c r="Y427" s="115"/>
      <c r="Z427" s="115"/>
      <c r="AA427" s="115"/>
      <c r="AB427" s="25">
        <v>45686</v>
      </c>
      <c r="AC427" s="15" t="s">
        <v>147</v>
      </c>
      <c r="AH427" s="117"/>
      <c r="AI427" s="123"/>
      <c r="AJ427" s="123"/>
      <c r="AK427" s="123"/>
      <c r="AP427" s="115"/>
      <c r="AQ427" s="115"/>
      <c r="AR427" s="115"/>
      <c r="AS427" s="115"/>
      <c r="AT427" s="115"/>
      <c r="AU427" s="115"/>
      <c r="AV427" s="115"/>
      <c r="AW427" s="115"/>
      <c r="AX427" s="115"/>
      <c r="AY427" s="115"/>
      <c r="AZ427" s="25"/>
      <c r="BA427" s="13"/>
      <c r="BD427" s="114"/>
    </row>
    <row r="428" spans="1:56" ht="19.5" x14ac:dyDescent="0.4">
      <c r="A428" s="117"/>
      <c r="B428" s="123"/>
      <c r="C428" s="123"/>
      <c r="D428" s="123"/>
      <c r="Q428" s="26"/>
      <c r="R428" s="13"/>
      <c r="S428" s="115"/>
      <c r="T428" s="115"/>
      <c r="U428" s="115"/>
      <c r="V428" s="115"/>
      <c r="W428" s="115"/>
      <c r="X428" s="115"/>
      <c r="Y428" s="115"/>
      <c r="Z428" s="115"/>
      <c r="AA428" s="115"/>
      <c r="AB428" s="25">
        <v>45686</v>
      </c>
      <c r="AC428" s="13" t="s">
        <v>146</v>
      </c>
      <c r="AH428" s="117"/>
      <c r="AI428" s="123"/>
      <c r="AJ428" s="123"/>
      <c r="AK428" s="123"/>
      <c r="AP428" s="115"/>
      <c r="AQ428" s="115"/>
      <c r="AR428" s="115"/>
      <c r="AS428" s="115"/>
      <c r="AT428" s="115"/>
      <c r="AU428" s="115"/>
      <c r="AV428" s="115"/>
      <c r="AW428" s="115"/>
      <c r="AX428" s="115"/>
      <c r="AY428" s="115"/>
      <c r="AZ428" s="25"/>
      <c r="BA428" s="13"/>
      <c r="BD428" s="114"/>
    </row>
    <row r="429" spans="1:56" ht="19.5" x14ac:dyDescent="0.4">
      <c r="A429" s="117"/>
      <c r="B429" s="123"/>
      <c r="C429" s="123"/>
      <c r="D429" s="123"/>
      <c r="Q429" s="26"/>
      <c r="R429" s="13"/>
      <c r="AB429" s="25">
        <v>45686</v>
      </c>
      <c r="AC429" s="25" t="s">
        <v>146</v>
      </c>
      <c r="AH429" s="117"/>
      <c r="AI429" s="123"/>
      <c r="AJ429" s="123"/>
      <c r="AK429" s="123"/>
      <c r="AP429" s="115"/>
      <c r="AQ429" s="115"/>
      <c r="AR429" s="115"/>
      <c r="AS429" s="115"/>
      <c r="AT429" s="115"/>
      <c r="AU429" s="115"/>
      <c r="AV429" s="115"/>
      <c r="AW429" s="115"/>
      <c r="AX429" s="115"/>
      <c r="AY429" s="115"/>
      <c r="AZ429" s="25">
        <v>45265</v>
      </c>
      <c r="BA429" s="13" t="s">
        <v>163</v>
      </c>
      <c r="BD429" s="114"/>
    </row>
    <row r="430" spans="1:56" ht="19.5" x14ac:dyDescent="0.4">
      <c r="A430" s="117"/>
      <c r="B430" s="123"/>
      <c r="C430" s="123"/>
      <c r="D430" s="123"/>
      <c r="Q430" s="26"/>
      <c r="R430" s="13"/>
      <c r="AB430" s="25">
        <v>45686</v>
      </c>
      <c r="AC430" s="25" t="s">
        <v>147</v>
      </c>
      <c r="AH430" s="117"/>
      <c r="AI430" s="123"/>
      <c r="AJ430" s="123"/>
      <c r="AK430" s="123"/>
      <c r="AP430" s="115"/>
      <c r="AQ430" s="115"/>
      <c r="AR430" s="115"/>
      <c r="AS430" s="115"/>
      <c r="AT430" s="115"/>
      <c r="AU430" s="115"/>
      <c r="AV430" s="115"/>
      <c r="AW430" s="115"/>
      <c r="AX430" s="115"/>
      <c r="AY430" s="115" t="s">
        <v>155</v>
      </c>
      <c r="AZ430" s="13">
        <f>SUBTOTAL(3,AZ419:AZ429)</f>
        <v>5</v>
      </c>
      <c r="BA430" s="13">
        <f>SUBTOTAL(3,BA419:BA429)</f>
        <v>5</v>
      </c>
      <c r="BD430" s="114"/>
    </row>
    <row r="431" spans="1:56" ht="19.5" x14ac:dyDescent="0.4">
      <c r="A431" s="117"/>
      <c r="B431" s="123"/>
      <c r="C431" s="123"/>
      <c r="D431" s="123"/>
      <c r="Q431" s="26"/>
      <c r="R431" s="13"/>
      <c r="S431" s="115"/>
      <c r="T431" s="115"/>
      <c r="U431" s="115"/>
      <c r="V431" s="115"/>
      <c r="W431" s="115"/>
      <c r="X431" s="115"/>
      <c r="Y431" s="115"/>
      <c r="Z431" s="115"/>
      <c r="AA431" s="115"/>
      <c r="AB431" s="25">
        <v>45686</v>
      </c>
      <c r="AC431" s="25" t="s">
        <v>148</v>
      </c>
      <c r="AH431" s="117"/>
      <c r="AI431" s="123"/>
      <c r="AJ431" s="123"/>
      <c r="AK431" s="123"/>
      <c r="AP431" s="115"/>
      <c r="AQ431" s="115"/>
      <c r="AR431" s="115"/>
      <c r="AS431" s="115"/>
      <c r="AT431" s="115"/>
      <c r="AU431" s="115"/>
      <c r="AV431" s="115"/>
      <c r="AW431" s="115"/>
      <c r="AX431" s="115"/>
      <c r="AY431" s="115"/>
      <c r="AZ431" s="13"/>
      <c r="BA431" s="13"/>
      <c r="BD431" s="114"/>
    </row>
    <row r="432" spans="1:56" ht="19.5" x14ac:dyDescent="0.4">
      <c r="A432" s="117"/>
      <c r="B432" s="123"/>
      <c r="C432" s="123"/>
      <c r="D432" s="123"/>
      <c r="Q432" s="26"/>
      <c r="R432" s="13"/>
      <c r="S432" s="115"/>
      <c r="T432" s="115"/>
      <c r="U432" s="115"/>
      <c r="V432" s="115"/>
      <c r="W432" s="115"/>
      <c r="X432" s="115"/>
      <c r="Y432" s="115"/>
      <c r="Z432" s="115"/>
      <c r="AA432" s="115"/>
      <c r="AB432" s="25">
        <v>45686</v>
      </c>
      <c r="AC432" s="13" t="s">
        <v>146</v>
      </c>
      <c r="AH432" s="117"/>
      <c r="AI432" s="123"/>
      <c r="AJ432" s="123"/>
      <c r="AK432" s="123"/>
      <c r="AP432" s="115"/>
      <c r="AQ432" s="115"/>
      <c r="AR432" s="115"/>
      <c r="AS432" s="115"/>
      <c r="AT432" s="115"/>
      <c r="AU432" s="115"/>
      <c r="AV432" s="115"/>
      <c r="AW432" s="115"/>
      <c r="AX432" s="115"/>
      <c r="AY432" s="115"/>
      <c r="AZ432" s="13"/>
      <c r="BA432" s="13"/>
      <c r="BD432" s="114"/>
    </row>
    <row r="433" spans="1:56" ht="19.5" x14ac:dyDescent="0.4">
      <c r="A433" s="117"/>
      <c r="B433" s="123"/>
      <c r="C433" s="123"/>
      <c r="D433" s="123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26"/>
      <c r="R433" s="13"/>
      <c r="S433" s="115"/>
      <c r="T433" s="115"/>
      <c r="U433" s="115"/>
      <c r="V433" s="115"/>
      <c r="W433" s="115"/>
      <c r="X433" s="115"/>
      <c r="Y433" s="115"/>
      <c r="Z433" s="115"/>
      <c r="AA433" s="115"/>
      <c r="AB433" s="25">
        <v>45686</v>
      </c>
      <c r="AC433" s="13" t="s">
        <v>146</v>
      </c>
      <c r="AH433" s="117"/>
      <c r="AI433" s="123"/>
      <c r="AJ433" s="123"/>
      <c r="AK433" s="123"/>
      <c r="AP433" s="115"/>
      <c r="AQ433" s="115"/>
      <c r="AR433" s="115"/>
      <c r="AS433" s="115"/>
      <c r="AT433" s="115"/>
      <c r="AU433" s="115"/>
      <c r="AV433" s="115"/>
      <c r="AW433" s="115"/>
      <c r="AX433" s="115"/>
      <c r="AY433" s="115"/>
      <c r="AZ433" s="13"/>
      <c r="BA433" s="13"/>
      <c r="BD433" s="114"/>
    </row>
    <row r="434" spans="1:56" ht="19.5" x14ac:dyDescent="0.4">
      <c r="A434" s="117"/>
      <c r="B434" s="123"/>
      <c r="C434" s="123"/>
      <c r="D434" s="123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26"/>
      <c r="R434" s="13"/>
      <c r="S434" s="115"/>
      <c r="T434" s="115"/>
      <c r="U434" s="115"/>
      <c r="V434" s="115"/>
      <c r="W434" s="115"/>
      <c r="X434" s="115"/>
      <c r="Y434" s="115"/>
      <c r="Z434" s="115"/>
      <c r="AA434" s="115"/>
      <c r="AB434" s="25">
        <v>45686</v>
      </c>
      <c r="AC434" s="15" t="s">
        <v>148</v>
      </c>
      <c r="AH434" s="117"/>
      <c r="AI434" s="123"/>
      <c r="AJ434" s="123"/>
      <c r="AK434" s="123"/>
      <c r="AP434" s="115"/>
      <c r="AQ434" s="115"/>
      <c r="AR434" s="115"/>
      <c r="AS434" s="115"/>
      <c r="AT434" s="115"/>
      <c r="AU434" s="115"/>
      <c r="AV434" s="115"/>
      <c r="AW434" s="115"/>
      <c r="AX434" s="115"/>
      <c r="AY434" s="115"/>
      <c r="AZ434" s="13"/>
      <c r="BA434" s="13"/>
      <c r="BD434" s="114"/>
    </row>
    <row r="435" spans="1:56" ht="19.5" x14ac:dyDescent="0.4">
      <c r="A435" s="117"/>
      <c r="B435" s="123"/>
      <c r="C435" s="123"/>
      <c r="D435" s="123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26"/>
      <c r="R435" s="13"/>
      <c r="S435" s="115"/>
      <c r="T435" s="115"/>
      <c r="U435" s="115"/>
      <c r="V435" s="115"/>
      <c r="W435" s="115"/>
      <c r="X435" s="115"/>
      <c r="Y435" s="115"/>
      <c r="Z435" s="115"/>
      <c r="AA435" s="115"/>
      <c r="AB435" s="25">
        <v>45686</v>
      </c>
      <c r="AC435" s="15" t="s">
        <v>148</v>
      </c>
      <c r="AH435" s="117"/>
      <c r="AI435" s="123"/>
      <c r="AJ435" s="123"/>
      <c r="AK435" s="123"/>
      <c r="AP435" s="115"/>
      <c r="AQ435" s="115"/>
      <c r="AR435" s="115"/>
      <c r="AS435" s="115"/>
      <c r="AT435" s="115"/>
      <c r="AU435" s="115"/>
      <c r="AV435" s="115"/>
      <c r="AW435" s="115"/>
      <c r="AX435" s="115"/>
      <c r="AY435" s="115"/>
      <c r="AZ435" s="13"/>
      <c r="BA435" s="13"/>
      <c r="BD435" s="114"/>
    </row>
    <row r="436" spans="1:56" ht="19.5" x14ac:dyDescent="0.4">
      <c r="A436" s="117"/>
      <c r="B436" s="123"/>
      <c r="C436" s="123"/>
      <c r="D436" s="123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26"/>
      <c r="R436" s="13"/>
      <c r="S436" s="115"/>
      <c r="T436" s="115"/>
      <c r="U436" s="115"/>
      <c r="V436" s="115"/>
      <c r="W436" s="115"/>
      <c r="X436" s="115"/>
      <c r="Y436" s="115"/>
      <c r="Z436" s="115"/>
      <c r="AA436" s="115"/>
      <c r="AB436" s="25">
        <v>45686</v>
      </c>
      <c r="AC436" s="15" t="s">
        <v>148</v>
      </c>
      <c r="AH436" s="117"/>
      <c r="AI436" s="123"/>
      <c r="AJ436" s="123"/>
      <c r="AK436" s="123"/>
      <c r="AP436" s="115"/>
      <c r="AQ436" s="115"/>
      <c r="AR436" s="115"/>
      <c r="AS436" s="115"/>
      <c r="AT436" s="115"/>
      <c r="AU436" s="115"/>
      <c r="AV436" s="115"/>
      <c r="AW436" s="115"/>
      <c r="AX436" s="115"/>
      <c r="AY436" s="115"/>
      <c r="AZ436" s="13"/>
      <c r="BA436" s="13"/>
      <c r="BD436" s="114"/>
    </row>
    <row r="437" spans="1:56" ht="19.5" x14ac:dyDescent="0.4">
      <c r="A437" s="117"/>
      <c r="B437" s="123"/>
      <c r="C437" s="123"/>
      <c r="D437" s="123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26"/>
      <c r="R437" s="13"/>
      <c r="S437" s="115"/>
      <c r="T437" s="115"/>
      <c r="U437" s="115"/>
      <c r="V437" s="115"/>
      <c r="W437" s="115"/>
      <c r="X437" s="115"/>
      <c r="Y437" s="115"/>
      <c r="Z437" s="115"/>
      <c r="AA437" s="115"/>
      <c r="AB437" s="25">
        <v>45686</v>
      </c>
      <c r="AC437" s="15" t="s">
        <v>146</v>
      </c>
      <c r="AH437" s="117"/>
      <c r="AI437" s="123"/>
      <c r="AJ437" s="123"/>
      <c r="AK437" s="123"/>
      <c r="AP437" s="115"/>
      <c r="AQ437" s="115"/>
      <c r="AR437" s="115"/>
      <c r="AS437" s="115"/>
      <c r="AT437" s="115"/>
      <c r="AU437" s="115"/>
      <c r="AV437" s="115"/>
      <c r="AW437" s="115"/>
      <c r="AX437" s="115"/>
      <c r="AY437" s="115"/>
      <c r="AZ437" s="13"/>
      <c r="BA437" s="13"/>
      <c r="BD437" s="114"/>
    </row>
    <row r="438" spans="1:56" ht="19.5" x14ac:dyDescent="0.4">
      <c r="A438" s="117"/>
      <c r="B438" s="123"/>
      <c r="C438" s="123"/>
      <c r="D438" s="123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26"/>
      <c r="R438" s="13"/>
      <c r="S438" s="115"/>
      <c r="T438" s="115"/>
      <c r="U438" s="115"/>
      <c r="V438" s="115"/>
      <c r="W438" s="115"/>
      <c r="X438" s="115"/>
      <c r="Y438" s="115"/>
      <c r="Z438" s="115"/>
      <c r="AA438" s="115"/>
      <c r="AB438" s="25">
        <v>45686</v>
      </c>
      <c r="AC438" s="15" t="s">
        <v>148</v>
      </c>
      <c r="AH438" s="117"/>
      <c r="AI438" s="123"/>
      <c r="AJ438" s="123"/>
      <c r="AK438" s="123"/>
      <c r="AP438" s="115"/>
      <c r="AQ438" s="115"/>
      <c r="AR438" s="115"/>
      <c r="AS438" s="115"/>
      <c r="AT438" s="115"/>
      <c r="AU438" s="115"/>
      <c r="AV438" s="115"/>
      <c r="AW438" s="115"/>
      <c r="AX438" s="115"/>
      <c r="AY438" s="115"/>
      <c r="AZ438" s="13"/>
      <c r="BA438" s="13"/>
      <c r="BD438" s="114"/>
    </row>
    <row r="439" spans="1:56" ht="19.5" x14ac:dyDescent="0.4">
      <c r="A439" s="117"/>
      <c r="B439" s="123"/>
      <c r="C439" s="123"/>
      <c r="D439" s="123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26"/>
      <c r="R439" s="13"/>
      <c r="S439" s="115"/>
      <c r="T439" s="115"/>
      <c r="U439" s="115"/>
      <c r="V439" s="115"/>
      <c r="W439" s="115"/>
      <c r="X439" s="115"/>
      <c r="Y439" s="115"/>
      <c r="Z439" s="115"/>
      <c r="AA439" s="115"/>
      <c r="AB439" s="25">
        <v>45689</v>
      </c>
      <c r="AC439" s="15" t="s">
        <v>147</v>
      </c>
      <c r="AH439" s="117"/>
      <c r="AI439" s="123"/>
      <c r="AJ439" s="123"/>
      <c r="AK439" s="123"/>
      <c r="AP439" s="115"/>
      <c r="AQ439" s="115"/>
      <c r="AR439" s="115"/>
      <c r="AS439" s="115"/>
      <c r="AT439" s="115"/>
      <c r="AU439" s="115"/>
      <c r="AV439" s="115"/>
      <c r="AW439" s="115"/>
      <c r="AX439" s="115"/>
      <c r="AY439" s="115"/>
      <c r="AZ439" s="13"/>
      <c r="BA439" s="13"/>
      <c r="BD439" s="114"/>
    </row>
    <row r="440" spans="1:56" ht="19.5" x14ac:dyDescent="0.4">
      <c r="A440" s="117"/>
      <c r="B440" s="123"/>
      <c r="C440" s="123"/>
      <c r="D440" s="123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26"/>
      <c r="R440" s="13"/>
      <c r="S440" s="115"/>
      <c r="T440" s="115"/>
      <c r="U440" s="115"/>
      <c r="V440" s="115"/>
      <c r="W440" s="115"/>
      <c r="X440" s="115"/>
      <c r="Y440" s="115"/>
      <c r="Z440" s="115"/>
      <c r="AA440" s="115"/>
      <c r="AB440" s="25"/>
      <c r="AC440" s="15"/>
      <c r="AH440" s="117"/>
      <c r="AI440" s="123"/>
      <c r="AJ440" s="123"/>
      <c r="AK440" s="123"/>
      <c r="AP440" s="115"/>
      <c r="AQ440" s="115"/>
      <c r="AR440" s="115"/>
      <c r="AS440" s="115"/>
      <c r="AT440" s="115"/>
      <c r="AU440" s="115"/>
      <c r="AV440" s="115"/>
      <c r="AW440" s="115"/>
      <c r="AX440" s="115"/>
      <c r="AY440" s="115"/>
      <c r="AZ440" s="13"/>
      <c r="BA440" s="13"/>
      <c r="BD440" s="114"/>
    </row>
    <row r="441" spans="1:56" ht="19.5" x14ac:dyDescent="0.4">
      <c r="A441" s="117"/>
      <c r="B441" s="123"/>
      <c r="C441" s="123"/>
      <c r="D441" s="123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26"/>
      <c r="R441" s="13"/>
      <c r="S441" s="115"/>
      <c r="T441" s="115"/>
      <c r="U441" s="115"/>
      <c r="V441" s="115"/>
      <c r="W441" s="115"/>
      <c r="X441" s="115"/>
      <c r="Y441" s="115"/>
      <c r="Z441" s="115"/>
      <c r="AA441" s="115"/>
      <c r="AB441" s="25">
        <v>45689</v>
      </c>
      <c r="AC441" s="15" t="s">
        <v>147</v>
      </c>
      <c r="AH441" s="117"/>
      <c r="AI441" s="123"/>
      <c r="AJ441" s="123"/>
      <c r="AK441" s="123"/>
      <c r="AP441" s="115"/>
      <c r="AQ441" s="115"/>
      <c r="AR441" s="115"/>
      <c r="AS441" s="115"/>
      <c r="AT441" s="115"/>
      <c r="AU441" s="115"/>
      <c r="AV441" s="115"/>
      <c r="AW441" s="115"/>
      <c r="AX441" s="115"/>
      <c r="AY441" s="115"/>
      <c r="AZ441" s="13"/>
      <c r="BA441" s="13"/>
      <c r="BD441" s="114"/>
    </row>
    <row r="442" spans="1:56" ht="19.5" x14ac:dyDescent="0.4">
      <c r="A442" s="117"/>
      <c r="B442" s="123"/>
      <c r="C442" s="123"/>
      <c r="D442" s="123"/>
      <c r="Q442" s="26"/>
      <c r="R442" s="13"/>
      <c r="AB442" s="25">
        <v>45689</v>
      </c>
      <c r="AC442" s="15" t="s">
        <v>146</v>
      </c>
      <c r="AH442" s="117"/>
      <c r="AI442" s="123"/>
      <c r="AJ442" s="123"/>
      <c r="AK442" s="123"/>
      <c r="AM442" s="115"/>
      <c r="AN442" s="115"/>
      <c r="AO442" s="115"/>
      <c r="AP442" s="115"/>
      <c r="AQ442" s="115"/>
      <c r="AR442" s="115"/>
      <c r="AS442" s="115"/>
      <c r="AT442" s="115"/>
      <c r="AU442" s="115"/>
      <c r="AV442" s="115"/>
      <c r="AW442" s="115"/>
      <c r="AX442" s="115"/>
      <c r="AY442" s="115"/>
      <c r="AZ442" s="25">
        <v>45266</v>
      </c>
      <c r="BA442" s="25" t="s">
        <v>162</v>
      </c>
      <c r="BD442" s="114"/>
    </row>
    <row r="443" spans="1:56" ht="19.5" x14ac:dyDescent="0.4">
      <c r="A443" s="117"/>
      <c r="B443" s="123"/>
      <c r="C443" s="123"/>
      <c r="D443" s="123"/>
      <c r="Q443" s="129"/>
      <c r="R443" s="13"/>
      <c r="AB443" s="25"/>
      <c r="AC443" s="15"/>
      <c r="AH443" s="117"/>
      <c r="AI443" s="123"/>
      <c r="AJ443" s="123"/>
      <c r="AK443" s="123"/>
      <c r="AM443" s="115"/>
      <c r="AN443" s="115"/>
      <c r="AO443" s="115"/>
      <c r="AP443" s="115"/>
      <c r="AQ443" s="115"/>
      <c r="AR443" s="115"/>
      <c r="AS443" s="115"/>
      <c r="AT443" s="115"/>
      <c r="AU443" s="115"/>
      <c r="AV443" s="115"/>
      <c r="AW443" s="115"/>
      <c r="AX443" s="115"/>
      <c r="AY443" s="115"/>
      <c r="AZ443" s="25"/>
      <c r="BA443" s="25"/>
      <c r="BD443" s="114"/>
    </row>
    <row r="444" spans="1:56" ht="19.5" x14ac:dyDescent="0.4">
      <c r="A444" s="117"/>
      <c r="B444" s="123"/>
      <c r="C444" s="123"/>
      <c r="D444" s="123"/>
      <c r="Q444" s="26"/>
      <c r="R444" s="13"/>
      <c r="S444" s="115"/>
      <c r="T444" s="115"/>
      <c r="U444" s="115"/>
      <c r="V444" s="115"/>
      <c r="W444" s="115"/>
      <c r="X444" s="115"/>
      <c r="Y444" s="115"/>
      <c r="Z444" s="115"/>
      <c r="AA444" s="115"/>
      <c r="AB444" s="25">
        <v>45689</v>
      </c>
      <c r="AC444" s="15" t="s">
        <v>146</v>
      </c>
      <c r="AH444" s="117"/>
      <c r="AI444" s="123"/>
      <c r="AJ444" s="123"/>
      <c r="AK444" s="123"/>
      <c r="AM444" s="115"/>
      <c r="AN444" s="115"/>
      <c r="AO444" s="115"/>
      <c r="AP444" s="115"/>
      <c r="AQ444" s="115"/>
      <c r="AR444" s="115"/>
      <c r="AS444" s="115"/>
      <c r="AT444" s="115"/>
      <c r="AU444" s="115"/>
      <c r="AV444" s="115"/>
      <c r="AW444" s="115"/>
      <c r="AX444" s="115"/>
      <c r="AY444" s="115"/>
      <c r="AZ444" s="25"/>
      <c r="BA444" s="25"/>
      <c r="BD444" s="114"/>
    </row>
    <row r="445" spans="1:56" ht="19.5" x14ac:dyDescent="0.4">
      <c r="A445" s="117"/>
      <c r="B445" s="123"/>
      <c r="C445" s="123"/>
      <c r="D445" s="123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26"/>
      <c r="R445" s="13"/>
      <c r="S445" s="115"/>
      <c r="T445" s="115"/>
      <c r="U445" s="115"/>
      <c r="V445" s="115"/>
      <c r="W445" s="115"/>
      <c r="X445" s="115"/>
      <c r="Y445" s="115"/>
      <c r="Z445" s="115"/>
      <c r="AA445" s="115"/>
      <c r="AB445" s="25"/>
      <c r="AC445" s="15"/>
      <c r="AH445" s="117"/>
      <c r="AI445" s="123"/>
      <c r="AJ445" s="123"/>
      <c r="AK445" s="123"/>
      <c r="AM445" s="115"/>
      <c r="AN445" s="115"/>
      <c r="AO445" s="115"/>
      <c r="AP445" s="115"/>
      <c r="AQ445" s="115"/>
      <c r="AR445" s="115"/>
      <c r="AS445" s="115"/>
      <c r="AT445" s="115"/>
      <c r="AU445" s="115"/>
      <c r="AV445" s="115"/>
      <c r="AW445" s="115"/>
      <c r="AX445" s="115"/>
      <c r="AY445" s="115"/>
      <c r="AZ445" s="25"/>
      <c r="BA445" s="25"/>
      <c r="BD445" s="114"/>
    </row>
    <row r="446" spans="1:56" ht="19.5" x14ac:dyDescent="0.4">
      <c r="A446" s="117"/>
      <c r="B446" s="123"/>
      <c r="C446" s="123"/>
      <c r="D446" s="123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26"/>
      <c r="R446" s="13"/>
      <c r="S446" s="115"/>
      <c r="T446" s="115"/>
      <c r="U446" s="115"/>
      <c r="V446" s="115"/>
      <c r="W446" s="115"/>
      <c r="X446" s="115"/>
      <c r="Y446" s="115"/>
      <c r="Z446" s="115"/>
      <c r="AA446" s="115"/>
      <c r="AB446" s="25"/>
      <c r="AC446" s="15"/>
      <c r="AH446" s="117"/>
      <c r="AI446" s="123"/>
      <c r="AJ446" s="123"/>
      <c r="AK446" s="123"/>
      <c r="AM446" s="115"/>
      <c r="AN446" s="115"/>
      <c r="AO446" s="115"/>
      <c r="AP446" s="115"/>
      <c r="AQ446" s="115"/>
      <c r="AR446" s="115"/>
      <c r="AS446" s="115"/>
      <c r="AT446" s="115"/>
      <c r="AU446" s="115"/>
      <c r="AV446" s="115"/>
      <c r="AW446" s="115"/>
      <c r="AX446" s="115"/>
      <c r="AY446" s="115"/>
      <c r="AZ446" s="25"/>
      <c r="BA446" s="25"/>
      <c r="BD446" s="114"/>
    </row>
    <row r="447" spans="1:56" ht="19.5" x14ac:dyDescent="0.4">
      <c r="A447" s="117"/>
      <c r="B447" s="123"/>
      <c r="C447" s="123"/>
      <c r="D447" s="123"/>
      <c r="Q447" s="26"/>
      <c r="R447" s="13"/>
      <c r="S447" s="115"/>
      <c r="T447" s="115"/>
      <c r="U447" s="115"/>
      <c r="V447" s="115"/>
      <c r="W447" s="115"/>
      <c r="X447" s="115"/>
      <c r="Y447" s="115"/>
      <c r="Z447" s="115"/>
      <c r="AA447" s="115"/>
      <c r="AB447" s="25">
        <v>45690</v>
      </c>
      <c r="AC447" s="15" t="s">
        <v>146</v>
      </c>
      <c r="AH447" s="117"/>
      <c r="AI447" s="123"/>
      <c r="AJ447" s="123"/>
      <c r="AK447" s="123"/>
      <c r="AM447" s="115"/>
      <c r="AN447" s="115"/>
      <c r="AO447" s="115"/>
      <c r="AP447" s="115"/>
      <c r="AQ447" s="115"/>
      <c r="AR447" s="115"/>
      <c r="AS447" s="115"/>
      <c r="AT447" s="115"/>
      <c r="AU447" s="115"/>
      <c r="AV447" s="115"/>
      <c r="AW447" s="115"/>
      <c r="AX447" s="115"/>
      <c r="AY447" s="115"/>
      <c r="AZ447" s="25"/>
      <c r="BA447" s="25"/>
      <c r="BD447" s="114"/>
    </row>
    <row r="448" spans="1:56" ht="19.5" x14ac:dyDescent="0.4">
      <c r="A448" s="117"/>
      <c r="B448" s="123"/>
      <c r="C448" s="123"/>
      <c r="D448" s="123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26"/>
      <c r="R448" s="13"/>
      <c r="S448" s="115"/>
      <c r="T448" s="115"/>
      <c r="U448" s="115"/>
      <c r="V448" s="115"/>
      <c r="W448" s="115"/>
      <c r="X448" s="115"/>
      <c r="Y448" s="115"/>
      <c r="Z448" s="115"/>
      <c r="AA448" s="115"/>
      <c r="AB448" s="25"/>
      <c r="AC448" s="15"/>
      <c r="AH448" s="117"/>
      <c r="AI448" s="123"/>
      <c r="AJ448" s="123"/>
      <c r="AK448" s="123"/>
      <c r="AM448" s="115"/>
      <c r="AN448" s="115"/>
      <c r="AO448" s="115"/>
      <c r="AP448" s="115"/>
      <c r="AQ448" s="115"/>
      <c r="AR448" s="115"/>
      <c r="AS448" s="115"/>
      <c r="AT448" s="115"/>
      <c r="AU448" s="115"/>
      <c r="AV448" s="115"/>
      <c r="AW448" s="115"/>
      <c r="AX448" s="115"/>
      <c r="AY448" s="115"/>
      <c r="AZ448" s="25"/>
      <c r="BA448" s="25"/>
      <c r="BD448" s="114"/>
    </row>
    <row r="449" spans="1:56" ht="19.5" x14ac:dyDescent="0.4">
      <c r="A449" s="117"/>
      <c r="B449" s="123"/>
      <c r="C449" s="123"/>
      <c r="D449" s="123"/>
      <c r="Q449" s="26"/>
      <c r="R449" s="13"/>
      <c r="S449" s="115"/>
      <c r="T449" s="115"/>
      <c r="U449" s="115"/>
      <c r="V449" s="115"/>
      <c r="W449" s="115"/>
      <c r="X449" s="115"/>
      <c r="Y449" s="115"/>
      <c r="Z449" s="115"/>
      <c r="AA449" s="115"/>
      <c r="AB449" s="25">
        <v>45691</v>
      </c>
      <c r="AC449" s="15" t="s">
        <v>146</v>
      </c>
      <c r="AH449" s="117"/>
      <c r="AI449" s="123"/>
      <c r="AJ449" s="123"/>
      <c r="AK449" s="123"/>
      <c r="AM449" s="115"/>
      <c r="AN449" s="115"/>
      <c r="AO449" s="115"/>
      <c r="AP449" s="115"/>
      <c r="AQ449" s="115"/>
      <c r="AR449" s="115"/>
      <c r="AS449" s="115"/>
      <c r="AT449" s="115"/>
      <c r="AU449" s="115"/>
      <c r="AV449" s="115"/>
      <c r="AW449" s="115"/>
      <c r="AX449" s="115"/>
      <c r="AY449" s="115"/>
      <c r="AZ449" s="25"/>
      <c r="BA449" s="25"/>
      <c r="BD449" s="114"/>
    </row>
    <row r="450" spans="1:56" ht="19.5" x14ac:dyDescent="0.4">
      <c r="A450" s="117"/>
      <c r="B450" s="123"/>
      <c r="C450" s="123"/>
      <c r="D450" s="123"/>
      <c r="Q450" s="26"/>
      <c r="R450" s="13"/>
      <c r="AB450" s="25">
        <v>45691</v>
      </c>
      <c r="AC450" s="15" t="s">
        <v>146</v>
      </c>
      <c r="AH450" s="117"/>
      <c r="AI450" s="123"/>
      <c r="AJ450" s="123"/>
      <c r="AK450" s="123"/>
      <c r="AM450" s="115"/>
      <c r="AN450" s="115"/>
      <c r="AO450" s="115"/>
      <c r="AP450" s="115"/>
      <c r="AQ450" s="115"/>
      <c r="AR450" s="115"/>
      <c r="AS450" s="115"/>
      <c r="AT450" s="115"/>
      <c r="AU450" s="115"/>
      <c r="AV450" s="115"/>
      <c r="AW450" s="115"/>
      <c r="AX450" s="115"/>
      <c r="AY450" s="115" t="s">
        <v>156</v>
      </c>
      <c r="AZ450" s="13">
        <f>SUBTOTAL(3,AZ442:AZ442)</f>
        <v>1</v>
      </c>
      <c r="BA450" s="13">
        <f>SUBTOTAL(3,BA442:BA442)</f>
        <v>1</v>
      </c>
      <c r="BD450" s="114"/>
    </row>
    <row r="451" spans="1:56" ht="19.5" x14ac:dyDescent="0.4">
      <c r="A451" s="117"/>
      <c r="B451" s="123"/>
      <c r="C451" s="123"/>
      <c r="D451" s="123"/>
      <c r="Q451" s="26"/>
      <c r="R451" s="13"/>
      <c r="X451" s="115"/>
      <c r="Y451" s="115"/>
      <c r="Z451" s="115"/>
      <c r="AA451" s="115"/>
      <c r="AB451" s="25">
        <v>45691</v>
      </c>
      <c r="AC451" s="15" t="s">
        <v>146</v>
      </c>
      <c r="AH451" s="117"/>
      <c r="AI451" s="123"/>
      <c r="AJ451" s="123"/>
      <c r="AK451" s="123"/>
      <c r="AM451" s="115"/>
      <c r="AN451" s="115"/>
      <c r="AO451" s="115"/>
      <c r="AP451" s="115"/>
      <c r="AQ451" s="115"/>
      <c r="AR451" s="115"/>
      <c r="AS451" s="115"/>
      <c r="AT451" s="115"/>
      <c r="AU451" s="115"/>
      <c r="AV451" s="115"/>
      <c r="AW451" s="115"/>
      <c r="AX451" s="115"/>
      <c r="AY451" s="115"/>
      <c r="AZ451" s="13"/>
      <c r="BA451" s="13"/>
      <c r="BD451" s="114"/>
    </row>
    <row r="452" spans="1:56" ht="19.5" x14ac:dyDescent="0.4">
      <c r="A452" s="117"/>
      <c r="B452" s="123"/>
      <c r="C452" s="123"/>
      <c r="D452" s="123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26"/>
      <c r="R452" s="13"/>
      <c r="X452" s="115"/>
      <c r="Y452" s="115"/>
      <c r="Z452" s="115"/>
      <c r="AA452" s="115"/>
      <c r="AB452" s="25"/>
      <c r="AC452" s="15"/>
      <c r="AH452" s="117"/>
      <c r="AI452" s="123"/>
      <c r="AJ452" s="123"/>
      <c r="AK452" s="123"/>
      <c r="AM452" s="115"/>
      <c r="AN452" s="115"/>
      <c r="AO452" s="115"/>
      <c r="AP452" s="115"/>
      <c r="AQ452" s="115"/>
      <c r="AR452" s="115"/>
      <c r="AS452" s="115"/>
      <c r="AT452" s="115"/>
      <c r="AU452" s="115"/>
      <c r="AV452" s="115"/>
      <c r="AW452" s="115"/>
      <c r="AX452" s="115"/>
      <c r="AY452" s="115"/>
      <c r="AZ452" s="13"/>
      <c r="BA452" s="13"/>
      <c r="BD452" s="114"/>
    </row>
    <row r="453" spans="1:56" ht="19.5" x14ac:dyDescent="0.4">
      <c r="A453" s="117"/>
      <c r="B453" s="123"/>
      <c r="C453" s="123"/>
      <c r="D453" s="123"/>
      <c r="Q453" s="26"/>
      <c r="R453" s="13"/>
      <c r="S453" s="115"/>
      <c r="T453" s="115"/>
      <c r="U453" s="115"/>
      <c r="V453" s="115"/>
      <c r="W453" s="115"/>
      <c r="X453" s="115"/>
      <c r="Y453" s="115"/>
      <c r="Z453" s="115"/>
      <c r="AA453" s="115"/>
      <c r="AB453" s="25">
        <v>45691</v>
      </c>
      <c r="AC453" s="15" t="s">
        <v>146</v>
      </c>
      <c r="AH453" s="117"/>
      <c r="AI453" s="123"/>
      <c r="AJ453" s="123"/>
      <c r="AK453" s="123"/>
      <c r="AM453" s="115"/>
      <c r="AN453" s="115"/>
      <c r="AO453" s="115"/>
      <c r="AP453" s="115"/>
      <c r="AQ453" s="115"/>
      <c r="AR453" s="115"/>
      <c r="AS453" s="115"/>
      <c r="AT453" s="115"/>
      <c r="AU453" s="115"/>
      <c r="AV453" s="115"/>
      <c r="AW453" s="115"/>
      <c r="AX453" s="115"/>
      <c r="AY453" s="115"/>
      <c r="AZ453" s="13"/>
      <c r="BA453" s="13"/>
      <c r="BD453" s="114"/>
    </row>
    <row r="454" spans="1:56" ht="19.5" x14ac:dyDescent="0.4">
      <c r="A454" s="117"/>
      <c r="B454" s="123"/>
      <c r="C454" s="123"/>
      <c r="D454" s="123"/>
      <c r="H454" s="115"/>
      <c r="I454" s="115"/>
      <c r="J454" s="115"/>
      <c r="K454" s="115"/>
      <c r="L454" s="115"/>
      <c r="M454" s="115"/>
      <c r="N454" s="115"/>
      <c r="O454" s="115"/>
      <c r="P454" s="115"/>
      <c r="Q454" s="26"/>
      <c r="R454" s="13"/>
      <c r="S454" s="115"/>
      <c r="T454" s="115"/>
      <c r="U454" s="115"/>
      <c r="V454" s="115"/>
      <c r="W454" s="115"/>
      <c r="X454" s="115"/>
      <c r="Y454" s="115"/>
      <c r="Z454" s="115"/>
      <c r="AA454" s="115"/>
      <c r="AB454" s="25"/>
      <c r="AC454" s="15"/>
      <c r="AH454" s="117"/>
      <c r="AI454" s="123"/>
      <c r="AJ454" s="123"/>
      <c r="AK454" s="123"/>
      <c r="AM454" s="115"/>
      <c r="AN454" s="115"/>
      <c r="AO454" s="115"/>
      <c r="AP454" s="115"/>
      <c r="AQ454" s="115"/>
      <c r="AR454" s="115"/>
      <c r="AS454" s="115"/>
      <c r="AT454" s="115"/>
      <c r="AU454" s="115"/>
      <c r="AV454" s="115"/>
      <c r="AW454" s="115"/>
      <c r="AX454" s="115"/>
      <c r="AY454" s="115"/>
      <c r="AZ454" s="13"/>
      <c r="BA454" s="13"/>
      <c r="BD454" s="114"/>
    </row>
    <row r="455" spans="1:56" ht="19.5" x14ac:dyDescent="0.4">
      <c r="A455" s="117"/>
      <c r="B455" s="123"/>
      <c r="C455" s="123"/>
      <c r="D455" s="123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26"/>
      <c r="R455" s="13"/>
      <c r="S455" s="115"/>
      <c r="T455" s="115"/>
      <c r="U455" s="115"/>
      <c r="V455" s="115"/>
      <c r="W455" s="115"/>
      <c r="X455" s="115"/>
      <c r="Y455" s="115"/>
      <c r="Z455" s="115"/>
      <c r="AA455" s="115"/>
      <c r="AB455" s="25"/>
      <c r="AC455" s="15"/>
      <c r="AH455" s="117"/>
      <c r="AI455" s="123"/>
      <c r="AJ455" s="123"/>
      <c r="AK455" s="123"/>
      <c r="AM455" s="115"/>
      <c r="AN455" s="115"/>
      <c r="AO455" s="115"/>
      <c r="AP455" s="115"/>
      <c r="AQ455" s="115"/>
      <c r="AR455" s="115"/>
      <c r="AS455" s="115"/>
      <c r="AT455" s="115"/>
      <c r="AU455" s="115"/>
      <c r="AV455" s="115"/>
      <c r="AW455" s="115"/>
      <c r="AX455" s="115"/>
      <c r="AY455" s="115"/>
      <c r="AZ455" s="13"/>
      <c r="BA455" s="13"/>
      <c r="BD455" s="114"/>
    </row>
    <row r="456" spans="1:56" ht="19.5" x14ac:dyDescent="0.4">
      <c r="A456" s="117"/>
      <c r="B456" s="123"/>
      <c r="C456" s="123"/>
      <c r="D456" s="123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26"/>
      <c r="R456" s="13"/>
      <c r="S456" s="115"/>
      <c r="T456" s="115"/>
      <c r="U456" s="115"/>
      <c r="V456" s="115"/>
      <c r="W456" s="115"/>
      <c r="X456" s="115"/>
      <c r="Y456" s="115"/>
      <c r="Z456" s="115"/>
      <c r="AA456" s="115"/>
      <c r="AB456" s="25"/>
      <c r="AC456" s="15"/>
      <c r="AH456" s="117"/>
      <c r="AI456" s="123"/>
      <c r="AJ456" s="123"/>
      <c r="AK456" s="123"/>
      <c r="AM456" s="115"/>
      <c r="AN456" s="115"/>
      <c r="AO456" s="115"/>
      <c r="AP456" s="115"/>
      <c r="AQ456" s="115"/>
      <c r="AR456" s="115"/>
      <c r="AS456" s="115"/>
      <c r="AT456" s="115"/>
      <c r="AU456" s="115"/>
      <c r="AV456" s="115"/>
      <c r="AW456" s="115"/>
      <c r="AX456" s="115"/>
      <c r="AY456" s="115"/>
      <c r="AZ456" s="13"/>
      <c r="BA456" s="13"/>
      <c r="BD456" s="114"/>
    </row>
    <row r="457" spans="1:56" ht="19.5" x14ac:dyDescent="0.4">
      <c r="A457" s="117"/>
      <c r="B457" s="123"/>
      <c r="C457" s="123"/>
      <c r="D457" s="123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29"/>
      <c r="R457" s="13"/>
      <c r="S457" s="115"/>
      <c r="T457" s="115"/>
      <c r="U457" s="115"/>
      <c r="V457" s="115"/>
      <c r="W457" s="115"/>
      <c r="X457" s="115"/>
      <c r="Y457" s="115"/>
      <c r="Z457" s="115"/>
      <c r="AA457" s="115"/>
      <c r="AB457" s="25"/>
      <c r="AC457" s="15"/>
      <c r="AH457" s="117"/>
      <c r="AI457" s="123"/>
      <c r="AJ457" s="123"/>
      <c r="AK457" s="123"/>
      <c r="AM457" s="115"/>
      <c r="AN457" s="115"/>
      <c r="AO457" s="115"/>
      <c r="AP457" s="115"/>
      <c r="AQ457" s="115"/>
      <c r="AR457" s="115"/>
      <c r="AS457" s="115"/>
      <c r="AT457" s="115"/>
      <c r="AU457" s="115"/>
      <c r="AV457" s="115"/>
      <c r="AW457" s="115"/>
      <c r="AX457" s="115"/>
      <c r="AY457" s="115"/>
      <c r="AZ457" s="13"/>
      <c r="BA457" s="13"/>
      <c r="BD457" s="114"/>
    </row>
    <row r="458" spans="1:56" ht="19.5" x14ac:dyDescent="0.4">
      <c r="A458" s="117"/>
      <c r="B458" s="123"/>
      <c r="C458" s="123"/>
      <c r="D458" s="123"/>
      <c r="Q458" s="26"/>
      <c r="R458" s="13"/>
      <c r="S458" s="115"/>
      <c r="T458" s="115"/>
      <c r="U458" s="115"/>
      <c r="V458" s="115"/>
      <c r="W458" s="115"/>
      <c r="X458" s="115"/>
      <c r="Y458" s="115"/>
      <c r="Z458" s="115"/>
      <c r="AA458" s="115"/>
      <c r="AB458" s="25">
        <v>45692</v>
      </c>
      <c r="AC458" s="15" t="s">
        <v>146</v>
      </c>
      <c r="AH458" s="117"/>
      <c r="AI458" s="123"/>
      <c r="AJ458" s="123"/>
      <c r="AK458" s="123"/>
      <c r="AM458" s="115"/>
      <c r="AN458" s="115"/>
      <c r="AO458" s="115"/>
      <c r="AP458" s="115"/>
      <c r="AQ458" s="115"/>
      <c r="AR458" s="115"/>
      <c r="AS458" s="115"/>
      <c r="AT458" s="115"/>
      <c r="AU458" s="115"/>
      <c r="AV458" s="115"/>
      <c r="AW458" s="115"/>
      <c r="AX458" s="115"/>
      <c r="AY458" s="115"/>
      <c r="AZ458" s="13"/>
      <c r="BA458" s="13"/>
      <c r="BD458" s="114"/>
    </row>
    <row r="459" spans="1:56" ht="19.5" x14ac:dyDescent="0.4">
      <c r="A459" s="117"/>
      <c r="B459" s="123"/>
      <c r="C459" s="123"/>
      <c r="D459" s="123"/>
      <c r="Q459" s="129"/>
      <c r="R459" s="13"/>
      <c r="S459" s="115"/>
      <c r="T459" s="115"/>
      <c r="U459" s="115"/>
      <c r="V459" s="115"/>
      <c r="W459" s="115"/>
      <c r="X459" s="115"/>
      <c r="Y459" s="115"/>
      <c r="Z459" s="115"/>
      <c r="AA459" s="115"/>
      <c r="AB459" s="25"/>
      <c r="AC459" s="15"/>
      <c r="AH459" s="117"/>
      <c r="AI459" s="123"/>
      <c r="AJ459" s="123"/>
      <c r="AK459" s="123"/>
      <c r="AM459" s="115"/>
      <c r="AN459" s="115"/>
      <c r="AO459" s="115"/>
      <c r="AP459" s="115"/>
      <c r="AQ459" s="115"/>
      <c r="AR459" s="115"/>
      <c r="AS459" s="115"/>
      <c r="AT459" s="115"/>
      <c r="AU459" s="115"/>
      <c r="AV459" s="115"/>
      <c r="AW459" s="115"/>
      <c r="AX459" s="115"/>
      <c r="AY459" s="115"/>
      <c r="AZ459" s="13"/>
      <c r="BA459" s="13"/>
      <c r="BD459" s="114"/>
    </row>
    <row r="460" spans="1:56" ht="19.5" x14ac:dyDescent="0.4">
      <c r="A460" s="117"/>
      <c r="B460" s="123"/>
      <c r="C460" s="123"/>
      <c r="D460" s="123"/>
      <c r="Q460" s="26"/>
      <c r="R460" s="13"/>
      <c r="AB460" s="25">
        <v>45692</v>
      </c>
      <c r="AC460" s="15" t="s">
        <v>146</v>
      </c>
      <c r="AH460" s="117"/>
      <c r="AI460" s="123"/>
      <c r="AJ460" s="123"/>
      <c r="AK460" s="123"/>
      <c r="AM460" s="115"/>
      <c r="AN460" s="115"/>
      <c r="AO460" s="115"/>
      <c r="AP460" s="115"/>
      <c r="AQ460" s="115"/>
      <c r="AR460" s="115"/>
      <c r="AS460" s="115"/>
      <c r="AT460" s="115"/>
      <c r="AU460" s="115"/>
      <c r="AV460" s="115"/>
      <c r="AW460" s="115"/>
      <c r="AX460" s="115"/>
      <c r="AY460" s="115"/>
      <c r="AZ460" s="25">
        <v>45267</v>
      </c>
      <c r="BA460" s="13" t="s">
        <v>142</v>
      </c>
      <c r="BD460" s="114"/>
    </row>
    <row r="461" spans="1:56" ht="19.5" x14ac:dyDescent="0.4">
      <c r="A461" s="117"/>
      <c r="B461" s="123"/>
      <c r="C461" s="123"/>
      <c r="D461" s="123"/>
      <c r="Q461" s="26"/>
      <c r="R461" s="13"/>
      <c r="X461" s="115"/>
      <c r="Y461" s="115"/>
      <c r="Z461" s="115"/>
      <c r="AA461" s="115"/>
      <c r="AB461" s="25">
        <v>45692</v>
      </c>
      <c r="AC461" s="15" t="s">
        <v>146</v>
      </c>
      <c r="AH461" s="117"/>
      <c r="AI461" s="123"/>
      <c r="AJ461" s="123"/>
      <c r="AK461" s="123"/>
      <c r="AM461" s="115"/>
      <c r="AN461" s="115"/>
      <c r="AO461" s="115"/>
      <c r="AP461" s="115"/>
      <c r="AQ461" s="115"/>
      <c r="AR461" s="115"/>
      <c r="AS461" s="115"/>
      <c r="AT461" s="115"/>
      <c r="AU461" s="115"/>
      <c r="AV461" s="115"/>
      <c r="AW461" s="115"/>
      <c r="AX461" s="115"/>
      <c r="AY461" s="115"/>
      <c r="AZ461" s="25"/>
      <c r="BA461" s="13"/>
      <c r="BD461" s="114"/>
    </row>
    <row r="462" spans="1:56" ht="19.5" x14ac:dyDescent="0.4">
      <c r="A462" s="117"/>
      <c r="B462" s="123"/>
      <c r="C462" s="123"/>
      <c r="D462" s="123"/>
      <c r="Q462" s="26"/>
      <c r="R462" s="13"/>
      <c r="T462" s="115"/>
      <c r="U462" s="115"/>
      <c r="V462" s="115"/>
      <c r="W462" s="115"/>
      <c r="X462" s="115"/>
      <c r="Y462" s="115"/>
      <c r="Z462" s="115"/>
      <c r="AA462" s="115"/>
      <c r="AB462" s="25">
        <v>45692</v>
      </c>
      <c r="AC462" s="15" t="s">
        <v>146</v>
      </c>
      <c r="AH462" s="117"/>
      <c r="AI462" s="123"/>
      <c r="AJ462" s="123"/>
      <c r="AK462" s="123"/>
      <c r="AM462" s="115"/>
      <c r="AN462" s="115"/>
      <c r="AO462" s="115"/>
      <c r="AP462" s="115"/>
      <c r="AQ462" s="115"/>
      <c r="AR462" s="115"/>
      <c r="AS462" s="115"/>
      <c r="AT462" s="115"/>
      <c r="AU462" s="115"/>
      <c r="AV462" s="115"/>
      <c r="AW462" s="115"/>
      <c r="AX462" s="115"/>
      <c r="AY462" s="115"/>
      <c r="AZ462" s="25"/>
      <c r="BA462" s="13"/>
      <c r="BD462" s="114"/>
    </row>
    <row r="463" spans="1:56" ht="19.5" x14ac:dyDescent="0.4">
      <c r="A463" s="117"/>
      <c r="B463" s="123"/>
      <c r="C463" s="123"/>
      <c r="D463" s="123"/>
      <c r="H463" s="115"/>
      <c r="I463" s="115"/>
      <c r="J463" s="115"/>
      <c r="K463" s="115"/>
      <c r="L463" s="115"/>
      <c r="M463" s="115"/>
      <c r="N463" s="115"/>
      <c r="O463" s="115"/>
      <c r="P463" s="115"/>
      <c r="Q463" s="26"/>
      <c r="R463" s="13"/>
      <c r="T463" s="115"/>
      <c r="U463" s="115"/>
      <c r="V463" s="115"/>
      <c r="W463" s="115"/>
      <c r="X463" s="115"/>
      <c r="Y463" s="115"/>
      <c r="Z463" s="115"/>
      <c r="AA463" s="115"/>
      <c r="AB463" s="25"/>
      <c r="AC463" s="15"/>
      <c r="AH463" s="117"/>
      <c r="AI463" s="123"/>
      <c r="AJ463" s="123"/>
      <c r="AK463" s="123"/>
      <c r="AM463" s="115"/>
      <c r="AN463" s="115"/>
      <c r="AO463" s="115"/>
      <c r="AP463" s="115"/>
      <c r="AQ463" s="115"/>
      <c r="AR463" s="115"/>
      <c r="AS463" s="115"/>
      <c r="AT463" s="115"/>
      <c r="AU463" s="115"/>
      <c r="AV463" s="115"/>
      <c r="AW463" s="115"/>
      <c r="AX463" s="115"/>
      <c r="AY463" s="115"/>
      <c r="AZ463" s="25"/>
      <c r="BA463" s="13"/>
      <c r="BD463" s="114"/>
    </row>
    <row r="464" spans="1:56" ht="19.5" x14ac:dyDescent="0.4">
      <c r="A464" s="117"/>
      <c r="B464" s="123"/>
      <c r="C464" s="123"/>
      <c r="D464" s="123"/>
      <c r="H464" s="115"/>
      <c r="I464" s="115"/>
      <c r="J464" s="115"/>
      <c r="K464" s="115"/>
      <c r="L464" s="115"/>
      <c r="M464" s="115"/>
      <c r="N464" s="115"/>
      <c r="O464" s="115"/>
      <c r="P464" s="115"/>
      <c r="Q464" s="129"/>
      <c r="R464" s="13"/>
      <c r="T464" s="115"/>
      <c r="U464" s="115"/>
      <c r="V464" s="115"/>
      <c r="W464" s="115"/>
      <c r="X464" s="115"/>
      <c r="Y464" s="115"/>
      <c r="Z464" s="115"/>
      <c r="AA464" s="115"/>
      <c r="AB464" s="25"/>
      <c r="AC464" s="15"/>
      <c r="AH464" s="117"/>
      <c r="AI464" s="123"/>
      <c r="AJ464" s="123"/>
      <c r="AK464" s="123"/>
      <c r="AM464" s="115"/>
      <c r="AN464" s="115"/>
      <c r="AO464" s="115"/>
      <c r="AP464" s="115"/>
      <c r="AQ464" s="115"/>
      <c r="AR464" s="115"/>
      <c r="AS464" s="115"/>
      <c r="AT464" s="115"/>
      <c r="AU464" s="115"/>
      <c r="AV464" s="115"/>
      <c r="AW464" s="115"/>
      <c r="AX464" s="115"/>
      <c r="AY464" s="115"/>
      <c r="AZ464" s="25"/>
      <c r="BA464" s="13"/>
      <c r="BD464" s="114"/>
    </row>
    <row r="465" spans="1:56" ht="19.5" x14ac:dyDescent="0.4">
      <c r="A465" s="117"/>
      <c r="B465" s="123"/>
      <c r="C465" s="123"/>
      <c r="D465" s="123"/>
      <c r="Q465" s="26"/>
      <c r="R465" s="13"/>
      <c r="S465" s="115"/>
      <c r="T465" s="115"/>
      <c r="U465" s="115"/>
      <c r="V465" s="115"/>
      <c r="W465" s="115"/>
      <c r="X465" s="115"/>
      <c r="Y465" s="115"/>
      <c r="Z465" s="115"/>
      <c r="AA465" s="115"/>
      <c r="AB465" s="25">
        <v>45693</v>
      </c>
      <c r="AC465" s="15" t="s">
        <v>146</v>
      </c>
      <c r="AH465" s="117"/>
      <c r="AI465" s="123"/>
      <c r="AJ465" s="123"/>
      <c r="AK465" s="123"/>
      <c r="AM465" s="115"/>
      <c r="AN465" s="115"/>
      <c r="AO465" s="115"/>
      <c r="AP465" s="115"/>
      <c r="AQ465" s="115"/>
      <c r="AR465" s="115"/>
      <c r="AS465" s="115"/>
      <c r="AT465" s="115"/>
      <c r="AU465" s="115"/>
      <c r="AV465" s="115"/>
      <c r="AW465" s="115"/>
      <c r="AX465" s="115"/>
      <c r="AY465" s="115"/>
      <c r="AZ465" s="25"/>
      <c r="BA465" s="13"/>
      <c r="BD465" s="114"/>
    </row>
    <row r="466" spans="1:56" ht="19.5" x14ac:dyDescent="0.4">
      <c r="A466" s="117"/>
      <c r="B466" s="123"/>
      <c r="C466" s="123"/>
      <c r="D466" s="123"/>
      <c r="Q466" s="129"/>
      <c r="R466" s="13"/>
      <c r="S466" s="115"/>
      <c r="T466" s="115"/>
      <c r="U466" s="115"/>
      <c r="V466" s="115"/>
      <c r="W466" s="115"/>
      <c r="X466" s="115"/>
      <c r="Y466" s="115"/>
      <c r="Z466" s="115"/>
      <c r="AA466" s="115"/>
      <c r="AB466" s="25"/>
      <c r="AC466" s="15"/>
      <c r="AH466" s="117"/>
      <c r="AI466" s="123"/>
      <c r="AJ466" s="123"/>
      <c r="AK466" s="123"/>
      <c r="AM466" s="115"/>
      <c r="AN466" s="115"/>
      <c r="AO466" s="115"/>
      <c r="AP466" s="115"/>
      <c r="AQ466" s="115"/>
      <c r="AR466" s="115"/>
      <c r="AS466" s="115"/>
      <c r="AT466" s="115"/>
      <c r="AU466" s="115"/>
      <c r="AV466" s="115"/>
      <c r="AW466" s="115"/>
      <c r="AX466" s="115"/>
      <c r="AY466" s="115"/>
      <c r="AZ466" s="25"/>
      <c r="BA466" s="13"/>
      <c r="BD466" s="114"/>
    </row>
    <row r="467" spans="1:56" ht="19.5" x14ac:dyDescent="0.4">
      <c r="A467" s="117"/>
      <c r="B467" s="123"/>
      <c r="C467" s="123"/>
      <c r="D467" s="123"/>
      <c r="H467" s="115"/>
      <c r="I467" s="115"/>
      <c r="J467" s="115"/>
      <c r="K467" s="115"/>
      <c r="L467" s="115"/>
      <c r="M467" s="115"/>
      <c r="N467" s="115"/>
      <c r="O467" s="115"/>
      <c r="P467" s="115"/>
      <c r="Q467" s="26"/>
      <c r="R467" s="13"/>
      <c r="S467" s="115"/>
      <c r="T467" s="115"/>
      <c r="U467" s="115"/>
      <c r="V467" s="115"/>
      <c r="W467" s="115"/>
      <c r="X467" s="115"/>
      <c r="Y467" s="115"/>
      <c r="Z467" s="115"/>
      <c r="AA467" s="115"/>
      <c r="AB467" s="25"/>
      <c r="AC467" s="15"/>
      <c r="AH467" s="117"/>
      <c r="AI467" s="123"/>
      <c r="AJ467" s="123"/>
      <c r="AK467" s="123"/>
      <c r="AM467" s="115"/>
      <c r="AN467" s="115"/>
      <c r="AO467" s="115"/>
      <c r="AP467" s="115"/>
      <c r="AQ467" s="115"/>
      <c r="AR467" s="115"/>
      <c r="AS467" s="115"/>
      <c r="AT467" s="115"/>
      <c r="AU467" s="115"/>
      <c r="AV467" s="115"/>
      <c r="AW467" s="115"/>
      <c r="AX467" s="115"/>
      <c r="AY467" s="115"/>
      <c r="AZ467" s="25"/>
      <c r="BA467" s="13"/>
      <c r="BD467" s="114"/>
    </row>
    <row r="468" spans="1:56" ht="19.5" x14ac:dyDescent="0.4">
      <c r="A468" s="117"/>
      <c r="B468" s="123"/>
      <c r="C468" s="123"/>
      <c r="D468" s="123"/>
      <c r="Q468" s="26"/>
      <c r="R468" s="13"/>
      <c r="AB468" s="25">
        <v>45693</v>
      </c>
      <c r="AC468" s="15" t="s">
        <v>146</v>
      </c>
      <c r="AH468" s="117"/>
      <c r="AI468" s="123"/>
      <c r="AJ468" s="123"/>
      <c r="AK468" s="123"/>
      <c r="AM468" s="115"/>
      <c r="AN468" s="115"/>
      <c r="AO468" s="115"/>
      <c r="AP468" s="115"/>
      <c r="AQ468" s="115"/>
      <c r="AR468" s="115"/>
      <c r="AS468" s="115"/>
      <c r="AT468" s="115"/>
      <c r="AU468" s="115"/>
      <c r="AV468" s="115"/>
      <c r="AW468" s="115"/>
      <c r="AX468" s="115"/>
      <c r="AY468" s="115" t="s">
        <v>157</v>
      </c>
      <c r="AZ468" s="13">
        <f>SUBTOTAL(3,AZ460:AZ460)</f>
        <v>1</v>
      </c>
      <c r="BA468" s="13">
        <f>SUBTOTAL(3,BA460:BA460)</f>
        <v>1</v>
      </c>
      <c r="BD468" s="114"/>
    </row>
    <row r="469" spans="1:56" ht="19.5" x14ac:dyDescent="0.4">
      <c r="A469" s="117"/>
      <c r="B469" s="123"/>
      <c r="C469" s="123"/>
      <c r="D469" s="123"/>
      <c r="Q469" s="26"/>
      <c r="R469" s="13"/>
      <c r="T469" s="115"/>
      <c r="U469" s="115"/>
      <c r="V469" s="115"/>
      <c r="W469" s="115"/>
      <c r="X469" s="115"/>
      <c r="Y469" s="115"/>
      <c r="Z469" s="115"/>
      <c r="AA469" s="115"/>
      <c r="AB469" s="25">
        <v>45693</v>
      </c>
      <c r="AC469" s="15" t="s">
        <v>146</v>
      </c>
      <c r="AH469" s="117"/>
      <c r="AI469" s="123"/>
      <c r="AJ469" s="123"/>
      <c r="AK469" s="123"/>
      <c r="AM469" s="115"/>
      <c r="AN469" s="115"/>
      <c r="AO469" s="115"/>
      <c r="AP469" s="115"/>
      <c r="AQ469" s="115"/>
      <c r="AR469" s="115"/>
      <c r="AS469" s="115"/>
      <c r="AT469" s="115"/>
      <c r="AU469" s="115"/>
      <c r="AV469" s="115"/>
      <c r="AW469" s="115"/>
      <c r="AX469" s="115"/>
      <c r="AY469" s="115"/>
      <c r="AZ469" s="13"/>
      <c r="BA469" s="13"/>
      <c r="BD469" s="114"/>
    </row>
    <row r="470" spans="1:56" ht="19.5" x14ac:dyDescent="0.4">
      <c r="A470" s="117"/>
      <c r="B470" s="123"/>
      <c r="C470" s="123"/>
      <c r="D470" s="123"/>
      <c r="Q470" s="129"/>
      <c r="R470" s="13"/>
      <c r="T470" s="115"/>
      <c r="U470" s="115"/>
      <c r="V470" s="115"/>
      <c r="W470" s="115"/>
      <c r="X470" s="115"/>
      <c r="Y470" s="115"/>
      <c r="Z470" s="115"/>
      <c r="AA470" s="115"/>
      <c r="AB470" s="25"/>
      <c r="AC470" s="15"/>
      <c r="AH470" s="117"/>
      <c r="AI470" s="123"/>
      <c r="AJ470" s="123"/>
      <c r="AK470" s="123"/>
      <c r="AM470" s="115"/>
      <c r="AN470" s="115"/>
      <c r="AO470" s="115"/>
      <c r="AP470" s="115"/>
      <c r="AQ470" s="115"/>
      <c r="AR470" s="115"/>
      <c r="AS470" s="115"/>
      <c r="AT470" s="115"/>
      <c r="AU470" s="115"/>
      <c r="AV470" s="115"/>
      <c r="AW470" s="115"/>
      <c r="AX470" s="115"/>
      <c r="AY470" s="115"/>
      <c r="AZ470" s="13"/>
      <c r="BA470" s="13"/>
      <c r="BD470" s="114"/>
    </row>
    <row r="471" spans="1:56" ht="19.5" x14ac:dyDescent="0.4">
      <c r="A471" s="117"/>
      <c r="B471" s="123"/>
      <c r="C471" s="123"/>
      <c r="D471" s="123"/>
      <c r="Q471" s="129"/>
      <c r="R471" s="13"/>
      <c r="T471" s="115"/>
      <c r="U471" s="115"/>
      <c r="V471" s="115"/>
      <c r="W471" s="115"/>
      <c r="X471" s="115"/>
      <c r="Y471" s="115"/>
      <c r="Z471" s="115"/>
      <c r="AA471" s="115"/>
      <c r="AB471" s="25"/>
      <c r="AC471" s="15"/>
      <c r="AH471" s="117"/>
      <c r="AI471" s="123"/>
      <c r="AJ471" s="123"/>
      <c r="AK471" s="123"/>
      <c r="AM471" s="115"/>
      <c r="AN471" s="115"/>
      <c r="AO471" s="115"/>
      <c r="AP471" s="115"/>
      <c r="AQ471" s="115"/>
      <c r="AR471" s="115"/>
      <c r="AS471" s="115"/>
      <c r="AT471" s="115"/>
      <c r="AU471" s="115"/>
      <c r="AV471" s="115"/>
      <c r="AW471" s="115"/>
      <c r="AX471" s="115"/>
      <c r="AY471" s="115"/>
      <c r="AZ471" s="13"/>
      <c r="BA471" s="13"/>
      <c r="BD471" s="114"/>
    </row>
    <row r="472" spans="1:56" ht="19.5" x14ac:dyDescent="0.4">
      <c r="A472" s="117"/>
      <c r="B472" s="123"/>
      <c r="C472" s="123"/>
      <c r="D472" s="123"/>
      <c r="Q472" s="26"/>
      <c r="R472" s="13"/>
      <c r="T472" s="115"/>
      <c r="U472" s="115"/>
      <c r="V472" s="115"/>
      <c r="W472" s="115"/>
      <c r="X472" s="115"/>
      <c r="Y472" s="115"/>
      <c r="Z472" s="115"/>
      <c r="AA472" s="115"/>
      <c r="AB472" s="25">
        <v>45694</v>
      </c>
      <c r="AC472" s="15" t="s">
        <v>147</v>
      </c>
      <c r="AH472" s="117"/>
      <c r="AI472" s="123"/>
      <c r="AJ472" s="123"/>
      <c r="AK472" s="123"/>
      <c r="AM472" s="115"/>
      <c r="AN472" s="115"/>
      <c r="AO472" s="115"/>
      <c r="AP472" s="115"/>
      <c r="AQ472" s="115"/>
      <c r="AR472" s="115"/>
      <c r="AS472" s="115"/>
      <c r="AT472" s="115"/>
      <c r="AU472" s="115"/>
      <c r="AV472" s="115"/>
      <c r="AW472" s="115"/>
      <c r="AX472" s="115"/>
      <c r="AY472" s="115"/>
      <c r="AZ472" s="13"/>
      <c r="BA472" s="13"/>
      <c r="BD472" s="114"/>
    </row>
    <row r="473" spans="1:56" ht="19.5" x14ac:dyDescent="0.4">
      <c r="A473" s="117"/>
      <c r="B473" s="123"/>
      <c r="C473" s="123"/>
      <c r="D473" s="123"/>
      <c r="H473" s="115"/>
      <c r="I473" s="115"/>
      <c r="J473" s="115"/>
      <c r="K473" s="115"/>
      <c r="L473" s="115"/>
      <c r="M473" s="115"/>
      <c r="N473" s="115"/>
      <c r="O473" s="115"/>
      <c r="P473" s="115"/>
      <c r="Q473" s="17"/>
      <c r="R473" s="13"/>
      <c r="T473" s="115"/>
      <c r="U473" s="115"/>
      <c r="V473" s="115"/>
      <c r="W473" s="115"/>
      <c r="X473" s="115"/>
      <c r="Y473" s="115"/>
      <c r="Z473" s="115"/>
      <c r="AA473" s="115"/>
      <c r="AB473" s="25"/>
      <c r="AC473" s="15"/>
      <c r="AH473" s="117"/>
      <c r="AI473" s="123"/>
      <c r="AJ473" s="123"/>
      <c r="AK473" s="123"/>
      <c r="AM473" s="115"/>
      <c r="AN473" s="115"/>
      <c r="AO473" s="115"/>
      <c r="AP473" s="115"/>
      <c r="AQ473" s="115"/>
      <c r="AR473" s="115"/>
      <c r="AS473" s="115"/>
      <c r="AT473" s="115"/>
      <c r="AU473" s="115"/>
      <c r="AV473" s="115"/>
      <c r="AW473" s="115"/>
      <c r="AX473" s="115"/>
      <c r="AY473" s="115"/>
      <c r="AZ473" s="13"/>
      <c r="BA473" s="13"/>
      <c r="BD473" s="114"/>
    </row>
    <row r="474" spans="1:56" ht="19.5" x14ac:dyDescent="0.4">
      <c r="A474" s="117"/>
      <c r="B474" s="123"/>
      <c r="C474" s="123"/>
      <c r="D474" s="123"/>
      <c r="H474" s="115"/>
      <c r="I474" s="115"/>
      <c r="J474" s="115"/>
      <c r="K474" s="115"/>
      <c r="L474" s="115"/>
      <c r="M474" s="115"/>
      <c r="N474" s="115"/>
      <c r="O474" s="115"/>
      <c r="P474" s="115"/>
      <c r="Q474" s="17"/>
      <c r="R474" s="13"/>
      <c r="T474" s="115"/>
      <c r="U474" s="115"/>
      <c r="V474" s="115"/>
      <c r="W474" s="115"/>
      <c r="X474" s="115"/>
      <c r="Y474" s="115"/>
      <c r="Z474" s="115"/>
      <c r="AA474" s="115"/>
      <c r="AB474" s="25"/>
      <c r="AC474" s="15"/>
      <c r="AH474" s="117"/>
      <c r="AI474" s="123"/>
      <c r="AJ474" s="123"/>
      <c r="AK474" s="123"/>
      <c r="AM474" s="115"/>
      <c r="AN474" s="115"/>
      <c r="AO474" s="115"/>
      <c r="AP474" s="115"/>
      <c r="AQ474" s="115"/>
      <c r="AR474" s="115"/>
      <c r="AS474" s="115"/>
      <c r="AT474" s="115"/>
      <c r="AU474" s="115"/>
      <c r="AV474" s="115"/>
      <c r="AW474" s="115"/>
      <c r="AX474" s="115"/>
      <c r="AY474" s="115"/>
      <c r="AZ474" s="13"/>
      <c r="BA474" s="13"/>
      <c r="BD474" s="114"/>
    </row>
    <row r="475" spans="1:56" ht="19.5" x14ac:dyDescent="0.4">
      <c r="A475" s="117"/>
      <c r="B475" s="123"/>
      <c r="C475" s="123"/>
      <c r="D475" s="123"/>
      <c r="Q475" s="26"/>
      <c r="R475" s="13"/>
      <c r="T475" s="115"/>
      <c r="U475" s="115"/>
      <c r="V475" s="115"/>
      <c r="W475" s="115"/>
      <c r="X475" s="115"/>
      <c r="Y475" s="115"/>
      <c r="Z475" s="115"/>
      <c r="AA475" s="115"/>
      <c r="AB475" s="25">
        <v>45694</v>
      </c>
      <c r="AC475" s="105" t="s">
        <v>147</v>
      </c>
      <c r="AH475" s="117"/>
      <c r="AI475" s="123"/>
      <c r="AJ475" s="123"/>
      <c r="AK475" s="123"/>
      <c r="AM475" s="115"/>
      <c r="AN475" s="115"/>
      <c r="AO475" s="115"/>
      <c r="AP475" s="115"/>
      <c r="AQ475" s="115"/>
      <c r="AR475" s="115"/>
      <c r="AS475" s="115"/>
      <c r="AT475" s="115"/>
      <c r="AU475" s="115"/>
      <c r="AV475" s="115"/>
      <c r="AW475" s="115"/>
      <c r="AX475" s="115"/>
      <c r="AY475" s="115"/>
      <c r="AZ475" s="13"/>
      <c r="BA475" s="13"/>
      <c r="BD475" s="114"/>
    </row>
    <row r="476" spans="1:56" ht="19.5" x14ac:dyDescent="0.4">
      <c r="A476" s="117"/>
      <c r="B476" s="123"/>
      <c r="C476" s="123"/>
      <c r="D476" s="123"/>
      <c r="Q476" s="26"/>
      <c r="R476" s="13"/>
      <c r="S476" s="115"/>
      <c r="T476" s="115"/>
      <c r="U476" s="115"/>
      <c r="V476" s="115"/>
      <c r="W476" s="115"/>
      <c r="X476" s="115"/>
      <c r="Y476" s="115"/>
      <c r="Z476" s="115"/>
      <c r="AA476" s="115"/>
      <c r="AB476" s="25">
        <v>45694</v>
      </c>
      <c r="AC476" s="15" t="s">
        <v>147</v>
      </c>
      <c r="AH476" s="117"/>
      <c r="AI476" s="123"/>
      <c r="AJ476" s="123"/>
      <c r="AK476" s="123"/>
      <c r="AM476" s="115"/>
      <c r="AN476" s="115"/>
      <c r="AO476" s="115"/>
      <c r="AP476" s="115"/>
      <c r="AQ476" s="115"/>
      <c r="AR476" s="115"/>
      <c r="AS476" s="115"/>
      <c r="AT476" s="115"/>
      <c r="AU476" s="115"/>
      <c r="AV476" s="115"/>
      <c r="AW476" s="115"/>
      <c r="AX476" s="115"/>
      <c r="AY476" s="115"/>
      <c r="AZ476" s="13"/>
      <c r="BA476" s="13"/>
      <c r="BD476" s="114"/>
    </row>
    <row r="477" spans="1:56" ht="19.5" x14ac:dyDescent="0.4">
      <c r="A477" s="117"/>
      <c r="B477" s="123"/>
      <c r="C477" s="123"/>
      <c r="D477" s="123"/>
      <c r="Q477" s="26"/>
      <c r="R477" s="13"/>
      <c r="S477" s="115"/>
      <c r="T477" s="115"/>
      <c r="U477" s="115"/>
      <c r="V477" s="115"/>
      <c r="W477" s="115"/>
      <c r="X477" s="115"/>
      <c r="Y477" s="115"/>
      <c r="Z477" s="115"/>
      <c r="AA477" s="115"/>
      <c r="AB477" s="26">
        <v>45694</v>
      </c>
      <c r="AC477" s="15" t="s">
        <v>148</v>
      </c>
      <c r="AH477" s="117"/>
      <c r="AI477" s="123"/>
      <c r="AJ477" s="123"/>
      <c r="AK477" s="123"/>
      <c r="AM477" s="115"/>
      <c r="AN477" s="115"/>
      <c r="AO477" s="115"/>
      <c r="AP477" s="115"/>
      <c r="AQ477" s="115"/>
      <c r="AR477" s="115"/>
      <c r="AS477" s="115"/>
      <c r="AT477" s="115"/>
      <c r="AU477" s="115"/>
      <c r="AV477" s="115"/>
      <c r="AW477" s="115"/>
      <c r="AX477" s="115"/>
      <c r="AY477" s="115"/>
      <c r="AZ477" s="13"/>
      <c r="BA477" s="13"/>
      <c r="BD477" s="114"/>
    </row>
    <row r="478" spans="1:56" ht="19.5" x14ac:dyDescent="0.4">
      <c r="A478" s="117"/>
      <c r="B478" s="123"/>
      <c r="C478" s="123"/>
      <c r="D478" s="123"/>
      <c r="Q478" s="26"/>
      <c r="R478" s="13"/>
      <c r="AB478" s="26">
        <v>45694</v>
      </c>
      <c r="AC478" s="13" t="s">
        <v>147</v>
      </c>
      <c r="AH478" s="117"/>
      <c r="AI478" s="123"/>
      <c r="AJ478" s="123"/>
      <c r="AK478" s="123"/>
      <c r="AM478" s="115"/>
      <c r="AN478" s="115"/>
      <c r="AO478" s="115"/>
      <c r="AP478" s="115"/>
      <c r="AQ478" s="115"/>
      <c r="AR478" s="115"/>
      <c r="AS478" s="115"/>
      <c r="AT478" s="115"/>
      <c r="AU478" s="115"/>
      <c r="AV478" s="115"/>
      <c r="AW478" s="115"/>
      <c r="AX478" s="115"/>
      <c r="AY478" s="115"/>
      <c r="AZ478" s="25">
        <v>45268</v>
      </c>
      <c r="BA478" s="13" t="s">
        <v>162</v>
      </c>
      <c r="BD478" s="114"/>
    </row>
    <row r="479" spans="1:56" ht="19.5" x14ac:dyDescent="0.4">
      <c r="A479" s="117"/>
      <c r="B479" s="123"/>
      <c r="C479" s="123"/>
      <c r="D479" s="123"/>
      <c r="Q479" s="26"/>
      <c r="R479" s="13"/>
      <c r="T479" s="115"/>
      <c r="U479" s="115"/>
      <c r="V479" s="115"/>
      <c r="W479" s="115"/>
      <c r="X479" s="115"/>
      <c r="Y479" s="115"/>
      <c r="Z479" s="115"/>
      <c r="AA479" s="115"/>
      <c r="AB479" s="26">
        <v>45694</v>
      </c>
      <c r="AC479" s="13" t="s">
        <v>147</v>
      </c>
      <c r="AH479" s="117"/>
      <c r="AI479" s="123"/>
      <c r="AJ479" s="123"/>
      <c r="AK479" s="123"/>
      <c r="AM479" s="115"/>
      <c r="AN479" s="115"/>
      <c r="AO479" s="115"/>
      <c r="AP479" s="115"/>
      <c r="AQ479" s="115"/>
      <c r="AR479" s="115"/>
      <c r="AS479" s="115"/>
      <c r="AT479" s="115"/>
      <c r="AU479" s="115"/>
      <c r="AV479" s="115"/>
      <c r="AW479" s="115"/>
      <c r="AX479" s="115"/>
      <c r="AY479" s="115"/>
      <c r="AZ479" s="25"/>
      <c r="BA479" s="13"/>
      <c r="BD479" s="114"/>
    </row>
    <row r="480" spans="1:56" ht="19.5" x14ac:dyDescent="0.4">
      <c r="A480" s="117"/>
      <c r="B480" s="123"/>
      <c r="C480" s="123"/>
      <c r="D480" s="123"/>
      <c r="Q480" s="26"/>
      <c r="R480" s="13"/>
      <c r="AB480" s="26">
        <v>45694</v>
      </c>
      <c r="AC480" s="13" t="s">
        <v>147</v>
      </c>
      <c r="AH480" s="117"/>
      <c r="AI480" s="123"/>
      <c r="AJ480" s="123"/>
      <c r="AK480" s="123"/>
      <c r="AM480" s="115"/>
      <c r="AN480" s="115"/>
      <c r="AO480" s="115"/>
      <c r="AP480" s="115"/>
      <c r="AQ480" s="115"/>
      <c r="AR480" s="115"/>
      <c r="AS480" s="115"/>
      <c r="AT480" s="115"/>
      <c r="AU480" s="115"/>
      <c r="AV480" s="115"/>
      <c r="AW480" s="115"/>
      <c r="AX480" s="115"/>
      <c r="AY480" s="115"/>
      <c r="AZ480" s="25">
        <v>45268</v>
      </c>
      <c r="BA480" s="13" t="s">
        <v>162</v>
      </c>
      <c r="BD480" s="114"/>
    </row>
    <row r="481" spans="1:56" ht="19.5" x14ac:dyDescent="0.4">
      <c r="A481" s="117"/>
      <c r="B481" s="123"/>
      <c r="C481" s="123"/>
      <c r="D481" s="123"/>
      <c r="Q481" s="26"/>
      <c r="R481" s="13"/>
      <c r="Y481" s="115"/>
      <c r="Z481" s="115"/>
      <c r="AA481" s="115"/>
      <c r="AB481" s="26">
        <v>45696</v>
      </c>
      <c r="AC481" s="13" t="s">
        <v>147</v>
      </c>
      <c r="AH481" s="117"/>
      <c r="AI481" s="123"/>
      <c r="AJ481" s="123"/>
      <c r="AK481" s="123"/>
      <c r="AM481" s="115"/>
      <c r="AN481" s="115"/>
      <c r="AO481" s="115"/>
      <c r="AP481" s="115"/>
      <c r="AQ481" s="115"/>
      <c r="AR481" s="115"/>
      <c r="AS481" s="115"/>
      <c r="AT481" s="115"/>
      <c r="AU481" s="115"/>
      <c r="AV481" s="115"/>
      <c r="AW481" s="115"/>
      <c r="AX481" s="115"/>
      <c r="AY481" s="115"/>
      <c r="AZ481" s="25"/>
      <c r="BA481" s="13"/>
      <c r="BD481" s="114"/>
    </row>
    <row r="482" spans="1:56" ht="19.5" x14ac:dyDescent="0.4">
      <c r="A482" s="117"/>
      <c r="B482" s="123"/>
      <c r="C482" s="123"/>
      <c r="D482" s="123"/>
      <c r="Q482" s="26"/>
      <c r="R482" s="13"/>
      <c r="AB482" s="26">
        <v>45698</v>
      </c>
      <c r="AC482" s="13" t="s">
        <v>147</v>
      </c>
      <c r="AH482" s="117"/>
      <c r="AI482" s="123"/>
      <c r="AJ482" s="123"/>
      <c r="AK482" s="123"/>
      <c r="AM482" s="115"/>
      <c r="AN482" s="115"/>
      <c r="AO482" s="115"/>
      <c r="AP482" s="115"/>
      <c r="AQ482" s="115"/>
      <c r="AR482" s="115"/>
      <c r="AS482" s="115"/>
      <c r="AT482" s="115"/>
      <c r="AU482" s="115"/>
      <c r="AV482" s="115"/>
      <c r="AW482" s="115"/>
      <c r="AX482" s="115"/>
      <c r="AY482" s="115"/>
      <c r="AZ482" s="25">
        <v>45268</v>
      </c>
      <c r="BA482" s="13" t="s">
        <v>163</v>
      </c>
      <c r="BD482" s="114"/>
    </row>
    <row r="483" spans="1:56" ht="19.5" x14ac:dyDescent="0.4">
      <c r="A483" s="117"/>
      <c r="B483" s="123"/>
      <c r="C483" s="123"/>
      <c r="D483" s="123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7"/>
      <c r="R483" s="13"/>
      <c r="AB483" s="26"/>
      <c r="AC483" s="13"/>
      <c r="AH483" s="117"/>
      <c r="AI483" s="123"/>
      <c r="AJ483" s="123"/>
      <c r="AK483" s="123"/>
      <c r="AM483" s="115"/>
      <c r="AN483" s="115"/>
      <c r="AO483" s="115"/>
      <c r="AP483" s="115"/>
      <c r="AQ483" s="115"/>
      <c r="AR483" s="115"/>
      <c r="AS483" s="115"/>
      <c r="AT483" s="115"/>
      <c r="AU483" s="115"/>
      <c r="AV483" s="115"/>
      <c r="AW483" s="115"/>
      <c r="AX483" s="115"/>
      <c r="AY483" s="115"/>
      <c r="AZ483" s="25"/>
      <c r="BA483" s="13"/>
      <c r="BD483" s="114"/>
    </row>
    <row r="484" spans="1:56" ht="19.5" x14ac:dyDescent="0.4">
      <c r="A484" s="117"/>
      <c r="B484" s="123"/>
      <c r="C484" s="123"/>
      <c r="D484" s="123"/>
      <c r="Q484" s="26"/>
      <c r="R484" s="13"/>
      <c r="Y484" s="115"/>
      <c r="Z484" s="115"/>
      <c r="AA484" s="115"/>
      <c r="AB484" s="26">
        <v>45698</v>
      </c>
      <c r="AC484" s="13" t="s">
        <v>147</v>
      </c>
      <c r="AH484" s="117"/>
      <c r="AI484" s="123"/>
      <c r="AJ484" s="123"/>
      <c r="AK484" s="123"/>
      <c r="AM484" s="115"/>
      <c r="AN484" s="115"/>
      <c r="AO484" s="115"/>
      <c r="AP484" s="115"/>
      <c r="AQ484" s="115"/>
      <c r="AR484" s="115"/>
      <c r="AS484" s="115"/>
      <c r="AT484" s="115"/>
      <c r="AU484" s="115"/>
      <c r="AV484" s="115"/>
      <c r="AW484" s="115"/>
      <c r="AX484" s="115"/>
      <c r="AY484" s="115"/>
      <c r="AZ484" s="25"/>
      <c r="BA484" s="13"/>
      <c r="BD484" s="114"/>
    </row>
    <row r="485" spans="1:56" ht="19.5" x14ac:dyDescent="0.4">
      <c r="A485" s="117"/>
      <c r="B485" s="123"/>
      <c r="C485" s="123"/>
      <c r="D485" s="123"/>
      <c r="Q485" s="26"/>
      <c r="R485" s="13"/>
      <c r="S485" s="115"/>
      <c r="T485" s="115"/>
      <c r="U485" s="115"/>
      <c r="V485" s="115"/>
      <c r="W485" s="115"/>
      <c r="X485" s="115"/>
      <c r="Y485" s="115"/>
      <c r="Z485" s="115"/>
      <c r="AA485" s="115"/>
      <c r="AB485" s="26">
        <v>45699</v>
      </c>
      <c r="AC485" s="13" t="s">
        <v>148</v>
      </c>
      <c r="AH485" s="117"/>
      <c r="AI485" s="123"/>
      <c r="AJ485" s="123"/>
      <c r="AK485" s="123"/>
      <c r="AM485" s="115"/>
      <c r="AN485" s="115"/>
      <c r="AO485" s="115"/>
      <c r="AP485" s="115"/>
      <c r="AQ485" s="115"/>
      <c r="AR485" s="115"/>
      <c r="AS485" s="115"/>
      <c r="AT485" s="115"/>
      <c r="AU485" s="115"/>
      <c r="AV485" s="115"/>
      <c r="AW485" s="115"/>
      <c r="AX485" s="115"/>
      <c r="AY485" s="115"/>
      <c r="AZ485" s="25"/>
      <c r="BA485" s="13"/>
      <c r="BD485" s="114"/>
    </row>
    <row r="486" spans="1:56" ht="19.5" x14ac:dyDescent="0.4">
      <c r="A486" s="117"/>
      <c r="B486" s="123"/>
      <c r="C486" s="123"/>
      <c r="D486" s="123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7"/>
      <c r="R486" s="13"/>
      <c r="S486" s="115"/>
      <c r="T486" s="115"/>
      <c r="U486" s="115"/>
      <c r="V486" s="115"/>
      <c r="W486" s="115"/>
      <c r="X486" s="115"/>
      <c r="Y486" s="115"/>
      <c r="Z486" s="115"/>
      <c r="AA486" s="115"/>
      <c r="AB486" s="26"/>
      <c r="AC486" s="13"/>
      <c r="AH486" s="117"/>
      <c r="AI486" s="123"/>
      <c r="AJ486" s="123"/>
      <c r="AK486" s="123"/>
      <c r="AM486" s="115"/>
      <c r="AN486" s="115"/>
      <c r="AO486" s="115"/>
      <c r="AP486" s="115"/>
      <c r="AQ486" s="115"/>
      <c r="AR486" s="115"/>
      <c r="AS486" s="115"/>
      <c r="AT486" s="115"/>
      <c r="AU486" s="115"/>
      <c r="AV486" s="115"/>
      <c r="AW486" s="115"/>
      <c r="AX486" s="115"/>
      <c r="AY486" s="115"/>
      <c r="AZ486" s="25"/>
      <c r="BA486" s="13"/>
      <c r="BD486" s="114"/>
    </row>
    <row r="487" spans="1:56" ht="19.5" x14ac:dyDescent="0.4">
      <c r="A487" s="117"/>
      <c r="B487" s="123"/>
      <c r="C487" s="123"/>
      <c r="D487" s="123"/>
      <c r="Q487" s="26"/>
      <c r="R487" s="13"/>
      <c r="AB487" s="26">
        <v>45699</v>
      </c>
      <c r="AC487" s="13" t="s">
        <v>148</v>
      </c>
      <c r="AH487" s="117"/>
      <c r="AI487" s="123"/>
      <c r="AJ487" s="123"/>
      <c r="AK487" s="123"/>
      <c r="AL487" s="115"/>
      <c r="AM487" s="115"/>
      <c r="AN487" s="115"/>
      <c r="AO487" s="115"/>
      <c r="AP487" s="115"/>
      <c r="AQ487" s="115"/>
      <c r="AR487" s="115"/>
      <c r="AS487" s="115"/>
      <c r="AT487" s="115"/>
      <c r="AU487" s="115"/>
      <c r="AV487" s="115"/>
      <c r="AW487" s="115"/>
      <c r="AX487" s="115"/>
      <c r="AY487" s="115"/>
      <c r="AZ487" s="25">
        <v>45268</v>
      </c>
      <c r="BA487" s="13" t="s">
        <v>163</v>
      </c>
      <c r="BD487" s="114"/>
    </row>
    <row r="488" spans="1:56" ht="19.5" x14ac:dyDescent="0.4">
      <c r="A488" s="117"/>
      <c r="B488" s="123"/>
      <c r="C488" s="123"/>
      <c r="D488" s="123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7"/>
      <c r="R488" s="13"/>
      <c r="AB488" s="26"/>
      <c r="AC488" s="13"/>
      <c r="AH488" s="117"/>
      <c r="AI488" s="123"/>
      <c r="AJ488" s="123"/>
      <c r="AK488" s="123"/>
      <c r="AL488" s="115"/>
      <c r="AM488" s="115"/>
      <c r="AN488" s="115"/>
      <c r="AO488" s="115"/>
      <c r="AP488" s="115"/>
      <c r="AQ488" s="115"/>
      <c r="AR488" s="115"/>
      <c r="AS488" s="115"/>
      <c r="AT488" s="115"/>
      <c r="AU488" s="115"/>
      <c r="AV488" s="115"/>
      <c r="AW488" s="115"/>
      <c r="AX488" s="115"/>
      <c r="AY488" s="115"/>
      <c r="AZ488" s="25"/>
      <c r="BA488" s="13"/>
      <c r="BD488" s="114"/>
    </row>
    <row r="489" spans="1:56" ht="19.5" x14ac:dyDescent="0.4">
      <c r="A489" s="117"/>
      <c r="B489" s="123"/>
      <c r="C489" s="123"/>
      <c r="D489" s="123"/>
      <c r="Q489" s="26"/>
      <c r="R489" s="13"/>
      <c r="U489" s="115"/>
      <c r="V489" s="115"/>
      <c r="W489" s="115"/>
      <c r="X489" s="115"/>
      <c r="Y489" s="115"/>
      <c r="Z489" s="115"/>
      <c r="AA489" s="115"/>
      <c r="AB489" s="26">
        <v>45699</v>
      </c>
      <c r="AC489" s="13" t="s">
        <v>148</v>
      </c>
      <c r="AH489" s="117"/>
      <c r="AI489" s="123"/>
      <c r="AJ489" s="123"/>
      <c r="AK489" s="123"/>
      <c r="AL489" s="115"/>
      <c r="AM489" s="115"/>
      <c r="AN489" s="115"/>
      <c r="AO489" s="115"/>
      <c r="AP489" s="115"/>
      <c r="AQ489" s="115"/>
      <c r="AR489" s="115"/>
      <c r="AS489" s="115"/>
      <c r="AT489" s="115"/>
      <c r="AU489" s="115"/>
      <c r="AV489" s="115"/>
      <c r="AW489" s="115"/>
      <c r="AX489" s="115"/>
      <c r="AY489" s="115"/>
      <c r="AZ489" s="25"/>
      <c r="BA489" s="13"/>
      <c r="BD489" s="114"/>
    </row>
    <row r="490" spans="1:56" ht="19.5" x14ac:dyDescent="0.4">
      <c r="A490" s="117"/>
      <c r="B490" s="123"/>
      <c r="C490" s="123"/>
      <c r="D490" s="123"/>
      <c r="Q490" s="26"/>
      <c r="R490" s="13"/>
      <c r="U490" s="115"/>
      <c r="V490" s="115"/>
      <c r="W490" s="115"/>
      <c r="X490" s="115"/>
      <c r="Y490" s="115"/>
      <c r="Z490" s="115"/>
      <c r="AA490" s="115"/>
      <c r="AB490" s="26">
        <v>45699</v>
      </c>
      <c r="AC490" s="13" t="s">
        <v>148</v>
      </c>
      <c r="AH490" s="117"/>
      <c r="AI490" s="123"/>
      <c r="AJ490" s="123"/>
      <c r="AK490" s="123"/>
      <c r="AL490" s="115"/>
      <c r="AM490" s="115"/>
      <c r="AN490" s="115"/>
      <c r="AO490" s="115"/>
      <c r="AP490" s="115"/>
      <c r="AQ490" s="115"/>
      <c r="AR490" s="115"/>
      <c r="AS490" s="115"/>
      <c r="AT490" s="115"/>
      <c r="AU490" s="115"/>
      <c r="AV490" s="115"/>
      <c r="AW490" s="115"/>
      <c r="AX490" s="115"/>
      <c r="AY490" s="115"/>
      <c r="AZ490" s="25"/>
      <c r="BA490" s="13"/>
      <c r="BD490" s="114"/>
    </row>
    <row r="491" spans="1:56" ht="19.5" x14ac:dyDescent="0.4">
      <c r="A491" s="117"/>
      <c r="B491" s="123"/>
      <c r="C491" s="123"/>
      <c r="D491" s="123"/>
      <c r="Q491" s="26"/>
      <c r="R491" s="13"/>
      <c r="U491" s="115"/>
      <c r="V491" s="115"/>
      <c r="W491" s="115"/>
      <c r="X491" s="115"/>
      <c r="Y491" s="115"/>
      <c r="Z491" s="115"/>
      <c r="AA491" s="115"/>
      <c r="AB491" s="26">
        <v>45699</v>
      </c>
      <c r="AC491" s="13" t="s">
        <v>148</v>
      </c>
      <c r="AH491" s="117"/>
      <c r="AI491" s="123"/>
      <c r="AJ491" s="123"/>
      <c r="AK491" s="123"/>
      <c r="AL491" s="115"/>
      <c r="AM491" s="115"/>
      <c r="AN491" s="115"/>
      <c r="AO491" s="115"/>
      <c r="AP491" s="115"/>
      <c r="AQ491" s="115"/>
      <c r="AR491" s="115"/>
      <c r="AS491" s="115"/>
      <c r="AT491" s="115"/>
      <c r="AU491" s="115"/>
      <c r="AV491" s="115"/>
      <c r="AW491" s="115"/>
      <c r="AX491" s="115"/>
      <c r="AY491" s="115"/>
      <c r="AZ491" s="25"/>
      <c r="BA491" s="13"/>
      <c r="BD491" s="114"/>
    </row>
    <row r="492" spans="1:56" ht="19.5" x14ac:dyDescent="0.4">
      <c r="A492" s="117"/>
      <c r="B492" s="123"/>
      <c r="C492" s="123"/>
      <c r="D492" s="123"/>
      <c r="Q492" s="26"/>
      <c r="R492" s="13"/>
      <c r="AB492" s="26">
        <v>45699</v>
      </c>
      <c r="AC492" s="13" t="s">
        <v>148</v>
      </c>
      <c r="AH492" s="117"/>
      <c r="AI492" s="123"/>
      <c r="AJ492" s="123"/>
      <c r="AK492" s="123"/>
      <c r="AL492" s="115"/>
      <c r="AM492" s="115"/>
      <c r="AN492" s="115"/>
      <c r="AO492" s="115"/>
      <c r="AP492" s="115"/>
      <c r="AQ492" s="115"/>
      <c r="AR492" s="115"/>
      <c r="AS492" s="115"/>
      <c r="AT492" s="115"/>
      <c r="AU492" s="115"/>
      <c r="AV492" s="115"/>
      <c r="AW492" s="115"/>
      <c r="AX492" s="115"/>
      <c r="AY492" s="115" t="s">
        <v>158</v>
      </c>
      <c r="AZ492" s="13">
        <f>SUBTOTAL(3,AZ478:AZ487)</f>
        <v>4</v>
      </c>
      <c r="BA492" s="13">
        <f>SUBTOTAL(3,BA478:BA487)</f>
        <v>4</v>
      </c>
      <c r="BD492" s="114"/>
    </row>
    <row r="493" spans="1:56" ht="19.5" x14ac:dyDescent="0.4">
      <c r="A493" s="117"/>
      <c r="B493" s="123"/>
      <c r="C493" s="123"/>
      <c r="D493" s="123"/>
      <c r="Q493" s="26"/>
      <c r="R493" s="15"/>
      <c r="Y493" s="115"/>
      <c r="Z493" s="115"/>
      <c r="AA493" s="115"/>
      <c r="AB493" s="26">
        <v>45706</v>
      </c>
      <c r="AC493" s="13" t="s">
        <v>146</v>
      </c>
      <c r="AH493" s="117"/>
      <c r="AI493" s="123"/>
      <c r="AJ493" s="123"/>
      <c r="AK493" s="123"/>
      <c r="AL493" s="115"/>
      <c r="AM493" s="115"/>
      <c r="AN493" s="115"/>
      <c r="AO493" s="115"/>
      <c r="AP493" s="115"/>
      <c r="AQ493" s="115"/>
      <c r="AR493" s="115"/>
      <c r="AS493" s="115"/>
      <c r="AT493" s="115"/>
      <c r="AU493" s="115"/>
      <c r="AV493" s="115"/>
      <c r="AW493" s="115"/>
      <c r="AX493" s="115"/>
      <c r="AY493" s="115"/>
      <c r="AZ493" s="13"/>
      <c r="BA493" s="13"/>
      <c r="BD493" s="114"/>
    </row>
    <row r="494" spans="1:56" ht="19.5" x14ac:dyDescent="0.4">
      <c r="A494" s="117"/>
      <c r="B494" s="123"/>
      <c r="C494" s="123"/>
      <c r="D494" s="123"/>
      <c r="Q494" s="26"/>
      <c r="R494" s="13"/>
      <c r="X494" s="115"/>
      <c r="Y494" s="115"/>
      <c r="Z494" s="115"/>
      <c r="AA494" s="115"/>
      <c r="AB494" s="26">
        <v>45709</v>
      </c>
      <c r="AC494" s="13" t="s">
        <v>148</v>
      </c>
      <c r="AH494" s="117"/>
      <c r="AI494" s="123"/>
      <c r="AJ494" s="123"/>
      <c r="AK494" s="123"/>
      <c r="AL494" s="115"/>
      <c r="AM494" s="115"/>
      <c r="AN494" s="115"/>
      <c r="AO494" s="115"/>
      <c r="AP494" s="115"/>
      <c r="AQ494" s="115"/>
      <c r="AR494" s="115"/>
      <c r="AS494" s="115"/>
      <c r="AT494" s="115"/>
      <c r="AU494" s="115"/>
      <c r="AV494" s="115"/>
      <c r="AW494" s="115"/>
      <c r="AX494" s="115"/>
      <c r="AY494" s="115"/>
      <c r="AZ494" s="13"/>
      <c r="BA494" s="13"/>
      <c r="BD494" s="114"/>
    </row>
    <row r="495" spans="1:56" ht="19.5" x14ac:dyDescent="0.4">
      <c r="A495" s="117"/>
      <c r="B495" s="123"/>
      <c r="C495" s="123"/>
      <c r="D495" s="123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7"/>
      <c r="R495" s="13"/>
      <c r="X495" s="115"/>
      <c r="Y495" s="115"/>
      <c r="Z495" s="115"/>
      <c r="AA495" s="115"/>
      <c r="AB495" s="26"/>
      <c r="AC495" s="13"/>
      <c r="AH495" s="117"/>
      <c r="AI495" s="123"/>
      <c r="AJ495" s="123"/>
      <c r="AK495" s="123"/>
      <c r="AL495" s="115"/>
      <c r="AM495" s="115"/>
      <c r="AN495" s="115"/>
      <c r="AO495" s="115"/>
      <c r="AP495" s="115"/>
      <c r="AQ495" s="115"/>
      <c r="AR495" s="115"/>
      <c r="AS495" s="115"/>
      <c r="AT495" s="115"/>
      <c r="AU495" s="115"/>
      <c r="AV495" s="115"/>
      <c r="AW495" s="115"/>
      <c r="AX495" s="115"/>
      <c r="AY495" s="115"/>
      <c r="AZ495" s="13"/>
      <c r="BA495" s="13"/>
      <c r="BD495" s="114"/>
    </row>
    <row r="496" spans="1:56" ht="19.5" x14ac:dyDescent="0.4">
      <c r="A496" s="117"/>
      <c r="B496" s="123"/>
      <c r="C496" s="123"/>
      <c r="D496" s="123"/>
      <c r="Q496" s="26"/>
      <c r="R496" s="13"/>
      <c r="X496" s="115"/>
      <c r="Y496" s="115"/>
      <c r="Z496" s="115"/>
      <c r="AA496" s="115"/>
      <c r="AB496" s="26">
        <v>45709</v>
      </c>
      <c r="AC496" s="13" t="s">
        <v>147</v>
      </c>
      <c r="AH496" s="117"/>
      <c r="AI496" s="123"/>
      <c r="AJ496" s="123"/>
      <c r="AK496" s="123"/>
      <c r="AL496" s="115"/>
      <c r="AM496" s="115"/>
      <c r="AN496" s="115"/>
      <c r="AO496" s="115"/>
      <c r="AP496" s="115"/>
      <c r="AQ496" s="115"/>
      <c r="AR496" s="115"/>
      <c r="AS496" s="115"/>
      <c r="AT496" s="115"/>
      <c r="AU496" s="115"/>
      <c r="AV496" s="115"/>
      <c r="AW496" s="115"/>
      <c r="AX496" s="115"/>
      <c r="AY496" s="115"/>
      <c r="AZ496" s="13"/>
      <c r="BA496" s="13"/>
      <c r="BD496" s="114"/>
    </row>
    <row r="497" spans="1:56" ht="19.5" x14ac:dyDescent="0.4">
      <c r="A497" s="117"/>
      <c r="B497" s="123"/>
      <c r="C497" s="123"/>
      <c r="D497" s="123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7"/>
      <c r="R497" s="13"/>
      <c r="X497" s="115"/>
      <c r="Y497" s="115"/>
      <c r="Z497" s="115"/>
      <c r="AA497" s="115"/>
      <c r="AB497" s="26"/>
      <c r="AC497" s="13"/>
      <c r="AH497" s="117"/>
      <c r="AI497" s="123"/>
      <c r="AJ497" s="123"/>
      <c r="AK497" s="123"/>
      <c r="AL497" s="115"/>
      <c r="AM497" s="115"/>
      <c r="AN497" s="115"/>
      <c r="AO497" s="115"/>
      <c r="AP497" s="115"/>
      <c r="AQ497" s="115"/>
      <c r="AR497" s="115"/>
      <c r="AS497" s="115"/>
      <c r="AT497" s="115"/>
      <c r="AU497" s="115"/>
      <c r="AV497" s="115"/>
      <c r="AW497" s="115"/>
      <c r="AX497" s="115"/>
      <c r="AY497" s="115"/>
      <c r="AZ497" s="13"/>
      <c r="BA497" s="13"/>
      <c r="BD497" s="114"/>
    </row>
    <row r="498" spans="1:56" ht="19.5" x14ac:dyDescent="0.4">
      <c r="A498" s="117"/>
      <c r="B498" s="123"/>
      <c r="C498" s="123"/>
      <c r="D498" s="123"/>
      <c r="Q498" s="26"/>
      <c r="R498" s="13"/>
      <c r="X498" s="115"/>
      <c r="Y498" s="115"/>
      <c r="Z498" s="115"/>
      <c r="AA498" s="115"/>
      <c r="AB498" s="26">
        <v>45712</v>
      </c>
      <c r="AC498" s="13" t="s">
        <v>146</v>
      </c>
      <c r="AH498" s="117"/>
      <c r="AI498" s="123"/>
      <c r="AJ498" s="123"/>
      <c r="AK498" s="123"/>
      <c r="AL498" s="115"/>
      <c r="AM498" s="115"/>
      <c r="AN498" s="115"/>
      <c r="AO498" s="115"/>
      <c r="AP498" s="115"/>
      <c r="AQ498" s="115"/>
      <c r="AR498" s="115"/>
      <c r="AS498" s="115"/>
      <c r="AT498" s="115"/>
      <c r="AU498" s="115"/>
      <c r="AV498" s="115"/>
      <c r="AW498" s="115"/>
      <c r="AX498" s="115"/>
      <c r="AY498" s="115"/>
      <c r="AZ498" s="13"/>
      <c r="BA498" s="13"/>
      <c r="BD498" s="114"/>
    </row>
    <row r="499" spans="1:56" ht="19.5" x14ac:dyDescent="0.4">
      <c r="A499" s="117"/>
      <c r="B499" s="123"/>
      <c r="C499" s="123"/>
      <c r="D499" s="123"/>
      <c r="Q499" s="26"/>
      <c r="R499" s="13"/>
      <c r="X499" s="115"/>
      <c r="Y499" s="115"/>
      <c r="Z499" s="115"/>
      <c r="AA499" s="115"/>
      <c r="AB499" s="26">
        <v>45712</v>
      </c>
      <c r="AC499" s="13" t="s">
        <v>148</v>
      </c>
      <c r="AH499" s="117"/>
      <c r="AI499" s="123"/>
      <c r="AJ499" s="123"/>
      <c r="AK499" s="123"/>
      <c r="AL499" s="115"/>
      <c r="AM499" s="115"/>
      <c r="AN499" s="115"/>
      <c r="AO499" s="115"/>
      <c r="AP499" s="115"/>
      <c r="AQ499" s="115"/>
      <c r="AR499" s="115"/>
      <c r="AS499" s="115"/>
      <c r="AT499" s="115"/>
      <c r="AU499" s="115"/>
      <c r="AV499" s="115"/>
      <c r="AW499" s="115"/>
      <c r="AX499" s="115"/>
      <c r="AY499" s="115"/>
      <c r="AZ499" s="13"/>
      <c r="BA499" s="13"/>
      <c r="BD499" s="114"/>
    </row>
    <row r="500" spans="1:56" ht="19.5" x14ac:dyDescent="0.4">
      <c r="A500" s="117"/>
      <c r="B500" s="123"/>
      <c r="C500" s="123"/>
      <c r="D500" s="123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7"/>
      <c r="R500" s="13"/>
      <c r="X500" s="115"/>
      <c r="Y500" s="115"/>
      <c r="Z500" s="115"/>
      <c r="AA500" s="115"/>
      <c r="AB500" s="26"/>
      <c r="AC500" s="13"/>
      <c r="AH500" s="117"/>
      <c r="AI500" s="123"/>
      <c r="AJ500" s="123"/>
      <c r="AK500" s="123"/>
      <c r="AL500" s="115"/>
      <c r="AM500" s="115"/>
      <c r="AN500" s="115"/>
      <c r="AO500" s="115"/>
      <c r="AP500" s="115"/>
      <c r="AQ500" s="115"/>
      <c r="AR500" s="115"/>
      <c r="AS500" s="115"/>
      <c r="AT500" s="115"/>
      <c r="AU500" s="115"/>
      <c r="AV500" s="115"/>
      <c r="AW500" s="115"/>
      <c r="AX500" s="115"/>
      <c r="AY500" s="115"/>
      <c r="AZ500" s="13"/>
      <c r="BA500" s="13"/>
      <c r="BD500" s="114"/>
    </row>
    <row r="501" spans="1:56" ht="19.5" x14ac:dyDescent="0.4">
      <c r="A501" s="117"/>
      <c r="B501" s="123"/>
      <c r="C501" s="123"/>
      <c r="D501" s="123"/>
      <c r="Q501" s="26"/>
      <c r="R501" s="13"/>
      <c r="V501" s="115"/>
      <c r="W501" s="115"/>
      <c r="X501" s="115"/>
      <c r="Y501" s="115"/>
      <c r="Z501" s="115"/>
      <c r="AA501" s="115"/>
      <c r="AB501" s="26">
        <v>45714</v>
      </c>
      <c r="AC501" s="13" t="s">
        <v>147</v>
      </c>
      <c r="AH501" s="117"/>
      <c r="AI501" s="123"/>
      <c r="AJ501" s="123"/>
      <c r="AK501" s="123"/>
      <c r="AL501" s="115"/>
      <c r="AM501" s="115"/>
      <c r="AN501" s="115"/>
      <c r="AO501" s="115"/>
      <c r="AP501" s="115"/>
      <c r="AQ501" s="115"/>
      <c r="AR501" s="115"/>
      <c r="AS501" s="115"/>
      <c r="AT501" s="115"/>
      <c r="AU501" s="115"/>
      <c r="AV501" s="115"/>
      <c r="AW501" s="115"/>
      <c r="AX501" s="115"/>
      <c r="AY501" s="115"/>
      <c r="AZ501" s="13"/>
      <c r="BA501" s="13"/>
      <c r="BD501" s="114"/>
    </row>
    <row r="502" spans="1:56" ht="19.5" x14ac:dyDescent="0.4">
      <c r="A502" s="117"/>
      <c r="B502" s="123"/>
      <c r="C502" s="123"/>
      <c r="D502" s="123"/>
      <c r="Q502" s="26"/>
      <c r="R502" s="13"/>
      <c r="AB502" s="26">
        <v>45714</v>
      </c>
      <c r="AC502" s="13" t="s">
        <v>147</v>
      </c>
      <c r="AH502" s="117"/>
      <c r="AI502" s="123"/>
      <c r="AJ502" s="123"/>
      <c r="AK502" s="123"/>
      <c r="AL502" s="115"/>
      <c r="AM502" s="115"/>
      <c r="AN502" s="115"/>
      <c r="AO502" s="115"/>
      <c r="AP502" s="115"/>
      <c r="AQ502" s="115"/>
      <c r="AR502" s="115"/>
      <c r="AS502" s="115"/>
      <c r="AT502" s="115"/>
      <c r="AU502" s="115"/>
      <c r="AV502" s="115"/>
      <c r="AW502" s="115"/>
      <c r="AX502" s="115"/>
      <c r="AY502" s="115"/>
      <c r="AZ502" s="25">
        <v>45269</v>
      </c>
      <c r="BA502" s="13" t="s">
        <v>163</v>
      </c>
      <c r="BD502" s="114"/>
    </row>
    <row r="503" spans="1:56" ht="19.5" x14ac:dyDescent="0.4">
      <c r="A503" s="117"/>
      <c r="B503" s="123"/>
      <c r="C503" s="123"/>
      <c r="D503" s="123"/>
      <c r="Q503" s="26"/>
      <c r="R503" s="13"/>
      <c r="S503" s="115"/>
      <c r="T503" s="115"/>
      <c r="U503" s="115"/>
      <c r="V503" s="115"/>
      <c r="W503" s="115"/>
      <c r="X503" s="115"/>
      <c r="Y503" s="115"/>
      <c r="Z503" s="115"/>
      <c r="AA503" s="115"/>
      <c r="AB503" s="26">
        <v>45714</v>
      </c>
      <c r="AC503" s="13" t="s">
        <v>147</v>
      </c>
      <c r="AH503" s="117"/>
      <c r="AI503" s="123"/>
      <c r="AJ503" s="123"/>
      <c r="AK503" s="123"/>
      <c r="AL503" s="115"/>
      <c r="AM503" s="115"/>
      <c r="AN503" s="115"/>
      <c r="AO503" s="115"/>
      <c r="AP503" s="115"/>
      <c r="AQ503" s="115"/>
      <c r="AR503" s="115"/>
      <c r="AS503" s="115"/>
      <c r="AT503" s="115"/>
      <c r="AU503" s="115"/>
      <c r="AV503" s="115"/>
      <c r="AW503" s="115"/>
      <c r="AX503" s="115"/>
      <c r="AY503" s="115"/>
      <c r="AZ503" s="25"/>
      <c r="BA503" s="13"/>
      <c r="BD503" s="114"/>
    </row>
    <row r="504" spans="1:56" ht="19.5" x14ac:dyDescent="0.4">
      <c r="A504" s="117"/>
      <c r="B504" s="123"/>
      <c r="C504" s="123"/>
      <c r="D504" s="123"/>
      <c r="Q504" s="26"/>
      <c r="R504" s="13"/>
      <c r="S504" s="115"/>
      <c r="T504" s="115"/>
      <c r="U504" s="115"/>
      <c r="V504" s="115"/>
      <c r="W504" s="115"/>
      <c r="X504" s="115"/>
      <c r="Y504" s="115"/>
      <c r="Z504" s="115" t="s">
        <v>145</v>
      </c>
      <c r="AA504" s="115">
        <f>SUBTOTAL(3,AA2:AA503)</f>
        <v>0</v>
      </c>
      <c r="AB504" s="26"/>
      <c r="AC504" s="13">
        <f>SUBTOTAL(3,AC2:AC503)</f>
        <v>145</v>
      </c>
      <c r="AH504" s="117"/>
      <c r="AI504" s="123"/>
      <c r="AJ504" s="123"/>
      <c r="AK504" s="123"/>
      <c r="AL504" s="115"/>
      <c r="AM504" s="115"/>
      <c r="AN504" s="115"/>
      <c r="AO504" s="115"/>
      <c r="AP504" s="115"/>
      <c r="AQ504" s="115"/>
      <c r="AR504" s="115"/>
      <c r="AS504" s="115"/>
      <c r="AT504" s="115"/>
      <c r="AU504" s="115"/>
      <c r="AV504" s="115"/>
      <c r="AW504" s="115"/>
      <c r="AX504" s="115"/>
      <c r="AY504" s="115"/>
      <c r="AZ504" s="25"/>
      <c r="BA504" s="13"/>
      <c r="BD504" s="114"/>
    </row>
    <row r="505" spans="1:56" ht="19.5" x14ac:dyDescent="0.4">
      <c r="A505" s="117"/>
      <c r="B505" s="123"/>
      <c r="C505" s="123"/>
      <c r="D505" s="123"/>
      <c r="Q505" s="26"/>
      <c r="R505" s="13"/>
      <c r="AB505" s="26"/>
      <c r="AC505" s="13"/>
      <c r="AH505" s="117"/>
      <c r="AI505" s="123"/>
      <c r="AJ505" s="123"/>
      <c r="AK505" s="123"/>
      <c r="AL505" s="115"/>
      <c r="AM505" s="115"/>
      <c r="AN505" s="115"/>
      <c r="AO505" s="115"/>
      <c r="AP505" s="115"/>
      <c r="AQ505" s="115"/>
      <c r="AR505" s="115"/>
      <c r="AS505" s="115"/>
      <c r="AT505" s="115"/>
      <c r="AU505" s="115"/>
      <c r="AV505" s="115"/>
      <c r="AW505" s="115"/>
      <c r="AX505" s="115"/>
      <c r="AY505" s="115"/>
      <c r="AZ505" s="25">
        <v>45269</v>
      </c>
      <c r="BA505" s="13" t="s">
        <v>163</v>
      </c>
      <c r="BD505" s="114"/>
    </row>
    <row r="506" spans="1:56" ht="19.5" x14ac:dyDescent="0.4">
      <c r="A506" s="117"/>
      <c r="B506" s="123"/>
      <c r="C506" s="123"/>
      <c r="D506" s="123"/>
      <c r="Q506" s="26"/>
      <c r="R506" s="13"/>
      <c r="U506" s="115"/>
      <c r="V506" s="115"/>
      <c r="W506" s="115"/>
      <c r="X506" s="115"/>
      <c r="Y506" s="115"/>
      <c r="Z506" s="115"/>
      <c r="AA506" s="115"/>
      <c r="AB506" s="26"/>
      <c r="AC506" s="13"/>
      <c r="AH506" s="117"/>
      <c r="AI506" s="123"/>
      <c r="AJ506" s="123"/>
      <c r="AK506" s="123"/>
      <c r="AL506" s="115"/>
      <c r="AM506" s="115"/>
      <c r="AN506" s="115"/>
      <c r="AO506" s="115"/>
      <c r="AP506" s="115"/>
      <c r="AQ506" s="115"/>
      <c r="AR506" s="115"/>
      <c r="AS506" s="115"/>
      <c r="AT506" s="115"/>
      <c r="AU506" s="115"/>
      <c r="AV506" s="115"/>
      <c r="AW506" s="115"/>
      <c r="AX506" s="115"/>
      <c r="AY506" s="115"/>
      <c r="AZ506" s="25"/>
      <c r="BA506" s="13"/>
      <c r="BD506" s="114"/>
    </row>
    <row r="507" spans="1:56" ht="19.5" x14ac:dyDescent="0.4">
      <c r="A507" s="117"/>
      <c r="B507" s="123"/>
      <c r="C507" s="123"/>
      <c r="D507" s="123"/>
      <c r="Q507" s="26"/>
      <c r="R507" s="13"/>
      <c r="AB507" s="26"/>
      <c r="AC507" s="13"/>
      <c r="AH507" s="117"/>
      <c r="AI507" s="123"/>
      <c r="AJ507" s="123"/>
      <c r="AK507" s="123"/>
      <c r="AL507" s="115"/>
      <c r="AM507" s="115"/>
      <c r="AN507" s="115"/>
      <c r="AO507" s="115"/>
      <c r="AP507" s="115"/>
      <c r="AQ507" s="115"/>
      <c r="AR507" s="115"/>
      <c r="AS507" s="115"/>
      <c r="AT507" s="115"/>
      <c r="AU507" s="115"/>
      <c r="AV507" s="115"/>
      <c r="AW507" s="115"/>
      <c r="AX507" s="115"/>
      <c r="AY507" s="115" t="s">
        <v>159</v>
      </c>
      <c r="AZ507" s="13">
        <f>SUBTOTAL(3,AZ502:AZ505)</f>
        <v>2</v>
      </c>
      <c r="BA507" s="13">
        <f>SUBTOTAL(3,BA502:BA505)</f>
        <v>2</v>
      </c>
      <c r="BD507" s="114"/>
    </row>
    <row r="508" spans="1:56" ht="19.5" x14ac:dyDescent="0.4">
      <c r="A508" s="117"/>
      <c r="B508" s="123"/>
      <c r="C508" s="123"/>
      <c r="D508" s="123"/>
      <c r="Q508" s="26"/>
      <c r="R508" s="13"/>
      <c r="S508" s="115"/>
      <c r="T508" s="115"/>
      <c r="U508" s="115"/>
      <c r="V508" s="115"/>
      <c r="W508" s="115"/>
      <c r="X508" s="115"/>
      <c r="Y508" s="115"/>
      <c r="Z508" s="115"/>
      <c r="AA508" s="115"/>
      <c r="AB508" s="26"/>
      <c r="AC508" s="13"/>
      <c r="AH508" s="117"/>
      <c r="AI508" s="123"/>
      <c r="AJ508" s="123"/>
      <c r="AK508" s="123"/>
      <c r="AL508" s="115"/>
      <c r="AM508" s="115"/>
      <c r="AN508" s="115"/>
      <c r="AO508" s="115"/>
      <c r="AP508" s="115"/>
      <c r="AQ508" s="115"/>
      <c r="AR508" s="115"/>
      <c r="AS508" s="115"/>
      <c r="AT508" s="115"/>
      <c r="AU508" s="115"/>
      <c r="AV508" s="115"/>
      <c r="AW508" s="115"/>
      <c r="AX508" s="115"/>
      <c r="AY508" s="115"/>
      <c r="AZ508" s="13"/>
      <c r="BA508" s="13"/>
      <c r="BD508" s="114"/>
    </row>
    <row r="509" spans="1:56" ht="19.5" x14ac:dyDescent="0.4">
      <c r="A509" s="117"/>
      <c r="B509" s="123"/>
      <c r="C509" s="123"/>
      <c r="D509" s="123"/>
      <c r="Q509" s="26"/>
      <c r="R509" s="13"/>
      <c r="S509" s="115"/>
      <c r="T509" s="115"/>
      <c r="U509" s="115"/>
      <c r="V509" s="115"/>
      <c r="W509" s="115"/>
      <c r="X509" s="115"/>
      <c r="Y509" s="115"/>
      <c r="Z509" s="115"/>
      <c r="AA509" s="115"/>
      <c r="AB509" s="26"/>
      <c r="AC509" s="13"/>
      <c r="AH509" s="117"/>
      <c r="AI509" s="123"/>
      <c r="AJ509" s="123"/>
      <c r="AK509" s="123"/>
      <c r="AL509" s="115"/>
      <c r="AM509" s="115"/>
      <c r="AN509" s="115"/>
      <c r="AO509" s="115"/>
      <c r="AP509" s="115"/>
      <c r="AQ509" s="115"/>
      <c r="AR509" s="115"/>
      <c r="AS509" s="115"/>
      <c r="AT509" s="115"/>
      <c r="AU509" s="115"/>
      <c r="AV509" s="115"/>
      <c r="AW509" s="115"/>
      <c r="AX509" s="115"/>
      <c r="AY509" s="115"/>
      <c r="AZ509" s="13"/>
      <c r="BA509" s="13"/>
      <c r="BD509" s="114"/>
    </row>
    <row r="510" spans="1:56" ht="19.5" x14ac:dyDescent="0.4">
      <c r="A510" s="117"/>
      <c r="B510" s="123"/>
      <c r="C510" s="123"/>
      <c r="D510" s="123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26"/>
      <c r="R510" s="13"/>
      <c r="S510" s="115"/>
      <c r="T510" s="115"/>
      <c r="U510" s="115"/>
      <c r="V510" s="115"/>
      <c r="W510" s="115"/>
      <c r="X510" s="115"/>
      <c r="Y510" s="115"/>
      <c r="Z510" s="115"/>
      <c r="AA510" s="115"/>
      <c r="AB510" s="26"/>
      <c r="AC510" s="13"/>
      <c r="AH510" s="117"/>
      <c r="AI510" s="123"/>
      <c r="AJ510" s="123"/>
      <c r="AK510" s="123"/>
      <c r="AL510" s="115"/>
      <c r="AM510" s="115"/>
      <c r="AN510" s="115"/>
      <c r="AO510" s="115"/>
      <c r="AP510" s="115"/>
      <c r="AQ510" s="115"/>
      <c r="AR510" s="115"/>
      <c r="AS510" s="115"/>
      <c r="AT510" s="115"/>
      <c r="AU510" s="115"/>
      <c r="AV510" s="115"/>
      <c r="AW510" s="115"/>
      <c r="AX510" s="115"/>
      <c r="AY510" s="115"/>
      <c r="AZ510" s="13"/>
      <c r="BA510" s="13"/>
      <c r="BD510" s="114"/>
    </row>
    <row r="511" spans="1:56" ht="19.5" x14ac:dyDescent="0.4">
      <c r="A511" s="117"/>
      <c r="B511" s="123"/>
      <c r="C511" s="123"/>
      <c r="D511" s="123"/>
      <c r="Q511" s="26"/>
      <c r="R511" s="13"/>
      <c r="AB511" s="26"/>
      <c r="AC511" s="13"/>
      <c r="AH511" s="117"/>
      <c r="AI511" s="123"/>
      <c r="AJ511" s="123"/>
      <c r="AK511" s="123"/>
      <c r="AL511" s="115"/>
      <c r="AM511" s="115"/>
      <c r="AN511" s="115"/>
      <c r="AO511" s="115"/>
      <c r="AP511" s="115"/>
      <c r="AQ511" s="115"/>
      <c r="AR511" s="115"/>
      <c r="AS511" s="115"/>
      <c r="AT511" s="115"/>
      <c r="AU511" s="115"/>
      <c r="AV511" s="115"/>
      <c r="AW511" s="115"/>
      <c r="AX511" s="115"/>
      <c r="AY511" s="115"/>
      <c r="AZ511" s="25">
        <v>45270</v>
      </c>
      <c r="BA511" s="13" t="s">
        <v>164</v>
      </c>
      <c r="BD511" s="114"/>
    </row>
    <row r="512" spans="1:56" ht="19.5" x14ac:dyDescent="0.4">
      <c r="A512" s="117"/>
      <c r="B512" s="123"/>
      <c r="C512" s="123"/>
      <c r="D512" s="123"/>
      <c r="Q512" s="26"/>
      <c r="R512" s="13"/>
      <c r="W512" s="115"/>
      <c r="X512" s="115"/>
      <c r="Y512" s="115"/>
      <c r="Z512" s="115"/>
      <c r="AA512" s="115"/>
      <c r="AB512" s="17"/>
      <c r="AC512" s="13"/>
      <c r="AH512" s="117"/>
      <c r="AI512" s="123"/>
      <c r="AJ512" s="123"/>
      <c r="AK512" s="123"/>
      <c r="AL512" s="115"/>
      <c r="AM512" s="115"/>
      <c r="AN512" s="115"/>
      <c r="AO512" s="115"/>
      <c r="AP512" s="115"/>
      <c r="AQ512" s="115"/>
      <c r="AR512" s="115"/>
      <c r="AS512" s="115"/>
      <c r="AT512" s="115"/>
      <c r="AU512" s="115"/>
      <c r="AV512" s="115"/>
      <c r="AW512" s="115"/>
      <c r="AX512" s="115"/>
      <c r="AY512" s="115"/>
      <c r="AZ512" s="25"/>
      <c r="BA512" s="13"/>
      <c r="BD512" s="114"/>
    </row>
    <row r="513" spans="1:56" ht="19.5" x14ac:dyDescent="0.4">
      <c r="A513" s="117"/>
      <c r="B513" s="123"/>
      <c r="C513" s="123"/>
      <c r="D513" s="123"/>
      <c r="Q513" s="26"/>
      <c r="R513" s="13"/>
      <c r="AB513" s="26"/>
      <c r="AC513" s="13"/>
      <c r="AH513" s="117"/>
      <c r="AI513" s="123"/>
      <c r="AJ513" s="123"/>
      <c r="AK513" s="123"/>
      <c r="AL513" s="115"/>
      <c r="AM513" s="115"/>
      <c r="AN513" s="115"/>
      <c r="AO513" s="115"/>
      <c r="AP513" s="115"/>
      <c r="AQ513" s="115"/>
      <c r="AR513" s="115"/>
      <c r="AS513" s="115"/>
      <c r="AT513" s="115"/>
      <c r="AU513" s="115"/>
      <c r="AV513" s="115"/>
      <c r="AW513" s="115"/>
      <c r="AX513" s="115"/>
      <c r="AY513" s="115"/>
      <c r="AZ513" s="25"/>
      <c r="BA513" s="13"/>
      <c r="BD513" s="114"/>
    </row>
    <row r="514" spans="1:56" ht="19.5" x14ac:dyDescent="0.4">
      <c r="A514" s="117"/>
      <c r="B514" s="123"/>
      <c r="C514" s="123"/>
      <c r="D514" s="123"/>
      <c r="Q514" s="26"/>
      <c r="R514" s="13"/>
      <c r="T514" s="115"/>
      <c r="U514" s="115"/>
      <c r="V514" s="115"/>
      <c r="W514" s="115"/>
      <c r="X514" s="115"/>
      <c r="Y514" s="115"/>
      <c r="Z514" s="115"/>
      <c r="AA514" s="115"/>
      <c r="AB514" s="26"/>
      <c r="AC514" s="13"/>
      <c r="AH514" s="117"/>
      <c r="AI514" s="123"/>
      <c r="AJ514" s="123"/>
      <c r="AK514" s="123"/>
      <c r="AL514" s="115"/>
      <c r="AM514" s="115"/>
      <c r="AN514" s="115"/>
      <c r="AO514" s="115"/>
      <c r="AP514" s="115"/>
      <c r="AQ514" s="115"/>
      <c r="AR514" s="115"/>
      <c r="AS514" s="115"/>
      <c r="AT514" s="115"/>
      <c r="AU514" s="115"/>
      <c r="AV514" s="115"/>
      <c r="AW514" s="115"/>
      <c r="AX514" s="115"/>
      <c r="AY514" s="115"/>
      <c r="AZ514" s="25"/>
      <c r="BA514" s="13"/>
      <c r="BD514" s="114"/>
    </row>
    <row r="515" spans="1:56" ht="19.5" x14ac:dyDescent="0.4">
      <c r="A515" s="117"/>
      <c r="B515" s="123"/>
      <c r="C515" s="123"/>
      <c r="D515" s="123"/>
      <c r="Q515" s="26"/>
      <c r="R515" s="13"/>
      <c r="AB515" s="26"/>
      <c r="AC515" s="13"/>
      <c r="AH515" s="117"/>
      <c r="AI515" s="123"/>
      <c r="AJ515" s="123"/>
      <c r="AK515" s="123"/>
      <c r="AL515" s="115"/>
      <c r="AM515" s="115"/>
      <c r="AN515" s="115"/>
      <c r="AO515" s="115"/>
      <c r="AP515" s="115"/>
      <c r="AQ515" s="115"/>
      <c r="AR515" s="115"/>
      <c r="AS515" s="115"/>
      <c r="AT515" s="115"/>
      <c r="AU515" s="115"/>
      <c r="AV515" s="115"/>
      <c r="AW515" s="115"/>
      <c r="AX515" s="115"/>
      <c r="AY515" s="115"/>
      <c r="AZ515" s="25">
        <v>45270</v>
      </c>
      <c r="BA515" s="13" t="s">
        <v>164</v>
      </c>
      <c r="BD515" s="114"/>
    </row>
    <row r="516" spans="1:56" ht="19.5" x14ac:dyDescent="0.4">
      <c r="A516" s="117"/>
      <c r="B516" s="123"/>
      <c r="C516" s="123"/>
      <c r="D516" s="123"/>
      <c r="Q516" s="26"/>
      <c r="R516" s="13"/>
      <c r="V516" s="115"/>
      <c r="W516" s="115"/>
      <c r="X516" s="115"/>
      <c r="Y516" s="115"/>
      <c r="Z516" s="115"/>
      <c r="AA516" s="115"/>
      <c r="AB516" s="26"/>
      <c r="AC516" s="13"/>
      <c r="AH516" s="117"/>
      <c r="AI516" s="123"/>
      <c r="AJ516" s="123"/>
      <c r="AK516" s="123"/>
      <c r="AL516" s="115"/>
      <c r="AM516" s="115"/>
      <c r="AN516" s="115"/>
      <c r="AO516" s="115"/>
      <c r="AP516" s="115"/>
      <c r="AQ516" s="115"/>
      <c r="AR516" s="115"/>
      <c r="AS516" s="115"/>
      <c r="AT516" s="115"/>
      <c r="AU516" s="115"/>
      <c r="AV516" s="115"/>
      <c r="AW516" s="115"/>
      <c r="AX516" s="115"/>
      <c r="AY516" s="115"/>
      <c r="AZ516" s="25"/>
      <c r="BA516" s="13"/>
      <c r="BD516" s="114"/>
    </row>
    <row r="517" spans="1:56" ht="19.5" x14ac:dyDescent="0.4">
      <c r="A517" s="117"/>
      <c r="B517" s="123"/>
      <c r="C517" s="123"/>
      <c r="D517" s="123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26"/>
      <c r="R517" s="13"/>
      <c r="S517" s="115"/>
      <c r="T517" s="115"/>
      <c r="U517" s="115"/>
      <c r="V517" s="115"/>
      <c r="W517" s="115"/>
      <c r="X517" s="115"/>
      <c r="Y517" s="115"/>
      <c r="Z517" s="115"/>
      <c r="AA517" s="115"/>
      <c r="AB517" s="26"/>
      <c r="AC517" s="13"/>
      <c r="AH517" s="117"/>
      <c r="AI517" s="123"/>
      <c r="AJ517" s="123"/>
      <c r="AK517" s="123"/>
      <c r="AL517" s="115"/>
      <c r="AM517" s="115"/>
      <c r="AN517" s="115"/>
      <c r="AO517" s="115"/>
      <c r="AP517" s="115"/>
      <c r="AQ517" s="115"/>
      <c r="AR517" s="115"/>
      <c r="AS517" s="115"/>
      <c r="AT517" s="115"/>
      <c r="AU517" s="115"/>
      <c r="AV517" s="115"/>
      <c r="AW517" s="115"/>
      <c r="AX517" s="115"/>
      <c r="AY517" s="115"/>
      <c r="AZ517" s="25"/>
      <c r="BA517" s="13"/>
      <c r="BD517" s="114"/>
    </row>
    <row r="518" spans="1:56" ht="19.5" x14ac:dyDescent="0.4">
      <c r="A518" s="117"/>
      <c r="B518" s="123"/>
      <c r="C518" s="123"/>
      <c r="D518" s="123"/>
      <c r="Q518" s="26"/>
      <c r="R518" s="15"/>
      <c r="AB518" s="26"/>
      <c r="AC518" s="13"/>
      <c r="AH518" s="117"/>
      <c r="AI518" s="123"/>
      <c r="AJ518" s="123"/>
      <c r="AK518" s="123"/>
      <c r="AL518" s="115"/>
      <c r="AM518" s="115"/>
      <c r="AN518" s="115"/>
      <c r="AO518" s="115"/>
      <c r="AP518" s="115"/>
      <c r="AQ518" s="115"/>
      <c r="AR518" s="115"/>
      <c r="AS518" s="115"/>
      <c r="AT518" s="115"/>
      <c r="AU518" s="115"/>
      <c r="AV518" s="115"/>
      <c r="AW518" s="115"/>
      <c r="AX518" s="115"/>
      <c r="AY518" s="115"/>
      <c r="AZ518" s="25">
        <v>45270</v>
      </c>
      <c r="BA518" s="13" t="s">
        <v>162</v>
      </c>
      <c r="BD518" s="114"/>
    </row>
    <row r="519" spans="1:56" ht="19.5" x14ac:dyDescent="0.4">
      <c r="A519" s="117"/>
      <c r="B519" s="123"/>
      <c r="C519" s="123"/>
      <c r="D519" s="123"/>
      <c r="Q519" s="26"/>
      <c r="R519" s="15"/>
      <c r="U519" s="115"/>
      <c r="V519" s="115"/>
      <c r="W519" s="115"/>
      <c r="X519" s="115"/>
      <c r="Y519" s="115"/>
      <c r="Z519" s="115"/>
      <c r="AA519" s="115"/>
      <c r="AB519" s="26"/>
      <c r="AC519" s="15"/>
      <c r="AH519" s="117"/>
      <c r="AI519" s="123"/>
      <c r="AJ519" s="123"/>
      <c r="AK519" s="123"/>
      <c r="AL519" s="115"/>
      <c r="AM519" s="115"/>
      <c r="AN519" s="115"/>
      <c r="AO519" s="115"/>
      <c r="AP519" s="115"/>
      <c r="AQ519" s="115"/>
      <c r="AR519" s="115"/>
      <c r="AS519" s="115"/>
      <c r="AT519" s="115"/>
      <c r="AU519" s="115"/>
      <c r="AV519" s="115"/>
      <c r="AW519" s="115"/>
      <c r="AX519" s="115"/>
      <c r="AY519" s="115"/>
      <c r="AZ519" s="25"/>
      <c r="BA519" s="13"/>
      <c r="BD519" s="114"/>
    </row>
    <row r="520" spans="1:56" ht="19.5" x14ac:dyDescent="0.4">
      <c r="A520" s="117"/>
      <c r="B520" s="123"/>
      <c r="C520" s="123"/>
      <c r="D520" s="123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7"/>
      <c r="R520" s="15"/>
      <c r="U520" s="115"/>
      <c r="V520" s="115"/>
      <c r="W520" s="115"/>
      <c r="X520" s="115"/>
      <c r="Y520" s="115"/>
      <c r="Z520" s="115"/>
      <c r="AA520" s="115"/>
      <c r="AB520" s="26"/>
      <c r="AC520" s="13"/>
      <c r="AH520" s="117"/>
      <c r="AI520" s="123"/>
      <c r="AJ520" s="123"/>
      <c r="AK520" s="123"/>
      <c r="AL520" s="115"/>
      <c r="AM520" s="115"/>
      <c r="AN520" s="115"/>
      <c r="AO520" s="115"/>
      <c r="AP520" s="115"/>
      <c r="AQ520" s="115"/>
      <c r="AR520" s="115"/>
      <c r="AS520" s="115"/>
      <c r="AT520" s="115"/>
      <c r="AU520" s="115"/>
      <c r="AV520" s="115"/>
      <c r="AW520" s="115"/>
      <c r="AX520" s="115"/>
      <c r="AY520" s="115"/>
      <c r="AZ520" s="25"/>
      <c r="BA520" s="13"/>
      <c r="BD520" s="114"/>
    </row>
    <row r="521" spans="1:56" ht="19.5" x14ac:dyDescent="0.4">
      <c r="A521" s="117"/>
      <c r="B521" s="123"/>
      <c r="C521" s="123"/>
      <c r="D521" s="123"/>
      <c r="Q521" s="26"/>
      <c r="R521" s="15"/>
      <c r="AB521" s="26"/>
      <c r="AC521" s="13"/>
      <c r="AH521" s="117"/>
      <c r="AI521" s="123"/>
      <c r="AJ521" s="123"/>
      <c r="AK521" s="123"/>
      <c r="AL521" s="115"/>
      <c r="AM521" s="115"/>
      <c r="AN521" s="115"/>
      <c r="AO521" s="115"/>
      <c r="AP521" s="115"/>
      <c r="AQ521" s="115"/>
      <c r="AR521" s="115"/>
      <c r="AS521" s="115"/>
      <c r="AT521" s="115"/>
      <c r="AU521" s="115"/>
      <c r="AV521" s="115"/>
      <c r="AW521" s="115"/>
      <c r="AX521" s="115"/>
      <c r="AY521" s="115"/>
      <c r="AZ521" s="25">
        <v>45270</v>
      </c>
      <c r="BA521" s="13" t="s">
        <v>162</v>
      </c>
      <c r="BD521" s="114"/>
    </row>
    <row r="522" spans="1:56" ht="19.5" x14ac:dyDescent="0.4">
      <c r="A522" s="117"/>
      <c r="B522" s="123"/>
      <c r="C522" s="123"/>
      <c r="D522" s="123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7"/>
      <c r="R522" s="15"/>
      <c r="AB522" s="26"/>
      <c r="AC522" s="13"/>
      <c r="AH522" s="117"/>
      <c r="AI522" s="123"/>
      <c r="AJ522" s="123"/>
      <c r="AK522" s="123"/>
      <c r="AL522" s="115"/>
      <c r="AM522" s="115"/>
      <c r="AN522" s="115"/>
      <c r="AO522" s="115"/>
      <c r="AP522" s="115"/>
      <c r="AQ522" s="115"/>
      <c r="AR522" s="115"/>
      <c r="AS522" s="115"/>
      <c r="AT522" s="115"/>
      <c r="AU522" s="115"/>
      <c r="AV522" s="115"/>
      <c r="AW522" s="115"/>
      <c r="AX522" s="115"/>
      <c r="AY522" s="115"/>
      <c r="AZ522" s="25"/>
      <c r="BA522" s="13"/>
      <c r="BD522" s="114"/>
    </row>
    <row r="523" spans="1:56" ht="19.5" x14ac:dyDescent="0.4">
      <c r="A523" s="117"/>
      <c r="B523" s="123"/>
      <c r="C523" s="123"/>
      <c r="D523" s="123"/>
      <c r="Q523" s="26"/>
      <c r="R523" s="15"/>
      <c r="W523" s="115"/>
      <c r="X523" s="115"/>
      <c r="Y523" s="115"/>
      <c r="Z523" s="115"/>
      <c r="AA523" s="115"/>
      <c r="AB523" s="17"/>
      <c r="AC523" s="13"/>
      <c r="AH523" s="117"/>
      <c r="AI523" s="123"/>
      <c r="AJ523" s="123"/>
      <c r="AK523" s="123"/>
      <c r="AL523" s="115"/>
      <c r="AM523" s="115"/>
      <c r="AN523" s="115"/>
      <c r="AO523" s="115"/>
      <c r="AP523" s="115"/>
      <c r="AQ523" s="115"/>
      <c r="AR523" s="115"/>
      <c r="AS523" s="115"/>
      <c r="AT523" s="115"/>
      <c r="AU523" s="115"/>
      <c r="AV523" s="115"/>
      <c r="AW523" s="115"/>
      <c r="AX523" s="115"/>
      <c r="AY523" s="115"/>
      <c r="AZ523" s="25"/>
      <c r="BA523" s="13"/>
      <c r="BD523" s="114"/>
    </row>
    <row r="524" spans="1:56" ht="19.5" x14ac:dyDescent="0.4">
      <c r="A524" s="117"/>
      <c r="B524" s="123"/>
      <c r="C524" s="123"/>
      <c r="D524" s="123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9"/>
      <c r="R524" s="119"/>
      <c r="W524" s="115"/>
      <c r="X524" s="115"/>
      <c r="Y524" s="115"/>
      <c r="Z524" s="115"/>
      <c r="AA524" s="115"/>
      <c r="AB524" s="17"/>
      <c r="AC524" s="13"/>
      <c r="AH524" s="117"/>
      <c r="AI524" s="123"/>
      <c r="AJ524" s="123"/>
      <c r="AK524" s="123"/>
      <c r="AL524" s="115"/>
      <c r="AM524" s="115"/>
      <c r="AN524" s="115"/>
      <c r="AO524" s="115"/>
      <c r="AP524" s="115"/>
      <c r="AQ524" s="115"/>
      <c r="AR524" s="115"/>
      <c r="AS524" s="115"/>
      <c r="AT524" s="115"/>
      <c r="AU524" s="115"/>
      <c r="AV524" s="115"/>
      <c r="AW524" s="115"/>
      <c r="AX524" s="115"/>
      <c r="AY524" s="115"/>
      <c r="AZ524" s="25"/>
      <c r="BA524" s="13"/>
      <c r="BD524" s="114"/>
    </row>
    <row r="525" spans="1:56" ht="19.5" x14ac:dyDescent="0.4">
      <c r="A525" s="117"/>
      <c r="B525" s="123"/>
      <c r="C525" s="123"/>
      <c r="D525" s="123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9"/>
      <c r="R525" s="119"/>
      <c r="W525" s="115"/>
      <c r="X525" s="115"/>
      <c r="Y525" s="115"/>
      <c r="Z525" s="115"/>
      <c r="AA525" s="115"/>
      <c r="AB525" s="17"/>
      <c r="AC525" s="13"/>
      <c r="AH525" s="117"/>
      <c r="AI525" s="123"/>
      <c r="AJ525" s="123"/>
      <c r="AK525" s="123"/>
      <c r="AL525" s="115"/>
      <c r="AM525" s="115"/>
      <c r="AN525" s="115"/>
      <c r="AO525" s="115"/>
      <c r="AP525" s="115"/>
      <c r="AQ525" s="115"/>
      <c r="AR525" s="115"/>
      <c r="AS525" s="115"/>
      <c r="AT525" s="115"/>
      <c r="AU525" s="115"/>
      <c r="AV525" s="115"/>
      <c r="AW525" s="115"/>
      <c r="AX525" s="115"/>
      <c r="AY525" s="115"/>
      <c r="AZ525" s="25"/>
      <c r="BA525" s="13"/>
      <c r="BD525" s="114"/>
    </row>
    <row r="526" spans="1:56" ht="19.5" x14ac:dyDescent="0.4">
      <c r="A526" s="117"/>
      <c r="B526" s="123"/>
      <c r="C526" s="123"/>
      <c r="D526" s="123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26"/>
      <c r="AC526" s="13"/>
      <c r="AH526" s="117"/>
      <c r="AI526" s="123"/>
      <c r="AJ526" s="123"/>
      <c r="AK526" s="123"/>
      <c r="AL526" s="115"/>
      <c r="AM526" s="115"/>
      <c r="AN526" s="115"/>
      <c r="AO526" s="115"/>
      <c r="AP526" s="115"/>
      <c r="AQ526" s="115"/>
      <c r="AR526" s="115"/>
      <c r="AS526" s="115"/>
      <c r="AT526" s="115"/>
      <c r="AU526" s="115"/>
      <c r="AV526" s="115"/>
      <c r="AW526" s="115"/>
      <c r="AX526" s="115"/>
      <c r="AY526" s="115"/>
      <c r="AZ526" s="25"/>
      <c r="BA526" s="13"/>
      <c r="BD526" s="114"/>
    </row>
    <row r="527" spans="1:56" ht="19.5" x14ac:dyDescent="0.4">
      <c r="A527" s="117"/>
      <c r="B527" s="123"/>
      <c r="C527" s="123"/>
      <c r="D527" s="123"/>
      <c r="AB527" s="26"/>
      <c r="AC527" s="13"/>
      <c r="AH527" s="117"/>
      <c r="AI527" s="123"/>
      <c r="AJ527" s="123"/>
      <c r="AK527" s="123"/>
      <c r="AL527" s="115"/>
      <c r="AM527" s="115"/>
      <c r="AN527" s="115"/>
      <c r="AO527" s="115"/>
      <c r="AP527" s="115"/>
      <c r="AQ527" s="115"/>
      <c r="AR527" s="115"/>
      <c r="AS527" s="115"/>
      <c r="AT527" s="115"/>
      <c r="AU527" s="115"/>
      <c r="AV527" s="115"/>
      <c r="AW527" s="115"/>
      <c r="AX527" s="115"/>
      <c r="AY527" s="115"/>
      <c r="AZ527" s="25"/>
      <c r="BA527" s="13"/>
      <c r="BD527" s="114"/>
    </row>
    <row r="528" spans="1:56" ht="19.5" x14ac:dyDescent="0.4">
      <c r="A528" s="117"/>
      <c r="B528" s="123"/>
      <c r="C528" s="123"/>
      <c r="D528" s="123"/>
      <c r="AB528" s="26"/>
      <c r="AC528" s="13"/>
      <c r="AH528" s="117"/>
      <c r="AI528" s="123"/>
      <c r="AJ528" s="123"/>
      <c r="AK528" s="123"/>
      <c r="AL528" s="115"/>
      <c r="AM528" s="115"/>
      <c r="AN528" s="115"/>
      <c r="AO528" s="115"/>
      <c r="AP528" s="115"/>
      <c r="AQ528" s="115"/>
      <c r="AR528" s="115"/>
      <c r="AS528" s="115"/>
      <c r="AT528" s="115"/>
      <c r="AU528" s="115"/>
      <c r="AV528" s="115"/>
      <c r="AW528" s="115"/>
      <c r="AX528" s="115"/>
      <c r="AY528" s="115"/>
      <c r="AZ528" s="25">
        <v>45270</v>
      </c>
      <c r="BA528" s="13" t="s">
        <v>163</v>
      </c>
      <c r="BD528" s="114"/>
    </row>
    <row r="529" spans="1:56" ht="19.5" x14ac:dyDescent="0.4">
      <c r="A529" s="117"/>
      <c r="B529" s="123"/>
      <c r="C529" s="123"/>
      <c r="D529" s="123"/>
      <c r="W529" s="115"/>
      <c r="X529" s="115"/>
      <c r="Y529" s="115"/>
      <c r="Z529" s="115"/>
      <c r="AA529" s="115"/>
      <c r="AB529" s="17"/>
      <c r="AC529" s="13"/>
      <c r="AH529" s="117"/>
      <c r="AI529" s="123"/>
      <c r="AJ529" s="123"/>
      <c r="AK529" s="123"/>
      <c r="AL529" s="115"/>
      <c r="AM529" s="115"/>
      <c r="AN529" s="115"/>
      <c r="AO529" s="115"/>
      <c r="AP529" s="115"/>
      <c r="AQ529" s="115"/>
      <c r="AR529" s="115"/>
      <c r="AS529" s="115"/>
      <c r="AT529" s="115"/>
      <c r="AU529" s="115"/>
      <c r="AV529" s="115"/>
      <c r="AW529" s="115"/>
      <c r="AX529" s="115"/>
      <c r="AY529" s="115"/>
      <c r="AZ529" s="25"/>
      <c r="BA529" s="13"/>
      <c r="BD529" s="114"/>
    </row>
    <row r="530" spans="1:56" ht="19.5" x14ac:dyDescent="0.4">
      <c r="A530" s="117"/>
      <c r="B530" s="123"/>
      <c r="C530" s="123"/>
      <c r="D530" s="123"/>
      <c r="AB530" s="26"/>
      <c r="AC530" s="13"/>
      <c r="AH530" s="117"/>
      <c r="AI530" s="123"/>
      <c r="AJ530" s="123"/>
      <c r="AK530" s="123"/>
      <c r="AL530" s="115"/>
      <c r="AM530" s="115"/>
      <c r="AN530" s="115"/>
      <c r="AO530" s="115"/>
      <c r="AP530" s="115"/>
      <c r="AQ530" s="115"/>
      <c r="AR530" s="115"/>
      <c r="AS530" s="115"/>
      <c r="AT530" s="115"/>
      <c r="AU530" s="115"/>
      <c r="AV530" s="115"/>
      <c r="AW530" s="115"/>
      <c r="AX530" s="115"/>
      <c r="AY530" s="115" t="s">
        <v>151</v>
      </c>
      <c r="AZ530" s="13">
        <f>SUBTOTAL(3,AZ511:AZ528)</f>
        <v>5</v>
      </c>
      <c r="BA530" s="13">
        <f>SUBTOTAL(3,BA511:BA528)</f>
        <v>5</v>
      </c>
      <c r="BD530" s="114"/>
    </row>
    <row r="531" spans="1:56" ht="19.5" x14ac:dyDescent="0.4">
      <c r="A531" s="117"/>
      <c r="B531" s="123"/>
      <c r="C531" s="123"/>
      <c r="D531" s="123"/>
      <c r="V531" s="115"/>
      <c r="W531" s="115"/>
      <c r="X531" s="115"/>
      <c r="Y531" s="115"/>
      <c r="Z531" s="115"/>
      <c r="AA531" s="115"/>
      <c r="AB531" s="26"/>
      <c r="AC531" s="13"/>
      <c r="AH531" s="117"/>
      <c r="AI531" s="123"/>
      <c r="AJ531" s="123"/>
      <c r="AK531" s="123"/>
      <c r="AL531" s="115"/>
      <c r="AM531" s="115"/>
      <c r="AN531" s="115"/>
      <c r="AO531" s="115"/>
      <c r="AP531" s="115"/>
      <c r="AQ531" s="115"/>
      <c r="AR531" s="115"/>
      <c r="AS531" s="115"/>
      <c r="AT531" s="115"/>
      <c r="AU531" s="115"/>
      <c r="AV531" s="115"/>
      <c r="AW531" s="115"/>
      <c r="AX531" s="115"/>
      <c r="AY531" s="115"/>
      <c r="AZ531" s="13"/>
      <c r="BA531" s="13"/>
      <c r="BD531" s="114"/>
    </row>
    <row r="532" spans="1:56" ht="19.5" x14ac:dyDescent="0.4">
      <c r="A532" s="117"/>
      <c r="B532" s="123"/>
      <c r="C532" s="123"/>
      <c r="D532" s="123"/>
      <c r="AB532" s="26"/>
      <c r="AC532" s="13"/>
      <c r="AH532" s="117"/>
      <c r="AI532" s="123"/>
      <c r="AJ532" s="123"/>
      <c r="AK532" s="123"/>
      <c r="AL532" s="115"/>
      <c r="AM532" s="115"/>
      <c r="AN532" s="115"/>
      <c r="AO532" s="115"/>
      <c r="AP532" s="115"/>
      <c r="AQ532" s="115"/>
      <c r="AR532" s="115"/>
      <c r="AS532" s="115"/>
      <c r="AT532" s="115"/>
      <c r="AU532" s="115"/>
      <c r="AV532" s="115"/>
      <c r="AW532" s="115"/>
      <c r="AX532" s="115"/>
      <c r="AY532" s="115"/>
      <c r="AZ532" s="25">
        <v>45271</v>
      </c>
      <c r="BA532" s="13" t="s">
        <v>162</v>
      </c>
      <c r="BD532" s="114"/>
    </row>
    <row r="533" spans="1:56" ht="19.5" x14ac:dyDescent="0.4">
      <c r="A533" s="117"/>
      <c r="B533" s="123"/>
      <c r="C533" s="123"/>
      <c r="D533" s="123"/>
      <c r="AB533" s="26"/>
      <c r="AC533" s="13"/>
      <c r="AH533" s="117"/>
      <c r="AI533" s="123"/>
      <c r="AJ533" s="123"/>
      <c r="AK533" s="123"/>
      <c r="AL533" s="115"/>
      <c r="AM533" s="115"/>
      <c r="AN533" s="115"/>
      <c r="AO533" s="115"/>
      <c r="AP533" s="115"/>
      <c r="AQ533" s="115"/>
      <c r="AR533" s="115"/>
      <c r="AS533" s="115"/>
      <c r="AT533" s="115"/>
      <c r="AU533" s="115"/>
      <c r="AV533" s="115"/>
      <c r="AW533" s="115"/>
      <c r="AX533" s="115"/>
      <c r="AY533" s="115"/>
      <c r="AZ533" s="25">
        <v>45271</v>
      </c>
      <c r="BA533" s="13" t="s">
        <v>163</v>
      </c>
      <c r="BD533" s="114"/>
    </row>
    <row r="534" spans="1:56" ht="19.5" x14ac:dyDescent="0.4">
      <c r="A534" s="117"/>
      <c r="B534" s="123"/>
      <c r="C534" s="123"/>
      <c r="D534" s="123"/>
      <c r="V534" s="115"/>
      <c r="W534" s="115"/>
      <c r="X534" s="115"/>
      <c r="Y534" s="115"/>
      <c r="Z534" s="115"/>
      <c r="AA534" s="115"/>
      <c r="AB534" s="26"/>
      <c r="AC534" s="13"/>
      <c r="AH534" s="117"/>
      <c r="AI534" s="123"/>
      <c r="AJ534" s="123"/>
      <c r="AK534" s="123"/>
      <c r="AL534" s="115"/>
      <c r="AM534" s="115"/>
      <c r="AN534" s="115"/>
      <c r="AO534" s="115"/>
      <c r="AP534" s="115"/>
      <c r="AQ534" s="115"/>
      <c r="AR534" s="115"/>
      <c r="AS534" s="115"/>
      <c r="AT534" s="115"/>
      <c r="AU534" s="115"/>
      <c r="AV534" s="115"/>
      <c r="AW534" s="115"/>
      <c r="AX534" s="115"/>
      <c r="AY534" s="115"/>
      <c r="AZ534" s="25"/>
      <c r="BA534" s="13"/>
      <c r="BD534" s="114"/>
    </row>
    <row r="535" spans="1:56" ht="19.5" x14ac:dyDescent="0.4">
      <c r="A535" s="117"/>
      <c r="B535" s="123"/>
      <c r="C535" s="123"/>
      <c r="D535" s="123"/>
      <c r="U535" s="115"/>
      <c r="V535" s="115"/>
      <c r="W535" s="115"/>
      <c r="X535" s="115"/>
      <c r="Y535" s="115"/>
      <c r="Z535" s="115"/>
      <c r="AA535" s="115"/>
      <c r="AB535" s="26"/>
      <c r="AC535" s="13"/>
      <c r="AH535" s="117"/>
      <c r="AI535" s="123"/>
      <c r="AJ535" s="123"/>
      <c r="AK535" s="123"/>
      <c r="AL535" s="115"/>
      <c r="AM535" s="115"/>
      <c r="AN535" s="115"/>
      <c r="AO535" s="115"/>
      <c r="AP535" s="115"/>
      <c r="AQ535" s="115"/>
      <c r="AR535" s="115"/>
      <c r="AS535" s="115"/>
      <c r="AT535" s="115"/>
      <c r="AU535" s="115"/>
      <c r="AV535" s="115"/>
      <c r="AW535" s="115"/>
      <c r="AX535" s="115"/>
      <c r="AY535" s="115"/>
      <c r="AZ535" s="25"/>
      <c r="BA535" s="13"/>
      <c r="BD535" s="114"/>
    </row>
    <row r="536" spans="1:56" ht="19.5" x14ac:dyDescent="0.4">
      <c r="A536" s="117"/>
      <c r="B536" s="123"/>
      <c r="C536" s="123"/>
      <c r="D536" s="123"/>
      <c r="U536" s="115"/>
      <c r="V536" s="115"/>
      <c r="W536" s="115"/>
      <c r="X536" s="115"/>
      <c r="Y536" s="115"/>
      <c r="Z536" s="115"/>
      <c r="AA536" s="115"/>
      <c r="AB536" s="17"/>
      <c r="AC536" s="13"/>
      <c r="AH536" s="117"/>
      <c r="AI536" s="123"/>
      <c r="AJ536" s="123"/>
      <c r="AK536" s="123"/>
      <c r="AL536" s="115"/>
      <c r="AM536" s="115"/>
      <c r="AN536" s="115"/>
      <c r="AO536" s="115"/>
      <c r="AP536" s="115"/>
      <c r="AQ536" s="115"/>
      <c r="AR536" s="115"/>
      <c r="AS536" s="115"/>
      <c r="AT536" s="115"/>
      <c r="AU536" s="115"/>
      <c r="AV536" s="115"/>
      <c r="AW536" s="115"/>
      <c r="AX536" s="115"/>
      <c r="AY536" s="115"/>
      <c r="AZ536" s="25"/>
      <c r="BA536" s="13"/>
      <c r="BD536" s="114"/>
    </row>
    <row r="537" spans="1:56" ht="19.5" x14ac:dyDescent="0.4">
      <c r="A537" s="117"/>
      <c r="B537" s="123"/>
      <c r="C537" s="123"/>
      <c r="D537" s="123"/>
      <c r="S537" s="115"/>
      <c r="T537" s="115"/>
      <c r="U537" s="115"/>
      <c r="V537" s="115"/>
      <c r="W537" s="115"/>
      <c r="X537" s="115"/>
      <c r="Y537" s="115"/>
      <c r="Z537" s="115"/>
      <c r="AA537" s="115"/>
      <c r="AB537" s="26"/>
      <c r="AC537" s="13"/>
      <c r="AH537" s="117"/>
      <c r="AI537" s="123"/>
      <c r="AJ537" s="123"/>
      <c r="AK537" s="123"/>
      <c r="AL537" s="115"/>
      <c r="AM537" s="115"/>
      <c r="AN537" s="115"/>
      <c r="AO537" s="115"/>
      <c r="AP537" s="115"/>
      <c r="AQ537" s="115"/>
      <c r="AR537" s="115"/>
      <c r="AS537" s="115"/>
      <c r="AT537" s="115"/>
      <c r="AU537" s="115"/>
      <c r="AV537" s="115"/>
      <c r="AW537" s="115"/>
      <c r="AX537" s="115"/>
      <c r="AY537" s="115"/>
      <c r="AZ537" s="25"/>
      <c r="BA537" s="13"/>
      <c r="BD537" s="114"/>
    </row>
    <row r="538" spans="1:56" ht="19.5" x14ac:dyDescent="0.4">
      <c r="A538" s="117"/>
      <c r="B538" s="123"/>
      <c r="C538" s="123"/>
      <c r="D538" s="123"/>
      <c r="AB538" s="26"/>
      <c r="AC538" s="13"/>
      <c r="AH538" s="117"/>
      <c r="AI538" s="123"/>
      <c r="AJ538" s="123"/>
      <c r="AK538" s="123"/>
      <c r="AL538" s="115"/>
      <c r="AM538" s="115"/>
      <c r="AN538" s="115"/>
      <c r="AO538" s="115"/>
      <c r="AP538" s="115"/>
      <c r="AQ538" s="115"/>
      <c r="AR538" s="115"/>
      <c r="AS538" s="115"/>
      <c r="AT538" s="115"/>
      <c r="AU538" s="115"/>
      <c r="AV538" s="115"/>
      <c r="AW538" s="115"/>
      <c r="AX538" s="115"/>
      <c r="AY538" s="115"/>
      <c r="AZ538" s="25">
        <v>45271</v>
      </c>
      <c r="BA538" s="13" t="s">
        <v>163</v>
      </c>
      <c r="BD538" s="114"/>
    </row>
    <row r="539" spans="1:56" ht="19.5" x14ac:dyDescent="0.4">
      <c r="A539" s="117"/>
      <c r="B539" s="123"/>
      <c r="C539" s="123"/>
      <c r="D539" s="123"/>
      <c r="V539" s="115"/>
      <c r="W539" s="115"/>
      <c r="X539" s="115"/>
      <c r="Y539" s="115"/>
      <c r="Z539" s="115"/>
      <c r="AA539" s="115"/>
      <c r="AB539" s="26"/>
      <c r="AC539" s="13"/>
      <c r="AH539" s="117"/>
      <c r="AI539" s="123"/>
      <c r="AJ539" s="123"/>
      <c r="AK539" s="123"/>
      <c r="AL539" s="115"/>
      <c r="AM539" s="115"/>
      <c r="AN539" s="115"/>
      <c r="AO539" s="115"/>
      <c r="AP539" s="115"/>
      <c r="AQ539" s="115"/>
      <c r="AR539" s="115"/>
      <c r="AS539" s="115"/>
      <c r="AT539" s="115"/>
      <c r="AU539" s="115"/>
      <c r="AV539" s="115"/>
      <c r="AW539" s="115"/>
      <c r="AX539" s="115"/>
      <c r="AY539" s="115"/>
      <c r="AZ539" s="25"/>
      <c r="BA539" s="13"/>
      <c r="BD539" s="114"/>
    </row>
    <row r="540" spans="1:56" ht="19.5" x14ac:dyDescent="0.4">
      <c r="A540" s="117"/>
      <c r="B540" s="123"/>
      <c r="C540" s="123"/>
      <c r="D540" s="123"/>
      <c r="T540" s="115"/>
      <c r="U540" s="115"/>
      <c r="V540" s="115"/>
      <c r="W540" s="115"/>
      <c r="X540" s="115"/>
      <c r="Y540" s="115"/>
      <c r="Z540" s="115"/>
      <c r="AA540" s="115"/>
      <c r="AB540" s="26"/>
      <c r="AC540" s="13"/>
      <c r="AH540" s="117"/>
      <c r="AI540" s="123"/>
      <c r="AJ540" s="123"/>
      <c r="AK540" s="123"/>
      <c r="AL540" s="115"/>
      <c r="AM540" s="115"/>
      <c r="AN540" s="115"/>
      <c r="AO540" s="115"/>
      <c r="AP540" s="115"/>
      <c r="AQ540" s="115"/>
      <c r="AR540" s="115"/>
      <c r="AS540" s="115"/>
      <c r="AT540" s="115"/>
      <c r="AU540" s="115"/>
      <c r="AV540" s="115"/>
      <c r="AW540" s="115"/>
      <c r="AX540" s="115"/>
      <c r="AY540" s="115"/>
      <c r="AZ540" s="25"/>
      <c r="BA540" s="13"/>
      <c r="BD540" s="114"/>
    </row>
    <row r="541" spans="1:56" ht="19.5" x14ac:dyDescent="0.4">
      <c r="A541" s="117"/>
      <c r="B541" s="123"/>
      <c r="C541" s="123"/>
      <c r="D541" s="123"/>
      <c r="T541" s="115"/>
      <c r="U541" s="115"/>
      <c r="V541" s="115"/>
      <c r="W541" s="115"/>
      <c r="X541" s="115"/>
      <c r="Y541" s="115"/>
      <c r="Z541" s="115"/>
      <c r="AA541" s="115"/>
      <c r="AB541" s="17"/>
      <c r="AC541" s="13"/>
      <c r="AH541" s="117"/>
      <c r="AI541" s="123"/>
      <c r="AJ541" s="123"/>
      <c r="AK541" s="123"/>
      <c r="AL541" s="115"/>
      <c r="AM541" s="115"/>
      <c r="AN541" s="115"/>
      <c r="AO541" s="115"/>
      <c r="AP541" s="115"/>
      <c r="AQ541" s="115"/>
      <c r="AR541" s="115"/>
      <c r="AS541" s="115"/>
      <c r="AT541" s="115"/>
      <c r="AU541" s="115"/>
      <c r="AV541" s="115"/>
      <c r="AW541" s="115"/>
      <c r="AX541" s="115"/>
      <c r="AY541" s="115"/>
      <c r="AZ541" s="25"/>
      <c r="BA541" s="13"/>
      <c r="BD541" s="114"/>
    </row>
    <row r="542" spans="1:56" ht="19.5" x14ac:dyDescent="0.4">
      <c r="A542" s="117"/>
      <c r="B542" s="123"/>
      <c r="C542" s="123"/>
      <c r="D542" s="123"/>
      <c r="AB542" s="26"/>
      <c r="AC542" s="13"/>
      <c r="AH542" s="117"/>
      <c r="AI542" s="123"/>
      <c r="AJ542" s="123"/>
      <c r="AK542" s="123"/>
      <c r="AL542" s="115"/>
      <c r="AM542" s="115"/>
      <c r="AN542" s="115"/>
      <c r="AO542" s="115"/>
      <c r="AP542" s="115"/>
      <c r="AQ542" s="115"/>
      <c r="AR542" s="115"/>
      <c r="AS542" s="115"/>
      <c r="AT542" s="115"/>
      <c r="AU542" s="115"/>
      <c r="AV542" s="115"/>
      <c r="AW542" s="115"/>
      <c r="AX542" s="115"/>
      <c r="AY542" s="115" t="s">
        <v>165</v>
      </c>
      <c r="AZ542" s="13">
        <f>SUBTOTAL(3,AZ532:AZ538)</f>
        <v>3</v>
      </c>
      <c r="BA542" s="13">
        <f>SUBTOTAL(3,BA532:BA538)</f>
        <v>3</v>
      </c>
      <c r="BD542" s="114"/>
    </row>
    <row r="543" spans="1:56" ht="19.5" x14ac:dyDescent="0.4">
      <c r="A543" s="117"/>
      <c r="B543" s="123"/>
      <c r="C543" s="123"/>
      <c r="D543" s="123"/>
      <c r="AB543" s="26"/>
      <c r="AC543" s="13"/>
      <c r="AH543" s="117"/>
      <c r="AI543" s="123"/>
      <c r="AJ543" s="123"/>
      <c r="AK543" s="123"/>
      <c r="AL543" s="115"/>
      <c r="AM543" s="115"/>
      <c r="AN543" s="115"/>
      <c r="AO543" s="115"/>
      <c r="AP543" s="115"/>
      <c r="AQ543" s="115"/>
      <c r="AR543" s="115"/>
      <c r="AS543" s="115"/>
      <c r="AT543" s="115"/>
      <c r="AU543" s="115"/>
      <c r="AV543" s="115"/>
      <c r="AW543" s="115"/>
      <c r="AX543" s="115"/>
      <c r="AY543" s="115"/>
      <c r="AZ543" s="25">
        <v>45272</v>
      </c>
      <c r="BA543" s="13" t="s">
        <v>162</v>
      </c>
      <c r="BD543" s="114"/>
    </row>
    <row r="544" spans="1:56" ht="19.5" x14ac:dyDescent="0.4">
      <c r="A544" s="117"/>
      <c r="B544" s="123"/>
      <c r="C544" s="123"/>
      <c r="D544" s="123"/>
      <c r="W544" s="115"/>
      <c r="X544" s="115"/>
      <c r="Y544" s="115"/>
      <c r="Z544" s="115"/>
      <c r="AA544" s="115"/>
      <c r="AB544" s="17"/>
      <c r="AC544" s="13"/>
      <c r="AH544" s="117"/>
      <c r="AI544" s="123"/>
      <c r="AJ544" s="123"/>
      <c r="AK544" s="123"/>
      <c r="AL544" s="115"/>
      <c r="AM544" s="115"/>
      <c r="AN544" s="115"/>
      <c r="AO544" s="115"/>
      <c r="AP544" s="115"/>
      <c r="AQ544" s="115"/>
      <c r="AR544" s="115"/>
      <c r="AS544" s="115"/>
      <c r="AT544" s="115"/>
      <c r="AU544" s="115"/>
      <c r="AV544" s="115"/>
      <c r="AW544" s="115"/>
      <c r="AX544" s="115"/>
      <c r="AY544" s="115"/>
      <c r="AZ544" s="25"/>
      <c r="BA544" s="13"/>
      <c r="BD544" s="114"/>
    </row>
    <row r="545" spans="1:56" ht="19.5" x14ac:dyDescent="0.4">
      <c r="A545" s="117"/>
      <c r="B545" s="123"/>
      <c r="C545" s="123"/>
      <c r="D545" s="123"/>
      <c r="AB545" s="26"/>
      <c r="AC545" s="15"/>
      <c r="AH545" s="117"/>
      <c r="AI545" s="123"/>
      <c r="AJ545" s="123"/>
      <c r="AK545" s="123"/>
      <c r="AL545" s="115"/>
      <c r="AM545" s="115"/>
      <c r="AN545" s="115"/>
      <c r="AO545" s="115"/>
      <c r="AP545" s="115"/>
      <c r="AQ545" s="115"/>
      <c r="AR545" s="115"/>
      <c r="AS545" s="115"/>
      <c r="AT545" s="115"/>
      <c r="AU545" s="115"/>
      <c r="AV545" s="115"/>
      <c r="AW545" s="115"/>
      <c r="AX545" s="115"/>
      <c r="AY545" s="115"/>
      <c r="AZ545" s="25">
        <v>45272</v>
      </c>
      <c r="BA545" s="13" t="s">
        <v>162</v>
      </c>
      <c r="BD545" s="114"/>
    </row>
    <row r="546" spans="1:56" ht="19.5" x14ac:dyDescent="0.4">
      <c r="A546" s="117"/>
      <c r="B546" s="123"/>
      <c r="C546" s="123"/>
      <c r="D546" s="123"/>
      <c r="W546" s="115"/>
      <c r="X546" s="115"/>
      <c r="Y546" s="115"/>
      <c r="Z546" s="115"/>
      <c r="AA546" s="115"/>
      <c r="AB546" s="17"/>
      <c r="AC546" s="13"/>
      <c r="AH546" s="117"/>
      <c r="AI546" s="123"/>
      <c r="AJ546" s="123"/>
      <c r="AK546" s="123"/>
      <c r="AL546" s="115"/>
      <c r="AM546" s="115"/>
      <c r="AN546" s="115"/>
      <c r="AO546" s="115"/>
      <c r="AP546" s="115"/>
      <c r="AQ546" s="115"/>
      <c r="AR546" s="115"/>
      <c r="AS546" s="115"/>
      <c r="AT546" s="115"/>
      <c r="AU546" s="115"/>
      <c r="AV546" s="115"/>
      <c r="AW546" s="115"/>
      <c r="AX546" s="115"/>
      <c r="AY546" s="115"/>
      <c r="AZ546" s="25"/>
      <c r="BA546" s="13"/>
      <c r="BD546" s="114"/>
    </row>
    <row r="547" spans="1:56" ht="19.5" x14ac:dyDescent="0.4">
      <c r="A547" s="117"/>
      <c r="B547" s="123"/>
      <c r="C547" s="123"/>
      <c r="D547" s="123"/>
      <c r="W547" s="115"/>
      <c r="X547" s="115"/>
      <c r="Y547" s="115"/>
      <c r="Z547" s="115"/>
      <c r="AA547" s="115"/>
      <c r="AB547" s="17"/>
      <c r="AC547" s="13"/>
      <c r="AH547" s="117"/>
      <c r="AI547" s="123"/>
      <c r="AJ547" s="123"/>
      <c r="AK547" s="123"/>
      <c r="AL547" s="115"/>
      <c r="AM547" s="115"/>
      <c r="AN547" s="115"/>
      <c r="AO547" s="115"/>
      <c r="AP547" s="115"/>
      <c r="AQ547" s="115"/>
      <c r="AR547" s="115"/>
      <c r="AS547" s="115"/>
      <c r="AT547" s="115"/>
      <c r="AU547" s="115"/>
      <c r="AV547" s="115"/>
      <c r="AW547" s="115"/>
      <c r="AX547" s="115"/>
      <c r="AY547" s="115"/>
      <c r="AZ547" s="25"/>
      <c r="BA547" s="13"/>
      <c r="BD547" s="114"/>
    </row>
    <row r="548" spans="1:56" ht="19.5" x14ac:dyDescent="0.4">
      <c r="A548" s="117"/>
      <c r="B548" s="123"/>
      <c r="C548" s="123"/>
      <c r="D548" s="123"/>
      <c r="AB548" s="26"/>
      <c r="AC548" s="13"/>
      <c r="AH548" s="117"/>
      <c r="AI548" s="123"/>
      <c r="AJ548" s="123"/>
      <c r="AK548" s="123"/>
      <c r="AL548" s="115"/>
      <c r="AM548" s="115"/>
      <c r="AN548" s="115"/>
      <c r="AO548" s="115"/>
      <c r="AP548" s="115"/>
      <c r="AQ548" s="115"/>
      <c r="AR548" s="115"/>
      <c r="AS548" s="115"/>
      <c r="AT548" s="115"/>
      <c r="AU548" s="115"/>
      <c r="AV548" s="115"/>
      <c r="AW548" s="115"/>
      <c r="AX548" s="115"/>
      <c r="AY548" s="115"/>
      <c r="AZ548" s="25">
        <v>45272</v>
      </c>
      <c r="BA548" s="13" t="s">
        <v>162</v>
      </c>
      <c r="BD548" s="114"/>
    </row>
    <row r="549" spans="1:56" ht="19.5" x14ac:dyDescent="0.4">
      <c r="A549" s="125"/>
      <c r="B549" s="126"/>
      <c r="C549" s="126"/>
      <c r="D549" s="126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26"/>
      <c r="AC549" s="13"/>
      <c r="AH549" s="117"/>
      <c r="AI549" s="123"/>
      <c r="AJ549" s="123"/>
      <c r="AK549" s="123"/>
      <c r="AL549" s="115"/>
      <c r="AM549" s="115"/>
      <c r="AN549" s="115"/>
      <c r="AO549" s="115"/>
      <c r="AP549" s="115"/>
      <c r="AQ549" s="115"/>
      <c r="AR549" s="115"/>
      <c r="AS549" s="115"/>
      <c r="AT549" s="115"/>
      <c r="AU549" s="115"/>
      <c r="AV549" s="115"/>
      <c r="AW549" s="115"/>
      <c r="AX549" s="115"/>
      <c r="AY549" s="115"/>
      <c r="AZ549" s="25"/>
      <c r="BA549" s="13"/>
      <c r="BD549" s="114"/>
    </row>
    <row r="550" spans="1:56" ht="19.5" x14ac:dyDescent="0.4">
      <c r="A550" s="125"/>
      <c r="B550" s="126"/>
      <c r="C550" s="126"/>
      <c r="D550" s="126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26"/>
      <c r="AC550" s="13"/>
      <c r="AH550" s="117"/>
      <c r="AI550" s="123"/>
      <c r="AJ550" s="123"/>
      <c r="AK550" s="123"/>
      <c r="AL550" s="115"/>
      <c r="AM550" s="115"/>
      <c r="AN550" s="115"/>
      <c r="AO550" s="115"/>
      <c r="AP550" s="115"/>
      <c r="AQ550" s="115"/>
      <c r="AR550" s="115"/>
      <c r="AS550" s="115"/>
      <c r="AT550" s="115"/>
      <c r="AU550" s="115"/>
      <c r="AV550" s="115"/>
      <c r="AW550" s="115"/>
      <c r="AX550" s="115"/>
      <c r="AY550" s="115"/>
      <c r="AZ550" s="25"/>
      <c r="BA550" s="13"/>
      <c r="BD550" s="114"/>
    </row>
    <row r="551" spans="1:56" ht="19.5" x14ac:dyDescent="0.4">
      <c r="A551" s="125"/>
      <c r="B551" s="126"/>
      <c r="C551" s="126"/>
      <c r="D551" s="126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7"/>
      <c r="AC551" s="13"/>
      <c r="AH551" s="117"/>
      <c r="AI551" s="123"/>
      <c r="AJ551" s="123"/>
      <c r="AK551" s="123"/>
      <c r="AL551" s="115"/>
      <c r="AM551" s="115"/>
      <c r="AN551" s="115"/>
      <c r="AO551" s="115"/>
      <c r="AP551" s="115"/>
      <c r="AQ551" s="115"/>
      <c r="AR551" s="115"/>
      <c r="AS551" s="115"/>
      <c r="AT551" s="115"/>
      <c r="AU551" s="115"/>
      <c r="AV551" s="115"/>
      <c r="AW551" s="115"/>
      <c r="AX551" s="115"/>
      <c r="AY551" s="115"/>
      <c r="AZ551" s="25"/>
      <c r="BA551" s="13"/>
      <c r="BD551" s="114"/>
    </row>
    <row r="552" spans="1:56" ht="19.5" x14ac:dyDescent="0.4">
      <c r="A552" s="125"/>
      <c r="B552" s="126"/>
      <c r="C552" s="126"/>
      <c r="D552" s="126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26"/>
      <c r="AC552" s="13"/>
      <c r="AH552" s="117"/>
      <c r="AI552" s="123"/>
      <c r="AJ552" s="123"/>
      <c r="AK552" s="123"/>
      <c r="AL552" s="115"/>
      <c r="AM552" s="115"/>
      <c r="AN552" s="115"/>
      <c r="AO552" s="115"/>
      <c r="AP552" s="115"/>
      <c r="AQ552" s="115"/>
      <c r="AR552" s="115"/>
      <c r="AS552" s="115"/>
      <c r="AT552" s="115"/>
      <c r="AU552" s="115"/>
      <c r="AV552" s="115"/>
      <c r="AW552" s="115"/>
      <c r="AX552" s="115"/>
      <c r="AY552" s="115"/>
      <c r="AZ552" s="25"/>
      <c r="BA552" s="13"/>
      <c r="BD552" s="114"/>
    </row>
    <row r="553" spans="1:56" ht="19.5" x14ac:dyDescent="0.4">
      <c r="AB553" s="26"/>
      <c r="AC553" s="13"/>
      <c r="AH553" s="117"/>
      <c r="AI553" s="123"/>
      <c r="AJ553" s="123"/>
      <c r="AK553" s="123"/>
      <c r="AL553" s="115"/>
      <c r="AM553" s="115"/>
      <c r="AN553" s="115"/>
      <c r="AO553" s="115"/>
      <c r="AP553" s="115"/>
      <c r="AQ553" s="115"/>
      <c r="AR553" s="115"/>
      <c r="AS553" s="115"/>
      <c r="AT553" s="115"/>
      <c r="AU553" s="115"/>
      <c r="AV553" s="115"/>
      <c r="AW553" s="115"/>
      <c r="AX553" s="115"/>
      <c r="AY553" s="115"/>
      <c r="AZ553" s="25">
        <v>45272</v>
      </c>
      <c r="BA553" s="13" t="s">
        <v>162</v>
      </c>
      <c r="BD553" s="114"/>
    </row>
    <row r="554" spans="1:56" ht="19.5" x14ac:dyDescent="0.4">
      <c r="AB554" s="26"/>
      <c r="AC554" s="13"/>
      <c r="AH554" s="117"/>
      <c r="AI554" s="123"/>
      <c r="AJ554" s="123"/>
      <c r="AK554" s="123"/>
      <c r="AL554" s="115"/>
      <c r="AM554" s="115"/>
      <c r="AN554" s="115"/>
      <c r="AO554" s="115"/>
      <c r="AP554" s="115"/>
      <c r="AQ554" s="115"/>
      <c r="AR554" s="115"/>
      <c r="AS554" s="115"/>
      <c r="AT554" s="115"/>
      <c r="AU554" s="115"/>
      <c r="AV554" s="115"/>
      <c r="AW554" s="115"/>
      <c r="AX554" s="115"/>
      <c r="AY554" s="115"/>
      <c r="AZ554" s="25"/>
      <c r="BA554" s="13"/>
      <c r="BD554" s="114"/>
    </row>
    <row r="555" spans="1:56" ht="19.5" x14ac:dyDescent="0.4"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26"/>
      <c r="AC555" s="25"/>
      <c r="AH555" s="117"/>
      <c r="AI555" s="123"/>
      <c r="AJ555" s="123"/>
      <c r="AK555" s="123"/>
      <c r="AL555" s="115"/>
      <c r="AM555" s="115"/>
      <c r="AN555" s="115"/>
      <c r="AO555" s="115"/>
      <c r="AP555" s="115"/>
      <c r="AQ555" s="115"/>
      <c r="AR555" s="115"/>
      <c r="AS555" s="115"/>
      <c r="AT555" s="115"/>
      <c r="AU555" s="115"/>
      <c r="AV555" s="115"/>
      <c r="AW555" s="115"/>
      <c r="AX555" s="115"/>
      <c r="AY555" s="115"/>
      <c r="AZ555" s="25"/>
      <c r="BA555" s="13"/>
      <c r="BD555" s="114"/>
    </row>
    <row r="556" spans="1:56" ht="19.5" x14ac:dyDescent="0.4">
      <c r="AB556" s="26"/>
      <c r="AC556" s="25"/>
      <c r="AH556" s="117"/>
      <c r="AI556" s="123"/>
      <c r="AJ556" s="123"/>
      <c r="AK556" s="123"/>
      <c r="AL556" s="115"/>
      <c r="AM556" s="115"/>
      <c r="AN556" s="115"/>
      <c r="AO556" s="115"/>
      <c r="AP556" s="115"/>
      <c r="AQ556" s="115"/>
      <c r="AR556" s="115"/>
      <c r="AS556" s="115"/>
      <c r="AT556" s="115"/>
      <c r="AU556" s="115"/>
      <c r="AV556" s="115"/>
      <c r="AW556" s="115"/>
      <c r="AX556" s="115"/>
      <c r="AY556" s="115"/>
      <c r="AZ556" s="25">
        <v>45272</v>
      </c>
      <c r="BA556" s="13" t="s">
        <v>162</v>
      </c>
      <c r="BD556" s="114"/>
    </row>
    <row r="557" spans="1:56" ht="19.5" x14ac:dyDescent="0.4">
      <c r="AB557" s="26"/>
      <c r="AC557" s="13"/>
      <c r="AH557" s="117"/>
      <c r="AI557" s="123"/>
      <c r="AJ557" s="123"/>
      <c r="AK557" s="123"/>
      <c r="AL557" s="115"/>
      <c r="AM557" s="115"/>
      <c r="AN557" s="115"/>
      <c r="AO557" s="115"/>
      <c r="AP557" s="115"/>
      <c r="AQ557" s="115"/>
      <c r="AR557" s="115"/>
      <c r="AS557" s="115"/>
      <c r="AT557" s="115"/>
      <c r="AU557" s="115"/>
      <c r="AV557" s="115"/>
      <c r="AW557" s="115"/>
      <c r="AX557" s="115"/>
      <c r="AY557" s="115"/>
      <c r="AZ557" s="25">
        <v>45272</v>
      </c>
      <c r="BA557" s="15" t="s">
        <v>162</v>
      </c>
      <c r="BD557" s="114"/>
    </row>
    <row r="558" spans="1:56" ht="19.5" x14ac:dyDescent="0.4">
      <c r="AB558" s="26"/>
      <c r="AC558" s="13"/>
      <c r="AH558" s="117"/>
      <c r="AI558" s="123"/>
      <c r="AJ558" s="123"/>
      <c r="AK558" s="123"/>
      <c r="AL558" s="115"/>
      <c r="AM558" s="115"/>
      <c r="AN558" s="115"/>
      <c r="AO558" s="115"/>
      <c r="AP558" s="115"/>
      <c r="AQ558" s="115"/>
      <c r="AR558" s="115"/>
      <c r="AS558" s="115"/>
      <c r="AT558" s="115"/>
      <c r="AU558" s="115"/>
      <c r="AV558" s="115"/>
      <c r="AW558" s="115"/>
      <c r="AX558" s="115"/>
      <c r="AY558" s="115"/>
      <c r="AZ558" s="25">
        <v>45272</v>
      </c>
      <c r="BA558" s="15" t="s">
        <v>162</v>
      </c>
      <c r="BD558" s="114"/>
    </row>
    <row r="559" spans="1:56" ht="19.5" x14ac:dyDescent="0.4"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26"/>
      <c r="AC559" s="13"/>
      <c r="AH559" s="117"/>
      <c r="AI559" s="123"/>
      <c r="AJ559" s="123"/>
      <c r="AK559" s="123"/>
      <c r="AL559" s="115"/>
      <c r="AM559" s="115"/>
      <c r="AN559" s="115"/>
      <c r="AO559" s="115"/>
      <c r="AP559" s="115"/>
      <c r="AQ559" s="115"/>
      <c r="AR559" s="115"/>
      <c r="AS559" s="115"/>
      <c r="AT559" s="115"/>
      <c r="AU559" s="115"/>
      <c r="AV559" s="115"/>
      <c r="AW559" s="115"/>
      <c r="AX559" s="115"/>
      <c r="AY559" s="115"/>
      <c r="AZ559" s="25"/>
      <c r="BA559" s="15"/>
      <c r="BD559" s="114"/>
    </row>
    <row r="560" spans="1:56" ht="19.5" x14ac:dyDescent="0.4"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7"/>
      <c r="AC560" s="13"/>
      <c r="AH560" s="117"/>
      <c r="AI560" s="123"/>
      <c r="AJ560" s="123"/>
      <c r="AK560" s="123"/>
      <c r="AL560" s="115"/>
      <c r="AM560" s="115"/>
      <c r="AN560" s="115"/>
      <c r="AO560" s="115"/>
      <c r="AP560" s="115"/>
      <c r="AQ560" s="115"/>
      <c r="AR560" s="115"/>
      <c r="AS560" s="115"/>
      <c r="AT560" s="115"/>
      <c r="AU560" s="115"/>
      <c r="AV560" s="115"/>
      <c r="AW560" s="115"/>
      <c r="AX560" s="115"/>
      <c r="AY560" s="115"/>
      <c r="AZ560" s="25"/>
      <c r="BA560" s="15"/>
      <c r="BD560" s="114"/>
    </row>
    <row r="561" spans="6:56" ht="19.5" x14ac:dyDescent="0.4">
      <c r="AB561" s="26"/>
      <c r="AC561" s="13"/>
      <c r="AH561" s="117"/>
      <c r="AI561" s="123"/>
      <c r="AJ561" s="123"/>
      <c r="AK561" s="123"/>
      <c r="AL561" s="115"/>
      <c r="AM561" s="115"/>
      <c r="AN561" s="115"/>
      <c r="AO561" s="115"/>
      <c r="AP561" s="115"/>
      <c r="AQ561" s="115"/>
      <c r="AR561" s="115"/>
      <c r="AS561" s="115"/>
      <c r="AT561" s="115"/>
      <c r="AU561" s="115"/>
      <c r="AV561" s="115"/>
      <c r="AW561" s="115"/>
      <c r="AX561" s="115"/>
      <c r="AY561" s="115"/>
      <c r="AZ561" s="25">
        <v>45272</v>
      </c>
      <c r="BA561" s="15" t="s">
        <v>162</v>
      </c>
      <c r="BD561" s="114"/>
    </row>
    <row r="562" spans="6:56" ht="19.5" x14ac:dyDescent="0.4"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26"/>
      <c r="AC562" s="13"/>
      <c r="AH562" s="117"/>
      <c r="AI562" s="123"/>
      <c r="AJ562" s="123"/>
      <c r="AK562" s="123"/>
      <c r="AL562" s="115"/>
      <c r="AM562" s="115"/>
      <c r="AN562" s="115"/>
      <c r="AO562" s="115"/>
      <c r="AP562" s="115"/>
      <c r="AQ562" s="115"/>
      <c r="AR562" s="115"/>
      <c r="AS562" s="115"/>
      <c r="AT562" s="115"/>
      <c r="AU562" s="115"/>
      <c r="AV562" s="115"/>
      <c r="AW562" s="115"/>
      <c r="AX562" s="115"/>
      <c r="AY562" s="115"/>
      <c r="AZ562" s="25"/>
      <c r="BA562" s="15"/>
      <c r="BD562" s="114"/>
    </row>
    <row r="563" spans="6:56" ht="19.5" x14ac:dyDescent="0.4"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26"/>
      <c r="AC563" s="13"/>
      <c r="AH563" s="117"/>
      <c r="AI563" s="123"/>
      <c r="AJ563" s="123"/>
      <c r="AK563" s="123"/>
      <c r="AL563" s="115"/>
      <c r="AM563" s="115"/>
      <c r="AN563" s="115"/>
      <c r="AO563" s="115"/>
      <c r="AP563" s="115"/>
      <c r="AQ563" s="115"/>
      <c r="AR563" s="115"/>
      <c r="AS563" s="115"/>
      <c r="AT563" s="115"/>
      <c r="AU563" s="115"/>
      <c r="AV563" s="115"/>
      <c r="AW563" s="115"/>
      <c r="AX563" s="115"/>
      <c r="AY563" s="115"/>
      <c r="AZ563" s="25"/>
      <c r="BA563" s="15"/>
      <c r="BD563" s="114"/>
    </row>
    <row r="564" spans="6:56" ht="19.5" x14ac:dyDescent="0.4"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7"/>
      <c r="AC564" s="13"/>
      <c r="AH564" s="117"/>
      <c r="AI564" s="123"/>
      <c r="AJ564" s="123"/>
      <c r="AK564" s="123"/>
      <c r="AL564" s="115"/>
      <c r="AM564" s="115"/>
      <c r="AN564" s="115"/>
      <c r="AO564" s="115"/>
      <c r="AP564" s="115"/>
      <c r="AQ564" s="115"/>
      <c r="AR564" s="115"/>
      <c r="AS564" s="115"/>
      <c r="AT564" s="115"/>
      <c r="AU564" s="115"/>
      <c r="AV564" s="115"/>
      <c r="AW564" s="115"/>
      <c r="AX564" s="115"/>
      <c r="AY564" s="115"/>
      <c r="AZ564" s="25"/>
      <c r="BA564" s="15"/>
      <c r="BD564" s="114"/>
    </row>
    <row r="565" spans="6:56" ht="19.5" x14ac:dyDescent="0.4"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26"/>
      <c r="AC565" s="13"/>
      <c r="AH565" s="117"/>
      <c r="AI565" s="123"/>
      <c r="AJ565" s="123"/>
      <c r="AK565" s="123"/>
      <c r="AL565" s="115"/>
      <c r="AM565" s="115"/>
      <c r="AN565" s="115"/>
      <c r="AO565" s="115"/>
      <c r="AP565" s="115"/>
      <c r="AQ565" s="115"/>
      <c r="AR565" s="115"/>
      <c r="AS565" s="115"/>
      <c r="AT565" s="115"/>
      <c r="AU565" s="115"/>
      <c r="AV565" s="115"/>
      <c r="AW565" s="115"/>
      <c r="AX565" s="115"/>
      <c r="AY565" s="115"/>
      <c r="AZ565" s="25"/>
      <c r="BA565" s="15"/>
      <c r="BD565" s="114"/>
    </row>
    <row r="566" spans="6:56" ht="19.5" x14ac:dyDescent="0.4"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7"/>
      <c r="AC566" s="13"/>
      <c r="AH566" s="117"/>
      <c r="AI566" s="123"/>
      <c r="AJ566" s="123"/>
      <c r="AK566" s="123"/>
      <c r="AL566" s="115"/>
      <c r="AM566" s="115"/>
      <c r="AN566" s="115"/>
      <c r="AO566" s="115"/>
      <c r="AP566" s="115"/>
      <c r="AQ566" s="115"/>
      <c r="AR566" s="115"/>
      <c r="AS566" s="115"/>
      <c r="AT566" s="115"/>
      <c r="AU566" s="115"/>
      <c r="AV566" s="115"/>
      <c r="AW566" s="115"/>
      <c r="AX566" s="115"/>
      <c r="AY566" s="115"/>
      <c r="AZ566" s="25"/>
      <c r="BA566" s="15"/>
      <c r="BD566" s="114"/>
    </row>
    <row r="567" spans="6:56" ht="19.5" x14ac:dyDescent="0.4"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26"/>
      <c r="AC567" s="13"/>
      <c r="AH567" s="117"/>
      <c r="AI567" s="123"/>
      <c r="AJ567" s="123"/>
      <c r="AK567" s="123"/>
      <c r="AL567" s="115"/>
      <c r="AM567" s="115"/>
      <c r="AN567" s="115"/>
      <c r="AO567" s="115"/>
      <c r="AP567" s="115"/>
      <c r="AQ567" s="115"/>
      <c r="AR567" s="115"/>
      <c r="AS567" s="115"/>
      <c r="AT567" s="115"/>
      <c r="AU567" s="115"/>
      <c r="AV567" s="115"/>
      <c r="AW567" s="115"/>
      <c r="AX567" s="115"/>
      <c r="AY567" s="115"/>
      <c r="AZ567" s="25"/>
      <c r="BA567" s="15"/>
      <c r="BD567" s="114"/>
    </row>
    <row r="568" spans="6:56" ht="19.5" x14ac:dyDescent="0.4">
      <c r="AB568" s="26"/>
      <c r="AC568" s="13"/>
      <c r="AH568" s="117"/>
      <c r="AI568" s="123"/>
      <c r="AJ568" s="123"/>
      <c r="AK568" s="123"/>
      <c r="AL568" s="115"/>
      <c r="AM568" s="115"/>
      <c r="AN568" s="115"/>
      <c r="AO568" s="115"/>
      <c r="AP568" s="115"/>
      <c r="AQ568" s="115"/>
      <c r="AR568" s="115"/>
      <c r="AS568" s="115"/>
      <c r="AT568" s="115"/>
      <c r="AU568" s="115"/>
      <c r="AV568" s="115"/>
      <c r="AW568" s="115"/>
      <c r="AX568" s="115"/>
      <c r="AY568" s="115"/>
      <c r="AZ568" s="25">
        <v>45272</v>
      </c>
      <c r="BA568" s="15" t="s">
        <v>162</v>
      </c>
      <c r="BD568" s="114"/>
    </row>
    <row r="569" spans="6:56" ht="19.5" x14ac:dyDescent="0.4">
      <c r="U569" s="115"/>
      <c r="V569" s="115"/>
      <c r="W569" s="115"/>
      <c r="X569" s="115"/>
      <c r="Y569" s="115"/>
      <c r="Z569" s="115"/>
      <c r="AA569" s="115"/>
      <c r="AB569" s="26"/>
      <c r="AC569" s="13"/>
      <c r="AH569" s="117"/>
      <c r="AI569" s="123"/>
      <c r="AJ569" s="123"/>
      <c r="AK569" s="123"/>
      <c r="AL569" s="115"/>
      <c r="AM569" s="115"/>
      <c r="AN569" s="115"/>
      <c r="AO569" s="115"/>
      <c r="AP569" s="115"/>
      <c r="AQ569" s="115"/>
      <c r="AR569" s="115"/>
      <c r="AS569" s="115"/>
      <c r="AT569" s="115"/>
      <c r="AU569" s="115"/>
      <c r="AV569" s="115"/>
      <c r="AW569" s="115"/>
      <c r="AX569" s="115"/>
      <c r="AY569" s="115"/>
      <c r="AZ569" s="25"/>
      <c r="BA569" s="15"/>
      <c r="BD569" s="114"/>
    </row>
    <row r="570" spans="6:56" ht="19.5" x14ac:dyDescent="0.4">
      <c r="U570" s="115"/>
      <c r="V570" s="115"/>
      <c r="W570" s="115"/>
      <c r="X570" s="115"/>
      <c r="Y570" s="115"/>
      <c r="Z570" s="115"/>
      <c r="AA570" s="115"/>
      <c r="AB570" s="17"/>
      <c r="AC570" s="13"/>
      <c r="AH570" s="117"/>
      <c r="AI570" s="123"/>
      <c r="AJ570" s="123"/>
      <c r="AK570" s="123"/>
      <c r="AL570" s="115"/>
      <c r="AM570" s="115"/>
      <c r="AN570" s="115"/>
      <c r="AO570" s="115"/>
      <c r="AP570" s="115"/>
      <c r="AQ570" s="115"/>
      <c r="AR570" s="115"/>
      <c r="AS570" s="115"/>
      <c r="AT570" s="115"/>
      <c r="AU570" s="115"/>
      <c r="AV570" s="115"/>
      <c r="AW570" s="115"/>
      <c r="AX570" s="115"/>
      <c r="AY570" s="115"/>
      <c r="AZ570" s="25"/>
      <c r="BA570" s="15"/>
      <c r="BD570" s="114"/>
    </row>
    <row r="571" spans="6:56" ht="19.5" x14ac:dyDescent="0.4"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26"/>
      <c r="AC571" s="13"/>
      <c r="AH571" s="117"/>
      <c r="AI571" s="123"/>
      <c r="AJ571" s="123"/>
      <c r="AK571" s="123"/>
      <c r="AL571" s="115"/>
      <c r="AM571" s="115"/>
      <c r="AN571" s="115"/>
      <c r="AO571" s="115"/>
      <c r="AP571" s="115"/>
      <c r="AQ571" s="115"/>
      <c r="AR571" s="115"/>
      <c r="AS571" s="115"/>
      <c r="AT571" s="115"/>
      <c r="AU571" s="115"/>
      <c r="AV571" s="115"/>
      <c r="AW571" s="115"/>
      <c r="AX571" s="115"/>
      <c r="AY571" s="115"/>
      <c r="AZ571" s="25"/>
      <c r="BA571" s="15"/>
      <c r="BD571" s="114"/>
    </row>
    <row r="572" spans="6:56" ht="19.5" x14ac:dyDescent="0.4"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7"/>
      <c r="AC572" s="13"/>
      <c r="AH572" s="117"/>
      <c r="AI572" s="123"/>
      <c r="AJ572" s="123"/>
      <c r="AK572" s="123"/>
      <c r="AL572" s="115"/>
      <c r="AM572" s="115"/>
      <c r="AN572" s="115"/>
      <c r="AO572" s="115"/>
      <c r="AP572" s="115"/>
      <c r="AQ572" s="115"/>
      <c r="AR572" s="115"/>
      <c r="AS572" s="115"/>
      <c r="AT572" s="115"/>
      <c r="AU572" s="115"/>
      <c r="AV572" s="115"/>
      <c r="AW572" s="115"/>
      <c r="AX572" s="115"/>
      <c r="AY572" s="115"/>
      <c r="AZ572" s="25"/>
      <c r="BA572" s="15"/>
      <c r="BD572" s="114"/>
    </row>
    <row r="573" spans="6:56" ht="19.5" x14ac:dyDescent="0.4"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26"/>
      <c r="AC573" s="25"/>
      <c r="AH573" s="117"/>
      <c r="AI573" s="123"/>
      <c r="AJ573" s="123"/>
      <c r="AK573" s="123"/>
      <c r="AL573" s="115"/>
      <c r="AM573" s="115"/>
      <c r="AN573" s="115"/>
      <c r="AO573" s="115"/>
      <c r="AP573" s="115"/>
      <c r="AQ573" s="115"/>
      <c r="AR573" s="115"/>
      <c r="AS573" s="115"/>
      <c r="AT573" s="115"/>
      <c r="AU573" s="115"/>
      <c r="AV573" s="115"/>
      <c r="AW573" s="115"/>
      <c r="AX573" s="115"/>
      <c r="AY573" s="115"/>
      <c r="AZ573" s="25"/>
      <c r="BA573" s="15"/>
      <c r="BD573" s="114"/>
    </row>
    <row r="574" spans="6:56" ht="19.5" x14ac:dyDescent="0.4"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7"/>
      <c r="AC574" s="13"/>
      <c r="AH574" s="117"/>
      <c r="AI574" s="123"/>
      <c r="AJ574" s="123"/>
      <c r="AK574" s="123"/>
      <c r="AL574" s="115"/>
      <c r="AM574" s="115"/>
      <c r="AN574" s="115"/>
      <c r="AO574" s="115"/>
      <c r="AP574" s="115"/>
      <c r="AQ574" s="115"/>
      <c r="AR574" s="115"/>
      <c r="AS574" s="115"/>
      <c r="AT574" s="115"/>
      <c r="AU574" s="115"/>
      <c r="AV574" s="115"/>
      <c r="AW574" s="115"/>
      <c r="AX574" s="115"/>
      <c r="AY574" s="115"/>
      <c r="AZ574" s="25"/>
      <c r="BA574" s="15"/>
      <c r="BD574" s="114"/>
    </row>
    <row r="575" spans="6:56" ht="19.5" x14ac:dyDescent="0.4"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26"/>
      <c r="AC575" s="13"/>
      <c r="AH575" s="117"/>
      <c r="AI575" s="123"/>
      <c r="AJ575" s="123"/>
      <c r="AK575" s="123"/>
      <c r="AL575" s="115"/>
      <c r="AM575" s="115"/>
      <c r="AN575" s="115"/>
      <c r="AO575" s="115"/>
      <c r="AP575" s="115"/>
      <c r="AQ575" s="115"/>
      <c r="AR575" s="115"/>
      <c r="AS575" s="115"/>
      <c r="AT575" s="115"/>
      <c r="AU575" s="115"/>
      <c r="AV575" s="115"/>
      <c r="AW575" s="115"/>
      <c r="AX575" s="115"/>
      <c r="AY575" s="115"/>
      <c r="AZ575" s="25"/>
      <c r="BA575" s="15"/>
      <c r="BD575" s="114"/>
    </row>
    <row r="576" spans="6:56" ht="19.5" x14ac:dyDescent="0.4">
      <c r="AB576" s="26"/>
      <c r="AC576" s="13"/>
      <c r="AH576" s="117"/>
      <c r="AI576" s="123"/>
      <c r="AJ576" s="123"/>
      <c r="AK576" s="123"/>
      <c r="AL576" s="115"/>
      <c r="AM576" s="115"/>
      <c r="AN576" s="115"/>
      <c r="AO576" s="115"/>
      <c r="AP576" s="115"/>
      <c r="AQ576" s="115"/>
      <c r="AR576" s="115"/>
      <c r="AS576" s="115"/>
      <c r="AT576" s="115"/>
      <c r="AU576" s="115"/>
      <c r="AV576" s="115"/>
      <c r="AW576" s="115"/>
      <c r="AX576" s="115"/>
      <c r="AY576" s="115"/>
      <c r="AZ576" s="25">
        <v>45272</v>
      </c>
      <c r="BA576" s="15" t="s">
        <v>162</v>
      </c>
      <c r="BD576" s="114"/>
    </row>
    <row r="577" spans="6:56" ht="19.5" x14ac:dyDescent="0.4">
      <c r="V577" s="115"/>
      <c r="W577" s="115"/>
      <c r="X577" s="115"/>
      <c r="Y577" s="115"/>
      <c r="Z577" s="115"/>
      <c r="AA577" s="115"/>
      <c r="AB577" s="17"/>
      <c r="AC577" s="13"/>
      <c r="AH577" s="117"/>
      <c r="AI577" s="123"/>
      <c r="AJ577" s="123"/>
      <c r="AK577" s="123"/>
      <c r="AL577" s="115"/>
      <c r="AM577" s="115"/>
      <c r="AN577" s="115"/>
      <c r="AO577" s="115"/>
      <c r="AP577" s="115"/>
      <c r="AQ577" s="115"/>
      <c r="AR577" s="115"/>
      <c r="AS577" s="115"/>
      <c r="AT577" s="115"/>
      <c r="AU577" s="115"/>
      <c r="AV577" s="115"/>
      <c r="AW577" s="115"/>
      <c r="AX577" s="115"/>
      <c r="AY577" s="115"/>
      <c r="AZ577" s="25"/>
      <c r="BA577" s="15"/>
      <c r="BD577" s="114"/>
    </row>
    <row r="578" spans="6:56" ht="19.5" x14ac:dyDescent="0.4">
      <c r="U578" s="115"/>
      <c r="V578" s="115"/>
      <c r="W578" s="115"/>
      <c r="X578" s="115"/>
      <c r="Y578" s="115"/>
      <c r="Z578" s="115"/>
      <c r="AA578" s="115"/>
      <c r="AB578" s="26"/>
      <c r="AC578" s="13"/>
      <c r="AH578" s="117"/>
      <c r="AI578" s="123"/>
      <c r="AJ578" s="123"/>
      <c r="AK578" s="123"/>
      <c r="AL578" s="115"/>
      <c r="AM578" s="115"/>
      <c r="AN578" s="115"/>
      <c r="AO578" s="115"/>
      <c r="AP578" s="115"/>
      <c r="AQ578" s="115"/>
      <c r="AR578" s="115"/>
      <c r="AS578" s="115"/>
      <c r="AT578" s="115"/>
      <c r="AU578" s="115"/>
      <c r="AV578" s="115"/>
      <c r="AW578" s="115"/>
      <c r="AX578" s="115"/>
      <c r="AY578" s="115"/>
      <c r="AZ578" s="25"/>
      <c r="BA578" s="15"/>
      <c r="BD578" s="114"/>
    </row>
    <row r="579" spans="6:56" ht="19.5" x14ac:dyDescent="0.4">
      <c r="U579" s="115"/>
      <c r="V579" s="115"/>
      <c r="W579" s="115"/>
      <c r="X579" s="115"/>
      <c r="Y579" s="115"/>
      <c r="Z579" s="115"/>
      <c r="AA579" s="115"/>
      <c r="AB579" s="17"/>
      <c r="AC579" s="13"/>
      <c r="AH579" s="117"/>
      <c r="AI579" s="123"/>
      <c r="AJ579" s="123"/>
      <c r="AK579" s="123"/>
      <c r="AL579" s="115"/>
      <c r="AM579" s="115"/>
      <c r="AN579" s="115"/>
      <c r="AO579" s="115"/>
      <c r="AP579" s="115"/>
      <c r="AQ579" s="115"/>
      <c r="AR579" s="115"/>
      <c r="AS579" s="115"/>
      <c r="AT579" s="115"/>
      <c r="AU579" s="115"/>
      <c r="AV579" s="115"/>
      <c r="AW579" s="115"/>
      <c r="AX579" s="115"/>
      <c r="AY579" s="115"/>
      <c r="AZ579" s="25"/>
      <c r="BA579" s="15"/>
      <c r="BD579" s="114"/>
    </row>
    <row r="580" spans="6:56" ht="19.5" x14ac:dyDescent="0.4">
      <c r="U580" s="115"/>
      <c r="V580" s="115"/>
      <c r="W580" s="115"/>
      <c r="X580" s="115"/>
      <c r="Y580" s="115"/>
      <c r="Z580" s="115"/>
      <c r="AA580" s="115"/>
      <c r="AB580" s="17"/>
      <c r="AC580" s="13"/>
      <c r="AH580" s="117"/>
      <c r="AI580" s="123"/>
      <c r="AJ580" s="123"/>
      <c r="AK580" s="123"/>
      <c r="AL580" s="115"/>
      <c r="AM580" s="115"/>
      <c r="AN580" s="115"/>
      <c r="AO580" s="115"/>
      <c r="AP580" s="115"/>
      <c r="AQ580" s="115"/>
      <c r="AR580" s="115"/>
      <c r="AS580" s="115"/>
      <c r="AT580" s="115"/>
      <c r="AU580" s="115"/>
      <c r="AV580" s="115"/>
      <c r="AW580" s="115"/>
      <c r="AX580" s="115"/>
      <c r="AY580" s="115"/>
      <c r="AZ580" s="25"/>
      <c r="BA580" s="15"/>
      <c r="BD580" s="114"/>
    </row>
    <row r="581" spans="6:56" ht="19.5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26"/>
      <c r="AC581" s="13"/>
      <c r="AH581" s="117"/>
      <c r="AI581" s="123"/>
      <c r="AJ581" s="123"/>
      <c r="AK581" s="123"/>
      <c r="AL581" s="115"/>
      <c r="AM581" s="115"/>
      <c r="AN581" s="115"/>
      <c r="AO581" s="115"/>
      <c r="AP581" s="115"/>
      <c r="AQ581" s="115"/>
      <c r="AR581" s="115"/>
      <c r="AS581" s="115"/>
      <c r="AT581" s="115"/>
      <c r="AU581" s="115"/>
      <c r="AV581" s="115"/>
      <c r="AW581" s="115"/>
      <c r="AX581" s="115"/>
      <c r="AY581" s="115"/>
      <c r="AZ581" s="25"/>
      <c r="BA581" s="15"/>
      <c r="BD581" s="114"/>
    </row>
    <row r="582" spans="6:56" ht="19.5" x14ac:dyDescent="0.4"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20"/>
      <c r="AC582" s="13"/>
      <c r="AH582" s="117"/>
      <c r="AI582" s="123"/>
      <c r="AJ582" s="123"/>
      <c r="AK582" s="123"/>
      <c r="AL582" s="115"/>
      <c r="AM582" s="115"/>
      <c r="AN582" s="115"/>
      <c r="AO582" s="115"/>
      <c r="AP582" s="115"/>
      <c r="AQ582" s="115"/>
      <c r="AR582" s="115"/>
      <c r="AS582" s="115"/>
      <c r="AT582" s="115"/>
      <c r="AU582" s="115"/>
      <c r="AV582" s="115"/>
      <c r="AW582" s="115"/>
      <c r="AX582" s="115"/>
      <c r="AY582" s="115"/>
      <c r="AZ582" s="25"/>
      <c r="BA582" s="15"/>
      <c r="BD582" s="114"/>
    </row>
    <row r="583" spans="6:56" ht="19.5" x14ac:dyDescent="0.4"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20"/>
      <c r="AC583" s="13"/>
      <c r="AH583" s="117"/>
      <c r="AI583" s="123"/>
      <c r="AJ583" s="123"/>
      <c r="AK583" s="123"/>
      <c r="AL583" s="115"/>
      <c r="AM583" s="115"/>
      <c r="AN583" s="115"/>
      <c r="AO583" s="115"/>
      <c r="AP583" s="115"/>
      <c r="AQ583" s="115"/>
      <c r="AR583" s="115"/>
      <c r="AS583" s="115"/>
      <c r="AT583" s="115"/>
      <c r="AU583" s="115"/>
      <c r="AV583" s="115"/>
      <c r="AW583" s="115"/>
      <c r="AX583" s="115"/>
      <c r="AY583" s="115"/>
      <c r="AZ583" s="25"/>
      <c r="BA583" s="15"/>
      <c r="BD583" s="114"/>
    </row>
    <row r="584" spans="6:56" ht="19.5" x14ac:dyDescent="0.4"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25"/>
      <c r="AC584" s="15"/>
      <c r="AH584" s="117"/>
      <c r="AI584" s="123"/>
      <c r="AJ584" s="123"/>
      <c r="AK584" s="123"/>
      <c r="AL584" s="115"/>
      <c r="AM584" s="115"/>
      <c r="AN584" s="115"/>
      <c r="AO584" s="115"/>
      <c r="AP584" s="115"/>
      <c r="AQ584" s="115"/>
      <c r="AR584" s="115"/>
      <c r="AS584" s="115"/>
      <c r="AT584" s="115"/>
      <c r="AU584" s="115"/>
      <c r="AV584" s="115"/>
      <c r="AW584" s="115"/>
      <c r="AX584" s="115"/>
      <c r="AY584" s="115"/>
      <c r="AZ584" s="25"/>
      <c r="BA584" s="15"/>
      <c r="BD584" s="114"/>
    </row>
    <row r="585" spans="6:56" ht="19.5" x14ac:dyDescent="0.4"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25"/>
      <c r="AC585" s="15"/>
      <c r="AH585" s="117"/>
      <c r="AI585" s="123"/>
      <c r="AJ585" s="123"/>
      <c r="AK585" s="123"/>
      <c r="AL585" s="115"/>
      <c r="AM585" s="115"/>
      <c r="AN585" s="115"/>
      <c r="AO585" s="115"/>
      <c r="AP585" s="115"/>
      <c r="AQ585" s="115"/>
      <c r="AR585" s="115"/>
      <c r="AS585" s="115"/>
      <c r="AT585" s="115"/>
      <c r="AU585" s="115"/>
      <c r="AV585" s="115"/>
      <c r="AW585" s="115"/>
      <c r="AX585" s="115"/>
      <c r="AY585" s="115"/>
      <c r="AZ585" s="25"/>
      <c r="BA585" s="15"/>
      <c r="BD585" s="114"/>
    </row>
    <row r="586" spans="6:56" ht="19.5" x14ac:dyDescent="0.4"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25"/>
      <c r="AC586" s="15"/>
      <c r="AH586" s="117"/>
      <c r="AI586" s="123"/>
      <c r="AJ586" s="123"/>
      <c r="AK586" s="123"/>
      <c r="AL586" s="115"/>
      <c r="AM586" s="115"/>
      <c r="AN586" s="115"/>
      <c r="AO586" s="115"/>
      <c r="AP586" s="115"/>
      <c r="AQ586" s="115"/>
      <c r="AR586" s="115"/>
      <c r="AS586" s="115"/>
      <c r="AT586" s="115"/>
      <c r="AU586" s="115"/>
      <c r="AV586" s="115"/>
      <c r="AW586" s="115"/>
      <c r="AX586" s="115"/>
      <c r="AY586" s="115"/>
      <c r="AZ586" s="25"/>
      <c r="BA586" s="15"/>
      <c r="BD586" s="114"/>
    </row>
    <row r="587" spans="6:56" ht="19.5" x14ac:dyDescent="0.4">
      <c r="AB587" s="26"/>
      <c r="AC587" s="15"/>
      <c r="AH587" s="117"/>
      <c r="AI587" s="123"/>
      <c r="AJ587" s="123"/>
      <c r="AK587" s="123"/>
      <c r="AL587" s="115"/>
      <c r="AM587" s="115"/>
      <c r="AN587" s="115"/>
      <c r="AO587" s="115"/>
      <c r="AP587" s="115"/>
      <c r="AQ587" s="115"/>
      <c r="AR587" s="115"/>
      <c r="AS587" s="115"/>
      <c r="AT587" s="115"/>
      <c r="AU587" s="115"/>
      <c r="AV587" s="115"/>
      <c r="AW587" s="115"/>
      <c r="AX587" s="115"/>
      <c r="AY587" s="115"/>
      <c r="AZ587" s="25">
        <v>45272</v>
      </c>
      <c r="BA587" s="15" t="s">
        <v>162</v>
      </c>
      <c r="BD587" s="114"/>
    </row>
    <row r="588" spans="6:56" ht="19.5" x14ac:dyDescent="0.4">
      <c r="AB588" s="26"/>
      <c r="AC588" s="13"/>
      <c r="AH588" s="117"/>
      <c r="AI588" s="123"/>
      <c r="AJ588" s="123"/>
      <c r="AK588" s="123"/>
      <c r="AL588" s="115"/>
      <c r="AM588" s="115"/>
      <c r="AN588" s="115"/>
      <c r="AO588" s="115"/>
      <c r="AP588" s="115"/>
      <c r="AQ588" s="115"/>
      <c r="AR588" s="115"/>
      <c r="AS588" s="115"/>
      <c r="AT588" s="115"/>
      <c r="AU588" s="115"/>
      <c r="AV588" s="115"/>
      <c r="AW588" s="115"/>
      <c r="AX588" s="115"/>
      <c r="AY588" s="115"/>
      <c r="AZ588" s="25"/>
      <c r="BA588" s="15"/>
      <c r="BD588" s="114"/>
    </row>
    <row r="589" spans="6:56" ht="19.5" x14ac:dyDescent="0.4"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26"/>
      <c r="AC589" s="13"/>
      <c r="AH589" s="117"/>
      <c r="AI589" s="123"/>
      <c r="AJ589" s="123"/>
      <c r="AK589" s="123"/>
      <c r="AL589" s="115"/>
      <c r="AM589" s="115"/>
      <c r="AN589" s="115"/>
      <c r="AO589" s="115"/>
      <c r="AP589" s="115"/>
      <c r="AQ589" s="115"/>
      <c r="AR589" s="115"/>
      <c r="AS589" s="115"/>
      <c r="AT589" s="115"/>
      <c r="AU589" s="115"/>
      <c r="AV589" s="115"/>
      <c r="AW589" s="115"/>
      <c r="AX589" s="115"/>
      <c r="AY589" s="115"/>
      <c r="AZ589" s="25"/>
      <c r="BA589" s="15"/>
      <c r="BD589" s="114"/>
    </row>
    <row r="590" spans="6:56" ht="19.5" x14ac:dyDescent="0.4">
      <c r="AB590" s="26"/>
      <c r="AC590" s="13"/>
      <c r="AH590" s="117"/>
      <c r="AI590" s="123"/>
      <c r="AJ590" s="123"/>
      <c r="AK590" s="123"/>
      <c r="AL590" s="115"/>
      <c r="AM590" s="115"/>
      <c r="AN590" s="115"/>
      <c r="AO590" s="115"/>
      <c r="AP590" s="115"/>
      <c r="AQ590" s="115"/>
      <c r="AR590" s="115"/>
      <c r="AS590" s="115"/>
      <c r="AT590" s="115"/>
      <c r="AU590" s="115"/>
      <c r="AV590" s="115"/>
      <c r="AW590" s="115"/>
      <c r="AX590" s="115"/>
      <c r="AY590" s="115"/>
      <c r="AZ590" s="25">
        <v>45272</v>
      </c>
      <c r="BA590" s="15" t="s">
        <v>162</v>
      </c>
      <c r="BD590" s="114"/>
    </row>
    <row r="591" spans="6:56" ht="19.5" x14ac:dyDescent="0.4">
      <c r="T591" s="115"/>
      <c r="U591" s="115"/>
      <c r="V591" s="115"/>
      <c r="W591" s="115"/>
      <c r="X591" s="115"/>
      <c r="Y591" s="115"/>
      <c r="Z591" s="115"/>
      <c r="AA591" s="115"/>
      <c r="AB591" s="17"/>
      <c r="AC591" s="13"/>
      <c r="AH591" s="117"/>
      <c r="AI591" s="123"/>
      <c r="AJ591" s="123"/>
      <c r="AK591" s="123"/>
      <c r="AL591" s="115"/>
      <c r="AM591" s="115"/>
      <c r="AN591" s="115"/>
      <c r="AO591" s="115"/>
      <c r="AP591" s="115"/>
      <c r="AQ591" s="115"/>
      <c r="AR591" s="115"/>
      <c r="AS591" s="115"/>
      <c r="AT591" s="115"/>
      <c r="AU591" s="115"/>
      <c r="AV591" s="115"/>
      <c r="AW591" s="115"/>
      <c r="AX591" s="115"/>
      <c r="AY591" s="115"/>
      <c r="AZ591" s="25"/>
      <c r="BA591" s="15"/>
      <c r="BD591" s="114"/>
    </row>
    <row r="592" spans="6:56" ht="19.5" x14ac:dyDescent="0.4">
      <c r="AB592" s="26"/>
      <c r="AC592" s="13"/>
      <c r="AH592" s="117"/>
      <c r="AI592" s="123"/>
      <c r="AJ592" s="123"/>
      <c r="AK592" s="123"/>
      <c r="AL592" s="115"/>
      <c r="AM592" s="115"/>
      <c r="AN592" s="115"/>
      <c r="AO592" s="115"/>
      <c r="AP592" s="115"/>
      <c r="AQ592" s="115"/>
      <c r="AR592" s="115"/>
      <c r="AS592" s="115"/>
      <c r="AT592" s="115"/>
      <c r="AU592" s="115"/>
      <c r="AV592" s="115"/>
      <c r="AW592" s="115"/>
      <c r="AX592" s="115"/>
      <c r="AY592" s="115"/>
      <c r="AZ592" s="25"/>
      <c r="BA592" s="15"/>
      <c r="BD592" s="114"/>
    </row>
    <row r="593" spans="17:56" ht="19.5" x14ac:dyDescent="0.4"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26"/>
      <c r="AC593" s="13"/>
      <c r="AH593" s="117"/>
      <c r="AI593" s="123"/>
      <c r="AJ593" s="123"/>
      <c r="AK593" s="123"/>
      <c r="AL593" s="115"/>
      <c r="AM593" s="115"/>
      <c r="AN593" s="115"/>
      <c r="AO593" s="115"/>
      <c r="AP593" s="115"/>
      <c r="AQ593" s="115"/>
      <c r="AR593" s="115"/>
      <c r="AS593" s="115"/>
      <c r="AT593" s="115"/>
      <c r="AU593" s="115"/>
      <c r="AV593" s="115"/>
      <c r="AW593" s="115"/>
      <c r="AX593" s="115"/>
      <c r="AY593" s="115"/>
      <c r="AZ593" s="25"/>
      <c r="BA593" s="15"/>
      <c r="BD593" s="114"/>
    </row>
    <row r="594" spans="17:56" ht="19.5" x14ac:dyDescent="0.4">
      <c r="AB594" s="26"/>
      <c r="AC594" s="13"/>
      <c r="AH594" s="117"/>
      <c r="AI594" s="123"/>
      <c r="AJ594" s="123"/>
      <c r="AK594" s="123"/>
      <c r="AL594" s="115"/>
      <c r="AM594" s="115"/>
      <c r="AN594" s="115"/>
      <c r="AO594" s="115"/>
      <c r="AP594" s="115"/>
      <c r="AQ594" s="115"/>
      <c r="AR594" s="115"/>
      <c r="AS594" s="115"/>
      <c r="AT594" s="115"/>
      <c r="AU594" s="115"/>
      <c r="AV594" s="115"/>
      <c r="AW594" s="115"/>
      <c r="AX594" s="115"/>
      <c r="AY594" s="115"/>
      <c r="AZ594" s="25">
        <v>45272</v>
      </c>
      <c r="BA594" s="15" t="s">
        <v>162</v>
      </c>
      <c r="BD594" s="114"/>
    </row>
    <row r="595" spans="17:56" ht="19.5" x14ac:dyDescent="0.4">
      <c r="AB595" s="26"/>
      <c r="AC595" s="13"/>
      <c r="AH595" s="117"/>
      <c r="AI595" s="123"/>
      <c r="AJ595" s="123"/>
      <c r="AK595" s="123"/>
      <c r="AL595" s="115"/>
      <c r="AM595" s="115"/>
      <c r="AN595" s="115"/>
      <c r="AO595" s="115"/>
      <c r="AP595" s="115"/>
      <c r="AQ595" s="115"/>
      <c r="AR595" s="115"/>
      <c r="AS595" s="115"/>
      <c r="AT595" s="115"/>
      <c r="AU595" s="115"/>
      <c r="AV595" s="115"/>
      <c r="AW595" s="115"/>
      <c r="AX595" s="115"/>
      <c r="AY595" s="115" t="s">
        <v>166</v>
      </c>
      <c r="AZ595" s="13">
        <f>SUBTOTAL(3,AZ543:AZ594)</f>
        <v>13</v>
      </c>
      <c r="BA595" s="15">
        <f>SUBTOTAL(3,BA543:BA594)</f>
        <v>13</v>
      </c>
      <c r="BD595" s="114"/>
    </row>
    <row r="596" spans="17:56" ht="19.5" x14ac:dyDescent="0.4">
      <c r="T596" s="115"/>
      <c r="U596" s="115"/>
      <c r="V596" s="115"/>
      <c r="W596" s="115"/>
      <c r="X596" s="115"/>
      <c r="Y596" s="115"/>
      <c r="Z596" s="115"/>
      <c r="AA596" s="115"/>
      <c r="AB596" s="17"/>
      <c r="AC596" s="13"/>
      <c r="AH596" s="117"/>
      <c r="AI596" s="123"/>
      <c r="AJ596" s="123"/>
      <c r="AK596" s="123"/>
      <c r="AL596" s="115"/>
      <c r="AM596" s="115"/>
      <c r="AN596" s="115"/>
      <c r="AO596" s="115"/>
      <c r="AP596" s="115"/>
      <c r="AQ596" s="115"/>
      <c r="AR596" s="115"/>
      <c r="AS596" s="115"/>
      <c r="AT596" s="115"/>
      <c r="AU596" s="115"/>
      <c r="AV596" s="115"/>
      <c r="AW596" s="115"/>
      <c r="AX596" s="115"/>
      <c r="AY596" s="115"/>
      <c r="AZ596" s="13"/>
      <c r="BA596" s="15"/>
      <c r="BD596" s="114"/>
    </row>
    <row r="597" spans="17:56" ht="19.5" x14ac:dyDescent="0.4">
      <c r="AB597" s="26"/>
      <c r="AC597" s="13"/>
      <c r="AH597" s="117"/>
      <c r="AI597" s="123"/>
      <c r="AJ597" s="123"/>
      <c r="AK597" s="123"/>
      <c r="AL597" s="115"/>
      <c r="AM597" s="115"/>
      <c r="AN597" s="115"/>
      <c r="AO597" s="115"/>
      <c r="AP597" s="115"/>
      <c r="AQ597" s="115"/>
      <c r="AR597" s="115"/>
      <c r="AS597" s="115"/>
      <c r="AT597" s="115"/>
      <c r="AU597" s="115"/>
      <c r="AV597" s="115"/>
      <c r="AW597" s="115"/>
      <c r="AX597" s="115"/>
      <c r="AY597" s="115"/>
      <c r="AZ597" s="25">
        <v>45273</v>
      </c>
      <c r="BA597" s="105" t="s">
        <v>164</v>
      </c>
      <c r="BD597" s="114"/>
    </row>
    <row r="598" spans="17:56" ht="19.5" x14ac:dyDescent="0.4">
      <c r="AB598" s="26"/>
      <c r="AC598" s="13"/>
      <c r="AH598" s="117"/>
      <c r="AI598" s="123"/>
      <c r="AJ598" s="123"/>
      <c r="AK598" s="123"/>
      <c r="AL598" s="115"/>
      <c r="AM598" s="115"/>
      <c r="AN598" s="115"/>
      <c r="AO598" s="115"/>
      <c r="AP598" s="115"/>
      <c r="AQ598" s="115"/>
      <c r="AR598" s="115"/>
      <c r="AS598" s="115"/>
      <c r="AT598" s="115"/>
      <c r="AU598" s="115"/>
      <c r="AV598" s="115"/>
      <c r="AW598" s="115"/>
      <c r="AX598" s="115"/>
      <c r="AY598" s="115"/>
      <c r="AZ598" s="25">
        <v>45273</v>
      </c>
      <c r="BA598" s="15" t="s">
        <v>164</v>
      </c>
      <c r="BD598" s="114"/>
    </row>
    <row r="599" spans="17:56" ht="19.5" x14ac:dyDescent="0.4"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26"/>
      <c r="AC599" s="13"/>
      <c r="AH599" s="117"/>
      <c r="AI599" s="123"/>
      <c r="AJ599" s="123"/>
      <c r="AK599" s="123"/>
      <c r="AL599" s="115"/>
      <c r="AM599" s="115"/>
      <c r="AN599" s="115"/>
      <c r="AO599" s="115"/>
      <c r="AP599" s="115"/>
      <c r="AQ599" s="115"/>
      <c r="AR599" s="115"/>
      <c r="AS599" s="115"/>
      <c r="AT599" s="115"/>
      <c r="AU599" s="115"/>
      <c r="AV599" s="115"/>
      <c r="AW599" s="115"/>
      <c r="AX599" s="115"/>
      <c r="AY599" s="115"/>
      <c r="AZ599" s="25"/>
      <c r="BA599" s="13"/>
      <c r="BD599" s="114"/>
    </row>
    <row r="600" spans="17:56" ht="19.5" x14ac:dyDescent="0.4">
      <c r="AB600" s="26"/>
      <c r="AC600" s="13"/>
      <c r="AH600" s="117"/>
      <c r="AI600" s="123"/>
      <c r="AJ600" s="123"/>
      <c r="AK600" s="123"/>
      <c r="AL600" s="115"/>
      <c r="AM600" s="115"/>
      <c r="AN600" s="115"/>
      <c r="AO600" s="115"/>
      <c r="AP600" s="115"/>
      <c r="AQ600" s="115"/>
      <c r="AR600" s="115"/>
      <c r="AS600" s="115"/>
      <c r="AT600" s="115"/>
      <c r="AU600" s="115"/>
      <c r="AV600" s="115"/>
      <c r="AW600" s="115"/>
      <c r="AX600" s="115"/>
      <c r="AY600" s="115"/>
      <c r="AZ600" s="25">
        <v>45273</v>
      </c>
      <c r="BA600" s="13" t="s">
        <v>164</v>
      </c>
      <c r="BD600" s="114"/>
    </row>
    <row r="601" spans="17:56" ht="19.5" x14ac:dyDescent="0.4">
      <c r="AB601" s="26"/>
      <c r="AC601" s="13"/>
      <c r="AH601" s="117"/>
      <c r="AI601" s="123"/>
      <c r="AJ601" s="123"/>
      <c r="AK601" s="123"/>
      <c r="AL601" s="115"/>
      <c r="AM601" s="115"/>
      <c r="AN601" s="115"/>
      <c r="AO601" s="115"/>
      <c r="AP601" s="115"/>
      <c r="AQ601" s="115"/>
      <c r="AR601" s="115"/>
      <c r="AS601" s="115"/>
      <c r="AT601" s="115"/>
      <c r="AU601" s="115"/>
      <c r="AV601" s="115"/>
      <c r="AW601" s="115"/>
      <c r="AX601" s="115"/>
      <c r="AY601" s="115"/>
      <c r="AZ601" s="25">
        <v>45273</v>
      </c>
      <c r="BA601" s="15" t="s">
        <v>164</v>
      </c>
      <c r="BD601" s="114"/>
    </row>
    <row r="602" spans="17:56" ht="19.5" x14ac:dyDescent="0.4">
      <c r="AB602" s="26"/>
      <c r="AC602" s="13"/>
      <c r="AH602" s="117"/>
      <c r="AI602" s="123"/>
      <c r="AJ602" s="123"/>
      <c r="AK602" s="123"/>
      <c r="AL602" s="115"/>
      <c r="AM602" s="115"/>
      <c r="AN602" s="115"/>
      <c r="AO602" s="115"/>
      <c r="AP602" s="115"/>
      <c r="AQ602" s="115"/>
      <c r="AR602" s="115"/>
      <c r="AS602" s="115"/>
      <c r="AT602" s="115"/>
      <c r="AU602" s="115"/>
      <c r="AV602" s="115"/>
      <c r="AW602" s="115"/>
      <c r="AX602" s="115"/>
      <c r="AY602" s="115"/>
      <c r="AZ602" s="25">
        <v>45273</v>
      </c>
      <c r="BA602" s="15" t="s">
        <v>162</v>
      </c>
      <c r="BD602" s="114"/>
    </row>
    <row r="603" spans="17:56" ht="19.5" x14ac:dyDescent="0.4">
      <c r="S603" s="115"/>
      <c r="T603" s="115"/>
      <c r="U603" s="115"/>
      <c r="V603" s="115"/>
      <c r="W603" s="115"/>
      <c r="X603" s="115"/>
      <c r="Y603" s="115"/>
      <c r="Z603" s="115"/>
      <c r="AA603" s="115"/>
      <c r="AB603" s="26"/>
      <c r="AC603" s="13"/>
      <c r="AH603" s="117"/>
      <c r="AI603" s="123"/>
      <c r="AJ603" s="123"/>
      <c r="AK603" s="123"/>
      <c r="AL603" s="115"/>
      <c r="AM603" s="115"/>
      <c r="AN603" s="115"/>
      <c r="AO603" s="115"/>
      <c r="AP603" s="115"/>
      <c r="AQ603" s="115"/>
      <c r="AR603" s="115"/>
      <c r="AS603" s="115"/>
      <c r="AT603" s="115"/>
      <c r="AU603" s="115"/>
      <c r="AV603" s="115"/>
      <c r="AW603" s="115"/>
      <c r="AX603" s="115"/>
      <c r="AY603" s="115"/>
      <c r="AZ603" s="25"/>
      <c r="BA603" s="15"/>
      <c r="BD603" s="114"/>
    </row>
    <row r="604" spans="17:56" ht="19.5" x14ac:dyDescent="0.4">
      <c r="AB604" s="26"/>
      <c r="AC604" s="13"/>
      <c r="AH604" s="117"/>
      <c r="AI604" s="123"/>
      <c r="AJ604" s="123"/>
      <c r="AK604" s="123"/>
      <c r="AL604" s="115"/>
      <c r="AM604" s="115"/>
      <c r="AN604" s="115"/>
      <c r="AO604" s="115"/>
      <c r="AP604" s="115"/>
      <c r="AQ604" s="115"/>
      <c r="AR604" s="115"/>
      <c r="AS604" s="115"/>
      <c r="AT604" s="115"/>
      <c r="AU604" s="115"/>
      <c r="AV604" s="115"/>
      <c r="AW604" s="115"/>
      <c r="AX604" s="115"/>
      <c r="AY604" s="115"/>
      <c r="AZ604" s="25">
        <v>45273</v>
      </c>
      <c r="BA604" s="15" t="s">
        <v>162</v>
      </c>
      <c r="BD604" s="114"/>
    </row>
    <row r="605" spans="17:56" ht="19.5" x14ac:dyDescent="0.4">
      <c r="AB605" s="26"/>
      <c r="AC605" s="13"/>
      <c r="AH605" s="117"/>
      <c r="AI605" s="123"/>
      <c r="AJ605" s="123"/>
      <c r="AK605" s="123"/>
      <c r="AL605" s="115"/>
      <c r="AM605" s="115"/>
      <c r="AN605" s="115"/>
      <c r="AO605" s="115"/>
      <c r="AP605" s="115"/>
      <c r="AQ605" s="115"/>
      <c r="AR605" s="115"/>
      <c r="AS605" s="115"/>
      <c r="AT605" s="115"/>
      <c r="AU605" s="115"/>
      <c r="AV605" s="115"/>
      <c r="AW605" s="115"/>
      <c r="AX605" s="115"/>
      <c r="AY605" s="115"/>
      <c r="AZ605" s="25">
        <v>45273</v>
      </c>
      <c r="BA605" s="15" t="s">
        <v>162</v>
      </c>
      <c r="BD605" s="114"/>
    </row>
    <row r="606" spans="17:56" ht="19.5" x14ac:dyDescent="0.4">
      <c r="AB606" s="26"/>
      <c r="AC606" s="13"/>
      <c r="AH606" s="117"/>
      <c r="AI606" s="123"/>
      <c r="AJ606" s="123"/>
      <c r="AK606" s="123"/>
      <c r="AL606" s="115"/>
      <c r="AM606" s="115"/>
      <c r="AN606" s="115"/>
      <c r="AO606" s="115"/>
      <c r="AP606" s="115"/>
      <c r="AQ606" s="115"/>
      <c r="AR606" s="115"/>
      <c r="AS606" s="115"/>
      <c r="AT606" s="115"/>
      <c r="AU606" s="115"/>
      <c r="AV606" s="115"/>
      <c r="AW606" s="115"/>
      <c r="AX606" s="115"/>
      <c r="AY606" s="115"/>
      <c r="AZ606" s="25">
        <v>45273</v>
      </c>
      <c r="BA606" s="15" t="s">
        <v>162</v>
      </c>
      <c r="BD606" s="114"/>
    </row>
    <row r="607" spans="17:56" ht="19.5" x14ac:dyDescent="0.4"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26"/>
      <c r="AC607" s="13"/>
      <c r="AH607" s="117"/>
      <c r="AI607" s="123"/>
      <c r="AJ607" s="123"/>
      <c r="AK607" s="123"/>
      <c r="AL607" s="115"/>
      <c r="AM607" s="115"/>
      <c r="AN607" s="115"/>
      <c r="AO607" s="115"/>
      <c r="AP607" s="115"/>
      <c r="AQ607" s="115"/>
      <c r="AR607" s="115"/>
      <c r="AS607" s="115"/>
      <c r="AT607" s="115"/>
      <c r="AU607" s="115"/>
      <c r="AV607" s="115"/>
      <c r="AW607" s="115"/>
      <c r="AX607" s="115"/>
      <c r="AY607" s="115"/>
      <c r="AZ607" s="25"/>
      <c r="BA607" s="15"/>
      <c r="BD607" s="114"/>
    </row>
    <row r="608" spans="17:56" ht="19.5" x14ac:dyDescent="0.4">
      <c r="AB608" s="26"/>
      <c r="AC608" s="13"/>
      <c r="AH608" s="117"/>
      <c r="AI608" s="123"/>
      <c r="AJ608" s="123"/>
      <c r="AK608" s="123"/>
      <c r="AL608" s="115"/>
      <c r="AM608" s="115"/>
      <c r="AN608" s="115"/>
      <c r="AO608" s="115"/>
      <c r="AP608" s="115"/>
      <c r="AQ608" s="115"/>
      <c r="AR608" s="115"/>
      <c r="AS608" s="115"/>
      <c r="AT608" s="115"/>
      <c r="AU608" s="115"/>
      <c r="AV608" s="115"/>
      <c r="AW608" s="115"/>
      <c r="AX608" s="115"/>
      <c r="AY608" s="115"/>
      <c r="AZ608" s="25">
        <v>45273</v>
      </c>
      <c r="BA608" s="15" t="s">
        <v>162</v>
      </c>
      <c r="BD608" s="114"/>
    </row>
    <row r="609" spans="6:56" ht="19.5" x14ac:dyDescent="0.4">
      <c r="AB609" s="26"/>
      <c r="AC609" s="13"/>
      <c r="AH609" s="117"/>
      <c r="AI609" s="123"/>
      <c r="AJ609" s="123"/>
      <c r="AK609" s="123"/>
      <c r="AL609" s="115"/>
      <c r="AM609" s="115"/>
      <c r="AN609" s="115"/>
      <c r="AO609" s="115"/>
      <c r="AP609" s="115"/>
      <c r="AQ609" s="115"/>
      <c r="AR609" s="115"/>
      <c r="AS609" s="115"/>
      <c r="AT609" s="115"/>
      <c r="AU609" s="115"/>
      <c r="AV609" s="115"/>
      <c r="AW609" s="115"/>
      <c r="AX609" s="115"/>
      <c r="AY609" s="115"/>
      <c r="AZ609" s="25">
        <v>45273</v>
      </c>
      <c r="BA609" s="15" t="s">
        <v>162</v>
      </c>
      <c r="BD609" s="114"/>
    </row>
    <row r="610" spans="6:56" ht="19.5" x14ac:dyDescent="0.4">
      <c r="AB610" s="26"/>
      <c r="AC610" s="13"/>
      <c r="AH610" s="117"/>
      <c r="AI610" s="123"/>
      <c r="AJ610" s="123"/>
      <c r="AK610" s="123"/>
      <c r="AL610" s="115"/>
      <c r="AM610" s="115"/>
      <c r="AN610" s="115"/>
      <c r="AO610" s="115"/>
      <c r="AP610" s="124"/>
      <c r="AQ610" s="124"/>
      <c r="AR610" s="124"/>
      <c r="AS610" s="124"/>
      <c r="AT610" s="124"/>
      <c r="AU610" s="124"/>
      <c r="AV610" s="124"/>
      <c r="AW610" s="124"/>
      <c r="AX610" s="124"/>
      <c r="AY610" s="124"/>
      <c r="AZ610" s="25">
        <v>45273</v>
      </c>
      <c r="BA610" s="15" t="s">
        <v>162</v>
      </c>
      <c r="BD610" s="114"/>
    </row>
    <row r="611" spans="6:56" ht="19.5" x14ac:dyDescent="0.4">
      <c r="AB611" s="26"/>
      <c r="AC611" s="13"/>
      <c r="AH611" s="117"/>
      <c r="AI611" s="123"/>
      <c r="AJ611" s="123"/>
      <c r="AK611" s="123"/>
      <c r="AL611" s="115"/>
      <c r="AM611" s="115"/>
      <c r="AN611" s="115"/>
      <c r="AO611" s="115"/>
      <c r="AP611" s="124"/>
      <c r="AQ611" s="124"/>
      <c r="AR611" s="124"/>
      <c r="AS611" s="124"/>
      <c r="AT611" s="124"/>
      <c r="AU611" s="124"/>
      <c r="AV611" s="124"/>
      <c r="AW611" s="124"/>
      <c r="AX611" s="124"/>
      <c r="AY611" s="124"/>
      <c r="AZ611" s="25">
        <v>45273</v>
      </c>
      <c r="BA611" s="15" t="s">
        <v>162</v>
      </c>
      <c r="BD611" s="114"/>
    </row>
    <row r="612" spans="6:56" ht="19.5" x14ac:dyDescent="0.4">
      <c r="T612" s="115"/>
      <c r="U612" s="115"/>
      <c r="V612" s="115"/>
      <c r="W612" s="115"/>
      <c r="X612" s="115"/>
      <c r="Y612" s="115"/>
      <c r="Z612" s="115"/>
      <c r="AA612" s="115"/>
      <c r="AB612" s="17"/>
      <c r="AC612" s="13"/>
      <c r="AH612" s="117"/>
      <c r="AI612" s="123"/>
      <c r="AJ612" s="123"/>
      <c r="AK612" s="123"/>
      <c r="AL612" s="115"/>
      <c r="AM612" s="115"/>
      <c r="AN612" s="115"/>
      <c r="AO612" s="115"/>
      <c r="AP612" s="124"/>
      <c r="AQ612" s="124"/>
      <c r="AR612" s="124"/>
      <c r="AS612" s="124"/>
      <c r="AT612" s="124"/>
      <c r="AU612" s="124"/>
      <c r="AV612" s="124"/>
      <c r="AW612" s="124"/>
      <c r="AX612" s="124"/>
      <c r="AY612" s="124"/>
      <c r="AZ612" s="25"/>
      <c r="BA612" s="15"/>
      <c r="BD612" s="114"/>
    </row>
    <row r="613" spans="6:56" ht="19.5" x14ac:dyDescent="0.4">
      <c r="AB613" s="26"/>
      <c r="AC613" s="13"/>
      <c r="AH613" s="117"/>
      <c r="AI613" s="123"/>
      <c r="AJ613" s="123"/>
      <c r="AK613" s="123"/>
      <c r="AL613" s="115"/>
      <c r="AM613" s="115"/>
      <c r="AN613" s="115"/>
      <c r="AO613" s="115"/>
      <c r="AP613" s="124"/>
      <c r="AQ613" s="124"/>
      <c r="AR613" s="124"/>
      <c r="AS613" s="124"/>
      <c r="AT613" s="124"/>
      <c r="AU613" s="124"/>
      <c r="AV613" s="124"/>
      <c r="AW613" s="124"/>
      <c r="AX613" s="124"/>
      <c r="AY613" s="124"/>
      <c r="AZ613" s="25">
        <v>45273</v>
      </c>
      <c r="BA613" s="15" t="s">
        <v>162</v>
      </c>
      <c r="BD613" s="114"/>
    </row>
    <row r="614" spans="6:56" ht="19.5" x14ac:dyDescent="0.4">
      <c r="T614" s="115"/>
      <c r="U614" s="115"/>
      <c r="V614" s="115"/>
      <c r="W614" s="115"/>
      <c r="X614" s="115"/>
      <c r="Y614" s="115"/>
      <c r="Z614" s="115"/>
      <c r="AA614" s="115"/>
      <c r="AB614" s="17"/>
      <c r="AC614" s="13"/>
      <c r="AH614" s="117"/>
      <c r="AI614" s="123"/>
      <c r="AJ614" s="123"/>
      <c r="AK614" s="123"/>
      <c r="AL614" s="115"/>
      <c r="AM614" s="115"/>
      <c r="AN614" s="115"/>
      <c r="AO614" s="115"/>
      <c r="AP614" s="124"/>
      <c r="AQ614" s="124"/>
      <c r="AR614" s="124"/>
      <c r="AS614" s="124"/>
      <c r="AT614" s="124"/>
      <c r="AU614" s="124"/>
      <c r="AV614" s="124"/>
      <c r="AW614" s="124"/>
      <c r="AX614" s="124"/>
      <c r="AY614" s="124"/>
      <c r="AZ614" s="25"/>
      <c r="BA614" s="15"/>
      <c r="BD614" s="114"/>
    </row>
    <row r="615" spans="6:56" ht="19.5" x14ac:dyDescent="0.4">
      <c r="AB615" s="26"/>
      <c r="AC615" s="13"/>
      <c r="AH615" s="117"/>
      <c r="AI615" s="123"/>
      <c r="AJ615" s="123"/>
      <c r="AK615" s="123"/>
      <c r="AL615" s="115"/>
      <c r="AM615" s="115"/>
      <c r="AN615" s="115"/>
      <c r="AO615" s="115"/>
      <c r="AP615" s="124"/>
      <c r="AQ615" s="124"/>
      <c r="AR615" s="124"/>
      <c r="AS615" s="124"/>
      <c r="AT615" s="124"/>
      <c r="AU615" s="124"/>
      <c r="AV615" s="124"/>
      <c r="AW615" s="124"/>
      <c r="AX615" s="124"/>
      <c r="AY615" s="124"/>
      <c r="AZ615" s="25">
        <v>45273</v>
      </c>
      <c r="BA615" s="15" t="s">
        <v>162</v>
      </c>
      <c r="BD615" s="114"/>
    </row>
    <row r="616" spans="6:56" ht="19.5" x14ac:dyDescent="0.4">
      <c r="AB616" s="26"/>
      <c r="AC616" s="13"/>
      <c r="AH616" s="117"/>
      <c r="AI616" s="123"/>
      <c r="AJ616" s="123"/>
      <c r="AK616" s="123"/>
      <c r="AL616" s="115"/>
      <c r="AM616" s="115"/>
      <c r="AN616" s="115"/>
      <c r="AO616" s="115"/>
      <c r="AP616" s="115"/>
      <c r="AQ616" s="115"/>
      <c r="AR616" s="115"/>
      <c r="AS616" s="115"/>
      <c r="AT616" s="115"/>
      <c r="AU616" s="115"/>
      <c r="AV616" s="115"/>
      <c r="AW616" s="115"/>
      <c r="AX616" s="115"/>
      <c r="AY616" s="115"/>
      <c r="AZ616" s="25">
        <v>45273</v>
      </c>
      <c r="BA616" s="13" t="s">
        <v>162</v>
      </c>
      <c r="BD616" s="114"/>
    </row>
    <row r="617" spans="6:56" ht="19.5" x14ac:dyDescent="0.4">
      <c r="AB617" s="26"/>
      <c r="AC617" s="13"/>
      <c r="AH617" s="117"/>
      <c r="AI617" s="123"/>
      <c r="AJ617" s="123"/>
      <c r="AK617" s="123"/>
      <c r="AL617" s="115"/>
      <c r="AM617" s="115"/>
      <c r="AN617" s="115"/>
      <c r="AO617" s="115"/>
      <c r="AP617" s="115"/>
      <c r="AQ617" s="115"/>
      <c r="AR617" s="115"/>
      <c r="AS617" s="115"/>
      <c r="AT617" s="115"/>
      <c r="AU617" s="115"/>
      <c r="AV617" s="115"/>
      <c r="AW617" s="115"/>
      <c r="AX617" s="115"/>
      <c r="AY617" s="115"/>
      <c r="AZ617" s="25">
        <v>45273</v>
      </c>
      <c r="BA617" s="15" t="s">
        <v>162</v>
      </c>
      <c r="BD617" s="114"/>
    </row>
    <row r="618" spans="6:56" ht="19.5" x14ac:dyDescent="0.4">
      <c r="AB618" s="26"/>
      <c r="AC618" s="13"/>
      <c r="AH618" s="117"/>
      <c r="AI618" s="123"/>
      <c r="AJ618" s="123"/>
      <c r="AK618" s="123"/>
      <c r="AL618" s="115"/>
      <c r="AM618" s="115"/>
      <c r="AN618" s="115"/>
      <c r="AO618" s="115"/>
      <c r="AP618" s="115"/>
      <c r="AQ618" s="115"/>
      <c r="AR618" s="115"/>
      <c r="AS618" s="115"/>
      <c r="AT618" s="115"/>
      <c r="AU618" s="115"/>
      <c r="AV618" s="115"/>
      <c r="AW618" s="115"/>
      <c r="AX618" s="115"/>
      <c r="AY618" s="115"/>
      <c r="AZ618" s="25">
        <v>45273</v>
      </c>
      <c r="BA618" s="15" t="s">
        <v>162</v>
      </c>
      <c r="BD618" s="114"/>
    </row>
    <row r="619" spans="6:56" ht="19.5" x14ac:dyDescent="0.4"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26"/>
      <c r="AC619" s="25"/>
      <c r="AH619" s="117"/>
      <c r="AI619" s="123"/>
      <c r="AJ619" s="123"/>
      <c r="AK619" s="123"/>
      <c r="AL619" s="115"/>
      <c r="AM619" s="115"/>
      <c r="AN619" s="115"/>
      <c r="AO619" s="115"/>
      <c r="AP619" s="115"/>
      <c r="AQ619" s="115"/>
      <c r="AR619" s="115"/>
      <c r="AS619" s="115"/>
      <c r="AT619" s="115"/>
      <c r="AU619" s="115"/>
      <c r="AV619" s="115"/>
      <c r="AW619" s="115"/>
      <c r="AX619" s="115"/>
      <c r="AY619" s="115"/>
      <c r="AZ619" s="25"/>
      <c r="BA619" s="15"/>
      <c r="BD619" s="114"/>
    </row>
    <row r="620" spans="6:56" ht="19.5" x14ac:dyDescent="0.4">
      <c r="AB620" s="26"/>
      <c r="AC620" s="25"/>
      <c r="AH620" s="117"/>
      <c r="AI620" s="123"/>
      <c r="AJ620" s="123"/>
      <c r="AK620" s="123"/>
      <c r="AL620" s="115"/>
      <c r="AM620" s="115"/>
      <c r="AN620" s="115"/>
      <c r="AO620" s="115"/>
      <c r="AP620" s="115"/>
      <c r="AQ620" s="115"/>
      <c r="AR620" s="115"/>
      <c r="AS620" s="115"/>
      <c r="AT620" s="115"/>
      <c r="AU620" s="115"/>
      <c r="AV620" s="115"/>
      <c r="AW620" s="115"/>
      <c r="AX620" s="115"/>
      <c r="AY620" s="115"/>
      <c r="AZ620" s="25">
        <v>45273</v>
      </c>
      <c r="BA620" s="15" t="s">
        <v>162</v>
      </c>
      <c r="BD620" s="114"/>
    </row>
    <row r="621" spans="6:56" ht="19.5" x14ac:dyDescent="0.4">
      <c r="AB621" s="26"/>
      <c r="AC621" s="13"/>
      <c r="AH621" s="117"/>
      <c r="AI621" s="123"/>
      <c r="AJ621" s="123"/>
      <c r="AK621" s="123"/>
      <c r="AL621" s="115"/>
      <c r="AM621" s="115"/>
      <c r="AN621" s="115"/>
      <c r="AO621" s="115"/>
      <c r="AP621" s="115"/>
      <c r="AQ621" s="115"/>
      <c r="AR621" s="115"/>
      <c r="AS621" s="115"/>
      <c r="AT621" s="115"/>
      <c r="AU621" s="115"/>
      <c r="AV621" s="115"/>
      <c r="AW621" s="115"/>
      <c r="AX621" s="115"/>
      <c r="AY621" s="115"/>
      <c r="AZ621" s="25">
        <v>45273</v>
      </c>
      <c r="BA621" s="15" t="s">
        <v>162</v>
      </c>
      <c r="BD621" s="114"/>
    </row>
    <row r="622" spans="6:56" ht="19.5" x14ac:dyDescent="0.4"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26"/>
      <c r="AC622" s="13"/>
      <c r="AH622" s="117"/>
      <c r="AI622" s="123"/>
      <c r="AJ622" s="123"/>
      <c r="AK622" s="123"/>
      <c r="AL622" s="115"/>
      <c r="AM622" s="115"/>
      <c r="AN622" s="115"/>
      <c r="AO622" s="115"/>
      <c r="AP622" s="115"/>
      <c r="AQ622" s="115"/>
      <c r="AR622" s="115"/>
      <c r="AS622" s="115"/>
      <c r="AT622" s="115"/>
      <c r="AU622" s="115"/>
      <c r="AV622" s="115"/>
      <c r="AW622" s="115"/>
      <c r="AX622" s="115"/>
      <c r="AY622" s="115"/>
      <c r="AZ622" s="25"/>
      <c r="BA622" s="15"/>
      <c r="BD622" s="114"/>
    </row>
    <row r="623" spans="6:56" ht="19.5" x14ac:dyDescent="0.4"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26"/>
      <c r="AC623" s="13"/>
      <c r="AH623" s="117"/>
      <c r="AI623" s="123"/>
      <c r="AJ623" s="123"/>
      <c r="AK623" s="123"/>
      <c r="AL623" s="115"/>
      <c r="AM623" s="115"/>
      <c r="AN623" s="115"/>
      <c r="AO623" s="115"/>
      <c r="AP623" s="115"/>
      <c r="AQ623" s="115"/>
      <c r="AR623" s="115"/>
      <c r="AS623" s="115"/>
      <c r="AT623" s="115"/>
      <c r="AU623" s="115"/>
      <c r="AV623" s="115"/>
      <c r="AW623" s="115"/>
      <c r="AX623" s="115"/>
      <c r="AY623" s="115"/>
      <c r="AZ623" s="25"/>
      <c r="BA623" s="15"/>
      <c r="BD623" s="114"/>
    </row>
    <row r="624" spans="6:56" ht="19.5" x14ac:dyDescent="0.4">
      <c r="AB624" s="26"/>
      <c r="AC624" s="13"/>
      <c r="AH624" s="117"/>
      <c r="AI624" s="123"/>
      <c r="AJ624" s="123"/>
      <c r="AK624" s="123"/>
      <c r="AL624" s="115"/>
      <c r="AM624" s="115"/>
      <c r="AN624" s="115"/>
      <c r="AO624" s="115"/>
      <c r="AP624" s="115"/>
      <c r="AQ624" s="115"/>
      <c r="AR624" s="115"/>
      <c r="AS624" s="115"/>
      <c r="AT624" s="115"/>
      <c r="AU624" s="115"/>
      <c r="AV624" s="115"/>
      <c r="AW624" s="115"/>
      <c r="AX624" s="115"/>
      <c r="AY624" s="115"/>
      <c r="AZ624" s="25">
        <v>45273</v>
      </c>
      <c r="BA624" s="15" t="s">
        <v>162</v>
      </c>
      <c r="BD624" s="114"/>
    </row>
    <row r="625" spans="6:56" ht="19.5" x14ac:dyDescent="0.4">
      <c r="AB625" s="26"/>
      <c r="AC625" s="13"/>
      <c r="AH625" s="117"/>
      <c r="AI625" s="123"/>
      <c r="AJ625" s="123"/>
      <c r="AK625" s="123"/>
      <c r="AL625" s="115"/>
      <c r="AM625" s="115"/>
      <c r="AN625" s="115"/>
      <c r="AO625" s="115"/>
      <c r="AP625" s="115"/>
      <c r="AQ625" s="115"/>
      <c r="AR625" s="115"/>
      <c r="AS625" s="115"/>
      <c r="AT625" s="115"/>
      <c r="AU625" s="115"/>
      <c r="AV625" s="115"/>
      <c r="AW625" s="115"/>
      <c r="AX625" s="115"/>
      <c r="AY625" s="115"/>
      <c r="AZ625" s="25">
        <v>45273</v>
      </c>
      <c r="BA625" s="15" t="s">
        <v>162</v>
      </c>
      <c r="BD625" s="114"/>
    </row>
    <row r="626" spans="6:56" ht="19.5" x14ac:dyDescent="0.4">
      <c r="AB626" s="26"/>
      <c r="AC626" s="13"/>
      <c r="AH626" s="117"/>
      <c r="AI626" s="123"/>
      <c r="AJ626" s="123"/>
      <c r="AK626" s="123"/>
      <c r="AL626" s="115"/>
      <c r="AM626" s="115"/>
      <c r="AN626" s="115"/>
      <c r="AO626" s="115"/>
      <c r="AP626" s="115"/>
      <c r="AQ626" s="115"/>
      <c r="AR626" s="115"/>
      <c r="AS626" s="115"/>
      <c r="AT626" s="115"/>
      <c r="AU626" s="115"/>
      <c r="AV626" s="115"/>
      <c r="AW626" s="115"/>
      <c r="AX626" s="115"/>
      <c r="AY626" s="115"/>
      <c r="AZ626" s="25">
        <v>45273</v>
      </c>
      <c r="BA626" s="13" t="s">
        <v>163</v>
      </c>
      <c r="BD626" s="114"/>
    </row>
    <row r="627" spans="6:56" ht="19.5" x14ac:dyDescent="0.4">
      <c r="AB627" s="26"/>
      <c r="AC627" s="13"/>
      <c r="AH627" s="117"/>
      <c r="AI627" s="123"/>
      <c r="AJ627" s="123"/>
      <c r="AK627" s="123"/>
      <c r="AL627" s="115"/>
      <c r="AM627" s="115"/>
      <c r="AN627" s="115"/>
      <c r="AO627" s="115"/>
      <c r="AP627" s="115"/>
      <c r="AQ627" s="115"/>
      <c r="AR627" s="115"/>
      <c r="AS627" s="115"/>
      <c r="AT627" s="115"/>
      <c r="AU627" s="115"/>
      <c r="AV627" s="115"/>
      <c r="AW627" s="115"/>
      <c r="AX627" s="115"/>
      <c r="AY627" s="115"/>
      <c r="AZ627" s="25"/>
      <c r="BA627" s="13"/>
      <c r="BD627" s="114"/>
    </row>
    <row r="628" spans="6:56" ht="19.5" x14ac:dyDescent="0.4">
      <c r="AB628" s="26"/>
      <c r="AC628" s="13"/>
      <c r="AH628" s="117"/>
      <c r="AI628" s="123"/>
      <c r="AJ628" s="123"/>
      <c r="AK628" s="123"/>
      <c r="AL628" s="115"/>
      <c r="AM628" s="115"/>
      <c r="AN628" s="115"/>
      <c r="AO628" s="115"/>
      <c r="AP628" s="115"/>
      <c r="AQ628" s="115"/>
      <c r="AR628" s="115"/>
      <c r="AS628" s="115"/>
      <c r="AT628" s="115"/>
      <c r="AU628" s="115"/>
      <c r="AV628" s="115"/>
      <c r="AW628" s="115"/>
      <c r="AX628" s="115"/>
      <c r="AY628" s="115" t="s">
        <v>152</v>
      </c>
      <c r="AZ628" s="13">
        <f>SUBTOTAL(3,AZ597:AZ626)</f>
        <v>22</v>
      </c>
      <c r="BA628" s="13">
        <f>SUBTOTAL(3,BA597:BA626)</f>
        <v>22</v>
      </c>
      <c r="BD628" s="114"/>
    </row>
    <row r="629" spans="6:56" ht="19.5" x14ac:dyDescent="0.4">
      <c r="AB629" s="26"/>
      <c r="AC629" s="13"/>
      <c r="AH629" s="117"/>
      <c r="AI629" s="123"/>
      <c r="AJ629" s="123"/>
      <c r="AK629" s="123"/>
      <c r="AL629" s="115"/>
      <c r="AM629" s="115"/>
      <c r="AN629" s="115"/>
      <c r="AO629" s="115"/>
      <c r="AP629" s="115"/>
      <c r="AQ629" s="115"/>
      <c r="AR629" s="115"/>
      <c r="AS629" s="115"/>
      <c r="AT629" s="115"/>
      <c r="AU629" s="115"/>
      <c r="AV629" s="115"/>
      <c r="AW629" s="115"/>
      <c r="AX629" s="115"/>
      <c r="AY629" s="115"/>
      <c r="AZ629" s="25">
        <v>45274</v>
      </c>
      <c r="BA629" s="15" t="s">
        <v>162</v>
      </c>
      <c r="BD629" s="114"/>
    </row>
    <row r="630" spans="6:56" ht="19.5" x14ac:dyDescent="0.4"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26"/>
      <c r="AC630" s="13"/>
      <c r="AH630" s="117"/>
      <c r="AI630" s="123"/>
      <c r="AJ630" s="123"/>
      <c r="AK630" s="123"/>
      <c r="AL630" s="115"/>
      <c r="AM630" s="115"/>
      <c r="AN630" s="115"/>
      <c r="AO630" s="115"/>
      <c r="AP630" s="115"/>
      <c r="AQ630" s="115"/>
      <c r="AR630" s="115"/>
      <c r="AS630" s="115"/>
      <c r="AT630" s="115"/>
      <c r="AU630" s="115"/>
      <c r="AV630" s="115"/>
      <c r="AW630" s="115"/>
      <c r="AX630" s="115"/>
      <c r="AY630" s="115"/>
      <c r="AZ630" s="25"/>
      <c r="BA630" s="15"/>
      <c r="BD630" s="114"/>
    </row>
    <row r="631" spans="6:56" ht="19.5" x14ac:dyDescent="0.4"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26"/>
      <c r="AC631" s="13"/>
      <c r="AH631" s="117"/>
      <c r="AI631" s="123"/>
      <c r="AJ631" s="123"/>
      <c r="AK631" s="123"/>
      <c r="AL631" s="115"/>
      <c r="AM631" s="115"/>
      <c r="AN631" s="115"/>
      <c r="AO631" s="115"/>
      <c r="AP631" s="115"/>
      <c r="AQ631" s="115"/>
      <c r="AR631" s="115"/>
      <c r="AS631" s="115"/>
      <c r="AT631" s="115"/>
      <c r="AU631" s="115"/>
      <c r="AV631" s="115"/>
      <c r="AW631" s="115"/>
      <c r="AX631" s="115"/>
      <c r="AY631" s="115"/>
      <c r="AZ631" s="25"/>
      <c r="BA631" s="15"/>
      <c r="BD631" s="114"/>
    </row>
    <row r="632" spans="6:56" ht="19.5" x14ac:dyDescent="0.4">
      <c r="AB632" s="26"/>
      <c r="AC632" s="13"/>
      <c r="AH632" s="117"/>
      <c r="AI632" s="123"/>
      <c r="AJ632" s="123"/>
      <c r="AK632" s="123"/>
      <c r="AL632" s="115"/>
      <c r="AM632" s="115"/>
      <c r="AN632" s="115"/>
      <c r="AO632" s="115"/>
      <c r="AP632" s="115"/>
      <c r="AQ632" s="115"/>
      <c r="AR632" s="115"/>
      <c r="AS632" s="115"/>
      <c r="AT632" s="115"/>
      <c r="AU632" s="115"/>
      <c r="AV632" s="115"/>
      <c r="AW632" s="115"/>
      <c r="AX632" s="115"/>
      <c r="AY632" s="115"/>
      <c r="AZ632" s="25">
        <v>45274</v>
      </c>
      <c r="BA632" s="15" t="s">
        <v>162</v>
      </c>
      <c r="BD632" s="114"/>
    </row>
    <row r="633" spans="6:56" ht="19.5" x14ac:dyDescent="0.4">
      <c r="S633" s="115"/>
      <c r="T633" s="115"/>
      <c r="U633" s="115"/>
      <c r="V633" s="115"/>
      <c r="W633" s="115"/>
      <c r="X633" s="115"/>
      <c r="Y633" s="115"/>
      <c r="Z633" s="115"/>
      <c r="AA633" s="115"/>
      <c r="AB633" s="26"/>
      <c r="AC633" s="13"/>
      <c r="AH633" s="117"/>
      <c r="AI633" s="123"/>
      <c r="AJ633" s="123"/>
      <c r="AK633" s="123"/>
      <c r="AL633" s="115"/>
      <c r="AM633" s="115"/>
      <c r="AN633" s="115"/>
      <c r="AO633" s="115"/>
      <c r="AP633" s="115"/>
      <c r="AQ633" s="115"/>
      <c r="AR633" s="115"/>
      <c r="AS633" s="115"/>
      <c r="AT633" s="115"/>
      <c r="AU633" s="115"/>
      <c r="AV633" s="115"/>
      <c r="AW633" s="115"/>
      <c r="AX633" s="115"/>
      <c r="AY633" s="115"/>
      <c r="AZ633" s="25"/>
      <c r="BA633" s="15"/>
      <c r="BD633" s="114"/>
    </row>
    <row r="634" spans="6:56" ht="19.5" x14ac:dyDescent="0.4"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26"/>
      <c r="AC634" s="13"/>
      <c r="AH634" s="117"/>
      <c r="AI634" s="123"/>
      <c r="AJ634" s="123"/>
      <c r="AK634" s="123"/>
      <c r="AL634" s="115"/>
      <c r="AM634" s="115"/>
      <c r="AN634" s="115"/>
      <c r="AO634" s="115"/>
      <c r="AP634" s="115"/>
      <c r="AQ634" s="115"/>
      <c r="AR634" s="115"/>
      <c r="AS634" s="115"/>
      <c r="AT634" s="115"/>
      <c r="AU634" s="115"/>
      <c r="AV634" s="115"/>
      <c r="AW634" s="115"/>
      <c r="AX634" s="115"/>
      <c r="AY634" s="115"/>
      <c r="AZ634" s="25"/>
      <c r="BA634" s="15"/>
      <c r="BD634" s="114"/>
    </row>
    <row r="635" spans="6:56" ht="19.5" x14ac:dyDescent="0.4"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26"/>
      <c r="AC635" s="13"/>
      <c r="AH635" s="117"/>
      <c r="AI635" s="123"/>
      <c r="AJ635" s="123"/>
      <c r="AK635" s="123"/>
      <c r="AL635" s="115"/>
      <c r="AM635" s="115"/>
      <c r="AN635" s="115"/>
      <c r="AO635" s="115"/>
      <c r="AP635" s="115"/>
      <c r="AQ635" s="115"/>
      <c r="AR635" s="115"/>
      <c r="AS635" s="115"/>
      <c r="AT635" s="115"/>
      <c r="AU635" s="115"/>
      <c r="AV635" s="115"/>
      <c r="AW635" s="115"/>
      <c r="AX635" s="115"/>
      <c r="AY635" s="115"/>
      <c r="AZ635" s="25"/>
      <c r="BA635" s="15"/>
      <c r="BD635" s="114"/>
    </row>
    <row r="636" spans="6:56" ht="19.5" x14ac:dyDescent="0.4">
      <c r="AB636" s="26"/>
      <c r="AC636" s="13"/>
      <c r="AH636" s="117"/>
      <c r="AI636" s="123"/>
      <c r="AJ636" s="123"/>
      <c r="AK636" s="123"/>
      <c r="AL636" s="115"/>
      <c r="AM636" s="115"/>
      <c r="AN636" s="115"/>
      <c r="AO636" s="115"/>
      <c r="AP636" s="115"/>
      <c r="AQ636" s="115"/>
      <c r="AR636" s="115"/>
      <c r="AS636" s="115"/>
      <c r="AT636" s="115"/>
      <c r="AU636" s="115"/>
      <c r="AV636" s="115"/>
      <c r="AW636" s="115"/>
      <c r="AX636" s="115"/>
      <c r="AY636" s="115"/>
      <c r="AZ636" s="25">
        <v>45274</v>
      </c>
      <c r="BA636" s="15" t="s">
        <v>162</v>
      </c>
      <c r="BD636" s="114"/>
    </row>
    <row r="637" spans="6:56" ht="19.5" x14ac:dyDescent="0.4"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26"/>
      <c r="AC637" s="13"/>
      <c r="AH637" s="117"/>
      <c r="AI637" s="123"/>
      <c r="AJ637" s="123"/>
      <c r="AK637" s="123"/>
      <c r="AL637" s="115"/>
      <c r="AM637" s="115"/>
      <c r="AN637" s="115"/>
      <c r="AO637" s="115"/>
      <c r="AP637" s="115"/>
      <c r="AQ637" s="115"/>
      <c r="AR637" s="115"/>
      <c r="AS637" s="115"/>
      <c r="AT637" s="115"/>
      <c r="AU637" s="115"/>
      <c r="AV637" s="115"/>
      <c r="AW637" s="115"/>
      <c r="AX637" s="115"/>
      <c r="AY637" s="115"/>
      <c r="AZ637" s="25"/>
      <c r="BA637" s="15"/>
      <c r="BD637" s="114"/>
    </row>
    <row r="638" spans="6:56" ht="19.5" x14ac:dyDescent="0.4">
      <c r="AB638" s="26"/>
      <c r="AC638" s="13"/>
      <c r="AH638" s="117"/>
      <c r="AI638" s="123"/>
      <c r="AJ638" s="123"/>
      <c r="AK638" s="123"/>
      <c r="AL638" s="115"/>
      <c r="AM638" s="115"/>
      <c r="AN638" s="115"/>
      <c r="AO638" s="115"/>
      <c r="AP638" s="115"/>
      <c r="AQ638" s="115"/>
      <c r="AR638" s="115"/>
      <c r="AS638" s="115"/>
      <c r="AT638" s="115"/>
      <c r="AU638" s="115"/>
      <c r="AV638" s="115"/>
      <c r="AW638" s="115"/>
      <c r="AX638" s="115"/>
      <c r="AY638" s="115"/>
      <c r="AZ638" s="25">
        <v>45274</v>
      </c>
      <c r="BA638" s="15" t="s">
        <v>162</v>
      </c>
      <c r="BD638" s="114"/>
    </row>
    <row r="639" spans="6:56" ht="19.5" x14ac:dyDescent="0.4">
      <c r="AB639" s="26"/>
      <c r="AC639" s="13"/>
      <c r="AH639" s="117"/>
      <c r="AI639" s="123"/>
      <c r="AJ639" s="123"/>
      <c r="AK639" s="123"/>
      <c r="AL639" s="115"/>
      <c r="AM639" s="115"/>
      <c r="AN639" s="115"/>
      <c r="AO639" s="115"/>
      <c r="AP639" s="115"/>
      <c r="AQ639" s="115"/>
      <c r="AR639" s="115"/>
      <c r="AS639" s="115"/>
      <c r="AT639" s="115"/>
      <c r="AU639" s="115"/>
      <c r="AV639" s="115"/>
      <c r="AW639" s="115"/>
      <c r="AX639" s="115"/>
      <c r="AY639" s="115"/>
      <c r="AZ639" s="25">
        <v>45274</v>
      </c>
      <c r="BA639" s="15" t="s">
        <v>163</v>
      </c>
      <c r="BD639" s="114"/>
    </row>
    <row r="640" spans="6:56" ht="19.5" x14ac:dyDescent="0.4">
      <c r="T640" s="115"/>
      <c r="U640" s="115"/>
      <c r="V640" s="115"/>
      <c r="W640" s="115"/>
      <c r="X640" s="115"/>
      <c r="Y640" s="115"/>
      <c r="Z640" s="115"/>
      <c r="AA640" s="115"/>
      <c r="AB640" s="17"/>
      <c r="AC640" s="13"/>
      <c r="AH640" s="117"/>
      <c r="AI640" s="123"/>
      <c r="AJ640" s="123"/>
      <c r="AK640" s="123"/>
      <c r="AL640" s="115"/>
      <c r="AM640" s="115"/>
      <c r="AN640" s="115"/>
      <c r="AO640" s="115"/>
      <c r="AP640" s="115"/>
      <c r="AQ640" s="115"/>
      <c r="AR640" s="115"/>
      <c r="AS640" s="115"/>
      <c r="AT640" s="115"/>
      <c r="AU640" s="115"/>
      <c r="AV640" s="115"/>
      <c r="AW640" s="115"/>
      <c r="AX640" s="115"/>
      <c r="AY640" s="115"/>
      <c r="AZ640" s="25"/>
      <c r="BA640" s="15"/>
      <c r="BD640" s="114"/>
    </row>
    <row r="641" spans="17:56" ht="19.5" x14ac:dyDescent="0.4"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26"/>
      <c r="AC641" s="13"/>
      <c r="AH641" s="117"/>
      <c r="AI641" s="123"/>
      <c r="AJ641" s="123"/>
      <c r="AK641" s="123"/>
      <c r="AL641" s="115"/>
      <c r="AM641" s="115"/>
      <c r="AN641" s="115"/>
      <c r="AO641" s="115"/>
      <c r="AP641" s="115"/>
      <c r="AQ641" s="115"/>
      <c r="AR641" s="115"/>
      <c r="AS641" s="115"/>
      <c r="AT641" s="115"/>
      <c r="AU641" s="115"/>
      <c r="AV641" s="115"/>
      <c r="AW641" s="115"/>
      <c r="AX641" s="115"/>
      <c r="AY641" s="115"/>
      <c r="AZ641" s="25"/>
      <c r="BA641" s="15"/>
      <c r="BD641" s="114"/>
    </row>
    <row r="642" spans="17:56" ht="19.5" x14ac:dyDescent="0.4">
      <c r="AB642" s="26"/>
      <c r="AC642" s="25"/>
      <c r="AH642" s="117"/>
      <c r="AI642" s="123"/>
      <c r="AJ642" s="123"/>
      <c r="AK642" s="123"/>
      <c r="AL642" s="115"/>
      <c r="AM642" s="115"/>
      <c r="AN642" s="115"/>
      <c r="AO642" s="115"/>
      <c r="AP642" s="115"/>
      <c r="AQ642" s="115"/>
      <c r="AR642" s="115"/>
      <c r="AS642" s="115"/>
      <c r="AT642" s="115"/>
      <c r="AU642" s="115"/>
      <c r="AV642" s="115"/>
      <c r="AW642" s="115"/>
      <c r="AX642" s="115"/>
      <c r="AY642" s="115" t="s">
        <v>167</v>
      </c>
      <c r="AZ642" s="13">
        <f>SUBTOTAL(3,AZ629:AZ639)</f>
        <v>5</v>
      </c>
      <c r="BA642" s="15">
        <f>SUBTOTAL(3,BA629:BA639)</f>
        <v>5</v>
      </c>
      <c r="BD642" s="114"/>
    </row>
    <row r="643" spans="17:56" ht="19.5" x14ac:dyDescent="0.4"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26"/>
      <c r="AC643" s="105"/>
      <c r="AH643" s="117"/>
      <c r="AI643" s="123"/>
      <c r="AJ643" s="123"/>
      <c r="AK643" s="123"/>
      <c r="AL643" s="115"/>
      <c r="AM643" s="115"/>
      <c r="AN643" s="115"/>
      <c r="AO643" s="115"/>
      <c r="AP643" s="115"/>
      <c r="AQ643" s="115"/>
      <c r="AR643" s="115"/>
      <c r="AS643" s="115"/>
      <c r="AT643" s="115"/>
      <c r="AU643" s="115"/>
      <c r="AV643" s="115"/>
      <c r="AW643" s="115"/>
      <c r="AX643" s="115"/>
      <c r="AY643" s="115"/>
      <c r="AZ643" s="13"/>
      <c r="BA643" s="15"/>
      <c r="BD643" s="114"/>
    </row>
    <row r="644" spans="17:56" ht="19.5" x14ac:dyDescent="0.4">
      <c r="AB644" s="26"/>
      <c r="AC644" s="105"/>
      <c r="AH644" s="117"/>
      <c r="AI644" s="123"/>
      <c r="AJ644" s="123"/>
      <c r="AK644" s="123"/>
      <c r="AL644" s="115"/>
      <c r="AM644" s="115"/>
      <c r="AN644" s="115"/>
      <c r="AO644" s="115"/>
      <c r="AP644" s="115"/>
      <c r="AQ644" s="115"/>
      <c r="AR644" s="115"/>
      <c r="AS644" s="115"/>
      <c r="AT644" s="115"/>
      <c r="AU644" s="115"/>
      <c r="AV644" s="115"/>
      <c r="AW644" s="115"/>
      <c r="AX644" s="115"/>
      <c r="AY644" s="115"/>
      <c r="AZ644" s="13"/>
      <c r="BA644" s="15"/>
      <c r="BD644" s="114"/>
    </row>
    <row r="645" spans="17:56" ht="19.5" x14ac:dyDescent="0.4">
      <c r="T645" s="115"/>
      <c r="U645" s="115"/>
      <c r="V645" s="115"/>
      <c r="W645" s="115"/>
      <c r="X645" s="115"/>
      <c r="Y645" s="115"/>
      <c r="Z645" s="115"/>
      <c r="AA645" s="115"/>
      <c r="AB645" s="17"/>
      <c r="AC645" s="15"/>
      <c r="AH645" s="117"/>
      <c r="AI645" s="123"/>
      <c r="AJ645" s="123"/>
      <c r="AK645" s="123"/>
      <c r="AL645" s="115"/>
      <c r="AM645" s="115"/>
      <c r="AN645" s="115"/>
      <c r="AO645" s="115"/>
      <c r="AP645" s="115"/>
      <c r="AQ645" s="115"/>
      <c r="AR645" s="115"/>
      <c r="AS645" s="115"/>
      <c r="AT645" s="115"/>
      <c r="AU645" s="115"/>
      <c r="AV645" s="115"/>
      <c r="AW645" s="115"/>
      <c r="AX645" s="115"/>
      <c r="AY645" s="115"/>
      <c r="AZ645" s="13"/>
      <c r="BA645" s="15"/>
      <c r="BD645" s="114"/>
    </row>
    <row r="646" spans="17:56" ht="19.5" x14ac:dyDescent="0.4"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26"/>
      <c r="AC646" s="15"/>
      <c r="AH646" s="117"/>
      <c r="AI646" s="123"/>
      <c r="AJ646" s="123"/>
      <c r="AK646" s="123"/>
      <c r="AL646" s="115"/>
      <c r="AM646" s="115"/>
      <c r="AN646" s="115"/>
      <c r="AO646" s="115"/>
      <c r="AP646" s="115"/>
      <c r="AQ646" s="115"/>
      <c r="AR646" s="115"/>
      <c r="AS646" s="115"/>
      <c r="AT646" s="115"/>
      <c r="AU646" s="115"/>
      <c r="AV646" s="115"/>
      <c r="AW646" s="115"/>
      <c r="AX646" s="115"/>
      <c r="AY646" s="115"/>
      <c r="AZ646" s="13"/>
      <c r="BA646" s="15"/>
      <c r="BD646" s="114"/>
    </row>
    <row r="647" spans="17:56" ht="19.5" x14ac:dyDescent="0.4"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26"/>
      <c r="AC647" s="15"/>
      <c r="AH647" s="117"/>
      <c r="AI647" s="123"/>
      <c r="AJ647" s="123"/>
      <c r="AK647" s="123"/>
      <c r="AL647" s="115"/>
      <c r="AM647" s="115"/>
      <c r="AN647" s="115"/>
      <c r="AO647" s="115"/>
      <c r="AP647" s="115"/>
      <c r="AQ647" s="115"/>
      <c r="AR647" s="115"/>
      <c r="AS647" s="115"/>
      <c r="AT647" s="115"/>
      <c r="AU647" s="115"/>
      <c r="AV647" s="115"/>
      <c r="AW647" s="115"/>
      <c r="AX647" s="115"/>
      <c r="AY647" s="115"/>
      <c r="AZ647" s="13"/>
      <c r="BA647" s="15"/>
      <c r="BD647" s="114"/>
    </row>
    <row r="648" spans="17:56" ht="19.5" x14ac:dyDescent="0.4"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26"/>
      <c r="AC648" s="15"/>
      <c r="AH648" s="117"/>
      <c r="AI648" s="123"/>
      <c r="AJ648" s="123"/>
      <c r="AK648" s="123"/>
      <c r="AL648" s="115"/>
      <c r="AM648" s="115"/>
      <c r="AN648" s="115"/>
      <c r="AO648" s="115"/>
      <c r="AP648" s="115"/>
      <c r="AQ648" s="115"/>
      <c r="AR648" s="115"/>
      <c r="AS648" s="115"/>
      <c r="AT648" s="115"/>
      <c r="AU648" s="115"/>
      <c r="AV648" s="115"/>
      <c r="AW648" s="115"/>
      <c r="AX648" s="115"/>
      <c r="AY648" s="115"/>
      <c r="AZ648" s="13"/>
      <c r="BA648" s="15"/>
      <c r="BD648" s="114"/>
    </row>
    <row r="649" spans="17:56" ht="19.5" x14ac:dyDescent="0.4"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26"/>
      <c r="AC649" s="15"/>
      <c r="AH649" s="117"/>
      <c r="AI649" s="123"/>
      <c r="AJ649" s="123"/>
      <c r="AK649" s="123"/>
      <c r="AL649" s="115"/>
      <c r="AM649" s="115"/>
      <c r="AN649" s="115"/>
      <c r="AO649" s="115"/>
      <c r="AP649" s="115"/>
      <c r="AQ649" s="115"/>
      <c r="AR649" s="115"/>
      <c r="AS649" s="115"/>
      <c r="AT649" s="115"/>
      <c r="AU649" s="115"/>
      <c r="AV649" s="115"/>
      <c r="AW649" s="115"/>
      <c r="AX649" s="115"/>
      <c r="AY649" s="115"/>
      <c r="AZ649" s="13"/>
      <c r="BA649" s="15"/>
      <c r="BD649" s="114"/>
    </row>
    <row r="650" spans="17:56" ht="19.5" x14ac:dyDescent="0.4">
      <c r="AB650" s="26"/>
      <c r="AC650" s="15"/>
      <c r="AH650" s="117"/>
      <c r="AI650" s="123"/>
      <c r="AJ650" s="123"/>
      <c r="AK650" s="123"/>
      <c r="AL650" s="115"/>
      <c r="AM650" s="115"/>
      <c r="AN650" s="115"/>
      <c r="AO650" s="115"/>
      <c r="AP650" s="115"/>
      <c r="AQ650" s="115"/>
      <c r="AR650" s="115"/>
      <c r="AS650" s="115"/>
      <c r="AT650" s="115"/>
      <c r="AU650" s="115"/>
      <c r="AV650" s="115"/>
      <c r="AW650" s="115"/>
      <c r="AX650" s="115"/>
      <c r="AY650" s="115"/>
      <c r="AZ650" s="25">
        <v>45275</v>
      </c>
      <c r="BA650" s="15" t="s">
        <v>163</v>
      </c>
      <c r="BD650" s="114"/>
    </row>
    <row r="651" spans="17:56" ht="19.5" x14ac:dyDescent="0.4">
      <c r="AB651" s="26"/>
      <c r="AC651" s="15"/>
      <c r="AH651" s="117"/>
      <c r="AI651" s="123"/>
      <c r="AJ651" s="123"/>
      <c r="AK651" s="123"/>
      <c r="AL651" s="115"/>
      <c r="AM651" s="115"/>
      <c r="AN651" s="115"/>
      <c r="AO651" s="115"/>
      <c r="AP651" s="115"/>
      <c r="AQ651" s="115"/>
      <c r="AR651" s="115"/>
      <c r="AS651" s="115"/>
      <c r="AT651" s="115"/>
      <c r="AU651" s="115"/>
      <c r="AV651" s="115"/>
      <c r="AW651" s="115"/>
      <c r="AX651" s="115"/>
      <c r="AY651" s="115" t="s">
        <v>168</v>
      </c>
      <c r="AZ651" s="13">
        <f>SUBTOTAL(3,AZ650:AZ650)</f>
        <v>1</v>
      </c>
      <c r="BA651" s="15">
        <f>SUBTOTAL(3,BA650:BA650)</f>
        <v>1</v>
      </c>
      <c r="BD651" s="114"/>
    </row>
    <row r="652" spans="17:56" ht="19.5" x14ac:dyDescent="0.4">
      <c r="AB652" s="26"/>
      <c r="AC652" s="15"/>
      <c r="AH652" s="117"/>
      <c r="AI652" s="123"/>
      <c r="AJ652" s="123"/>
      <c r="AK652" s="123"/>
      <c r="AL652" s="115"/>
      <c r="AM652" s="115"/>
      <c r="AN652" s="115"/>
      <c r="AO652" s="115"/>
      <c r="AP652" s="115"/>
      <c r="AQ652" s="115"/>
      <c r="AR652" s="115"/>
      <c r="AS652" s="115"/>
      <c r="AT652" s="115"/>
      <c r="AU652" s="115"/>
      <c r="AV652" s="115"/>
      <c r="AW652" s="115"/>
      <c r="AX652" s="115"/>
      <c r="AY652" s="115"/>
      <c r="AZ652" s="25">
        <v>45276</v>
      </c>
      <c r="BA652" s="15" t="s">
        <v>164</v>
      </c>
      <c r="BD652" s="114"/>
    </row>
    <row r="653" spans="17:56" ht="19.5" x14ac:dyDescent="0.4">
      <c r="AB653" s="26"/>
      <c r="AC653" s="15"/>
      <c r="AH653" s="117"/>
      <c r="AI653" s="123"/>
      <c r="AJ653" s="123"/>
      <c r="AK653" s="123"/>
      <c r="AL653" s="115"/>
      <c r="AM653" s="115"/>
      <c r="AN653" s="115"/>
      <c r="AO653" s="115"/>
      <c r="AP653" s="115"/>
      <c r="AQ653" s="115"/>
      <c r="AR653" s="115"/>
      <c r="AS653" s="115"/>
      <c r="AT653" s="115"/>
      <c r="AU653" s="115"/>
      <c r="AV653" s="115"/>
      <c r="AW653" s="115"/>
      <c r="AX653" s="115"/>
      <c r="AY653" s="115"/>
      <c r="AZ653" s="25">
        <v>45276</v>
      </c>
      <c r="BA653" s="15" t="s">
        <v>162</v>
      </c>
      <c r="BD653" s="114"/>
    </row>
    <row r="654" spans="17:56" ht="19.5" x14ac:dyDescent="0.4">
      <c r="AB654" s="26"/>
      <c r="AC654" s="15"/>
      <c r="AH654" s="117"/>
      <c r="AI654" s="123"/>
      <c r="AJ654" s="123"/>
      <c r="AK654" s="123"/>
      <c r="AL654" s="115"/>
      <c r="AM654" s="115"/>
      <c r="AN654" s="115"/>
      <c r="AO654" s="115"/>
      <c r="AP654" s="115"/>
      <c r="AQ654" s="115"/>
      <c r="AR654" s="115"/>
      <c r="AS654" s="115"/>
      <c r="AT654" s="115"/>
      <c r="AU654" s="115"/>
      <c r="AV654" s="115"/>
      <c r="AW654" s="115"/>
      <c r="AX654" s="115"/>
      <c r="AY654" s="115"/>
      <c r="AZ654" s="25">
        <v>45276</v>
      </c>
      <c r="BA654" s="15" t="s">
        <v>162</v>
      </c>
      <c r="BD654" s="114"/>
    </row>
    <row r="655" spans="17:56" ht="19.5" x14ac:dyDescent="0.4">
      <c r="AB655" s="26"/>
      <c r="AC655" s="15"/>
      <c r="AH655" s="117"/>
      <c r="AI655" s="123"/>
      <c r="AJ655" s="123"/>
      <c r="AK655" s="123"/>
      <c r="AL655" s="115"/>
      <c r="AM655" s="115"/>
      <c r="AN655" s="115"/>
      <c r="AO655" s="115"/>
      <c r="AP655" s="115"/>
      <c r="AQ655" s="115"/>
      <c r="AR655" s="115"/>
      <c r="AS655" s="115"/>
      <c r="AT655" s="115"/>
      <c r="AU655" s="115"/>
      <c r="AV655" s="115"/>
      <c r="AW655" s="115"/>
      <c r="AX655" s="115"/>
      <c r="AY655" s="115"/>
      <c r="AZ655" s="25">
        <v>45276</v>
      </c>
      <c r="BA655" s="15" t="s">
        <v>162</v>
      </c>
      <c r="BD655" s="114"/>
    </row>
    <row r="656" spans="17:56" ht="19.5" x14ac:dyDescent="0.4">
      <c r="AB656" s="26"/>
      <c r="AC656" s="15"/>
      <c r="AH656" s="117"/>
      <c r="AI656" s="123"/>
      <c r="AJ656" s="123"/>
      <c r="AK656" s="123"/>
      <c r="AL656" s="115"/>
      <c r="AM656" s="115"/>
      <c r="AN656" s="115"/>
      <c r="AO656" s="115"/>
      <c r="AP656" s="115"/>
      <c r="AQ656" s="115"/>
      <c r="AR656" s="115"/>
      <c r="AS656" s="115"/>
      <c r="AT656" s="115"/>
      <c r="AU656" s="115"/>
      <c r="AV656" s="115"/>
      <c r="AW656" s="115"/>
      <c r="AX656" s="115"/>
      <c r="AY656" s="115"/>
      <c r="AZ656" s="25">
        <v>45276</v>
      </c>
      <c r="BA656" s="15" t="s">
        <v>162</v>
      </c>
      <c r="BD656" s="114"/>
    </row>
    <row r="657" spans="6:56" ht="19.5" x14ac:dyDescent="0.4"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26"/>
      <c r="AC657" s="15"/>
      <c r="AH657" s="117"/>
      <c r="AI657" s="123"/>
      <c r="AJ657" s="123"/>
      <c r="AK657" s="123"/>
      <c r="AL657" s="115"/>
      <c r="AM657" s="115"/>
      <c r="AN657" s="115"/>
      <c r="AO657" s="115"/>
      <c r="AP657" s="115"/>
      <c r="AQ657" s="115"/>
      <c r="AR657" s="115"/>
      <c r="AS657" s="115"/>
      <c r="AT657" s="115"/>
      <c r="AU657" s="115"/>
      <c r="AV657" s="115"/>
      <c r="AW657" s="115"/>
      <c r="AX657" s="115"/>
      <c r="AY657" s="115"/>
      <c r="AZ657" s="25"/>
      <c r="BA657" s="15"/>
      <c r="BD657" s="114"/>
    </row>
    <row r="658" spans="6:56" ht="19.5" x14ac:dyDescent="0.4">
      <c r="AB658" s="26"/>
      <c r="AC658" s="15"/>
      <c r="AH658" s="117"/>
      <c r="AI658" s="123"/>
      <c r="AJ658" s="123"/>
      <c r="AK658" s="123"/>
      <c r="AL658" s="115"/>
      <c r="AM658" s="115"/>
      <c r="AN658" s="115"/>
      <c r="AO658" s="115"/>
      <c r="AP658" s="115"/>
      <c r="AQ658" s="115"/>
      <c r="AR658" s="115"/>
      <c r="AS658" s="115"/>
      <c r="AT658" s="115"/>
      <c r="AU658" s="115"/>
      <c r="AV658" s="115"/>
      <c r="AW658" s="115"/>
      <c r="AX658" s="115"/>
      <c r="AY658" s="115"/>
      <c r="AZ658" s="25">
        <v>45276</v>
      </c>
      <c r="BA658" s="15" t="s">
        <v>162</v>
      </c>
      <c r="BD658" s="114"/>
    </row>
    <row r="659" spans="6:56" ht="19.5" x14ac:dyDescent="0.4">
      <c r="AB659" s="26"/>
      <c r="AC659" s="15"/>
      <c r="AH659" s="117"/>
      <c r="AI659" s="123"/>
      <c r="AJ659" s="123"/>
      <c r="AK659" s="123"/>
      <c r="AL659" s="115"/>
      <c r="AM659" s="115"/>
      <c r="AN659" s="115"/>
      <c r="AO659" s="115"/>
      <c r="AP659" s="115"/>
      <c r="AQ659" s="115"/>
      <c r="AR659" s="115"/>
      <c r="AS659" s="115"/>
      <c r="AT659" s="115"/>
      <c r="AU659" s="115"/>
      <c r="AV659" s="115"/>
      <c r="AW659" s="115"/>
      <c r="AX659" s="115"/>
      <c r="AY659" s="115"/>
      <c r="AZ659" s="25">
        <v>45276</v>
      </c>
      <c r="BA659" s="15" t="s">
        <v>162</v>
      </c>
      <c r="BD659" s="114"/>
    </row>
    <row r="660" spans="6:56" ht="19.5" x14ac:dyDescent="0.4">
      <c r="T660" s="115"/>
      <c r="U660" s="115"/>
      <c r="V660" s="115"/>
      <c r="W660" s="115"/>
      <c r="X660" s="115"/>
      <c r="Y660" s="115"/>
      <c r="Z660" s="115"/>
      <c r="AA660" s="115"/>
      <c r="AB660" s="17"/>
      <c r="AC660" s="15"/>
      <c r="AH660" s="117"/>
      <c r="AI660" s="123"/>
      <c r="AJ660" s="123"/>
      <c r="AK660" s="123"/>
      <c r="AL660" s="115"/>
      <c r="AM660" s="115"/>
      <c r="AN660" s="115"/>
      <c r="AO660" s="115"/>
      <c r="AP660" s="115"/>
      <c r="AQ660" s="115"/>
      <c r="AR660" s="115"/>
      <c r="AS660" s="115"/>
      <c r="AT660" s="115"/>
      <c r="AU660" s="115"/>
      <c r="AV660" s="115"/>
      <c r="AW660" s="115"/>
      <c r="AX660" s="115"/>
      <c r="AY660" s="115"/>
      <c r="AZ660" s="25"/>
      <c r="BA660" s="15"/>
      <c r="BD660" s="114"/>
    </row>
    <row r="661" spans="6:56" ht="19.5" x14ac:dyDescent="0.4"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26"/>
      <c r="AC661" s="15"/>
      <c r="AH661" s="117"/>
      <c r="AI661" s="123"/>
      <c r="AJ661" s="123"/>
      <c r="AK661" s="123"/>
      <c r="AL661" s="115"/>
      <c r="AM661" s="115"/>
      <c r="AN661" s="115"/>
      <c r="AO661" s="115"/>
      <c r="AP661" s="115"/>
      <c r="AQ661" s="115"/>
      <c r="AR661" s="115"/>
      <c r="AS661" s="115"/>
      <c r="AT661" s="115"/>
      <c r="AU661" s="115"/>
      <c r="AV661" s="115"/>
      <c r="AW661" s="115"/>
      <c r="AX661" s="115"/>
      <c r="AY661" s="115"/>
      <c r="AZ661" s="25"/>
      <c r="BA661" s="15"/>
      <c r="BD661" s="114"/>
    </row>
    <row r="662" spans="6:56" ht="19.5" x14ac:dyDescent="0.4"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26"/>
      <c r="AC662" s="15"/>
      <c r="AH662" s="117"/>
      <c r="AI662" s="123"/>
      <c r="AJ662" s="123"/>
      <c r="AK662" s="123"/>
      <c r="AL662" s="115"/>
      <c r="AM662" s="115"/>
      <c r="AN662" s="115"/>
      <c r="AO662" s="115"/>
      <c r="AP662" s="115"/>
      <c r="AQ662" s="115"/>
      <c r="AR662" s="115"/>
      <c r="AS662" s="115"/>
      <c r="AT662" s="115"/>
      <c r="AU662" s="115"/>
      <c r="AV662" s="115"/>
      <c r="AW662" s="115"/>
      <c r="AX662" s="115"/>
      <c r="AY662" s="115"/>
      <c r="AZ662" s="25"/>
      <c r="BA662" s="15"/>
      <c r="BD662" s="114"/>
    </row>
    <row r="663" spans="6:56" ht="19.5" x14ac:dyDescent="0.4"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26"/>
      <c r="AC663" s="15"/>
      <c r="AH663" s="117"/>
      <c r="AI663" s="123"/>
      <c r="AJ663" s="123"/>
      <c r="AK663" s="123"/>
      <c r="AL663" s="115"/>
      <c r="AM663" s="115"/>
      <c r="AN663" s="115"/>
      <c r="AO663" s="115"/>
      <c r="AP663" s="115"/>
      <c r="AQ663" s="115"/>
      <c r="AR663" s="115"/>
      <c r="AS663" s="115"/>
      <c r="AT663" s="115"/>
      <c r="AU663" s="115"/>
      <c r="AV663" s="115"/>
      <c r="AW663" s="115"/>
      <c r="AX663" s="115"/>
      <c r="AY663" s="115"/>
      <c r="AZ663" s="25"/>
      <c r="BA663" s="15"/>
      <c r="BD663" s="114"/>
    </row>
    <row r="664" spans="6:56" ht="19.5" x14ac:dyDescent="0.4">
      <c r="AB664" s="26"/>
      <c r="AC664" s="15"/>
      <c r="AG664" s="115"/>
      <c r="AH664" s="117"/>
      <c r="AI664" s="123"/>
      <c r="AJ664" s="123"/>
      <c r="AK664" s="123"/>
      <c r="AL664" s="115"/>
      <c r="AM664" s="115"/>
      <c r="AN664" s="115"/>
      <c r="AO664" s="115"/>
      <c r="AP664" s="115"/>
      <c r="AQ664" s="115"/>
      <c r="AR664" s="115"/>
      <c r="AS664" s="115"/>
      <c r="AT664" s="115"/>
      <c r="AU664" s="115"/>
      <c r="AV664" s="115"/>
      <c r="AW664" s="115"/>
      <c r="AX664" s="115"/>
      <c r="AY664" s="115"/>
      <c r="AZ664" s="25">
        <v>45276</v>
      </c>
      <c r="BA664" s="15" t="s">
        <v>162</v>
      </c>
      <c r="BD664" s="114"/>
    </row>
    <row r="665" spans="6:56" ht="19.5" x14ac:dyDescent="0.4">
      <c r="AB665" s="26"/>
      <c r="AC665" s="15"/>
      <c r="AG665" s="115"/>
      <c r="AH665" s="117"/>
      <c r="AI665" s="123"/>
      <c r="AJ665" s="123"/>
      <c r="AK665" s="123"/>
      <c r="AL665" s="115"/>
      <c r="AM665" s="115"/>
      <c r="AN665" s="115"/>
      <c r="AO665" s="115"/>
      <c r="AP665" s="115"/>
      <c r="AQ665" s="115"/>
      <c r="AR665" s="115"/>
      <c r="AS665" s="115"/>
      <c r="AT665" s="115"/>
      <c r="AU665" s="115"/>
      <c r="AV665" s="115"/>
      <c r="AW665" s="115"/>
      <c r="AX665" s="115"/>
      <c r="AY665" s="115"/>
      <c r="AZ665" s="25">
        <v>45276</v>
      </c>
      <c r="BA665" s="15" t="s">
        <v>162</v>
      </c>
      <c r="BD665" s="114"/>
    </row>
    <row r="666" spans="6:56" ht="19.5" x14ac:dyDescent="0.4">
      <c r="AB666" s="26"/>
      <c r="AC666" s="15"/>
      <c r="AG666" s="115"/>
      <c r="AH666" s="117"/>
      <c r="AI666" s="123"/>
      <c r="AJ666" s="123"/>
      <c r="AK666" s="123"/>
      <c r="AL666" s="115"/>
      <c r="AM666" s="115"/>
      <c r="AN666" s="115"/>
      <c r="AO666" s="115"/>
      <c r="AP666" s="115"/>
      <c r="AQ666" s="115"/>
      <c r="AR666" s="115"/>
      <c r="AS666" s="115"/>
      <c r="AT666" s="115"/>
      <c r="AU666" s="115"/>
      <c r="AV666" s="115"/>
      <c r="AW666" s="115"/>
      <c r="AX666" s="115"/>
      <c r="AY666" s="115"/>
      <c r="AZ666" s="25">
        <v>45276</v>
      </c>
      <c r="BA666" s="15" t="s">
        <v>162</v>
      </c>
      <c r="BD666" s="114"/>
    </row>
    <row r="667" spans="6:56" ht="19.5" x14ac:dyDescent="0.4">
      <c r="T667" s="115"/>
      <c r="U667" s="115"/>
      <c r="V667" s="115"/>
      <c r="W667" s="115"/>
      <c r="X667" s="115"/>
      <c r="Y667" s="115"/>
      <c r="Z667" s="115"/>
      <c r="AA667" s="115"/>
      <c r="AB667" s="17"/>
      <c r="AC667" s="15"/>
      <c r="AG667" s="115"/>
      <c r="AH667" s="117"/>
      <c r="AI667" s="123"/>
      <c r="AJ667" s="123"/>
      <c r="AK667" s="123"/>
      <c r="AL667" s="115"/>
      <c r="AM667" s="115"/>
      <c r="AN667" s="115"/>
      <c r="AO667" s="115"/>
      <c r="AP667" s="115"/>
      <c r="AQ667" s="115"/>
      <c r="AR667" s="115"/>
      <c r="AS667" s="115"/>
      <c r="AT667" s="115"/>
      <c r="AU667" s="115"/>
      <c r="AV667" s="115"/>
      <c r="AW667" s="115"/>
      <c r="AX667" s="115"/>
      <c r="AY667" s="115"/>
      <c r="AZ667" s="25"/>
      <c r="BA667" s="15"/>
      <c r="BD667" s="114"/>
    </row>
    <row r="668" spans="6:56" ht="19.5" x14ac:dyDescent="0.4"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26"/>
      <c r="AC668" s="15"/>
      <c r="AG668" s="115"/>
      <c r="AH668" s="117"/>
      <c r="AI668" s="123"/>
      <c r="AJ668" s="123"/>
      <c r="AK668" s="123"/>
      <c r="AL668" s="115"/>
      <c r="AM668" s="115"/>
      <c r="AN668" s="115"/>
      <c r="AO668" s="115"/>
      <c r="AP668" s="115"/>
      <c r="AQ668" s="115"/>
      <c r="AR668" s="115"/>
      <c r="AS668" s="115"/>
      <c r="AT668" s="115"/>
      <c r="AU668" s="115"/>
      <c r="AV668" s="115"/>
      <c r="AW668" s="115"/>
      <c r="AX668" s="115"/>
      <c r="AY668" s="115"/>
      <c r="AZ668" s="25"/>
      <c r="BA668" s="15"/>
      <c r="BD668" s="114"/>
    </row>
    <row r="669" spans="6:56" ht="19.5" x14ac:dyDescent="0.4"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7"/>
      <c r="AC669" s="15"/>
      <c r="AG669" s="115"/>
      <c r="AH669" s="117"/>
      <c r="AI669" s="123"/>
      <c r="AJ669" s="123"/>
      <c r="AK669" s="123"/>
      <c r="AL669" s="115"/>
      <c r="AM669" s="115"/>
      <c r="AN669" s="115"/>
      <c r="AO669" s="115"/>
      <c r="AP669" s="115"/>
      <c r="AQ669" s="115"/>
      <c r="AR669" s="115"/>
      <c r="AS669" s="115"/>
      <c r="AT669" s="115"/>
      <c r="AU669" s="115"/>
      <c r="AV669" s="115"/>
      <c r="AW669" s="115"/>
      <c r="AX669" s="115"/>
      <c r="AY669" s="115"/>
      <c r="AZ669" s="25"/>
      <c r="BA669" s="15"/>
      <c r="BD669" s="114"/>
    </row>
    <row r="670" spans="6:56" ht="19.5" x14ac:dyDescent="0.4">
      <c r="AB670" s="26"/>
      <c r="AC670" s="15"/>
      <c r="AG670" s="115"/>
      <c r="AH670" s="117"/>
      <c r="AI670" s="123"/>
      <c r="AJ670" s="123"/>
      <c r="AK670" s="123"/>
      <c r="AL670" s="115"/>
      <c r="AM670" s="115"/>
      <c r="AN670" s="115"/>
      <c r="AO670" s="115"/>
      <c r="AP670" s="115"/>
      <c r="AQ670" s="115"/>
      <c r="AR670" s="115"/>
      <c r="AS670" s="115"/>
      <c r="AT670" s="115"/>
      <c r="AU670" s="115"/>
      <c r="AV670" s="115"/>
      <c r="AW670" s="115"/>
      <c r="AX670" s="115"/>
      <c r="AY670" s="115"/>
      <c r="AZ670" s="25"/>
      <c r="BA670" s="15"/>
      <c r="BD670" s="114"/>
    </row>
    <row r="671" spans="6:56" ht="19.5" x14ac:dyDescent="0.4"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26"/>
      <c r="AC671" s="15"/>
      <c r="AG671" s="115"/>
      <c r="AH671" s="117"/>
      <c r="AI671" s="123"/>
      <c r="AJ671" s="123"/>
      <c r="AK671" s="123"/>
      <c r="AL671" s="115"/>
      <c r="AM671" s="115"/>
      <c r="AN671" s="115"/>
      <c r="AO671" s="115"/>
      <c r="AP671" s="115"/>
      <c r="AQ671" s="115"/>
      <c r="AR671" s="115"/>
      <c r="AS671" s="115"/>
      <c r="AT671" s="115"/>
      <c r="AU671" s="115"/>
      <c r="AV671" s="115"/>
      <c r="AW671" s="115"/>
      <c r="AX671" s="115"/>
      <c r="AY671" s="115"/>
      <c r="AZ671" s="25"/>
      <c r="BA671" s="15"/>
      <c r="BD671" s="114"/>
    </row>
    <row r="672" spans="6:56" ht="19.5" x14ac:dyDescent="0.4">
      <c r="AB672" s="26"/>
      <c r="AC672" s="15"/>
      <c r="AG672" s="115"/>
      <c r="AH672" s="117"/>
      <c r="AI672" s="123"/>
      <c r="AJ672" s="123"/>
      <c r="AK672" s="123"/>
      <c r="AL672" s="115"/>
      <c r="AM672" s="115"/>
      <c r="AN672" s="115"/>
      <c r="AO672" s="115"/>
      <c r="AP672" s="115"/>
      <c r="AQ672" s="115"/>
      <c r="AR672" s="115"/>
      <c r="AS672" s="115"/>
      <c r="AT672" s="115"/>
      <c r="AU672" s="115"/>
      <c r="AV672" s="115"/>
      <c r="AW672" s="115"/>
      <c r="AX672" s="115"/>
      <c r="AY672" s="115"/>
      <c r="AZ672" s="25">
        <v>45276</v>
      </c>
      <c r="BA672" s="15" t="s">
        <v>162</v>
      </c>
      <c r="BD672" s="114"/>
    </row>
    <row r="673" spans="17:56" ht="19.5" x14ac:dyDescent="0.4">
      <c r="T673" s="115"/>
      <c r="U673" s="115"/>
      <c r="V673" s="115"/>
      <c r="W673" s="115"/>
      <c r="X673" s="115"/>
      <c r="Y673" s="115"/>
      <c r="Z673" s="115"/>
      <c r="AA673" s="115"/>
      <c r="AB673" s="17"/>
      <c r="AC673" s="15"/>
      <c r="AG673" s="115"/>
      <c r="AH673" s="117"/>
      <c r="AI673" s="123"/>
      <c r="AJ673" s="123"/>
      <c r="AK673" s="123"/>
      <c r="AL673" s="115"/>
      <c r="AM673" s="115"/>
      <c r="AN673" s="115"/>
      <c r="AO673" s="115"/>
      <c r="AP673" s="115"/>
      <c r="AQ673" s="115"/>
      <c r="AR673" s="115"/>
      <c r="AS673" s="115"/>
      <c r="AT673" s="115"/>
      <c r="AU673" s="115"/>
      <c r="AV673" s="115"/>
      <c r="AW673" s="115"/>
      <c r="AX673" s="115"/>
      <c r="AY673" s="115"/>
      <c r="AZ673" s="25"/>
      <c r="BA673" s="15"/>
      <c r="BD673" s="114"/>
    </row>
    <row r="674" spans="17:56" ht="19.5" x14ac:dyDescent="0.4">
      <c r="AB674" s="26"/>
      <c r="AC674" s="15"/>
      <c r="AG674" s="115"/>
      <c r="AH674" s="117"/>
      <c r="AI674" s="123"/>
      <c r="AJ674" s="123"/>
      <c r="AK674" s="123"/>
      <c r="AL674" s="115"/>
      <c r="AM674" s="115"/>
      <c r="AN674" s="115"/>
      <c r="AO674" s="115"/>
      <c r="AP674" s="115"/>
      <c r="AQ674" s="115"/>
      <c r="AR674" s="115"/>
      <c r="AS674" s="115"/>
      <c r="AT674" s="115"/>
      <c r="AU674" s="115"/>
      <c r="AV674" s="115"/>
      <c r="AW674" s="115"/>
      <c r="AX674" s="115"/>
      <c r="AY674" s="115"/>
      <c r="AZ674" s="25">
        <v>45276</v>
      </c>
      <c r="BA674" s="15" t="s">
        <v>162</v>
      </c>
      <c r="BD674" s="114"/>
    </row>
    <row r="675" spans="17:56" ht="19.5" x14ac:dyDescent="0.4">
      <c r="T675" s="115"/>
      <c r="U675" s="115"/>
      <c r="V675" s="115"/>
      <c r="W675" s="115"/>
      <c r="X675" s="115"/>
      <c r="Y675" s="115"/>
      <c r="Z675" s="115"/>
      <c r="AA675" s="115"/>
      <c r="AB675" s="17"/>
      <c r="AC675" s="15"/>
      <c r="AG675" s="115"/>
      <c r="AH675" s="117"/>
      <c r="AI675" s="123"/>
      <c r="AJ675" s="123"/>
      <c r="AK675" s="123"/>
      <c r="AL675" s="115"/>
      <c r="AM675" s="115"/>
      <c r="AN675" s="115"/>
      <c r="AO675" s="115"/>
      <c r="AP675" s="115"/>
      <c r="AQ675" s="115"/>
      <c r="AR675" s="115"/>
      <c r="AS675" s="115"/>
      <c r="AT675" s="115"/>
      <c r="AU675" s="115"/>
      <c r="AV675" s="115"/>
      <c r="AW675" s="115"/>
      <c r="AX675" s="115"/>
      <c r="AY675" s="115"/>
      <c r="AZ675" s="25"/>
      <c r="BA675" s="15"/>
      <c r="BD675" s="114"/>
    </row>
    <row r="676" spans="17:56" ht="19.5" x14ac:dyDescent="0.4">
      <c r="S676" s="115"/>
      <c r="T676" s="115"/>
      <c r="U676" s="115"/>
      <c r="V676" s="115"/>
      <c r="W676" s="115"/>
      <c r="X676" s="115"/>
      <c r="Y676" s="115"/>
      <c r="Z676" s="115"/>
      <c r="AA676" s="115"/>
      <c r="AB676" s="26"/>
      <c r="AC676" s="15"/>
      <c r="AG676" s="115"/>
      <c r="AH676" s="117"/>
      <c r="AI676" s="123"/>
      <c r="AJ676" s="123"/>
      <c r="AK676" s="123"/>
      <c r="AL676" s="115"/>
      <c r="AM676" s="115"/>
      <c r="AN676" s="115"/>
      <c r="AO676" s="115"/>
      <c r="AP676" s="115"/>
      <c r="AQ676" s="115"/>
      <c r="AR676" s="115"/>
      <c r="AS676" s="115"/>
      <c r="AT676" s="115"/>
      <c r="AU676" s="115"/>
      <c r="AV676" s="115"/>
      <c r="AW676" s="115"/>
      <c r="AX676" s="115"/>
      <c r="AY676" s="115"/>
      <c r="AZ676" s="25"/>
      <c r="BA676" s="15"/>
      <c r="BD676" s="114"/>
    </row>
    <row r="677" spans="17:56" ht="19.5" x14ac:dyDescent="0.4">
      <c r="S677" s="115"/>
      <c r="T677" s="115"/>
      <c r="U677" s="115"/>
      <c r="V677" s="115"/>
      <c r="W677" s="115"/>
      <c r="X677" s="115"/>
      <c r="Y677" s="115"/>
      <c r="Z677" s="115"/>
      <c r="AA677" s="115"/>
      <c r="AB677" s="17"/>
      <c r="AC677" s="15"/>
      <c r="AG677" s="115"/>
      <c r="AH677" s="117"/>
      <c r="AI677" s="123"/>
      <c r="AJ677" s="123"/>
      <c r="AK677" s="123"/>
      <c r="AL677" s="115"/>
      <c r="AM677" s="115"/>
      <c r="AN677" s="115"/>
      <c r="AO677" s="115"/>
      <c r="AP677" s="115"/>
      <c r="AQ677" s="115"/>
      <c r="AR677" s="115"/>
      <c r="AS677" s="115"/>
      <c r="AT677" s="115"/>
      <c r="AU677" s="115"/>
      <c r="AV677" s="115"/>
      <c r="AW677" s="115"/>
      <c r="AX677" s="115"/>
      <c r="AY677" s="115"/>
      <c r="AZ677" s="25"/>
      <c r="BA677" s="15"/>
      <c r="BD677" s="114"/>
    </row>
    <row r="678" spans="17:56" ht="19.5" x14ac:dyDescent="0.4">
      <c r="AB678" s="26"/>
      <c r="AC678" s="15"/>
      <c r="AG678" s="115"/>
      <c r="AH678" s="117"/>
      <c r="AI678" s="123"/>
      <c r="AJ678" s="123"/>
      <c r="AK678" s="123"/>
      <c r="AL678" s="115"/>
      <c r="AM678" s="115"/>
      <c r="AN678" s="115"/>
      <c r="AO678" s="115"/>
      <c r="AP678" s="115"/>
      <c r="AQ678" s="115"/>
      <c r="AR678" s="115"/>
      <c r="AS678" s="115"/>
      <c r="AT678" s="115"/>
      <c r="AU678" s="115"/>
      <c r="AV678" s="115"/>
      <c r="AW678" s="115"/>
      <c r="AX678" s="115"/>
      <c r="AY678" s="115"/>
      <c r="AZ678" s="25">
        <v>45276</v>
      </c>
      <c r="BA678" s="15" t="s">
        <v>162</v>
      </c>
      <c r="BD678" s="114"/>
    </row>
    <row r="679" spans="17:56" ht="19.5" x14ac:dyDescent="0.4">
      <c r="AB679" s="26"/>
      <c r="AC679" s="15"/>
      <c r="AG679" s="115"/>
      <c r="AH679" s="117"/>
      <c r="AI679" s="123"/>
      <c r="AJ679" s="123"/>
      <c r="AK679" s="123"/>
      <c r="AL679" s="115"/>
      <c r="AM679" s="115"/>
      <c r="AN679" s="115"/>
      <c r="AO679" s="115"/>
      <c r="AP679" s="115"/>
      <c r="AQ679" s="115"/>
      <c r="AR679" s="115"/>
      <c r="AS679" s="115"/>
      <c r="AT679" s="115"/>
      <c r="AU679" s="115"/>
      <c r="AV679" s="115"/>
      <c r="AW679" s="115"/>
      <c r="AX679" s="115"/>
      <c r="AY679" s="115"/>
      <c r="AZ679" s="25">
        <v>45276</v>
      </c>
      <c r="BA679" s="15" t="s">
        <v>162</v>
      </c>
      <c r="BD679" s="114"/>
    </row>
    <row r="680" spans="17:56" ht="19.5" x14ac:dyDescent="0.4">
      <c r="AB680" s="26"/>
      <c r="AC680" s="15"/>
      <c r="AG680" s="115"/>
      <c r="AH680" s="117"/>
      <c r="AI680" s="123"/>
      <c r="AJ680" s="123"/>
      <c r="AK680" s="123"/>
      <c r="AL680" s="115"/>
      <c r="AM680" s="115"/>
      <c r="AN680" s="115"/>
      <c r="AO680" s="115"/>
      <c r="AP680" s="115"/>
      <c r="AQ680" s="115"/>
      <c r="AR680" s="115"/>
      <c r="AS680" s="115"/>
      <c r="AT680" s="115"/>
      <c r="AU680" s="115"/>
      <c r="AV680" s="115"/>
      <c r="AW680" s="115"/>
      <c r="AX680" s="115"/>
      <c r="AY680" s="115"/>
      <c r="AZ680" s="25">
        <v>45276</v>
      </c>
      <c r="BA680" s="15" t="s">
        <v>162</v>
      </c>
      <c r="BD680" s="114"/>
    </row>
    <row r="681" spans="17:56" ht="19.5" x14ac:dyDescent="0.4">
      <c r="AB681" s="26"/>
      <c r="AC681" s="15"/>
      <c r="AG681" s="115"/>
      <c r="AH681" s="117"/>
      <c r="AI681" s="123"/>
      <c r="AJ681" s="123"/>
      <c r="AK681" s="123"/>
      <c r="AL681" s="115"/>
      <c r="AM681" s="115"/>
      <c r="AN681" s="115"/>
      <c r="AO681" s="115"/>
      <c r="AP681" s="115"/>
      <c r="AQ681" s="115"/>
      <c r="AR681" s="115"/>
      <c r="AS681" s="115"/>
      <c r="AT681" s="115"/>
      <c r="AU681" s="115"/>
      <c r="AV681" s="115"/>
      <c r="AW681" s="115"/>
      <c r="AX681" s="115"/>
      <c r="AY681" s="115"/>
      <c r="AZ681" s="25"/>
      <c r="BA681" s="15"/>
      <c r="BD681" s="114"/>
    </row>
    <row r="682" spans="17:56" ht="19.5" x14ac:dyDescent="0.4">
      <c r="T682" s="115"/>
      <c r="U682" s="115"/>
      <c r="V682" s="115"/>
      <c r="W682" s="115"/>
      <c r="X682" s="115"/>
      <c r="Y682" s="115"/>
      <c r="Z682" s="115"/>
      <c r="AA682" s="115"/>
      <c r="AB682" s="17"/>
      <c r="AC682" s="15"/>
      <c r="AG682" s="115"/>
      <c r="AH682" s="117"/>
      <c r="AI682" s="123"/>
      <c r="AJ682" s="123"/>
      <c r="AK682" s="123"/>
      <c r="AL682" s="115"/>
      <c r="AM682" s="115"/>
      <c r="AN682" s="115"/>
      <c r="AO682" s="115"/>
      <c r="AP682" s="115"/>
      <c r="AQ682" s="115"/>
      <c r="AR682" s="115"/>
      <c r="AS682" s="115"/>
      <c r="AT682" s="115"/>
      <c r="AU682" s="115"/>
      <c r="AV682" s="115"/>
      <c r="AW682" s="115"/>
      <c r="AX682" s="115"/>
      <c r="AY682" s="115"/>
      <c r="AZ682" s="25"/>
      <c r="BA682" s="15"/>
      <c r="BD682" s="114"/>
    </row>
    <row r="683" spans="17:56" ht="19.5" x14ac:dyDescent="0.4">
      <c r="AB683" s="26"/>
      <c r="AC683" s="15"/>
      <c r="AG683" s="115"/>
      <c r="AH683" s="117"/>
      <c r="AI683" s="123"/>
      <c r="AJ683" s="123"/>
      <c r="AK683" s="123"/>
      <c r="AL683" s="115"/>
      <c r="AM683" s="115"/>
      <c r="AN683" s="115"/>
      <c r="AO683" s="115"/>
      <c r="AP683" s="115"/>
      <c r="AQ683" s="115"/>
      <c r="AR683" s="115"/>
      <c r="AS683" s="115"/>
      <c r="AT683" s="115"/>
      <c r="AU683" s="115"/>
      <c r="AV683" s="115"/>
      <c r="AW683" s="115"/>
      <c r="AX683" s="115"/>
      <c r="AY683" s="115"/>
      <c r="AZ683" s="25">
        <v>45276</v>
      </c>
      <c r="BA683" s="15" t="s">
        <v>162</v>
      </c>
      <c r="BD683" s="114"/>
    </row>
    <row r="684" spans="17:56" ht="19.5" x14ac:dyDescent="0.4">
      <c r="AB684" s="26"/>
      <c r="AC684" s="15"/>
      <c r="AG684" s="115"/>
      <c r="AH684" s="117"/>
      <c r="AI684" s="123"/>
      <c r="AJ684" s="123"/>
      <c r="AK684" s="123"/>
      <c r="AL684" s="115"/>
      <c r="AM684" s="115"/>
      <c r="AN684" s="115"/>
      <c r="AO684" s="115"/>
      <c r="AP684" s="115"/>
      <c r="AQ684" s="115"/>
      <c r="AR684" s="115"/>
      <c r="AS684" s="115"/>
      <c r="AT684" s="115"/>
      <c r="AU684" s="115"/>
      <c r="AV684" s="115"/>
      <c r="AW684" s="115"/>
      <c r="AX684" s="115"/>
      <c r="AY684" s="115"/>
      <c r="AZ684" s="25">
        <v>45276</v>
      </c>
      <c r="BA684" s="15" t="s">
        <v>162</v>
      </c>
      <c r="BD684" s="114"/>
    </row>
    <row r="685" spans="17:56" ht="19.5" x14ac:dyDescent="0.4">
      <c r="T685" s="115"/>
      <c r="U685" s="115"/>
      <c r="V685" s="115"/>
      <c r="W685" s="115"/>
      <c r="X685" s="115"/>
      <c r="Y685" s="115"/>
      <c r="Z685" s="115"/>
      <c r="AA685" s="115"/>
      <c r="AB685" s="17"/>
      <c r="AC685" s="15"/>
      <c r="AG685" s="115"/>
      <c r="AH685" s="117"/>
      <c r="AI685" s="123"/>
      <c r="AJ685" s="123"/>
      <c r="AK685" s="123"/>
      <c r="AL685" s="115"/>
      <c r="AM685" s="115"/>
      <c r="AN685" s="115"/>
      <c r="AO685" s="115"/>
      <c r="AP685" s="115"/>
      <c r="AQ685" s="115"/>
      <c r="AR685" s="115"/>
      <c r="AS685" s="115"/>
      <c r="AT685" s="115"/>
      <c r="AU685" s="115"/>
      <c r="AV685" s="115"/>
      <c r="AW685" s="115"/>
      <c r="AX685" s="115"/>
      <c r="AY685" s="115"/>
      <c r="AZ685" s="25"/>
      <c r="BA685" s="15"/>
      <c r="BD685" s="114"/>
    </row>
    <row r="686" spans="17:56" ht="19.5" x14ac:dyDescent="0.4"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26"/>
      <c r="AC686" s="15"/>
      <c r="AG686" s="115"/>
      <c r="AH686" s="117"/>
      <c r="AI686" s="123"/>
      <c r="AJ686" s="123"/>
      <c r="AK686" s="123"/>
      <c r="AL686" s="115"/>
      <c r="AM686" s="115"/>
      <c r="AN686" s="115"/>
      <c r="AO686" s="115"/>
      <c r="AP686" s="115"/>
      <c r="AQ686" s="115"/>
      <c r="AR686" s="115"/>
      <c r="AS686" s="115"/>
      <c r="AT686" s="115"/>
      <c r="AU686" s="115"/>
      <c r="AV686" s="115"/>
      <c r="AW686" s="115"/>
      <c r="AX686" s="115"/>
      <c r="AY686" s="115"/>
      <c r="AZ686" s="25"/>
      <c r="BA686" s="15"/>
      <c r="BD686" s="114"/>
    </row>
    <row r="687" spans="17:56" ht="19.5" x14ac:dyDescent="0.4"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7"/>
      <c r="AC687" s="15"/>
      <c r="AG687" s="115"/>
      <c r="AH687" s="117"/>
      <c r="AI687" s="123"/>
      <c r="AJ687" s="123"/>
      <c r="AK687" s="123"/>
      <c r="AL687" s="115"/>
      <c r="AM687" s="115"/>
      <c r="AN687" s="115"/>
      <c r="AO687" s="115"/>
      <c r="AP687" s="115"/>
      <c r="AQ687" s="115"/>
      <c r="AR687" s="115"/>
      <c r="AS687" s="115"/>
      <c r="AT687" s="115"/>
      <c r="AU687" s="115"/>
      <c r="AV687" s="115"/>
      <c r="AW687" s="115"/>
      <c r="AX687" s="115"/>
      <c r="AY687" s="115"/>
      <c r="AZ687" s="25"/>
      <c r="BA687" s="15"/>
      <c r="BD687" s="114"/>
    </row>
    <row r="688" spans="17:56" ht="19.5" x14ac:dyDescent="0.4"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26"/>
      <c r="AC688" s="15"/>
      <c r="AG688" s="115"/>
      <c r="AH688" s="117"/>
      <c r="AI688" s="123"/>
      <c r="AJ688" s="123"/>
      <c r="AK688" s="123"/>
      <c r="AL688" s="115"/>
      <c r="AM688" s="115"/>
      <c r="AN688" s="115"/>
      <c r="AO688" s="115"/>
      <c r="AP688" s="115"/>
      <c r="AQ688" s="115"/>
      <c r="AR688" s="115"/>
      <c r="AS688" s="115"/>
      <c r="AT688" s="115"/>
      <c r="AU688" s="115"/>
      <c r="AV688" s="115"/>
      <c r="AW688" s="115"/>
      <c r="AX688" s="115"/>
      <c r="AY688" s="115"/>
      <c r="AZ688" s="25"/>
      <c r="BA688" s="15"/>
      <c r="BD688" s="114"/>
    </row>
    <row r="689" spans="6:56" ht="19.5" x14ac:dyDescent="0.4">
      <c r="AB689" s="26"/>
      <c r="AC689" s="15"/>
      <c r="AG689" s="115"/>
      <c r="AH689" s="117"/>
      <c r="AI689" s="123"/>
      <c r="AJ689" s="123"/>
      <c r="AK689" s="123"/>
      <c r="AL689" s="115"/>
      <c r="AM689" s="115"/>
      <c r="AN689" s="115"/>
      <c r="AO689" s="115"/>
      <c r="AP689" s="115"/>
      <c r="AQ689" s="115"/>
      <c r="AR689" s="115"/>
      <c r="AS689" s="115"/>
      <c r="AT689" s="115"/>
      <c r="AU689" s="115"/>
      <c r="AV689" s="115"/>
      <c r="AW689" s="115"/>
      <c r="AX689" s="115"/>
      <c r="AY689" s="115" t="s">
        <v>169</v>
      </c>
      <c r="AZ689" s="13">
        <f>SUBTOTAL(3,AZ652:AZ684)</f>
        <v>17</v>
      </c>
      <c r="BA689" s="15">
        <f>SUBTOTAL(3,BA652:BA684)</f>
        <v>17</v>
      </c>
      <c r="BD689" s="114"/>
    </row>
    <row r="690" spans="6:56" ht="19.5" x14ac:dyDescent="0.4"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26"/>
      <c r="AC690" s="15"/>
      <c r="AG690" s="115"/>
      <c r="AH690" s="117"/>
      <c r="AI690" s="123"/>
      <c r="AJ690" s="123"/>
      <c r="AK690" s="123"/>
      <c r="AL690" s="115"/>
      <c r="AM690" s="115"/>
      <c r="AN690" s="115"/>
      <c r="AO690" s="115"/>
      <c r="AP690" s="115"/>
      <c r="AQ690" s="115"/>
      <c r="AR690" s="115"/>
      <c r="AS690" s="115"/>
      <c r="AT690" s="115"/>
      <c r="AU690" s="115"/>
      <c r="AV690" s="115"/>
      <c r="AW690" s="115"/>
      <c r="AX690" s="115"/>
      <c r="AY690" s="115"/>
      <c r="AZ690" s="13"/>
      <c r="BA690" s="15"/>
      <c r="BD690" s="114"/>
    </row>
    <row r="691" spans="6:56" ht="19.5" x14ac:dyDescent="0.4">
      <c r="AB691" s="26"/>
      <c r="AC691" s="15"/>
      <c r="AG691" s="115"/>
      <c r="AH691" s="117"/>
      <c r="AI691" s="123"/>
      <c r="AJ691" s="123"/>
      <c r="AK691" s="123"/>
      <c r="AL691" s="115"/>
      <c r="AM691" s="115"/>
      <c r="AN691" s="115"/>
      <c r="AO691" s="115"/>
      <c r="AP691" s="115"/>
      <c r="AQ691" s="115"/>
      <c r="AR691" s="115"/>
      <c r="AS691" s="115"/>
      <c r="AT691" s="115"/>
      <c r="AU691" s="115"/>
      <c r="AV691" s="115"/>
      <c r="AW691" s="115"/>
      <c r="AX691" s="115"/>
      <c r="AY691" s="115"/>
      <c r="AZ691" s="25">
        <v>45277</v>
      </c>
      <c r="BA691" s="15" t="s">
        <v>162</v>
      </c>
      <c r="BD691" s="114"/>
    </row>
    <row r="692" spans="6:56" ht="19.5" x14ac:dyDescent="0.4">
      <c r="T692" s="115"/>
      <c r="U692" s="115"/>
      <c r="V692" s="115"/>
      <c r="W692" s="115"/>
      <c r="X692" s="115"/>
      <c r="Y692" s="115"/>
      <c r="Z692" s="115"/>
      <c r="AA692" s="115"/>
      <c r="AB692" s="17"/>
      <c r="AC692" s="15"/>
      <c r="AG692" s="115"/>
      <c r="AH692" s="117"/>
      <c r="AI692" s="123"/>
      <c r="AJ692" s="123"/>
      <c r="AK692" s="123"/>
      <c r="AL692" s="115"/>
      <c r="AM692" s="115"/>
      <c r="AN692" s="115"/>
      <c r="AO692" s="115"/>
      <c r="AP692" s="115"/>
      <c r="AQ692" s="115"/>
      <c r="AR692" s="115"/>
      <c r="AS692" s="115"/>
      <c r="AT692" s="115"/>
      <c r="AU692" s="115"/>
      <c r="AV692" s="115"/>
      <c r="AW692" s="115"/>
      <c r="AX692" s="115"/>
      <c r="AY692" s="115"/>
      <c r="AZ692" s="25"/>
      <c r="BA692" s="15"/>
      <c r="BD692" s="114"/>
    </row>
    <row r="693" spans="6:56" ht="19.5" x14ac:dyDescent="0.4"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26"/>
      <c r="AC693" s="15"/>
      <c r="AG693" s="115"/>
      <c r="AH693" s="117"/>
      <c r="AI693" s="123"/>
      <c r="AJ693" s="123"/>
      <c r="AK693" s="123"/>
      <c r="AL693" s="115"/>
      <c r="AM693" s="115"/>
      <c r="AN693" s="115"/>
      <c r="AO693" s="115"/>
      <c r="AP693" s="115"/>
      <c r="AQ693" s="115"/>
      <c r="AR693" s="115"/>
      <c r="AS693" s="115"/>
      <c r="AT693" s="115"/>
      <c r="AU693" s="115"/>
      <c r="AV693" s="115"/>
      <c r="AW693" s="115"/>
      <c r="AX693" s="115"/>
      <c r="AY693" s="115"/>
      <c r="AZ693" s="25"/>
      <c r="BA693" s="15"/>
      <c r="BD693" s="114"/>
    </row>
    <row r="694" spans="6:56" ht="19.5" x14ac:dyDescent="0.4"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7"/>
      <c r="AC694" s="15"/>
      <c r="AG694" s="115"/>
      <c r="AH694" s="117"/>
      <c r="AI694" s="123"/>
      <c r="AJ694" s="123"/>
      <c r="AK694" s="123"/>
      <c r="AL694" s="115"/>
      <c r="AM694" s="115"/>
      <c r="AN694" s="115"/>
      <c r="AO694" s="115"/>
      <c r="AP694" s="115"/>
      <c r="AQ694" s="115"/>
      <c r="AR694" s="115"/>
      <c r="AS694" s="115"/>
      <c r="AT694" s="115"/>
      <c r="AU694" s="115"/>
      <c r="AV694" s="115"/>
      <c r="AW694" s="115"/>
      <c r="AX694" s="115"/>
      <c r="AY694" s="115"/>
      <c r="AZ694" s="25"/>
      <c r="BA694" s="15"/>
      <c r="BD694" s="114"/>
    </row>
    <row r="695" spans="6:56" ht="19.5" x14ac:dyDescent="0.4"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7"/>
      <c r="AC695" s="15"/>
      <c r="AG695" s="115"/>
      <c r="AH695" s="117"/>
      <c r="AI695" s="123"/>
      <c r="AJ695" s="123"/>
      <c r="AK695" s="123"/>
      <c r="AL695" s="115"/>
      <c r="AM695" s="115"/>
      <c r="AN695" s="115"/>
      <c r="AO695" s="115"/>
      <c r="AP695" s="115"/>
      <c r="AQ695" s="115"/>
      <c r="AR695" s="115"/>
      <c r="AS695" s="115"/>
      <c r="AT695" s="115"/>
      <c r="AU695" s="115"/>
      <c r="AV695" s="115"/>
      <c r="AW695" s="115"/>
      <c r="AX695" s="115"/>
      <c r="AY695" s="115"/>
      <c r="AZ695" s="25"/>
      <c r="BA695" s="15"/>
      <c r="BD695" s="114"/>
    </row>
    <row r="696" spans="6:56" ht="19.5" x14ac:dyDescent="0.4">
      <c r="AB696" s="26"/>
      <c r="AC696" s="15"/>
      <c r="AG696" s="115"/>
      <c r="AH696" s="117"/>
      <c r="AI696" s="123"/>
      <c r="AJ696" s="123"/>
      <c r="AK696" s="123"/>
      <c r="AL696" s="115"/>
      <c r="AM696" s="115"/>
      <c r="AN696" s="115"/>
      <c r="AO696" s="115"/>
      <c r="AP696" s="115"/>
      <c r="AQ696" s="115"/>
      <c r="AR696" s="115"/>
      <c r="AS696" s="115"/>
      <c r="AT696" s="115"/>
      <c r="AU696" s="115"/>
      <c r="AV696" s="115"/>
      <c r="AW696" s="115"/>
      <c r="AX696" s="115"/>
      <c r="AY696" s="115"/>
      <c r="AZ696" s="25">
        <v>45277</v>
      </c>
      <c r="BA696" s="15" t="s">
        <v>162</v>
      </c>
      <c r="BD696" s="114"/>
    </row>
    <row r="697" spans="6:56" ht="19.5" x14ac:dyDescent="0.4">
      <c r="S697" s="115"/>
      <c r="T697" s="115"/>
      <c r="U697" s="115"/>
      <c r="V697" s="115"/>
      <c r="W697" s="115"/>
      <c r="X697" s="115"/>
      <c r="Y697" s="115"/>
      <c r="Z697" s="115"/>
      <c r="AA697" s="115"/>
      <c r="AB697" s="17"/>
      <c r="AC697" s="15"/>
      <c r="AG697" s="115"/>
      <c r="AH697" s="117"/>
      <c r="AI697" s="123"/>
      <c r="AJ697" s="123"/>
      <c r="AK697" s="123"/>
      <c r="AL697" s="115"/>
      <c r="AM697" s="115"/>
      <c r="AN697" s="115"/>
      <c r="AO697" s="115"/>
      <c r="AP697" s="115"/>
      <c r="AQ697" s="115"/>
      <c r="AR697" s="115"/>
      <c r="AS697" s="115"/>
      <c r="AT697" s="115"/>
      <c r="AU697" s="115"/>
      <c r="AV697" s="115"/>
      <c r="AW697" s="115"/>
      <c r="AX697" s="115"/>
      <c r="AY697" s="115"/>
      <c r="AZ697" s="131"/>
      <c r="BA697" s="13"/>
      <c r="BD697" s="114"/>
    </row>
    <row r="698" spans="6:56" ht="19.5" x14ac:dyDescent="0.4">
      <c r="AB698" s="26"/>
      <c r="AC698" s="15"/>
      <c r="AG698" s="115"/>
      <c r="AH698" s="117"/>
      <c r="AI698" s="123"/>
      <c r="AJ698" s="123"/>
      <c r="AK698" s="123"/>
      <c r="AL698" s="115"/>
      <c r="AM698" s="115"/>
      <c r="AN698" s="115"/>
      <c r="AO698" s="115"/>
      <c r="AP698" s="115"/>
      <c r="AQ698" s="115"/>
      <c r="AR698" s="115"/>
      <c r="AS698" s="115"/>
      <c r="AT698" s="115"/>
      <c r="AU698" s="115"/>
      <c r="AV698" s="115"/>
      <c r="AW698" s="115"/>
      <c r="AX698" s="115"/>
      <c r="AY698" s="115"/>
      <c r="AZ698" s="26">
        <v>45277</v>
      </c>
      <c r="BA698" s="13" t="s">
        <v>162</v>
      </c>
      <c r="BD698" s="114"/>
    </row>
    <row r="699" spans="6:56" ht="19.5" x14ac:dyDescent="0.4">
      <c r="AB699" s="26"/>
      <c r="AC699" s="15"/>
      <c r="AG699" s="115"/>
      <c r="AH699" s="117"/>
      <c r="AI699" s="123"/>
      <c r="AJ699" s="123"/>
      <c r="AK699" s="123"/>
      <c r="AL699" s="115"/>
      <c r="AM699" s="115"/>
      <c r="AN699" s="115"/>
      <c r="AO699" s="115"/>
      <c r="AP699" s="115"/>
      <c r="AQ699" s="115"/>
      <c r="AR699" s="115"/>
      <c r="AS699" s="115"/>
      <c r="AT699" s="115"/>
      <c r="AU699" s="115"/>
      <c r="AV699" s="115"/>
      <c r="AW699" s="115"/>
      <c r="AX699" s="115"/>
      <c r="AY699" s="115"/>
      <c r="AZ699" s="26">
        <v>45277</v>
      </c>
      <c r="BA699" s="15" t="s">
        <v>162</v>
      </c>
      <c r="BD699" s="114"/>
    </row>
    <row r="700" spans="6:56" ht="19.5" x14ac:dyDescent="0.4"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26"/>
      <c r="AC700" s="15"/>
      <c r="AG700" s="115"/>
      <c r="AH700" s="117"/>
      <c r="AI700" s="123"/>
      <c r="AJ700" s="123"/>
      <c r="AK700" s="123"/>
      <c r="AL700" s="115"/>
      <c r="AM700" s="115"/>
      <c r="AN700" s="115"/>
      <c r="AO700" s="115"/>
      <c r="AP700" s="115"/>
      <c r="AQ700" s="115"/>
      <c r="AR700" s="115"/>
      <c r="AS700" s="115"/>
      <c r="AT700" s="115"/>
      <c r="AU700" s="115"/>
      <c r="AV700" s="115"/>
      <c r="AW700" s="115"/>
      <c r="AX700" s="115"/>
      <c r="AY700" s="115"/>
      <c r="AZ700" s="26"/>
      <c r="BA700" s="15"/>
      <c r="BD700" s="114"/>
    </row>
    <row r="701" spans="6:56" ht="19.5" x14ac:dyDescent="0.4">
      <c r="AB701" s="26"/>
      <c r="AC701" s="15"/>
      <c r="AG701" s="115"/>
      <c r="AH701" s="117"/>
      <c r="AI701" s="123"/>
      <c r="AJ701" s="123"/>
      <c r="AK701" s="123"/>
      <c r="AL701" s="115"/>
      <c r="AM701" s="115"/>
      <c r="AN701" s="115"/>
      <c r="AO701" s="115"/>
      <c r="AP701" s="115"/>
      <c r="AQ701" s="115"/>
      <c r="AR701" s="115"/>
      <c r="AS701" s="115"/>
      <c r="AT701" s="115"/>
      <c r="AU701" s="115"/>
      <c r="AV701" s="115"/>
      <c r="AW701" s="115"/>
      <c r="AX701" s="115"/>
      <c r="AY701" s="115"/>
      <c r="AZ701" s="26">
        <v>45277</v>
      </c>
      <c r="BA701" s="15" t="s">
        <v>162</v>
      </c>
      <c r="BD701" s="114"/>
    </row>
    <row r="702" spans="6:56" ht="19.5" x14ac:dyDescent="0.4">
      <c r="AB702" s="26"/>
      <c r="AC702" s="15"/>
      <c r="AG702" s="115"/>
      <c r="AH702" s="117"/>
      <c r="AI702" s="123"/>
      <c r="AJ702" s="123"/>
      <c r="AK702" s="123"/>
      <c r="AL702" s="115"/>
      <c r="AM702" s="115"/>
      <c r="AN702" s="115"/>
      <c r="AO702" s="115"/>
      <c r="AP702" s="115"/>
      <c r="AQ702" s="115"/>
      <c r="AR702" s="115"/>
      <c r="AS702" s="115"/>
      <c r="AT702" s="115"/>
      <c r="AU702" s="115"/>
      <c r="AV702" s="115"/>
      <c r="AW702" s="115"/>
      <c r="AX702" s="115"/>
      <c r="AY702" s="115" t="s">
        <v>160</v>
      </c>
      <c r="AZ702" s="17">
        <f>SUBTOTAL(3,AZ691:AZ701)</f>
        <v>5</v>
      </c>
      <c r="BA702" s="15">
        <f>SUBTOTAL(3,BA691:BA701)</f>
        <v>5</v>
      </c>
      <c r="BD702" s="114"/>
    </row>
    <row r="703" spans="6:56" ht="19.5" x14ac:dyDescent="0.4"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26"/>
      <c r="AC703" s="15"/>
      <c r="AG703" s="115"/>
      <c r="AH703" s="117"/>
      <c r="AI703" s="123"/>
      <c r="AJ703" s="123"/>
      <c r="AK703" s="123"/>
      <c r="AL703" s="115"/>
      <c r="AM703" s="115"/>
      <c r="AN703" s="115"/>
      <c r="AO703" s="115"/>
      <c r="AP703" s="115"/>
      <c r="AQ703" s="115"/>
      <c r="AR703" s="115"/>
      <c r="AS703" s="115"/>
      <c r="AT703" s="115"/>
      <c r="AU703" s="115"/>
      <c r="AV703" s="115"/>
      <c r="AW703" s="115"/>
      <c r="AX703" s="115"/>
      <c r="AY703" s="115"/>
      <c r="AZ703" s="17"/>
      <c r="BA703" s="15"/>
      <c r="BD703" s="114"/>
    </row>
    <row r="704" spans="6:56" ht="19.5" x14ac:dyDescent="0.4"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26"/>
      <c r="AC704" s="15"/>
      <c r="AG704" s="115"/>
      <c r="AH704" s="117"/>
      <c r="AI704" s="123"/>
      <c r="AJ704" s="123"/>
      <c r="AK704" s="123"/>
      <c r="AL704" s="115"/>
      <c r="AM704" s="115"/>
      <c r="AN704" s="115"/>
      <c r="AO704" s="115"/>
      <c r="AP704" s="115"/>
      <c r="AQ704" s="115"/>
      <c r="AR704" s="115"/>
      <c r="AS704" s="115"/>
      <c r="AT704" s="115"/>
      <c r="AU704" s="115"/>
      <c r="AV704" s="115"/>
      <c r="AW704" s="115"/>
      <c r="AX704" s="115"/>
      <c r="AY704" s="115"/>
      <c r="AZ704" s="17"/>
      <c r="BA704" s="15"/>
      <c r="BD704" s="114"/>
    </row>
    <row r="705" spans="6:56" ht="19.5" x14ac:dyDescent="0.4">
      <c r="AB705" s="26"/>
      <c r="AC705" s="15"/>
      <c r="AG705" s="115"/>
      <c r="AH705" s="117"/>
      <c r="AI705" s="123"/>
      <c r="AJ705" s="123"/>
      <c r="AK705" s="123"/>
      <c r="AL705" s="115"/>
      <c r="AM705" s="115"/>
      <c r="AN705" s="115"/>
      <c r="AO705" s="115"/>
      <c r="AP705" s="115"/>
      <c r="AQ705" s="115"/>
      <c r="AR705" s="115"/>
      <c r="AS705" s="115"/>
      <c r="AT705" s="115"/>
      <c r="AU705" s="115"/>
      <c r="AV705" s="115"/>
      <c r="AW705" s="115"/>
      <c r="AX705" s="115"/>
      <c r="AY705" s="115"/>
      <c r="AZ705" s="26">
        <v>45278</v>
      </c>
      <c r="BA705" s="15" t="s">
        <v>164</v>
      </c>
      <c r="BD705" s="114"/>
    </row>
    <row r="706" spans="6:56" ht="19.5" x14ac:dyDescent="0.4">
      <c r="AB706" s="26"/>
      <c r="AC706" s="15"/>
      <c r="AG706" s="115"/>
      <c r="AH706" s="117"/>
      <c r="AI706" s="123"/>
      <c r="AJ706" s="123"/>
      <c r="AK706" s="123"/>
      <c r="AL706" s="115"/>
      <c r="AM706" s="115"/>
      <c r="AN706" s="115"/>
      <c r="AO706" s="115"/>
      <c r="AP706" s="115"/>
      <c r="AQ706" s="115"/>
      <c r="AR706" s="115"/>
      <c r="AS706" s="115"/>
      <c r="AT706" s="115"/>
      <c r="AU706" s="115"/>
      <c r="AV706" s="115"/>
      <c r="AW706" s="115"/>
      <c r="AX706" s="115"/>
      <c r="AY706" s="115"/>
      <c r="AZ706" s="26">
        <v>45278</v>
      </c>
      <c r="BA706" s="15" t="s">
        <v>164</v>
      </c>
      <c r="BD706" s="114"/>
    </row>
    <row r="707" spans="6:56" ht="19.5" x14ac:dyDescent="0.4"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26"/>
      <c r="AC707" s="15"/>
      <c r="AG707" s="115"/>
      <c r="AH707" s="117"/>
      <c r="AI707" s="123"/>
      <c r="AJ707" s="123"/>
      <c r="AK707" s="123"/>
      <c r="AL707" s="115"/>
      <c r="AM707" s="115"/>
      <c r="AN707" s="115"/>
      <c r="AO707" s="115"/>
      <c r="AP707" s="115"/>
      <c r="AQ707" s="115"/>
      <c r="AR707" s="115"/>
      <c r="AS707" s="115"/>
      <c r="AT707" s="115"/>
      <c r="AU707" s="115"/>
      <c r="AV707" s="115"/>
      <c r="AW707" s="115"/>
      <c r="AX707" s="115"/>
      <c r="AY707" s="115"/>
      <c r="AZ707" s="26"/>
      <c r="BA707" s="15"/>
      <c r="BD707" s="114"/>
    </row>
    <row r="708" spans="6:56" ht="19.5" x14ac:dyDescent="0.4">
      <c r="AB708" s="26"/>
      <c r="AC708" s="15"/>
      <c r="AG708" s="115"/>
      <c r="AH708" s="117"/>
      <c r="AI708" s="123"/>
      <c r="AJ708" s="123"/>
      <c r="AK708" s="123"/>
      <c r="AL708" s="115"/>
      <c r="AM708" s="115"/>
      <c r="AN708" s="115"/>
      <c r="AO708" s="115"/>
      <c r="AP708" s="115"/>
      <c r="AQ708" s="115"/>
      <c r="AR708" s="115"/>
      <c r="AS708" s="115"/>
      <c r="AT708" s="115"/>
      <c r="AU708" s="115"/>
      <c r="AV708" s="115"/>
      <c r="AW708" s="115"/>
      <c r="AX708" s="115"/>
      <c r="AY708" s="115"/>
      <c r="AZ708" s="26">
        <v>45278</v>
      </c>
      <c r="BA708" s="15" t="s">
        <v>162</v>
      </c>
      <c r="BD708" s="114"/>
    </row>
    <row r="709" spans="6:56" ht="19.5" x14ac:dyDescent="0.4">
      <c r="S709" s="115"/>
      <c r="T709" s="115"/>
      <c r="U709" s="115"/>
      <c r="V709" s="115"/>
      <c r="W709" s="115"/>
      <c r="X709" s="115"/>
      <c r="Y709" s="115"/>
      <c r="Z709" s="115"/>
      <c r="AA709" s="115"/>
      <c r="AB709" s="17"/>
      <c r="AC709" s="15"/>
      <c r="AG709" s="115"/>
      <c r="AH709" s="117"/>
      <c r="AI709" s="123"/>
      <c r="AJ709" s="123"/>
      <c r="AK709" s="123"/>
      <c r="AL709" s="115"/>
      <c r="AM709" s="115"/>
      <c r="AN709" s="115"/>
      <c r="AO709" s="115"/>
      <c r="AP709" s="115"/>
      <c r="AQ709" s="115"/>
      <c r="AR709" s="115"/>
      <c r="AS709" s="115"/>
      <c r="AT709" s="115"/>
      <c r="AU709" s="115"/>
      <c r="AV709" s="115"/>
      <c r="AW709" s="115"/>
      <c r="AX709" s="115"/>
      <c r="AY709" s="115"/>
      <c r="AZ709" s="26"/>
      <c r="BA709" s="15"/>
      <c r="BD709" s="114"/>
    </row>
    <row r="710" spans="6:56" ht="19.5" x14ac:dyDescent="0.4"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26"/>
      <c r="AC710" s="15"/>
      <c r="AG710" s="115"/>
      <c r="AH710" s="117"/>
      <c r="AI710" s="123"/>
      <c r="AJ710" s="123"/>
      <c r="AK710" s="123"/>
      <c r="AL710" s="115"/>
      <c r="AM710" s="115"/>
      <c r="AN710" s="115"/>
      <c r="AO710" s="115"/>
      <c r="AP710" s="115"/>
      <c r="AQ710" s="115"/>
      <c r="AR710" s="115"/>
      <c r="AS710" s="115"/>
      <c r="AT710" s="115"/>
      <c r="AU710" s="115"/>
      <c r="AV710" s="115"/>
      <c r="AW710" s="115"/>
      <c r="AX710" s="115"/>
      <c r="AY710" s="115"/>
      <c r="AZ710" s="26"/>
      <c r="BA710" s="15"/>
      <c r="BD710" s="114"/>
    </row>
    <row r="711" spans="6:56" ht="19.5" x14ac:dyDescent="0.4"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7"/>
      <c r="AC711" s="15"/>
      <c r="AG711" s="115"/>
      <c r="AH711" s="117"/>
      <c r="AI711" s="123"/>
      <c r="AJ711" s="123"/>
      <c r="AK711" s="123"/>
      <c r="AL711" s="115"/>
      <c r="AM711" s="115"/>
      <c r="AN711" s="115"/>
      <c r="AO711" s="115"/>
      <c r="AP711" s="115"/>
      <c r="AQ711" s="115"/>
      <c r="AR711" s="115"/>
      <c r="AS711" s="115"/>
      <c r="AT711" s="115"/>
      <c r="AU711" s="115"/>
      <c r="AV711" s="115"/>
      <c r="AW711" s="115"/>
      <c r="AX711" s="115"/>
      <c r="AY711" s="115"/>
      <c r="AZ711" s="26"/>
      <c r="BA711" s="15"/>
      <c r="BD711" s="114"/>
    </row>
    <row r="712" spans="6:56" ht="19.5" x14ac:dyDescent="0.4">
      <c r="AB712" s="26"/>
      <c r="AC712" s="15"/>
      <c r="AG712" s="115"/>
      <c r="AH712" s="117"/>
      <c r="AI712" s="123"/>
      <c r="AJ712" s="123"/>
      <c r="AK712" s="123"/>
      <c r="AL712" s="115"/>
      <c r="AM712" s="115"/>
      <c r="AN712" s="115"/>
      <c r="AO712" s="115"/>
      <c r="AP712" s="115"/>
      <c r="AQ712" s="115"/>
      <c r="AR712" s="115"/>
      <c r="AS712" s="115"/>
      <c r="AT712" s="115"/>
      <c r="AU712" s="115"/>
      <c r="AV712" s="115"/>
      <c r="AW712" s="115"/>
      <c r="AX712" s="115"/>
      <c r="AY712" s="115"/>
      <c r="AZ712" s="26">
        <v>45278</v>
      </c>
      <c r="BA712" s="15" t="s">
        <v>142</v>
      </c>
      <c r="BD712" s="114"/>
    </row>
    <row r="713" spans="6:56" ht="19.5" x14ac:dyDescent="0.4">
      <c r="AB713" s="26"/>
      <c r="AC713" s="15"/>
      <c r="AG713" s="115"/>
      <c r="AH713" s="117"/>
      <c r="AI713" s="123"/>
      <c r="AJ713" s="123"/>
      <c r="AK713" s="123"/>
      <c r="AL713" s="115"/>
      <c r="AM713" s="115"/>
      <c r="AN713" s="115"/>
      <c r="AO713" s="115"/>
      <c r="AP713" s="115"/>
      <c r="AQ713" s="115"/>
      <c r="AR713" s="115"/>
      <c r="AS713" s="115"/>
      <c r="AT713" s="115"/>
      <c r="AU713" s="115"/>
      <c r="AV713" s="115"/>
      <c r="AW713" s="115"/>
      <c r="AX713" s="115"/>
      <c r="AY713" s="115"/>
      <c r="AZ713" s="26">
        <v>45278</v>
      </c>
      <c r="BA713" s="15" t="s">
        <v>162</v>
      </c>
      <c r="BD713" s="114"/>
    </row>
    <row r="714" spans="6:56" ht="19.5" x14ac:dyDescent="0.4">
      <c r="AB714" s="26"/>
      <c r="AC714" s="15"/>
      <c r="AG714" s="115"/>
      <c r="AH714" s="117"/>
      <c r="AI714" s="123"/>
      <c r="AJ714" s="123"/>
      <c r="AK714" s="123"/>
      <c r="AL714" s="115"/>
      <c r="AM714" s="115"/>
      <c r="AN714" s="115"/>
      <c r="AO714" s="115"/>
      <c r="AP714" s="115"/>
      <c r="AQ714" s="115"/>
      <c r="AR714" s="115"/>
      <c r="AS714" s="115"/>
      <c r="AT714" s="115"/>
      <c r="AU714" s="115"/>
      <c r="AV714" s="115"/>
      <c r="AW714" s="115"/>
      <c r="AX714" s="115"/>
      <c r="AY714" s="115"/>
      <c r="AZ714" s="26">
        <v>45278</v>
      </c>
      <c r="BA714" s="15" t="s">
        <v>162</v>
      </c>
      <c r="BD714" s="114"/>
    </row>
    <row r="715" spans="6:56" ht="19.5" x14ac:dyDescent="0.4">
      <c r="S715" s="115"/>
      <c r="T715" s="115"/>
      <c r="U715" s="115"/>
      <c r="V715" s="115"/>
      <c r="W715" s="115"/>
      <c r="X715" s="115"/>
      <c r="Y715" s="115"/>
      <c r="Z715" s="115"/>
      <c r="AA715" s="115"/>
      <c r="AB715" s="17"/>
      <c r="AC715" s="15"/>
      <c r="AG715" s="115"/>
      <c r="AH715" s="117"/>
      <c r="AI715" s="123"/>
      <c r="AJ715" s="123"/>
      <c r="AK715" s="123"/>
      <c r="AL715" s="115"/>
      <c r="AM715" s="115"/>
      <c r="AN715" s="115"/>
      <c r="AO715" s="115"/>
      <c r="AP715" s="115"/>
      <c r="AQ715" s="115"/>
      <c r="AR715" s="115"/>
      <c r="AS715" s="115"/>
      <c r="AT715" s="115"/>
      <c r="AU715" s="115"/>
      <c r="AV715" s="115"/>
      <c r="AW715" s="115"/>
      <c r="AX715" s="115"/>
      <c r="AY715" s="115"/>
      <c r="AZ715" s="26"/>
      <c r="BA715" s="15"/>
      <c r="BD715" s="114"/>
    </row>
    <row r="716" spans="6:56" ht="19.5" x14ac:dyDescent="0.4"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26"/>
      <c r="AC716" s="15"/>
      <c r="AG716" s="115"/>
      <c r="AH716" s="117"/>
      <c r="AI716" s="123"/>
      <c r="AJ716" s="123"/>
      <c r="AK716" s="123"/>
      <c r="AL716" s="115"/>
      <c r="AM716" s="115"/>
      <c r="AN716" s="115"/>
      <c r="AO716" s="115"/>
      <c r="AP716" s="115"/>
      <c r="AQ716" s="115"/>
      <c r="AR716" s="115"/>
      <c r="AS716" s="115"/>
      <c r="AT716" s="115"/>
      <c r="AU716" s="115"/>
      <c r="AV716" s="115"/>
      <c r="AW716" s="115"/>
      <c r="AX716" s="115"/>
      <c r="AY716" s="115"/>
      <c r="AZ716" s="26"/>
      <c r="BA716" s="15"/>
      <c r="BD716" s="114"/>
    </row>
    <row r="717" spans="6:56" ht="19.5" x14ac:dyDescent="0.4"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26"/>
      <c r="AC717" s="15"/>
      <c r="AG717" s="115"/>
      <c r="AH717" s="117"/>
      <c r="AI717" s="123"/>
      <c r="AJ717" s="123"/>
      <c r="AK717" s="123"/>
      <c r="AL717" s="115"/>
      <c r="AM717" s="115"/>
      <c r="AN717" s="115"/>
      <c r="AO717" s="115"/>
      <c r="AP717" s="115"/>
      <c r="AQ717" s="115"/>
      <c r="AR717" s="115"/>
      <c r="AS717" s="115"/>
      <c r="AT717" s="115"/>
      <c r="AU717" s="115"/>
      <c r="AV717" s="115"/>
      <c r="AW717" s="115"/>
      <c r="AX717" s="115"/>
      <c r="AY717" s="115"/>
      <c r="AZ717" s="26"/>
      <c r="BA717" s="15"/>
      <c r="BD717" s="114"/>
    </row>
    <row r="718" spans="6:56" ht="19.5" x14ac:dyDescent="0.4"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7"/>
      <c r="AC718" s="15"/>
      <c r="AG718" s="115"/>
      <c r="AH718" s="117"/>
      <c r="AI718" s="123"/>
      <c r="AJ718" s="123"/>
      <c r="AK718" s="123"/>
      <c r="AL718" s="115"/>
      <c r="AM718" s="115"/>
      <c r="AN718" s="115"/>
      <c r="AO718" s="115"/>
      <c r="AP718" s="115"/>
      <c r="AQ718" s="115"/>
      <c r="AR718" s="115"/>
      <c r="AS718" s="115"/>
      <c r="AT718" s="115"/>
      <c r="AU718" s="115"/>
      <c r="AV718" s="115"/>
      <c r="AW718" s="115"/>
      <c r="AX718" s="115"/>
      <c r="AY718" s="115"/>
      <c r="AZ718" s="26"/>
      <c r="BA718" s="15"/>
      <c r="BD718" s="114"/>
    </row>
    <row r="719" spans="6:56" ht="19.5" x14ac:dyDescent="0.4"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26"/>
      <c r="AC719" s="15"/>
      <c r="AG719" s="115"/>
      <c r="AH719" s="117"/>
      <c r="AI719" s="123"/>
      <c r="AJ719" s="123"/>
      <c r="AK719" s="123"/>
      <c r="AL719" s="115"/>
      <c r="AM719" s="115"/>
      <c r="AN719" s="115"/>
      <c r="AO719" s="115"/>
      <c r="AP719" s="115"/>
      <c r="AQ719" s="115"/>
      <c r="AR719" s="115"/>
      <c r="AS719" s="115"/>
      <c r="AT719" s="115"/>
      <c r="AU719" s="115"/>
      <c r="AV719" s="115"/>
      <c r="AW719" s="115"/>
      <c r="AX719" s="115"/>
      <c r="AY719" s="115"/>
      <c r="AZ719" s="26"/>
      <c r="BA719" s="15"/>
      <c r="BD719" s="114"/>
    </row>
    <row r="720" spans="6:56" ht="19.5" x14ac:dyDescent="0.4">
      <c r="AB720" s="26"/>
      <c r="AC720" s="15"/>
      <c r="AG720" s="115"/>
      <c r="AH720" s="117"/>
      <c r="AI720" s="123"/>
      <c r="AJ720" s="123"/>
      <c r="AK720" s="123"/>
      <c r="AL720" s="115"/>
      <c r="AM720" s="115"/>
      <c r="AN720" s="115"/>
      <c r="AO720" s="115"/>
      <c r="AP720" s="115"/>
      <c r="AQ720" s="115"/>
      <c r="AR720" s="115"/>
      <c r="AS720" s="115"/>
      <c r="AT720" s="115"/>
      <c r="AU720" s="115"/>
      <c r="AV720" s="115"/>
      <c r="AW720" s="115"/>
      <c r="AX720" s="115"/>
      <c r="AY720" s="115"/>
      <c r="AZ720" s="26">
        <v>45278</v>
      </c>
      <c r="BA720" s="15" t="s">
        <v>162</v>
      </c>
      <c r="BD720" s="114"/>
    </row>
    <row r="721" spans="6:56" ht="19.5" x14ac:dyDescent="0.4"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26"/>
      <c r="AC721" s="15"/>
      <c r="AG721" s="115"/>
      <c r="AH721" s="117"/>
      <c r="AI721" s="123"/>
      <c r="AJ721" s="123"/>
      <c r="AK721" s="123"/>
      <c r="AL721" s="115"/>
      <c r="AM721" s="115"/>
      <c r="AN721" s="115"/>
      <c r="AO721" s="115"/>
      <c r="AP721" s="115"/>
      <c r="AQ721" s="115"/>
      <c r="AR721" s="115"/>
      <c r="AS721" s="115"/>
      <c r="AT721" s="115"/>
      <c r="AU721" s="115"/>
      <c r="AV721" s="115"/>
      <c r="AW721" s="115"/>
      <c r="AX721" s="115"/>
      <c r="AY721" s="115"/>
      <c r="AZ721" s="26"/>
      <c r="BA721" s="15"/>
      <c r="BD721" s="114"/>
    </row>
    <row r="722" spans="6:56" ht="19.5" x14ac:dyDescent="0.4">
      <c r="AB722" s="26"/>
      <c r="AC722" s="15"/>
      <c r="AG722" s="115"/>
      <c r="AH722" s="117"/>
      <c r="AI722" s="123"/>
      <c r="AJ722" s="123"/>
      <c r="AK722" s="123"/>
      <c r="AL722" s="115"/>
      <c r="AM722" s="115"/>
      <c r="AN722" s="115"/>
      <c r="AO722" s="115"/>
      <c r="AP722" s="115"/>
      <c r="AQ722" s="115"/>
      <c r="AR722" s="115"/>
      <c r="AS722" s="115"/>
      <c r="AT722" s="115"/>
      <c r="AU722" s="115"/>
      <c r="AV722" s="115"/>
      <c r="AW722" s="115"/>
      <c r="AX722" s="115"/>
      <c r="AY722" s="115"/>
      <c r="AZ722" s="26">
        <v>45278</v>
      </c>
      <c r="BA722" s="15" t="s">
        <v>163</v>
      </c>
      <c r="BD722" s="114"/>
    </row>
    <row r="723" spans="6:56" ht="19.5" x14ac:dyDescent="0.4">
      <c r="AB723" s="26"/>
      <c r="AC723" s="15"/>
      <c r="AG723" s="115"/>
      <c r="AH723" s="117"/>
      <c r="AI723" s="123"/>
      <c r="AJ723" s="123"/>
      <c r="AK723" s="123"/>
      <c r="AL723" s="115"/>
      <c r="AM723" s="115"/>
      <c r="AN723" s="115"/>
      <c r="AO723" s="115"/>
      <c r="AP723" s="115"/>
      <c r="AQ723" s="115"/>
      <c r="AR723" s="115"/>
      <c r="AS723" s="115"/>
      <c r="AT723" s="115"/>
      <c r="AU723" s="115"/>
      <c r="AV723" s="115"/>
      <c r="AW723" s="115"/>
      <c r="AX723" s="115"/>
      <c r="AY723" s="115"/>
      <c r="AZ723" s="26">
        <v>45278</v>
      </c>
      <c r="BA723" s="105" t="s">
        <v>163</v>
      </c>
      <c r="BD723" s="114"/>
    </row>
    <row r="724" spans="6:56" ht="19.5" x14ac:dyDescent="0.4">
      <c r="AB724" s="25"/>
      <c r="AC724" s="13"/>
      <c r="AG724" s="115"/>
      <c r="AH724" s="117"/>
      <c r="AI724" s="123"/>
      <c r="AJ724" s="123"/>
      <c r="AK724" s="123"/>
      <c r="AL724" s="115"/>
      <c r="AM724" s="115"/>
      <c r="AN724" s="115"/>
      <c r="AO724" s="115"/>
      <c r="AP724" s="115"/>
      <c r="AQ724" s="115"/>
      <c r="AR724" s="115"/>
      <c r="AS724" s="115"/>
      <c r="AT724" s="115"/>
      <c r="AU724" s="115"/>
      <c r="AV724" s="115"/>
      <c r="AW724" s="115"/>
      <c r="AX724" s="115"/>
      <c r="AY724" s="115"/>
      <c r="AZ724" s="26">
        <v>45278</v>
      </c>
      <c r="BA724" s="15" t="s">
        <v>163</v>
      </c>
      <c r="BD724" s="114"/>
    </row>
    <row r="725" spans="6:56" ht="19.5" x14ac:dyDescent="0.4"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25"/>
      <c r="AC725" s="13"/>
      <c r="AG725" s="115"/>
      <c r="AH725" s="117"/>
      <c r="AI725" s="123"/>
      <c r="AJ725" s="123"/>
      <c r="AK725" s="123"/>
      <c r="AL725" s="115"/>
      <c r="AM725" s="115"/>
      <c r="AN725" s="115"/>
      <c r="AO725" s="115"/>
      <c r="AP725" s="115"/>
      <c r="AQ725" s="115"/>
      <c r="AR725" s="115"/>
      <c r="AS725" s="115"/>
      <c r="AT725" s="115"/>
      <c r="AU725" s="115"/>
      <c r="AV725" s="115"/>
      <c r="AW725" s="115"/>
      <c r="AX725" s="115"/>
      <c r="AY725" s="115"/>
      <c r="AZ725" s="26"/>
      <c r="BA725" s="15"/>
      <c r="BD725" s="114"/>
    </row>
    <row r="726" spans="6:56" ht="19.5" x14ac:dyDescent="0.4"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  <c r="AB726" s="25"/>
      <c r="AC726" s="13"/>
      <c r="AG726" s="115"/>
      <c r="AH726" s="117"/>
      <c r="AI726" s="123"/>
      <c r="AJ726" s="123"/>
      <c r="AK726" s="123"/>
      <c r="AL726" s="115"/>
      <c r="AM726" s="115"/>
      <c r="AN726" s="115"/>
      <c r="AO726" s="115"/>
      <c r="AP726" s="115"/>
      <c r="AQ726" s="115"/>
      <c r="AR726" s="115"/>
      <c r="AS726" s="115"/>
      <c r="AT726" s="115"/>
      <c r="AU726" s="115"/>
      <c r="AV726" s="115"/>
      <c r="AW726" s="115"/>
      <c r="AX726" s="115"/>
      <c r="AY726" s="115"/>
      <c r="AZ726" s="26"/>
      <c r="BA726" s="15"/>
      <c r="BD726" s="114"/>
    </row>
    <row r="727" spans="6:56" ht="19.5" x14ac:dyDescent="0.4"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25"/>
      <c r="AC727" s="13"/>
      <c r="AG727" s="115"/>
      <c r="AH727" s="117"/>
      <c r="AI727" s="123"/>
      <c r="AJ727" s="123"/>
      <c r="AK727" s="123"/>
      <c r="AL727" s="115"/>
      <c r="AM727" s="115"/>
      <c r="AN727" s="115"/>
      <c r="AO727" s="115"/>
      <c r="AP727" s="115"/>
      <c r="AQ727" s="115"/>
      <c r="AR727" s="115"/>
      <c r="AS727" s="115"/>
      <c r="AT727" s="115"/>
      <c r="AU727" s="115"/>
      <c r="AV727" s="115"/>
      <c r="AW727" s="115"/>
      <c r="AX727" s="115"/>
      <c r="AY727" s="115"/>
      <c r="AZ727" s="26"/>
      <c r="BA727" s="15"/>
      <c r="BD727" s="114"/>
    </row>
    <row r="728" spans="6:56" ht="19.5" x14ac:dyDescent="0.4"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25"/>
      <c r="AC728" s="13"/>
      <c r="AG728" s="115"/>
      <c r="AH728" s="117"/>
      <c r="AI728" s="123"/>
      <c r="AJ728" s="123"/>
      <c r="AK728" s="123"/>
      <c r="AL728" s="115"/>
      <c r="AM728" s="115"/>
      <c r="AN728" s="115"/>
      <c r="AO728" s="115"/>
      <c r="AP728" s="115"/>
      <c r="AQ728" s="115"/>
      <c r="AR728" s="115"/>
      <c r="AS728" s="115"/>
      <c r="AT728" s="115"/>
      <c r="AU728" s="115"/>
      <c r="AV728" s="115"/>
      <c r="AW728" s="115"/>
      <c r="AX728" s="115"/>
      <c r="AY728" s="115"/>
      <c r="AZ728" s="26"/>
      <c r="BA728" s="15"/>
      <c r="BD728" s="114"/>
    </row>
    <row r="729" spans="6:56" ht="19.5" x14ac:dyDescent="0.4"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25"/>
      <c r="AC729" s="13"/>
      <c r="AG729" s="115"/>
      <c r="AH729" s="117"/>
      <c r="AI729" s="123"/>
      <c r="AJ729" s="123"/>
      <c r="AK729" s="123"/>
      <c r="AL729" s="115"/>
      <c r="AM729" s="115"/>
      <c r="AN729" s="115"/>
      <c r="AO729" s="115"/>
      <c r="AP729" s="115"/>
      <c r="AQ729" s="115"/>
      <c r="AR729" s="115"/>
      <c r="AS729" s="115"/>
      <c r="AT729" s="115"/>
      <c r="AU729" s="115"/>
      <c r="AV729" s="115"/>
      <c r="AW729" s="115"/>
      <c r="AX729" s="115"/>
      <c r="AY729" s="115"/>
      <c r="AZ729" s="26"/>
      <c r="BA729" s="15"/>
      <c r="BD729" s="114"/>
    </row>
    <row r="730" spans="6:56" ht="19.5" x14ac:dyDescent="0.4"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25"/>
      <c r="AC730" s="13"/>
      <c r="AG730" s="115"/>
      <c r="AH730" s="117"/>
      <c r="AI730" s="123"/>
      <c r="AJ730" s="123"/>
      <c r="AK730" s="123"/>
      <c r="AL730" s="115"/>
      <c r="AM730" s="115"/>
      <c r="AN730" s="115"/>
      <c r="AO730" s="115"/>
      <c r="AP730" s="115"/>
      <c r="AQ730" s="115"/>
      <c r="AR730" s="115"/>
      <c r="AS730" s="115"/>
      <c r="AT730" s="115"/>
      <c r="AU730" s="115"/>
      <c r="AV730" s="115"/>
      <c r="AW730" s="115"/>
      <c r="AX730" s="115"/>
      <c r="AY730" s="115"/>
      <c r="AZ730" s="26"/>
      <c r="BA730" s="15"/>
      <c r="BD730" s="114"/>
    </row>
    <row r="731" spans="6:56" ht="19.5" x14ac:dyDescent="0.4">
      <c r="AB731" s="25"/>
      <c r="AC731" s="13"/>
      <c r="AG731" s="115"/>
      <c r="AH731" s="117"/>
      <c r="AI731" s="123"/>
      <c r="AJ731" s="123"/>
      <c r="AK731" s="123"/>
      <c r="AL731" s="115"/>
      <c r="AM731" s="115"/>
      <c r="AN731" s="115"/>
      <c r="AO731" s="115"/>
      <c r="AP731" s="115"/>
      <c r="AQ731" s="115"/>
      <c r="AR731" s="115"/>
      <c r="AS731" s="115"/>
      <c r="AT731" s="115"/>
      <c r="AU731" s="115"/>
      <c r="AV731" s="115"/>
      <c r="AW731" s="115"/>
      <c r="AX731" s="115"/>
      <c r="AY731" s="115"/>
      <c r="AZ731" s="26">
        <v>45278</v>
      </c>
      <c r="BA731" s="15" t="s">
        <v>163</v>
      </c>
      <c r="BD731" s="114"/>
    </row>
    <row r="732" spans="6:56" ht="19.5" x14ac:dyDescent="0.4">
      <c r="AB732" s="25"/>
      <c r="AC732" s="13"/>
      <c r="AG732" s="115"/>
      <c r="AH732" s="117"/>
      <c r="AI732" s="123"/>
      <c r="AJ732" s="123"/>
      <c r="AK732" s="123"/>
      <c r="AL732" s="115"/>
      <c r="AM732" s="115"/>
      <c r="AN732" s="115"/>
      <c r="AO732" s="115"/>
      <c r="AP732" s="115"/>
      <c r="AQ732" s="115"/>
      <c r="AR732" s="115"/>
      <c r="AS732" s="115"/>
      <c r="AT732" s="115"/>
      <c r="AU732" s="115"/>
      <c r="AV732" s="115"/>
      <c r="AW732" s="115"/>
      <c r="AX732" s="115"/>
      <c r="AY732" s="115"/>
      <c r="AZ732" s="26"/>
      <c r="BA732" s="15"/>
      <c r="BD732" s="114"/>
    </row>
    <row r="733" spans="6:56" ht="19.5" x14ac:dyDescent="0.4">
      <c r="S733" s="115"/>
      <c r="T733" s="115"/>
      <c r="U733" s="115"/>
      <c r="V733" s="115"/>
      <c r="W733" s="115"/>
      <c r="X733" s="115"/>
      <c r="Y733" s="115"/>
      <c r="Z733" s="115"/>
      <c r="AA733" s="115"/>
      <c r="AB733" s="13"/>
      <c r="AC733" s="13"/>
      <c r="AG733" s="115"/>
      <c r="AH733" s="117"/>
      <c r="AI733" s="123"/>
      <c r="AJ733" s="123"/>
      <c r="AK733" s="123"/>
      <c r="AL733" s="115"/>
      <c r="AM733" s="115"/>
      <c r="AN733" s="115"/>
      <c r="AO733" s="115"/>
      <c r="AP733" s="115"/>
      <c r="AQ733" s="115"/>
      <c r="AR733" s="115"/>
      <c r="AS733" s="115"/>
      <c r="AT733" s="115"/>
      <c r="AU733" s="115"/>
      <c r="AV733" s="115"/>
      <c r="AW733" s="115"/>
      <c r="AX733" s="115"/>
      <c r="AY733" s="115"/>
      <c r="AZ733" s="26"/>
      <c r="BA733" s="15"/>
      <c r="BD733" s="114"/>
    </row>
    <row r="734" spans="6:56" ht="19.5" x14ac:dyDescent="0.4">
      <c r="AB734" s="25"/>
      <c r="AC734" s="13"/>
      <c r="AG734" s="115"/>
      <c r="AH734" s="117"/>
      <c r="AI734" s="123"/>
      <c r="AJ734" s="123"/>
      <c r="AK734" s="123"/>
      <c r="AL734" s="115"/>
      <c r="AM734" s="115"/>
      <c r="AN734" s="115"/>
      <c r="AO734" s="115"/>
      <c r="AP734" s="115"/>
      <c r="AQ734" s="115"/>
      <c r="AR734" s="115"/>
      <c r="AS734" s="115"/>
      <c r="AT734" s="115"/>
      <c r="AU734" s="115"/>
      <c r="AV734" s="115"/>
      <c r="AW734" s="115"/>
      <c r="AX734" s="115"/>
      <c r="AY734" s="115"/>
      <c r="AZ734" s="26">
        <v>45278</v>
      </c>
      <c r="BA734" s="15" t="s">
        <v>163</v>
      </c>
      <c r="BD734" s="114"/>
    </row>
    <row r="735" spans="6:56" ht="19.5" x14ac:dyDescent="0.4">
      <c r="S735" s="115"/>
      <c r="T735" s="115"/>
      <c r="U735" s="115"/>
      <c r="V735" s="115"/>
      <c r="W735" s="115"/>
      <c r="X735" s="115"/>
      <c r="Y735" s="115"/>
      <c r="Z735" s="115"/>
      <c r="AA735" s="115"/>
      <c r="AB735" s="13"/>
      <c r="AC735" s="13"/>
      <c r="AG735" s="115"/>
      <c r="AH735" s="117"/>
      <c r="AI735" s="123"/>
      <c r="AJ735" s="123"/>
      <c r="AK735" s="123"/>
      <c r="AL735" s="115"/>
      <c r="AM735" s="115"/>
      <c r="AN735" s="115"/>
      <c r="AO735" s="115"/>
      <c r="AP735" s="115"/>
      <c r="AQ735" s="115"/>
      <c r="AR735" s="115"/>
      <c r="AS735" s="115"/>
      <c r="AT735" s="115"/>
      <c r="AU735" s="115"/>
      <c r="AV735" s="115"/>
      <c r="AW735" s="115"/>
      <c r="AX735" s="115"/>
      <c r="AY735" s="115"/>
      <c r="AZ735" s="26"/>
      <c r="BA735" s="13"/>
      <c r="BD735" s="114"/>
    </row>
    <row r="736" spans="6:56" ht="19.5" x14ac:dyDescent="0.4">
      <c r="AB736" s="25"/>
      <c r="AC736" s="13"/>
      <c r="AG736" s="115"/>
      <c r="AH736" s="117"/>
      <c r="AI736" s="123"/>
      <c r="AJ736" s="123"/>
      <c r="AK736" s="123"/>
      <c r="AL736" s="115"/>
      <c r="AM736" s="115"/>
      <c r="AN736" s="115"/>
      <c r="AO736" s="115"/>
      <c r="AP736" s="115"/>
      <c r="AQ736" s="115"/>
      <c r="AR736" s="115"/>
      <c r="AS736" s="115"/>
      <c r="AT736" s="115"/>
      <c r="AU736" s="115"/>
      <c r="AV736" s="115"/>
      <c r="AW736" s="115"/>
      <c r="AX736" s="115"/>
      <c r="AY736" s="115" t="s">
        <v>153</v>
      </c>
      <c r="AZ736" s="17">
        <f>SUBTOTAL(3,AZ705:AZ734)</f>
        <v>12</v>
      </c>
      <c r="BA736" s="13">
        <f>SUBTOTAL(3,BA705:BA734)</f>
        <v>12</v>
      </c>
      <c r="BD736" s="114"/>
    </row>
    <row r="737" spans="19:56" ht="19.5" x14ac:dyDescent="0.4">
      <c r="S737" s="115"/>
      <c r="T737" s="115"/>
      <c r="U737" s="115"/>
      <c r="V737" s="115"/>
      <c r="W737" s="115"/>
      <c r="X737" s="115"/>
      <c r="Y737" s="115"/>
      <c r="Z737" s="115"/>
      <c r="AA737" s="115"/>
      <c r="AB737" s="13"/>
      <c r="AC737" s="13"/>
      <c r="AG737" s="115"/>
      <c r="AH737" s="117"/>
      <c r="AI737" s="123"/>
      <c r="AJ737" s="123"/>
      <c r="AK737" s="123"/>
      <c r="AL737" s="115"/>
      <c r="AM737" s="115"/>
      <c r="AN737" s="115"/>
      <c r="AO737" s="115"/>
      <c r="AP737" s="115"/>
      <c r="AQ737" s="115"/>
      <c r="AR737" s="115"/>
      <c r="AS737" s="115"/>
      <c r="AT737" s="115"/>
      <c r="AU737" s="115"/>
      <c r="AV737" s="115"/>
      <c r="AW737" s="115"/>
      <c r="AX737" s="115"/>
      <c r="AY737" s="115"/>
      <c r="AZ737" s="17"/>
      <c r="BA737" s="13"/>
      <c r="BD737" s="114"/>
    </row>
    <row r="738" spans="19:56" ht="19.5" x14ac:dyDescent="0.4">
      <c r="AB738" s="25"/>
      <c r="AC738" s="13"/>
      <c r="AG738" s="115"/>
      <c r="AH738" s="117"/>
      <c r="AI738" s="123"/>
      <c r="AJ738" s="123"/>
      <c r="AK738" s="123"/>
      <c r="AL738" s="115"/>
      <c r="AM738" s="115"/>
      <c r="AN738" s="115"/>
      <c r="AO738" s="115"/>
      <c r="AP738" s="115"/>
      <c r="AQ738" s="115"/>
      <c r="AR738" s="115"/>
      <c r="AS738" s="115"/>
      <c r="AT738" s="115"/>
      <c r="AU738" s="115"/>
      <c r="AV738" s="115"/>
      <c r="AW738" s="115"/>
      <c r="AX738" s="115"/>
      <c r="AY738" s="115"/>
      <c r="AZ738" s="26">
        <v>45279</v>
      </c>
      <c r="BA738" s="25" t="s">
        <v>162</v>
      </c>
      <c r="BD738" s="114"/>
    </row>
    <row r="739" spans="19:56" ht="19.5" x14ac:dyDescent="0.4">
      <c r="AB739" s="25"/>
      <c r="AC739" s="13"/>
      <c r="AG739" s="115"/>
      <c r="AH739" s="117"/>
      <c r="AI739" s="123"/>
      <c r="AJ739" s="123"/>
      <c r="AK739" s="123"/>
      <c r="AL739" s="115"/>
      <c r="AM739" s="115"/>
      <c r="AN739" s="115"/>
      <c r="AO739" s="115"/>
      <c r="AP739" s="115"/>
      <c r="AQ739" s="115"/>
      <c r="AR739" s="115"/>
      <c r="AS739" s="115"/>
      <c r="AT739" s="115"/>
      <c r="AU739" s="115"/>
      <c r="AV739" s="115"/>
      <c r="AW739" s="115"/>
      <c r="AX739" s="115"/>
      <c r="AY739" s="115"/>
      <c r="AZ739" s="26">
        <v>45279</v>
      </c>
      <c r="BA739" s="13" t="s">
        <v>162</v>
      </c>
      <c r="BD739" s="114"/>
    </row>
    <row r="740" spans="19:56" ht="19.5" x14ac:dyDescent="0.4">
      <c r="S740" s="115"/>
      <c r="T740" s="115"/>
      <c r="U740" s="115"/>
      <c r="V740" s="115"/>
      <c r="W740" s="115"/>
      <c r="X740" s="115"/>
      <c r="Y740" s="115"/>
      <c r="Z740" s="115"/>
      <c r="AA740" s="115"/>
      <c r="AB740" s="20"/>
      <c r="AC740" s="13"/>
      <c r="AG740" s="115"/>
      <c r="AH740" s="117"/>
      <c r="AI740" s="123"/>
      <c r="AJ740" s="123"/>
      <c r="AK740" s="123"/>
      <c r="AL740" s="115"/>
      <c r="AM740" s="115"/>
      <c r="AN740" s="115"/>
      <c r="AO740" s="115"/>
      <c r="AP740" s="115"/>
      <c r="AQ740" s="115"/>
      <c r="AR740" s="115"/>
      <c r="AS740" s="115"/>
      <c r="AT740" s="115"/>
      <c r="AU740" s="115"/>
      <c r="AV740" s="115"/>
      <c r="AW740" s="115"/>
      <c r="AX740" s="115"/>
      <c r="AY740" s="115"/>
      <c r="AZ740" s="26"/>
      <c r="BA740" s="13"/>
      <c r="BD740" s="114"/>
    </row>
    <row r="741" spans="19:56" ht="19.5" x14ac:dyDescent="0.4">
      <c r="S741" s="115"/>
      <c r="T741" s="115"/>
      <c r="U741" s="115"/>
      <c r="V741" s="115"/>
      <c r="W741" s="115"/>
      <c r="X741" s="115"/>
      <c r="Y741" s="115"/>
      <c r="Z741" s="115"/>
      <c r="AA741" s="115"/>
      <c r="AB741" s="20"/>
      <c r="AC741" s="13"/>
      <c r="AG741" s="115"/>
      <c r="AH741" s="117"/>
      <c r="AI741" s="123"/>
      <c r="AJ741" s="123"/>
      <c r="AK741" s="123"/>
      <c r="AL741" s="115"/>
      <c r="AM741" s="115"/>
      <c r="AN741" s="115"/>
      <c r="AO741" s="115"/>
      <c r="AP741" s="115"/>
      <c r="AQ741" s="115"/>
      <c r="AR741" s="115"/>
      <c r="AS741" s="115"/>
      <c r="AT741" s="115"/>
      <c r="AU741" s="115"/>
      <c r="AV741" s="115"/>
      <c r="AW741" s="115"/>
      <c r="AX741" s="115"/>
      <c r="AY741" s="115"/>
      <c r="AZ741" s="26"/>
      <c r="BA741" s="13"/>
      <c r="BD741" s="114"/>
    </row>
    <row r="742" spans="19:56" ht="19.5" x14ac:dyDescent="0.4">
      <c r="AB742" s="26"/>
      <c r="AC742" s="13"/>
      <c r="AG742" s="115"/>
      <c r="AH742" s="117"/>
      <c r="AI742" s="123"/>
      <c r="AJ742" s="123"/>
      <c r="AK742" s="123"/>
      <c r="AL742" s="115"/>
      <c r="AM742" s="115"/>
      <c r="AN742" s="115"/>
      <c r="AO742" s="115"/>
      <c r="AP742" s="115"/>
      <c r="AQ742" s="115"/>
      <c r="AR742" s="115"/>
      <c r="AS742" s="115"/>
      <c r="AT742" s="115"/>
      <c r="AU742" s="115"/>
      <c r="AV742" s="115"/>
      <c r="AW742" s="115"/>
      <c r="AX742" s="115"/>
      <c r="AY742" s="115"/>
      <c r="AZ742" s="26">
        <v>45279</v>
      </c>
      <c r="BA742" s="13" t="s">
        <v>162</v>
      </c>
      <c r="BD742" s="114"/>
    </row>
    <row r="743" spans="19:56" ht="19.5" x14ac:dyDescent="0.4">
      <c r="AB743" s="26"/>
      <c r="AC743" s="13"/>
      <c r="AG743" s="115"/>
      <c r="AH743" s="117"/>
      <c r="AI743" s="123"/>
      <c r="AJ743" s="123"/>
      <c r="AK743" s="123"/>
      <c r="AL743" s="115"/>
      <c r="AM743" s="115"/>
      <c r="AN743" s="115"/>
      <c r="AO743" s="115"/>
      <c r="AP743" s="115"/>
      <c r="AQ743" s="115"/>
      <c r="AR743" s="115"/>
      <c r="AS743" s="115"/>
      <c r="AT743" s="115"/>
      <c r="AU743" s="115"/>
      <c r="AV743" s="115"/>
      <c r="AW743" s="115"/>
      <c r="AX743" s="115"/>
      <c r="AY743" s="115"/>
      <c r="AZ743" s="26">
        <v>45279</v>
      </c>
      <c r="BA743" s="13" t="s">
        <v>162</v>
      </c>
      <c r="BD743" s="114"/>
    </row>
    <row r="744" spans="19:56" ht="19.5" x14ac:dyDescent="0.4">
      <c r="AB744" s="129"/>
      <c r="AC744" s="13"/>
      <c r="AG744" s="115"/>
      <c r="AH744" s="117"/>
      <c r="AI744" s="123"/>
      <c r="AJ744" s="123"/>
      <c r="AK744" s="123"/>
      <c r="AL744" s="115"/>
      <c r="AM744" s="115"/>
      <c r="AN744" s="115"/>
      <c r="AO744" s="115"/>
      <c r="AP744" s="115"/>
      <c r="AQ744" s="115"/>
      <c r="AR744" s="115"/>
      <c r="AS744" s="115"/>
      <c r="AT744" s="115"/>
      <c r="AU744" s="115"/>
      <c r="AV744" s="115"/>
      <c r="AW744" s="115"/>
      <c r="AX744" s="115"/>
      <c r="AY744" s="115"/>
      <c r="AZ744" s="26"/>
      <c r="BA744" s="13"/>
      <c r="BD744" s="114"/>
    </row>
    <row r="745" spans="19:56" ht="19.5" x14ac:dyDescent="0.4">
      <c r="AB745" s="26"/>
      <c r="AC745" s="13"/>
      <c r="AG745" s="115"/>
      <c r="AH745" s="117"/>
      <c r="AI745" s="123"/>
      <c r="AJ745" s="123"/>
      <c r="AK745" s="123"/>
      <c r="AL745" s="115"/>
      <c r="AM745" s="115"/>
      <c r="AN745" s="115"/>
      <c r="AO745" s="115"/>
      <c r="AP745" s="115"/>
      <c r="AQ745" s="115"/>
      <c r="AR745" s="115"/>
      <c r="AS745" s="115"/>
      <c r="AT745" s="115"/>
      <c r="AU745" s="115"/>
      <c r="AV745" s="115"/>
      <c r="AW745" s="115"/>
      <c r="AX745" s="115"/>
      <c r="AY745" s="115"/>
      <c r="AZ745" s="26">
        <v>45279</v>
      </c>
      <c r="BA745" s="13" t="s">
        <v>162</v>
      </c>
      <c r="BD745" s="114"/>
    </row>
    <row r="746" spans="19:56" ht="19.5" x14ac:dyDescent="0.4">
      <c r="AB746" s="26"/>
      <c r="AC746" s="13"/>
      <c r="AG746" s="115"/>
      <c r="AH746" s="117"/>
      <c r="AI746" s="123"/>
      <c r="AJ746" s="123"/>
      <c r="AK746" s="123"/>
      <c r="AL746" s="115"/>
      <c r="AM746" s="115"/>
      <c r="AN746" s="115"/>
      <c r="AO746" s="115"/>
      <c r="AP746" s="115"/>
      <c r="AQ746" s="115"/>
      <c r="AR746" s="115"/>
      <c r="AS746" s="115"/>
      <c r="AT746" s="115"/>
      <c r="AU746" s="115"/>
      <c r="AV746" s="115"/>
      <c r="AW746" s="115"/>
      <c r="AX746" s="115"/>
      <c r="AY746" s="115"/>
      <c r="AZ746" s="26">
        <v>45279</v>
      </c>
      <c r="BA746" s="13" t="s">
        <v>162</v>
      </c>
      <c r="BD746" s="114"/>
    </row>
    <row r="747" spans="19:56" ht="19.5" x14ac:dyDescent="0.4">
      <c r="AB747" s="26"/>
      <c r="AC747" s="13"/>
      <c r="AG747" s="115"/>
      <c r="AH747" s="117"/>
      <c r="AI747" s="123"/>
      <c r="AJ747" s="123"/>
      <c r="AK747" s="123"/>
      <c r="AL747" s="115"/>
      <c r="AM747" s="115"/>
      <c r="AN747" s="115"/>
      <c r="AO747" s="115"/>
      <c r="AP747" s="115"/>
      <c r="AQ747" s="115"/>
      <c r="AR747" s="115"/>
      <c r="AS747" s="115"/>
      <c r="AT747" s="115"/>
      <c r="AU747" s="115"/>
      <c r="AV747" s="115"/>
      <c r="AW747" s="115"/>
      <c r="AX747" s="115"/>
      <c r="AY747" s="115" t="s">
        <v>170</v>
      </c>
      <c r="AZ747" s="17">
        <f>SUBTOTAL(3,AZ738:AZ746)</f>
        <v>6</v>
      </c>
      <c r="BA747" s="13">
        <f>SUBTOTAL(3,BA738:BA746)</f>
        <v>6</v>
      </c>
      <c r="BD747" s="114"/>
    </row>
    <row r="748" spans="19:56" ht="19.5" x14ac:dyDescent="0.4">
      <c r="AB748" s="129"/>
      <c r="AC748" s="13"/>
      <c r="AG748" s="115"/>
      <c r="AH748" s="117"/>
      <c r="AI748" s="123"/>
      <c r="AJ748" s="123"/>
      <c r="AK748" s="123"/>
      <c r="AL748" s="115"/>
      <c r="AM748" s="115"/>
      <c r="AN748" s="115"/>
      <c r="AO748" s="115"/>
      <c r="AP748" s="115"/>
      <c r="AQ748" s="115"/>
      <c r="AR748" s="115"/>
      <c r="AS748" s="115"/>
      <c r="AT748" s="115"/>
      <c r="AU748" s="115"/>
      <c r="AV748" s="115"/>
      <c r="AW748" s="115"/>
      <c r="AX748" s="115"/>
      <c r="AY748" s="115"/>
      <c r="AZ748" s="17"/>
      <c r="BA748" s="13"/>
      <c r="BD748" s="114"/>
    </row>
    <row r="749" spans="19:56" ht="19.5" x14ac:dyDescent="0.4">
      <c r="AB749" s="26"/>
      <c r="AC749" s="13"/>
      <c r="AG749" s="115"/>
      <c r="AH749" s="117"/>
      <c r="AI749" s="123"/>
      <c r="AJ749" s="123"/>
      <c r="AK749" s="123"/>
      <c r="AL749" s="115"/>
      <c r="AM749" s="115"/>
      <c r="AN749" s="115"/>
      <c r="AO749" s="115"/>
      <c r="AP749" s="115"/>
      <c r="AQ749" s="115"/>
      <c r="AR749" s="115"/>
      <c r="AS749" s="115"/>
      <c r="AT749" s="115"/>
      <c r="AU749" s="115"/>
      <c r="AV749" s="115"/>
      <c r="AW749" s="115"/>
      <c r="AX749" s="115"/>
      <c r="AY749" s="115"/>
      <c r="AZ749" s="26">
        <v>45280</v>
      </c>
      <c r="BA749" s="13" t="s">
        <v>162</v>
      </c>
      <c r="BD749" s="114"/>
    </row>
    <row r="750" spans="19:56" ht="19.5" x14ac:dyDescent="0.4">
      <c r="AB750" s="26"/>
      <c r="AC750" s="13"/>
      <c r="AG750" s="115"/>
      <c r="AH750" s="116"/>
      <c r="AI750" s="123"/>
      <c r="AJ750" s="123"/>
      <c r="AK750" s="123"/>
      <c r="AL750" s="115"/>
      <c r="AM750" s="115"/>
      <c r="AN750" s="115"/>
      <c r="AO750" s="115"/>
      <c r="AP750" s="115"/>
      <c r="AQ750" s="115"/>
      <c r="AR750" s="115"/>
      <c r="AS750" s="115"/>
      <c r="AT750" s="115"/>
      <c r="AU750" s="115"/>
      <c r="AV750" s="115"/>
      <c r="AW750" s="115"/>
      <c r="AX750" s="115"/>
      <c r="AY750" s="115"/>
      <c r="AZ750" s="26">
        <v>45280</v>
      </c>
      <c r="BA750" s="13" t="s">
        <v>162</v>
      </c>
      <c r="BD750" s="114"/>
    </row>
    <row r="751" spans="19:56" ht="19.5" x14ac:dyDescent="0.4">
      <c r="AB751" s="26"/>
      <c r="AC751" s="13"/>
      <c r="AG751" s="115"/>
      <c r="AH751" s="116"/>
      <c r="AI751" s="123"/>
      <c r="AJ751" s="123"/>
      <c r="AK751" s="123"/>
      <c r="AL751" s="115"/>
      <c r="AM751" s="115"/>
      <c r="AN751" s="115"/>
      <c r="AO751" s="115"/>
      <c r="AP751" s="115"/>
      <c r="AQ751" s="115"/>
      <c r="AR751" s="115"/>
      <c r="AS751" s="115"/>
      <c r="AT751" s="115"/>
      <c r="AU751" s="115"/>
      <c r="AV751" s="115"/>
      <c r="AW751" s="115"/>
      <c r="AX751" s="115"/>
      <c r="AY751" s="115"/>
      <c r="AZ751" s="26">
        <v>45280</v>
      </c>
      <c r="BA751" s="13" t="s">
        <v>162</v>
      </c>
      <c r="BD751" s="114"/>
    </row>
    <row r="752" spans="19:56" ht="19.5" x14ac:dyDescent="0.4">
      <c r="AB752" s="26"/>
      <c r="AC752" s="13"/>
      <c r="AG752" s="115"/>
      <c r="AH752" s="116"/>
      <c r="AI752" s="123"/>
      <c r="AJ752" s="123"/>
      <c r="AK752" s="123"/>
      <c r="AL752" s="115"/>
      <c r="AM752" s="115"/>
      <c r="AN752" s="115"/>
      <c r="AO752" s="115"/>
      <c r="AP752" s="115"/>
      <c r="AQ752" s="115"/>
      <c r="AR752" s="115"/>
      <c r="AS752" s="115"/>
      <c r="AT752" s="115"/>
      <c r="AU752" s="115"/>
      <c r="AV752" s="115"/>
      <c r="AW752" s="115"/>
      <c r="AX752" s="115"/>
      <c r="AY752" s="115"/>
      <c r="AZ752" s="26">
        <v>45280</v>
      </c>
      <c r="BA752" s="13" t="s">
        <v>162</v>
      </c>
      <c r="BD752" s="114"/>
    </row>
    <row r="753" spans="28:56" ht="19.5" x14ac:dyDescent="0.4">
      <c r="AB753" s="129"/>
      <c r="AC753" s="13"/>
      <c r="AG753" s="115"/>
      <c r="AH753" s="116"/>
      <c r="AI753" s="123"/>
      <c r="AJ753" s="123"/>
      <c r="AK753" s="123"/>
      <c r="AL753" s="115"/>
      <c r="AM753" s="115"/>
      <c r="AN753" s="115"/>
      <c r="AO753" s="115"/>
      <c r="AP753" s="115"/>
      <c r="AQ753" s="115"/>
      <c r="AR753" s="115"/>
      <c r="AS753" s="115"/>
      <c r="AT753" s="115"/>
      <c r="AU753" s="115"/>
      <c r="AV753" s="115"/>
      <c r="AW753" s="115"/>
      <c r="AX753" s="115"/>
      <c r="AY753" s="115"/>
      <c r="AZ753" s="26"/>
      <c r="BA753" s="13"/>
      <c r="BD753" s="114"/>
    </row>
    <row r="754" spans="28:56" ht="19.5" x14ac:dyDescent="0.4">
      <c r="AB754" s="26"/>
      <c r="AC754" s="13"/>
      <c r="AG754" s="115"/>
      <c r="AH754" s="116"/>
      <c r="AI754" s="123"/>
      <c r="AJ754" s="123"/>
      <c r="AK754" s="123"/>
      <c r="AL754" s="115"/>
      <c r="AM754" s="115"/>
      <c r="AN754" s="115"/>
      <c r="AO754" s="115"/>
      <c r="AP754" s="115"/>
      <c r="AQ754" s="115"/>
      <c r="AR754" s="115"/>
      <c r="AS754" s="115"/>
      <c r="AT754" s="115"/>
      <c r="AU754" s="115"/>
      <c r="AV754" s="115"/>
      <c r="AW754" s="115"/>
      <c r="AX754" s="115"/>
      <c r="AY754" s="115"/>
      <c r="AZ754" s="26">
        <v>45280</v>
      </c>
      <c r="BA754" s="13" t="s">
        <v>162</v>
      </c>
      <c r="BD754" s="114"/>
    </row>
    <row r="755" spans="28:56" ht="19.5" x14ac:dyDescent="0.4">
      <c r="AB755" s="130"/>
      <c r="AC755" s="119"/>
      <c r="AG755" s="115"/>
      <c r="AH755" s="116"/>
      <c r="AI755" s="123"/>
      <c r="AJ755" s="123"/>
      <c r="AK755" s="123"/>
      <c r="AL755" s="115"/>
      <c r="AM755" s="115"/>
      <c r="AN755" s="115"/>
      <c r="AO755" s="115"/>
      <c r="AP755" s="115"/>
      <c r="AQ755" s="115"/>
      <c r="AR755" s="115"/>
      <c r="AS755" s="115"/>
      <c r="AT755" s="115"/>
      <c r="AU755" s="115"/>
      <c r="AV755" s="115"/>
      <c r="AW755" s="115"/>
      <c r="AX755" s="115"/>
      <c r="AY755" s="115"/>
      <c r="AZ755" s="26"/>
      <c r="BA755" s="13"/>
      <c r="BD755" s="114"/>
    </row>
    <row r="756" spans="28:56" ht="19.5" x14ac:dyDescent="0.4">
      <c r="AB756" s="130"/>
      <c r="AC756" s="119"/>
      <c r="AG756" s="115"/>
      <c r="AH756" s="116"/>
      <c r="AI756" s="123"/>
      <c r="AJ756" s="123"/>
      <c r="AK756" s="123"/>
      <c r="AL756" s="115"/>
      <c r="AM756" s="115"/>
      <c r="AN756" s="115"/>
      <c r="AO756" s="115"/>
      <c r="AP756" s="115"/>
      <c r="AQ756" s="115"/>
      <c r="AR756" s="115"/>
      <c r="AS756" s="115"/>
      <c r="AT756" s="115"/>
      <c r="AU756" s="115"/>
      <c r="AV756" s="115"/>
      <c r="AW756" s="115"/>
      <c r="AX756" s="115"/>
      <c r="AY756" s="115"/>
      <c r="AZ756" s="26"/>
      <c r="BA756" s="13"/>
      <c r="BD756" s="114"/>
    </row>
    <row r="757" spans="28:56" ht="19.5" x14ac:dyDescent="0.4">
      <c r="AG757" s="115"/>
      <c r="AH757" s="116"/>
      <c r="AI757" s="123"/>
      <c r="AJ757" s="123"/>
      <c r="AK757" s="123"/>
      <c r="AL757" s="115"/>
      <c r="AM757" s="115"/>
      <c r="AN757" s="115"/>
      <c r="AO757" s="115"/>
      <c r="AP757" s="115"/>
      <c r="AQ757" s="115"/>
      <c r="AR757" s="115"/>
      <c r="AS757" s="115"/>
      <c r="AT757" s="115"/>
      <c r="AU757" s="115"/>
      <c r="AV757" s="115"/>
      <c r="AW757" s="115"/>
      <c r="AX757" s="115"/>
      <c r="AY757" s="115"/>
      <c r="AZ757" s="26">
        <v>45280</v>
      </c>
      <c r="BA757" s="13" t="s">
        <v>162</v>
      </c>
      <c r="BD757" s="114"/>
    </row>
    <row r="758" spans="28:56" ht="19.5" x14ac:dyDescent="0.4">
      <c r="AG758" s="115"/>
      <c r="AH758" s="116"/>
      <c r="AI758" s="123"/>
      <c r="AJ758" s="123"/>
      <c r="AK758" s="123"/>
      <c r="AL758" s="115"/>
      <c r="AM758" s="115"/>
      <c r="AN758" s="115"/>
      <c r="AO758" s="115"/>
      <c r="AP758" s="115"/>
      <c r="AQ758" s="115"/>
      <c r="AR758" s="115"/>
      <c r="AS758" s="115"/>
      <c r="AT758" s="115"/>
      <c r="AU758" s="115"/>
      <c r="AV758" s="115"/>
      <c r="AW758" s="115"/>
      <c r="AX758" s="115"/>
      <c r="AY758" s="115"/>
      <c r="AZ758" s="26">
        <v>45280</v>
      </c>
      <c r="BA758" s="13" t="s">
        <v>162</v>
      </c>
      <c r="BD758" s="114"/>
    </row>
    <row r="759" spans="28:56" ht="19.5" x14ac:dyDescent="0.4">
      <c r="AG759" s="115"/>
      <c r="AH759" s="116"/>
      <c r="AI759" s="123"/>
      <c r="AJ759" s="123"/>
      <c r="AK759" s="123"/>
      <c r="AL759" s="115"/>
      <c r="AM759" s="115"/>
      <c r="AN759" s="115"/>
      <c r="AO759" s="115"/>
      <c r="AP759" s="115"/>
      <c r="AQ759" s="115"/>
      <c r="AR759" s="115"/>
      <c r="AS759" s="115"/>
      <c r="AT759" s="115"/>
      <c r="AU759" s="115"/>
      <c r="AV759" s="115"/>
      <c r="AW759" s="115"/>
      <c r="AX759" s="115"/>
      <c r="AY759" s="115"/>
      <c r="AZ759" s="26">
        <v>45280</v>
      </c>
      <c r="BA759" s="13" t="s">
        <v>162</v>
      </c>
      <c r="BD759" s="114"/>
    </row>
    <row r="760" spans="28:56" ht="19.5" x14ac:dyDescent="0.4">
      <c r="AF760" s="115"/>
      <c r="AG760" s="115"/>
      <c r="AH760" s="116"/>
      <c r="AI760" s="123"/>
      <c r="AJ760" s="123"/>
      <c r="AK760" s="123"/>
      <c r="AL760" s="115"/>
      <c r="AM760" s="115"/>
      <c r="AN760" s="115"/>
      <c r="AO760" s="115"/>
      <c r="AP760" s="115"/>
      <c r="AQ760" s="115"/>
      <c r="AR760" s="115"/>
      <c r="AS760" s="115"/>
      <c r="AT760" s="115"/>
      <c r="AU760" s="115"/>
      <c r="AV760" s="115"/>
      <c r="AW760" s="115"/>
      <c r="AX760" s="115"/>
      <c r="AY760" s="115"/>
      <c r="AZ760" s="26">
        <v>45280</v>
      </c>
      <c r="BA760" s="13" t="s">
        <v>162</v>
      </c>
      <c r="BD760" s="114"/>
    </row>
    <row r="761" spans="28:56" ht="19.5" x14ac:dyDescent="0.4">
      <c r="AF761" s="115"/>
      <c r="AG761" s="115"/>
      <c r="AH761" s="116"/>
      <c r="AI761" s="123"/>
      <c r="AJ761" s="123"/>
      <c r="AK761" s="123"/>
      <c r="AL761" s="115"/>
      <c r="AM761" s="115"/>
      <c r="AN761" s="115"/>
      <c r="AO761" s="115"/>
      <c r="AP761" s="115"/>
      <c r="AQ761" s="115"/>
      <c r="AR761" s="115"/>
      <c r="AS761" s="115"/>
      <c r="AT761" s="115"/>
      <c r="AU761" s="115"/>
      <c r="AV761" s="115"/>
      <c r="AW761" s="115"/>
      <c r="AX761" s="115"/>
      <c r="AY761" s="115"/>
      <c r="AZ761" s="26">
        <v>45280</v>
      </c>
      <c r="BA761" s="13" t="s">
        <v>162</v>
      </c>
      <c r="BD761" s="114"/>
    </row>
    <row r="762" spans="28:56" ht="19.5" x14ac:dyDescent="0.4">
      <c r="AD762" s="115"/>
      <c r="AE762" s="115"/>
      <c r="AF762" s="115"/>
      <c r="AG762" s="115"/>
      <c r="AH762" s="116"/>
      <c r="AI762" s="123"/>
      <c r="AJ762" s="123"/>
      <c r="AK762" s="123"/>
      <c r="AL762" s="115"/>
      <c r="AM762" s="115"/>
      <c r="AN762" s="115"/>
      <c r="AO762" s="115"/>
      <c r="AP762" s="115"/>
      <c r="AQ762" s="115"/>
      <c r="AR762" s="115"/>
      <c r="AS762" s="115"/>
      <c r="AT762" s="115"/>
      <c r="AU762" s="115"/>
      <c r="AV762" s="115"/>
      <c r="AW762" s="115"/>
      <c r="AX762" s="115"/>
      <c r="AY762" s="115"/>
      <c r="AZ762" s="26">
        <v>45280</v>
      </c>
      <c r="BA762" s="13" t="s">
        <v>162</v>
      </c>
      <c r="BD762" s="114"/>
    </row>
    <row r="763" spans="28:56" x14ac:dyDescent="0.4">
      <c r="AD763" s="115"/>
      <c r="AE763" s="115"/>
      <c r="AF763" s="115"/>
      <c r="AG763" s="115"/>
      <c r="AH763" s="115"/>
      <c r="AI763" s="122"/>
      <c r="AJ763" s="122"/>
      <c r="AK763" s="122"/>
      <c r="AL763" s="115"/>
      <c r="AM763" s="115"/>
      <c r="AN763" s="115"/>
      <c r="AO763" s="115"/>
      <c r="AP763" s="115"/>
      <c r="AQ763" s="115"/>
      <c r="AR763" s="115"/>
      <c r="AS763" s="115"/>
      <c r="AT763" s="115"/>
      <c r="AU763" s="115"/>
      <c r="AV763" s="115"/>
      <c r="AW763" s="115"/>
      <c r="AX763" s="115"/>
      <c r="AY763" s="115"/>
      <c r="AZ763" s="26">
        <v>45280</v>
      </c>
      <c r="BA763" s="13" t="s">
        <v>162</v>
      </c>
      <c r="BD763" s="114"/>
    </row>
    <row r="764" spans="28:56" x14ac:dyDescent="0.4">
      <c r="AD764" s="115"/>
      <c r="AE764" s="115"/>
      <c r="AF764" s="115"/>
      <c r="AG764" s="115"/>
      <c r="AH764" s="115"/>
      <c r="AI764" s="122"/>
      <c r="AJ764" s="122"/>
      <c r="AK764" s="122"/>
      <c r="AL764" s="115"/>
      <c r="AM764" s="115"/>
      <c r="AN764" s="115"/>
      <c r="AO764" s="115"/>
      <c r="AP764" s="115"/>
      <c r="AQ764" s="115"/>
      <c r="AR764" s="115"/>
      <c r="AS764" s="115"/>
      <c r="AT764" s="115"/>
      <c r="AU764" s="115"/>
      <c r="AV764" s="115"/>
      <c r="AW764" s="115"/>
      <c r="AX764" s="115"/>
      <c r="AY764" s="115"/>
      <c r="AZ764" s="26">
        <v>45280</v>
      </c>
      <c r="BA764" s="13" t="s">
        <v>162</v>
      </c>
      <c r="BD764" s="114"/>
    </row>
    <row r="765" spans="28:56" x14ac:dyDescent="0.4">
      <c r="AD765" s="115"/>
      <c r="AE765" s="115"/>
      <c r="AF765" s="115"/>
      <c r="AG765" s="115"/>
      <c r="AH765" s="115"/>
      <c r="AI765" s="122"/>
      <c r="AJ765" s="122"/>
      <c r="AK765" s="122"/>
      <c r="AL765" s="115"/>
      <c r="AM765" s="115"/>
      <c r="AN765" s="115"/>
      <c r="AO765" s="115"/>
      <c r="AP765" s="115"/>
      <c r="AQ765" s="115"/>
      <c r="AR765" s="115"/>
      <c r="AS765" s="115"/>
      <c r="AT765" s="115"/>
      <c r="AU765" s="115"/>
      <c r="AV765" s="115"/>
      <c r="AW765" s="115"/>
      <c r="AX765" s="115"/>
      <c r="AY765" s="115" t="s">
        <v>171</v>
      </c>
      <c r="AZ765" s="17">
        <f>SUBTOTAL(3,AZ749:AZ764)</f>
        <v>13</v>
      </c>
      <c r="BA765" s="13">
        <f>SUBTOTAL(3,BA749:BA764)</f>
        <v>13</v>
      </c>
      <c r="BD765" s="114"/>
    </row>
    <row r="766" spans="28:56" x14ac:dyDescent="0.4">
      <c r="AD766" s="115"/>
      <c r="AE766" s="115"/>
      <c r="AF766" s="115"/>
      <c r="AG766" s="115"/>
      <c r="AH766" s="115"/>
      <c r="AI766" s="122"/>
      <c r="AJ766" s="122"/>
      <c r="AK766" s="122"/>
      <c r="AL766" s="115"/>
      <c r="AM766" s="115"/>
      <c r="AN766" s="115"/>
      <c r="AO766" s="115"/>
      <c r="AP766" s="115"/>
      <c r="AQ766" s="115"/>
      <c r="AR766" s="115"/>
      <c r="AS766" s="115"/>
      <c r="AT766" s="115"/>
      <c r="AU766" s="115"/>
      <c r="AV766" s="115"/>
      <c r="AW766" s="115"/>
      <c r="AX766" s="115"/>
      <c r="AY766" s="115"/>
      <c r="AZ766" s="26">
        <v>45283</v>
      </c>
      <c r="BA766" s="13" t="s">
        <v>162</v>
      </c>
      <c r="BD766" s="114"/>
    </row>
    <row r="767" spans="28:56" x14ac:dyDescent="0.4">
      <c r="AD767" s="115"/>
      <c r="AE767" s="115"/>
      <c r="AF767" s="115"/>
      <c r="AG767" s="115"/>
      <c r="AH767" s="115"/>
      <c r="AI767" s="122"/>
      <c r="AJ767" s="122"/>
      <c r="AK767" s="122"/>
      <c r="AL767" s="115"/>
      <c r="AM767" s="115"/>
      <c r="AN767" s="115"/>
      <c r="AO767" s="115"/>
      <c r="AP767" s="115"/>
      <c r="AQ767" s="115"/>
      <c r="AR767" s="115"/>
      <c r="AS767" s="115"/>
      <c r="AT767" s="115"/>
      <c r="AU767" s="115"/>
      <c r="AV767" s="115"/>
      <c r="AW767" s="115"/>
      <c r="AX767" s="115"/>
      <c r="AY767" s="115"/>
      <c r="AZ767" s="26">
        <v>45283</v>
      </c>
      <c r="BA767" s="13" t="s">
        <v>162</v>
      </c>
      <c r="BD767" s="114"/>
    </row>
    <row r="768" spans="28:56" x14ac:dyDescent="0.4">
      <c r="AD768" s="115"/>
      <c r="AE768" s="115"/>
      <c r="AF768" s="115"/>
      <c r="AG768" s="115"/>
      <c r="AH768" s="115"/>
      <c r="AI768" s="122"/>
      <c r="AJ768" s="122"/>
      <c r="AK768" s="122"/>
      <c r="AL768" s="115"/>
      <c r="AM768" s="115"/>
      <c r="AN768" s="115"/>
      <c r="AO768" s="115"/>
      <c r="AP768" s="115"/>
      <c r="AQ768" s="115"/>
      <c r="AR768" s="115"/>
      <c r="AS768" s="115"/>
      <c r="AT768" s="115"/>
      <c r="AU768" s="115"/>
      <c r="AV768" s="115"/>
      <c r="AW768" s="115"/>
      <c r="AX768" s="115"/>
      <c r="AY768" s="115"/>
      <c r="AZ768" s="26">
        <v>45283</v>
      </c>
      <c r="BA768" s="13" t="s">
        <v>162</v>
      </c>
      <c r="BD768" s="114"/>
    </row>
    <row r="769" spans="30:56" x14ac:dyDescent="0.4">
      <c r="AD769" s="115"/>
      <c r="AE769" s="115"/>
      <c r="AF769" s="115"/>
      <c r="AG769" s="115"/>
      <c r="AH769" s="115"/>
      <c r="AI769" s="122"/>
      <c r="AJ769" s="122"/>
      <c r="AK769" s="122"/>
      <c r="AL769" s="115"/>
      <c r="AM769" s="115"/>
      <c r="AN769" s="115"/>
      <c r="AO769" s="115"/>
      <c r="AP769" s="115"/>
      <c r="AQ769" s="115"/>
      <c r="AR769" s="115"/>
      <c r="AS769" s="115"/>
      <c r="AT769" s="115"/>
      <c r="AU769" s="115"/>
      <c r="AV769" s="115"/>
      <c r="AW769" s="115"/>
      <c r="AX769" s="115"/>
      <c r="AY769" s="115"/>
      <c r="AZ769" s="26">
        <v>45283</v>
      </c>
      <c r="BA769" s="13" t="s">
        <v>162</v>
      </c>
      <c r="BD769" s="114"/>
    </row>
    <row r="770" spans="30:56" x14ac:dyDescent="0.4">
      <c r="AD770" s="115"/>
      <c r="AE770" s="115"/>
      <c r="AF770" s="115"/>
      <c r="AG770" s="115"/>
      <c r="AH770" s="115"/>
      <c r="AI770" s="122"/>
      <c r="AJ770" s="122"/>
      <c r="AK770" s="122"/>
      <c r="AL770" s="115"/>
      <c r="AM770" s="115"/>
      <c r="AN770" s="115"/>
      <c r="AO770" s="115"/>
      <c r="AP770" s="115"/>
      <c r="AQ770" s="115"/>
      <c r="AR770" s="115"/>
      <c r="AS770" s="115"/>
      <c r="AT770" s="115"/>
      <c r="AU770" s="115"/>
      <c r="AV770" s="115"/>
      <c r="AW770" s="115"/>
      <c r="AX770" s="115"/>
      <c r="AY770" s="115"/>
      <c r="AZ770" s="26">
        <v>45283</v>
      </c>
      <c r="BA770" s="13" t="s">
        <v>162</v>
      </c>
      <c r="BD770" s="114"/>
    </row>
    <row r="771" spans="30:56" x14ac:dyDescent="0.4">
      <c r="AD771" s="115"/>
      <c r="AE771" s="115"/>
      <c r="AF771" s="115"/>
      <c r="AG771" s="115"/>
      <c r="AH771" s="115"/>
      <c r="AI771" s="122"/>
      <c r="AJ771" s="122"/>
      <c r="AK771" s="122"/>
      <c r="AL771" s="115"/>
      <c r="AM771" s="115"/>
      <c r="AN771" s="115"/>
      <c r="AO771" s="115"/>
      <c r="AP771" s="115"/>
      <c r="AQ771" s="115"/>
      <c r="AR771" s="115"/>
      <c r="AS771" s="115"/>
      <c r="AT771" s="115"/>
      <c r="AU771" s="115"/>
      <c r="AV771" s="115"/>
      <c r="AW771" s="115"/>
      <c r="AX771" s="115"/>
      <c r="AY771" s="115"/>
      <c r="AZ771" s="26">
        <v>45283</v>
      </c>
      <c r="BA771" s="13" t="s">
        <v>162</v>
      </c>
      <c r="BD771" s="114"/>
    </row>
    <row r="772" spans="30:56" x14ac:dyDescent="0.4">
      <c r="AD772" s="115"/>
      <c r="AE772" s="115"/>
      <c r="AF772" s="115"/>
      <c r="AG772" s="115"/>
      <c r="AH772" s="115"/>
      <c r="AI772" s="122"/>
      <c r="AJ772" s="122"/>
      <c r="AK772" s="122"/>
      <c r="AL772" s="115"/>
      <c r="AM772" s="115"/>
      <c r="AN772" s="115"/>
      <c r="AO772" s="115"/>
      <c r="AP772" s="115"/>
      <c r="AQ772" s="115"/>
      <c r="AR772" s="115"/>
      <c r="AS772" s="115"/>
      <c r="AT772" s="115"/>
      <c r="AU772" s="115"/>
      <c r="AV772" s="115"/>
      <c r="AW772" s="115"/>
      <c r="AX772" s="115"/>
      <c r="AY772" s="115"/>
      <c r="AZ772" s="26">
        <v>45283</v>
      </c>
      <c r="BA772" s="13" t="s">
        <v>162</v>
      </c>
      <c r="BD772" s="114"/>
    </row>
    <row r="773" spans="30:56" x14ac:dyDescent="0.4">
      <c r="AD773" s="115"/>
      <c r="AE773" s="115"/>
      <c r="AF773" s="115"/>
      <c r="AG773" s="115"/>
      <c r="AH773" s="115"/>
      <c r="AI773" s="122"/>
      <c r="AJ773" s="122"/>
      <c r="AK773" s="122"/>
      <c r="AL773" s="115"/>
      <c r="AM773" s="115"/>
      <c r="AN773" s="115"/>
      <c r="AO773" s="115"/>
      <c r="AP773" s="115"/>
      <c r="AQ773" s="115"/>
      <c r="AR773" s="115"/>
      <c r="AS773" s="115"/>
      <c r="AT773" s="115"/>
      <c r="AU773" s="115"/>
      <c r="AV773" s="115"/>
      <c r="AW773" s="115"/>
      <c r="AX773" s="115"/>
      <c r="AY773" s="115"/>
      <c r="AZ773" s="26">
        <v>45283</v>
      </c>
      <c r="BA773" s="13" t="s">
        <v>162</v>
      </c>
      <c r="BD773" s="114"/>
    </row>
    <row r="774" spans="30:56" x14ac:dyDescent="0.4">
      <c r="AD774" s="115"/>
      <c r="AE774" s="115"/>
      <c r="AF774" s="115"/>
      <c r="AG774" s="115"/>
      <c r="AH774" s="115"/>
      <c r="AI774" s="122"/>
      <c r="AJ774" s="122"/>
      <c r="AK774" s="122"/>
      <c r="AL774" s="115"/>
      <c r="AM774" s="115"/>
      <c r="AN774" s="115"/>
      <c r="AO774" s="115"/>
      <c r="AP774" s="115"/>
      <c r="AQ774" s="115"/>
      <c r="AR774" s="115"/>
      <c r="AS774" s="115"/>
      <c r="AT774" s="115"/>
      <c r="AU774" s="115"/>
      <c r="AV774" s="115"/>
      <c r="AW774" s="115"/>
      <c r="AX774" s="115"/>
      <c r="AY774" s="115"/>
      <c r="AZ774" s="26">
        <v>45283</v>
      </c>
      <c r="BA774" s="13" t="s">
        <v>162</v>
      </c>
      <c r="BD774" s="114"/>
    </row>
    <row r="775" spans="30:56" x14ac:dyDescent="0.4">
      <c r="AD775" s="115"/>
      <c r="AE775" s="115"/>
      <c r="AF775" s="115"/>
      <c r="AG775" s="115"/>
      <c r="AH775" s="115"/>
      <c r="AI775" s="122"/>
      <c r="AJ775" s="122"/>
      <c r="AK775" s="122"/>
      <c r="AL775" s="115"/>
      <c r="AM775" s="115"/>
      <c r="AN775" s="115"/>
      <c r="AO775" s="115"/>
      <c r="AP775" s="115"/>
      <c r="AQ775" s="115"/>
      <c r="AR775" s="115"/>
      <c r="AS775" s="115"/>
      <c r="AT775" s="115"/>
      <c r="AU775" s="115"/>
      <c r="AV775" s="115"/>
      <c r="AW775" s="115"/>
      <c r="AX775" s="115"/>
      <c r="AY775" s="115"/>
      <c r="AZ775" s="26">
        <v>45283</v>
      </c>
      <c r="BA775" s="13" t="s">
        <v>162</v>
      </c>
      <c r="BD775" s="114"/>
    </row>
    <row r="776" spans="30:56" x14ac:dyDescent="0.4">
      <c r="AD776" s="115"/>
      <c r="AE776" s="115"/>
      <c r="AF776" s="115"/>
      <c r="AG776" s="115"/>
      <c r="AH776" s="115"/>
      <c r="AI776" s="122"/>
      <c r="AJ776" s="122"/>
      <c r="AK776" s="122"/>
      <c r="AL776" s="115"/>
      <c r="AM776" s="115"/>
      <c r="AN776" s="115"/>
      <c r="AO776" s="115"/>
      <c r="AP776" s="115"/>
      <c r="AQ776" s="115"/>
      <c r="AR776" s="115"/>
      <c r="AS776" s="115"/>
      <c r="AT776" s="115"/>
      <c r="AU776" s="115"/>
      <c r="AV776" s="115"/>
      <c r="AW776" s="115"/>
      <c r="AX776" s="115"/>
      <c r="AY776" s="115"/>
      <c r="AZ776" s="26">
        <v>45283</v>
      </c>
      <c r="BA776" s="13" t="s">
        <v>163</v>
      </c>
      <c r="BD776" s="114"/>
    </row>
    <row r="777" spans="30:56" x14ac:dyDescent="0.4">
      <c r="AD777" s="115"/>
      <c r="AE777" s="115"/>
      <c r="AF777" s="115"/>
      <c r="AG777" s="115"/>
      <c r="AH777" s="115"/>
      <c r="AI777" s="122"/>
      <c r="AJ777" s="122"/>
      <c r="AK777" s="122"/>
      <c r="AL777" s="115"/>
      <c r="AM777" s="115"/>
      <c r="AN777" s="115"/>
      <c r="AO777" s="115"/>
      <c r="AP777" s="115"/>
      <c r="AQ777" s="115"/>
      <c r="AR777" s="115"/>
      <c r="AS777" s="115"/>
      <c r="AT777" s="115"/>
      <c r="AU777" s="115"/>
      <c r="AV777" s="115"/>
      <c r="AW777" s="115"/>
      <c r="AX777" s="115"/>
      <c r="AY777" s="115"/>
      <c r="AZ777" s="26">
        <v>45283</v>
      </c>
      <c r="BA777" s="13" t="s">
        <v>163</v>
      </c>
      <c r="BD777" s="114"/>
    </row>
    <row r="778" spans="30:56" x14ac:dyDescent="0.4">
      <c r="AD778" s="115"/>
      <c r="AE778" s="115"/>
      <c r="AF778" s="115"/>
      <c r="AG778" s="115"/>
      <c r="AH778" s="115"/>
      <c r="AI778" s="122"/>
      <c r="AJ778" s="122"/>
      <c r="AK778" s="122"/>
      <c r="AL778" s="115"/>
      <c r="AM778" s="115"/>
      <c r="AN778" s="115"/>
      <c r="AO778" s="115"/>
      <c r="AP778" s="115"/>
      <c r="AQ778" s="115"/>
      <c r="AR778" s="115"/>
      <c r="AS778" s="115"/>
      <c r="AT778" s="115"/>
      <c r="AU778" s="115"/>
      <c r="AV778" s="115"/>
      <c r="AW778" s="115"/>
      <c r="AX778" s="115"/>
      <c r="AY778" s="115"/>
      <c r="AZ778" s="26">
        <v>45283</v>
      </c>
      <c r="BA778" s="13" t="s">
        <v>163</v>
      </c>
      <c r="BD778" s="114"/>
    </row>
    <row r="779" spans="30:56" x14ac:dyDescent="0.4">
      <c r="AD779" s="115"/>
      <c r="AE779" s="115"/>
      <c r="AF779" s="115"/>
      <c r="AG779" s="115"/>
      <c r="AH779" s="115"/>
      <c r="AI779" s="122"/>
      <c r="AJ779" s="122"/>
      <c r="AK779" s="122"/>
      <c r="AL779" s="115"/>
      <c r="AM779" s="115"/>
      <c r="AN779" s="115"/>
      <c r="AO779" s="115"/>
      <c r="AP779" s="115"/>
      <c r="AQ779" s="115"/>
      <c r="AR779" s="115"/>
      <c r="AS779" s="115"/>
      <c r="AT779" s="115"/>
      <c r="AU779" s="115"/>
      <c r="AV779" s="115"/>
      <c r="AW779" s="115"/>
      <c r="AX779" s="115"/>
      <c r="AY779" s="115" t="s">
        <v>161</v>
      </c>
      <c r="AZ779" s="17">
        <f>SUBTOTAL(3,AZ766:AZ778)</f>
        <v>13</v>
      </c>
      <c r="BA779" s="13">
        <f>SUBTOTAL(3,BA766:BA778)</f>
        <v>13</v>
      </c>
      <c r="BD779" s="114"/>
    </row>
    <row r="780" spans="30:56" x14ac:dyDescent="0.4">
      <c r="AD780" s="115"/>
      <c r="AE780" s="115"/>
      <c r="AF780" s="115"/>
      <c r="AG780" s="115"/>
      <c r="AH780" s="115"/>
      <c r="AI780" s="122"/>
      <c r="AJ780" s="122"/>
      <c r="AK780" s="122"/>
      <c r="AL780" s="115"/>
      <c r="AM780" s="115"/>
      <c r="AN780" s="115"/>
      <c r="AO780" s="115"/>
      <c r="AP780" s="115"/>
      <c r="AQ780" s="115"/>
      <c r="AR780" s="115"/>
      <c r="AS780" s="115"/>
      <c r="AT780" s="115"/>
      <c r="AU780" s="115"/>
      <c r="AV780" s="115"/>
      <c r="AW780" s="115"/>
      <c r="AX780" s="115"/>
      <c r="AY780" s="115"/>
      <c r="AZ780" s="26">
        <v>45285</v>
      </c>
      <c r="BA780" s="13" t="s">
        <v>163</v>
      </c>
      <c r="BD780" s="114"/>
    </row>
    <row r="781" spans="30:56" x14ac:dyDescent="0.4">
      <c r="AD781" s="115"/>
      <c r="AE781" s="115"/>
      <c r="AF781" s="115"/>
      <c r="AG781" s="115"/>
      <c r="AH781" s="115"/>
      <c r="AI781" s="122"/>
      <c r="AJ781" s="122"/>
      <c r="AK781" s="122"/>
      <c r="AL781" s="115"/>
      <c r="AM781" s="115"/>
      <c r="AN781" s="115"/>
      <c r="AO781" s="115"/>
      <c r="AP781" s="115"/>
      <c r="AQ781" s="115"/>
      <c r="AR781" s="115"/>
      <c r="AS781" s="115"/>
      <c r="AT781" s="115"/>
      <c r="AU781" s="115"/>
      <c r="AV781" s="115"/>
      <c r="AW781" s="115"/>
      <c r="AX781" s="115"/>
      <c r="AY781" s="115" t="s">
        <v>172</v>
      </c>
      <c r="AZ781" s="17">
        <f>SUBTOTAL(3,AZ780:AZ780)</f>
        <v>1</v>
      </c>
      <c r="BA781" s="13">
        <f>SUBTOTAL(3,BA780:BA780)</f>
        <v>1</v>
      </c>
      <c r="BD781" s="114"/>
    </row>
    <row r="782" spans="30:56" x14ac:dyDescent="0.4">
      <c r="AD782" s="115"/>
      <c r="AE782" s="115"/>
      <c r="AF782" s="115"/>
      <c r="AG782" s="115"/>
      <c r="AH782" s="115"/>
      <c r="AI782" s="122"/>
      <c r="AJ782" s="122"/>
      <c r="AK782" s="122"/>
      <c r="AL782" s="115"/>
      <c r="AM782" s="115"/>
      <c r="AN782" s="115"/>
      <c r="AO782" s="115"/>
      <c r="AP782" s="115"/>
      <c r="AQ782" s="115"/>
      <c r="AR782" s="115"/>
      <c r="AS782" s="115"/>
      <c r="AT782" s="115"/>
      <c r="AU782" s="115"/>
      <c r="AV782" s="115"/>
      <c r="AW782" s="115"/>
      <c r="AX782" s="115"/>
      <c r="AY782" s="115"/>
      <c r="AZ782" s="26">
        <v>45299</v>
      </c>
      <c r="BA782" s="13" t="s">
        <v>164</v>
      </c>
      <c r="BD782" s="114"/>
    </row>
    <row r="783" spans="30:56" x14ac:dyDescent="0.4">
      <c r="AD783" s="115"/>
      <c r="AE783" s="115"/>
      <c r="AF783" s="115"/>
      <c r="AG783" s="115"/>
      <c r="AH783" s="115"/>
      <c r="AI783" s="122"/>
      <c r="AJ783" s="122"/>
      <c r="AK783" s="122"/>
      <c r="AL783" s="115"/>
      <c r="AM783" s="115"/>
      <c r="AN783" s="115"/>
      <c r="AO783" s="115"/>
      <c r="AP783" s="115"/>
      <c r="AQ783" s="115"/>
      <c r="AR783" s="115"/>
      <c r="AS783" s="115"/>
      <c r="AT783" s="115"/>
      <c r="AU783" s="115"/>
      <c r="AV783" s="115"/>
      <c r="AW783" s="115"/>
      <c r="AX783" s="115"/>
      <c r="AY783" s="115"/>
      <c r="AZ783" s="26">
        <v>45299</v>
      </c>
      <c r="BA783" s="13" t="s">
        <v>162</v>
      </c>
      <c r="BD783" s="114"/>
    </row>
    <row r="784" spans="30:56" x14ac:dyDescent="0.4">
      <c r="AD784" s="115"/>
      <c r="AE784" s="115"/>
      <c r="AF784" s="115"/>
      <c r="AG784" s="115"/>
      <c r="AH784" s="115"/>
      <c r="AI784" s="122"/>
      <c r="AJ784" s="122"/>
      <c r="AK784" s="122"/>
      <c r="AL784" s="115"/>
      <c r="AM784" s="115"/>
      <c r="AN784" s="115"/>
      <c r="AO784" s="115"/>
      <c r="AP784" s="115"/>
      <c r="AQ784" s="115"/>
      <c r="AR784" s="115"/>
      <c r="AS784" s="115"/>
      <c r="AT784" s="115"/>
      <c r="AU784" s="115"/>
      <c r="AV784" s="115"/>
      <c r="AW784" s="115"/>
      <c r="AX784" s="115"/>
      <c r="AY784" s="115"/>
      <c r="AZ784" s="26">
        <v>45299</v>
      </c>
      <c r="BA784" s="13" t="s">
        <v>162</v>
      </c>
      <c r="BD784" s="114"/>
    </row>
    <row r="785" spans="30:56" x14ac:dyDescent="0.4">
      <c r="AD785" s="115"/>
      <c r="AE785" s="115"/>
      <c r="AF785" s="115"/>
      <c r="AG785" s="115"/>
      <c r="AH785" s="115"/>
      <c r="AI785" s="122"/>
      <c r="AJ785" s="122"/>
      <c r="AK785" s="122"/>
      <c r="AL785" s="115"/>
      <c r="AM785" s="115"/>
      <c r="AN785" s="115"/>
      <c r="AO785" s="115"/>
      <c r="AP785" s="115"/>
      <c r="AQ785" s="115"/>
      <c r="AR785" s="115"/>
      <c r="AS785" s="115"/>
      <c r="AT785" s="115"/>
      <c r="AU785" s="115"/>
      <c r="AV785" s="115"/>
      <c r="AW785" s="115"/>
      <c r="AX785" s="115"/>
      <c r="AY785" s="115"/>
      <c r="AZ785" s="26">
        <v>45299</v>
      </c>
      <c r="BA785" s="15" t="s">
        <v>162</v>
      </c>
      <c r="BD785" s="114"/>
    </row>
    <row r="786" spans="30:56" x14ac:dyDescent="0.4">
      <c r="AD786" s="115"/>
      <c r="AE786" s="115"/>
      <c r="AF786" s="115"/>
      <c r="AG786" s="115"/>
      <c r="AH786" s="115"/>
      <c r="AI786" s="122"/>
      <c r="AJ786" s="122"/>
      <c r="AK786" s="122"/>
      <c r="AL786" s="115"/>
      <c r="AM786" s="115"/>
      <c r="AN786" s="115"/>
      <c r="AO786" s="115"/>
      <c r="AP786" s="115"/>
      <c r="AQ786" s="115"/>
      <c r="AR786" s="115"/>
      <c r="AS786" s="115"/>
      <c r="AT786" s="115"/>
      <c r="AU786" s="115"/>
      <c r="AV786" s="115"/>
      <c r="AW786" s="115"/>
      <c r="AX786" s="115"/>
      <c r="AY786" s="115" t="s">
        <v>173</v>
      </c>
      <c r="AZ786" s="17">
        <f>SUBTOTAL(3,AZ782:AZ785)</f>
        <v>4</v>
      </c>
      <c r="BA786" s="13">
        <f>SUBTOTAL(3,BA782:BA785)</f>
        <v>4</v>
      </c>
      <c r="BD786" s="114"/>
    </row>
    <row r="787" spans="30:56" x14ac:dyDescent="0.4">
      <c r="AD787" s="115"/>
      <c r="AE787" s="115"/>
      <c r="AF787" s="115"/>
      <c r="AG787" s="115"/>
      <c r="AH787" s="115"/>
      <c r="AI787" s="122"/>
      <c r="AJ787" s="122"/>
      <c r="AK787" s="122"/>
      <c r="AL787" s="115"/>
      <c r="AM787" s="115"/>
      <c r="AN787" s="115"/>
      <c r="AO787" s="115"/>
      <c r="AP787" s="115"/>
      <c r="AQ787" s="115"/>
      <c r="AR787" s="115"/>
      <c r="AS787" s="115"/>
      <c r="AT787" s="115"/>
      <c r="AU787" s="115"/>
      <c r="AV787" s="115"/>
      <c r="AW787" s="115"/>
      <c r="AX787" s="115"/>
      <c r="AY787" s="115" t="s">
        <v>145</v>
      </c>
      <c r="AZ787" s="17">
        <f>SUBTOTAL(3,AZ2:AZ785)</f>
        <v>136</v>
      </c>
      <c r="BA787" s="13">
        <f>SUBTOTAL(3,BA2:BA785)</f>
        <v>136</v>
      </c>
      <c r="BD787" s="114"/>
    </row>
    <row r="788" spans="30:56" x14ac:dyDescent="0.4">
      <c r="AD788" s="115"/>
      <c r="AE788" s="115"/>
      <c r="AF788" s="115"/>
      <c r="AG788" s="115"/>
      <c r="AH788" s="115"/>
      <c r="AI788" s="122"/>
      <c r="AJ788" s="122"/>
      <c r="AK788" s="122"/>
      <c r="AL788" s="115"/>
      <c r="AM788" s="115"/>
      <c r="AN788" s="115"/>
      <c r="AO788" s="115"/>
      <c r="AP788" s="115"/>
      <c r="AQ788" s="115"/>
      <c r="AR788" s="115"/>
      <c r="AS788" s="115"/>
      <c r="AT788" s="115"/>
      <c r="AU788" s="115"/>
      <c r="AV788" s="115"/>
      <c r="AW788" s="115" t="s">
        <v>145</v>
      </c>
      <c r="AX788" s="115"/>
      <c r="AY788" s="115"/>
      <c r="AZ788" s="26"/>
      <c r="BA788" s="13"/>
      <c r="BD788" s="114"/>
    </row>
    <row r="789" spans="30:56" x14ac:dyDescent="0.4">
      <c r="AD789" s="115"/>
      <c r="AE789" s="115"/>
      <c r="AF789" s="115"/>
      <c r="AG789" s="115"/>
      <c r="AH789" s="115"/>
      <c r="AI789" s="122"/>
      <c r="AJ789" s="122"/>
      <c r="AK789" s="122"/>
      <c r="AL789" s="115"/>
      <c r="AM789" s="115"/>
      <c r="AN789" s="115"/>
      <c r="AO789" s="115"/>
      <c r="AP789" s="115"/>
      <c r="AQ789" s="115"/>
      <c r="AR789" s="115"/>
      <c r="AS789" s="115"/>
      <c r="AT789" s="115"/>
      <c r="AU789" s="115"/>
      <c r="AV789" s="115"/>
      <c r="AW789" s="115"/>
      <c r="AX789" s="115"/>
      <c r="AY789" s="115"/>
      <c r="AZ789" s="17"/>
      <c r="BA789" s="13"/>
      <c r="BD789" s="114"/>
    </row>
    <row r="790" spans="30:56" x14ac:dyDescent="0.4">
      <c r="AD790" s="115"/>
      <c r="AE790" s="115"/>
      <c r="AF790" s="115"/>
      <c r="AG790" s="115"/>
      <c r="AH790" s="115"/>
      <c r="AI790" s="122"/>
      <c r="AJ790" s="122"/>
      <c r="AK790" s="122"/>
      <c r="AL790" s="115"/>
      <c r="AM790" s="115"/>
      <c r="AN790" s="115"/>
      <c r="AO790" s="115"/>
      <c r="AP790" s="115"/>
      <c r="AQ790" s="115"/>
      <c r="AR790" s="115"/>
      <c r="AS790" s="115"/>
      <c r="AT790" s="115"/>
      <c r="AU790" s="115"/>
      <c r="AV790" s="115"/>
      <c r="AW790" s="115"/>
      <c r="AX790" s="115"/>
      <c r="AY790" s="115"/>
      <c r="AZ790" s="26"/>
      <c r="BA790" s="13"/>
      <c r="BD790" s="114"/>
    </row>
    <row r="791" spans="30:56" x14ac:dyDescent="0.4">
      <c r="AD791" s="115"/>
      <c r="AE791" s="115"/>
      <c r="AF791" s="115"/>
      <c r="AG791" s="115"/>
      <c r="AH791" s="115"/>
      <c r="AI791" s="122"/>
      <c r="AJ791" s="122"/>
      <c r="AK791" s="122"/>
      <c r="AL791" s="115"/>
      <c r="AM791" s="115"/>
      <c r="AN791" s="115"/>
      <c r="AO791" s="115"/>
      <c r="AP791" s="115"/>
      <c r="AQ791" s="115"/>
      <c r="AR791" s="115"/>
      <c r="AS791" s="115"/>
      <c r="AT791" s="115"/>
      <c r="AU791" s="115"/>
      <c r="AV791" s="115"/>
      <c r="AW791" s="115"/>
      <c r="AX791" s="115"/>
      <c r="AY791" s="115"/>
      <c r="AZ791" s="17"/>
      <c r="BA791" s="13"/>
      <c r="BD791" s="114"/>
    </row>
    <row r="792" spans="30:56" x14ac:dyDescent="0.4">
      <c r="AD792" s="115"/>
      <c r="AE792" s="115"/>
      <c r="AF792" s="115"/>
      <c r="AG792" s="115"/>
      <c r="AH792" s="115"/>
      <c r="AI792" s="122"/>
      <c r="AJ792" s="122"/>
      <c r="AK792" s="122"/>
      <c r="AL792" s="115"/>
      <c r="AM792" s="115"/>
      <c r="AN792" s="115"/>
      <c r="AO792" s="115"/>
      <c r="AP792" s="115"/>
      <c r="AQ792" s="115"/>
      <c r="AR792" s="115"/>
      <c r="AS792" s="115"/>
      <c r="AT792" s="115"/>
      <c r="AU792" s="115"/>
      <c r="AV792" s="115"/>
      <c r="AW792" s="115"/>
      <c r="AX792" s="115"/>
      <c r="AY792" s="115"/>
      <c r="AZ792" s="26"/>
      <c r="BA792" s="13"/>
      <c r="BD792" s="114"/>
    </row>
    <row r="793" spans="30:56" x14ac:dyDescent="0.4">
      <c r="AD793" s="115"/>
      <c r="AE793" s="115"/>
      <c r="AF793" s="115"/>
      <c r="AG793" s="115"/>
      <c r="AH793" s="115"/>
      <c r="AI793" s="122"/>
      <c r="AJ793" s="122"/>
      <c r="AK793" s="122"/>
      <c r="AL793" s="115"/>
      <c r="AM793" s="115"/>
      <c r="AN793" s="115"/>
      <c r="AO793" s="115"/>
      <c r="AP793" s="115"/>
      <c r="AQ793" s="115"/>
      <c r="AR793" s="115"/>
      <c r="AS793" s="115"/>
      <c r="AT793" s="115"/>
      <c r="AU793" s="115"/>
      <c r="AV793" s="115"/>
      <c r="AW793" s="115"/>
      <c r="AX793" s="115"/>
      <c r="AY793" s="115"/>
      <c r="AZ793" s="26"/>
      <c r="BA793" s="13"/>
      <c r="BD793" s="114"/>
    </row>
    <row r="794" spans="30:56" x14ac:dyDescent="0.4">
      <c r="AD794" s="115"/>
      <c r="AE794" s="115"/>
      <c r="AF794" s="115"/>
      <c r="AG794" s="115"/>
      <c r="AH794" s="115"/>
      <c r="AI794" s="122"/>
      <c r="AJ794" s="122"/>
      <c r="AK794" s="122"/>
      <c r="AL794" s="115"/>
      <c r="AM794" s="115"/>
      <c r="AN794" s="115"/>
      <c r="AO794" s="115"/>
      <c r="AP794" s="115"/>
      <c r="AQ794" s="115"/>
      <c r="AR794" s="115"/>
      <c r="AS794" s="115"/>
      <c r="AT794" s="115"/>
      <c r="AU794" s="115"/>
      <c r="AV794" s="115"/>
      <c r="AW794" s="115"/>
      <c r="AX794" s="115"/>
      <c r="AY794" s="115"/>
      <c r="AZ794" s="26"/>
      <c r="BA794" s="13"/>
      <c r="BD794" s="114"/>
    </row>
    <row r="795" spans="30:56" x14ac:dyDescent="0.4">
      <c r="AD795" s="115"/>
      <c r="AE795" s="115"/>
      <c r="AF795" s="115"/>
      <c r="AG795" s="115"/>
      <c r="AH795" s="115"/>
      <c r="AI795" s="122"/>
      <c r="AJ795" s="122"/>
      <c r="AK795" s="122"/>
      <c r="AL795" s="115"/>
      <c r="AM795" s="115"/>
      <c r="AN795" s="115"/>
      <c r="AO795" s="115"/>
      <c r="AP795" s="115"/>
      <c r="AQ795" s="115"/>
      <c r="AR795" s="115"/>
      <c r="AS795" s="115"/>
      <c r="AT795" s="115"/>
      <c r="AU795" s="115"/>
      <c r="AV795" s="115"/>
      <c r="AW795" s="115"/>
      <c r="AX795" s="115"/>
      <c r="AY795" s="115"/>
      <c r="AZ795" s="17"/>
      <c r="BA795" s="13"/>
      <c r="BD795" s="114"/>
    </row>
    <row r="796" spans="30:56" x14ac:dyDescent="0.4">
      <c r="AD796" s="115"/>
      <c r="AE796" s="115"/>
      <c r="AF796" s="115"/>
      <c r="AG796" s="115"/>
      <c r="AH796" s="115"/>
      <c r="AI796" s="122"/>
      <c r="AJ796" s="122"/>
      <c r="AK796" s="122"/>
      <c r="AL796" s="115"/>
      <c r="AM796" s="115"/>
      <c r="AN796" s="115"/>
      <c r="AO796" s="115"/>
      <c r="AP796" s="115"/>
      <c r="AQ796" s="115"/>
      <c r="AR796" s="115"/>
      <c r="AS796" s="115"/>
      <c r="AT796" s="115"/>
      <c r="AU796" s="115"/>
      <c r="AV796" s="115"/>
      <c r="AW796" s="115"/>
      <c r="AX796" s="115"/>
      <c r="AY796" s="115"/>
      <c r="AZ796" s="26"/>
      <c r="BA796" s="13"/>
      <c r="BD796" s="114"/>
    </row>
    <row r="797" spans="30:56" x14ac:dyDescent="0.4">
      <c r="AD797" s="115"/>
      <c r="AE797" s="115"/>
      <c r="AF797" s="115"/>
      <c r="AG797" s="115"/>
      <c r="AH797" s="115"/>
      <c r="AI797" s="122"/>
      <c r="AJ797" s="122"/>
      <c r="AK797" s="122"/>
      <c r="AL797" s="115"/>
      <c r="AM797" s="115"/>
      <c r="AN797" s="115"/>
      <c r="AO797" s="115"/>
      <c r="AP797" s="115"/>
      <c r="AQ797" s="115"/>
      <c r="AR797" s="115"/>
      <c r="AS797" s="115"/>
      <c r="AT797" s="115"/>
      <c r="AU797" s="115"/>
      <c r="AV797" s="115"/>
      <c r="AW797" s="115"/>
      <c r="AX797" s="115"/>
      <c r="AY797" s="115"/>
      <c r="AZ797" s="17"/>
      <c r="BA797" s="13"/>
      <c r="BD797" s="114"/>
    </row>
    <row r="798" spans="30:56" x14ac:dyDescent="0.4">
      <c r="AD798" s="115"/>
      <c r="AE798" s="115"/>
      <c r="AF798" s="115"/>
      <c r="AG798" s="115"/>
      <c r="AH798" s="115"/>
      <c r="AI798" s="122"/>
      <c r="AJ798" s="122"/>
      <c r="AK798" s="122"/>
      <c r="AL798" s="115"/>
      <c r="AM798" s="115"/>
      <c r="AN798" s="115"/>
      <c r="AO798" s="115"/>
      <c r="AP798" s="115"/>
      <c r="AQ798" s="115"/>
      <c r="AR798" s="115"/>
      <c r="AS798" s="115"/>
      <c r="AT798" s="115"/>
      <c r="AU798" s="115"/>
      <c r="AV798" s="115"/>
      <c r="AW798" s="115"/>
      <c r="AX798" s="115"/>
      <c r="AY798" s="115"/>
      <c r="AZ798" s="26"/>
      <c r="BA798" s="13"/>
      <c r="BD798" s="114"/>
    </row>
    <row r="799" spans="30:56" x14ac:dyDescent="0.4">
      <c r="AD799" s="115"/>
      <c r="AE799" s="115"/>
      <c r="AF799" s="115"/>
      <c r="AG799" s="115"/>
      <c r="AH799" s="115"/>
      <c r="AI799" s="122"/>
      <c r="AJ799" s="122"/>
      <c r="AK799" s="122"/>
      <c r="AL799" s="115"/>
      <c r="AM799" s="115"/>
      <c r="AN799" s="115"/>
      <c r="AO799" s="115"/>
      <c r="AP799" s="115"/>
      <c r="AQ799" s="115"/>
      <c r="AR799" s="115"/>
      <c r="AS799" s="115"/>
      <c r="AT799" s="115"/>
      <c r="AU799" s="115"/>
      <c r="AV799" s="115"/>
      <c r="AW799" s="115"/>
      <c r="AX799" s="115"/>
      <c r="AY799" s="115"/>
      <c r="AZ799" s="17"/>
      <c r="BA799" s="13"/>
      <c r="BD799" s="114"/>
    </row>
    <row r="800" spans="30:56" x14ac:dyDescent="0.4">
      <c r="AD800" s="115"/>
      <c r="AE800" s="115"/>
      <c r="AF800" s="115"/>
      <c r="AG800" s="115"/>
      <c r="AH800" s="115"/>
      <c r="AI800" s="122"/>
      <c r="AJ800" s="122"/>
      <c r="AK800" s="122"/>
      <c r="AL800" s="115"/>
      <c r="AM800" s="115"/>
      <c r="AN800" s="115"/>
      <c r="AO800" s="115"/>
      <c r="AP800" s="115"/>
      <c r="AQ800" s="115"/>
      <c r="AR800" s="115"/>
      <c r="AS800" s="115"/>
      <c r="AT800" s="115"/>
      <c r="AU800" s="115"/>
      <c r="AV800" s="115"/>
      <c r="AW800" s="115"/>
      <c r="AX800" s="115"/>
      <c r="AY800" s="115"/>
      <c r="AZ800" s="17"/>
      <c r="BA800" s="13"/>
      <c r="BD800" s="114"/>
    </row>
    <row r="801" spans="30:56" x14ac:dyDescent="0.4">
      <c r="AD801" s="115"/>
      <c r="AE801" s="115"/>
      <c r="AF801" s="115"/>
      <c r="AG801" s="115"/>
      <c r="AH801" s="115"/>
      <c r="AI801" s="122"/>
      <c r="AJ801" s="122"/>
      <c r="AK801" s="122"/>
      <c r="AL801" s="115"/>
      <c r="AM801" s="115"/>
      <c r="AN801" s="115"/>
      <c r="AO801" s="115"/>
      <c r="AP801" s="115"/>
      <c r="AQ801" s="115"/>
      <c r="AR801" s="115"/>
      <c r="AS801" s="115"/>
      <c r="AT801" s="115"/>
      <c r="AU801" s="115"/>
      <c r="AV801" s="115"/>
      <c r="AW801" s="115"/>
      <c r="AX801" s="115"/>
      <c r="AY801" s="115"/>
      <c r="AZ801" s="17"/>
      <c r="BA801" s="13"/>
      <c r="BD801" s="114"/>
    </row>
    <row r="802" spans="30:56" x14ac:dyDescent="0.4">
      <c r="AD802" s="115"/>
      <c r="AE802" s="115"/>
      <c r="AF802" s="115"/>
      <c r="AG802" s="115"/>
      <c r="AH802" s="115"/>
      <c r="AI802" s="122"/>
      <c r="AJ802" s="122"/>
      <c r="AK802" s="122"/>
      <c r="AL802" s="115"/>
      <c r="AM802" s="115"/>
      <c r="AN802" s="115"/>
      <c r="AO802" s="115"/>
      <c r="AP802" s="115"/>
      <c r="AQ802" s="115"/>
      <c r="AR802" s="115"/>
      <c r="AS802" s="115"/>
      <c r="AT802" s="115"/>
      <c r="AU802" s="115"/>
      <c r="AV802" s="115"/>
      <c r="AW802" s="115"/>
      <c r="AX802" s="115"/>
      <c r="AY802" s="115"/>
      <c r="AZ802" s="26"/>
      <c r="BA802" s="13"/>
      <c r="BD802" s="114"/>
    </row>
    <row r="803" spans="30:56" x14ac:dyDescent="0.4">
      <c r="AD803" s="115"/>
      <c r="AE803" s="115"/>
      <c r="AF803" s="115"/>
      <c r="AG803" s="115"/>
      <c r="AH803" s="115"/>
      <c r="AI803" s="122"/>
      <c r="AJ803" s="122"/>
      <c r="AK803" s="122"/>
      <c r="AL803" s="115"/>
      <c r="AM803" s="115"/>
      <c r="AN803" s="115"/>
      <c r="AO803" s="115"/>
      <c r="AP803" s="115"/>
      <c r="AQ803" s="115"/>
      <c r="AR803" s="115"/>
      <c r="AS803" s="115"/>
      <c r="AT803" s="115"/>
      <c r="AU803" s="115"/>
      <c r="AV803" s="115"/>
      <c r="AW803" s="115"/>
      <c r="AX803" s="115"/>
      <c r="AY803" s="115"/>
      <c r="AZ803" s="17"/>
      <c r="BA803" s="13"/>
      <c r="BD803" s="114"/>
    </row>
    <row r="804" spans="30:56" x14ac:dyDescent="0.4">
      <c r="AD804" s="115"/>
      <c r="AE804" s="115"/>
      <c r="AF804" s="115"/>
      <c r="AG804" s="115"/>
      <c r="AH804" s="115"/>
      <c r="AI804" s="122"/>
      <c r="AJ804" s="122"/>
      <c r="AK804" s="122"/>
      <c r="AL804" s="115"/>
      <c r="AM804" s="115"/>
      <c r="AN804" s="115"/>
      <c r="AO804" s="115"/>
      <c r="AP804" s="115"/>
      <c r="AQ804" s="115"/>
      <c r="AR804" s="115"/>
      <c r="AS804" s="115"/>
      <c r="AT804" s="115"/>
      <c r="AU804" s="115"/>
      <c r="AV804" s="115"/>
      <c r="AW804" s="115"/>
      <c r="AX804" s="115"/>
      <c r="AY804" s="115"/>
      <c r="AZ804" s="26"/>
      <c r="BA804" s="13"/>
      <c r="BD804" s="114"/>
    </row>
    <row r="805" spans="30:56" x14ac:dyDescent="0.4">
      <c r="AD805" s="115"/>
      <c r="AE805" s="115"/>
      <c r="AF805" s="115"/>
      <c r="AG805" s="115"/>
      <c r="AH805" s="115"/>
      <c r="AI805" s="122"/>
      <c r="AJ805" s="122"/>
      <c r="AK805" s="122"/>
      <c r="AL805" s="115"/>
      <c r="AM805" s="115"/>
      <c r="AN805" s="115"/>
      <c r="AO805" s="115"/>
      <c r="AP805" s="115"/>
      <c r="AQ805" s="115"/>
      <c r="AR805" s="115"/>
      <c r="AS805" s="115"/>
      <c r="AT805" s="115"/>
      <c r="AU805" s="115"/>
      <c r="AV805" s="115"/>
      <c r="AW805" s="115"/>
      <c r="AX805" s="115"/>
      <c r="AY805" s="115"/>
      <c r="AZ805" s="17"/>
      <c r="BA805" s="13"/>
      <c r="BD805" s="114"/>
    </row>
    <row r="806" spans="30:56" x14ac:dyDescent="0.4">
      <c r="AD806" s="115"/>
      <c r="AE806" s="115"/>
      <c r="AF806" s="115"/>
      <c r="AG806" s="115"/>
      <c r="AH806" s="115"/>
      <c r="AI806" s="122"/>
      <c r="AJ806" s="122"/>
      <c r="AK806" s="122"/>
      <c r="AL806" s="115"/>
      <c r="AM806" s="115"/>
      <c r="AN806" s="115"/>
      <c r="AO806" s="115"/>
      <c r="AP806" s="115"/>
      <c r="AQ806" s="115"/>
      <c r="AR806" s="115"/>
      <c r="AS806" s="115"/>
      <c r="AT806" s="115"/>
      <c r="AU806" s="115"/>
      <c r="AV806" s="115"/>
      <c r="AW806" s="115"/>
      <c r="AX806" s="115"/>
      <c r="AY806" s="115"/>
      <c r="AZ806" s="26"/>
      <c r="BA806" s="25"/>
      <c r="BD806" s="114"/>
    </row>
    <row r="807" spans="30:56" x14ac:dyDescent="0.4">
      <c r="AD807" s="115"/>
      <c r="AE807" s="115"/>
      <c r="AF807" s="115"/>
      <c r="AG807" s="115"/>
      <c r="AH807" s="115"/>
      <c r="AI807" s="122"/>
      <c r="AJ807" s="122"/>
      <c r="AK807" s="122"/>
      <c r="AL807" s="115"/>
      <c r="AM807" s="115"/>
      <c r="AN807" s="115"/>
      <c r="AO807" s="115"/>
      <c r="AP807" s="115"/>
      <c r="AQ807" s="115"/>
      <c r="AR807" s="115"/>
      <c r="AS807" s="115"/>
      <c r="AT807" s="115"/>
      <c r="AU807" s="115"/>
      <c r="AV807" s="115"/>
      <c r="AW807" s="115"/>
      <c r="AX807" s="115"/>
      <c r="AY807" s="115"/>
      <c r="AZ807" s="17"/>
      <c r="BA807" s="13"/>
      <c r="BD807" s="114"/>
    </row>
    <row r="808" spans="30:56" x14ac:dyDescent="0.4">
      <c r="AD808" s="115"/>
      <c r="AE808" s="115"/>
      <c r="AF808" s="115"/>
      <c r="AG808" s="115"/>
      <c r="AH808" s="115"/>
      <c r="AI808" s="122"/>
      <c r="AJ808" s="122"/>
      <c r="AK808" s="122"/>
      <c r="AL808" s="115"/>
      <c r="AM808" s="115"/>
      <c r="AN808" s="115"/>
      <c r="AO808" s="115"/>
      <c r="AP808" s="115"/>
      <c r="AQ808" s="115"/>
      <c r="AR808" s="115"/>
      <c r="AS808" s="115"/>
      <c r="AT808" s="115"/>
      <c r="AU808" s="115"/>
      <c r="AV808" s="115"/>
      <c r="AW808" s="115"/>
      <c r="AX808" s="115"/>
      <c r="AY808" s="115"/>
      <c r="AZ808" s="17"/>
      <c r="BA808" s="13"/>
      <c r="BD808" s="114"/>
    </row>
    <row r="809" spans="30:56" x14ac:dyDescent="0.4">
      <c r="AD809" s="115"/>
      <c r="AE809" s="115"/>
      <c r="AF809" s="115"/>
      <c r="AG809" s="115"/>
      <c r="AH809" s="115"/>
      <c r="AI809" s="122"/>
      <c r="AJ809" s="122"/>
      <c r="AK809" s="122"/>
      <c r="AL809" s="115"/>
      <c r="AM809" s="115"/>
      <c r="AN809" s="115"/>
      <c r="AO809" s="115"/>
      <c r="AP809" s="115"/>
      <c r="AQ809" s="115"/>
      <c r="AR809" s="115"/>
      <c r="AS809" s="115"/>
      <c r="AT809" s="115"/>
      <c r="AU809" s="115"/>
      <c r="AV809" s="115"/>
      <c r="AW809" s="115"/>
      <c r="AX809" s="115"/>
      <c r="AY809" s="115"/>
      <c r="AZ809" s="26"/>
      <c r="BA809" s="15"/>
      <c r="BD809" s="114"/>
    </row>
    <row r="810" spans="30:56" x14ac:dyDescent="0.4">
      <c r="AD810" s="115"/>
      <c r="AE810" s="115"/>
      <c r="AF810" s="115"/>
      <c r="AG810" s="115"/>
      <c r="AH810" s="115"/>
      <c r="AI810" s="122"/>
      <c r="AJ810" s="122"/>
      <c r="AK810" s="122"/>
      <c r="AL810" s="115"/>
      <c r="AM810" s="115"/>
      <c r="AN810" s="115"/>
      <c r="AO810" s="115"/>
      <c r="AP810" s="115"/>
      <c r="AQ810" s="115"/>
      <c r="AR810" s="115"/>
      <c r="AS810" s="115"/>
      <c r="AT810" s="115"/>
      <c r="AU810" s="115"/>
      <c r="AV810" s="115"/>
      <c r="AW810" s="115"/>
      <c r="AX810" s="115"/>
      <c r="AY810" s="115"/>
      <c r="AZ810" s="26"/>
      <c r="BA810" s="15"/>
      <c r="BD810" s="114"/>
    </row>
    <row r="811" spans="30:56" x14ac:dyDescent="0.4">
      <c r="AD811" s="115"/>
      <c r="AE811" s="115"/>
      <c r="AF811" s="115"/>
      <c r="AG811" s="115"/>
      <c r="AH811" s="115"/>
      <c r="AI811" s="122"/>
      <c r="AJ811" s="122"/>
      <c r="AK811" s="122"/>
      <c r="AL811" s="115"/>
      <c r="AM811" s="115"/>
      <c r="AN811" s="115"/>
      <c r="AO811" s="115"/>
      <c r="AP811" s="115"/>
      <c r="AQ811" s="115"/>
      <c r="AR811" s="115"/>
      <c r="AS811" s="115"/>
      <c r="AT811" s="115"/>
      <c r="AU811" s="115"/>
      <c r="AV811" s="115"/>
      <c r="AW811" s="115"/>
      <c r="AX811" s="115"/>
      <c r="AY811" s="115"/>
      <c r="AZ811" s="26"/>
      <c r="BA811" s="15"/>
      <c r="BD811" s="114"/>
    </row>
    <row r="812" spans="30:56" x14ac:dyDescent="0.4">
      <c r="AD812" s="115"/>
      <c r="AE812" s="115"/>
      <c r="AF812" s="115"/>
      <c r="AG812" s="115"/>
      <c r="AH812" s="115"/>
      <c r="AI812" s="122"/>
      <c r="AJ812" s="122"/>
      <c r="AK812" s="122"/>
      <c r="AL812" s="115"/>
      <c r="AM812" s="115"/>
      <c r="AN812" s="115"/>
      <c r="AO812" s="115"/>
      <c r="AP812" s="115"/>
      <c r="AQ812" s="115"/>
      <c r="AR812" s="115"/>
      <c r="AS812" s="115"/>
      <c r="AT812" s="115"/>
      <c r="AU812" s="115"/>
      <c r="AV812" s="115"/>
      <c r="AW812" s="115"/>
      <c r="AX812" s="115"/>
      <c r="AY812" s="115"/>
      <c r="AZ812" s="26"/>
      <c r="BA812" s="15"/>
      <c r="BD812" s="114"/>
    </row>
    <row r="813" spans="30:56" x14ac:dyDescent="0.4">
      <c r="AD813" s="115"/>
      <c r="AE813" s="115"/>
      <c r="AF813" s="115"/>
      <c r="AG813" s="115"/>
      <c r="AH813" s="115"/>
      <c r="AI813" s="122"/>
      <c r="AJ813" s="122"/>
      <c r="AK813" s="122"/>
      <c r="AL813" s="115"/>
      <c r="AM813" s="115"/>
      <c r="AN813" s="115"/>
      <c r="AO813" s="115"/>
      <c r="AP813" s="115"/>
      <c r="AQ813" s="115"/>
      <c r="AR813" s="115"/>
      <c r="AS813" s="115"/>
      <c r="AT813" s="115"/>
      <c r="AU813" s="115"/>
      <c r="AV813" s="115"/>
      <c r="AW813" s="115"/>
      <c r="AX813" s="115"/>
      <c r="AY813" s="115"/>
      <c r="AZ813" s="26"/>
      <c r="BA813" s="15"/>
      <c r="BD813" s="114"/>
    </row>
    <row r="814" spans="30:56" x14ac:dyDescent="0.4">
      <c r="AD814" s="115"/>
      <c r="AE814" s="115"/>
      <c r="AF814" s="115"/>
      <c r="AG814" s="115"/>
      <c r="AH814" s="115"/>
      <c r="AI814" s="122"/>
      <c r="AJ814" s="122"/>
      <c r="AK814" s="122"/>
      <c r="AL814" s="115"/>
      <c r="AM814" s="115"/>
      <c r="AN814" s="115"/>
      <c r="AO814" s="115"/>
      <c r="AP814" s="115"/>
      <c r="AQ814" s="115"/>
      <c r="AR814" s="115"/>
      <c r="AS814" s="115"/>
      <c r="AT814" s="115"/>
      <c r="AU814" s="115"/>
      <c r="AV814" s="115"/>
      <c r="AW814" s="115"/>
      <c r="AX814" s="115"/>
      <c r="AY814" s="115"/>
      <c r="AZ814" s="26"/>
      <c r="BA814" s="15"/>
      <c r="BD814" s="114"/>
    </row>
    <row r="815" spans="30:56" x14ac:dyDescent="0.4">
      <c r="AD815" s="115"/>
      <c r="AE815" s="115"/>
      <c r="AF815" s="115"/>
      <c r="AG815" s="115"/>
      <c r="AH815" s="115"/>
      <c r="AI815" s="122"/>
      <c r="AJ815" s="122"/>
      <c r="AK815" s="122"/>
      <c r="AL815" s="115"/>
      <c r="AM815" s="115"/>
      <c r="AN815" s="115"/>
      <c r="AO815" s="115"/>
      <c r="AP815" s="115"/>
      <c r="AQ815" s="115"/>
      <c r="AR815" s="115"/>
      <c r="AS815" s="115"/>
      <c r="AT815" s="115"/>
      <c r="AU815" s="115"/>
      <c r="AV815" s="115"/>
      <c r="AW815" s="115"/>
      <c r="AX815" s="115"/>
      <c r="AY815" s="115"/>
      <c r="AZ815" s="26"/>
      <c r="BA815" s="15"/>
      <c r="BD815" s="114"/>
    </row>
    <row r="816" spans="30:56" x14ac:dyDescent="0.4">
      <c r="AD816" s="115"/>
      <c r="AE816" s="115"/>
      <c r="AF816" s="115"/>
      <c r="AG816" s="115"/>
      <c r="AH816" s="115"/>
      <c r="AI816" s="122"/>
      <c r="AJ816" s="122"/>
      <c r="AK816" s="122"/>
      <c r="AL816" s="115"/>
      <c r="AM816" s="115"/>
      <c r="AN816" s="115"/>
      <c r="AO816" s="115"/>
      <c r="AP816" s="115"/>
      <c r="AQ816" s="115"/>
      <c r="AR816" s="115"/>
      <c r="AS816" s="115"/>
      <c r="AT816" s="115"/>
      <c r="AU816" s="115"/>
      <c r="AV816" s="115"/>
      <c r="AW816" s="115"/>
      <c r="AX816" s="115"/>
      <c r="AY816" s="115"/>
      <c r="AZ816" s="26"/>
      <c r="BA816" s="15"/>
      <c r="BD816" s="114"/>
    </row>
    <row r="817" spans="30:56" x14ac:dyDescent="0.4">
      <c r="AD817" s="115"/>
      <c r="AE817" s="115"/>
      <c r="AF817" s="115"/>
      <c r="AG817" s="115"/>
      <c r="AH817" s="115"/>
      <c r="AI817" s="122"/>
      <c r="AJ817" s="122"/>
      <c r="AK817" s="122"/>
      <c r="AL817" s="115"/>
      <c r="AM817" s="115"/>
      <c r="AN817" s="115"/>
      <c r="AO817" s="115"/>
      <c r="AP817" s="115"/>
      <c r="AQ817" s="115"/>
      <c r="AR817" s="115"/>
      <c r="AS817" s="115"/>
      <c r="AT817" s="115"/>
      <c r="AU817" s="115"/>
      <c r="AV817" s="115"/>
      <c r="AW817" s="115"/>
      <c r="AX817" s="115"/>
      <c r="AY817" s="115"/>
      <c r="AZ817" s="17"/>
      <c r="BA817" s="15"/>
      <c r="BD817" s="114"/>
    </row>
    <row r="818" spans="30:56" x14ac:dyDescent="0.4">
      <c r="AD818" s="115"/>
      <c r="AE818" s="115"/>
      <c r="AF818" s="115"/>
      <c r="AG818" s="115"/>
      <c r="AH818" s="115"/>
      <c r="AI818" s="122"/>
      <c r="AJ818" s="122"/>
      <c r="AK818" s="122"/>
      <c r="AL818" s="115"/>
      <c r="AM818" s="115"/>
      <c r="AN818" s="115"/>
      <c r="AO818" s="115"/>
      <c r="AP818" s="115"/>
      <c r="AQ818" s="115"/>
      <c r="AR818" s="115"/>
      <c r="AS818" s="115"/>
      <c r="AT818" s="115"/>
      <c r="AU818" s="115"/>
      <c r="AV818" s="115"/>
      <c r="AW818" s="115"/>
      <c r="AX818" s="115"/>
      <c r="AY818" s="115"/>
      <c r="AZ818" s="26"/>
      <c r="BA818" s="15"/>
      <c r="BD818" s="114"/>
    </row>
    <row r="819" spans="30:56" x14ac:dyDescent="0.4">
      <c r="AD819" s="115"/>
      <c r="AE819" s="115"/>
      <c r="AF819" s="115"/>
      <c r="AG819" s="115"/>
      <c r="AH819" s="115"/>
      <c r="AI819" s="122"/>
      <c r="AJ819" s="122"/>
      <c r="AK819" s="122"/>
      <c r="AL819" s="115"/>
      <c r="AM819" s="115"/>
      <c r="AN819" s="115"/>
      <c r="AO819" s="115"/>
      <c r="AP819" s="115"/>
      <c r="AQ819" s="115"/>
      <c r="AR819" s="115"/>
      <c r="AS819" s="115"/>
      <c r="AT819" s="115"/>
      <c r="AU819" s="115"/>
      <c r="AV819" s="115"/>
      <c r="AW819" s="115"/>
      <c r="AX819" s="115"/>
      <c r="AY819" s="115"/>
      <c r="AZ819" s="26"/>
      <c r="BA819" s="13"/>
      <c r="BD819" s="114"/>
    </row>
    <row r="820" spans="30:56" x14ac:dyDescent="0.4">
      <c r="AD820" s="115"/>
      <c r="AE820" s="115"/>
      <c r="AF820" s="115"/>
      <c r="AG820" s="115"/>
      <c r="AH820" s="115"/>
      <c r="AI820" s="122"/>
      <c r="AJ820" s="122"/>
      <c r="AK820" s="122"/>
      <c r="AL820" s="115"/>
      <c r="AM820" s="115"/>
      <c r="AN820" s="115"/>
      <c r="AO820" s="115"/>
      <c r="AP820" s="115"/>
      <c r="AQ820" s="115"/>
      <c r="AR820" s="115"/>
      <c r="AS820" s="115"/>
      <c r="AT820" s="115"/>
      <c r="AU820" s="115"/>
      <c r="AV820" s="115"/>
      <c r="AW820" s="115"/>
      <c r="AX820" s="115"/>
      <c r="AY820" s="115"/>
      <c r="AZ820" s="26"/>
      <c r="BA820" s="13"/>
      <c r="BD820" s="114"/>
    </row>
    <row r="821" spans="30:56" x14ac:dyDescent="0.4">
      <c r="AD821" s="115"/>
      <c r="AE821" s="115"/>
      <c r="AF821" s="115"/>
      <c r="AG821" s="115"/>
      <c r="AH821" s="115"/>
      <c r="AI821" s="122"/>
      <c r="AJ821" s="122"/>
      <c r="AK821" s="122"/>
      <c r="AL821" s="115"/>
      <c r="AM821" s="115"/>
      <c r="AN821" s="115"/>
      <c r="AO821" s="115"/>
      <c r="AP821" s="115"/>
      <c r="AQ821" s="115"/>
      <c r="AR821" s="115"/>
      <c r="AS821" s="115"/>
      <c r="AT821" s="115"/>
      <c r="AU821" s="115"/>
      <c r="AV821" s="115"/>
      <c r="AW821" s="115"/>
      <c r="AX821" s="115"/>
      <c r="AY821" s="115"/>
      <c r="AZ821" s="26"/>
      <c r="BA821" s="13"/>
      <c r="BD821" s="114"/>
    </row>
    <row r="822" spans="30:56" x14ac:dyDescent="0.4">
      <c r="AD822" s="115"/>
      <c r="AE822" s="115"/>
      <c r="AF822" s="115"/>
      <c r="AG822" s="115"/>
      <c r="AH822" s="115"/>
      <c r="AI822" s="122"/>
      <c r="AJ822" s="122"/>
      <c r="AK822" s="122"/>
      <c r="AL822" s="115"/>
      <c r="AM822" s="115"/>
      <c r="AN822" s="115"/>
      <c r="AO822" s="115"/>
      <c r="AP822" s="115"/>
      <c r="AQ822" s="115"/>
      <c r="AR822" s="115"/>
      <c r="AS822" s="115"/>
      <c r="AT822" s="115"/>
      <c r="AU822" s="115"/>
      <c r="AV822" s="115"/>
      <c r="AW822" s="115"/>
      <c r="AX822" s="115"/>
      <c r="AY822" s="115"/>
      <c r="AZ822" s="26"/>
      <c r="BA822" s="13"/>
      <c r="BD822" s="114"/>
    </row>
    <row r="823" spans="30:56" x14ac:dyDescent="0.4">
      <c r="AD823" s="115"/>
      <c r="AE823" s="115"/>
      <c r="AF823" s="115"/>
      <c r="AG823" s="115"/>
      <c r="AH823" s="115"/>
      <c r="AI823" s="122"/>
      <c r="AJ823" s="122"/>
      <c r="AK823" s="122"/>
      <c r="AL823" s="115"/>
      <c r="AM823" s="115"/>
      <c r="AN823" s="115"/>
      <c r="AO823" s="115"/>
      <c r="AP823" s="115"/>
      <c r="AQ823" s="115"/>
      <c r="AR823" s="115"/>
      <c r="AS823" s="115"/>
      <c r="AT823" s="115"/>
      <c r="AU823" s="115"/>
      <c r="AV823" s="115"/>
      <c r="AW823" s="115"/>
      <c r="AX823" s="115"/>
      <c r="AY823" s="115"/>
      <c r="AZ823" s="26"/>
      <c r="BA823" s="13"/>
      <c r="BD823" s="114"/>
    </row>
    <row r="824" spans="30:56" x14ac:dyDescent="0.4">
      <c r="AD824" s="115"/>
      <c r="AE824" s="115"/>
      <c r="AF824" s="115"/>
      <c r="AG824" s="115"/>
      <c r="AH824" s="115"/>
      <c r="AI824" s="122"/>
      <c r="AJ824" s="122"/>
      <c r="AK824" s="122"/>
      <c r="AL824" s="115"/>
      <c r="AM824" s="115"/>
      <c r="AN824" s="115"/>
      <c r="AO824" s="115"/>
      <c r="AP824" s="115"/>
      <c r="AQ824" s="115"/>
      <c r="AR824" s="115"/>
      <c r="AS824" s="115"/>
      <c r="AT824" s="115"/>
      <c r="AU824" s="115"/>
      <c r="AV824" s="115"/>
      <c r="AW824" s="115"/>
      <c r="AX824" s="115"/>
      <c r="AY824" s="115"/>
      <c r="AZ824" s="26"/>
      <c r="BA824" s="13"/>
      <c r="BD824" s="114"/>
    </row>
    <row r="825" spans="30:56" x14ac:dyDescent="0.4">
      <c r="AD825" s="115"/>
      <c r="AE825" s="115"/>
      <c r="AF825" s="115"/>
      <c r="AG825" s="115"/>
      <c r="AH825" s="115"/>
      <c r="AI825" s="122"/>
      <c r="AJ825" s="122"/>
      <c r="AK825" s="122"/>
      <c r="AL825" s="115"/>
      <c r="AM825" s="115"/>
      <c r="AN825" s="115"/>
      <c r="AO825" s="115"/>
      <c r="AP825" s="115"/>
      <c r="AQ825" s="115"/>
      <c r="AR825" s="115"/>
      <c r="AS825" s="115"/>
      <c r="AT825" s="115"/>
      <c r="AU825" s="115"/>
      <c r="AV825" s="115"/>
      <c r="AW825" s="115"/>
      <c r="AX825" s="115"/>
      <c r="AY825" s="115"/>
      <c r="AZ825" s="26"/>
      <c r="BA825" s="13"/>
      <c r="BD825" s="114"/>
    </row>
    <row r="826" spans="30:56" x14ac:dyDescent="0.4">
      <c r="AD826" s="115"/>
      <c r="AE826" s="115"/>
      <c r="AF826" s="115"/>
      <c r="AG826" s="115"/>
      <c r="AH826" s="115"/>
      <c r="AI826" s="122"/>
      <c r="AJ826" s="122"/>
      <c r="AK826" s="122"/>
      <c r="AL826" s="115"/>
      <c r="AM826" s="115"/>
      <c r="AN826" s="115"/>
      <c r="AO826" s="115"/>
      <c r="AP826" s="115"/>
      <c r="AQ826" s="115"/>
      <c r="AR826" s="115"/>
      <c r="AS826" s="115"/>
      <c r="AT826" s="115"/>
      <c r="AU826" s="115"/>
      <c r="AV826" s="115"/>
      <c r="AW826" s="115"/>
      <c r="AX826" s="115"/>
      <c r="AY826" s="115"/>
      <c r="AZ826" s="26"/>
      <c r="BA826" s="13"/>
      <c r="BD826" s="114"/>
    </row>
    <row r="827" spans="30:56" x14ac:dyDescent="0.4">
      <c r="AD827" s="115"/>
      <c r="AE827" s="115"/>
      <c r="AF827" s="115"/>
      <c r="AG827" s="115"/>
      <c r="AH827" s="115"/>
      <c r="AI827" s="122"/>
      <c r="AJ827" s="122"/>
      <c r="AK827" s="122"/>
      <c r="AL827" s="115"/>
      <c r="AM827" s="115"/>
      <c r="AN827" s="115"/>
      <c r="AO827" s="115"/>
      <c r="AP827" s="115"/>
      <c r="AQ827" s="115"/>
      <c r="AR827" s="115"/>
      <c r="AS827" s="115"/>
      <c r="AT827" s="115"/>
      <c r="AU827" s="115"/>
      <c r="AV827" s="115"/>
      <c r="AW827" s="115"/>
      <c r="AX827" s="115"/>
      <c r="AY827" s="115"/>
      <c r="AZ827" s="26"/>
      <c r="BA827" s="13"/>
      <c r="BD827" s="114"/>
    </row>
    <row r="828" spans="30:56" x14ac:dyDescent="0.4">
      <c r="AD828" s="115"/>
      <c r="AE828" s="115"/>
      <c r="AF828" s="115"/>
      <c r="AG828" s="115"/>
      <c r="AH828" s="115"/>
      <c r="AI828" s="122"/>
      <c r="AJ828" s="122"/>
      <c r="AK828" s="122"/>
      <c r="AL828" s="115"/>
      <c r="AM828" s="115"/>
      <c r="AN828" s="115"/>
      <c r="AO828" s="115"/>
      <c r="AP828" s="115"/>
      <c r="AQ828" s="115"/>
      <c r="AR828" s="115"/>
      <c r="AS828" s="115"/>
      <c r="AT828" s="115"/>
      <c r="AU828" s="115"/>
      <c r="AV828" s="115"/>
      <c r="AW828" s="115"/>
      <c r="AX828" s="115"/>
      <c r="AY828" s="115"/>
      <c r="AZ828" s="26"/>
      <c r="BA828" s="13"/>
      <c r="BD828" s="114"/>
    </row>
    <row r="829" spans="30:56" x14ac:dyDescent="0.4">
      <c r="AD829" s="115"/>
      <c r="AE829" s="115"/>
      <c r="AF829" s="115"/>
      <c r="AG829" s="115"/>
      <c r="AH829" s="115"/>
      <c r="AI829" s="122"/>
      <c r="AJ829" s="122"/>
      <c r="AK829" s="122"/>
      <c r="AL829" s="115"/>
      <c r="AM829" s="115"/>
      <c r="AN829" s="115"/>
      <c r="AO829" s="115"/>
      <c r="AP829" s="115"/>
      <c r="AQ829" s="115"/>
      <c r="AR829" s="115"/>
      <c r="AS829" s="115"/>
      <c r="AT829" s="115"/>
      <c r="AU829" s="115"/>
      <c r="AV829" s="115"/>
      <c r="AW829" s="115"/>
      <c r="AX829" s="115"/>
      <c r="AY829" s="115"/>
      <c r="AZ829" s="26"/>
      <c r="BA829" s="13"/>
      <c r="BD829" s="114"/>
    </row>
    <row r="830" spans="30:56" x14ac:dyDescent="0.4">
      <c r="AD830" s="115"/>
      <c r="AE830" s="115"/>
      <c r="AF830" s="115"/>
      <c r="AG830" s="115"/>
      <c r="AH830" s="115"/>
      <c r="AI830" s="122"/>
      <c r="AJ830" s="122"/>
      <c r="AK830" s="122"/>
      <c r="AL830" s="115"/>
      <c r="AM830" s="115"/>
      <c r="AN830" s="115"/>
      <c r="AO830" s="115"/>
      <c r="AP830" s="115"/>
      <c r="AQ830" s="115"/>
      <c r="AR830" s="115"/>
      <c r="AS830" s="115"/>
      <c r="AT830" s="115"/>
      <c r="AU830" s="115"/>
      <c r="AV830" s="115"/>
      <c r="AW830" s="115"/>
      <c r="AX830" s="115"/>
      <c r="AY830" s="115"/>
      <c r="AZ830" s="17"/>
      <c r="BA830" s="13"/>
      <c r="BD830" s="114"/>
    </row>
    <row r="831" spans="30:56" x14ac:dyDescent="0.4">
      <c r="AD831" s="115"/>
      <c r="AE831" s="115"/>
      <c r="AF831" s="115"/>
      <c r="AG831" s="115"/>
      <c r="AH831" s="115"/>
      <c r="AI831" s="122"/>
      <c r="AJ831" s="122"/>
      <c r="AK831" s="122"/>
      <c r="AL831" s="115"/>
      <c r="AM831" s="115"/>
      <c r="AN831" s="115"/>
      <c r="AO831" s="115"/>
      <c r="AP831" s="115"/>
      <c r="AQ831" s="115"/>
      <c r="AR831" s="115"/>
      <c r="AS831" s="115"/>
      <c r="AT831" s="115"/>
      <c r="AU831" s="115"/>
      <c r="AV831" s="115"/>
      <c r="AW831" s="115"/>
      <c r="AX831" s="115"/>
      <c r="AY831" s="115"/>
      <c r="AZ831" s="26"/>
      <c r="BA831" s="13"/>
      <c r="BD831" s="114"/>
    </row>
    <row r="832" spans="30:56" x14ac:dyDescent="0.4">
      <c r="AD832" s="115"/>
      <c r="AE832" s="115"/>
      <c r="AF832" s="115"/>
      <c r="AG832" s="115"/>
      <c r="AH832" s="115"/>
      <c r="AI832" s="122"/>
      <c r="AJ832" s="122"/>
      <c r="AK832" s="122"/>
      <c r="AL832" s="115"/>
      <c r="AM832" s="115"/>
      <c r="AN832" s="115"/>
      <c r="AO832" s="115"/>
      <c r="AP832" s="115"/>
      <c r="AQ832" s="115"/>
      <c r="AR832" s="115"/>
      <c r="AS832" s="115"/>
      <c r="AT832" s="115"/>
      <c r="AU832" s="115"/>
      <c r="AV832" s="115"/>
      <c r="AW832" s="115"/>
      <c r="AX832" s="115"/>
      <c r="AY832" s="115"/>
      <c r="AZ832" s="26"/>
      <c r="BA832" s="13"/>
      <c r="BD832" s="114"/>
    </row>
    <row r="833" spans="29:56" x14ac:dyDescent="0.4">
      <c r="AD833" s="115"/>
      <c r="AE833" s="115"/>
      <c r="AF833" s="115"/>
      <c r="AG833" s="115"/>
      <c r="AH833" s="115"/>
      <c r="AI833" s="122"/>
      <c r="AJ833" s="122"/>
      <c r="AK833" s="122"/>
      <c r="AL833" s="115"/>
      <c r="AM833" s="115"/>
      <c r="AN833" s="115"/>
      <c r="AO833" s="115"/>
      <c r="AP833" s="115"/>
      <c r="AQ833" s="115"/>
      <c r="AR833" s="115"/>
      <c r="AS833" s="115"/>
      <c r="AT833" s="115"/>
      <c r="AU833" s="115"/>
      <c r="AV833" s="115"/>
      <c r="AW833" s="115"/>
      <c r="AX833" s="115"/>
      <c r="AY833" s="115"/>
      <c r="AZ833" s="26"/>
      <c r="BA833" s="13"/>
      <c r="BD833" s="114"/>
    </row>
    <row r="834" spans="29:56" x14ac:dyDescent="0.4">
      <c r="AD834" s="115"/>
      <c r="AE834" s="115"/>
      <c r="AF834" s="115"/>
      <c r="AG834" s="115"/>
      <c r="AH834" s="115"/>
      <c r="AI834" s="122"/>
      <c r="AJ834" s="122"/>
      <c r="AK834" s="122"/>
      <c r="AL834" s="115"/>
      <c r="AM834" s="115"/>
      <c r="AN834" s="115"/>
      <c r="AO834" s="115"/>
      <c r="AP834" s="115"/>
      <c r="AQ834" s="115"/>
      <c r="AR834" s="115"/>
      <c r="AS834" s="115"/>
      <c r="AT834" s="115"/>
      <c r="AU834" s="115"/>
      <c r="AV834" s="115"/>
      <c r="AW834" s="115"/>
      <c r="AX834" s="115"/>
      <c r="AY834" s="115"/>
      <c r="AZ834" s="17"/>
      <c r="BA834" s="13"/>
      <c r="BD834" s="114"/>
    </row>
    <row r="835" spans="29:56" x14ac:dyDescent="0.4">
      <c r="AD835" s="115"/>
      <c r="AE835" s="115"/>
      <c r="AF835" s="115"/>
      <c r="AG835" s="115"/>
      <c r="AH835" s="115"/>
      <c r="AI835" s="122"/>
      <c r="AJ835" s="122"/>
      <c r="AK835" s="122"/>
      <c r="AL835" s="115"/>
      <c r="AM835" s="115"/>
      <c r="AN835" s="115"/>
      <c r="AO835" s="115"/>
      <c r="AP835" s="115"/>
      <c r="AQ835" s="115"/>
      <c r="AR835" s="115"/>
      <c r="AS835" s="115"/>
      <c r="AT835" s="115"/>
      <c r="AU835" s="115"/>
      <c r="AV835" s="115"/>
      <c r="AW835" s="115"/>
      <c r="AX835" s="115"/>
      <c r="AY835" s="115"/>
      <c r="AZ835" s="26"/>
      <c r="BA835" s="13"/>
      <c r="BD835" s="114"/>
    </row>
    <row r="836" spans="29:56" x14ac:dyDescent="0.4">
      <c r="AD836" s="115"/>
      <c r="AE836" s="115"/>
      <c r="AF836" s="115"/>
      <c r="AG836" s="115"/>
      <c r="AH836" s="115"/>
      <c r="AI836" s="122"/>
      <c r="AJ836" s="122"/>
      <c r="AK836" s="122"/>
      <c r="AL836" s="115"/>
      <c r="AM836" s="115"/>
      <c r="AN836" s="115"/>
      <c r="AO836" s="115"/>
      <c r="AP836" s="115"/>
      <c r="AQ836" s="115"/>
      <c r="AR836" s="115"/>
      <c r="AS836" s="115"/>
      <c r="AT836" s="115"/>
      <c r="AU836" s="115"/>
      <c r="AV836" s="115"/>
      <c r="AW836" s="115"/>
      <c r="AX836" s="115"/>
      <c r="AY836" s="115"/>
      <c r="AZ836" s="17"/>
      <c r="BA836" s="13"/>
      <c r="BD836" s="114"/>
    </row>
    <row r="837" spans="29:56" x14ac:dyDescent="0.4">
      <c r="AD837" s="115"/>
      <c r="AE837" s="115"/>
      <c r="AF837" s="115"/>
      <c r="AG837" s="115"/>
      <c r="AH837" s="115"/>
      <c r="AI837" s="122"/>
      <c r="AJ837" s="122"/>
      <c r="AK837" s="122"/>
      <c r="AL837" s="115"/>
      <c r="AM837" s="115"/>
      <c r="AN837" s="115"/>
      <c r="AO837" s="115"/>
      <c r="AP837" s="115"/>
      <c r="AQ837" s="115"/>
      <c r="AR837" s="115"/>
      <c r="AS837" s="115"/>
      <c r="AT837" s="115"/>
      <c r="AU837" s="115"/>
      <c r="AV837" s="115"/>
      <c r="AW837" s="115"/>
      <c r="AX837" s="115"/>
      <c r="AY837" s="115"/>
      <c r="AZ837" s="26"/>
      <c r="BA837" s="13"/>
      <c r="BD837" s="114"/>
    </row>
    <row r="838" spans="29:56" x14ac:dyDescent="0.4">
      <c r="AD838" s="115"/>
      <c r="AE838" s="115"/>
      <c r="AF838" s="115"/>
      <c r="AG838" s="115"/>
      <c r="AH838" s="115"/>
      <c r="AI838" s="122"/>
      <c r="AJ838" s="122"/>
      <c r="AK838" s="122"/>
      <c r="AL838" s="115"/>
      <c r="AM838" s="115"/>
      <c r="AN838" s="115"/>
      <c r="AO838" s="115"/>
      <c r="AP838" s="115"/>
      <c r="AQ838" s="115"/>
      <c r="AR838" s="115"/>
      <c r="AS838" s="115"/>
      <c r="AT838" s="115"/>
      <c r="AU838" s="115"/>
      <c r="AV838" s="115"/>
      <c r="AW838" s="115"/>
      <c r="AX838" s="115"/>
      <c r="AY838" s="115"/>
      <c r="AZ838" s="26"/>
      <c r="BA838" s="15"/>
      <c r="BD838" s="114"/>
    </row>
    <row r="839" spans="29:56" x14ac:dyDescent="0.4">
      <c r="AD839" s="115"/>
      <c r="AE839" s="115"/>
      <c r="AF839" s="115"/>
      <c r="AG839" s="115"/>
      <c r="AH839" s="115"/>
      <c r="AI839" s="122"/>
      <c r="AJ839" s="122"/>
      <c r="AK839" s="122"/>
      <c r="AL839" s="115"/>
      <c r="AM839" s="115"/>
      <c r="AN839" s="115"/>
      <c r="AO839" s="115"/>
      <c r="AP839" s="115"/>
      <c r="AQ839" s="115"/>
      <c r="AR839" s="115"/>
      <c r="AS839" s="115"/>
      <c r="AT839" s="115"/>
      <c r="AU839" s="115"/>
      <c r="AV839" s="115"/>
      <c r="AW839" s="115"/>
      <c r="AX839" s="115"/>
      <c r="AY839" s="115"/>
      <c r="AZ839" s="17"/>
      <c r="BA839" s="15"/>
      <c r="BD839" s="114"/>
    </row>
    <row r="840" spans="29:56" x14ac:dyDescent="0.4">
      <c r="AD840" s="115"/>
      <c r="AE840" s="115"/>
      <c r="AF840" s="115"/>
      <c r="AG840" s="115"/>
      <c r="AH840" s="115"/>
      <c r="AI840" s="122"/>
      <c r="AJ840" s="122"/>
      <c r="AK840" s="122"/>
      <c r="AL840" s="115"/>
      <c r="AM840" s="115"/>
      <c r="AN840" s="115"/>
      <c r="AO840" s="115"/>
      <c r="AP840" s="115"/>
      <c r="AQ840" s="115"/>
      <c r="AR840" s="115"/>
      <c r="AS840" s="115"/>
      <c r="AT840" s="115"/>
      <c r="AU840" s="115"/>
      <c r="AV840" s="115"/>
      <c r="AW840" s="115"/>
      <c r="AX840" s="115"/>
      <c r="AY840" s="115"/>
      <c r="AZ840" s="17"/>
      <c r="BA840" s="15"/>
      <c r="BD840" s="114"/>
    </row>
    <row r="841" spans="29:56" x14ac:dyDescent="0.4">
      <c r="AC841" s="115"/>
      <c r="AD841" s="115"/>
      <c r="AE841" s="115"/>
      <c r="AF841" s="115"/>
      <c r="AG841" s="115"/>
      <c r="AH841" s="115"/>
      <c r="AI841" s="122"/>
      <c r="AJ841" s="122"/>
      <c r="AK841" s="122"/>
      <c r="AL841" s="115"/>
      <c r="AM841" s="115"/>
      <c r="AN841" s="115"/>
      <c r="AO841" s="115"/>
      <c r="AP841" s="115"/>
      <c r="AQ841" s="115"/>
      <c r="AR841" s="115"/>
      <c r="AS841" s="115"/>
      <c r="AT841" s="115"/>
      <c r="AU841" s="115"/>
      <c r="AV841" s="115"/>
      <c r="AW841" s="115"/>
      <c r="AX841" s="115"/>
      <c r="AY841" s="115"/>
      <c r="AZ841" s="26"/>
      <c r="BA841" s="15"/>
      <c r="BD841" s="114"/>
    </row>
    <row r="842" spans="29:56" x14ac:dyDescent="0.4">
      <c r="AC842" s="115"/>
      <c r="AD842" s="115"/>
      <c r="AE842" s="115"/>
      <c r="AF842" s="115"/>
      <c r="AG842" s="115"/>
      <c r="AH842" s="115"/>
      <c r="AI842" s="122"/>
      <c r="AJ842" s="122"/>
      <c r="AK842" s="122"/>
      <c r="AL842" s="115"/>
      <c r="AM842" s="115"/>
      <c r="AN842" s="115"/>
      <c r="AO842" s="115"/>
      <c r="AP842" s="115"/>
      <c r="AQ842" s="115"/>
      <c r="AR842" s="115"/>
      <c r="AS842" s="115"/>
      <c r="AT842" s="115"/>
      <c r="AU842" s="115"/>
      <c r="AV842" s="115"/>
      <c r="AW842" s="115"/>
      <c r="AX842" s="115"/>
      <c r="AY842" s="115"/>
      <c r="AZ842" s="17"/>
      <c r="BA842" s="15"/>
      <c r="BD842" s="114"/>
    </row>
    <row r="843" spans="29:56" x14ac:dyDescent="0.4">
      <c r="AC843" s="115"/>
      <c r="AD843" s="115"/>
      <c r="AE843" s="115"/>
      <c r="AF843" s="115"/>
      <c r="AG843" s="115"/>
      <c r="AH843" s="115"/>
      <c r="AI843" s="122"/>
      <c r="AJ843" s="122"/>
      <c r="AK843" s="122"/>
      <c r="AL843" s="115"/>
      <c r="AM843" s="115"/>
      <c r="AN843" s="115"/>
      <c r="AO843" s="115"/>
      <c r="AP843" s="115"/>
      <c r="AQ843" s="115"/>
      <c r="AR843" s="115"/>
      <c r="AS843" s="115"/>
      <c r="AT843" s="115"/>
      <c r="AU843" s="115"/>
      <c r="AV843" s="115"/>
      <c r="AW843" s="115"/>
      <c r="AX843" s="115"/>
      <c r="AY843" s="115"/>
      <c r="AZ843" s="26"/>
      <c r="BA843" s="15"/>
      <c r="BD843" s="114"/>
    </row>
    <row r="844" spans="29:56" x14ac:dyDescent="0.4">
      <c r="AC844" s="115"/>
      <c r="AD844" s="115"/>
      <c r="AE844" s="115"/>
      <c r="AF844" s="115"/>
      <c r="AG844" s="115"/>
      <c r="AH844" s="115"/>
      <c r="AI844" s="122"/>
      <c r="AJ844" s="122"/>
      <c r="AK844" s="122"/>
      <c r="AL844" s="115"/>
      <c r="AM844" s="115"/>
      <c r="AN844" s="115"/>
      <c r="AO844" s="115"/>
      <c r="AP844" s="115"/>
      <c r="AQ844" s="115"/>
      <c r="AR844" s="115"/>
      <c r="AS844" s="115"/>
      <c r="AT844" s="115"/>
      <c r="AU844" s="115"/>
      <c r="AV844" s="115"/>
      <c r="AW844" s="115"/>
      <c r="AX844" s="115"/>
      <c r="AY844" s="115"/>
      <c r="AZ844" s="26"/>
      <c r="BA844" s="15"/>
      <c r="BD844" s="114"/>
    </row>
    <row r="845" spans="29:56" x14ac:dyDescent="0.4">
      <c r="AC845" s="115"/>
      <c r="AD845" s="115"/>
      <c r="AE845" s="115"/>
      <c r="AF845" s="115"/>
      <c r="AG845" s="115"/>
      <c r="AH845" s="115"/>
      <c r="AI845" s="122"/>
      <c r="AJ845" s="122"/>
      <c r="AK845" s="122"/>
      <c r="AL845" s="115"/>
      <c r="AM845" s="115"/>
      <c r="AN845" s="115"/>
      <c r="AO845" s="115"/>
      <c r="AP845" s="115"/>
      <c r="AQ845" s="115"/>
      <c r="AR845" s="115"/>
      <c r="AS845" s="115"/>
      <c r="AT845" s="115"/>
      <c r="AU845" s="115"/>
      <c r="AV845" s="115"/>
      <c r="AW845" s="115"/>
      <c r="AX845" s="115"/>
      <c r="AY845" s="115"/>
      <c r="AZ845" s="17"/>
      <c r="BA845" s="15"/>
      <c r="BD845" s="114"/>
    </row>
    <row r="846" spans="29:56" x14ac:dyDescent="0.4">
      <c r="AC846" s="115"/>
      <c r="AD846" s="115"/>
      <c r="AE846" s="115"/>
      <c r="AF846" s="115"/>
      <c r="AG846" s="115"/>
      <c r="AH846" s="115"/>
      <c r="AI846" s="122"/>
      <c r="AJ846" s="122"/>
      <c r="AK846" s="122"/>
      <c r="AL846" s="115"/>
      <c r="AM846" s="115"/>
      <c r="AN846" s="115"/>
      <c r="AO846" s="115"/>
      <c r="AP846" s="115"/>
      <c r="AQ846" s="115"/>
      <c r="AR846" s="115"/>
      <c r="AS846" s="115"/>
      <c r="AT846" s="115"/>
      <c r="AU846" s="115"/>
      <c r="AV846" s="115"/>
      <c r="AW846" s="115"/>
      <c r="AX846" s="115"/>
      <c r="AY846" s="115"/>
      <c r="AZ846" s="26"/>
      <c r="BA846" s="15"/>
      <c r="BD846" s="114"/>
    </row>
    <row r="847" spans="29:56" x14ac:dyDescent="0.4">
      <c r="AC847" s="115"/>
      <c r="AD847" s="115"/>
      <c r="AE847" s="115"/>
      <c r="AF847" s="115"/>
      <c r="AG847" s="115"/>
      <c r="AH847" s="115"/>
      <c r="AI847" s="122"/>
      <c r="AJ847" s="122"/>
      <c r="AK847" s="122"/>
      <c r="AL847" s="115"/>
      <c r="AM847" s="115"/>
      <c r="AN847" s="115"/>
      <c r="AO847" s="115"/>
      <c r="AP847" s="115"/>
      <c r="AQ847" s="115"/>
      <c r="AR847" s="115"/>
      <c r="AS847" s="115"/>
      <c r="AT847" s="115"/>
      <c r="AU847" s="115"/>
      <c r="AV847" s="115"/>
      <c r="AW847" s="115"/>
      <c r="AX847" s="115"/>
      <c r="AY847" s="115"/>
      <c r="AZ847" s="17"/>
      <c r="BA847" s="15"/>
      <c r="BD847" s="114"/>
    </row>
    <row r="848" spans="29:56" x14ac:dyDescent="0.4">
      <c r="AC848" s="115"/>
      <c r="AD848" s="115"/>
      <c r="AE848" s="115"/>
      <c r="AF848" s="115"/>
      <c r="AG848" s="115"/>
      <c r="AH848" s="115"/>
      <c r="AI848" s="122"/>
      <c r="AJ848" s="122"/>
      <c r="AK848" s="122"/>
      <c r="AL848" s="115"/>
      <c r="AM848" s="115"/>
      <c r="AN848" s="115"/>
      <c r="AO848" s="115"/>
      <c r="AP848" s="115"/>
      <c r="AQ848" s="115"/>
      <c r="AR848" s="115"/>
      <c r="AS848" s="115"/>
      <c r="AT848" s="115"/>
      <c r="AU848" s="115"/>
      <c r="AV848" s="115"/>
      <c r="AW848" s="115"/>
      <c r="AX848" s="115"/>
      <c r="AY848" s="115"/>
      <c r="AZ848" s="17"/>
      <c r="BA848" s="15"/>
      <c r="BD848" s="114"/>
    </row>
    <row r="849" spans="29:56" x14ac:dyDescent="0.4">
      <c r="AC849" s="115"/>
      <c r="AD849" s="115"/>
      <c r="AE849" s="115"/>
      <c r="AF849" s="115"/>
      <c r="AG849" s="115"/>
      <c r="AH849" s="115"/>
      <c r="AI849" s="122"/>
      <c r="AJ849" s="122"/>
      <c r="AK849" s="122"/>
      <c r="AL849" s="115"/>
      <c r="AM849" s="115"/>
      <c r="AN849" s="115"/>
      <c r="AO849" s="115"/>
      <c r="AP849" s="115"/>
      <c r="AQ849" s="115"/>
      <c r="AR849" s="115"/>
      <c r="AS849" s="115"/>
      <c r="AT849" s="115"/>
      <c r="AU849" s="115"/>
      <c r="AV849" s="115"/>
      <c r="AW849" s="115"/>
      <c r="AX849" s="115"/>
      <c r="AY849" s="115"/>
      <c r="AZ849" s="26"/>
      <c r="BA849" s="15"/>
      <c r="BD849" s="114"/>
    </row>
    <row r="850" spans="29:56" x14ac:dyDescent="0.4">
      <c r="AC850" s="115"/>
      <c r="AD850" s="115"/>
      <c r="AE850" s="115"/>
      <c r="AF850" s="115"/>
      <c r="AG850" s="115"/>
      <c r="AH850" s="115"/>
      <c r="AI850" s="122"/>
      <c r="AJ850" s="122"/>
      <c r="AK850" s="122"/>
      <c r="AL850" s="115"/>
      <c r="AM850" s="115"/>
      <c r="AN850" s="115"/>
      <c r="AO850" s="115"/>
      <c r="AP850" s="115"/>
      <c r="AQ850" s="115"/>
      <c r="AR850" s="115"/>
      <c r="AS850" s="115"/>
      <c r="AT850" s="115"/>
      <c r="AU850" s="115"/>
      <c r="AV850" s="115"/>
      <c r="AW850" s="115"/>
      <c r="AX850" s="115"/>
      <c r="AY850" s="115"/>
      <c r="AZ850" s="26"/>
      <c r="BA850" s="15"/>
      <c r="BD850" s="114"/>
    </row>
    <row r="851" spans="29:56" x14ac:dyDescent="0.4">
      <c r="AC851" s="115"/>
      <c r="AD851" s="115"/>
      <c r="AE851" s="115"/>
      <c r="AF851" s="115"/>
      <c r="AG851" s="115"/>
      <c r="AH851" s="115"/>
      <c r="AI851" s="122"/>
      <c r="AJ851" s="122"/>
      <c r="AK851" s="122"/>
      <c r="AL851" s="115"/>
      <c r="AM851" s="115"/>
      <c r="AN851" s="115"/>
      <c r="AO851" s="115"/>
      <c r="AP851" s="115"/>
      <c r="AQ851" s="115"/>
      <c r="AR851" s="115"/>
      <c r="AS851" s="115"/>
      <c r="AT851" s="115"/>
      <c r="AU851" s="115"/>
      <c r="AV851" s="115"/>
      <c r="AW851" s="115"/>
      <c r="AX851" s="115"/>
      <c r="AY851" s="115"/>
      <c r="AZ851" s="26"/>
      <c r="BA851" s="15"/>
      <c r="BD851" s="114"/>
    </row>
    <row r="852" spans="29:56" x14ac:dyDescent="0.4">
      <c r="AC852" s="115"/>
      <c r="AD852" s="115"/>
      <c r="AE852" s="115"/>
      <c r="AF852" s="115"/>
      <c r="AG852" s="115"/>
      <c r="AH852" s="115"/>
      <c r="AI852" s="122"/>
      <c r="AJ852" s="122"/>
      <c r="AK852" s="122"/>
      <c r="AL852" s="115"/>
      <c r="AM852" s="115"/>
      <c r="AN852" s="115"/>
      <c r="AO852" s="115"/>
      <c r="AP852" s="115"/>
      <c r="AQ852" s="115"/>
      <c r="AR852" s="115"/>
      <c r="AS852" s="115"/>
      <c r="AT852" s="115"/>
      <c r="AU852" s="115"/>
      <c r="AV852" s="115"/>
      <c r="AW852" s="115"/>
      <c r="AX852" s="115"/>
      <c r="AY852" s="115"/>
      <c r="AZ852" s="26"/>
      <c r="BA852" s="15"/>
      <c r="BD852" s="114"/>
    </row>
    <row r="853" spans="29:56" x14ac:dyDescent="0.4">
      <c r="AC853" s="115"/>
      <c r="AD853" s="115"/>
      <c r="AE853" s="115"/>
      <c r="AF853" s="115"/>
      <c r="AG853" s="115"/>
      <c r="AH853" s="115"/>
      <c r="AI853" s="122"/>
      <c r="AJ853" s="122"/>
      <c r="AK853" s="122"/>
      <c r="AL853" s="115"/>
      <c r="AM853" s="115"/>
      <c r="AN853" s="115"/>
      <c r="AO853" s="115"/>
      <c r="AP853" s="115"/>
      <c r="AQ853" s="115"/>
      <c r="AR853" s="115"/>
      <c r="AS853" s="115"/>
      <c r="AT853" s="115"/>
      <c r="AU853" s="115"/>
      <c r="AV853" s="115"/>
      <c r="AW853" s="115"/>
      <c r="AX853" s="115"/>
      <c r="AY853" s="115"/>
      <c r="AZ853" s="26"/>
      <c r="BA853" s="15"/>
      <c r="BD853" s="114"/>
    </row>
    <row r="854" spans="29:56" x14ac:dyDescent="0.4">
      <c r="AC854" s="115"/>
      <c r="AD854" s="115"/>
      <c r="AE854" s="115"/>
      <c r="AF854" s="115"/>
      <c r="AG854" s="115"/>
      <c r="AH854" s="115"/>
      <c r="AI854" s="122"/>
      <c r="AJ854" s="122"/>
      <c r="AK854" s="122"/>
      <c r="AL854" s="115"/>
      <c r="AM854" s="115"/>
      <c r="AN854" s="115"/>
      <c r="AO854" s="115"/>
      <c r="AP854" s="115"/>
      <c r="AQ854" s="115"/>
      <c r="AR854" s="115"/>
      <c r="AS854" s="115"/>
      <c r="AT854" s="115"/>
      <c r="AU854" s="115"/>
      <c r="AV854" s="115"/>
      <c r="AW854" s="115"/>
      <c r="AX854" s="115"/>
      <c r="AY854" s="115"/>
      <c r="AZ854" s="26"/>
      <c r="BA854" s="15"/>
      <c r="BD854" s="114"/>
    </row>
    <row r="855" spans="29:56" x14ac:dyDescent="0.4">
      <c r="AC855" s="115"/>
      <c r="AD855" s="115"/>
      <c r="AE855" s="115"/>
      <c r="AF855" s="115"/>
      <c r="AG855" s="115"/>
      <c r="AH855" s="115"/>
      <c r="AI855" s="122"/>
      <c r="AJ855" s="122"/>
      <c r="AK855" s="122"/>
      <c r="AL855" s="115"/>
      <c r="AM855" s="115"/>
      <c r="AN855" s="115"/>
      <c r="AO855" s="115"/>
      <c r="AP855" s="115"/>
      <c r="AQ855" s="115"/>
      <c r="AR855" s="115"/>
      <c r="AS855" s="115"/>
      <c r="AT855" s="115"/>
      <c r="AU855" s="115"/>
      <c r="AV855" s="115"/>
      <c r="AW855" s="115"/>
      <c r="AX855" s="115"/>
      <c r="AY855" s="115"/>
      <c r="AZ855" s="26"/>
      <c r="BA855" s="15"/>
      <c r="BD855" s="114"/>
    </row>
    <row r="856" spans="29:56" x14ac:dyDescent="0.4">
      <c r="AC856" s="115"/>
      <c r="AD856" s="115"/>
      <c r="AE856" s="115"/>
      <c r="AF856" s="115"/>
      <c r="AG856" s="115"/>
      <c r="AH856" s="115"/>
      <c r="AI856" s="122"/>
      <c r="AJ856" s="122"/>
      <c r="AK856" s="122"/>
      <c r="AL856" s="115"/>
      <c r="AM856" s="115"/>
      <c r="AN856" s="115"/>
      <c r="AO856" s="115"/>
      <c r="AP856" s="115"/>
      <c r="AQ856" s="115"/>
      <c r="AR856" s="115"/>
      <c r="AS856" s="115"/>
      <c r="AT856" s="115"/>
      <c r="AU856" s="115"/>
      <c r="AV856" s="115"/>
      <c r="AW856" s="115"/>
      <c r="AX856" s="115"/>
      <c r="AY856" s="115"/>
      <c r="AZ856" s="17"/>
      <c r="BA856" s="15"/>
      <c r="BD856" s="114"/>
    </row>
    <row r="857" spans="29:56" x14ac:dyDescent="0.4">
      <c r="AC857" s="115"/>
      <c r="AD857" s="115"/>
      <c r="AE857" s="115"/>
      <c r="AF857" s="115"/>
      <c r="AG857" s="115"/>
      <c r="AH857" s="115"/>
      <c r="AI857" s="122"/>
      <c r="AJ857" s="122"/>
      <c r="AK857" s="122"/>
      <c r="AL857" s="115"/>
      <c r="AM857" s="115"/>
      <c r="AN857" s="115"/>
      <c r="AO857" s="115"/>
      <c r="AP857" s="115"/>
      <c r="AQ857" s="115"/>
      <c r="AR857" s="115"/>
      <c r="AS857" s="115"/>
      <c r="AT857" s="115"/>
      <c r="AU857" s="115"/>
      <c r="AV857" s="115"/>
      <c r="AW857" s="115"/>
      <c r="AX857" s="115"/>
      <c r="AY857" s="115"/>
      <c r="AZ857" s="26"/>
      <c r="BA857" s="15"/>
      <c r="BD857" s="114"/>
    </row>
    <row r="858" spans="29:56" x14ac:dyDescent="0.4">
      <c r="AC858" s="115"/>
      <c r="AD858" s="115"/>
      <c r="AE858" s="115"/>
      <c r="AF858" s="115"/>
      <c r="AG858" s="115"/>
      <c r="AH858" s="115"/>
      <c r="AI858" s="122"/>
      <c r="AJ858" s="122"/>
      <c r="AK858" s="122"/>
      <c r="AL858" s="115"/>
      <c r="AM858" s="115"/>
      <c r="AN858" s="115"/>
      <c r="AO858" s="115"/>
      <c r="AP858" s="115"/>
      <c r="AQ858" s="115"/>
      <c r="AR858" s="115"/>
      <c r="AS858" s="115"/>
      <c r="AT858" s="115"/>
      <c r="AU858" s="115"/>
      <c r="AV858" s="115"/>
      <c r="AW858" s="115"/>
      <c r="AX858" s="115"/>
      <c r="AY858" s="115"/>
      <c r="AZ858" s="26"/>
      <c r="BA858" s="15"/>
      <c r="BD858" s="114"/>
    </row>
    <row r="859" spans="29:56" x14ac:dyDescent="0.4">
      <c r="AC859" s="115"/>
      <c r="AD859" s="115"/>
      <c r="AE859" s="115"/>
      <c r="AF859" s="115"/>
      <c r="AG859" s="115"/>
      <c r="AH859" s="115"/>
      <c r="AI859" s="122"/>
      <c r="AJ859" s="122"/>
      <c r="AK859" s="122"/>
      <c r="AL859" s="115"/>
      <c r="AM859" s="115"/>
      <c r="AN859" s="115"/>
      <c r="AO859" s="115"/>
      <c r="AP859" s="115"/>
      <c r="AQ859" s="115"/>
      <c r="AR859" s="115"/>
      <c r="AS859" s="115"/>
      <c r="AT859" s="115"/>
      <c r="AU859" s="115"/>
      <c r="AV859" s="115"/>
      <c r="AW859" s="115"/>
      <c r="AX859" s="115"/>
      <c r="AY859" s="115"/>
      <c r="AZ859" s="26"/>
      <c r="BA859" s="15"/>
      <c r="BD859" s="114"/>
    </row>
    <row r="860" spans="29:56" x14ac:dyDescent="0.4">
      <c r="AC860" s="115"/>
      <c r="AD860" s="115"/>
      <c r="AE860" s="115"/>
      <c r="AF860" s="115"/>
      <c r="AG860" s="115"/>
      <c r="AH860" s="115"/>
      <c r="AI860" s="122"/>
      <c r="AJ860" s="122"/>
      <c r="AK860" s="122"/>
      <c r="AL860" s="115"/>
      <c r="AM860" s="115"/>
      <c r="AN860" s="115"/>
      <c r="AO860" s="115"/>
      <c r="AP860" s="115"/>
      <c r="AQ860" s="115"/>
      <c r="AR860" s="115"/>
      <c r="AS860" s="115"/>
      <c r="AT860" s="115"/>
      <c r="AU860" s="115"/>
      <c r="AV860" s="115"/>
      <c r="AW860" s="115"/>
      <c r="AX860" s="115"/>
      <c r="AY860" s="115"/>
      <c r="AZ860" s="26"/>
      <c r="BA860" s="13"/>
      <c r="BD860" s="114"/>
    </row>
    <row r="861" spans="29:56" x14ac:dyDescent="0.4">
      <c r="AC861" s="115"/>
      <c r="AD861" s="115"/>
      <c r="AE861" s="115"/>
      <c r="AF861" s="115"/>
      <c r="AG861" s="115"/>
      <c r="AH861" s="115"/>
      <c r="AI861" s="122"/>
      <c r="AJ861" s="122"/>
      <c r="AK861" s="122"/>
      <c r="AL861" s="115"/>
      <c r="AM861" s="115"/>
      <c r="AN861" s="115"/>
      <c r="AO861" s="115"/>
      <c r="AP861" s="115"/>
      <c r="AQ861" s="115"/>
      <c r="AR861" s="115"/>
      <c r="AS861" s="115"/>
      <c r="AT861" s="115"/>
      <c r="AU861" s="115"/>
      <c r="AV861" s="115"/>
      <c r="AW861" s="115"/>
      <c r="AX861" s="115"/>
      <c r="AY861" s="115"/>
      <c r="AZ861" s="17"/>
      <c r="BA861" s="13"/>
      <c r="BD861" s="114"/>
    </row>
    <row r="862" spans="29:56" x14ac:dyDescent="0.4">
      <c r="AC862" s="115"/>
      <c r="AD862" s="115"/>
      <c r="AE862" s="115"/>
      <c r="AF862" s="115"/>
      <c r="AG862" s="115"/>
      <c r="AH862" s="115"/>
      <c r="AI862" s="122"/>
      <c r="AJ862" s="122"/>
      <c r="AK862" s="122"/>
      <c r="AL862" s="115"/>
      <c r="AM862" s="115"/>
      <c r="AN862" s="115"/>
      <c r="AO862" s="115"/>
      <c r="AP862" s="115"/>
      <c r="AQ862" s="115"/>
      <c r="AR862" s="115"/>
      <c r="AS862" s="115"/>
      <c r="AT862" s="115"/>
      <c r="AU862" s="115"/>
      <c r="AV862" s="115"/>
      <c r="AW862" s="115"/>
      <c r="AX862" s="115"/>
      <c r="AY862" s="115"/>
      <c r="AZ862" s="26"/>
      <c r="BA862" s="13"/>
      <c r="BD862" s="114"/>
    </row>
    <row r="863" spans="29:56" x14ac:dyDescent="0.4">
      <c r="AC863" s="115"/>
      <c r="AD863" s="115"/>
      <c r="AE863" s="115"/>
      <c r="AF863" s="115"/>
      <c r="AG863" s="115"/>
      <c r="AH863" s="115"/>
      <c r="AI863" s="122"/>
      <c r="AJ863" s="122"/>
      <c r="AK863" s="122"/>
      <c r="AL863" s="115"/>
      <c r="AM863" s="115"/>
      <c r="AN863" s="115"/>
      <c r="AO863" s="115"/>
      <c r="AP863" s="115"/>
      <c r="AQ863" s="115"/>
      <c r="AR863" s="115"/>
      <c r="AS863" s="115"/>
      <c r="AT863" s="115"/>
      <c r="AU863" s="115"/>
      <c r="AV863" s="115"/>
      <c r="AW863" s="115"/>
      <c r="AX863" s="115"/>
      <c r="AY863" s="115"/>
      <c r="AZ863" s="26"/>
      <c r="BA863" s="13"/>
      <c r="BD863" s="114"/>
    </row>
    <row r="864" spans="29:56" x14ac:dyDescent="0.4">
      <c r="AC864" s="115"/>
      <c r="AD864" s="115"/>
      <c r="AE864" s="115"/>
      <c r="AF864" s="115"/>
      <c r="AG864" s="115"/>
      <c r="AH864" s="115"/>
      <c r="AI864" s="122"/>
      <c r="AJ864" s="122"/>
      <c r="AK864" s="122"/>
      <c r="AL864" s="115"/>
      <c r="AM864" s="115"/>
      <c r="AN864" s="115"/>
      <c r="AO864" s="115"/>
      <c r="AP864" s="115"/>
      <c r="AQ864" s="115"/>
      <c r="AR864" s="115"/>
      <c r="AS864" s="115"/>
      <c r="AT864" s="115"/>
      <c r="AU864" s="115"/>
      <c r="AV864" s="115"/>
      <c r="AW864" s="115"/>
      <c r="AX864" s="115"/>
      <c r="AY864" s="115"/>
      <c r="AZ864" s="26"/>
      <c r="BA864" s="13"/>
      <c r="BD864" s="114"/>
    </row>
    <row r="865" spans="5:56" x14ac:dyDescent="0.4">
      <c r="AC865" s="115"/>
      <c r="AD865" s="115"/>
      <c r="AE865" s="115"/>
      <c r="AF865" s="115"/>
      <c r="AG865" s="115"/>
      <c r="AH865" s="115"/>
      <c r="AI865" s="122"/>
      <c r="AJ865" s="122"/>
      <c r="AK865" s="122"/>
      <c r="AL865" s="115"/>
      <c r="AM865" s="115"/>
      <c r="AN865" s="115"/>
      <c r="AO865" s="115"/>
      <c r="AP865" s="115"/>
      <c r="AQ865" s="115"/>
      <c r="AR865" s="115"/>
      <c r="AS865" s="115"/>
      <c r="AT865" s="115"/>
      <c r="AU865" s="115"/>
      <c r="AV865" s="115"/>
      <c r="AW865" s="115"/>
      <c r="AX865" s="115"/>
      <c r="AY865" s="115"/>
      <c r="AZ865" s="26"/>
      <c r="BA865" s="13"/>
      <c r="BD865" s="114"/>
    </row>
    <row r="866" spans="5:56" x14ac:dyDescent="0.4">
      <c r="AC866" s="115"/>
      <c r="AD866" s="115"/>
      <c r="AE866" s="115"/>
      <c r="AF866" s="115"/>
      <c r="AG866" s="115"/>
      <c r="AH866" s="115"/>
      <c r="AI866" s="122"/>
      <c r="AJ866" s="122"/>
      <c r="AK866" s="122"/>
      <c r="AL866" s="115"/>
      <c r="AM866" s="115"/>
      <c r="AN866" s="115"/>
      <c r="AO866" s="115"/>
      <c r="AP866" s="115"/>
      <c r="AQ866" s="115"/>
      <c r="AR866" s="115"/>
      <c r="AS866" s="115"/>
      <c r="AT866" s="115"/>
      <c r="AU866" s="115"/>
      <c r="AV866" s="115"/>
      <c r="AW866" s="115"/>
      <c r="AX866" s="115"/>
      <c r="AY866" s="115"/>
      <c r="AZ866" s="26"/>
      <c r="BA866" s="13"/>
      <c r="BD866" s="114"/>
    </row>
    <row r="867" spans="5:56" x14ac:dyDescent="0.4">
      <c r="AC867" s="115"/>
      <c r="AD867" s="115"/>
      <c r="AE867" s="115"/>
      <c r="AF867" s="115"/>
      <c r="AG867" s="115"/>
      <c r="AH867" s="115"/>
      <c r="AI867" s="122"/>
      <c r="AJ867" s="122"/>
      <c r="AK867" s="122"/>
      <c r="AL867" s="115"/>
      <c r="AM867" s="115"/>
      <c r="AN867" s="115"/>
      <c r="AO867" s="115"/>
      <c r="AP867" s="115"/>
      <c r="AQ867" s="115"/>
      <c r="AR867" s="115"/>
      <c r="AS867" s="115"/>
      <c r="AT867" s="115"/>
      <c r="AU867" s="115"/>
      <c r="AV867" s="115"/>
      <c r="AW867" s="115"/>
      <c r="AX867" s="115"/>
      <c r="AY867" s="115"/>
      <c r="AZ867" s="26"/>
      <c r="BA867" s="13"/>
      <c r="BD867" s="114"/>
    </row>
    <row r="868" spans="5:56" x14ac:dyDescent="0.4">
      <c r="AC868" s="115"/>
      <c r="AD868" s="115"/>
      <c r="AE868" s="115"/>
      <c r="AF868" s="115"/>
      <c r="AG868" s="115"/>
      <c r="AH868" s="115"/>
      <c r="AI868" s="122"/>
      <c r="AJ868" s="122"/>
      <c r="AK868" s="122"/>
      <c r="AL868" s="115"/>
      <c r="AM868" s="115"/>
      <c r="AN868" s="115"/>
      <c r="AO868" s="115"/>
      <c r="AP868" s="115"/>
      <c r="AQ868" s="115"/>
      <c r="AR868" s="115"/>
      <c r="AS868" s="115"/>
      <c r="AT868" s="115"/>
      <c r="AU868" s="115"/>
      <c r="AV868" s="115"/>
      <c r="AW868" s="115"/>
      <c r="AX868" s="115"/>
      <c r="AY868" s="115"/>
      <c r="AZ868" s="17"/>
      <c r="BA868" s="13"/>
      <c r="BD868" s="114"/>
    </row>
    <row r="869" spans="5:56" x14ac:dyDescent="0.4">
      <c r="AC869" s="115"/>
      <c r="AD869" s="115"/>
      <c r="AE869" s="115"/>
      <c r="AF869" s="115"/>
      <c r="AG869" s="115"/>
      <c r="AH869" s="115"/>
      <c r="AI869" s="122"/>
      <c r="AJ869" s="122"/>
      <c r="AK869" s="122"/>
      <c r="AL869" s="115"/>
      <c r="AM869" s="115"/>
      <c r="AN869" s="115"/>
      <c r="AO869" s="115"/>
      <c r="AP869" s="115"/>
      <c r="AQ869" s="115"/>
      <c r="AR869" s="115"/>
      <c r="AS869" s="115"/>
      <c r="AT869" s="115"/>
      <c r="AU869" s="115"/>
      <c r="AV869" s="115"/>
      <c r="AW869" s="115"/>
      <c r="AX869" s="115"/>
      <c r="AY869" s="115"/>
      <c r="AZ869" s="26"/>
      <c r="BA869" s="13"/>
      <c r="BD869" s="114"/>
    </row>
    <row r="870" spans="5:56" x14ac:dyDescent="0.4">
      <c r="AC870" s="115"/>
      <c r="AD870" s="115"/>
      <c r="AE870" s="115"/>
      <c r="AF870" s="115"/>
      <c r="AG870" s="115"/>
      <c r="AH870" s="115"/>
      <c r="AI870" s="122"/>
      <c r="AJ870" s="122"/>
      <c r="AK870" s="122"/>
      <c r="AL870" s="115"/>
      <c r="AM870" s="115"/>
      <c r="AN870" s="115"/>
      <c r="AO870" s="115"/>
      <c r="AP870" s="115"/>
      <c r="AQ870" s="115"/>
      <c r="AR870" s="115"/>
      <c r="AS870" s="115"/>
      <c r="AT870" s="115"/>
      <c r="AU870" s="115"/>
      <c r="AV870" s="115"/>
      <c r="AW870" s="115"/>
      <c r="AX870" s="115"/>
      <c r="AY870" s="115"/>
      <c r="AZ870" s="26"/>
      <c r="BA870" s="13"/>
      <c r="BD870" s="114"/>
    </row>
    <row r="871" spans="5:56" x14ac:dyDescent="0.4"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15"/>
      <c r="AC871" s="115"/>
      <c r="AD871" s="115"/>
      <c r="AE871" s="115"/>
      <c r="AF871" s="115"/>
      <c r="AG871" s="115"/>
      <c r="AH871" s="115"/>
      <c r="AI871" s="122"/>
      <c r="AJ871" s="122"/>
      <c r="AK871" s="122"/>
      <c r="AL871" s="115"/>
      <c r="AM871" s="115"/>
      <c r="AN871" s="115"/>
      <c r="AO871" s="115"/>
      <c r="AP871" s="115"/>
      <c r="AQ871" s="115"/>
      <c r="AR871" s="115"/>
      <c r="AS871" s="115"/>
      <c r="AT871" s="115"/>
      <c r="AU871" s="115"/>
      <c r="AV871" s="115"/>
      <c r="AW871" s="115"/>
      <c r="AX871" s="115"/>
      <c r="AY871" s="115"/>
      <c r="AZ871" s="26"/>
      <c r="BA871" s="13"/>
      <c r="BD871" s="114"/>
    </row>
    <row r="872" spans="5:56" x14ac:dyDescent="0.4"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15"/>
      <c r="AC872" s="115"/>
      <c r="AD872" s="115"/>
      <c r="AE872" s="115"/>
      <c r="AF872" s="115"/>
      <c r="AG872" s="115"/>
      <c r="AH872" s="115"/>
      <c r="AI872" s="122"/>
      <c r="AJ872" s="122"/>
      <c r="AK872" s="122"/>
      <c r="AL872" s="115"/>
      <c r="AM872" s="115"/>
      <c r="AN872" s="115"/>
      <c r="AO872" s="115"/>
      <c r="AP872" s="115"/>
      <c r="AQ872" s="115"/>
      <c r="AR872" s="115"/>
      <c r="AS872" s="115"/>
      <c r="AT872" s="115"/>
      <c r="AU872" s="115"/>
      <c r="AV872" s="115"/>
      <c r="AW872" s="115"/>
      <c r="AX872" s="115"/>
      <c r="AY872" s="115"/>
      <c r="AZ872" s="26"/>
      <c r="BA872" s="13"/>
      <c r="BD872" s="114"/>
    </row>
    <row r="873" spans="5:56" x14ac:dyDescent="0.4"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15"/>
      <c r="AC873" s="115"/>
      <c r="AD873" s="115"/>
      <c r="AE873" s="115"/>
      <c r="AF873" s="115"/>
      <c r="AG873" s="115"/>
      <c r="AH873" s="115"/>
      <c r="AI873" s="122"/>
      <c r="AJ873" s="122"/>
      <c r="AK873" s="122"/>
      <c r="AL873" s="115"/>
      <c r="AM873" s="115"/>
      <c r="AN873" s="115"/>
      <c r="AO873" s="115"/>
      <c r="AP873" s="115"/>
      <c r="AQ873" s="115"/>
      <c r="AR873" s="115"/>
      <c r="AS873" s="115"/>
      <c r="AT873" s="115"/>
      <c r="AU873" s="115"/>
      <c r="AV873" s="115"/>
      <c r="AW873" s="115"/>
      <c r="AX873" s="115"/>
      <c r="AY873" s="115"/>
      <c r="AZ873" s="26"/>
      <c r="BA873" s="13"/>
      <c r="BD873" s="114"/>
    </row>
    <row r="874" spans="5:56" x14ac:dyDescent="0.4"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15"/>
      <c r="AC874" s="115"/>
      <c r="AD874" s="115"/>
      <c r="AE874" s="115"/>
      <c r="AF874" s="115"/>
      <c r="AG874" s="115"/>
      <c r="AH874" s="115"/>
      <c r="AI874" s="122"/>
      <c r="AJ874" s="122"/>
      <c r="AK874" s="122"/>
      <c r="AL874" s="115"/>
      <c r="AM874" s="115"/>
      <c r="AN874" s="115"/>
      <c r="AO874" s="115"/>
      <c r="AP874" s="115"/>
      <c r="AQ874" s="115"/>
      <c r="AR874" s="115"/>
      <c r="AS874" s="115"/>
      <c r="AT874" s="115"/>
      <c r="AU874" s="115"/>
      <c r="AV874" s="115"/>
      <c r="AW874" s="115"/>
      <c r="AX874" s="115"/>
      <c r="AY874" s="115"/>
      <c r="AZ874" s="26"/>
      <c r="BA874" s="13"/>
      <c r="BD874" s="114"/>
    </row>
    <row r="875" spans="5:56" x14ac:dyDescent="0.4"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15"/>
      <c r="AC875" s="115"/>
      <c r="AD875" s="115"/>
      <c r="AE875" s="115"/>
      <c r="AF875" s="115"/>
      <c r="AG875" s="115"/>
      <c r="AH875" s="115"/>
      <c r="AI875" s="122"/>
      <c r="AJ875" s="122"/>
      <c r="AK875" s="122"/>
      <c r="AL875" s="115"/>
      <c r="AM875" s="115"/>
      <c r="AN875" s="115"/>
      <c r="AO875" s="115"/>
      <c r="AP875" s="115"/>
      <c r="AQ875" s="115"/>
      <c r="AR875" s="115"/>
      <c r="AS875" s="115"/>
      <c r="AT875" s="115"/>
      <c r="AU875" s="115"/>
      <c r="AV875" s="115"/>
      <c r="AW875" s="115"/>
      <c r="AX875" s="115"/>
      <c r="AY875" s="115"/>
      <c r="AZ875" s="26"/>
      <c r="BA875" s="13"/>
      <c r="BD875" s="114"/>
    </row>
    <row r="876" spans="5:56" x14ac:dyDescent="0.4"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15"/>
      <c r="AC876" s="115"/>
      <c r="AD876" s="115"/>
      <c r="AE876" s="115"/>
      <c r="AF876" s="115"/>
      <c r="AG876" s="115"/>
      <c r="AH876" s="115"/>
      <c r="AI876" s="122"/>
      <c r="AJ876" s="122"/>
      <c r="AK876" s="122"/>
      <c r="AL876" s="115"/>
      <c r="AM876" s="115"/>
      <c r="AN876" s="115"/>
      <c r="AO876" s="115"/>
      <c r="AP876" s="115"/>
      <c r="AQ876" s="115"/>
      <c r="AR876" s="115"/>
      <c r="AS876" s="115"/>
      <c r="AT876" s="115"/>
      <c r="AU876" s="115"/>
      <c r="AV876" s="115"/>
      <c r="AW876" s="115"/>
      <c r="AX876" s="115"/>
      <c r="AY876" s="115"/>
      <c r="AZ876" s="26"/>
      <c r="BA876" s="13"/>
      <c r="BD876" s="114"/>
    </row>
    <row r="877" spans="5:56" x14ac:dyDescent="0.4"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15"/>
      <c r="AC877" s="115"/>
      <c r="AD877" s="115"/>
      <c r="AE877" s="115"/>
      <c r="AF877" s="115"/>
      <c r="AG877" s="115"/>
      <c r="AH877" s="115"/>
      <c r="AI877" s="122"/>
      <c r="AJ877" s="122"/>
      <c r="AK877" s="122"/>
      <c r="AL877" s="115"/>
      <c r="AM877" s="115"/>
      <c r="AN877" s="115"/>
      <c r="AO877" s="115"/>
      <c r="AP877" s="115"/>
      <c r="AQ877" s="115"/>
      <c r="AR877" s="115"/>
      <c r="AS877" s="115"/>
      <c r="AT877" s="115"/>
      <c r="AU877" s="115"/>
      <c r="AV877" s="115"/>
      <c r="AW877" s="115"/>
      <c r="AX877" s="115"/>
      <c r="AY877" s="115"/>
      <c r="AZ877" s="26"/>
      <c r="BA877" s="13"/>
      <c r="BD877" s="114"/>
    </row>
    <row r="878" spans="5:56" x14ac:dyDescent="0.4"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  <c r="AB878" s="115"/>
      <c r="AC878" s="115"/>
      <c r="AD878" s="115"/>
      <c r="AE878" s="115"/>
      <c r="AF878" s="115"/>
      <c r="AG878" s="115"/>
      <c r="AH878" s="115"/>
      <c r="AI878" s="122"/>
      <c r="AJ878" s="122"/>
      <c r="AK878" s="122"/>
      <c r="AL878" s="115"/>
      <c r="AM878" s="115"/>
      <c r="AN878" s="115"/>
      <c r="AO878" s="115"/>
      <c r="AP878" s="115"/>
      <c r="AQ878" s="115"/>
      <c r="AR878" s="115"/>
      <c r="AS878" s="115"/>
      <c r="AT878" s="115"/>
      <c r="AU878" s="115"/>
      <c r="AV878" s="115"/>
      <c r="AW878" s="115"/>
      <c r="AX878" s="115"/>
      <c r="AY878" s="115"/>
      <c r="AZ878" s="26"/>
      <c r="BA878" s="13"/>
      <c r="BD878" s="114"/>
    </row>
    <row r="879" spans="5:56" x14ac:dyDescent="0.4"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  <c r="AB879" s="115"/>
      <c r="AC879" s="115"/>
      <c r="AD879" s="115"/>
      <c r="AE879" s="115"/>
      <c r="AF879" s="115"/>
      <c r="AG879" s="115"/>
      <c r="AH879" s="115"/>
      <c r="AI879" s="122"/>
      <c r="AJ879" s="122"/>
      <c r="AK879" s="122"/>
      <c r="AL879" s="115"/>
      <c r="AM879" s="115"/>
      <c r="AN879" s="115"/>
      <c r="AO879" s="115"/>
      <c r="AP879" s="115"/>
      <c r="AQ879" s="115"/>
      <c r="AR879" s="115"/>
      <c r="AS879" s="115"/>
      <c r="AT879" s="115"/>
      <c r="AU879" s="115"/>
      <c r="AV879" s="115"/>
      <c r="AW879" s="115"/>
      <c r="AX879" s="115"/>
      <c r="AY879" s="115"/>
      <c r="AZ879" s="26"/>
      <c r="BA879" s="13"/>
      <c r="BD879" s="114"/>
    </row>
    <row r="880" spans="5:56" x14ac:dyDescent="0.4"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  <c r="AB880" s="115"/>
      <c r="AC880" s="115"/>
      <c r="AD880" s="115"/>
      <c r="AE880" s="115"/>
      <c r="AF880" s="115"/>
      <c r="AG880" s="115"/>
      <c r="AH880" s="115"/>
      <c r="AI880" s="122"/>
      <c r="AJ880" s="122"/>
      <c r="AK880" s="122"/>
      <c r="AL880" s="115"/>
      <c r="AM880" s="115"/>
      <c r="AN880" s="115"/>
      <c r="AO880" s="115"/>
      <c r="AP880" s="115"/>
      <c r="AQ880" s="115"/>
      <c r="AR880" s="115"/>
      <c r="AS880" s="115"/>
      <c r="AT880" s="115"/>
      <c r="AU880" s="115"/>
      <c r="AV880" s="115"/>
      <c r="AW880" s="115"/>
      <c r="AX880" s="115"/>
      <c r="AY880" s="115"/>
      <c r="AZ880" s="26"/>
      <c r="BA880" s="13"/>
      <c r="BD880" s="114"/>
    </row>
    <row r="881" spans="3:56" x14ac:dyDescent="0.4"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15"/>
      <c r="AC881" s="115"/>
      <c r="AD881" s="115"/>
      <c r="AE881" s="115"/>
      <c r="AF881" s="115"/>
      <c r="AG881" s="115"/>
      <c r="AH881" s="115"/>
      <c r="AI881" s="122"/>
      <c r="AJ881" s="122"/>
      <c r="AK881" s="122"/>
      <c r="AL881" s="115"/>
      <c r="AM881" s="115"/>
      <c r="AN881" s="115"/>
      <c r="AO881" s="115"/>
      <c r="AP881" s="115"/>
      <c r="AQ881" s="115"/>
      <c r="AR881" s="115"/>
      <c r="AS881" s="115"/>
      <c r="AT881" s="115"/>
      <c r="AU881" s="115"/>
      <c r="AV881" s="115"/>
      <c r="AW881" s="115"/>
      <c r="AX881" s="115"/>
      <c r="AY881" s="115"/>
      <c r="AZ881" s="26"/>
      <c r="BA881" s="13"/>
      <c r="BD881" s="114"/>
    </row>
    <row r="882" spans="3:56" x14ac:dyDescent="0.4"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15"/>
      <c r="AC882" s="115"/>
      <c r="AD882" s="115"/>
      <c r="AE882" s="115"/>
      <c r="AF882" s="115"/>
      <c r="AG882" s="115"/>
      <c r="AH882" s="115"/>
      <c r="AI882" s="122"/>
      <c r="AJ882" s="122"/>
      <c r="AK882" s="122"/>
      <c r="AL882" s="115"/>
      <c r="AM882" s="115"/>
      <c r="AN882" s="115"/>
      <c r="AO882" s="115"/>
      <c r="AP882" s="115"/>
      <c r="AQ882" s="115"/>
      <c r="AR882" s="115"/>
      <c r="AS882" s="115"/>
      <c r="AT882" s="115"/>
      <c r="AU882" s="115"/>
      <c r="AV882" s="115"/>
      <c r="AW882" s="115"/>
      <c r="AX882" s="115"/>
      <c r="AY882" s="115"/>
      <c r="AZ882" s="26"/>
      <c r="BA882" s="13"/>
      <c r="BD882" s="114"/>
    </row>
    <row r="883" spans="3:56" x14ac:dyDescent="0.4"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  <c r="AB883" s="115"/>
      <c r="AC883" s="115"/>
      <c r="AD883" s="115"/>
      <c r="AE883" s="115"/>
      <c r="AF883" s="115"/>
      <c r="AG883" s="115"/>
      <c r="AH883" s="115"/>
      <c r="AI883" s="122"/>
      <c r="AJ883" s="122"/>
      <c r="AK883" s="122"/>
      <c r="AL883" s="115"/>
      <c r="AM883" s="115"/>
      <c r="AN883" s="115"/>
      <c r="AO883" s="115"/>
      <c r="AP883" s="115"/>
      <c r="AQ883" s="115"/>
      <c r="AR883" s="115"/>
      <c r="AS883" s="115"/>
      <c r="AT883" s="115"/>
      <c r="AU883" s="115"/>
      <c r="AV883" s="115"/>
      <c r="AW883" s="115"/>
      <c r="AX883" s="115"/>
      <c r="AY883" s="115"/>
      <c r="AZ883" s="26"/>
      <c r="BA883" s="13"/>
      <c r="BD883" s="114"/>
    </row>
    <row r="884" spans="3:56" x14ac:dyDescent="0.4"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  <c r="AC884" s="115"/>
      <c r="AD884" s="115"/>
      <c r="AE884" s="115"/>
      <c r="AF884" s="115"/>
      <c r="AG884" s="115"/>
      <c r="AH884" s="115"/>
      <c r="AI884" s="122"/>
      <c r="AJ884" s="122"/>
      <c r="AK884" s="122"/>
      <c r="AL884" s="115"/>
      <c r="AM884" s="115"/>
      <c r="AN884" s="115"/>
      <c r="AO884" s="115"/>
      <c r="AP884" s="115"/>
      <c r="AQ884" s="115"/>
      <c r="AR884" s="115"/>
      <c r="AS884" s="115"/>
      <c r="AT884" s="115"/>
      <c r="AU884" s="115"/>
      <c r="AV884" s="115"/>
      <c r="AW884" s="115"/>
      <c r="AX884" s="115"/>
      <c r="AY884" s="115"/>
      <c r="AZ884" s="26"/>
      <c r="BA884" s="13"/>
      <c r="BD884" s="114"/>
    </row>
    <row r="885" spans="3:56" x14ac:dyDescent="0.4"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  <c r="AB885" s="115"/>
      <c r="AC885" s="115"/>
      <c r="AD885" s="115"/>
      <c r="AE885" s="115"/>
      <c r="AF885" s="115"/>
      <c r="AG885" s="115"/>
      <c r="AH885" s="115"/>
      <c r="AI885" s="122"/>
      <c r="AJ885" s="122"/>
      <c r="AK885" s="122"/>
      <c r="AL885" s="115"/>
      <c r="AM885" s="115"/>
      <c r="AN885" s="115"/>
      <c r="AO885" s="115"/>
      <c r="AP885" s="115"/>
      <c r="AQ885" s="115"/>
      <c r="AR885" s="115"/>
      <c r="AS885" s="115"/>
      <c r="AT885" s="115"/>
      <c r="AU885" s="115"/>
      <c r="AV885" s="115"/>
      <c r="AW885" s="115"/>
      <c r="AX885" s="115"/>
      <c r="AY885" s="115"/>
      <c r="AZ885" s="26"/>
      <c r="BA885" s="13"/>
      <c r="BD885" s="114"/>
    </row>
    <row r="886" spans="3:56" x14ac:dyDescent="0.4"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  <c r="AB886" s="115"/>
      <c r="AC886" s="115"/>
      <c r="AD886" s="115"/>
      <c r="AE886" s="115"/>
      <c r="AF886" s="115"/>
      <c r="AG886" s="115"/>
      <c r="AH886" s="115"/>
      <c r="AI886" s="122"/>
      <c r="AJ886" s="122"/>
      <c r="AK886" s="122"/>
      <c r="AL886" s="115"/>
      <c r="AM886" s="115"/>
      <c r="AN886" s="115"/>
      <c r="AO886" s="115"/>
      <c r="AP886" s="115"/>
      <c r="AQ886" s="115"/>
      <c r="AR886" s="115"/>
      <c r="AS886" s="115"/>
      <c r="AT886" s="115"/>
      <c r="AU886" s="115"/>
      <c r="AV886" s="115"/>
      <c r="AW886" s="115"/>
      <c r="AX886" s="115"/>
      <c r="AY886" s="115"/>
      <c r="AZ886" s="26"/>
      <c r="BA886" s="13"/>
      <c r="BD886" s="114"/>
    </row>
    <row r="887" spans="3:56" x14ac:dyDescent="0.4"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  <c r="AB887" s="115"/>
      <c r="AC887" s="115"/>
      <c r="AD887" s="115"/>
      <c r="AE887" s="115"/>
      <c r="AF887" s="115"/>
      <c r="AG887" s="115"/>
      <c r="AH887" s="115"/>
      <c r="AI887" s="122"/>
      <c r="AJ887" s="122"/>
      <c r="AK887" s="122"/>
      <c r="AL887" s="115"/>
      <c r="AM887" s="115"/>
      <c r="AN887" s="115"/>
      <c r="AO887" s="115"/>
      <c r="AP887" s="115"/>
      <c r="AQ887" s="115"/>
      <c r="AR887" s="115"/>
      <c r="AS887" s="115"/>
      <c r="AT887" s="115"/>
      <c r="AU887" s="115"/>
      <c r="AV887" s="115"/>
      <c r="AW887" s="115"/>
      <c r="AX887" s="115"/>
      <c r="AY887" s="115"/>
      <c r="AZ887" s="17"/>
      <c r="BA887" s="13"/>
      <c r="BD887" s="114"/>
    </row>
    <row r="888" spans="3:56" x14ac:dyDescent="0.4"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  <c r="AB888" s="115"/>
      <c r="AC888" s="115"/>
      <c r="AD888" s="115"/>
      <c r="AE888" s="115"/>
      <c r="AF888" s="115"/>
      <c r="AG888" s="115"/>
      <c r="AH888" s="115"/>
      <c r="AI888" s="122"/>
      <c r="AJ888" s="122"/>
      <c r="AK888" s="122"/>
      <c r="AL888" s="115"/>
      <c r="AM888" s="115"/>
      <c r="AN888" s="115"/>
      <c r="AO888" s="115"/>
      <c r="AP888" s="115"/>
      <c r="AQ888" s="115"/>
      <c r="AR888" s="115"/>
      <c r="AS888" s="115"/>
      <c r="AT888" s="115"/>
      <c r="AU888" s="115"/>
      <c r="AV888" s="115"/>
      <c r="AW888" s="115"/>
      <c r="AX888" s="115"/>
      <c r="AY888" s="115"/>
      <c r="AZ888" s="26"/>
      <c r="BA888" s="13"/>
      <c r="BD888" s="114"/>
    </row>
    <row r="889" spans="3:56" x14ac:dyDescent="0.4"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  <c r="AB889" s="115"/>
      <c r="AC889" s="115"/>
      <c r="AD889" s="115"/>
      <c r="AE889" s="115"/>
      <c r="AF889" s="115"/>
      <c r="AG889" s="115"/>
      <c r="AH889" s="115"/>
      <c r="AI889" s="122"/>
      <c r="AJ889" s="122"/>
      <c r="AK889" s="122"/>
      <c r="AL889" s="115"/>
      <c r="AM889" s="115"/>
      <c r="AN889" s="115"/>
      <c r="AO889" s="115"/>
      <c r="AP889" s="115"/>
      <c r="AQ889" s="115"/>
      <c r="AR889" s="115"/>
      <c r="AS889" s="115"/>
      <c r="AT889" s="115"/>
      <c r="AU889" s="115"/>
      <c r="AV889" s="115"/>
      <c r="AW889" s="115"/>
      <c r="AX889" s="115"/>
      <c r="AY889" s="115"/>
      <c r="AZ889" s="26"/>
      <c r="BA889" s="13"/>
      <c r="BD889" s="114"/>
    </row>
    <row r="890" spans="3:56" x14ac:dyDescent="0.4"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  <c r="AB890" s="115"/>
      <c r="AC890" s="115"/>
      <c r="AD890" s="115"/>
      <c r="AE890" s="115"/>
      <c r="AF890" s="115"/>
      <c r="AG890" s="115"/>
      <c r="AH890" s="115"/>
      <c r="AI890" s="122"/>
      <c r="AJ890" s="122"/>
      <c r="AK890" s="122"/>
      <c r="AL890" s="115"/>
      <c r="AM890" s="115"/>
      <c r="AN890" s="115"/>
      <c r="AO890" s="115"/>
      <c r="AP890" s="115"/>
      <c r="AQ890" s="115"/>
      <c r="AR890" s="115"/>
      <c r="AS890" s="115"/>
      <c r="AT890" s="115"/>
      <c r="AU890" s="115"/>
      <c r="AV890" s="115"/>
      <c r="AW890" s="115"/>
      <c r="AX890" s="115"/>
      <c r="AY890" s="115"/>
      <c r="AZ890" s="26"/>
      <c r="BA890" s="13"/>
      <c r="BD890" s="114"/>
    </row>
    <row r="891" spans="3:56" x14ac:dyDescent="0.4"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  <c r="AB891" s="115"/>
      <c r="AC891" s="115"/>
      <c r="AD891" s="115"/>
      <c r="AE891" s="115"/>
      <c r="AF891" s="115"/>
      <c r="AG891" s="115"/>
      <c r="AH891" s="115"/>
      <c r="AI891" s="122"/>
      <c r="AJ891" s="122"/>
      <c r="AK891" s="122"/>
      <c r="AL891" s="115"/>
      <c r="AM891" s="115"/>
      <c r="AN891" s="115"/>
      <c r="AO891" s="115"/>
      <c r="AP891" s="115"/>
      <c r="AQ891" s="115"/>
      <c r="AR891" s="115"/>
      <c r="AS891" s="115"/>
      <c r="AT891" s="115"/>
      <c r="AU891" s="115"/>
      <c r="AV891" s="115"/>
      <c r="AW891" s="115"/>
      <c r="AX891" s="115"/>
      <c r="AY891" s="115"/>
      <c r="AZ891" s="26"/>
      <c r="BA891" s="15"/>
      <c r="BD891" s="114"/>
    </row>
    <row r="892" spans="3:56" x14ac:dyDescent="0.4"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  <c r="AB892" s="115"/>
      <c r="AC892" s="115"/>
      <c r="AD892" s="115"/>
      <c r="AE892" s="115"/>
      <c r="AF892" s="115"/>
      <c r="AG892" s="115"/>
      <c r="AH892" s="115"/>
      <c r="AI892" s="122"/>
      <c r="AJ892" s="122"/>
      <c r="AK892" s="122"/>
      <c r="AL892" s="115"/>
      <c r="AM892" s="115"/>
      <c r="AN892" s="115"/>
      <c r="AO892" s="115"/>
      <c r="AP892" s="115"/>
      <c r="AQ892" s="115"/>
      <c r="AR892" s="115"/>
      <c r="AS892" s="115"/>
      <c r="AT892" s="115"/>
      <c r="AU892" s="115"/>
      <c r="AV892" s="115"/>
      <c r="AW892" s="115"/>
      <c r="AX892" s="115"/>
      <c r="AY892" s="115"/>
      <c r="AZ892" s="26"/>
      <c r="BA892" s="15"/>
      <c r="BD892" s="114"/>
    </row>
    <row r="893" spans="3:56" x14ac:dyDescent="0.4"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  <c r="AC893" s="115"/>
      <c r="AD893" s="115"/>
      <c r="AE893" s="115"/>
      <c r="AF893" s="115"/>
      <c r="AG893" s="115"/>
      <c r="AH893" s="115"/>
      <c r="AI893" s="122"/>
      <c r="AJ893" s="122"/>
      <c r="AK893" s="122"/>
      <c r="AL893" s="115"/>
      <c r="AM893" s="115"/>
      <c r="AN893" s="115"/>
      <c r="AO893" s="115"/>
      <c r="AP893" s="115"/>
      <c r="AQ893" s="115"/>
      <c r="AR893" s="115"/>
      <c r="AS893" s="115"/>
      <c r="AT893" s="115"/>
      <c r="AU893" s="115"/>
      <c r="AV893" s="115"/>
      <c r="AW893" s="115"/>
      <c r="AX893" s="115"/>
      <c r="AY893" s="115"/>
      <c r="AZ893" s="26"/>
      <c r="BA893" s="15"/>
      <c r="BD893" s="114"/>
    </row>
    <row r="894" spans="3:56" x14ac:dyDescent="0.4"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15"/>
      <c r="AG894" s="115"/>
      <c r="AH894" s="115"/>
      <c r="AI894" s="122"/>
      <c r="AJ894" s="122"/>
      <c r="AK894" s="122"/>
      <c r="AL894" s="115"/>
      <c r="AM894" s="115"/>
      <c r="AN894" s="115"/>
      <c r="AO894" s="115"/>
      <c r="AP894" s="115"/>
      <c r="AQ894" s="115"/>
      <c r="AR894" s="115"/>
      <c r="AS894" s="115"/>
      <c r="AT894" s="115"/>
      <c r="AU894" s="115"/>
      <c r="AV894" s="115"/>
      <c r="AW894" s="115"/>
      <c r="AX894" s="115"/>
      <c r="AY894" s="115"/>
      <c r="AZ894" s="26"/>
      <c r="BA894" s="13"/>
      <c r="BD894" s="114"/>
    </row>
    <row r="895" spans="3:56" x14ac:dyDescent="0.4"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15"/>
      <c r="AC895" s="115"/>
      <c r="AD895" s="115"/>
      <c r="AE895" s="115"/>
      <c r="AF895" s="115"/>
      <c r="AG895" s="115"/>
      <c r="AH895" s="115"/>
      <c r="AI895" s="122"/>
      <c r="AJ895" s="122"/>
      <c r="AK895" s="122"/>
      <c r="AL895" s="115"/>
      <c r="AM895" s="115"/>
      <c r="AN895" s="115"/>
      <c r="AO895" s="115"/>
      <c r="AP895" s="115"/>
      <c r="AQ895" s="115"/>
      <c r="AR895" s="115"/>
      <c r="AS895" s="115"/>
      <c r="AT895" s="115"/>
      <c r="AU895" s="115"/>
      <c r="AV895" s="115"/>
      <c r="AW895" s="115"/>
      <c r="AX895" s="115"/>
      <c r="AY895" s="115"/>
      <c r="AZ895" s="26"/>
      <c r="BA895" s="13"/>
      <c r="BD895" s="114"/>
    </row>
    <row r="896" spans="3:56" x14ac:dyDescent="0.4"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15"/>
      <c r="AD896" s="115"/>
      <c r="AE896" s="115"/>
      <c r="AF896" s="115"/>
      <c r="AG896" s="115"/>
      <c r="AH896" s="115"/>
      <c r="AI896" s="122"/>
      <c r="AJ896" s="122"/>
      <c r="AK896" s="122"/>
      <c r="AL896" s="115"/>
      <c r="AM896" s="115"/>
      <c r="AN896" s="115"/>
      <c r="AO896" s="115"/>
      <c r="AP896" s="115"/>
      <c r="AQ896" s="115"/>
      <c r="AR896" s="115"/>
      <c r="AS896" s="115"/>
      <c r="AT896" s="115"/>
      <c r="AU896" s="115"/>
      <c r="AV896" s="115"/>
      <c r="AW896" s="115"/>
      <c r="AX896" s="115"/>
      <c r="AY896" s="115"/>
      <c r="AZ896" s="26"/>
      <c r="BA896" s="13"/>
      <c r="BD896" s="114"/>
    </row>
    <row r="897" spans="1:56" x14ac:dyDescent="0.4"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15"/>
      <c r="AG897" s="115"/>
      <c r="AH897" s="115"/>
      <c r="AI897" s="122"/>
      <c r="AJ897" s="122"/>
      <c r="AK897" s="122"/>
      <c r="AL897" s="115"/>
      <c r="AM897" s="115"/>
      <c r="AN897" s="115"/>
      <c r="AO897" s="115"/>
      <c r="AP897" s="115"/>
      <c r="AQ897" s="115"/>
      <c r="AR897" s="115"/>
      <c r="AS897" s="115"/>
      <c r="AT897" s="115"/>
      <c r="AU897" s="115"/>
      <c r="AV897" s="115"/>
      <c r="AW897" s="115"/>
      <c r="AX897" s="115"/>
      <c r="AY897" s="115"/>
      <c r="AZ897" s="17"/>
      <c r="BA897" s="13"/>
      <c r="BD897" s="114"/>
    </row>
    <row r="898" spans="1:56" x14ac:dyDescent="0.4"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  <c r="AC898" s="115"/>
      <c r="AD898" s="115"/>
      <c r="AE898" s="115"/>
      <c r="AF898" s="115"/>
      <c r="AG898" s="115"/>
      <c r="AH898" s="115"/>
      <c r="AI898" s="122"/>
      <c r="AJ898" s="122"/>
      <c r="AK898" s="122"/>
      <c r="AL898" s="115"/>
      <c r="AM898" s="115"/>
      <c r="AN898" s="115"/>
      <c r="AO898" s="115"/>
      <c r="AP898" s="115"/>
      <c r="AQ898" s="115"/>
      <c r="AR898" s="115"/>
      <c r="AS898" s="115"/>
      <c r="AT898" s="115"/>
      <c r="AU898" s="115"/>
      <c r="AV898" s="115"/>
      <c r="AW898" s="115"/>
      <c r="AX898" s="115"/>
      <c r="AY898" s="115"/>
      <c r="AZ898" s="26"/>
      <c r="BA898" s="13"/>
      <c r="BD898" s="114"/>
    </row>
    <row r="899" spans="1:56" x14ac:dyDescent="0.4"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  <c r="AC899" s="115"/>
      <c r="AD899" s="115"/>
      <c r="AE899" s="115"/>
      <c r="AF899" s="115"/>
      <c r="AG899" s="115"/>
      <c r="AH899" s="115"/>
      <c r="AI899" s="122"/>
      <c r="AJ899" s="122"/>
      <c r="AK899" s="122"/>
      <c r="AL899" s="115"/>
      <c r="AM899" s="115"/>
      <c r="AN899" s="115"/>
      <c r="AO899" s="115"/>
      <c r="AP899" s="115"/>
      <c r="AQ899" s="115"/>
      <c r="AR899" s="115"/>
      <c r="AS899" s="115"/>
      <c r="AT899" s="115"/>
      <c r="AU899" s="115"/>
      <c r="AV899" s="115"/>
      <c r="AW899" s="115"/>
      <c r="AX899" s="115"/>
      <c r="AY899" s="115"/>
      <c r="AZ899" s="26"/>
      <c r="BA899" s="25"/>
      <c r="BD899" s="114"/>
    </row>
    <row r="900" spans="1:56" x14ac:dyDescent="0.4"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15"/>
      <c r="AC900" s="115"/>
      <c r="AD900" s="115"/>
      <c r="AE900" s="115"/>
      <c r="AF900" s="115"/>
      <c r="AG900" s="115"/>
      <c r="AH900" s="115"/>
      <c r="AI900" s="122"/>
      <c r="AJ900" s="122"/>
      <c r="AK900" s="122"/>
      <c r="AL900" s="115"/>
      <c r="AM900" s="115"/>
      <c r="AN900" s="115"/>
      <c r="AO900" s="115"/>
      <c r="AP900" s="115"/>
      <c r="AQ900" s="115"/>
      <c r="AR900" s="115"/>
      <c r="AS900" s="115"/>
      <c r="AT900" s="115"/>
      <c r="AU900" s="115"/>
      <c r="AV900" s="115"/>
      <c r="AW900" s="115"/>
      <c r="AX900" s="115"/>
      <c r="AY900" s="115"/>
      <c r="AZ900" s="26"/>
      <c r="BA900" s="13"/>
      <c r="BD900" s="114"/>
    </row>
    <row r="901" spans="1:56" x14ac:dyDescent="0.4"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  <c r="AB901" s="115"/>
      <c r="AC901" s="115"/>
      <c r="AD901" s="115"/>
      <c r="AE901" s="115"/>
      <c r="AF901" s="115"/>
      <c r="AG901" s="115"/>
      <c r="AH901" s="115"/>
      <c r="AI901" s="122"/>
      <c r="AJ901" s="122"/>
      <c r="AK901" s="122"/>
      <c r="AL901" s="115"/>
      <c r="AM901" s="115"/>
      <c r="AN901" s="115"/>
      <c r="AO901" s="115"/>
      <c r="AP901" s="115"/>
      <c r="AQ901" s="115"/>
      <c r="AR901" s="115"/>
      <c r="AS901" s="115"/>
      <c r="AT901" s="115"/>
      <c r="AU901" s="115"/>
      <c r="AV901" s="115"/>
      <c r="AW901" s="115"/>
      <c r="AX901" s="115"/>
      <c r="AY901" s="115"/>
      <c r="AZ901" s="26"/>
      <c r="BA901" s="13"/>
      <c r="BD901" s="114"/>
    </row>
    <row r="902" spans="1:56" x14ac:dyDescent="0.4"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  <c r="AB902" s="115"/>
      <c r="AC902" s="115"/>
      <c r="AD902" s="115"/>
      <c r="AE902" s="115"/>
      <c r="AF902" s="115"/>
      <c r="AG902" s="115"/>
      <c r="AH902" s="115"/>
      <c r="AI902" s="122"/>
      <c r="AJ902" s="122"/>
      <c r="AK902" s="122"/>
      <c r="AL902" s="115"/>
      <c r="AM902" s="115"/>
      <c r="AN902" s="115"/>
      <c r="AO902" s="115"/>
      <c r="AP902" s="115"/>
      <c r="AQ902" s="115"/>
      <c r="AR902" s="115"/>
      <c r="AS902" s="115"/>
      <c r="AT902" s="115"/>
      <c r="AU902" s="115"/>
      <c r="AV902" s="115"/>
      <c r="AW902" s="115"/>
      <c r="AX902" s="115"/>
      <c r="AY902" s="115"/>
      <c r="AZ902" s="26"/>
      <c r="BA902" s="13"/>
      <c r="BD902" s="114"/>
    </row>
    <row r="903" spans="1:56" x14ac:dyDescent="0.4"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  <c r="AB903" s="115"/>
      <c r="AC903" s="115"/>
      <c r="AD903" s="115"/>
      <c r="AE903" s="115"/>
      <c r="AF903" s="115"/>
      <c r="AG903" s="115"/>
      <c r="AH903" s="115"/>
      <c r="AI903" s="122"/>
      <c r="AJ903" s="122"/>
      <c r="AK903" s="122"/>
      <c r="AL903" s="115"/>
      <c r="AM903" s="115"/>
      <c r="AN903" s="115"/>
      <c r="AO903" s="115"/>
      <c r="AP903" s="115"/>
      <c r="AQ903" s="115"/>
      <c r="AR903" s="115"/>
      <c r="AS903" s="115"/>
      <c r="AT903" s="115"/>
      <c r="AU903" s="115"/>
      <c r="AV903" s="115"/>
      <c r="AW903" s="115"/>
      <c r="AX903" s="115"/>
      <c r="AY903" s="115"/>
      <c r="AZ903" s="26"/>
      <c r="BA903" s="13"/>
      <c r="BD903" s="114"/>
    </row>
    <row r="904" spans="1:56" x14ac:dyDescent="0.4"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  <c r="AB904" s="115"/>
      <c r="AC904" s="115"/>
      <c r="AD904" s="115"/>
      <c r="AE904" s="115"/>
      <c r="AF904" s="115"/>
      <c r="AG904" s="115"/>
      <c r="AH904" s="115"/>
      <c r="AI904" s="122"/>
      <c r="AJ904" s="122"/>
      <c r="AK904" s="122"/>
      <c r="AL904" s="115"/>
      <c r="AM904" s="115"/>
      <c r="AN904" s="115"/>
      <c r="AO904" s="115"/>
      <c r="AZ904" s="26"/>
      <c r="BA904" s="13"/>
      <c r="BD904" s="114"/>
    </row>
    <row r="905" spans="1:56" x14ac:dyDescent="0.4"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  <c r="AB905" s="115"/>
      <c r="AC905" s="115"/>
      <c r="AD905" s="115"/>
      <c r="AE905" s="115"/>
      <c r="AF905" s="115"/>
      <c r="AG905" s="115"/>
      <c r="AH905" s="115"/>
      <c r="AI905" s="122"/>
      <c r="AJ905" s="122"/>
      <c r="AK905" s="122"/>
      <c r="AL905" s="115"/>
      <c r="AM905" s="115"/>
      <c r="AN905" s="115"/>
      <c r="AO905" s="115"/>
      <c r="AP905" s="115"/>
      <c r="AQ905" s="115"/>
      <c r="AR905" s="115"/>
      <c r="AS905" s="115"/>
      <c r="AT905" s="115"/>
      <c r="AU905" s="115"/>
      <c r="AV905" s="115"/>
      <c r="AW905" s="115"/>
      <c r="AX905" s="115"/>
      <c r="AY905" s="115"/>
      <c r="AZ905" s="26"/>
      <c r="BA905" s="13"/>
      <c r="BD905" s="114"/>
    </row>
    <row r="906" spans="1:56" x14ac:dyDescent="0.4"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15"/>
      <c r="AC906" s="115"/>
      <c r="AD906" s="115"/>
      <c r="AE906" s="115"/>
      <c r="AF906" s="115"/>
      <c r="AG906" s="115"/>
      <c r="AH906" s="115"/>
      <c r="AI906" s="122"/>
      <c r="AJ906" s="122"/>
      <c r="AK906" s="122"/>
      <c r="AL906" s="115"/>
      <c r="AM906" s="115"/>
      <c r="AN906" s="115"/>
      <c r="AO906" s="115"/>
      <c r="AP906" s="115"/>
      <c r="AQ906" s="115"/>
      <c r="AR906" s="115"/>
      <c r="AS906" s="115"/>
      <c r="AT906" s="115"/>
      <c r="AU906" s="115"/>
      <c r="AV906" s="115"/>
      <c r="AW906" s="115"/>
      <c r="AX906" s="115"/>
      <c r="AY906" s="115"/>
      <c r="AZ906" s="17"/>
      <c r="BA906" s="13"/>
      <c r="BD906" s="114"/>
    </row>
    <row r="907" spans="1:56" x14ac:dyDescent="0.4"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15"/>
      <c r="AC907" s="115"/>
      <c r="AD907" s="115"/>
      <c r="AE907" s="115"/>
      <c r="AF907" s="115"/>
      <c r="AG907" s="115"/>
      <c r="AH907" s="115"/>
      <c r="AI907" s="122"/>
      <c r="AJ907" s="122"/>
      <c r="AK907" s="122"/>
      <c r="AL907" s="115"/>
      <c r="AM907" s="115"/>
      <c r="AN907" s="115"/>
      <c r="AO907" s="115"/>
      <c r="AP907" s="115"/>
      <c r="AQ907" s="115"/>
      <c r="AR907" s="115"/>
      <c r="AS907" s="115"/>
      <c r="AT907" s="115"/>
      <c r="AU907" s="115"/>
      <c r="AV907" s="115"/>
      <c r="AW907" s="115"/>
      <c r="AX907" s="115"/>
      <c r="AY907" s="115"/>
      <c r="AZ907" s="26"/>
      <c r="BA907" s="13"/>
      <c r="BD907" s="114"/>
    </row>
    <row r="908" spans="1:56" x14ac:dyDescent="0.4"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  <c r="AB908" s="115"/>
      <c r="AC908" s="115"/>
      <c r="AD908" s="115"/>
      <c r="AE908" s="115"/>
      <c r="AF908" s="115"/>
      <c r="AG908" s="115"/>
      <c r="AH908" s="115"/>
      <c r="AI908" s="122"/>
      <c r="AJ908" s="122"/>
      <c r="AK908" s="122"/>
      <c r="AL908" s="115"/>
      <c r="AM908" s="115"/>
      <c r="AN908" s="115"/>
      <c r="AO908" s="115"/>
      <c r="AP908" s="115"/>
      <c r="AQ908" s="115"/>
      <c r="AR908" s="115"/>
      <c r="AS908" s="115"/>
      <c r="AT908" s="115"/>
      <c r="AU908" s="115"/>
      <c r="AV908" s="115"/>
      <c r="AW908" s="115"/>
      <c r="AX908" s="115"/>
      <c r="AY908" s="115"/>
      <c r="AZ908" s="26"/>
      <c r="BA908" s="15"/>
      <c r="BD908" s="114"/>
    </row>
    <row r="909" spans="1:56" x14ac:dyDescent="0.4"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  <c r="AB909" s="115"/>
      <c r="AC909" s="115"/>
      <c r="AD909" s="115"/>
      <c r="AE909" s="115"/>
      <c r="AF909" s="115"/>
      <c r="AG909" s="115"/>
      <c r="AH909" s="115"/>
      <c r="AI909" s="122"/>
      <c r="AJ909" s="122"/>
      <c r="AK909" s="122"/>
      <c r="AL909" s="115"/>
      <c r="AM909" s="115"/>
      <c r="AN909" s="115"/>
      <c r="AO909" s="115"/>
      <c r="AP909" s="115"/>
      <c r="AQ909" s="115"/>
      <c r="AR909" s="115"/>
      <c r="AS909" s="115"/>
      <c r="AT909" s="115"/>
      <c r="AU909" s="115"/>
      <c r="AV909" s="115"/>
      <c r="AW909" s="115"/>
      <c r="AX909" s="115"/>
      <c r="AY909" s="115"/>
      <c r="AZ909" s="17"/>
      <c r="BA909" s="15"/>
      <c r="BD909" s="114"/>
    </row>
    <row r="910" spans="1:56" x14ac:dyDescent="0.4"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  <c r="AB910" s="115"/>
      <c r="AC910" s="115"/>
      <c r="AD910" s="115"/>
      <c r="AE910" s="115"/>
      <c r="AF910" s="115"/>
      <c r="AG910" s="115"/>
      <c r="AH910" s="115"/>
      <c r="AI910" s="122"/>
      <c r="AJ910" s="122"/>
      <c r="AK910" s="122"/>
      <c r="AL910" s="115"/>
      <c r="AM910" s="115"/>
      <c r="AN910" s="115"/>
      <c r="AO910" s="115"/>
      <c r="AP910" s="115"/>
      <c r="AQ910" s="115"/>
      <c r="AR910" s="115"/>
      <c r="AS910" s="115"/>
      <c r="AT910" s="115"/>
      <c r="AU910" s="115"/>
      <c r="AV910" s="115"/>
      <c r="AW910" s="115"/>
      <c r="AX910" s="115"/>
      <c r="AY910" s="115"/>
      <c r="AZ910" s="26"/>
      <c r="BA910" s="15"/>
      <c r="BD910" s="114"/>
    </row>
    <row r="911" spans="1:56" x14ac:dyDescent="0.4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  <c r="AB911" s="115"/>
      <c r="AC911" s="115"/>
      <c r="AD911" s="115"/>
      <c r="AE911" s="115"/>
      <c r="AF911" s="115"/>
      <c r="AG911" s="115"/>
      <c r="AH911" s="115"/>
      <c r="AI911" s="122"/>
      <c r="AJ911" s="122"/>
      <c r="AK911" s="122"/>
      <c r="AL911" s="115"/>
      <c r="AM911" s="115"/>
      <c r="AN911" s="115"/>
      <c r="AO911" s="115"/>
      <c r="AP911" s="115"/>
      <c r="AQ911" s="115"/>
      <c r="AR911" s="115"/>
      <c r="AS911" s="115"/>
      <c r="AT911" s="115"/>
      <c r="AU911" s="115"/>
      <c r="AV911" s="115"/>
      <c r="AW911" s="115"/>
      <c r="AX911" s="115"/>
      <c r="AY911" s="115"/>
      <c r="AZ911" s="26"/>
      <c r="BA911" s="15"/>
      <c r="BD911" s="114"/>
    </row>
    <row r="912" spans="1:56" x14ac:dyDescent="0.4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  <c r="AB912" s="115"/>
      <c r="AC912" s="115"/>
      <c r="AD912" s="115"/>
      <c r="AE912" s="115"/>
      <c r="AF912" s="115"/>
      <c r="AG912" s="115"/>
      <c r="AH912" s="115"/>
      <c r="AI912" s="122"/>
      <c r="AJ912" s="122"/>
      <c r="AK912" s="122"/>
      <c r="AL912" s="115"/>
      <c r="AM912" s="115"/>
      <c r="AN912" s="115"/>
      <c r="AO912" s="115"/>
      <c r="AP912" s="115"/>
      <c r="AQ912" s="115"/>
      <c r="AR912" s="115"/>
      <c r="AS912" s="115"/>
      <c r="AT912" s="115"/>
      <c r="AU912" s="115"/>
      <c r="AV912" s="115"/>
      <c r="AW912" s="115"/>
      <c r="AX912" s="115"/>
      <c r="AY912" s="115"/>
      <c r="AZ912" s="17"/>
      <c r="BA912" s="13"/>
      <c r="BD912" s="114"/>
    </row>
    <row r="913" spans="1:56" x14ac:dyDescent="0.4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  <c r="AB913" s="115"/>
      <c r="AC913" s="115"/>
      <c r="AD913" s="115"/>
      <c r="AE913" s="115"/>
      <c r="AF913" s="115"/>
      <c r="AG913" s="115"/>
      <c r="AH913" s="115"/>
      <c r="AI913" s="122"/>
      <c r="AJ913" s="122"/>
      <c r="AK913" s="122"/>
      <c r="AL913" s="115"/>
      <c r="AM913" s="115"/>
      <c r="AN913" s="115"/>
      <c r="AO913" s="115"/>
      <c r="AP913" s="115"/>
      <c r="AQ913" s="115"/>
      <c r="AR913" s="115"/>
      <c r="AS913" s="115"/>
      <c r="AT913" s="115"/>
      <c r="AU913" s="115"/>
      <c r="AV913" s="115"/>
      <c r="AW913" s="115"/>
      <c r="AX913" s="115"/>
      <c r="AY913" s="115"/>
      <c r="AZ913" s="17"/>
      <c r="BA913" s="13"/>
      <c r="BD913" s="114"/>
    </row>
    <row r="914" spans="1:56" x14ac:dyDescent="0.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  <c r="AB914" s="115"/>
      <c r="AC914" s="115"/>
      <c r="AD914" s="115"/>
      <c r="AE914" s="115"/>
      <c r="AF914" s="115"/>
      <c r="AG914" s="115"/>
      <c r="AH914" s="115"/>
      <c r="AI914" s="122"/>
      <c r="AJ914" s="122"/>
      <c r="AK914" s="122"/>
      <c r="AL914" s="115"/>
      <c r="AM914" s="115"/>
      <c r="AN914" s="115"/>
      <c r="AO914" s="115"/>
      <c r="AP914" s="115"/>
      <c r="AQ914" s="115"/>
      <c r="AR914" s="115"/>
      <c r="AS914" s="115"/>
      <c r="AT914" s="115"/>
      <c r="AU914" s="115"/>
      <c r="AV914" s="115"/>
      <c r="AW914" s="115"/>
      <c r="AX914" s="115"/>
      <c r="AY914" s="115"/>
      <c r="AZ914" s="26"/>
      <c r="BA914" s="13"/>
      <c r="BD914" s="114"/>
    </row>
    <row r="915" spans="1:56" x14ac:dyDescent="0.4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  <c r="AC915" s="115"/>
      <c r="AD915" s="115"/>
      <c r="AE915" s="115"/>
      <c r="AF915" s="115"/>
      <c r="AG915" s="115"/>
      <c r="AH915" s="115"/>
      <c r="AI915" s="122"/>
      <c r="AJ915" s="122"/>
      <c r="AK915" s="122"/>
      <c r="AL915" s="115"/>
      <c r="AM915" s="115"/>
      <c r="AN915" s="115"/>
      <c r="AO915" s="115"/>
      <c r="AP915" s="115"/>
      <c r="AQ915" s="115"/>
      <c r="AR915" s="115"/>
      <c r="AS915" s="115"/>
      <c r="AT915" s="115"/>
      <c r="AU915" s="115"/>
      <c r="AV915" s="115"/>
      <c r="AW915" s="115"/>
      <c r="AX915" s="115"/>
      <c r="AY915" s="115"/>
      <c r="AZ915" s="26"/>
      <c r="BA915" s="13"/>
      <c r="BD915" s="114"/>
    </row>
    <row r="916" spans="1:56" x14ac:dyDescent="0.4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  <c r="AC916" s="115"/>
      <c r="AD916" s="115"/>
      <c r="AE916" s="115"/>
      <c r="AF916" s="115"/>
      <c r="AG916" s="115"/>
      <c r="AH916" s="115"/>
      <c r="AI916" s="122"/>
      <c r="AJ916" s="122"/>
      <c r="AK916" s="122"/>
      <c r="AL916" s="115"/>
      <c r="AM916" s="115"/>
      <c r="AN916" s="115"/>
      <c r="AO916" s="115"/>
      <c r="AP916" s="115"/>
      <c r="AQ916" s="115"/>
      <c r="AR916" s="115"/>
      <c r="AS916" s="115"/>
      <c r="AT916" s="115"/>
      <c r="AU916" s="115"/>
      <c r="AV916" s="115"/>
      <c r="AW916" s="115"/>
      <c r="AX916" s="115"/>
      <c r="AY916" s="115"/>
      <c r="AZ916" s="17"/>
      <c r="BA916" s="13"/>
      <c r="BD916" s="114"/>
    </row>
    <row r="917" spans="1:56" x14ac:dyDescent="0.4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15"/>
      <c r="AC917" s="115"/>
      <c r="AD917" s="115"/>
      <c r="AE917" s="115"/>
      <c r="AF917" s="115"/>
      <c r="AG917" s="115"/>
      <c r="AH917" s="115"/>
      <c r="AI917" s="122"/>
      <c r="AJ917" s="122"/>
      <c r="AK917" s="122"/>
      <c r="AL917" s="115"/>
      <c r="AM917" s="115"/>
      <c r="AN917" s="115"/>
      <c r="AO917" s="115"/>
      <c r="AP917" s="115"/>
      <c r="AQ917" s="115"/>
      <c r="AR917" s="115"/>
      <c r="AS917" s="115"/>
      <c r="AT917" s="115"/>
      <c r="AU917" s="115"/>
      <c r="AV917" s="115"/>
      <c r="AW917" s="115"/>
      <c r="AX917" s="115"/>
      <c r="AY917" s="115"/>
      <c r="AZ917" s="26"/>
      <c r="BA917" s="15"/>
      <c r="BD917" s="114"/>
    </row>
    <row r="918" spans="1:56" x14ac:dyDescent="0.4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15"/>
      <c r="AC918" s="115"/>
      <c r="AD918" s="115"/>
      <c r="AE918" s="115"/>
      <c r="AF918" s="115"/>
      <c r="AG918" s="115"/>
      <c r="AH918" s="115"/>
      <c r="AI918" s="122"/>
      <c r="AJ918" s="122"/>
      <c r="AK918" s="122"/>
      <c r="AL918" s="115"/>
      <c r="AM918" s="115"/>
      <c r="AN918" s="115"/>
      <c r="AO918" s="115"/>
      <c r="AP918" s="115"/>
      <c r="AQ918" s="115"/>
      <c r="AR918" s="115"/>
      <c r="AS918" s="115"/>
      <c r="AT918" s="115"/>
      <c r="AU918" s="115"/>
      <c r="AV918" s="115"/>
      <c r="AW918" s="115"/>
      <c r="AX918" s="115"/>
      <c r="AY918" s="115"/>
      <c r="AZ918" s="26"/>
      <c r="BA918" s="15"/>
      <c r="BD918" s="114"/>
    </row>
    <row r="919" spans="1:56" x14ac:dyDescent="0.4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  <c r="AC919" s="115"/>
      <c r="AD919" s="115"/>
      <c r="AE919" s="115"/>
      <c r="AF919" s="115"/>
      <c r="AG919" s="115"/>
      <c r="AH919" s="115"/>
      <c r="AI919" s="122"/>
      <c r="AJ919" s="122"/>
      <c r="AK919" s="122"/>
      <c r="AL919" s="115"/>
      <c r="AM919" s="115"/>
      <c r="AN919" s="115"/>
      <c r="AO919" s="115"/>
      <c r="AP919" s="115"/>
      <c r="AQ919" s="115"/>
      <c r="AR919" s="115"/>
      <c r="AS919" s="115"/>
      <c r="AT919" s="115"/>
      <c r="AU919" s="115"/>
      <c r="AV919" s="115"/>
      <c r="AW919" s="115"/>
      <c r="AX919" s="115"/>
      <c r="AY919" s="115"/>
      <c r="AZ919" s="26"/>
      <c r="BA919" s="15"/>
      <c r="BD919" s="114"/>
    </row>
    <row r="920" spans="1:56" x14ac:dyDescent="0.4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15"/>
      <c r="AC920" s="115"/>
      <c r="AD920" s="115"/>
      <c r="AE920" s="115"/>
      <c r="AF920" s="115"/>
      <c r="AG920" s="115"/>
      <c r="AH920" s="115"/>
      <c r="AI920" s="122"/>
      <c r="AJ920" s="122"/>
      <c r="AK920" s="122"/>
      <c r="AL920" s="115"/>
      <c r="AM920" s="115"/>
      <c r="AN920" s="115"/>
      <c r="AO920" s="115"/>
      <c r="AP920" s="115"/>
      <c r="AQ920" s="115"/>
      <c r="AR920" s="115"/>
      <c r="AS920" s="115"/>
      <c r="AT920" s="115"/>
      <c r="AU920" s="115"/>
      <c r="AV920" s="115"/>
      <c r="AW920" s="115"/>
      <c r="AX920" s="115"/>
      <c r="AY920" s="115"/>
      <c r="AZ920" s="26"/>
      <c r="BA920" s="13"/>
      <c r="BD920" s="114"/>
    </row>
    <row r="921" spans="1:56" x14ac:dyDescent="0.4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15"/>
      <c r="AC921" s="115"/>
      <c r="AD921" s="115"/>
      <c r="AE921" s="115"/>
      <c r="AF921" s="115"/>
      <c r="AG921" s="115"/>
      <c r="AH921" s="115"/>
      <c r="AI921" s="122"/>
      <c r="AJ921" s="122"/>
      <c r="AK921" s="122"/>
      <c r="AL921" s="115"/>
      <c r="AM921" s="115"/>
      <c r="AN921" s="115"/>
      <c r="AO921" s="115"/>
      <c r="AP921" s="115"/>
      <c r="AQ921" s="115"/>
      <c r="AR921" s="115"/>
      <c r="AS921" s="115"/>
      <c r="AT921" s="115"/>
      <c r="AU921" s="115"/>
      <c r="AV921" s="115"/>
      <c r="AW921" s="115"/>
      <c r="AX921" s="115"/>
      <c r="AY921" s="115"/>
      <c r="AZ921" s="26"/>
      <c r="BA921" s="25"/>
      <c r="BD921" s="114"/>
    </row>
    <row r="922" spans="1:56" x14ac:dyDescent="0.4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15"/>
      <c r="AC922" s="115"/>
      <c r="AD922" s="115"/>
      <c r="AE922" s="115"/>
      <c r="AF922" s="115"/>
      <c r="AG922" s="115"/>
      <c r="AH922" s="115"/>
      <c r="AI922" s="122"/>
      <c r="AJ922" s="122"/>
      <c r="AK922" s="122"/>
      <c r="AL922" s="115"/>
      <c r="AM922" s="115"/>
      <c r="AN922" s="115"/>
      <c r="AO922" s="115"/>
      <c r="AP922" s="115"/>
      <c r="AQ922" s="115"/>
      <c r="AR922" s="115"/>
      <c r="AS922" s="115"/>
      <c r="AT922" s="115"/>
      <c r="AU922" s="115"/>
      <c r="AV922" s="115"/>
      <c r="AW922" s="115"/>
      <c r="AX922" s="115"/>
      <c r="AY922" s="115"/>
      <c r="AZ922" s="26"/>
      <c r="BA922" s="13"/>
      <c r="BD922" s="114"/>
    </row>
    <row r="923" spans="1:56" x14ac:dyDescent="0.4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  <c r="AC923" s="115"/>
      <c r="AD923" s="115"/>
      <c r="AE923" s="115"/>
      <c r="AF923" s="115"/>
      <c r="AG923" s="115"/>
      <c r="AH923" s="115"/>
      <c r="AI923" s="122"/>
      <c r="AJ923" s="122"/>
      <c r="AK923" s="122"/>
      <c r="AL923" s="115"/>
      <c r="AM923" s="115"/>
      <c r="AN923" s="115"/>
      <c r="AO923" s="115"/>
      <c r="AP923" s="115"/>
      <c r="AQ923" s="115"/>
      <c r="AR923" s="115"/>
      <c r="AS923" s="115"/>
      <c r="AT923" s="115"/>
      <c r="AU923" s="115"/>
      <c r="AV923" s="115"/>
      <c r="AW923" s="115"/>
      <c r="AX923" s="115"/>
      <c r="AY923" s="115"/>
      <c r="AZ923" s="26"/>
      <c r="BA923" s="13"/>
      <c r="BD923" s="114"/>
    </row>
    <row r="924" spans="1:56" x14ac:dyDescent="0.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15"/>
      <c r="AC924" s="115"/>
      <c r="AD924" s="115"/>
      <c r="AE924" s="115"/>
      <c r="AF924" s="115"/>
      <c r="AG924" s="115"/>
      <c r="AH924" s="115"/>
      <c r="AI924" s="122"/>
      <c r="AJ924" s="122"/>
      <c r="AK924" s="122"/>
      <c r="AL924" s="115"/>
      <c r="AM924" s="115"/>
      <c r="AN924" s="115"/>
      <c r="AO924" s="115"/>
      <c r="AP924" s="115"/>
      <c r="AQ924" s="115"/>
      <c r="AR924" s="115"/>
      <c r="AS924" s="115"/>
      <c r="AT924" s="115"/>
      <c r="AU924" s="115"/>
      <c r="AV924" s="115"/>
      <c r="AW924" s="115"/>
      <c r="AX924" s="115"/>
      <c r="AY924" s="115"/>
      <c r="AZ924" s="26"/>
      <c r="BA924" s="13"/>
      <c r="BD924" s="114"/>
    </row>
    <row r="925" spans="1:56" x14ac:dyDescent="0.4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  <c r="AB925" s="115"/>
      <c r="AC925" s="115"/>
      <c r="AD925" s="115"/>
      <c r="AE925" s="115"/>
      <c r="AF925" s="115"/>
      <c r="AG925" s="115"/>
      <c r="AH925" s="115"/>
      <c r="AI925" s="122"/>
      <c r="AJ925" s="122"/>
      <c r="AK925" s="122"/>
      <c r="AL925" s="115"/>
      <c r="AM925" s="115"/>
      <c r="AN925" s="115"/>
      <c r="AO925" s="115"/>
      <c r="AP925" s="115"/>
      <c r="AQ925" s="115"/>
      <c r="AR925" s="115"/>
      <c r="AS925" s="115"/>
      <c r="AT925" s="115"/>
      <c r="AU925" s="115"/>
      <c r="AV925" s="115"/>
      <c r="AW925" s="115"/>
      <c r="AX925" s="115"/>
      <c r="AY925" s="115"/>
      <c r="AZ925" s="26"/>
      <c r="BA925" s="13"/>
      <c r="BD925" s="114"/>
    </row>
    <row r="926" spans="1:56" x14ac:dyDescent="0.4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15"/>
      <c r="AC926" s="115"/>
      <c r="AD926" s="115"/>
      <c r="AE926" s="115"/>
      <c r="AF926" s="115"/>
      <c r="AG926" s="115"/>
      <c r="AH926" s="115"/>
      <c r="AI926" s="122"/>
      <c r="AJ926" s="122"/>
      <c r="AK926" s="122"/>
      <c r="AL926" s="115"/>
      <c r="AM926" s="115"/>
      <c r="AN926" s="115"/>
      <c r="AO926" s="115"/>
      <c r="AP926" s="115"/>
      <c r="AQ926" s="115"/>
      <c r="AR926" s="115"/>
      <c r="AS926" s="115"/>
      <c r="AT926" s="115"/>
      <c r="AU926" s="115"/>
      <c r="AV926" s="115"/>
      <c r="AW926" s="115"/>
      <c r="AX926" s="115"/>
      <c r="AY926" s="115"/>
      <c r="AZ926" s="26"/>
      <c r="BA926" s="13"/>
      <c r="BD926" s="114"/>
    </row>
    <row r="927" spans="1:56" x14ac:dyDescent="0.4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  <c r="AB927" s="115"/>
      <c r="AC927" s="115"/>
      <c r="AD927" s="115"/>
      <c r="AE927" s="115"/>
      <c r="AF927" s="115"/>
      <c r="AG927" s="115"/>
      <c r="AH927" s="115"/>
      <c r="AI927" s="122"/>
      <c r="AJ927" s="122"/>
      <c r="AK927" s="122"/>
      <c r="AL927" s="115"/>
      <c r="AM927" s="115"/>
      <c r="AN927" s="115"/>
      <c r="AO927" s="115"/>
      <c r="AP927" s="115"/>
      <c r="AQ927" s="115"/>
      <c r="AR927" s="115"/>
      <c r="AS927" s="115"/>
      <c r="AT927" s="115"/>
      <c r="AU927" s="115"/>
      <c r="AV927" s="115"/>
      <c r="AW927" s="115"/>
      <c r="AX927" s="115"/>
      <c r="AY927" s="115"/>
      <c r="AZ927" s="26"/>
      <c r="BA927" s="13"/>
      <c r="BD927" s="114"/>
    </row>
    <row r="928" spans="1:56" x14ac:dyDescent="0.4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  <c r="AB928" s="115"/>
      <c r="AC928" s="115"/>
      <c r="AD928" s="115"/>
      <c r="AE928" s="115"/>
      <c r="AF928" s="115"/>
      <c r="AG928" s="115"/>
      <c r="AH928" s="115"/>
      <c r="AI928" s="122"/>
      <c r="AJ928" s="122"/>
      <c r="AK928" s="122"/>
      <c r="AL928" s="115"/>
      <c r="AM928" s="115"/>
      <c r="AN928" s="115"/>
      <c r="AO928" s="115"/>
      <c r="AP928" s="115"/>
      <c r="AQ928" s="115"/>
      <c r="AR928" s="115"/>
      <c r="AS928" s="115"/>
      <c r="AT928" s="115"/>
      <c r="AU928" s="115"/>
      <c r="AV928" s="115"/>
      <c r="AW928" s="115"/>
      <c r="AX928" s="115"/>
      <c r="AY928" s="115"/>
      <c r="AZ928" s="26"/>
      <c r="BA928" s="13"/>
      <c r="BD928" s="114"/>
    </row>
    <row r="929" spans="1:56" x14ac:dyDescent="0.4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  <c r="AB929" s="115"/>
      <c r="AC929" s="115"/>
      <c r="AD929" s="115"/>
      <c r="AE929" s="115"/>
      <c r="AF929" s="115"/>
      <c r="AG929" s="115"/>
      <c r="AH929" s="115"/>
      <c r="AI929" s="122"/>
      <c r="AJ929" s="122"/>
      <c r="AK929" s="122"/>
      <c r="AL929" s="115"/>
      <c r="AM929" s="115"/>
      <c r="AN929" s="115"/>
      <c r="AO929" s="115"/>
      <c r="AP929" s="115"/>
      <c r="AQ929" s="115"/>
      <c r="AR929" s="115"/>
      <c r="AS929" s="115"/>
      <c r="AT929" s="115"/>
      <c r="AU929" s="115"/>
      <c r="AV929" s="115"/>
      <c r="AW929" s="115"/>
      <c r="AX929" s="115"/>
      <c r="AY929" s="115"/>
      <c r="AZ929" s="26"/>
      <c r="BA929" s="13"/>
      <c r="BD929" s="114"/>
    </row>
    <row r="930" spans="1:56" x14ac:dyDescent="0.4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  <c r="AB930" s="115"/>
      <c r="AC930" s="115"/>
      <c r="AD930" s="115"/>
      <c r="AE930" s="115"/>
      <c r="AF930" s="115"/>
      <c r="AG930" s="115"/>
      <c r="AH930" s="115"/>
      <c r="AI930" s="122"/>
      <c r="AJ930" s="122"/>
      <c r="AK930" s="122"/>
      <c r="AL930" s="115"/>
      <c r="AM930" s="115"/>
      <c r="AN930" s="115"/>
      <c r="AO930" s="115"/>
      <c r="AP930" s="115"/>
      <c r="AQ930" s="115"/>
      <c r="AR930" s="115"/>
      <c r="AS930" s="115"/>
      <c r="AT930" s="115"/>
      <c r="AU930" s="115"/>
      <c r="AV930" s="115"/>
      <c r="AW930" s="115"/>
      <c r="AX930" s="115"/>
      <c r="AY930" s="115"/>
      <c r="AZ930" s="26"/>
      <c r="BA930" s="13"/>
      <c r="BD930" s="114"/>
    </row>
    <row r="931" spans="1:56" x14ac:dyDescent="0.4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  <c r="AB931" s="115"/>
      <c r="AC931" s="115"/>
      <c r="AD931" s="115"/>
      <c r="AE931" s="115"/>
      <c r="AF931" s="115"/>
      <c r="AG931" s="115"/>
      <c r="AH931" s="115"/>
      <c r="AI931" s="122"/>
      <c r="AJ931" s="122"/>
      <c r="AK931" s="122"/>
      <c r="AL931" s="115"/>
      <c r="AM931" s="115"/>
      <c r="AN931" s="115"/>
      <c r="AO931" s="115"/>
      <c r="AP931" s="115"/>
      <c r="AQ931" s="115"/>
      <c r="AR931" s="115"/>
      <c r="AS931" s="115"/>
      <c r="AT931" s="115"/>
      <c r="AU931" s="115"/>
      <c r="AV931" s="115"/>
      <c r="AW931" s="115"/>
      <c r="AX931" s="115"/>
      <c r="AY931" s="115"/>
      <c r="AZ931" s="26"/>
      <c r="BA931" s="13"/>
      <c r="BD931" s="114"/>
    </row>
    <row r="932" spans="1:56" x14ac:dyDescent="0.4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  <c r="AB932" s="115"/>
      <c r="AC932" s="115"/>
      <c r="AD932" s="115"/>
      <c r="AE932" s="115"/>
      <c r="AF932" s="115"/>
      <c r="AG932" s="115"/>
      <c r="AH932" s="115"/>
      <c r="AI932" s="122"/>
      <c r="AJ932" s="122"/>
      <c r="AK932" s="122"/>
      <c r="AL932" s="115"/>
      <c r="AM932" s="115"/>
      <c r="AN932" s="115"/>
      <c r="AO932" s="115"/>
      <c r="AP932" s="115"/>
      <c r="AQ932" s="115"/>
      <c r="AR932" s="115"/>
      <c r="AS932" s="115"/>
      <c r="AT932" s="115"/>
      <c r="AU932" s="115"/>
      <c r="AV932" s="115"/>
      <c r="AW932" s="115"/>
      <c r="AX932" s="115"/>
      <c r="AY932" s="115"/>
      <c r="AZ932" s="26"/>
      <c r="BA932" s="15"/>
      <c r="BD932" s="114"/>
    </row>
    <row r="933" spans="1:56" x14ac:dyDescent="0.4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  <c r="AB933" s="115"/>
      <c r="AC933" s="115"/>
      <c r="AD933" s="115"/>
      <c r="AE933" s="115"/>
      <c r="AF933" s="115"/>
      <c r="AG933" s="115"/>
      <c r="AH933" s="115"/>
      <c r="AI933" s="122"/>
      <c r="AJ933" s="122"/>
      <c r="AK933" s="122"/>
      <c r="AL933" s="115"/>
      <c r="AM933" s="115"/>
      <c r="AN933" s="115"/>
      <c r="AO933" s="115"/>
      <c r="AP933" s="115"/>
      <c r="AQ933" s="115"/>
      <c r="AR933" s="115"/>
      <c r="AS933" s="115"/>
      <c r="AT933" s="115"/>
      <c r="AU933" s="115"/>
      <c r="AV933" s="115"/>
      <c r="AW933" s="115"/>
      <c r="AX933" s="115"/>
      <c r="AY933" s="115"/>
      <c r="AZ933" s="26"/>
      <c r="BA933" s="15"/>
      <c r="BD933" s="114"/>
    </row>
    <row r="934" spans="1:56" x14ac:dyDescent="0.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  <c r="AB934" s="115"/>
      <c r="AC934" s="115"/>
      <c r="AD934" s="115"/>
      <c r="AE934" s="115"/>
      <c r="AF934" s="115"/>
      <c r="AG934" s="115"/>
      <c r="AH934" s="115"/>
      <c r="AI934" s="122"/>
      <c r="AJ934" s="122"/>
      <c r="AK934" s="122"/>
      <c r="AL934" s="115"/>
      <c r="AM934" s="115"/>
      <c r="AN934" s="115"/>
      <c r="AO934" s="115"/>
      <c r="AP934" s="115"/>
      <c r="AQ934" s="115"/>
      <c r="AR934" s="115"/>
      <c r="AS934" s="115"/>
      <c r="AT934" s="115"/>
      <c r="AU934" s="115"/>
      <c r="AV934" s="115"/>
      <c r="AW934" s="115"/>
      <c r="AX934" s="115"/>
      <c r="AY934" s="115"/>
      <c r="AZ934" s="26"/>
      <c r="BA934" s="15"/>
      <c r="BD934" s="114"/>
    </row>
    <row r="935" spans="1:56" x14ac:dyDescent="0.4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  <c r="AB935" s="115"/>
      <c r="AC935" s="115"/>
      <c r="AD935" s="115"/>
      <c r="AE935" s="115"/>
      <c r="AF935" s="115"/>
      <c r="AG935" s="115"/>
      <c r="AH935" s="115"/>
      <c r="AI935" s="122"/>
      <c r="AJ935" s="122"/>
      <c r="AK935" s="122"/>
      <c r="AL935" s="115"/>
      <c r="AM935" s="115"/>
      <c r="AN935" s="115"/>
      <c r="AO935" s="115"/>
      <c r="AP935" s="115"/>
      <c r="AQ935" s="115"/>
      <c r="AR935" s="115"/>
      <c r="AS935" s="115"/>
      <c r="AT935" s="115"/>
      <c r="AU935" s="115"/>
      <c r="AV935" s="115"/>
      <c r="AW935" s="115"/>
      <c r="AX935" s="115"/>
      <c r="AY935" s="115"/>
      <c r="AZ935" s="26"/>
      <c r="BA935" s="15"/>
      <c r="BD935" s="114"/>
    </row>
    <row r="936" spans="1:56" x14ac:dyDescent="0.4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  <c r="AB936" s="115"/>
      <c r="AC936" s="115"/>
      <c r="AD936" s="115"/>
      <c r="AE936" s="115"/>
      <c r="AF936" s="115"/>
      <c r="AG936" s="115"/>
      <c r="AH936" s="115"/>
      <c r="AI936" s="122"/>
      <c r="AJ936" s="122"/>
      <c r="AK936" s="122"/>
      <c r="AL936" s="115"/>
      <c r="AM936" s="115"/>
      <c r="AN936" s="115"/>
      <c r="AO936" s="115"/>
      <c r="AP936" s="115"/>
      <c r="AQ936" s="115"/>
      <c r="AR936" s="115"/>
      <c r="AS936" s="115"/>
      <c r="AT936" s="115"/>
      <c r="AU936" s="115"/>
      <c r="AV936" s="115"/>
      <c r="AW936" s="115"/>
      <c r="AX936" s="115"/>
      <c r="AY936" s="115"/>
      <c r="AZ936" s="26"/>
      <c r="BA936" s="13"/>
      <c r="BD936" s="114"/>
    </row>
    <row r="937" spans="1:56" x14ac:dyDescent="0.4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  <c r="AB937" s="115"/>
      <c r="AC937" s="115"/>
      <c r="AD937" s="115"/>
      <c r="AE937" s="115"/>
      <c r="AF937" s="115"/>
      <c r="AG937" s="115"/>
      <c r="AH937" s="115"/>
      <c r="AI937" s="122"/>
      <c r="AJ937" s="122"/>
      <c r="AK937" s="122"/>
      <c r="AL937" s="115"/>
      <c r="AM937" s="115"/>
      <c r="AN937" s="115"/>
      <c r="AO937" s="115"/>
      <c r="AP937" s="115"/>
      <c r="AQ937" s="115"/>
      <c r="AR937" s="115"/>
      <c r="AS937" s="115"/>
      <c r="AT937" s="115"/>
      <c r="AU937" s="115"/>
      <c r="AV937" s="115"/>
      <c r="AW937" s="115"/>
      <c r="AX937" s="115"/>
      <c r="AY937" s="115"/>
      <c r="AZ937" s="26"/>
      <c r="BA937" s="15"/>
      <c r="BD937" s="114"/>
    </row>
    <row r="938" spans="1:56" x14ac:dyDescent="0.4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15"/>
      <c r="AC938" s="115"/>
      <c r="AD938" s="115"/>
      <c r="AE938" s="115"/>
      <c r="AF938" s="115"/>
      <c r="AG938" s="115"/>
      <c r="AH938" s="115"/>
      <c r="AI938" s="122"/>
      <c r="AJ938" s="122"/>
      <c r="AK938" s="122"/>
      <c r="AL938" s="115"/>
      <c r="AM938" s="115"/>
      <c r="AN938" s="115"/>
      <c r="AO938" s="115"/>
      <c r="AP938" s="115"/>
      <c r="AQ938" s="115"/>
      <c r="AR938" s="115"/>
      <c r="AS938" s="115"/>
      <c r="AT938" s="115"/>
      <c r="AU938" s="115"/>
      <c r="AV938" s="115"/>
      <c r="AW938" s="115"/>
      <c r="AX938" s="115"/>
      <c r="AY938" s="115"/>
      <c r="AZ938" s="26"/>
      <c r="BA938" s="15"/>
      <c r="BD938" s="114"/>
    </row>
    <row r="939" spans="1:56" x14ac:dyDescent="0.4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15"/>
      <c r="AC939" s="115"/>
      <c r="AD939" s="115"/>
      <c r="AE939" s="115"/>
      <c r="AF939" s="115"/>
      <c r="AG939" s="115"/>
      <c r="AH939" s="115"/>
      <c r="AI939" s="122"/>
      <c r="AJ939" s="122"/>
      <c r="AK939" s="122"/>
      <c r="AL939" s="115"/>
      <c r="AM939" s="115"/>
      <c r="AN939" s="115"/>
      <c r="AO939" s="115"/>
      <c r="AP939" s="115"/>
      <c r="AQ939" s="115"/>
      <c r="AR939" s="115"/>
      <c r="AS939" s="115"/>
      <c r="AT939" s="115"/>
      <c r="AU939" s="115"/>
      <c r="AV939" s="115"/>
      <c r="AW939" s="115"/>
      <c r="AX939" s="115"/>
      <c r="AY939" s="115"/>
      <c r="AZ939" s="26"/>
      <c r="BA939" s="15"/>
      <c r="BD939" s="114"/>
    </row>
    <row r="940" spans="1:56" x14ac:dyDescent="0.4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  <c r="AC940" s="115"/>
      <c r="AD940" s="115"/>
      <c r="AE940" s="115"/>
      <c r="AF940" s="115"/>
      <c r="AG940" s="115"/>
      <c r="AH940" s="115"/>
      <c r="AI940" s="122"/>
      <c r="AJ940" s="122"/>
      <c r="AK940" s="122"/>
      <c r="AL940" s="115"/>
      <c r="AM940" s="115"/>
      <c r="AN940" s="115"/>
      <c r="AO940" s="115"/>
      <c r="AP940" s="115"/>
      <c r="AQ940" s="115"/>
      <c r="AR940" s="115"/>
      <c r="AS940" s="115"/>
      <c r="AT940" s="115"/>
      <c r="AU940" s="115"/>
      <c r="AV940" s="115"/>
      <c r="AW940" s="115"/>
      <c r="AX940" s="115"/>
      <c r="AY940" s="115"/>
      <c r="AZ940" s="26"/>
      <c r="BA940" s="15"/>
      <c r="BD940" s="114"/>
    </row>
    <row r="941" spans="1:56" x14ac:dyDescent="0.4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15"/>
      <c r="AC941" s="115"/>
      <c r="AD941" s="115"/>
      <c r="AE941" s="115"/>
      <c r="AF941" s="115"/>
      <c r="AG941" s="115"/>
      <c r="AH941" s="115"/>
      <c r="AI941" s="122"/>
      <c r="AJ941" s="122"/>
      <c r="AK941" s="122"/>
      <c r="AL941" s="115"/>
      <c r="AM941" s="115"/>
      <c r="AN941" s="115"/>
      <c r="AO941" s="115"/>
      <c r="AP941" s="115"/>
      <c r="AQ941" s="115"/>
      <c r="AR941" s="115"/>
      <c r="AS941" s="115"/>
      <c r="AT941" s="115"/>
      <c r="AU941" s="115"/>
      <c r="AV941" s="115"/>
      <c r="AW941" s="115"/>
      <c r="AX941" s="115"/>
      <c r="AY941" s="115"/>
      <c r="AZ941" s="26"/>
      <c r="BA941" s="15"/>
      <c r="BD941" s="114"/>
    </row>
    <row r="942" spans="1:56" x14ac:dyDescent="0.4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15"/>
      <c r="AC942" s="115"/>
      <c r="AD942" s="115"/>
      <c r="AE942" s="115"/>
      <c r="AF942" s="115"/>
      <c r="AG942" s="115"/>
      <c r="AH942" s="115"/>
      <c r="AI942" s="122"/>
      <c r="AJ942" s="122"/>
      <c r="AK942" s="122"/>
      <c r="AL942" s="115"/>
      <c r="AM942" s="115"/>
      <c r="AN942" s="115"/>
      <c r="AO942" s="115"/>
      <c r="AP942" s="115"/>
      <c r="AQ942" s="115"/>
      <c r="AR942" s="115"/>
      <c r="AS942" s="115"/>
      <c r="AT942" s="115"/>
      <c r="AU942" s="115"/>
      <c r="AV942" s="115"/>
      <c r="AW942" s="115"/>
      <c r="AX942" s="115"/>
      <c r="AY942" s="115"/>
      <c r="AZ942" s="26"/>
      <c r="BA942" s="105"/>
      <c r="BD942" s="114"/>
    </row>
    <row r="943" spans="1:56" x14ac:dyDescent="0.4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  <c r="AB943" s="115"/>
      <c r="AC943" s="115"/>
      <c r="AD943" s="115"/>
      <c r="AE943" s="115"/>
      <c r="AF943" s="115"/>
      <c r="AG943" s="115"/>
      <c r="AH943" s="115"/>
      <c r="AI943" s="122"/>
      <c r="AJ943" s="122"/>
      <c r="AK943" s="122"/>
      <c r="AL943" s="115"/>
      <c r="AM943" s="115"/>
      <c r="AN943" s="115"/>
      <c r="AO943" s="115"/>
      <c r="AP943" s="115"/>
      <c r="AQ943" s="115"/>
      <c r="AR943" s="115"/>
      <c r="AS943" s="115"/>
      <c r="AT943" s="115"/>
      <c r="AU943" s="115"/>
      <c r="AV943" s="115"/>
      <c r="AW943" s="115"/>
      <c r="AX943" s="115"/>
      <c r="AY943" s="115"/>
      <c r="AZ943" s="17"/>
      <c r="BA943" s="15"/>
      <c r="BD943" s="114"/>
    </row>
    <row r="944" spans="1:56" x14ac:dyDescent="0.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15"/>
      <c r="AC944" s="115"/>
      <c r="AD944" s="115"/>
      <c r="AE944" s="115"/>
      <c r="AF944" s="115"/>
      <c r="AG944" s="115"/>
      <c r="AH944" s="115"/>
      <c r="AI944" s="122"/>
      <c r="AJ944" s="122"/>
      <c r="AK944" s="122"/>
      <c r="AL944" s="115"/>
      <c r="AM944" s="115"/>
      <c r="AN944" s="115"/>
      <c r="AO944" s="115"/>
      <c r="AP944" s="115"/>
      <c r="AQ944" s="115"/>
      <c r="AR944" s="115"/>
      <c r="AS944" s="115"/>
      <c r="AT944" s="115"/>
      <c r="AU944" s="115"/>
      <c r="AV944" s="115"/>
      <c r="AW944" s="115"/>
      <c r="AX944" s="115"/>
      <c r="AY944" s="115"/>
      <c r="AZ944" s="26"/>
      <c r="BA944" s="15"/>
      <c r="BD944" s="114"/>
    </row>
    <row r="945" spans="1:56" x14ac:dyDescent="0.4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  <c r="AC945" s="115"/>
      <c r="AD945" s="115"/>
      <c r="AE945" s="115"/>
      <c r="AF945" s="115"/>
      <c r="AG945" s="115"/>
      <c r="AH945" s="115"/>
      <c r="AI945" s="122"/>
      <c r="AJ945" s="122"/>
      <c r="AK945" s="122"/>
      <c r="AL945" s="115"/>
      <c r="AM945" s="115"/>
      <c r="AN945" s="115"/>
      <c r="AO945" s="115"/>
      <c r="AP945" s="115"/>
      <c r="AQ945" s="115"/>
      <c r="AR945" s="115"/>
      <c r="AS945" s="115"/>
      <c r="AT945" s="115"/>
      <c r="AU945" s="115"/>
      <c r="AV945" s="115"/>
      <c r="AW945" s="115"/>
      <c r="AX945" s="115"/>
      <c r="AY945" s="115"/>
      <c r="AZ945" s="26"/>
      <c r="BA945" s="15"/>
      <c r="BD945" s="114"/>
    </row>
    <row r="946" spans="1:56" x14ac:dyDescent="0.4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  <c r="AB946" s="115"/>
      <c r="AC946" s="115"/>
      <c r="AD946" s="115"/>
      <c r="AE946" s="115"/>
      <c r="AF946" s="115"/>
      <c r="AG946" s="115"/>
      <c r="AH946" s="115"/>
      <c r="AI946" s="122"/>
      <c r="AJ946" s="122"/>
      <c r="AK946" s="122"/>
      <c r="AL946" s="115"/>
      <c r="AM946" s="115"/>
      <c r="AN946" s="115"/>
      <c r="AO946" s="115"/>
      <c r="AP946" s="115"/>
      <c r="AQ946" s="115"/>
      <c r="AR946" s="115"/>
      <c r="AS946" s="115"/>
      <c r="AT946" s="115"/>
      <c r="AU946" s="115"/>
      <c r="AV946" s="115"/>
      <c r="AW946" s="115"/>
      <c r="AX946" s="115"/>
      <c r="AY946" s="115"/>
      <c r="AZ946" s="26"/>
      <c r="BA946" s="105"/>
      <c r="BD946" s="114"/>
    </row>
    <row r="947" spans="1:56" x14ac:dyDescent="0.4">
      <c r="AZ947" s="26"/>
      <c r="BA947" s="15"/>
      <c r="BD947" s="114"/>
    </row>
    <row r="948" spans="1:56" x14ac:dyDescent="0.4">
      <c r="AJ948" s="122"/>
      <c r="AK948" s="122"/>
      <c r="AL948" s="115"/>
      <c r="AM948" s="115"/>
      <c r="AN948" s="115"/>
      <c r="AO948" s="115"/>
      <c r="AP948" s="115"/>
      <c r="AQ948" s="115"/>
      <c r="AR948" s="115"/>
      <c r="AS948" s="115"/>
      <c r="AT948" s="115"/>
      <c r="AU948" s="115"/>
      <c r="AV948" s="115"/>
      <c r="AW948" s="115"/>
      <c r="AX948" s="115"/>
      <c r="AY948" s="115"/>
      <c r="AZ948" s="26"/>
      <c r="BA948" s="15"/>
      <c r="BD948" s="114"/>
    </row>
    <row r="949" spans="1:56" x14ac:dyDescent="0.4">
      <c r="AF949" s="115"/>
      <c r="AG949" s="115"/>
      <c r="AH949" s="115"/>
      <c r="AI949" s="122"/>
      <c r="AJ949" s="122"/>
      <c r="AK949" s="122"/>
      <c r="AL949" s="115"/>
      <c r="AM949" s="115"/>
      <c r="AN949" s="115"/>
      <c r="AO949" s="115"/>
      <c r="AP949" s="115"/>
      <c r="AQ949" s="115"/>
      <c r="AR949" s="115"/>
      <c r="AS949" s="115"/>
      <c r="AT949" s="115"/>
      <c r="AU949" s="115"/>
      <c r="AV949" s="115"/>
      <c r="AW949" s="115"/>
      <c r="AX949" s="115"/>
      <c r="AY949" s="115"/>
      <c r="AZ949" s="26"/>
      <c r="BA949" s="15"/>
      <c r="BD949" s="114"/>
    </row>
    <row r="950" spans="1:56" x14ac:dyDescent="0.4"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  <c r="AB950" s="115"/>
      <c r="AC950" s="115"/>
      <c r="AD950" s="115"/>
      <c r="AE950" s="115"/>
      <c r="AF950" s="115"/>
      <c r="AG950" s="115"/>
      <c r="AH950" s="115"/>
      <c r="AI950" s="122"/>
      <c r="AJ950" s="122"/>
      <c r="AK950" s="122"/>
      <c r="AL950" s="115"/>
      <c r="AM950" s="115"/>
      <c r="AN950" s="115"/>
      <c r="AO950" s="115"/>
      <c r="AP950" s="115"/>
      <c r="AQ950" s="115"/>
      <c r="AR950" s="115"/>
      <c r="AS950" s="115"/>
      <c r="AT950" s="115"/>
      <c r="AU950" s="115"/>
      <c r="AV950" s="115"/>
      <c r="AW950" s="115"/>
      <c r="AX950" s="115"/>
      <c r="AY950" s="115"/>
      <c r="AZ950" s="26"/>
      <c r="BA950" s="15"/>
      <c r="BD950" s="114"/>
    </row>
    <row r="951" spans="1:56" x14ac:dyDescent="0.4"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  <c r="AB951" s="115"/>
      <c r="AC951" s="115"/>
      <c r="AD951" s="115"/>
      <c r="AE951" s="115"/>
      <c r="AF951" s="115"/>
      <c r="AG951" s="115"/>
      <c r="AH951" s="115"/>
      <c r="AI951" s="122"/>
      <c r="AJ951" s="122"/>
      <c r="AK951" s="122"/>
      <c r="AL951" s="115"/>
      <c r="AM951" s="115"/>
      <c r="AN951" s="115"/>
      <c r="AO951" s="115"/>
      <c r="AP951" s="115"/>
      <c r="AQ951" s="115"/>
      <c r="AR951" s="115"/>
      <c r="AS951" s="115"/>
      <c r="AT951" s="115"/>
      <c r="AU951" s="115"/>
      <c r="AV951" s="115"/>
      <c r="AW951" s="115"/>
      <c r="AX951" s="115"/>
      <c r="AY951" s="115"/>
      <c r="AZ951" s="17"/>
      <c r="BA951" s="15"/>
      <c r="BD951" s="114"/>
    </row>
    <row r="952" spans="1:56" x14ac:dyDescent="0.4"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15"/>
      <c r="AC952" s="115"/>
      <c r="AD952" s="115"/>
      <c r="AE952" s="115"/>
      <c r="AF952" s="115"/>
      <c r="AG952" s="115"/>
      <c r="AH952" s="115"/>
      <c r="AI952" s="122"/>
      <c r="AJ952" s="122"/>
      <c r="AK952" s="122"/>
      <c r="AL952" s="115"/>
      <c r="AM952" s="115"/>
      <c r="AN952" s="115"/>
      <c r="AO952" s="115"/>
      <c r="AP952" s="115"/>
      <c r="AQ952" s="115"/>
      <c r="AR952" s="115"/>
      <c r="AS952" s="115"/>
      <c r="AT952" s="115"/>
      <c r="AU952" s="115"/>
      <c r="AV952" s="115"/>
      <c r="AW952" s="115"/>
      <c r="AX952" s="115"/>
      <c r="AY952" s="115"/>
      <c r="AZ952" s="26"/>
      <c r="BA952" s="15"/>
      <c r="BD952" s="114"/>
    </row>
    <row r="953" spans="1:56" x14ac:dyDescent="0.4"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  <c r="AC953" s="115"/>
      <c r="AD953" s="115"/>
      <c r="AE953" s="115"/>
      <c r="AF953" s="115"/>
      <c r="AG953" s="115"/>
      <c r="AH953" s="115"/>
      <c r="AI953" s="122"/>
      <c r="AJ953" s="122"/>
      <c r="AK953" s="122"/>
      <c r="AL953" s="115"/>
      <c r="AM953" s="115"/>
      <c r="AN953" s="115"/>
      <c r="AO953" s="115"/>
      <c r="AP953" s="115"/>
      <c r="AQ953" s="115"/>
      <c r="AR953" s="115"/>
      <c r="AS953" s="115"/>
      <c r="AT953" s="115"/>
      <c r="AU953" s="115"/>
      <c r="AV953" s="115"/>
      <c r="AW953" s="115"/>
      <c r="AX953" s="115"/>
      <c r="AY953" s="115"/>
      <c r="AZ953" s="26"/>
      <c r="BA953" s="15"/>
      <c r="BD953" s="114"/>
    </row>
    <row r="954" spans="1:56" x14ac:dyDescent="0.4"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15"/>
      <c r="AC954" s="115"/>
      <c r="AD954" s="115"/>
      <c r="AE954" s="115"/>
      <c r="AF954" s="115"/>
      <c r="AG954" s="115"/>
      <c r="AH954" s="115"/>
      <c r="AI954" s="122"/>
      <c r="AJ954" s="122"/>
      <c r="AK954" s="122"/>
      <c r="AL954" s="115"/>
      <c r="AM954" s="115"/>
      <c r="AN954" s="115"/>
      <c r="AO954" s="115"/>
      <c r="AP954" s="115"/>
      <c r="AQ954" s="115"/>
      <c r="AR954" s="115"/>
      <c r="AS954" s="115"/>
      <c r="AT954" s="115"/>
      <c r="AU954" s="115"/>
      <c r="AV954" s="115"/>
      <c r="AW954" s="115"/>
      <c r="AX954" s="115"/>
      <c r="AY954" s="115"/>
      <c r="AZ954" s="26"/>
      <c r="BA954" s="15"/>
      <c r="BD954" s="114"/>
    </row>
    <row r="955" spans="1:56" x14ac:dyDescent="0.4"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  <c r="AC955" s="115"/>
      <c r="AD955" s="115"/>
      <c r="AE955" s="115"/>
      <c r="AF955" s="115"/>
      <c r="AG955" s="115"/>
      <c r="AH955" s="115"/>
      <c r="AI955" s="122"/>
      <c r="AJ955" s="122"/>
      <c r="AK955" s="122"/>
      <c r="AL955" s="115"/>
      <c r="AM955" s="115"/>
      <c r="AN955" s="115"/>
      <c r="AO955" s="115"/>
      <c r="AP955" s="115"/>
      <c r="AQ955" s="115"/>
      <c r="AR955" s="115"/>
      <c r="AS955" s="115"/>
      <c r="AT955" s="115"/>
      <c r="AU955" s="115"/>
      <c r="AV955" s="115"/>
      <c r="AW955" s="115"/>
      <c r="AX955" s="115"/>
      <c r="AY955" s="115"/>
      <c r="AZ955" s="26"/>
      <c r="BA955" s="15"/>
      <c r="BD955" s="114"/>
    </row>
    <row r="956" spans="1:56" x14ac:dyDescent="0.4"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15"/>
      <c r="AC956" s="115"/>
      <c r="AD956" s="115"/>
      <c r="AE956" s="115"/>
      <c r="AF956" s="115"/>
      <c r="AG956" s="115"/>
      <c r="AH956" s="115"/>
      <c r="AI956" s="122"/>
      <c r="AJ956" s="122"/>
      <c r="AK956" s="122"/>
      <c r="AL956" s="115"/>
      <c r="AM956" s="115"/>
      <c r="AN956" s="115"/>
      <c r="AO956" s="115"/>
      <c r="AP956" s="115"/>
      <c r="AQ956" s="115"/>
      <c r="AR956" s="115"/>
      <c r="AS956" s="115"/>
      <c r="AT956" s="115"/>
      <c r="AU956" s="115"/>
      <c r="AV956" s="115"/>
      <c r="AW956" s="115"/>
      <c r="AX956" s="115"/>
      <c r="AY956" s="115"/>
      <c r="AZ956" s="26"/>
      <c r="BA956" s="15"/>
      <c r="BD956" s="114"/>
    </row>
    <row r="957" spans="1:56" x14ac:dyDescent="0.4"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  <c r="AB957" s="115"/>
      <c r="AC957" s="115"/>
      <c r="AD957" s="115"/>
      <c r="AE957" s="115"/>
      <c r="AF957" s="115"/>
      <c r="AG957" s="115"/>
      <c r="AH957" s="115"/>
      <c r="AI957" s="122"/>
      <c r="AJ957" s="122"/>
      <c r="AK957" s="122"/>
      <c r="AL957" s="115"/>
      <c r="AM957" s="115"/>
      <c r="AN957" s="115"/>
      <c r="AO957" s="115"/>
      <c r="AP957" s="115"/>
      <c r="AQ957" s="115"/>
      <c r="AR957" s="115"/>
      <c r="AS957" s="115"/>
      <c r="AT957" s="115"/>
      <c r="AU957" s="115"/>
      <c r="AV957" s="115"/>
      <c r="AW957" s="115"/>
      <c r="AX957" s="115"/>
      <c r="AY957" s="115"/>
      <c r="AZ957" s="26"/>
      <c r="BA957" s="15"/>
      <c r="BD957" s="114"/>
    </row>
    <row r="958" spans="1:56" x14ac:dyDescent="0.4"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  <c r="AB958" s="115"/>
      <c r="AC958" s="115"/>
      <c r="AD958" s="115"/>
      <c r="AE958" s="115"/>
      <c r="AF958" s="115"/>
      <c r="AG958" s="115"/>
      <c r="AH958" s="115"/>
      <c r="AI958" s="122"/>
      <c r="AJ958" s="122"/>
      <c r="AK958" s="122"/>
      <c r="AL958" s="115"/>
      <c r="AM958" s="115"/>
      <c r="AN958" s="115"/>
      <c r="AO958" s="115"/>
      <c r="AP958" s="115"/>
      <c r="AQ958" s="115"/>
      <c r="AR958" s="115"/>
      <c r="AS958" s="115"/>
      <c r="AT958" s="115"/>
      <c r="AU958" s="115"/>
      <c r="AV958" s="115"/>
      <c r="AW958" s="115"/>
      <c r="AX958" s="115"/>
      <c r="AY958" s="115"/>
      <c r="AZ958" s="26"/>
      <c r="BA958" s="15"/>
      <c r="BD958" s="114"/>
    </row>
    <row r="959" spans="1:56" x14ac:dyDescent="0.4"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  <c r="AB959" s="115"/>
      <c r="AC959" s="115"/>
      <c r="AD959" s="115"/>
      <c r="AE959" s="115"/>
      <c r="AF959" s="115"/>
      <c r="AG959" s="115"/>
      <c r="AH959" s="115"/>
      <c r="AI959" s="122"/>
      <c r="AJ959" s="122"/>
      <c r="AK959" s="122"/>
      <c r="AL959" s="115"/>
      <c r="AM959" s="115"/>
      <c r="AN959" s="115"/>
      <c r="AO959" s="115"/>
      <c r="AP959" s="115"/>
      <c r="AQ959" s="115"/>
      <c r="AR959" s="115"/>
      <c r="AS959" s="115"/>
      <c r="AT959" s="115"/>
      <c r="AU959" s="115"/>
      <c r="AV959" s="115"/>
      <c r="AW959" s="115"/>
      <c r="AX959" s="115"/>
      <c r="AY959" s="115"/>
      <c r="AZ959" s="17"/>
      <c r="BA959" s="15"/>
      <c r="BD959" s="114"/>
    </row>
    <row r="960" spans="1:56" x14ac:dyDescent="0.4"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  <c r="AB960" s="115"/>
      <c r="AC960" s="115"/>
      <c r="AD960" s="115"/>
      <c r="AE960" s="115"/>
      <c r="AF960" s="115"/>
      <c r="AG960" s="115"/>
      <c r="AH960" s="115"/>
      <c r="AI960" s="122"/>
      <c r="AJ960" s="122"/>
      <c r="AK960" s="122"/>
      <c r="AL960" s="115"/>
      <c r="AM960" s="115"/>
      <c r="AN960" s="115"/>
      <c r="AO960" s="115"/>
      <c r="AP960" s="115"/>
      <c r="AQ960" s="115"/>
      <c r="AR960" s="115"/>
      <c r="AS960" s="115"/>
      <c r="AT960" s="115"/>
      <c r="AU960" s="115"/>
      <c r="AV960" s="115"/>
      <c r="AW960" s="115"/>
      <c r="AX960" s="115"/>
      <c r="AY960" s="115"/>
      <c r="AZ960" s="26"/>
      <c r="BA960" s="15"/>
      <c r="BD960" s="114"/>
    </row>
    <row r="961" spans="2:56" x14ac:dyDescent="0.4"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  <c r="AB961" s="115"/>
      <c r="AC961" s="115"/>
      <c r="AD961" s="115"/>
      <c r="AE961" s="115"/>
      <c r="AF961" s="115"/>
      <c r="AG961" s="115"/>
      <c r="AH961" s="115"/>
      <c r="AI961" s="122"/>
      <c r="AJ961" s="122"/>
      <c r="AK961" s="122"/>
      <c r="AL961" s="115"/>
      <c r="AM961" s="115"/>
      <c r="AN961" s="115"/>
      <c r="AO961" s="115"/>
      <c r="AP961" s="115"/>
      <c r="AQ961" s="115"/>
      <c r="AR961" s="115"/>
      <c r="AS961" s="115"/>
      <c r="AT961" s="115"/>
      <c r="AU961" s="115"/>
      <c r="AV961" s="115"/>
      <c r="AW961" s="115"/>
      <c r="AX961" s="115"/>
      <c r="AY961" s="115"/>
      <c r="AZ961" s="26"/>
      <c r="BA961" s="15"/>
      <c r="BD961" s="114"/>
    </row>
    <row r="962" spans="2:56" x14ac:dyDescent="0.4"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  <c r="AB962" s="115"/>
      <c r="AC962" s="115"/>
      <c r="AD962" s="115"/>
      <c r="AE962" s="115"/>
      <c r="AF962" s="115"/>
      <c r="AG962" s="115"/>
      <c r="AH962" s="115"/>
      <c r="AI962" s="122"/>
      <c r="AJ962" s="122"/>
      <c r="AK962" s="122"/>
      <c r="AL962" s="115"/>
      <c r="AM962" s="115"/>
      <c r="AN962" s="115"/>
      <c r="AO962" s="115"/>
      <c r="AP962" s="115"/>
      <c r="AQ962" s="115"/>
      <c r="AR962" s="115"/>
      <c r="AS962" s="115"/>
      <c r="AT962" s="115"/>
      <c r="AU962" s="115"/>
      <c r="AV962" s="115"/>
      <c r="AW962" s="115"/>
      <c r="AX962" s="115"/>
      <c r="AY962" s="115"/>
      <c r="AZ962" s="26"/>
      <c r="BA962" s="15"/>
      <c r="BD962" s="114"/>
    </row>
    <row r="963" spans="2:56" x14ac:dyDescent="0.4"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  <c r="AB963" s="115"/>
      <c r="AC963" s="115"/>
      <c r="AD963" s="115"/>
      <c r="AE963" s="115"/>
      <c r="AF963" s="115"/>
      <c r="AG963" s="115"/>
      <c r="AH963" s="115"/>
      <c r="AI963" s="122"/>
      <c r="AJ963" s="122"/>
      <c r="AK963" s="122"/>
      <c r="AL963" s="115"/>
      <c r="AM963" s="115"/>
      <c r="AN963" s="115"/>
      <c r="AO963" s="115"/>
      <c r="AP963" s="115"/>
      <c r="AQ963" s="115"/>
      <c r="AR963" s="115"/>
      <c r="AS963" s="115"/>
      <c r="AT963" s="115"/>
      <c r="AU963" s="115"/>
      <c r="AV963" s="115"/>
      <c r="AW963" s="115"/>
      <c r="AX963" s="115"/>
      <c r="AY963" s="115"/>
      <c r="AZ963" s="26"/>
      <c r="BA963" s="15"/>
      <c r="BD963" s="114"/>
    </row>
    <row r="964" spans="2:56" x14ac:dyDescent="0.4"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  <c r="AC964" s="115"/>
      <c r="AD964" s="115"/>
      <c r="AE964" s="115"/>
      <c r="AF964" s="115"/>
      <c r="AG964" s="115"/>
      <c r="AH964" s="115"/>
      <c r="AI964" s="122"/>
      <c r="AJ964" s="122"/>
      <c r="AK964" s="122"/>
      <c r="AL964" s="115"/>
      <c r="AM964" s="115"/>
      <c r="AN964" s="115"/>
      <c r="AO964" s="115"/>
      <c r="AP964" s="115"/>
      <c r="AQ964" s="115"/>
      <c r="AR964" s="115"/>
      <c r="AS964" s="115"/>
      <c r="AT964" s="115"/>
      <c r="AU964" s="115"/>
      <c r="AV964" s="115"/>
      <c r="AW964" s="115"/>
      <c r="AX964" s="115"/>
      <c r="AY964" s="115"/>
      <c r="AZ964" s="26"/>
      <c r="BA964" s="15"/>
      <c r="BD964" s="114"/>
    </row>
    <row r="965" spans="2:56" x14ac:dyDescent="0.4"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  <c r="AC965" s="115"/>
      <c r="AD965" s="115"/>
      <c r="AE965" s="115"/>
      <c r="AF965" s="115"/>
      <c r="AG965" s="115"/>
      <c r="AH965" s="115"/>
      <c r="AI965" s="122"/>
      <c r="AJ965" s="122"/>
      <c r="AK965" s="122"/>
      <c r="AL965" s="115"/>
      <c r="AM965" s="115"/>
      <c r="AN965" s="115"/>
      <c r="AO965" s="115"/>
      <c r="AP965" s="115"/>
      <c r="AQ965" s="115"/>
      <c r="AR965" s="115"/>
      <c r="AS965" s="115"/>
      <c r="AT965" s="115"/>
      <c r="AU965" s="115"/>
      <c r="AV965" s="115"/>
      <c r="AW965" s="115"/>
      <c r="AX965" s="115"/>
      <c r="AY965" s="115"/>
      <c r="AZ965" s="26"/>
      <c r="BA965" s="15"/>
      <c r="BD965" s="114"/>
    </row>
    <row r="966" spans="2:56" x14ac:dyDescent="0.4"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15"/>
      <c r="AC966" s="115"/>
      <c r="AD966" s="115"/>
      <c r="AE966" s="115"/>
      <c r="AF966" s="115"/>
      <c r="AG966" s="115"/>
      <c r="AH966" s="115"/>
      <c r="AI966" s="122"/>
      <c r="AJ966" s="122"/>
      <c r="AK966" s="122"/>
      <c r="AL966" s="115"/>
      <c r="AM966" s="115"/>
      <c r="AN966" s="115"/>
      <c r="AO966" s="115"/>
      <c r="AP966" s="115"/>
      <c r="AQ966" s="115"/>
      <c r="AR966" s="115"/>
      <c r="AS966" s="115"/>
      <c r="AT966" s="115"/>
      <c r="AU966" s="115"/>
      <c r="AV966" s="115"/>
      <c r="AW966" s="115"/>
      <c r="AX966" s="115"/>
      <c r="AY966" s="115"/>
      <c r="AZ966" s="26"/>
      <c r="BA966" s="15"/>
      <c r="BD966" s="114"/>
    </row>
    <row r="967" spans="2:56" x14ac:dyDescent="0.4"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15"/>
      <c r="AC967" s="115"/>
      <c r="AD967" s="115"/>
      <c r="AE967" s="115"/>
      <c r="AF967" s="115"/>
      <c r="AG967" s="115"/>
      <c r="AH967" s="115"/>
      <c r="AI967" s="122"/>
      <c r="AJ967" s="122"/>
      <c r="AK967" s="122"/>
      <c r="AL967" s="115"/>
      <c r="AM967" s="115"/>
      <c r="AN967" s="115"/>
      <c r="AO967" s="115"/>
      <c r="AP967" s="115"/>
      <c r="AQ967" s="115"/>
      <c r="AR967" s="115"/>
      <c r="AS967" s="115"/>
      <c r="AT967" s="115"/>
      <c r="AU967" s="115"/>
      <c r="AV967" s="115"/>
      <c r="AW967" s="115"/>
      <c r="AX967" s="115"/>
      <c r="AY967" s="115"/>
      <c r="AZ967" s="17"/>
      <c r="BA967" s="15"/>
      <c r="BD967" s="114"/>
    </row>
    <row r="968" spans="2:56" x14ac:dyDescent="0.4"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15"/>
      <c r="AC968" s="115"/>
      <c r="AD968" s="115"/>
      <c r="AE968" s="115"/>
      <c r="AF968" s="115"/>
      <c r="AG968" s="115"/>
      <c r="AH968" s="115"/>
      <c r="AI968" s="122"/>
      <c r="AJ968" s="122"/>
      <c r="AK968" s="122"/>
      <c r="AL968" s="115"/>
      <c r="AM968" s="115"/>
      <c r="AN968" s="115"/>
      <c r="AO968" s="115"/>
      <c r="AP968" s="115"/>
      <c r="AQ968" s="115"/>
      <c r="AR968" s="115"/>
      <c r="AS968" s="115"/>
      <c r="AT968" s="115"/>
      <c r="AU968" s="115"/>
      <c r="AV968" s="115"/>
      <c r="AW968" s="115"/>
      <c r="AX968" s="115"/>
      <c r="AY968" s="115"/>
      <c r="AZ968" s="26"/>
      <c r="BA968" s="15"/>
      <c r="BD968" s="114"/>
    </row>
    <row r="969" spans="2:56" x14ac:dyDescent="0.4"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15"/>
      <c r="AC969" s="115"/>
      <c r="AD969" s="115"/>
      <c r="AE969" s="115"/>
      <c r="AF969" s="115"/>
      <c r="AG969" s="115"/>
      <c r="AH969" s="115"/>
      <c r="AI969" s="122"/>
      <c r="AJ969" s="122"/>
      <c r="AK969" s="122"/>
      <c r="AL969" s="115"/>
      <c r="AM969" s="115"/>
      <c r="AN969" s="115"/>
      <c r="AO969" s="115"/>
      <c r="AP969" s="115"/>
      <c r="AQ969" s="115"/>
      <c r="AR969" s="115"/>
      <c r="AS969" s="115"/>
      <c r="AT969" s="115"/>
      <c r="AU969" s="115"/>
      <c r="AV969" s="115"/>
      <c r="AW969" s="115"/>
      <c r="AX969" s="115"/>
      <c r="AY969" s="115"/>
      <c r="AZ969" s="26"/>
      <c r="BA969" s="15"/>
      <c r="BD969" s="114"/>
    </row>
    <row r="970" spans="2:56" x14ac:dyDescent="0.4"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  <c r="AB970" s="115"/>
      <c r="AC970" s="115"/>
      <c r="AD970" s="115"/>
      <c r="AE970" s="115"/>
      <c r="AF970" s="115"/>
      <c r="AG970" s="115"/>
      <c r="AH970" s="115"/>
      <c r="AI970" s="122"/>
      <c r="AJ970" s="122"/>
      <c r="AK970" s="122"/>
      <c r="AL970" s="115"/>
      <c r="AM970" s="115"/>
      <c r="AN970" s="115"/>
      <c r="AO970" s="115"/>
      <c r="AP970" s="115"/>
      <c r="AQ970" s="115"/>
      <c r="AR970" s="115"/>
      <c r="AS970" s="115"/>
      <c r="AT970" s="115"/>
      <c r="AU970" s="115"/>
      <c r="AV970" s="115"/>
      <c r="AW970" s="115"/>
      <c r="AX970" s="115"/>
      <c r="AY970" s="115"/>
      <c r="AZ970" s="26"/>
      <c r="BA970" s="15"/>
      <c r="BD970" s="114"/>
    </row>
    <row r="971" spans="2:56" x14ac:dyDescent="0.4"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15"/>
      <c r="AC971" s="115"/>
      <c r="AD971" s="115"/>
      <c r="AE971" s="115"/>
      <c r="AF971" s="115"/>
      <c r="AG971" s="115"/>
      <c r="AH971" s="115"/>
      <c r="AI971" s="122"/>
      <c r="AJ971" s="122"/>
      <c r="AK971" s="122"/>
      <c r="AL971" s="115"/>
      <c r="AM971" s="115"/>
      <c r="AN971" s="115"/>
      <c r="AO971" s="115"/>
      <c r="AP971" s="115"/>
      <c r="AQ971" s="115"/>
      <c r="AR971" s="115"/>
      <c r="AS971" s="115"/>
      <c r="AT971" s="115"/>
      <c r="AU971" s="115"/>
      <c r="AV971" s="115"/>
      <c r="AW971" s="115"/>
      <c r="AX971" s="115"/>
      <c r="AY971" s="115"/>
      <c r="AZ971" s="26"/>
      <c r="BA971" s="15"/>
      <c r="BD971" s="114"/>
    </row>
    <row r="972" spans="2:56" x14ac:dyDescent="0.4"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  <c r="AC972" s="115"/>
      <c r="AD972" s="115"/>
      <c r="AE972" s="115"/>
      <c r="AF972" s="115"/>
      <c r="AG972" s="115"/>
      <c r="AH972" s="115"/>
      <c r="AI972" s="122"/>
      <c r="AJ972" s="122"/>
      <c r="AK972" s="122"/>
      <c r="AL972" s="115"/>
      <c r="AM972" s="115"/>
      <c r="AN972" s="115"/>
      <c r="AO972" s="115"/>
      <c r="AP972" s="115"/>
      <c r="AQ972" s="115"/>
      <c r="AR972" s="115"/>
      <c r="AS972" s="115"/>
      <c r="AT972" s="115"/>
      <c r="AU972" s="115"/>
      <c r="AV972" s="115"/>
      <c r="AW972" s="115"/>
      <c r="AX972" s="115"/>
      <c r="AY972" s="115"/>
      <c r="AZ972" s="26"/>
      <c r="BA972" s="15"/>
      <c r="BD972" s="114"/>
    </row>
    <row r="973" spans="2:56" x14ac:dyDescent="0.4"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15"/>
      <c r="AC973" s="115"/>
      <c r="AD973" s="115"/>
      <c r="AE973" s="115"/>
      <c r="AF973" s="115"/>
      <c r="AG973" s="115"/>
      <c r="AH973" s="115"/>
      <c r="AI973" s="122"/>
      <c r="AJ973" s="122"/>
      <c r="AK973" s="122"/>
      <c r="AL973" s="115"/>
      <c r="AM973" s="115"/>
      <c r="AN973" s="115"/>
      <c r="AO973" s="115"/>
      <c r="AP973" s="115"/>
      <c r="AQ973" s="115"/>
      <c r="AR973" s="115"/>
      <c r="AS973" s="115"/>
      <c r="AT973" s="115"/>
      <c r="AU973" s="115"/>
      <c r="AV973" s="115"/>
      <c r="AW973" s="115"/>
      <c r="AX973" s="115"/>
      <c r="AY973" s="115"/>
      <c r="AZ973" s="26"/>
      <c r="BA973" s="15"/>
      <c r="BD973" s="114"/>
    </row>
    <row r="974" spans="2:56" x14ac:dyDescent="0.4"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  <c r="AB974" s="115"/>
      <c r="AC974" s="115"/>
      <c r="AD974" s="115"/>
      <c r="AE974" s="115"/>
      <c r="AF974" s="115"/>
      <c r="AG974" s="115"/>
      <c r="AH974" s="115"/>
      <c r="AI974" s="122"/>
      <c r="AJ974" s="122"/>
      <c r="AK974" s="122"/>
      <c r="AL974" s="115"/>
      <c r="AM974" s="115"/>
      <c r="AN974" s="115"/>
      <c r="AO974" s="115"/>
      <c r="AP974" s="115"/>
      <c r="AQ974" s="115"/>
      <c r="AR974" s="115"/>
      <c r="AS974" s="115"/>
      <c r="AT974" s="115"/>
      <c r="AU974" s="115"/>
      <c r="AV974" s="115"/>
      <c r="AW974" s="115"/>
      <c r="AX974" s="115"/>
      <c r="AY974" s="115"/>
      <c r="AZ974" s="26"/>
      <c r="BA974" s="15"/>
      <c r="BD974" s="114"/>
    </row>
    <row r="975" spans="2:56" x14ac:dyDescent="0.4"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  <c r="AB975" s="115"/>
      <c r="AC975" s="115"/>
      <c r="AD975" s="115"/>
      <c r="AE975" s="115"/>
      <c r="AF975" s="115"/>
      <c r="AG975" s="115"/>
      <c r="AH975" s="115"/>
      <c r="AI975" s="122"/>
      <c r="AJ975" s="122"/>
      <c r="AK975" s="122"/>
      <c r="AL975" s="115"/>
      <c r="AM975" s="115"/>
      <c r="AN975" s="115"/>
      <c r="AO975" s="115"/>
      <c r="AP975" s="115"/>
      <c r="AQ975" s="115"/>
      <c r="AR975" s="115"/>
      <c r="AS975" s="115"/>
      <c r="AT975" s="115"/>
      <c r="AU975" s="115"/>
      <c r="AV975" s="115"/>
      <c r="AW975" s="115"/>
      <c r="AX975" s="115"/>
      <c r="AY975" s="115"/>
      <c r="AZ975" s="26"/>
      <c r="BA975" s="15"/>
      <c r="BD975" s="114"/>
    </row>
    <row r="976" spans="2:56" x14ac:dyDescent="0.4"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115"/>
      <c r="AE976" s="115"/>
      <c r="AF976" s="115"/>
      <c r="AG976" s="115"/>
      <c r="AH976" s="115"/>
      <c r="AI976" s="122"/>
      <c r="AJ976" s="122"/>
      <c r="AK976" s="122"/>
      <c r="AL976" s="115"/>
      <c r="AM976" s="115"/>
      <c r="AN976" s="115"/>
      <c r="AO976" s="115"/>
      <c r="AP976" s="115"/>
      <c r="AQ976" s="115"/>
      <c r="AR976" s="115"/>
      <c r="AS976" s="115"/>
      <c r="AT976" s="115"/>
      <c r="AU976" s="115"/>
      <c r="AV976" s="115"/>
      <c r="AW976" s="115"/>
      <c r="AX976" s="115"/>
      <c r="AY976" s="115"/>
      <c r="AZ976" s="17"/>
      <c r="BA976" s="15"/>
      <c r="BD976" s="114"/>
    </row>
    <row r="977" spans="1:56" x14ac:dyDescent="0.4"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  <c r="AG977" s="115"/>
      <c r="AH977" s="115"/>
      <c r="AI977" s="122"/>
      <c r="AJ977" s="122"/>
      <c r="AK977" s="122"/>
      <c r="AL977" s="115"/>
      <c r="AM977" s="115"/>
      <c r="AN977" s="115"/>
      <c r="AO977" s="115"/>
      <c r="AP977" s="115"/>
      <c r="AQ977" s="115"/>
      <c r="AR977" s="115"/>
      <c r="AS977" s="115"/>
      <c r="AT977" s="115"/>
      <c r="AU977" s="115"/>
      <c r="AV977" s="115"/>
      <c r="AW977" s="115"/>
      <c r="AX977" s="115"/>
      <c r="AY977" s="115"/>
      <c r="AZ977" s="26"/>
      <c r="BA977" s="15"/>
      <c r="BD977" s="114"/>
    </row>
    <row r="978" spans="1:56" x14ac:dyDescent="0.4"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  <c r="AG978" s="115"/>
      <c r="AH978" s="115"/>
      <c r="AI978" s="122"/>
      <c r="AJ978" s="122"/>
      <c r="AK978" s="122"/>
      <c r="AL978" s="115"/>
      <c r="AM978" s="115"/>
      <c r="AN978" s="115"/>
      <c r="AO978" s="115"/>
      <c r="AP978" s="115"/>
      <c r="AQ978" s="115"/>
      <c r="AR978" s="115"/>
      <c r="AS978" s="115"/>
      <c r="AT978" s="115"/>
      <c r="AU978" s="115"/>
      <c r="AV978" s="115"/>
      <c r="AW978" s="115"/>
      <c r="AX978" s="115"/>
      <c r="AY978" s="115"/>
      <c r="AZ978" s="17"/>
      <c r="BA978" s="15"/>
      <c r="BD978" s="114"/>
    </row>
    <row r="979" spans="1:56" x14ac:dyDescent="0.4"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15"/>
      <c r="AG979" s="115"/>
      <c r="AH979" s="115"/>
      <c r="AI979" s="122"/>
      <c r="AJ979" s="122"/>
      <c r="AK979" s="122"/>
      <c r="AL979" s="115"/>
      <c r="AM979" s="115"/>
      <c r="AN979" s="115"/>
      <c r="AO979" s="115"/>
      <c r="AP979" s="115"/>
      <c r="AQ979" s="115"/>
      <c r="AR979" s="115"/>
      <c r="AS979" s="115"/>
      <c r="AT979" s="115"/>
      <c r="AU979" s="115"/>
      <c r="AV979" s="115"/>
      <c r="AW979" s="115"/>
      <c r="AX979" s="115"/>
      <c r="AY979" s="115"/>
      <c r="AZ979" s="26"/>
      <c r="BA979" s="15"/>
      <c r="BD979" s="114"/>
    </row>
    <row r="980" spans="1:56" x14ac:dyDescent="0.4"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  <c r="AG980" s="115"/>
      <c r="AH980" s="115"/>
      <c r="AI980" s="122"/>
      <c r="AJ980" s="122"/>
      <c r="AK980" s="122"/>
      <c r="AL980" s="115"/>
      <c r="AM980" s="115"/>
      <c r="AN980" s="115"/>
      <c r="AO980" s="115"/>
      <c r="AP980" s="115"/>
      <c r="AQ980" s="115"/>
      <c r="AR980" s="115"/>
      <c r="AS980" s="115"/>
      <c r="AT980" s="115"/>
      <c r="AU980" s="115"/>
      <c r="AV980" s="115"/>
      <c r="AW980" s="115"/>
      <c r="AX980" s="115"/>
      <c r="AY980" s="115"/>
      <c r="AZ980" s="17"/>
      <c r="BA980" s="15"/>
      <c r="BD980" s="114"/>
    </row>
    <row r="981" spans="1:56" x14ac:dyDescent="0.4"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  <c r="AG981" s="115"/>
      <c r="AH981" s="115"/>
      <c r="AI981" s="122"/>
      <c r="AJ981" s="122"/>
      <c r="AK981" s="122"/>
      <c r="AL981" s="115"/>
      <c r="AM981" s="115"/>
      <c r="AN981" s="115"/>
      <c r="AO981" s="115"/>
      <c r="AP981" s="115"/>
      <c r="AQ981" s="115"/>
      <c r="AR981" s="115"/>
      <c r="AS981" s="115"/>
      <c r="AT981" s="115"/>
      <c r="AU981" s="115"/>
      <c r="AV981" s="115"/>
      <c r="AW981" s="115"/>
      <c r="AX981" s="115"/>
      <c r="AY981" s="115"/>
      <c r="AZ981" s="26"/>
      <c r="BA981" s="15"/>
      <c r="BD981" s="114"/>
    </row>
    <row r="982" spans="1:56" x14ac:dyDescent="0.4"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15"/>
      <c r="AE982" s="115"/>
      <c r="AF982" s="115"/>
      <c r="AG982" s="115"/>
      <c r="AH982" s="115"/>
      <c r="AI982" s="122"/>
      <c r="AJ982" s="122"/>
      <c r="AK982" s="122"/>
      <c r="AL982" s="115"/>
      <c r="AM982" s="115"/>
      <c r="AN982" s="115"/>
      <c r="AO982" s="115"/>
      <c r="AP982" s="115"/>
      <c r="AQ982" s="115"/>
      <c r="AR982" s="115"/>
      <c r="AS982" s="115"/>
      <c r="AT982" s="115"/>
      <c r="AU982" s="115"/>
      <c r="AV982" s="115"/>
      <c r="AW982" s="115"/>
      <c r="AX982" s="115"/>
      <c r="AY982" s="115"/>
      <c r="AZ982" s="26"/>
      <c r="BA982" s="15"/>
      <c r="BD982" s="114"/>
    </row>
    <row r="983" spans="1:56" x14ac:dyDescent="0.4"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15"/>
      <c r="AE983" s="115"/>
      <c r="AF983" s="115"/>
      <c r="AG983" s="115"/>
      <c r="AH983" s="115"/>
      <c r="AI983" s="122"/>
      <c r="AJ983" s="122"/>
      <c r="AK983" s="122"/>
      <c r="AL983" s="115"/>
      <c r="AM983" s="115"/>
      <c r="AN983" s="115"/>
      <c r="AO983" s="115"/>
      <c r="AP983" s="115"/>
      <c r="AQ983" s="115"/>
      <c r="AR983" s="115"/>
      <c r="AS983" s="115"/>
      <c r="AT983" s="115"/>
      <c r="AU983" s="115"/>
      <c r="AV983" s="115"/>
      <c r="AW983" s="115"/>
      <c r="AX983" s="115"/>
      <c r="AY983" s="115"/>
      <c r="AZ983" s="17"/>
      <c r="BA983" s="15"/>
      <c r="BD983" s="114"/>
    </row>
    <row r="984" spans="1:56" x14ac:dyDescent="0.4"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  <c r="AG984" s="115"/>
      <c r="AH984" s="115"/>
      <c r="AI984" s="122"/>
      <c r="AJ984" s="122"/>
      <c r="AK984" s="122"/>
      <c r="AL984" s="115"/>
      <c r="AM984" s="115"/>
      <c r="AN984" s="115"/>
      <c r="AO984" s="115"/>
      <c r="AP984" s="115"/>
      <c r="AQ984" s="115"/>
      <c r="AR984" s="115"/>
      <c r="AS984" s="115"/>
      <c r="AT984" s="115"/>
      <c r="AU984" s="115"/>
      <c r="AV984" s="115"/>
      <c r="AW984" s="115"/>
      <c r="AX984" s="115"/>
      <c r="AY984" s="115"/>
      <c r="AZ984" s="26"/>
      <c r="BA984" s="15"/>
      <c r="BD984" s="114"/>
    </row>
    <row r="985" spans="1:56" x14ac:dyDescent="0.4"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5"/>
      <c r="AD985" s="115"/>
      <c r="AE985" s="115"/>
      <c r="AF985" s="115"/>
      <c r="AG985" s="115"/>
      <c r="AH985" s="115"/>
      <c r="AI985" s="122"/>
      <c r="AJ985" s="122"/>
      <c r="AK985" s="122"/>
      <c r="AL985" s="115"/>
      <c r="AM985" s="115"/>
      <c r="AN985" s="115"/>
      <c r="AO985" s="115"/>
      <c r="AP985" s="115"/>
      <c r="AQ985" s="115"/>
      <c r="AR985" s="115"/>
      <c r="AS985" s="115"/>
      <c r="AT985" s="115"/>
      <c r="AU985" s="115"/>
      <c r="AV985" s="115"/>
      <c r="AW985" s="115"/>
      <c r="AX985" s="115"/>
      <c r="AY985" s="115"/>
      <c r="AZ985" s="26"/>
      <c r="BA985" s="15"/>
      <c r="BD985" s="114"/>
    </row>
    <row r="986" spans="1:56" x14ac:dyDescent="0.4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  <c r="AG986" s="115"/>
      <c r="AH986" s="115"/>
      <c r="AI986" s="122"/>
      <c r="AJ986" s="122"/>
      <c r="AK986" s="122"/>
      <c r="AL986" s="115"/>
      <c r="AM986" s="115"/>
      <c r="AN986" s="115"/>
      <c r="AO986" s="115"/>
      <c r="AP986" s="115"/>
      <c r="AQ986" s="115"/>
      <c r="AR986" s="115"/>
      <c r="AS986" s="115"/>
      <c r="AT986" s="115"/>
      <c r="AU986" s="115"/>
      <c r="AV986" s="115"/>
      <c r="AW986" s="115"/>
      <c r="AX986" s="115"/>
      <c r="AY986" s="115"/>
      <c r="AZ986" s="26"/>
      <c r="BA986" s="105"/>
      <c r="BD986" s="114"/>
    </row>
    <row r="987" spans="1:56" x14ac:dyDescent="0.4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  <c r="AG987" s="115"/>
      <c r="AH987" s="115"/>
      <c r="AI987" s="122"/>
      <c r="AJ987" s="122"/>
      <c r="AK987" s="122"/>
      <c r="AL987" s="115"/>
      <c r="AM987" s="115"/>
      <c r="AN987" s="115"/>
      <c r="AO987" s="115"/>
      <c r="AP987" s="115"/>
      <c r="AQ987" s="115"/>
      <c r="AR987" s="115"/>
      <c r="AS987" s="115"/>
      <c r="AT987" s="115"/>
      <c r="AU987" s="115"/>
      <c r="AV987" s="115"/>
      <c r="AW987" s="115"/>
      <c r="AX987" s="115"/>
      <c r="AY987" s="115"/>
      <c r="AZ987" s="17"/>
      <c r="BA987" s="15"/>
      <c r="BD987" s="114"/>
    </row>
    <row r="988" spans="1:56" x14ac:dyDescent="0.4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  <c r="AG988" s="115"/>
      <c r="AH988" s="115"/>
      <c r="AI988" s="122"/>
      <c r="AJ988" s="122"/>
      <c r="AK988" s="122"/>
      <c r="AL988" s="115"/>
      <c r="AM988" s="115"/>
      <c r="AN988" s="115"/>
      <c r="AO988" s="115"/>
      <c r="AP988" s="115"/>
      <c r="AQ988" s="115"/>
      <c r="AR988" s="115"/>
      <c r="AS988" s="115"/>
      <c r="AT988" s="115"/>
      <c r="AU988" s="115"/>
      <c r="AV988" s="115"/>
      <c r="AW988" s="115"/>
      <c r="AX988" s="115"/>
      <c r="AY988" s="115"/>
      <c r="AZ988" s="17"/>
      <c r="BA988" s="15"/>
      <c r="BD988" s="114"/>
    </row>
    <row r="989" spans="1:56" x14ac:dyDescent="0.4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  <c r="AG989" s="115"/>
      <c r="AH989" s="115"/>
      <c r="AI989" s="122"/>
      <c r="AJ989" s="122"/>
      <c r="AK989" s="122"/>
      <c r="AL989" s="115"/>
      <c r="AM989" s="115"/>
      <c r="AN989" s="115"/>
      <c r="AO989" s="115"/>
      <c r="AP989" s="115"/>
      <c r="AQ989" s="115"/>
      <c r="AR989" s="115"/>
      <c r="AS989" s="115"/>
      <c r="AT989" s="115"/>
      <c r="AU989" s="115"/>
      <c r="AV989" s="115"/>
      <c r="AW989" s="115"/>
      <c r="AX989" s="115"/>
      <c r="AY989" s="115"/>
      <c r="AZ989" s="26"/>
      <c r="BA989" s="15"/>
      <c r="BD989" s="114"/>
    </row>
    <row r="990" spans="1:56" x14ac:dyDescent="0.4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  <c r="AG990" s="115"/>
      <c r="AH990" s="115"/>
      <c r="AI990" s="122"/>
      <c r="AJ990" s="122"/>
      <c r="AK990" s="122"/>
      <c r="AL990" s="115"/>
      <c r="AM990" s="115"/>
      <c r="AN990" s="115"/>
      <c r="AO990" s="115"/>
      <c r="AP990" s="115"/>
      <c r="AQ990" s="115"/>
      <c r="AR990" s="115"/>
      <c r="AS990" s="115"/>
      <c r="AT990" s="115"/>
      <c r="AU990" s="115"/>
      <c r="AV990" s="115"/>
      <c r="AW990" s="115"/>
      <c r="AX990" s="115"/>
      <c r="AY990" s="115"/>
      <c r="AZ990" s="26"/>
      <c r="BA990" s="15"/>
      <c r="BD990" s="114"/>
    </row>
    <row r="991" spans="1:56" x14ac:dyDescent="0.4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115"/>
      <c r="AE991" s="115"/>
      <c r="AF991" s="115"/>
      <c r="AG991" s="115"/>
      <c r="AH991" s="115"/>
      <c r="AI991" s="122"/>
      <c r="AJ991" s="122"/>
      <c r="AK991" s="122"/>
      <c r="AL991" s="115"/>
      <c r="AM991" s="115"/>
      <c r="AN991" s="115"/>
      <c r="AO991" s="115"/>
      <c r="AP991" s="115"/>
      <c r="AQ991" s="115"/>
      <c r="AR991" s="115"/>
      <c r="AS991" s="115"/>
      <c r="AT991" s="115"/>
      <c r="AU991" s="115"/>
      <c r="AV991" s="115"/>
      <c r="AW991" s="115"/>
      <c r="AX991" s="115"/>
      <c r="AY991" s="115"/>
      <c r="AZ991" s="26"/>
      <c r="BA991" s="15"/>
      <c r="BD991" s="114"/>
    </row>
    <row r="992" spans="1:56" x14ac:dyDescent="0.4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  <c r="AG992" s="115"/>
      <c r="AH992" s="115"/>
      <c r="AI992" s="122"/>
      <c r="AJ992" s="122"/>
      <c r="AK992" s="122"/>
      <c r="AL992" s="115"/>
      <c r="AM992" s="115"/>
      <c r="AN992" s="115"/>
      <c r="AO992" s="115"/>
      <c r="AP992" s="115"/>
      <c r="AQ992" s="115"/>
      <c r="AR992" s="115"/>
      <c r="AS992" s="115"/>
      <c r="AT992" s="115"/>
      <c r="AU992" s="115"/>
      <c r="AV992" s="115"/>
      <c r="AW992" s="115"/>
      <c r="AX992" s="115"/>
      <c r="AY992" s="115"/>
      <c r="AZ992" s="26"/>
      <c r="BA992" s="15"/>
      <c r="BD992" s="114"/>
    </row>
    <row r="993" spans="1:56" x14ac:dyDescent="0.4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  <c r="AG993" s="115"/>
      <c r="AH993" s="115"/>
      <c r="AI993" s="122"/>
      <c r="AJ993" s="122"/>
      <c r="AK993" s="122"/>
      <c r="AL993" s="115"/>
      <c r="AM993" s="115"/>
      <c r="AN993" s="115"/>
      <c r="AO993" s="115"/>
      <c r="AP993" s="115"/>
      <c r="AQ993" s="115"/>
      <c r="AR993" s="115"/>
      <c r="AS993" s="115"/>
      <c r="AT993" s="115"/>
      <c r="AU993" s="115"/>
      <c r="AV993" s="115"/>
      <c r="AW993" s="115"/>
      <c r="AX993" s="115"/>
      <c r="AY993" s="115"/>
      <c r="AZ993" s="26"/>
      <c r="BA993" s="15"/>
      <c r="BD993" s="114"/>
    </row>
    <row r="994" spans="1:56" x14ac:dyDescent="0.4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  <c r="AG994" s="115"/>
      <c r="AH994" s="115"/>
      <c r="AI994" s="122"/>
      <c r="AJ994" s="122"/>
      <c r="AK994" s="122"/>
      <c r="AL994" s="115"/>
      <c r="AM994" s="115"/>
      <c r="AN994" s="115"/>
      <c r="AO994" s="115"/>
      <c r="AP994" s="115"/>
      <c r="AQ994" s="115"/>
      <c r="AR994" s="115"/>
      <c r="AS994" s="115"/>
      <c r="AT994" s="115"/>
      <c r="AU994" s="115"/>
      <c r="AV994" s="115"/>
      <c r="AW994" s="115"/>
      <c r="AX994" s="115"/>
      <c r="AY994" s="115"/>
      <c r="AZ994" s="26"/>
      <c r="BA994" s="15"/>
      <c r="BD994" s="114"/>
    </row>
    <row r="995" spans="1:56" x14ac:dyDescent="0.4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115"/>
      <c r="AE995" s="115"/>
      <c r="AF995" s="115"/>
      <c r="AG995" s="115"/>
      <c r="AH995" s="115"/>
      <c r="AI995" s="122"/>
      <c r="AJ995" s="122"/>
      <c r="AK995" s="122"/>
      <c r="AL995" s="115"/>
      <c r="AM995" s="115"/>
      <c r="AN995" s="115"/>
      <c r="AO995" s="115"/>
      <c r="AP995" s="115"/>
      <c r="AQ995" s="115"/>
      <c r="AR995" s="115"/>
      <c r="AS995" s="115"/>
      <c r="AT995" s="115"/>
      <c r="AU995" s="115"/>
      <c r="AV995" s="115"/>
      <c r="AW995" s="115"/>
      <c r="AX995" s="115"/>
      <c r="AY995" s="115"/>
      <c r="AZ995" s="26"/>
      <c r="BA995" s="15"/>
      <c r="BD995" s="114"/>
    </row>
    <row r="996" spans="1:56" x14ac:dyDescent="0.4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115"/>
      <c r="AE996" s="115"/>
      <c r="AF996" s="115"/>
      <c r="AG996" s="115"/>
      <c r="AH996" s="115"/>
      <c r="AI996" s="122"/>
      <c r="AJ996" s="122"/>
      <c r="AK996" s="122"/>
      <c r="AL996" s="115"/>
      <c r="AM996" s="115"/>
      <c r="AN996" s="115"/>
      <c r="AO996" s="115"/>
      <c r="AP996" s="115"/>
      <c r="AQ996" s="115"/>
      <c r="AR996" s="115"/>
      <c r="AS996" s="115"/>
      <c r="AT996" s="115"/>
      <c r="AU996" s="115"/>
      <c r="AV996" s="115"/>
      <c r="AW996" s="115"/>
      <c r="AX996" s="115"/>
      <c r="AY996" s="115"/>
      <c r="AZ996" s="26"/>
      <c r="BA996" s="15"/>
      <c r="BD996" s="114"/>
    </row>
    <row r="997" spans="1:56" x14ac:dyDescent="0.4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15"/>
      <c r="AD997" s="115"/>
      <c r="AE997" s="115"/>
      <c r="AF997" s="115"/>
      <c r="AG997" s="115"/>
      <c r="AH997" s="115"/>
      <c r="AI997" s="122"/>
      <c r="AJ997" s="122"/>
      <c r="AK997" s="122"/>
      <c r="AL997" s="115"/>
      <c r="AM997" s="115"/>
      <c r="AN997" s="115"/>
      <c r="AO997" s="115"/>
      <c r="AP997" s="115"/>
      <c r="AQ997" s="115"/>
      <c r="AR997" s="115"/>
      <c r="AS997" s="115"/>
      <c r="AT997" s="115"/>
      <c r="AU997" s="115"/>
      <c r="AV997" s="115"/>
      <c r="AW997" s="115"/>
      <c r="AX997" s="115"/>
      <c r="AY997" s="115"/>
      <c r="AZ997" s="26"/>
      <c r="BA997" s="105"/>
      <c r="BD997" s="114"/>
    </row>
    <row r="998" spans="1:56" x14ac:dyDescent="0.4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15"/>
      <c r="AG998" s="115"/>
      <c r="AH998" s="115"/>
      <c r="AI998" s="122"/>
      <c r="AJ998" s="122"/>
      <c r="AK998" s="122"/>
      <c r="AL998" s="115"/>
      <c r="AM998" s="115"/>
      <c r="AN998" s="115"/>
      <c r="AO998" s="115"/>
      <c r="AP998" s="115"/>
      <c r="AQ998" s="115"/>
      <c r="AR998" s="115"/>
      <c r="AS998" s="115"/>
      <c r="AT998" s="115"/>
      <c r="AU998" s="115"/>
      <c r="AV998" s="115"/>
      <c r="AW998" s="115"/>
      <c r="AX998" s="115"/>
      <c r="AY998" s="115"/>
      <c r="AZ998" s="26"/>
      <c r="BA998" s="15"/>
      <c r="BD998" s="114"/>
    </row>
    <row r="999" spans="1:56" x14ac:dyDescent="0.4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  <c r="AC999" s="115"/>
      <c r="AD999" s="115"/>
      <c r="AE999" s="115"/>
      <c r="AF999" s="115"/>
      <c r="AG999" s="115"/>
      <c r="AH999" s="115"/>
      <c r="AI999" s="122"/>
      <c r="AJ999" s="122"/>
      <c r="AK999" s="122"/>
      <c r="AL999" s="115"/>
      <c r="AM999" s="115"/>
      <c r="AN999" s="115"/>
      <c r="AO999" s="115"/>
      <c r="AP999" s="115"/>
      <c r="AQ999" s="115"/>
      <c r="AR999" s="115"/>
      <c r="AS999" s="115"/>
      <c r="AT999" s="115"/>
      <c r="AU999" s="115"/>
      <c r="AV999" s="115"/>
      <c r="AW999" s="115"/>
      <c r="AX999" s="115"/>
      <c r="AY999" s="115"/>
      <c r="AZ999" s="26"/>
      <c r="BA999" s="15"/>
      <c r="BD999" s="114"/>
    </row>
    <row r="1000" spans="1:56" x14ac:dyDescent="0.4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  <c r="AC1000" s="115"/>
      <c r="AD1000" s="115"/>
      <c r="AE1000" s="115"/>
      <c r="AF1000" s="115"/>
      <c r="AG1000" s="115"/>
      <c r="AH1000" s="115"/>
      <c r="AI1000" s="122"/>
      <c r="AJ1000" s="122"/>
      <c r="AK1000" s="122"/>
      <c r="AL1000" s="115"/>
      <c r="AM1000" s="115"/>
      <c r="AN1000" s="115"/>
      <c r="AO1000" s="115"/>
      <c r="AP1000" s="115"/>
      <c r="AQ1000" s="115"/>
      <c r="AR1000" s="115"/>
      <c r="AS1000" s="115"/>
      <c r="AT1000" s="115"/>
      <c r="AU1000" s="115"/>
      <c r="AV1000" s="115"/>
      <c r="AW1000" s="115"/>
      <c r="AX1000" s="115"/>
      <c r="AY1000" s="115"/>
      <c r="AZ1000" s="26"/>
      <c r="BA1000" s="13"/>
      <c r="BD1000" s="114"/>
    </row>
    <row r="1001" spans="1:56" x14ac:dyDescent="0.4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15"/>
      <c r="AI1001" s="122"/>
      <c r="AJ1001" s="122"/>
      <c r="AK1001" s="122"/>
      <c r="AL1001" s="115"/>
      <c r="AM1001" s="115"/>
      <c r="AN1001" s="115"/>
      <c r="AO1001" s="115"/>
      <c r="AP1001" s="115"/>
      <c r="AQ1001" s="115"/>
      <c r="AR1001" s="115"/>
      <c r="AS1001" s="115"/>
      <c r="AT1001" s="115"/>
      <c r="AU1001" s="115"/>
      <c r="AV1001" s="115"/>
      <c r="AW1001" s="115"/>
      <c r="AX1001" s="115"/>
      <c r="AY1001" s="115"/>
      <c r="AZ1001" s="17"/>
      <c r="BA1001" s="13"/>
      <c r="BD1001" s="114"/>
    </row>
    <row r="1002" spans="1:56" x14ac:dyDescent="0.4">
      <c r="A1002" s="115"/>
      <c r="B1002" s="115"/>
      <c r="C1002" s="115"/>
      <c r="D1002" s="115"/>
      <c r="E1002" s="115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15"/>
      <c r="AC1002" s="115"/>
      <c r="AD1002" s="115"/>
      <c r="AE1002" s="115"/>
      <c r="AF1002" s="115"/>
      <c r="AG1002" s="115"/>
      <c r="AH1002" s="115"/>
      <c r="AI1002" s="122"/>
      <c r="AJ1002" s="122"/>
      <c r="AK1002" s="122"/>
      <c r="AL1002" s="115"/>
      <c r="AM1002" s="115"/>
      <c r="AN1002" s="115"/>
      <c r="AO1002" s="115"/>
      <c r="AP1002" s="115"/>
      <c r="AQ1002" s="115"/>
      <c r="AR1002" s="115"/>
      <c r="AS1002" s="115"/>
      <c r="AT1002" s="115"/>
      <c r="AU1002" s="115"/>
      <c r="AV1002" s="115"/>
      <c r="AW1002" s="115"/>
      <c r="AX1002" s="115"/>
      <c r="AY1002" s="115"/>
      <c r="AZ1002" s="26"/>
      <c r="BA1002" s="13"/>
      <c r="BD1002" s="114"/>
    </row>
    <row r="1003" spans="1:56" x14ac:dyDescent="0.4">
      <c r="A1003" s="115"/>
      <c r="B1003" s="115"/>
      <c r="C1003" s="115"/>
      <c r="D1003" s="115"/>
      <c r="E1003" s="115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15"/>
      <c r="AC1003" s="115"/>
      <c r="AD1003" s="115"/>
      <c r="AE1003" s="115"/>
      <c r="AF1003" s="115"/>
      <c r="AG1003" s="115"/>
      <c r="AH1003" s="115"/>
      <c r="AI1003" s="122"/>
      <c r="AJ1003" s="122"/>
      <c r="AK1003" s="122"/>
      <c r="AL1003" s="115"/>
      <c r="AM1003" s="115"/>
      <c r="AN1003" s="115"/>
      <c r="AO1003" s="115"/>
      <c r="AP1003" s="115"/>
      <c r="AQ1003" s="115"/>
      <c r="AR1003" s="115"/>
      <c r="AS1003" s="115"/>
      <c r="AT1003" s="115"/>
      <c r="AU1003" s="115"/>
      <c r="AV1003" s="115"/>
      <c r="AW1003" s="115"/>
      <c r="AX1003" s="115"/>
      <c r="AY1003" s="115"/>
      <c r="AZ1003" s="26"/>
      <c r="BA1003" s="13"/>
      <c r="BD1003" s="114"/>
    </row>
    <row r="1004" spans="1:56" x14ac:dyDescent="0.4">
      <c r="A1004" s="115"/>
      <c r="B1004" s="115"/>
      <c r="C1004" s="115"/>
      <c r="D1004" s="115"/>
      <c r="E1004" s="115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  <c r="AA1004" s="115"/>
      <c r="AB1004" s="115"/>
      <c r="AC1004" s="115"/>
      <c r="AD1004" s="115"/>
      <c r="AE1004" s="115"/>
      <c r="AF1004" s="115"/>
      <c r="AG1004" s="115"/>
      <c r="AH1004" s="115"/>
      <c r="AI1004" s="122"/>
      <c r="AJ1004" s="122"/>
      <c r="AK1004" s="122"/>
      <c r="AL1004" s="115"/>
      <c r="AM1004" s="115"/>
      <c r="AN1004" s="115"/>
      <c r="AO1004" s="115"/>
      <c r="AP1004" s="115"/>
      <c r="AQ1004" s="115"/>
      <c r="AR1004" s="115"/>
      <c r="AS1004" s="115"/>
      <c r="AT1004" s="115"/>
      <c r="AU1004" s="115"/>
      <c r="AV1004" s="115"/>
      <c r="AW1004" s="115"/>
      <c r="AX1004" s="115"/>
      <c r="AY1004" s="115"/>
      <c r="AZ1004" s="26"/>
      <c r="BA1004" s="13"/>
      <c r="BD1004" s="114"/>
    </row>
    <row r="1005" spans="1:56" x14ac:dyDescent="0.4">
      <c r="A1005" s="115"/>
      <c r="B1005" s="115"/>
      <c r="C1005" s="115"/>
      <c r="D1005" s="115"/>
      <c r="E1005" s="115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15"/>
      <c r="AC1005" s="115"/>
      <c r="AD1005" s="115"/>
      <c r="AE1005" s="115"/>
      <c r="AF1005" s="115"/>
      <c r="AG1005" s="115"/>
      <c r="AH1005" s="115"/>
      <c r="AI1005" s="122"/>
      <c r="AJ1005" s="122"/>
      <c r="AK1005" s="122"/>
      <c r="AL1005" s="115"/>
      <c r="AM1005" s="115"/>
      <c r="AN1005" s="115"/>
      <c r="AO1005" s="115"/>
      <c r="AP1005" s="115"/>
      <c r="AQ1005" s="115"/>
      <c r="AR1005" s="115"/>
      <c r="AS1005" s="115"/>
      <c r="AT1005" s="115"/>
      <c r="AU1005" s="115"/>
      <c r="AV1005" s="115"/>
      <c r="AW1005" s="115"/>
      <c r="AX1005" s="115"/>
      <c r="AY1005" s="115"/>
      <c r="AZ1005" s="26"/>
      <c r="BA1005" s="13"/>
      <c r="BD1005" s="114"/>
    </row>
    <row r="1006" spans="1:56" x14ac:dyDescent="0.4">
      <c r="A1006" s="115"/>
      <c r="B1006" s="115"/>
      <c r="C1006" s="115"/>
      <c r="D1006" s="115"/>
      <c r="E1006" s="115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  <c r="AA1006" s="115"/>
      <c r="AB1006" s="115"/>
      <c r="AC1006" s="115"/>
      <c r="AD1006" s="115"/>
      <c r="AE1006" s="115"/>
      <c r="AF1006" s="115"/>
      <c r="AG1006" s="115"/>
      <c r="AH1006" s="115"/>
      <c r="AI1006" s="122"/>
      <c r="AJ1006" s="122"/>
      <c r="AK1006" s="122"/>
      <c r="AL1006" s="115"/>
      <c r="AM1006" s="115"/>
      <c r="AN1006" s="115"/>
      <c r="AO1006" s="115"/>
      <c r="AP1006" s="115"/>
      <c r="AQ1006" s="115"/>
      <c r="AR1006" s="115"/>
      <c r="AS1006" s="115"/>
      <c r="AT1006" s="115"/>
      <c r="AU1006" s="115"/>
      <c r="AV1006" s="115"/>
      <c r="AW1006" s="115"/>
      <c r="AX1006" s="115"/>
      <c r="AY1006" s="115"/>
      <c r="AZ1006" s="26"/>
      <c r="BA1006" s="13"/>
      <c r="BD1006" s="114"/>
    </row>
    <row r="1007" spans="1:56" x14ac:dyDescent="0.4">
      <c r="A1007" s="115"/>
      <c r="B1007" s="115"/>
      <c r="C1007" s="115"/>
      <c r="D1007" s="115"/>
      <c r="E1007" s="115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  <c r="AA1007" s="115"/>
      <c r="AB1007" s="115"/>
      <c r="AC1007" s="115"/>
      <c r="AD1007" s="115"/>
      <c r="AE1007" s="115"/>
      <c r="AF1007" s="115"/>
      <c r="AG1007" s="115"/>
      <c r="AH1007" s="115"/>
      <c r="AI1007" s="122"/>
      <c r="AJ1007" s="122"/>
      <c r="AK1007" s="122"/>
      <c r="AL1007" s="115"/>
      <c r="AM1007" s="115"/>
      <c r="AN1007" s="115"/>
      <c r="AO1007" s="115"/>
      <c r="AP1007" s="115"/>
      <c r="AQ1007" s="115"/>
      <c r="AR1007" s="115"/>
      <c r="AS1007" s="115"/>
      <c r="AT1007" s="115"/>
      <c r="AU1007" s="115"/>
      <c r="AV1007" s="115"/>
      <c r="AW1007" s="115"/>
      <c r="AX1007" s="115"/>
      <c r="AY1007" s="115"/>
      <c r="AZ1007" s="26"/>
      <c r="BA1007" s="13"/>
      <c r="BD1007" s="114"/>
    </row>
    <row r="1008" spans="1:56" x14ac:dyDescent="0.4">
      <c r="A1008" s="115"/>
      <c r="B1008" s="115"/>
      <c r="C1008" s="115"/>
      <c r="D1008" s="115"/>
      <c r="E1008" s="115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  <c r="AA1008" s="115"/>
      <c r="AB1008" s="115"/>
      <c r="AC1008" s="115"/>
      <c r="AD1008" s="115"/>
      <c r="AE1008" s="115"/>
      <c r="AF1008" s="115"/>
      <c r="AG1008" s="115"/>
      <c r="AH1008" s="115"/>
      <c r="AI1008" s="122"/>
      <c r="AJ1008" s="122"/>
      <c r="AK1008" s="122"/>
      <c r="AL1008" s="115"/>
      <c r="AM1008" s="115"/>
      <c r="AN1008" s="115"/>
      <c r="AO1008" s="115"/>
      <c r="AP1008" s="115"/>
      <c r="AQ1008" s="115"/>
      <c r="AR1008" s="115"/>
      <c r="AS1008" s="115"/>
      <c r="AT1008" s="115"/>
      <c r="AU1008" s="115"/>
      <c r="AV1008" s="115"/>
      <c r="AW1008" s="115"/>
      <c r="AX1008" s="115"/>
      <c r="AY1008" s="115"/>
      <c r="AZ1008" s="17"/>
      <c r="BA1008" s="13"/>
      <c r="BD1008" s="114"/>
    </row>
    <row r="1009" spans="1:56" x14ac:dyDescent="0.4">
      <c r="A1009" s="115"/>
      <c r="B1009" s="115"/>
      <c r="C1009" s="115"/>
      <c r="D1009" s="115"/>
      <c r="E1009" s="115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15"/>
      <c r="AC1009" s="115"/>
      <c r="AD1009" s="115"/>
      <c r="AE1009" s="115"/>
      <c r="AF1009" s="115"/>
      <c r="AG1009" s="115"/>
      <c r="AH1009" s="115"/>
      <c r="AI1009" s="122"/>
      <c r="AJ1009" s="122"/>
      <c r="AK1009" s="122"/>
      <c r="AL1009" s="115"/>
      <c r="AM1009" s="115"/>
      <c r="AN1009" s="115"/>
      <c r="AO1009" s="115"/>
      <c r="AP1009" s="115"/>
      <c r="AQ1009" s="115"/>
      <c r="AR1009" s="115"/>
      <c r="AS1009" s="115"/>
      <c r="AT1009" s="115"/>
      <c r="AU1009" s="115"/>
      <c r="AV1009" s="115"/>
      <c r="AW1009" s="115"/>
      <c r="AX1009" s="115"/>
      <c r="AY1009" s="115"/>
      <c r="AZ1009" s="26"/>
      <c r="BA1009" s="13"/>
      <c r="BD1009" s="114"/>
    </row>
    <row r="1010" spans="1:56" x14ac:dyDescent="0.4">
      <c r="A1010" s="115"/>
      <c r="B1010" s="115"/>
      <c r="C1010" s="115"/>
      <c r="D1010" s="115"/>
      <c r="E1010" s="115"/>
      <c r="F1010" s="115"/>
      <c r="G1010" s="115"/>
      <c r="H1010" s="115"/>
      <c r="I1010" s="115"/>
      <c r="J1010" s="115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  <c r="AA1010" s="115"/>
      <c r="AB1010" s="115"/>
      <c r="AC1010" s="115"/>
      <c r="AD1010" s="115"/>
      <c r="AE1010" s="115"/>
      <c r="AF1010" s="115"/>
      <c r="AG1010" s="115"/>
      <c r="AH1010" s="115"/>
      <c r="AI1010" s="122"/>
      <c r="AJ1010" s="122"/>
      <c r="AK1010" s="122"/>
      <c r="AL1010" s="115"/>
      <c r="AM1010" s="115"/>
      <c r="AN1010" s="115"/>
      <c r="AO1010" s="115"/>
      <c r="AP1010" s="115"/>
      <c r="AQ1010" s="115"/>
      <c r="AR1010" s="115"/>
      <c r="AS1010" s="115"/>
      <c r="AT1010" s="115"/>
      <c r="AU1010" s="115"/>
      <c r="AV1010" s="115"/>
      <c r="AW1010" s="115"/>
      <c r="AX1010" s="115"/>
      <c r="AY1010" s="115"/>
      <c r="AZ1010" s="26"/>
      <c r="BA1010" s="13"/>
      <c r="BD1010" s="114"/>
    </row>
    <row r="1011" spans="1:56" x14ac:dyDescent="0.4">
      <c r="A1011" s="115"/>
      <c r="B1011" s="115"/>
      <c r="C1011" s="115"/>
      <c r="D1011" s="115"/>
      <c r="E1011" s="115"/>
      <c r="F1011" s="115"/>
      <c r="G1011" s="115"/>
      <c r="H1011" s="115"/>
      <c r="I1011" s="115"/>
      <c r="J1011" s="115"/>
      <c r="K1011" s="115"/>
      <c r="L1011" s="115"/>
      <c r="M1011" s="115"/>
      <c r="N1011" s="115"/>
      <c r="O1011" s="115"/>
      <c r="P1011" s="115"/>
      <c r="Q1011" s="115"/>
      <c r="R1011" s="115"/>
      <c r="S1011" s="115"/>
      <c r="T1011" s="115"/>
      <c r="U1011" s="115"/>
      <c r="V1011" s="115"/>
      <c r="W1011" s="115"/>
      <c r="X1011" s="115"/>
      <c r="Y1011" s="115"/>
      <c r="Z1011" s="115"/>
      <c r="AA1011" s="115"/>
      <c r="AB1011" s="115"/>
      <c r="AC1011" s="115"/>
      <c r="AD1011" s="115"/>
      <c r="AE1011" s="115"/>
      <c r="AF1011" s="115"/>
      <c r="AG1011" s="115"/>
      <c r="AH1011" s="115"/>
      <c r="AI1011" s="122"/>
      <c r="AJ1011" s="122"/>
      <c r="AK1011" s="122"/>
      <c r="AL1011" s="115"/>
      <c r="AM1011" s="115"/>
      <c r="AN1011" s="115"/>
      <c r="AO1011" s="115"/>
      <c r="AP1011" s="115"/>
      <c r="AQ1011" s="115"/>
      <c r="AR1011" s="115"/>
      <c r="AS1011" s="115"/>
      <c r="AT1011" s="115"/>
      <c r="AU1011" s="115"/>
      <c r="AV1011" s="115"/>
      <c r="AW1011" s="115"/>
      <c r="AX1011" s="115"/>
      <c r="AY1011" s="115"/>
      <c r="AZ1011" s="26"/>
      <c r="BA1011" s="13"/>
      <c r="BD1011" s="114"/>
    </row>
    <row r="1012" spans="1:56" x14ac:dyDescent="0.4">
      <c r="A1012" s="115"/>
      <c r="B1012" s="115"/>
      <c r="C1012" s="115"/>
      <c r="D1012" s="115"/>
      <c r="E1012" s="115"/>
      <c r="F1012" s="115"/>
      <c r="G1012" s="115"/>
      <c r="H1012" s="115"/>
      <c r="I1012" s="115"/>
      <c r="J1012" s="115"/>
      <c r="K1012" s="115"/>
      <c r="L1012" s="115"/>
      <c r="M1012" s="115"/>
      <c r="N1012" s="115"/>
      <c r="O1012" s="115"/>
      <c r="P1012" s="115"/>
      <c r="Q1012" s="115"/>
      <c r="R1012" s="115"/>
      <c r="S1012" s="115"/>
      <c r="T1012" s="115"/>
      <c r="U1012" s="115"/>
      <c r="V1012" s="115"/>
      <c r="W1012" s="115"/>
      <c r="X1012" s="115"/>
      <c r="Y1012" s="115"/>
      <c r="Z1012" s="115"/>
      <c r="AA1012" s="115"/>
      <c r="AB1012" s="115"/>
      <c r="AC1012" s="115"/>
      <c r="AD1012" s="115"/>
      <c r="AE1012" s="115"/>
      <c r="AF1012" s="115"/>
      <c r="AG1012" s="115"/>
      <c r="AH1012" s="115"/>
      <c r="AI1012" s="122"/>
      <c r="AJ1012" s="122"/>
      <c r="AK1012" s="122"/>
      <c r="AL1012" s="115"/>
      <c r="AM1012" s="115"/>
      <c r="AN1012" s="115"/>
      <c r="AO1012" s="115"/>
      <c r="AP1012" s="115"/>
      <c r="AQ1012" s="115"/>
      <c r="AR1012" s="115"/>
      <c r="AS1012" s="115"/>
      <c r="AT1012" s="115"/>
      <c r="AU1012" s="115"/>
      <c r="AV1012" s="115"/>
      <c r="AW1012" s="115"/>
      <c r="AX1012" s="115"/>
      <c r="AY1012" s="115"/>
      <c r="AZ1012" s="26"/>
      <c r="BA1012" s="13"/>
      <c r="BD1012" s="114"/>
    </row>
    <row r="1013" spans="1:56" x14ac:dyDescent="0.4">
      <c r="A1013" s="115"/>
      <c r="B1013" s="115"/>
      <c r="C1013" s="115"/>
      <c r="D1013" s="115"/>
      <c r="E1013" s="115"/>
      <c r="F1013" s="115"/>
      <c r="G1013" s="115"/>
      <c r="H1013" s="115"/>
      <c r="I1013" s="115"/>
      <c r="J1013" s="115"/>
      <c r="K1013" s="115"/>
      <c r="L1013" s="115"/>
      <c r="M1013" s="115"/>
      <c r="N1013" s="115"/>
      <c r="O1013" s="115"/>
      <c r="P1013" s="115"/>
      <c r="Q1013" s="115"/>
      <c r="R1013" s="115"/>
      <c r="S1013" s="115"/>
      <c r="T1013" s="115"/>
      <c r="U1013" s="115"/>
      <c r="V1013" s="115"/>
      <c r="W1013" s="115"/>
      <c r="X1013" s="115"/>
      <c r="Y1013" s="115"/>
      <c r="Z1013" s="115"/>
      <c r="AA1013" s="115"/>
      <c r="AB1013" s="115"/>
      <c r="AC1013" s="115"/>
      <c r="AD1013" s="115"/>
      <c r="AE1013" s="115"/>
      <c r="AF1013" s="115"/>
      <c r="AG1013" s="115"/>
      <c r="AH1013" s="115"/>
      <c r="AI1013" s="122"/>
      <c r="AJ1013" s="122"/>
      <c r="AK1013" s="122"/>
      <c r="AL1013" s="115"/>
      <c r="AM1013" s="115"/>
      <c r="AN1013" s="115"/>
      <c r="AO1013" s="115"/>
      <c r="AP1013" s="115"/>
      <c r="AQ1013" s="115"/>
      <c r="AR1013" s="115"/>
      <c r="AS1013" s="115"/>
      <c r="AT1013" s="115"/>
      <c r="AU1013" s="115"/>
      <c r="AV1013" s="115"/>
      <c r="AW1013" s="115"/>
      <c r="AX1013" s="115"/>
      <c r="AY1013" s="115"/>
      <c r="AZ1013" s="26"/>
      <c r="BA1013" s="25"/>
      <c r="BD1013" s="114"/>
    </row>
    <row r="1014" spans="1:56" x14ac:dyDescent="0.4">
      <c r="A1014" s="115"/>
      <c r="B1014" s="115"/>
      <c r="C1014" s="115"/>
      <c r="D1014" s="115"/>
      <c r="E1014" s="115"/>
      <c r="F1014" s="115"/>
      <c r="G1014" s="115"/>
      <c r="H1014" s="115"/>
      <c r="I1014" s="115"/>
      <c r="J1014" s="115"/>
      <c r="K1014" s="115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15"/>
      <c r="AA1014" s="115"/>
      <c r="AB1014" s="115"/>
      <c r="AC1014" s="115"/>
      <c r="AD1014" s="115"/>
      <c r="AE1014" s="115"/>
      <c r="AF1014" s="115"/>
      <c r="AG1014" s="115"/>
      <c r="AH1014" s="115"/>
      <c r="AI1014" s="122"/>
      <c r="AJ1014" s="122"/>
      <c r="AK1014" s="122"/>
      <c r="AL1014" s="115"/>
      <c r="AM1014" s="115"/>
      <c r="AN1014" s="115"/>
      <c r="AO1014" s="115"/>
      <c r="AP1014" s="115"/>
      <c r="AQ1014" s="115"/>
      <c r="AR1014" s="115"/>
      <c r="AS1014" s="115"/>
      <c r="AT1014" s="115"/>
      <c r="AU1014" s="115"/>
      <c r="AV1014" s="115"/>
      <c r="AW1014" s="115"/>
      <c r="AX1014" s="115"/>
      <c r="AY1014" s="115"/>
      <c r="AZ1014" s="17"/>
      <c r="BA1014" s="13"/>
      <c r="BD1014" s="114"/>
    </row>
    <row r="1015" spans="1:56" x14ac:dyDescent="0.4">
      <c r="A1015" s="115"/>
      <c r="B1015" s="115"/>
      <c r="C1015" s="115"/>
      <c r="D1015" s="115"/>
      <c r="E1015" s="115"/>
      <c r="F1015" s="115"/>
      <c r="G1015" s="115"/>
      <c r="H1015" s="115"/>
      <c r="I1015" s="115"/>
      <c r="J1015" s="115"/>
      <c r="K1015" s="115"/>
      <c r="L1015" s="115"/>
      <c r="M1015" s="115"/>
      <c r="N1015" s="115"/>
      <c r="O1015" s="115"/>
      <c r="P1015" s="115"/>
      <c r="Q1015" s="115"/>
      <c r="R1015" s="115"/>
      <c r="S1015" s="115"/>
      <c r="T1015" s="115"/>
      <c r="U1015" s="115"/>
      <c r="V1015" s="115"/>
      <c r="W1015" s="115"/>
      <c r="X1015" s="115"/>
      <c r="Y1015" s="115"/>
      <c r="Z1015" s="115"/>
      <c r="AA1015" s="115"/>
      <c r="AB1015" s="115"/>
      <c r="AC1015" s="115"/>
      <c r="AD1015" s="115"/>
      <c r="AE1015" s="115"/>
      <c r="AF1015" s="115"/>
      <c r="AG1015" s="115"/>
      <c r="AH1015" s="115"/>
      <c r="AI1015" s="122"/>
      <c r="AJ1015" s="122"/>
      <c r="AK1015" s="122"/>
      <c r="AL1015" s="115"/>
      <c r="AM1015" s="115"/>
      <c r="AN1015" s="115"/>
      <c r="AO1015" s="115"/>
      <c r="AP1015" s="115"/>
      <c r="AQ1015" s="115"/>
      <c r="AR1015" s="115"/>
      <c r="AS1015" s="115"/>
      <c r="AT1015" s="115"/>
      <c r="AU1015" s="115"/>
      <c r="AV1015" s="115"/>
      <c r="AW1015" s="115"/>
      <c r="AX1015" s="115"/>
      <c r="AY1015" s="115"/>
      <c r="AZ1015" s="26"/>
      <c r="BA1015" s="15"/>
      <c r="BD1015" s="114"/>
    </row>
    <row r="1016" spans="1:56" x14ac:dyDescent="0.4">
      <c r="A1016" s="115"/>
      <c r="B1016" s="115"/>
      <c r="C1016" s="115"/>
      <c r="D1016" s="115"/>
      <c r="E1016" s="115"/>
      <c r="F1016" s="115"/>
      <c r="G1016" s="115"/>
      <c r="H1016" s="115"/>
      <c r="I1016" s="115"/>
      <c r="J1016" s="115"/>
      <c r="K1016" s="115"/>
      <c r="L1016" s="115"/>
      <c r="M1016" s="115"/>
      <c r="N1016" s="115"/>
      <c r="O1016" s="115"/>
      <c r="P1016" s="115"/>
      <c r="Q1016" s="115"/>
      <c r="R1016" s="115"/>
      <c r="S1016" s="115"/>
      <c r="T1016" s="115"/>
      <c r="U1016" s="115"/>
      <c r="V1016" s="115"/>
      <c r="W1016" s="115"/>
      <c r="X1016" s="115"/>
      <c r="Y1016" s="115"/>
      <c r="Z1016" s="115"/>
      <c r="AA1016" s="115"/>
      <c r="AB1016" s="115"/>
      <c r="AC1016" s="115"/>
      <c r="AD1016" s="115"/>
      <c r="AE1016" s="115"/>
      <c r="AF1016" s="115"/>
      <c r="AG1016" s="115"/>
      <c r="AH1016" s="115"/>
      <c r="AI1016" s="122"/>
      <c r="AJ1016" s="122"/>
      <c r="AK1016" s="122"/>
      <c r="AL1016" s="115"/>
      <c r="AM1016" s="115"/>
      <c r="AN1016" s="115"/>
      <c r="AO1016" s="115"/>
      <c r="AP1016" s="115"/>
      <c r="AQ1016" s="115"/>
      <c r="AR1016" s="115"/>
      <c r="AS1016" s="115"/>
      <c r="AT1016" s="115"/>
      <c r="AU1016" s="115"/>
      <c r="AV1016" s="115"/>
      <c r="AW1016" s="115"/>
      <c r="AX1016" s="115"/>
      <c r="AY1016" s="115"/>
      <c r="AZ1016" s="26"/>
      <c r="BA1016" s="15"/>
      <c r="BD1016" s="114"/>
    </row>
    <row r="1017" spans="1:56" x14ac:dyDescent="0.4">
      <c r="A1017" s="115"/>
      <c r="B1017" s="115"/>
      <c r="C1017" s="115"/>
      <c r="D1017" s="115"/>
      <c r="E1017" s="115"/>
      <c r="F1017" s="115"/>
      <c r="G1017" s="115"/>
      <c r="H1017" s="115"/>
      <c r="I1017" s="115"/>
      <c r="J1017" s="115"/>
      <c r="K1017" s="115"/>
      <c r="L1017" s="115"/>
      <c r="M1017" s="115"/>
      <c r="N1017" s="115"/>
      <c r="O1017" s="115"/>
      <c r="P1017" s="115"/>
      <c r="Q1017" s="115"/>
      <c r="R1017" s="115"/>
      <c r="S1017" s="115"/>
      <c r="T1017" s="115"/>
      <c r="U1017" s="115"/>
      <c r="V1017" s="115"/>
      <c r="W1017" s="115"/>
      <c r="X1017" s="115"/>
      <c r="Y1017" s="115"/>
      <c r="Z1017" s="115"/>
      <c r="AA1017" s="115"/>
      <c r="AB1017" s="115"/>
      <c r="AC1017" s="115"/>
      <c r="AD1017" s="115"/>
      <c r="AE1017" s="115"/>
      <c r="AF1017" s="115"/>
      <c r="AG1017" s="115"/>
      <c r="AH1017" s="115"/>
      <c r="AI1017" s="122"/>
      <c r="AJ1017" s="122"/>
      <c r="AK1017" s="122"/>
      <c r="AL1017" s="115"/>
      <c r="AM1017" s="115"/>
      <c r="AN1017" s="115"/>
      <c r="AO1017" s="115"/>
      <c r="AP1017" s="115"/>
      <c r="AQ1017" s="115"/>
      <c r="AR1017" s="115"/>
      <c r="AS1017" s="115"/>
      <c r="AT1017" s="115"/>
      <c r="AU1017" s="115"/>
      <c r="AV1017" s="115"/>
      <c r="AW1017" s="115"/>
      <c r="AX1017" s="115"/>
      <c r="AY1017" s="115"/>
      <c r="AZ1017" s="17"/>
      <c r="BA1017" s="15"/>
      <c r="BD1017" s="114"/>
    </row>
    <row r="1018" spans="1:56" x14ac:dyDescent="0.4">
      <c r="A1018" s="115"/>
      <c r="B1018" s="115"/>
      <c r="C1018" s="115"/>
      <c r="D1018" s="115"/>
      <c r="E1018" s="115"/>
      <c r="F1018" s="115"/>
      <c r="G1018" s="115"/>
      <c r="H1018" s="115"/>
      <c r="I1018" s="115"/>
      <c r="J1018" s="115"/>
      <c r="K1018" s="115"/>
      <c r="L1018" s="115"/>
      <c r="M1018" s="115"/>
      <c r="N1018" s="115"/>
      <c r="O1018" s="115"/>
      <c r="P1018" s="115"/>
      <c r="Q1018" s="115"/>
      <c r="R1018" s="115"/>
      <c r="S1018" s="115"/>
      <c r="T1018" s="115"/>
      <c r="U1018" s="115"/>
      <c r="V1018" s="115"/>
      <c r="W1018" s="115"/>
      <c r="X1018" s="115"/>
      <c r="Y1018" s="115"/>
      <c r="Z1018" s="115"/>
      <c r="AA1018" s="115"/>
      <c r="AB1018" s="115"/>
      <c r="AC1018" s="115"/>
      <c r="AD1018" s="115"/>
      <c r="AE1018" s="115"/>
      <c r="AF1018" s="115"/>
      <c r="AG1018" s="115"/>
      <c r="AH1018" s="115"/>
      <c r="AI1018" s="122"/>
      <c r="AJ1018" s="122"/>
      <c r="AK1018" s="122"/>
      <c r="AL1018" s="115"/>
      <c r="AM1018" s="115"/>
      <c r="AN1018" s="115"/>
      <c r="AO1018" s="115"/>
      <c r="AP1018" s="115"/>
      <c r="AQ1018" s="115"/>
      <c r="AR1018" s="115"/>
      <c r="AS1018" s="115"/>
      <c r="AT1018" s="115"/>
      <c r="AU1018" s="115"/>
      <c r="AV1018" s="115"/>
      <c r="AW1018" s="115"/>
      <c r="AX1018" s="115"/>
      <c r="AY1018" s="115"/>
      <c r="AZ1018" s="26"/>
      <c r="BA1018" s="15"/>
      <c r="BD1018" s="114"/>
    </row>
    <row r="1019" spans="1:56" x14ac:dyDescent="0.4">
      <c r="A1019" s="115"/>
      <c r="B1019" s="115"/>
      <c r="C1019" s="115"/>
      <c r="D1019" s="115"/>
      <c r="E1019" s="115"/>
      <c r="F1019" s="115"/>
      <c r="G1019" s="115"/>
      <c r="H1019" s="115"/>
      <c r="I1019" s="115"/>
      <c r="J1019" s="115"/>
      <c r="K1019" s="115"/>
      <c r="L1019" s="115"/>
      <c r="M1019" s="115"/>
      <c r="N1019" s="115"/>
      <c r="O1019" s="115"/>
      <c r="P1019" s="115"/>
      <c r="Q1019" s="115"/>
      <c r="R1019" s="115"/>
      <c r="S1019" s="115"/>
      <c r="T1019" s="115"/>
      <c r="U1019" s="115"/>
      <c r="V1019" s="115"/>
      <c r="W1019" s="115"/>
      <c r="X1019" s="115"/>
      <c r="Y1019" s="115"/>
      <c r="Z1019" s="115"/>
      <c r="AA1019" s="115"/>
      <c r="AB1019" s="115"/>
      <c r="AC1019" s="115"/>
      <c r="AD1019" s="115"/>
      <c r="AE1019" s="115"/>
      <c r="AF1019" s="115"/>
      <c r="AG1019" s="115"/>
      <c r="AH1019" s="115"/>
      <c r="AI1019" s="122"/>
      <c r="AJ1019" s="122"/>
      <c r="AK1019" s="122"/>
      <c r="AL1019" s="115"/>
      <c r="AM1019" s="115"/>
      <c r="AN1019" s="115"/>
      <c r="AO1019" s="115"/>
      <c r="AP1019" s="115"/>
      <c r="AQ1019" s="115"/>
      <c r="AR1019" s="115"/>
      <c r="AS1019" s="115"/>
      <c r="AT1019" s="115"/>
      <c r="AU1019" s="115"/>
      <c r="AV1019" s="115"/>
      <c r="AW1019" s="115"/>
      <c r="AX1019" s="115"/>
      <c r="AY1019" s="115"/>
      <c r="AZ1019" s="26"/>
      <c r="BA1019" s="15"/>
      <c r="BD1019" s="114"/>
    </row>
    <row r="1020" spans="1:56" x14ac:dyDescent="0.4">
      <c r="A1020" s="115"/>
      <c r="B1020" s="115"/>
      <c r="C1020" s="115"/>
      <c r="D1020" s="115"/>
      <c r="E1020" s="115"/>
      <c r="F1020" s="115"/>
      <c r="G1020" s="115"/>
      <c r="H1020" s="115"/>
      <c r="I1020" s="115"/>
      <c r="J1020" s="115"/>
      <c r="K1020" s="115"/>
      <c r="L1020" s="115"/>
      <c r="M1020" s="115"/>
      <c r="N1020" s="115"/>
      <c r="O1020" s="115"/>
      <c r="P1020" s="115"/>
      <c r="Q1020" s="115"/>
      <c r="R1020" s="115"/>
      <c r="S1020" s="115"/>
      <c r="T1020" s="115"/>
      <c r="U1020" s="115"/>
      <c r="V1020" s="115"/>
      <c r="W1020" s="115"/>
      <c r="X1020" s="115"/>
      <c r="Y1020" s="115"/>
      <c r="Z1020" s="115"/>
      <c r="AA1020" s="115"/>
      <c r="AB1020" s="115"/>
      <c r="AC1020" s="115"/>
      <c r="AD1020" s="115"/>
      <c r="AE1020" s="115"/>
      <c r="AF1020" s="115"/>
      <c r="AG1020" s="115"/>
      <c r="AH1020" s="115"/>
      <c r="AI1020" s="122"/>
      <c r="AJ1020" s="122"/>
      <c r="AK1020" s="122"/>
      <c r="AL1020" s="115"/>
      <c r="AM1020" s="115"/>
      <c r="AN1020" s="115"/>
      <c r="AO1020" s="115"/>
      <c r="AP1020" s="115"/>
      <c r="AQ1020" s="115"/>
      <c r="AR1020" s="115"/>
      <c r="AS1020" s="115"/>
      <c r="AT1020" s="115"/>
      <c r="AU1020" s="115"/>
      <c r="AV1020" s="115"/>
      <c r="AW1020" s="115"/>
      <c r="AX1020" s="115"/>
      <c r="AY1020" s="115"/>
      <c r="AZ1020" s="26"/>
      <c r="BA1020" s="13"/>
      <c r="BD1020" s="114"/>
    </row>
    <row r="1021" spans="1:56" x14ac:dyDescent="0.4">
      <c r="A1021" s="115"/>
      <c r="B1021" s="115"/>
      <c r="C1021" s="115"/>
      <c r="D1021" s="115"/>
      <c r="E1021" s="115"/>
      <c r="F1021" s="115"/>
      <c r="G1021" s="115"/>
      <c r="H1021" s="115"/>
      <c r="I1021" s="115"/>
      <c r="J1021" s="115"/>
      <c r="K1021" s="115"/>
      <c r="L1021" s="115"/>
      <c r="M1021" s="115"/>
      <c r="N1021" s="115"/>
      <c r="O1021" s="115"/>
      <c r="P1021" s="115"/>
      <c r="Q1021" s="115"/>
      <c r="R1021" s="115"/>
      <c r="S1021" s="115"/>
      <c r="T1021" s="115"/>
      <c r="U1021" s="115"/>
      <c r="V1021" s="115"/>
      <c r="W1021" s="115"/>
      <c r="X1021" s="115"/>
      <c r="Y1021" s="115"/>
      <c r="Z1021" s="115"/>
      <c r="AA1021" s="115"/>
      <c r="AB1021" s="115"/>
      <c r="AC1021" s="115"/>
      <c r="AD1021" s="115"/>
      <c r="AE1021" s="115"/>
      <c r="AF1021" s="115"/>
      <c r="AG1021" s="115"/>
      <c r="AH1021" s="115"/>
      <c r="AI1021" s="122"/>
      <c r="AJ1021" s="122"/>
      <c r="AK1021" s="122"/>
      <c r="AL1021" s="115"/>
      <c r="AM1021" s="115"/>
      <c r="AN1021" s="115"/>
      <c r="AO1021" s="115"/>
      <c r="AP1021" s="115"/>
      <c r="AQ1021" s="115"/>
      <c r="AR1021" s="115"/>
      <c r="AS1021" s="115"/>
      <c r="AT1021" s="115"/>
      <c r="AU1021" s="115"/>
      <c r="AV1021" s="115"/>
      <c r="AW1021" s="115"/>
      <c r="AX1021" s="115"/>
      <c r="AY1021" s="115"/>
      <c r="AZ1021" s="26"/>
      <c r="BA1021" s="13"/>
      <c r="BD1021" s="114"/>
    </row>
    <row r="1022" spans="1:56" x14ac:dyDescent="0.4">
      <c r="A1022" s="115"/>
      <c r="B1022" s="115"/>
      <c r="C1022" s="115"/>
      <c r="D1022" s="115"/>
      <c r="E1022" s="115"/>
      <c r="F1022" s="115"/>
      <c r="G1022" s="115"/>
      <c r="H1022" s="115"/>
      <c r="I1022" s="115"/>
      <c r="J1022" s="115"/>
      <c r="K1022" s="115"/>
      <c r="L1022" s="115"/>
      <c r="M1022" s="115"/>
      <c r="N1022" s="115"/>
      <c r="O1022" s="115"/>
      <c r="P1022" s="115"/>
      <c r="Q1022" s="115"/>
      <c r="R1022" s="115"/>
      <c r="S1022" s="115"/>
      <c r="T1022" s="115"/>
      <c r="U1022" s="115"/>
      <c r="V1022" s="115"/>
      <c r="W1022" s="115"/>
      <c r="X1022" s="115"/>
      <c r="Y1022" s="115"/>
      <c r="Z1022" s="115"/>
      <c r="AA1022" s="115"/>
      <c r="AB1022" s="115"/>
      <c r="AC1022" s="115"/>
      <c r="AD1022" s="115"/>
      <c r="AE1022" s="115"/>
      <c r="AF1022" s="115"/>
      <c r="AG1022" s="115"/>
      <c r="AH1022" s="115"/>
      <c r="AI1022" s="122"/>
      <c r="AJ1022" s="122"/>
      <c r="AK1022" s="122"/>
      <c r="AL1022" s="115"/>
      <c r="AM1022" s="115"/>
      <c r="AN1022" s="115"/>
      <c r="AO1022" s="115"/>
      <c r="AP1022" s="115"/>
      <c r="AQ1022" s="115"/>
      <c r="AR1022" s="115"/>
      <c r="AS1022" s="115"/>
      <c r="AT1022" s="115"/>
      <c r="AU1022" s="115"/>
      <c r="AV1022" s="115"/>
      <c r="AW1022" s="115"/>
      <c r="AX1022" s="115"/>
      <c r="AY1022" s="115"/>
      <c r="AZ1022" s="26"/>
      <c r="BA1022" s="13"/>
      <c r="BD1022" s="114"/>
    </row>
    <row r="1023" spans="1:56" x14ac:dyDescent="0.4">
      <c r="A1023" s="115"/>
      <c r="B1023" s="115"/>
      <c r="C1023" s="115"/>
      <c r="D1023" s="115"/>
      <c r="E1023" s="115"/>
      <c r="F1023" s="115"/>
      <c r="G1023" s="115"/>
      <c r="H1023" s="115"/>
      <c r="I1023" s="115"/>
      <c r="J1023" s="115"/>
      <c r="K1023" s="115"/>
      <c r="L1023" s="115"/>
      <c r="M1023" s="115"/>
      <c r="N1023" s="115"/>
      <c r="O1023" s="115"/>
      <c r="P1023" s="115"/>
      <c r="Q1023" s="115"/>
      <c r="R1023" s="115"/>
      <c r="S1023" s="115"/>
      <c r="T1023" s="115"/>
      <c r="U1023" s="115"/>
      <c r="V1023" s="115"/>
      <c r="W1023" s="115"/>
      <c r="X1023" s="115"/>
      <c r="Y1023" s="115"/>
      <c r="Z1023" s="115"/>
      <c r="AA1023" s="115"/>
      <c r="AB1023" s="115"/>
      <c r="AC1023" s="115"/>
      <c r="AD1023" s="115"/>
      <c r="AE1023" s="115"/>
      <c r="AF1023" s="115"/>
      <c r="AG1023" s="115"/>
      <c r="AH1023" s="115"/>
      <c r="AI1023" s="122"/>
      <c r="AJ1023" s="122"/>
      <c r="AK1023" s="122"/>
      <c r="AL1023" s="115"/>
      <c r="AM1023" s="115"/>
      <c r="AN1023" s="115"/>
      <c r="AO1023" s="115"/>
      <c r="AP1023" s="115"/>
      <c r="AQ1023" s="115"/>
      <c r="AR1023" s="115"/>
      <c r="AS1023" s="115"/>
      <c r="AT1023" s="115"/>
      <c r="AU1023" s="115"/>
      <c r="AV1023" s="115"/>
      <c r="AW1023" s="115"/>
      <c r="AX1023" s="115"/>
      <c r="AY1023" s="115"/>
      <c r="AZ1023" s="26"/>
      <c r="BA1023" s="13"/>
      <c r="BD1023" s="114"/>
    </row>
    <row r="1024" spans="1:56" x14ac:dyDescent="0.4">
      <c r="A1024" s="115"/>
      <c r="B1024" s="115"/>
      <c r="C1024" s="115"/>
      <c r="D1024" s="115"/>
      <c r="E1024" s="115"/>
      <c r="F1024" s="115"/>
      <c r="G1024" s="115"/>
      <c r="H1024" s="115"/>
      <c r="I1024" s="115"/>
      <c r="J1024" s="115"/>
      <c r="K1024" s="115"/>
      <c r="L1024" s="115"/>
      <c r="M1024" s="115"/>
      <c r="N1024" s="115"/>
      <c r="O1024" s="115"/>
      <c r="P1024" s="115"/>
      <c r="Q1024" s="115"/>
      <c r="R1024" s="115"/>
      <c r="S1024" s="115"/>
      <c r="T1024" s="115"/>
      <c r="U1024" s="115"/>
      <c r="V1024" s="115"/>
      <c r="W1024" s="115"/>
      <c r="X1024" s="115"/>
      <c r="Y1024" s="115"/>
      <c r="Z1024" s="115"/>
      <c r="AA1024" s="115"/>
      <c r="AB1024" s="115"/>
      <c r="AC1024" s="115"/>
      <c r="AD1024" s="115"/>
      <c r="AE1024" s="115"/>
      <c r="AF1024" s="115"/>
      <c r="AG1024" s="115"/>
      <c r="AH1024" s="115"/>
      <c r="AI1024" s="122"/>
      <c r="AJ1024" s="122"/>
      <c r="AK1024" s="122"/>
      <c r="AL1024" s="115"/>
      <c r="AM1024" s="115"/>
      <c r="AN1024" s="115"/>
      <c r="AO1024" s="115"/>
      <c r="AP1024" s="115"/>
      <c r="AQ1024" s="115"/>
      <c r="AR1024" s="115"/>
      <c r="AS1024" s="115"/>
      <c r="AT1024" s="115"/>
      <c r="AU1024" s="115"/>
      <c r="AV1024" s="115"/>
      <c r="AW1024" s="115"/>
      <c r="AX1024" s="115"/>
      <c r="AY1024" s="115"/>
      <c r="AZ1024" s="26"/>
      <c r="BA1024" s="13"/>
      <c r="BD1024" s="114"/>
    </row>
    <row r="1025" spans="1:57" x14ac:dyDescent="0.4">
      <c r="A1025" s="115"/>
      <c r="B1025" s="115"/>
      <c r="C1025" s="115"/>
      <c r="D1025" s="115"/>
      <c r="E1025" s="115"/>
      <c r="F1025" s="115"/>
      <c r="G1025" s="115"/>
      <c r="H1025" s="115"/>
      <c r="I1025" s="115"/>
      <c r="J1025" s="115"/>
      <c r="K1025" s="115"/>
      <c r="L1025" s="115"/>
      <c r="M1025" s="115"/>
      <c r="N1025" s="115"/>
      <c r="O1025" s="115"/>
      <c r="P1025" s="115"/>
      <c r="Q1025" s="115"/>
      <c r="R1025" s="115"/>
      <c r="S1025" s="115"/>
      <c r="T1025" s="115"/>
      <c r="U1025" s="115"/>
      <c r="V1025" s="115"/>
      <c r="W1025" s="115"/>
      <c r="X1025" s="115"/>
      <c r="Y1025" s="115"/>
      <c r="Z1025" s="115"/>
      <c r="AA1025" s="115"/>
      <c r="AB1025" s="115"/>
      <c r="AC1025" s="115"/>
      <c r="AD1025" s="115"/>
      <c r="AE1025" s="115"/>
      <c r="AF1025" s="115"/>
      <c r="AG1025" s="115"/>
      <c r="AH1025" s="115"/>
      <c r="AI1025" s="122"/>
      <c r="AJ1025" s="122"/>
      <c r="AK1025" s="122"/>
      <c r="AL1025" s="115"/>
      <c r="AM1025" s="115"/>
      <c r="AN1025" s="115"/>
      <c r="AO1025" s="115"/>
      <c r="AP1025" s="115"/>
      <c r="AQ1025" s="115"/>
      <c r="AR1025" s="115"/>
      <c r="AS1025" s="115"/>
      <c r="AT1025" s="115"/>
      <c r="AU1025" s="115"/>
      <c r="AV1025" s="115"/>
      <c r="AW1025" s="115"/>
      <c r="AX1025" s="115"/>
      <c r="AY1025" s="115"/>
      <c r="AZ1025" s="26"/>
      <c r="BA1025" s="13"/>
      <c r="BD1025" s="114"/>
    </row>
    <row r="1026" spans="1:57" x14ac:dyDescent="0.4">
      <c r="A1026" s="115"/>
      <c r="B1026" s="115"/>
      <c r="C1026" s="115"/>
      <c r="D1026" s="115"/>
      <c r="E1026" s="115"/>
      <c r="F1026" s="115"/>
      <c r="G1026" s="115"/>
      <c r="H1026" s="115"/>
      <c r="I1026" s="115"/>
      <c r="J1026" s="115"/>
      <c r="K1026" s="115"/>
      <c r="L1026" s="115"/>
      <c r="M1026" s="115"/>
      <c r="N1026" s="115"/>
      <c r="O1026" s="115"/>
      <c r="P1026" s="115"/>
      <c r="Q1026" s="115"/>
      <c r="R1026" s="115"/>
      <c r="S1026" s="115"/>
      <c r="T1026" s="115"/>
      <c r="U1026" s="115"/>
      <c r="V1026" s="115"/>
      <c r="W1026" s="115"/>
      <c r="X1026" s="115"/>
      <c r="Y1026" s="115"/>
      <c r="Z1026" s="115"/>
      <c r="AA1026" s="115"/>
      <c r="AB1026" s="115"/>
      <c r="AC1026" s="115"/>
      <c r="AD1026" s="115"/>
      <c r="AE1026" s="115"/>
      <c r="AF1026" s="115"/>
      <c r="AG1026" s="115"/>
      <c r="AH1026" s="115"/>
      <c r="AI1026" s="122"/>
      <c r="AJ1026" s="122"/>
      <c r="AK1026" s="122"/>
      <c r="AL1026" s="115"/>
      <c r="AM1026" s="115"/>
      <c r="AN1026" s="115"/>
      <c r="AO1026" s="115"/>
      <c r="AP1026" s="115"/>
      <c r="AQ1026" s="115"/>
      <c r="AR1026" s="115"/>
      <c r="AS1026" s="115"/>
      <c r="AT1026" s="115"/>
      <c r="AU1026" s="115"/>
      <c r="AV1026" s="115"/>
      <c r="AW1026" s="115"/>
      <c r="AX1026" s="115"/>
      <c r="AY1026" s="115"/>
      <c r="AZ1026" s="26"/>
      <c r="BA1026" s="13"/>
      <c r="BD1026" s="114"/>
    </row>
    <row r="1027" spans="1:57" x14ac:dyDescent="0.4">
      <c r="A1027" s="115"/>
      <c r="B1027" s="115"/>
      <c r="C1027" s="115"/>
      <c r="D1027" s="115"/>
      <c r="E1027" s="115"/>
      <c r="F1027" s="115"/>
      <c r="G1027" s="115"/>
      <c r="H1027" s="115"/>
      <c r="I1027" s="115"/>
      <c r="J1027" s="115"/>
      <c r="K1027" s="115"/>
      <c r="L1027" s="115"/>
      <c r="M1027" s="115"/>
      <c r="N1027" s="115"/>
      <c r="O1027" s="115"/>
      <c r="P1027" s="115"/>
      <c r="Q1027" s="115"/>
      <c r="R1027" s="115"/>
      <c r="S1027" s="115"/>
      <c r="T1027" s="115"/>
      <c r="U1027" s="115"/>
      <c r="V1027" s="115"/>
      <c r="W1027" s="115"/>
      <c r="X1027" s="115"/>
      <c r="Y1027" s="115"/>
      <c r="Z1027" s="115"/>
      <c r="AA1027" s="115"/>
      <c r="AB1027" s="115"/>
      <c r="AC1027" s="115"/>
      <c r="AD1027" s="115"/>
      <c r="AE1027" s="115"/>
      <c r="AF1027" s="115"/>
      <c r="AG1027" s="115"/>
      <c r="AH1027" s="115"/>
      <c r="AI1027" s="122"/>
      <c r="AJ1027" s="122"/>
      <c r="AK1027" s="122"/>
      <c r="AL1027" s="115"/>
      <c r="AM1027" s="115"/>
      <c r="AN1027" s="115"/>
      <c r="AO1027" s="115"/>
      <c r="AP1027" s="115"/>
      <c r="AQ1027" s="115"/>
      <c r="AR1027" s="115"/>
      <c r="AS1027" s="115"/>
      <c r="AT1027" s="115"/>
      <c r="AU1027" s="115"/>
      <c r="AV1027" s="115"/>
      <c r="AW1027" s="115"/>
      <c r="AX1027" s="115"/>
      <c r="AY1027" s="115"/>
      <c r="AZ1027" s="26"/>
      <c r="BA1027" s="13"/>
      <c r="BD1027" s="114"/>
    </row>
    <row r="1028" spans="1:57" x14ac:dyDescent="0.4">
      <c r="A1028" s="115"/>
      <c r="B1028" s="115"/>
      <c r="C1028" s="115"/>
      <c r="D1028" s="115"/>
      <c r="E1028" s="115"/>
      <c r="F1028" s="115"/>
      <c r="G1028" s="115"/>
      <c r="H1028" s="115"/>
      <c r="I1028" s="115"/>
      <c r="J1028" s="115"/>
      <c r="K1028" s="115"/>
      <c r="L1028" s="115"/>
      <c r="M1028" s="115"/>
      <c r="N1028" s="115"/>
      <c r="O1028" s="115"/>
      <c r="P1028" s="115"/>
      <c r="Q1028" s="115"/>
      <c r="R1028" s="115"/>
      <c r="S1028" s="115"/>
      <c r="T1028" s="115"/>
      <c r="U1028" s="115"/>
      <c r="V1028" s="115"/>
      <c r="W1028" s="115"/>
      <c r="X1028" s="115"/>
      <c r="Y1028" s="115"/>
      <c r="Z1028" s="115"/>
      <c r="AA1028" s="115"/>
      <c r="AB1028" s="115"/>
      <c r="AC1028" s="115"/>
      <c r="AD1028" s="115"/>
      <c r="AE1028" s="115"/>
      <c r="AF1028" s="115"/>
      <c r="AG1028" s="115"/>
      <c r="AH1028" s="115"/>
      <c r="AI1028" s="122"/>
      <c r="AJ1028" s="122"/>
      <c r="AK1028" s="122"/>
      <c r="AL1028" s="115"/>
      <c r="AM1028" s="115"/>
      <c r="AN1028" s="115"/>
      <c r="AO1028" s="115"/>
      <c r="AP1028" s="115"/>
      <c r="AQ1028" s="115"/>
      <c r="AR1028" s="115"/>
      <c r="AS1028" s="115"/>
      <c r="AT1028" s="115"/>
      <c r="AU1028" s="115"/>
      <c r="AV1028" s="115"/>
      <c r="AW1028" s="115"/>
      <c r="AX1028" s="115"/>
      <c r="AY1028" s="115"/>
      <c r="AZ1028" s="17"/>
      <c r="BA1028" s="13"/>
      <c r="BD1028" s="114"/>
    </row>
    <row r="1029" spans="1:57" x14ac:dyDescent="0.4">
      <c r="A1029" s="115"/>
      <c r="B1029" s="115"/>
      <c r="C1029" s="115"/>
      <c r="D1029" s="115"/>
      <c r="E1029" s="115"/>
      <c r="F1029" s="115"/>
      <c r="G1029" s="115"/>
      <c r="H1029" s="115"/>
      <c r="I1029" s="115"/>
      <c r="J1029" s="115"/>
      <c r="K1029" s="115"/>
      <c r="L1029" s="115"/>
      <c r="M1029" s="115"/>
      <c r="N1029" s="115"/>
      <c r="O1029" s="115"/>
      <c r="P1029" s="115"/>
      <c r="Q1029" s="115"/>
      <c r="R1029" s="115"/>
      <c r="S1029" s="115"/>
      <c r="T1029" s="115"/>
      <c r="U1029" s="115"/>
      <c r="V1029" s="115"/>
      <c r="W1029" s="115"/>
      <c r="X1029" s="115"/>
      <c r="Y1029" s="115"/>
      <c r="Z1029" s="115"/>
      <c r="AA1029" s="115"/>
      <c r="AB1029" s="115"/>
      <c r="AC1029" s="115"/>
      <c r="AD1029" s="115"/>
      <c r="AE1029" s="115"/>
      <c r="AF1029" s="115"/>
      <c r="AG1029" s="115"/>
      <c r="AH1029" s="115"/>
      <c r="AI1029" s="122"/>
      <c r="AJ1029" s="122"/>
      <c r="AK1029" s="122"/>
      <c r="AL1029" s="115"/>
      <c r="AM1029" s="115"/>
      <c r="AN1029" s="115"/>
      <c r="AO1029" s="115"/>
      <c r="AP1029" s="115"/>
      <c r="AQ1029" s="115"/>
      <c r="AR1029" s="115"/>
      <c r="AS1029" s="115"/>
      <c r="AT1029" s="115"/>
      <c r="AU1029" s="115"/>
      <c r="AV1029" s="115"/>
      <c r="AW1029" s="115"/>
      <c r="AX1029" s="115"/>
      <c r="AY1029" s="115"/>
      <c r="AZ1029" s="26"/>
      <c r="BA1029" s="13"/>
      <c r="BD1029" s="114"/>
    </row>
    <row r="1030" spans="1:57" x14ac:dyDescent="0.4">
      <c r="A1030" s="115"/>
      <c r="B1030" s="115"/>
      <c r="C1030" s="115"/>
      <c r="D1030" s="115"/>
      <c r="E1030" s="115"/>
      <c r="F1030" s="115"/>
      <c r="G1030" s="115"/>
      <c r="H1030" s="115"/>
      <c r="I1030" s="115"/>
      <c r="J1030" s="115"/>
      <c r="K1030" s="115"/>
      <c r="L1030" s="115"/>
      <c r="M1030" s="115"/>
      <c r="N1030" s="115"/>
      <c r="O1030" s="115"/>
      <c r="P1030" s="115"/>
      <c r="Q1030" s="115"/>
      <c r="R1030" s="115"/>
      <c r="S1030" s="115"/>
      <c r="T1030" s="115"/>
      <c r="U1030" s="115"/>
      <c r="V1030" s="115"/>
      <c r="W1030" s="115"/>
      <c r="X1030" s="115"/>
      <c r="Y1030" s="115"/>
      <c r="Z1030" s="115"/>
      <c r="AA1030" s="115"/>
      <c r="AB1030" s="115"/>
      <c r="AC1030" s="115"/>
      <c r="AD1030" s="115"/>
      <c r="AE1030" s="115"/>
      <c r="AF1030" s="115"/>
      <c r="AG1030" s="115"/>
      <c r="AH1030" s="115"/>
      <c r="AI1030" s="122"/>
      <c r="AJ1030" s="122"/>
      <c r="AK1030" s="122"/>
      <c r="AL1030" s="115"/>
      <c r="AM1030" s="115"/>
      <c r="AN1030" s="115"/>
      <c r="AO1030" s="115"/>
      <c r="AP1030" s="115"/>
      <c r="AQ1030" s="115"/>
      <c r="AR1030" s="115"/>
      <c r="AS1030" s="115"/>
      <c r="AT1030" s="115"/>
      <c r="AU1030" s="115"/>
      <c r="AV1030" s="115"/>
      <c r="AW1030" s="115"/>
      <c r="AX1030" s="115"/>
      <c r="AY1030" s="115"/>
      <c r="AZ1030" s="17"/>
      <c r="BA1030" s="13"/>
      <c r="BD1030" s="114"/>
    </row>
    <row r="1031" spans="1:57" x14ac:dyDescent="0.4">
      <c r="A1031" s="115"/>
      <c r="B1031" s="115"/>
      <c r="C1031" s="115"/>
      <c r="D1031" s="115"/>
      <c r="E1031" s="115"/>
      <c r="F1031" s="115"/>
      <c r="G1031" s="115"/>
      <c r="H1031" s="115"/>
      <c r="I1031" s="115"/>
      <c r="J1031" s="115"/>
      <c r="K1031" s="115"/>
      <c r="L1031" s="115"/>
      <c r="M1031" s="115"/>
      <c r="N1031" s="115"/>
      <c r="O1031" s="115"/>
      <c r="P1031" s="115"/>
      <c r="Q1031" s="115"/>
      <c r="R1031" s="115"/>
      <c r="S1031" s="115"/>
      <c r="T1031" s="115"/>
      <c r="U1031" s="115"/>
      <c r="V1031" s="115"/>
      <c r="W1031" s="115"/>
      <c r="X1031" s="115"/>
      <c r="Y1031" s="115"/>
      <c r="Z1031" s="115"/>
      <c r="AA1031" s="115"/>
      <c r="AB1031" s="115"/>
      <c r="AC1031" s="115"/>
      <c r="AD1031" s="115"/>
      <c r="AE1031" s="115"/>
      <c r="AF1031" s="115"/>
      <c r="AG1031" s="115"/>
      <c r="AH1031" s="115"/>
      <c r="AI1031" s="122"/>
      <c r="AJ1031" s="122"/>
      <c r="AK1031" s="122"/>
      <c r="AL1031" s="115"/>
      <c r="AM1031" s="115"/>
      <c r="AN1031" s="115"/>
      <c r="AO1031" s="115"/>
      <c r="AP1031" s="115"/>
      <c r="AQ1031" s="115"/>
      <c r="AR1031" s="115"/>
      <c r="AS1031" s="115"/>
      <c r="AT1031" s="115"/>
      <c r="AU1031" s="115"/>
      <c r="AV1031" s="115"/>
      <c r="AW1031" s="115"/>
      <c r="AX1031" s="115"/>
      <c r="AY1031" s="115"/>
      <c r="AZ1031" s="26"/>
      <c r="BA1031" s="13"/>
      <c r="BD1031" s="114"/>
    </row>
    <row r="1032" spans="1:57" x14ac:dyDescent="0.4">
      <c r="A1032" s="115"/>
      <c r="B1032" s="115"/>
      <c r="C1032" s="115"/>
      <c r="D1032" s="115"/>
      <c r="E1032" s="115"/>
      <c r="F1032" s="115"/>
      <c r="G1032" s="115"/>
      <c r="H1032" s="115"/>
      <c r="I1032" s="115"/>
      <c r="J1032" s="115"/>
      <c r="K1032" s="115"/>
      <c r="L1032" s="115"/>
      <c r="M1032" s="115"/>
      <c r="N1032" s="115"/>
      <c r="O1032" s="115"/>
      <c r="P1032" s="115"/>
      <c r="Q1032" s="115"/>
      <c r="R1032" s="115"/>
      <c r="S1032" s="115"/>
      <c r="T1032" s="115"/>
      <c r="U1032" s="115"/>
      <c r="V1032" s="115"/>
      <c r="W1032" s="115"/>
      <c r="X1032" s="115"/>
      <c r="Y1032" s="115"/>
      <c r="Z1032" s="115"/>
      <c r="AA1032" s="115"/>
      <c r="AB1032" s="115"/>
      <c r="AC1032" s="115"/>
      <c r="AD1032" s="115"/>
      <c r="AE1032" s="115"/>
      <c r="AF1032" s="115"/>
      <c r="AG1032" s="115"/>
      <c r="AH1032" s="115"/>
      <c r="AI1032" s="122"/>
      <c r="AJ1032" s="122"/>
      <c r="AK1032" s="122"/>
      <c r="AL1032" s="115"/>
      <c r="AM1032" s="115"/>
      <c r="AN1032" s="115"/>
      <c r="AO1032" s="115"/>
      <c r="AP1032" s="115"/>
      <c r="AQ1032" s="115"/>
      <c r="AR1032" s="115"/>
      <c r="AS1032" s="115"/>
      <c r="AT1032" s="115"/>
      <c r="AU1032" s="115"/>
      <c r="AV1032" s="115"/>
      <c r="AW1032" s="115"/>
      <c r="AX1032" s="115"/>
      <c r="AY1032" s="115"/>
      <c r="AZ1032" s="26"/>
      <c r="BA1032" s="13"/>
      <c r="BD1032" s="114"/>
    </row>
    <row r="1033" spans="1:57" x14ac:dyDescent="0.4">
      <c r="A1033" s="115"/>
      <c r="B1033" s="115"/>
      <c r="C1033" s="115"/>
      <c r="D1033" s="115"/>
      <c r="E1033" s="115"/>
      <c r="F1033" s="115"/>
      <c r="G1033" s="115"/>
      <c r="H1033" s="115"/>
      <c r="I1033" s="115"/>
      <c r="J1033" s="115"/>
      <c r="K1033" s="115"/>
      <c r="L1033" s="115"/>
      <c r="M1033" s="115"/>
      <c r="N1033" s="115"/>
      <c r="O1033" s="115"/>
      <c r="P1033" s="115"/>
      <c r="Q1033" s="115"/>
      <c r="R1033" s="115"/>
      <c r="S1033" s="115"/>
      <c r="T1033" s="115"/>
      <c r="U1033" s="115"/>
      <c r="V1033" s="115"/>
      <c r="W1033" s="115"/>
      <c r="X1033" s="115"/>
      <c r="Y1033" s="115"/>
      <c r="Z1033" s="115"/>
      <c r="AA1033" s="115"/>
      <c r="AB1033" s="115"/>
      <c r="AC1033" s="115"/>
      <c r="AD1033" s="115"/>
      <c r="AE1033" s="115"/>
      <c r="AF1033" s="115"/>
      <c r="AG1033" s="115"/>
      <c r="AH1033" s="115"/>
      <c r="AI1033" s="122"/>
      <c r="AJ1033" s="122"/>
      <c r="AK1033" s="122"/>
      <c r="AL1033" s="115"/>
      <c r="AM1033" s="115"/>
      <c r="AN1033" s="115"/>
      <c r="AO1033" s="115"/>
      <c r="AP1033" s="115"/>
      <c r="AQ1033" s="115"/>
      <c r="AR1033" s="115"/>
      <c r="AS1033" s="115"/>
      <c r="AT1033" s="115"/>
      <c r="AU1033" s="115"/>
      <c r="AV1033" s="115"/>
      <c r="AW1033" s="115"/>
      <c r="AX1033" s="115"/>
      <c r="AY1033" s="115"/>
      <c r="AZ1033" s="26"/>
      <c r="BA1033" s="13"/>
      <c r="BD1033" s="114"/>
    </row>
    <row r="1034" spans="1:57" x14ac:dyDescent="0.4">
      <c r="A1034" s="115"/>
      <c r="B1034" s="115"/>
      <c r="C1034" s="115"/>
      <c r="D1034" s="115"/>
      <c r="E1034" s="115"/>
      <c r="F1034" s="115"/>
      <c r="G1034" s="115"/>
      <c r="H1034" s="115"/>
      <c r="I1034" s="115"/>
      <c r="J1034" s="115"/>
      <c r="K1034" s="115"/>
      <c r="L1034" s="115"/>
      <c r="M1034" s="115"/>
      <c r="N1034" s="115"/>
      <c r="O1034" s="115"/>
      <c r="P1034" s="115"/>
      <c r="Q1034" s="115"/>
      <c r="R1034" s="115"/>
      <c r="S1034" s="115"/>
      <c r="T1034" s="115"/>
      <c r="U1034" s="115"/>
      <c r="V1034" s="115"/>
      <c r="W1034" s="115"/>
      <c r="X1034" s="115"/>
      <c r="Y1034" s="115"/>
      <c r="Z1034" s="115"/>
      <c r="AA1034" s="115"/>
      <c r="AB1034" s="115"/>
      <c r="AC1034" s="115"/>
      <c r="AD1034" s="115"/>
      <c r="AE1034" s="115"/>
      <c r="AF1034" s="115"/>
      <c r="AG1034" s="115"/>
      <c r="AH1034" s="115"/>
      <c r="AI1034" s="122"/>
      <c r="AJ1034" s="122"/>
      <c r="AK1034" s="122"/>
      <c r="AL1034" s="115"/>
      <c r="AM1034" s="115"/>
      <c r="AN1034" s="115"/>
      <c r="AO1034" s="115"/>
      <c r="AP1034" s="115"/>
      <c r="AQ1034" s="115"/>
      <c r="AR1034" s="115"/>
      <c r="AS1034" s="115"/>
      <c r="AT1034" s="115"/>
      <c r="AU1034" s="115"/>
      <c r="AV1034" s="115"/>
      <c r="AW1034" s="115"/>
      <c r="AX1034" s="115"/>
      <c r="AY1034" s="115"/>
      <c r="AZ1034" s="26"/>
      <c r="BA1034" s="15"/>
      <c r="BD1034" s="114"/>
    </row>
    <row r="1035" spans="1:57" x14ac:dyDescent="0.4">
      <c r="A1035" s="115"/>
      <c r="B1035" s="115"/>
      <c r="C1035" s="115"/>
      <c r="D1035" s="115"/>
      <c r="E1035" s="115"/>
      <c r="F1035" s="115"/>
      <c r="G1035" s="115"/>
      <c r="H1035" s="115"/>
      <c r="I1035" s="115"/>
      <c r="J1035" s="115"/>
      <c r="K1035" s="115"/>
      <c r="L1035" s="115"/>
      <c r="M1035" s="115"/>
      <c r="N1035" s="115"/>
      <c r="O1035" s="115"/>
      <c r="P1035" s="115"/>
      <c r="Q1035" s="115"/>
      <c r="R1035" s="115"/>
      <c r="S1035" s="115"/>
      <c r="T1035" s="115"/>
      <c r="U1035" s="115"/>
      <c r="V1035" s="115"/>
      <c r="W1035" s="115"/>
      <c r="X1035" s="115"/>
      <c r="Y1035" s="115"/>
      <c r="Z1035" s="115"/>
      <c r="AA1035" s="115"/>
      <c r="AB1035" s="115"/>
      <c r="AC1035" s="115"/>
      <c r="AD1035" s="115"/>
      <c r="AE1035" s="115"/>
      <c r="AF1035" s="115"/>
      <c r="AG1035" s="115"/>
      <c r="AH1035" s="115"/>
      <c r="AI1035" s="122"/>
      <c r="AJ1035" s="122"/>
      <c r="AK1035" s="122"/>
      <c r="AL1035" s="115"/>
      <c r="AM1035" s="115"/>
      <c r="AN1035" s="115"/>
      <c r="AO1035" s="115"/>
      <c r="AP1035" s="115"/>
      <c r="AQ1035" s="115"/>
      <c r="AR1035" s="115"/>
      <c r="AS1035" s="115"/>
      <c r="AT1035" s="115"/>
      <c r="AU1035" s="115"/>
      <c r="AV1035" s="115"/>
      <c r="AW1035" s="115"/>
      <c r="AX1035" s="115"/>
      <c r="AY1035" s="115"/>
      <c r="AZ1035" s="26"/>
      <c r="BA1035" s="15"/>
      <c r="BD1035" s="114"/>
    </row>
    <row r="1036" spans="1:57" x14ac:dyDescent="0.4">
      <c r="A1036" s="115"/>
      <c r="B1036" s="115"/>
      <c r="C1036" s="115"/>
      <c r="D1036" s="115"/>
      <c r="E1036" s="115"/>
      <c r="F1036" s="115"/>
      <c r="G1036" s="115"/>
      <c r="H1036" s="115"/>
      <c r="I1036" s="115"/>
      <c r="J1036" s="115"/>
      <c r="K1036" s="115"/>
      <c r="L1036" s="115"/>
      <c r="M1036" s="115"/>
      <c r="N1036" s="115"/>
      <c r="O1036" s="115"/>
      <c r="P1036" s="115"/>
      <c r="Q1036" s="115"/>
      <c r="R1036" s="115"/>
      <c r="S1036" s="115"/>
      <c r="T1036" s="115"/>
      <c r="U1036" s="115"/>
      <c r="V1036" s="115"/>
      <c r="W1036" s="115"/>
      <c r="X1036" s="115"/>
      <c r="Y1036" s="115"/>
      <c r="Z1036" s="115"/>
      <c r="AA1036" s="115"/>
      <c r="AB1036" s="115"/>
      <c r="AC1036" s="115"/>
      <c r="AD1036" s="115"/>
      <c r="AE1036" s="115"/>
      <c r="AF1036" s="115"/>
      <c r="AG1036" s="115"/>
      <c r="AH1036" s="115"/>
      <c r="AI1036" s="122"/>
      <c r="AJ1036" s="122"/>
      <c r="AK1036" s="122"/>
      <c r="AL1036" s="115"/>
      <c r="AM1036" s="115"/>
      <c r="AN1036" s="115"/>
      <c r="AO1036" s="115"/>
      <c r="AP1036" s="115"/>
      <c r="AQ1036" s="115"/>
      <c r="AR1036" s="115"/>
      <c r="AS1036" s="115"/>
      <c r="AT1036" s="115"/>
      <c r="AU1036" s="115"/>
      <c r="AV1036" s="115"/>
      <c r="AW1036" s="115"/>
      <c r="AX1036" s="115"/>
      <c r="AY1036" s="115"/>
      <c r="AZ1036" s="26"/>
      <c r="BA1036" s="15"/>
      <c r="BD1036" s="114"/>
    </row>
    <row r="1037" spans="1:57" x14ac:dyDescent="0.4">
      <c r="A1037" s="115"/>
      <c r="B1037" s="115"/>
      <c r="C1037" s="115"/>
      <c r="D1037" s="115"/>
      <c r="E1037" s="115"/>
      <c r="F1037" s="115"/>
      <c r="G1037" s="115"/>
      <c r="H1037" s="115"/>
      <c r="I1037" s="115"/>
      <c r="J1037" s="115"/>
      <c r="K1037" s="115"/>
      <c r="L1037" s="115"/>
      <c r="M1037" s="115"/>
      <c r="N1037" s="115"/>
      <c r="O1037" s="115"/>
      <c r="P1037" s="115"/>
      <c r="Q1037" s="115"/>
      <c r="R1037" s="115"/>
      <c r="S1037" s="115"/>
      <c r="T1037" s="115"/>
      <c r="U1037" s="115"/>
      <c r="V1037" s="115"/>
      <c r="W1037" s="115"/>
      <c r="X1037" s="115"/>
      <c r="Y1037" s="115"/>
      <c r="Z1037" s="115"/>
      <c r="AA1037" s="115"/>
      <c r="AB1037" s="115"/>
      <c r="AC1037" s="115"/>
      <c r="AD1037" s="115"/>
      <c r="AE1037" s="115"/>
      <c r="AF1037" s="115"/>
      <c r="AG1037" s="115"/>
      <c r="AH1037" s="115"/>
      <c r="AI1037" s="122"/>
      <c r="AJ1037" s="122"/>
      <c r="AK1037" s="122"/>
      <c r="AL1037" s="115"/>
      <c r="AM1037" s="115"/>
      <c r="AN1037" s="115"/>
      <c r="AO1037" s="115"/>
      <c r="AP1037" s="115"/>
      <c r="AQ1037" s="115"/>
      <c r="AR1037" s="115"/>
      <c r="AS1037" s="115"/>
      <c r="AT1037" s="115"/>
      <c r="AU1037" s="115"/>
      <c r="AV1037" s="115"/>
      <c r="AW1037" s="115"/>
      <c r="AX1037" s="115"/>
      <c r="AY1037" s="115"/>
      <c r="AZ1037" s="26"/>
      <c r="BA1037" s="13"/>
      <c r="BD1037" s="114"/>
    </row>
    <row r="1038" spans="1:57" x14ac:dyDescent="0.4">
      <c r="A1038" s="115"/>
      <c r="B1038" s="115"/>
      <c r="C1038" s="115"/>
      <c r="D1038" s="115"/>
      <c r="E1038" s="115"/>
      <c r="F1038" s="115"/>
      <c r="G1038" s="115"/>
      <c r="H1038" s="115"/>
      <c r="I1038" s="115"/>
      <c r="J1038" s="115"/>
      <c r="K1038" s="115"/>
      <c r="L1038" s="115"/>
      <c r="M1038" s="115"/>
      <c r="N1038" s="115"/>
      <c r="O1038" s="115"/>
      <c r="P1038" s="115"/>
      <c r="Q1038" s="115"/>
      <c r="R1038" s="115"/>
      <c r="S1038" s="115"/>
      <c r="T1038" s="115"/>
      <c r="U1038" s="115"/>
      <c r="V1038" s="115"/>
      <c r="W1038" s="115"/>
      <c r="X1038" s="115"/>
      <c r="Y1038" s="115"/>
      <c r="Z1038" s="115"/>
      <c r="AA1038" s="115"/>
      <c r="AB1038" s="115"/>
      <c r="AC1038" s="115"/>
      <c r="AD1038" s="115"/>
      <c r="AE1038" s="115"/>
      <c r="AF1038" s="115"/>
      <c r="AG1038" s="115"/>
      <c r="AH1038" s="115"/>
      <c r="AI1038" s="122"/>
      <c r="AJ1038" s="122"/>
      <c r="AK1038" s="122"/>
      <c r="AL1038" s="115"/>
      <c r="AM1038" s="115"/>
      <c r="AN1038" s="115"/>
      <c r="AO1038" s="115"/>
      <c r="AP1038" s="115"/>
      <c r="AQ1038" s="115"/>
      <c r="AR1038" s="115"/>
      <c r="AS1038" s="115"/>
      <c r="AT1038" s="115"/>
      <c r="AU1038" s="115"/>
      <c r="AV1038" s="115"/>
      <c r="AW1038" s="115"/>
      <c r="AX1038" s="115"/>
      <c r="AY1038" s="115"/>
      <c r="AZ1038" s="26"/>
      <c r="BA1038" s="15"/>
      <c r="BD1038" s="114"/>
    </row>
    <row r="1039" spans="1:57" x14ac:dyDescent="0.4">
      <c r="A1039" s="115"/>
      <c r="B1039" s="115"/>
      <c r="C1039" s="115"/>
      <c r="D1039" s="115"/>
      <c r="E1039" s="115"/>
      <c r="F1039" s="115"/>
      <c r="G1039" s="115"/>
      <c r="H1039" s="115"/>
      <c r="I1039" s="115"/>
      <c r="J1039" s="115"/>
      <c r="K1039" s="115"/>
      <c r="L1039" s="115"/>
      <c r="M1039" s="115"/>
      <c r="N1039" s="115"/>
      <c r="O1039" s="115"/>
      <c r="P1039" s="115"/>
      <c r="Q1039" s="115"/>
      <c r="R1039" s="115"/>
      <c r="S1039" s="115"/>
      <c r="T1039" s="115"/>
      <c r="U1039" s="115"/>
      <c r="V1039" s="115"/>
      <c r="W1039" s="115"/>
      <c r="X1039" s="115"/>
      <c r="Y1039" s="115"/>
      <c r="Z1039" s="115"/>
      <c r="AA1039" s="115"/>
      <c r="AB1039" s="115"/>
      <c r="AC1039" s="115"/>
      <c r="AD1039" s="115"/>
      <c r="AE1039" s="115"/>
      <c r="AF1039" s="115"/>
      <c r="AG1039" s="115"/>
      <c r="AH1039" s="115"/>
      <c r="AI1039" s="122"/>
      <c r="AJ1039" s="122"/>
      <c r="AK1039" s="122"/>
      <c r="AL1039" s="115"/>
      <c r="AM1039" s="115"/>
      <c r="AN1039" s="115"/>
      <c r="AO1039" s="115"/>
      <c r="AP1039" s="115"/>
      <c r="AQ1039" s="115"/>
      <c r="AR1039" s="115"/>
      <c r="AS1039" s="115"/>
      <c r="AT1039" s="115"/>
      <c r="AU1039" s="115"/>
      <c r="AV1039" s="115"/>
      <c r="AW1039" s="115"/>
      <c r="AX1039" s="115"/>
      <c r="AY1039" s="115"/>
      <c r="AZ1039" s="26"/>
      <c r="BA1039" s="15"/>
      <c r="BD1039" s="114"/>
      <c r="BE1039" s="120"/>
    </row>
    <row r="1040" spans="1:57" x14ac:dyDescent="0.4">
      <c r="A1040" s="115"/>
      <c r="B1040" s="115"/>
      <c r="C1040" s="115"/>
      <c r="D1040" s="115"/>
      <c r="E1040" s="115"/>
      <c r="F1040" s="115"/>
      <c r="G1040" s="115"/>
      <c r="H1040" s="115"/>
      <c r="I1040" s="115"/>
      <c r="J1040" s="115"/>
      <c r="K1040" s="115"/>
      <c r="L1040" s="115"/>
      <c r="M1040" s="115"/>
      <c r="N1040" s="115"/>
      <c r="O1040" s="115"/>
      <c r="P1040" s="115"/>
      <c r="Q1040" s="115"/>
      <c r="R1040" s="115"/>
      <c r="S1040" s="115"/>
      <c r="T1040" s="115"/>
      <c r="U1040" s="115"/>
      <c r="V1040" s="115"/>
      <c r="W1040" s="115"/>
      <c r="X1040" s="115"/>
      <c r="Y1040" s="115"/>
      <c r="Z1040" s="115"/>
      <c r="AA1040" s="115"/>
      <c r="AB1040" s="115"/>
      <c r="AC1040" s="115"/>
      <c r="AD1040" s="115"/>
      <c r="AE1040" s="115"/>
      <c r="AF1040" s="115"/>
      <c r="AG1040" s="115"/>
      <c r="AH1040" s="115"/>
      <c r="AI1040" s="122"/>
      <c r="AJ1040" s="122"/>
      <c r="AK1040" s="122"/>
      <c r="AL1040" s="115"/>
      <c r="AM1040" s="115"/>
      <c r="AN1040" s="115"/>
      <c r="AO1040" s="115"/>
      <c r="AP1040" s="115"/>
      <c r="AQ1040" s="115"/>
      <c r="AR1040" s="115"/>
      <c r="AS1040" s="115"/>
      <c r="AT1040" s="115"/>
      <c r="AU1040" s="115"/>
      <c r="AV1040" s="115"/>
      <c r="AW1040" s="115"/>
      <c r="AX1040" s="115"/>
      <c r="AY1040" s="115"/>
      <c r="AZ1040" s="26"/>
      <c r="BA1040" s="15"/>
      <c r="BD1040" s="114"/>
      <c r="BE1040" s="120"/>
    </row>
    <row r="1041" spans="1:57" x14ac:dyDescent="0.4">
      <c r="A1041" s="115"/>
      <c r="B1041" s="115"/>
      <c r="C1041" s="115"/>
      <c r="D1041" s="115"/>
      <c r="E1041" s="115"/>
      <c r="F1041" s="115"/>
      <c r="G1041" s="115"/>
      <c r="H1041" s="115"/>
      <c r="I1041" s="115"/>
      <c r="J1041" s="115"/>
      <c r="K1041" s="115"/>
      <c r="L1041" s="115"/>
      <c r="M1041" s="115"/>
      <c r="N1041" s="115"/>
      <c r="O1041" s="115"/>
      <c r="P1041" s="115"/>
      <c r="Q1041" s="115"/>
      <c r="R1041" s="115"/>
      <c r="S1041" s="115"/>
      <c r="T1041" s="115"/>
      <c r="U1041" s="115"/>
      <c r="V1041" s="115"/>
      <c r="W1041" s="115"/>
      <c r="X1041" s="115"/>
      <c r="Y1041" s="115"/>
      <c r="Z1041" s="115"/>
      <c r="AA1041" s="115"/>
      <c r="AB1041" s="115"/>
      <c r="AC1041" s="115"/>
      <c r="AD1041" s="115"/>
      <c r="AE1041" s="115"/>
      <c r="AF1041" s="115"/>
      <c r="AG1041" s="115"/>
      <c r="AH1041" s="115"/>
      <c r="AI1041" s="122"/>
      <c r="AJ1041" s="122"/>
      <c r="AK1041" s="122"/>
      <c r="AL1041" s="115"/>
      <c r="AM1041" s="115"/>
      <c r="AN1041" s="115"/>
      <c r="AO1041" s="115"/>
      <c r="AP1041" s="115"/>
      <c r="AQ1041" s="115"/>
      <c r="AR1041" s="115"/>
      <c r="AS1041" s="115"/>
      <c r="AT1041" s="115"/>
      <c r="AU1041" s="115"/>
      <c r="AV1041" s="115"/>
      <c r="AW1041" s="115"/>
      <c r="AX1041" s="115"/>
      <c r="AY1041" s="115"/>
      <c r="AZ1041" s="26"/>
      <c r="BA1041" s="15"/>
      <c r="BD1041" s="114"/>
      <c r="BE1041" s="120"/>
    </row>
    <row r="1042" spans="1:57" x14ac:dyDescent="0.4">
      <c r="A1042" s="115"/>
      <c r="B1042" s="115"/>
      <c r="C1042" s="115"/>
      <c r="D1042" s="115"/>
      <c r="E1042" s="115"/>
      <c r="F1042" s="115"/>
      <c r="G1042" s="115"/>
      <c r="H1042" s="115"/>
      <c r="I1042" s="115"/>
      <c r="J1042" s="115"/>
      <c r="K1042" s="115"/>
      <c r="L1042" s="115"/>
      <c r="M1042" s="115"/>
      <c r="N1042" s="115"/>
      <c r="O1042" s="115"/>
      <c r="P1042" s="115"/>
      <c r="Q1042" s="115"/>
      <c r="R1042" s="115"/>
      <c r="S1042" s="115"/>
      <c r="T1042" s="115"/>
      <c r="U1042" s="115"/>
      <c r="V1042" s="115"/>
      <c r="W1042" s="115"/>
      <c r="X1042" s="115"/>
      <c r="Y1042" s="115"/>
      <c r="Z1042" s="115"/>
      <c r="AA1042" s="115"/>
      <c r="AB1042" s="115"/>
      <c r="AC1042" s="115"/>
      <c r="AD1042" s="115"/>
      <c r="AE1042" s="115"/>
      <c r="AF1042" s="115"/>
      <c r="AG1042" s="115"/>
      <c r="AH1042" s="115"/>
      <c r="AI1042" s="122"/>
      <c r="AJ1042" s="122"/>
      <c r="AK1042" s="122"/>
      <c r="AL1042" s="115"/>
      <c r="AM1042" s="115"/>
      <c r="AN1042" s="115"/>
      <c r="AO1042" s="115"/>
      <c r="AP1042" s="115"/>
      <c r="AQ1042" s="115"/>
      <c r="AR1042" s="115"/>
      <c r="AS1042" s="115"/>
      <c r="AT1042" s="115"/>
      <c r="AU1042" s="115"/>
      <c r="AV1042" s="115"/>
      <c r="AW1042" s="115"/>
      <c r="AX1042" s="115"/>
      <c r="AY1042" s="115"/>
      <c r="AZ1042" s="26"/>
      <c r="BA1042" s="15"/>
      <c r="BD1042" s="114"/>
      <c r="BE1042" s="120"/>
    </row>
    <row r="1043" spans="1:57" x14ac:dyDescent="0.4">
      <c r="A1043" s="115"/>
      <c r="B1043" s="115"/>
      <c r="C1043" s="115"/>
      <c r="D1043" s="115"/>
      <c r="E1043" s="115"/>
      <c r="F1043" s="115"/>
      <c r="G1043" s="115"/>
      <c r="H1043" s="115"/>
      <c r="I1043" s="115"/>
      <c r="J1043" s="115"/>
      <c r="K1043" s="115"/>
      <c r="L1043" s="115"/>
      <c r="M1043" s="115"/>
      <c r="N1043" s="115"/>
      <c r="O1043" s="115"/>
      <c r="P1043" s="115"/>
      <c r="Q1043" s="115"/>
      <c r="R1043" s="115"/>
      <c r="S1043" s="115"/>
      <c r="T1043" s="115"/>
      <c r="U1043" s="115"/>
      <c r="V1043" s="115"/>
      <c r="W1043" s="115"/>
      <c r="X1043" s="115"/>
      <c r="Y1043" s="115"/>
      <c r="Z1043" s="115"/>
      <c r="AA1043" s="115"/>
      <c r="AB1043" s="115"/>
      <c r="AC1043" s="115"/>
      <c r="AD1043" s="115"/>
      <c r="AE1043" s="115"/>
      <c r="AF1043" s="115"/>
      <c r="AG1043" s="115"/>
      <c r="AH1043" s="115"/>
      <c r="AI1043" s="122"/>
      <c r="AJ1043" s="122"/>
      <c r="AK1043" s="122"/>
      <c r="AL1043" s="115"/>
      <c r="AM1043" s="115"/>
      <c r="AN1043" s="115"/>
      <c r="AO1043" s="115"/>
      <c r="AP1043" s="115"/>
      <c r="AQ1043" s="115"/>
      <c r="AR1043" s="115"/>
      <c r="AS1043" s="115"/>
      <c r="AT1043" s="115"/>
      <c r="AU1043" s="115"/>
      <c r="AV1043" s="115"/>
      <c r="AW1043" s="115"/>
      <c r="AX1043" s="115"/>
      <c r="AY1043" s="115"/>
      <c r="AZ1043" s="26"/>
      <c r="BA1043" s="15"/>
      <c r="BD1043" s="114"/>
      <c r="BE1043" s="120"/>
    </row>
    <row r="1044" spans="1:57" x14ac:dyDescent="0.4">
      <c r="A1044" s="115"/>
      <c r="B1044" s="115"/>
      <c r="C1044" s="115"/>
      <c r="D1044" s="115"/>
      <c r="E1044" s="115"/>
      <c r="F1044" s="115"/>
      <c r="G1044" s="115"/>
      <c r="H1044" s="115"/>
      <c r="I1044" s="115"/>
      <c r="J1044" s="115"/>
      <c r="K1044" s="115"/>
      <c r="L1044" s="115"/>
      <c r="M1044" s="115"/>
      <c r="N1044" s="115"/>
      <c r="O1044" s="115"/>
      <c r="P1044" s="115"/>
      <c r="Q1044" s="115"/>
      <c r="R1044" s="115"/>
      <c r="S1044" s="115"/>
      <c r="T1044" s="115"/>
      <c r="U1044" s="115"/>
      <c r="V1044" s="115"/>
      <c r="W1044" s="115"/>
      <c r="X1044" s="115"/>
      <c r="Y1044" s="115"/>
      <c r="Z1044" s="115"/>
      <c r="AA1044" s="115"/>
      <c r="AB1044" s="115"/>
      <c r="AC1044" s="115"/>
      <c r="AD1044" s="115"/>
      <c r="AE1044" s="115"/>
      <c r="AF1044" s="115"/>
      <c r="AG1044" s="115"/>
      <c r="AH1044" s="115"/>
      <c r="AI1044" s="122"/>
      <c r="AJ1044" s="122"/>
      <c r="AK1044" s="122"/>
      <c r="AL1044" s="115"/>
      <c r="AM1044" s="115"/>
      <c r="AN1044" s="115"/>
      <c r="AO1044" s="115"/>
      <c r="AP1044" s="115"/>
      <c r="AQ1044" s="115"/>
      <c r="AR1044" s="115"/>
      <c r="AS1044" s="115"/>
      <c r="AT1044" s="115"/>
      <c r="AU1044" s="115"/>
      <c r="AV1044" s="115"/>
      <c r="AW1044" s="115"/>
      <c r="AX1044" s="115"/>
      <c r="AY1044" s="115"/>
      <c r="AZ1044" s="26"/>
      <c r="BA1044" s="15"/>
      <c r="BD1044" s="114"/>
      <c r="BE1044" s="120"/>
    </row>
    <row r="1045" spans="1:57" x14ac:dyDescent="0.4">
      <c r="A1045" s="115"/>
      <c r="B1045" s="115"/>
      <c r="C1045" s="115"/>
      <c r="D1045" s="115"/>
      <c r="E1045" s="115"/>
      <c r="F1045" s="115"/>
      <c r="G1045" s="115"/>
      <c r="H1045" s="115"/>
      <c r="I1045" s="115"/>
      <c r="J1045" s="115"/>
      <c r="K1045" s="115"/>
      <c r="L1045" s="115"/>
      <c r="M1045" s="115"/>
      <c r="N1045" s="115"/>
      <c r="O1045" s="115"/>
      <c r="P1045" s="115"/>
      <c r="Q1045" s="115"/>
      <c r="R1045" s="115"/>
      <c r="S1045" s="115"/>
      <c r="T1045" s="115"/>
      <c r="U1045" s="115"/>
      <c r="V1045" s="115"/>
      <c r="W1045" s="115"/>
      <c r="X1045" s="115"/>
      <c r="Y1045" s="115"/>
      <c r="Z1045" s="115"/>
      <c r="AA1045" s="115"/>
      <c r="AB1045" s="115"/>
      <c r="AC1045" s="115"/>
      <c r="AD1045" s="115"/>
      <c r="AE1045" s="115"/>
      <c r="AF1045" s="115"/>
      <c r="AG1045" s="115"/>
      <c r="AH1045" s="115"/>
      <c r="AI1045" s="122"/>
      <c r="AJ1045" s="122"/>
      <c r="AK1045" s="122"/>
      <c r="AL1045" s="115"/>
      <c r="AM1045" s="115"/>
      <c r="AN1045" s="115"/>
      <c r="AO1045" s="115"/>
      <c r="AP1045" s="115"/>
      <c r="AQ1045" s="115"/>
      <c r="AR1045" s="115"/>
      <c r="AS1045" s="115"/>
      <c r="AT1045" s="115"/>
      <c r="AU1045" s="115"/>
      <c r="AV1045" s="115"/>
      <c r="AW1045" s="115"/>
      <c r="AX1045" s="115"/>
      <c r="AY1045" s="115"/>
      <c r="AZ1045" s="26"/>
      <c r="BA1045" s="15"/>
      <c r="BD1045" s="114"/>
      <c r="BE1045" s="120"/>
    </row>
    <row r="1046" spans="1:57" x14ac:dyDescent="0.4">
      <c r="A1046" s="115"/>
      <c r="B1046" s="115"/>
      <c r="C1046" s="115"/>
      <c r="D1046" s="115"/>
      <c r="E1046" s="115"/>
      <c r="F1046" s="115"/>
      <c r="G1046" s="115"/>
      <c r="H1046" s="115"/>
      <c r="I1046" s="115"/>
      <c r="J1046" s="115"/>
      <c r="K1046" s="115"/>
      <c r="L1046" s="115"/>
      <c r="M1046" s="115"/>
      <c r="N1046" s="115"/>
      <c r="O1046" s="115"/>
      <c r="P1046" s="115"/>
      <c r="Q1046" s="115"/>
      <c r="R1046" s="115"/>
      <c r="S1046" s="115"/>
      <c r="T1046" s="115"/>
      <c r="U1046" s="115"/>
      <c r="V1046" s="115"/>
      <c r="W1046" s="115"/>
      <c r="X1046" s="115"/>
      <c r="Y1046" s="115"/>
      <c r="Z1046" s="115"/>
      <c r="AA1046" s="115"/>
      <c r="AB1046" s="115"/>
      <c r="AC1046" s="115"/>
      <c r="AD1046" s="115"/>
      <c r="AE1046" s="115"/>
      <c r="AF1046" s="115"/>
      <c r="AG1046" s="115"/>
      <c r="AH1046" s="115"/>
      <c r="AI1046" s="122"/>
      <c r="AJ1046" s="122"/>
      <c r="AK1046" s="122"/>
      <c r="AL1046" s="115"/>
      <c r="AM1046" s="115"/>
      <c r="AN1046" s="115"/>
      <c r="AO1046" s="115"/>
      <c r="AP1046" s="115"/>
      <c r="AQ1046" s="115"/>
      <c r="AR1046" s="115"/>
      <c r="AS1046" s="115"/>
      <c r="AT1046" s="115"/>
      <c r="AU1046" s="115"/>
      <c r="AV1046" s="115"/>
      <c r="AW1046" s="115"/>
      <c r="AX1046" s="115"/>
      <c r="AY1046" s="115"/>
      <c r="AZ1046" s="17"/>
      <c r="BA1046" s="15"/>
      <c r="BD1046" s="114"/>
      <c r="BE1046" s="120"/>
    </row>
    <row r="1047" spans="1:57" x14ac:dyDescent="0.4">
      <c r="A1047" s="115"/>
      <c r="B1047" s="115"/>
      <c r="C1047" s="115"/>
      <c r="D1047" s="115"/>
      <c r="E1047" s="115"/>
      <c r="F1047" s="115"/>
      <c r="G1047" s="115"/>
      <c r="H1047" s="115"/>
      <c r="I1047" s="115"/>
      <c r="J1047" s="115"/>
      <c r="K1047" s="115"/>
      <c r="L1047" s="115"/>
      <c r="M1047" s="115"/>
      <c r="N1047" s="115"/>
      <c r="O1047" s="115"/>
      <c r="P1047" s="115"/>
      <c r="Q1047" s="115"/>
      <c r="R1047" s="115"/>
      <c r="S1047" s="115"/>
      <c r="T1047" s="115"/>
      <c r="U1047" s="115"/>
      <c r="V1047" s="115"/>
      <c r="W1047" s="115"/>
      <c r="X1047" s="115"/>
      <c r="Y1047" s="115"/>
      <c r="Z1047" s="115"/>
      <c r="AA1047" s="115"/>
      <c r="AB1047" s="115"/>
      <c r="AC1047" s="115"/>
      <c r="AD1047" s="115"/>
      <c r="AE1047" s="115"/>
      <c r="AF1047" s="115"/>
      <c r="AG1047" s="115"/>
      <c r="AH1047" s="115"/>
      <c r="AI1047" s="122"/>
      <c r="AJ1047" s="122"/>
      <c r="AK1047" s="122"/>
      <c r="AL1047" s="115"/>
      <c r="AM1047" s="115"/>
      <c r="AN1047" s="115"/>
      <c r="AO1047" s="115"/>
      <c r="AP1047" s="115"/>
      <c r="AQ1047" s="115"/>
      <c r="AR1047" s="115"/>
      <c r="AS1047" s="115"/>
      <c r="AT1047" s="115"/>
      <c r="AU1047" s="115"/>
      <c r="AV1047" s="115"/>
      <c r="AW1047" s="115"/>
      <c r="AX1047" s="115"/>
      <c r="AY1047" s="115"/>
      <c r="AZ1047" s="26"/>
      <c r="BA1047" s="15"/>
      <c r="BD1047" s="114"/>
      <c r="BE1047" s="120"/>
    </row>
    <row r="1048" spans="1:57" x14ac:dyDescent="0.4">
      <c r="A1048" s="115"/>
      <c r="B1048" s="115"/>
      <c r="C1048" s="115"/>
      <c r="D1048" s="115"/>
      <c r="E1048" s="115"/>
      <c r="F1048" s="115"/>
      <c r="G1048" s="115"/>
      <c r="H1048" s="115"/>
      <c r="I1048" s="115"/>
      <c r="J1048" s="115"/>
      <c r="K1048" s="115"/>
      <c r="L1048" s="115"/>
      <c r="M1048" s="115"/>
      <c r="N1048" s="115"/>
      <c r="O1048" s="115"/>
      <c r="P1048" s="115"/>
      <c r="Q1048" s="115"/>
      <c r="R1048" s="115"/>
      <c r="S1048" s="115"/>
      <c r="T1048" s="115"/>
      <c r="U1048" s="115"/>
      <c r="V1048" s="115"/>
      <c r="W1048" s="115"/>
      <c r="X1048" s="115"/>
      <c r="Y1048" s="115"/>
      <c r="Z1048" s="115"/>
      <c r="AA1048" s="115"/>
      <c r="AB1048" s="115"/>
      <c r="AC1048" s="115"/>
      <c r="AD1048" s="115"/>
      <c r="AE1048" s="115"/>
      <c r="AF1048" s="115"/>
      <c r="AG1048" s="115"/>
      <c r="AH1048" s="115"/>
      <c r="AI1048" s="122"/>
      <c r="AJ1048" s="122"/>
      <c r="AK1048" s="122"/>
      <c r="AL1048" s="115"/>
      <c r="AM1048" s="115"/>
      <c r="AN1048" s="115"/>
      <c r="AO1048" s="115"/>
      <c r="AP1048" s="115"/>
      <c r="AQ1048" s="115"/>
      <c r="AR1048" s="115"/>
      <c r="AS1048" s="115"/>
      <c r="AT1048" s="115"/>
      <c r="AU1048" s="115"/>
      <c r="AV1048" s="115"/>
      <c r="AW1048" s="115"/>
      <c r="AX1048" s="115"/>
      <c r="AY1048" s="115"/>
      <c r="AZ1048" s="26"/>
      <c r="BA1048" s="15"/>
      <c r="BD1048" s="114"/>
    </row>
    <row r="1049" spans="1:57" x14ac:dyDescent="0.4">
      <c r="AZ1049" s="26"/>
      <c r="BA1049" s="15"/>
      <c r="BD1049" s="114"/>
    </row>
    <row r="1050" spans="1:57" x14ac:dyDescent="0.4">
      <c r="AM1050" s="115"/>
      <c r="AN1050" s="115"/>
      <c r="AO1050" s="115"/>
      <c r="AP1050" s="115"/>
      <c r="AQ1050" s="115"/>
      <c r="AR1050" s="115"/>
      <c r="AS1050" s="115"/>
      <c r="AT1050" s="115"/>
      <c r="AU1050" s="115"/>
      <c r="AV1050" s="115"/>
      <c r="AW1050" s="115"/>
      <c r="AX1050" s="115"/>
      <c r="AY1050" s="115"/>
      <c r="AZ1050" s="17"/>
      <c r="BA1050" s="15"/>
      <c r="BD1050" s="114"/>
    </row>
    <row r="1051" spans="1:57" x14ac:dyDescent="0.4">
      <c r="AM1051" s="115"/>
      <c r="AN1051" s="115"/>
      <c r="AO1051" s="115"/>
      <c r="AP1051" s="115"/>
      <c r="AQ1051" s="115"/>
      <c r="AR1051" s="115"/>
      <c r="AS1051" s="115"/>
      <c r="AT1051" s="115"/>
      <c r="AU1051" s="115"/>
      <c r="AV1051" s="115"/>
      <c r="AW1051" s="115"/>
      <c r="AX1051" s="115"/>
      <c r="AY1051" s="115"/>
      <c r="AZ1051" s="17"/>
      <c r="BA1051" s="15"/>
      <c r="BD1051" s="114"/>
    </row>
    <row r="1052" spans="1:57" x14ac:dyDescent="0.4">
      <c r="AK1052" s="122"/>
      <c r="AL1052" s="115"/>
      <c r="AM1052" s="115"/>
      <c r="AN1052" s="115"/>
      <c r="AO1052" s="115"/>
      <c r="AP1052" s="115"/>
      <c r="AQ1052" s="115"/>
      <c r="AR1052" s="115"/>
      <c r="AS1052" s="115"/>
      <c r="AT1052" s="115"/>
      <c r="AU1052" s="115"/>
      <c r="AV1052" s="115"/>
      <c r="AW1052" s="115"/>
      <c r="AX1052" s="115"/>
      <c r="AY1052" s="115"/>
      <c r="AZ1052" s="17"/>
      <c r="BA1052" s="15"/>
      <c r="BD1052" s="114"/>
    </row>
    <row r="1053" spans="1:57" x14ac:dyDescent="0.4">
      <c r="AF1053" s="115"/>
      <c r="AG1053" s="115"/>
      <c r="AH1053" s="115"/>
      <c r="AI1053" s="122"/>
      <c r="AJ1053" s="122"/>
      <c r="AK1053" s="122"/>
      <c r="AL1053" s="115"/>
      <c r="AM1053" s="115"/>
      <c r="AN1053" s="115"/>
      <c r="AO1053" s="115"/>
      <c r="AP1053" s="115"/>
      <c r="AQ1053" s="115"/>
      <c r="AR1053" s="115"/>
      <c r="AS1053" s="115"/>
      <c r="AT1053" s="115"/>
      <c r="AU1053" s="115"/>
      <c r="AV1053" s="115"/>
      <c r="AW1053" s="115"/>
      <c r="AX1053" s="115"/>
      <c r="AY1053" s="115"/>
      <c r="AZ1053" s="26"/>
      <c r="BA1053" s="15"/>
      <c r="BD1053" s="114"/>
    </row>
    <row r="1054" spans="1:57" x14ac:dyDescent="0.4">
      <c r="AF1054" s="115"/>
      <c r="AG1054" s="115"/>
      <c r="AH1054" s="115"/>
      <c r="AI1054" s="122"/>
      <c r="AJ1054" s="122"/>
      <c r="AK1054" s="122"/>
      <c r="AL1054" s="115"/>
      <c r="AM1054" s="115"/>
      <c r="AN1054" s="115"/>
      <c r="AO1054" s="115"/>
      <c r="AP1054" s="115"/>
      <c r="AQ1054" s="115"/>
      <c r="AR1054" s="115"/>
      <c r="AS1054" s="115"/>
      <c r="AT1054" s="115"/>
      <c r="AU1054" s="115"/>
      <c r="AV1054" s="115"/>
      <c r="AW1054" s="115"/>
      <c r="AX1054" s="115"/>
      <c r="AY1054" s="115"/>
      <c r="AZ1054" s="17"/>
      <c r="BA1054" s="15"/>
      <c r="BD1054" s="114"/>
    </row>
    <row r="1055" spans="1:57" x14ac:dyDescent="0.4">
      <c r="AE1055" s="115"/>
      <c r="AF1055" s="115"/>
      <c r="AG1055" s="115"/>
      <c r="AH1055" s="115"/>
      <c r="AI1055" s="122"/>
      <c r="AJ1055" s="122"/>
      <c r="AK1055" s="122"/>
      <c r="AL1055" s="115"/>
      <c r="AM1055" s="115"/>
      <c r="AN1055" s="115"/>
      <c r="AO1055" s="115"/>
      <c r="AP1055" s="115"/>
      <c r="AQ1055" s="115"/>
      <c r="AR1055" s="115"/>
      <c r="AS1055" s="115"/>
      <c r="AT1055" s="115"/>
      <c r="AU1055" s="115"/>
      <c r="AV1055" s="115"/>
      <c r="AW1055" s="115"/>
      <c r="AX1055" s="115"/>
      <c r="AY1055" s="115"/>
      <c r="AZ1055" s="26"/>
      <c r="BA1055" s="15"/>
      <c r="BD1055" s="114"/>
    </row>
    <row r="1056" spans="1:57" x14ac:dyDescent="0.4">
      <c r="AE1056" s="115"/>
      <c r="AF1056" s="115"/>
      <c r="AG1056" s="115"/>
      <c r="AH1056" s="115"/>
      <c r="AI1056" s="122"/>
      <c r="AJ1056" s="122"/>
      <c r="AK1056" s="122"/>
      <c r="AL1056" s="115"/>
      <c r="AM1056" s="115"/>
      <c r="AN1056" s="115"/>
      <c r="AO1056" s="115"/>
      <c r="AP1056" s="115"/>
      <c r="AQ1056" s="115"/>
      <c r="AR1056" s="115"/>
      <c r="AS1056" s="115"/>
      <c r="AT1056" s="115"/>
      <c r="AU1056" s="115"/>
      <c r="AV1056" s="115"/>
      <c r="AW1056" s="115"/>
      <c r="AX1056" s="115"/>
      <c r="AY1056" s="115"/>
      <c r="AZ1056" s="17"/>
      <c r="BA1056" s="15"/>
      <c r="BD1056" s="114"/>
    </row>
    <row r="1057" spans="4:60" x14ac:dyDescent="0.4">
      <c r="AE1057" s="115"/>
      <c r="AF1057" s="115"/>
      <c r="AG1057" s="115"/>
      <c r="AH1057" s="115"/>
      <c r="AI1057" s="122"/>
      <c r="AJ1057" s="122"/>
      <c r="AK1057" s="122"/>
      <c r="AL1057" s="115"/>
      <c r="AM1057" s="115"/>
      <c r="AN1057" s="115"/>
      <c r="AO1057" s="115"/>
      <c r="AP1057" s="115"/>
      <c r="AQ1057" s="115"/>
      <c r="AR1057" s="115"/>
      <c r="AS1057" s="115"/>
      <c r="AT1057" s="115"/>
      <c r="AU1057" s="115"/>
      <c r="AV1057" s="115"/>
      <c r="AW1057" s="115"/>
      <c r="AX1057" s="115"/>
      <c r="AY1057" s="115"/>
      <c r="AZ1057" s="17"/>
      <c r="BA1057" s="15"/>
      <c r="BD1057" s="114"/>
    </row>
    <row r="1058" spans="4:60" x14ac:dyDescent="0.4">
      <c r="AE1058" s="115"/>
      <c r="AF1058" s="115"/>
      <c r="AG1058" s="115"/>
      <c r="AH1058" s="115"/>
      <c r="AI1058" s="122"/>
      <c r="AJ1058" s="122"/>
      <c r="AK1058" s="122"/>
      <c r="AL1058" s="115"/>
      <c r="AM1058" s="115"/>
      <c r="AN1058" s="115"/>
      <c r="AO1058" s="115"/>
      <c r="AP1058" s="115"/>
      <c r="AQ1058" s="115"/>
      <c r="AR1058" s="115"/>
      <c r="AS1058" s="115"/>
      <c r="AT1058" s="115"/>
      <c r="AU1058" s="115"/>
      <c r="AV1058" s="115"/>
      <c r="AW1058" s="115"/>
      <c r="AX1058" s="115"/>
      <c r="AY1058" s="115"/>
      <c r="AZ1058" s="17"/>
      <c r="BA1058" s="15"/>
      <c r="BD1058" s="114"/>
    </row>
    <row r="1059" spans="4:60" x14ac:dyDescent="0.4">
      <c r="AE1059" s="115"/>
      <c r="AF1059" s="115"/>
      <c r="AG1059" s="115"/>
      <c r="AH1059" s="115"/>
      <c r="AI1059" s="122"/>
      <c r="AJ1059" s="122"/>
      <c r="AK1059" s="122"/>
      <c r="AL1059" s="115"/>
      <c r="AM1059" s="115"/>
      <c r="AN1059" s="115"/>
      <c r="AO1059" s="115"/>
      <c r="AP1059" s="115"/>
      <c r="AQ1059" s="115"/>
      <c r="AR1059" s="115"/>
      <c r="AS1059" s="115"/>
      <c r="AT1059" s="115"/>
      <c r="AU1059" s="115"/>
      <c r="AV1059" s="115"/>
      <c r="AW1059" s="115"/>
      <c r="AX1059" s="115"/>
      <c r="AY1059" s="115"/>
      <c r="AZ1059" s="26"/>
      <c r="BA1059" s="15"/>
      <c r="BD1059" s="114"/>
    </row>
    <row r="1060" spans="4:60" x14ac:dyDescent="0.4">
      <c r="AE1060" s="115"/>
      <c r="AF1060" s="115"/>
      <c r="AG1060" s="115"/>
      <c r="AH1060" s="115"/>
      <c r="AI1060" s="122"/>
      <c r="AJ1060" s="122"/>
      <c r="AK1060" s="122"/>
      <c r="AL1060" s="115"/>
      <c r="AM1060" s="115"/>
      <c r="AN1060" s="115"/>
      <c r="AO1060" s="115"/>
      <c r="AP1060" s="115"/>
      <c r="AQ1060" s="115"/>
      <c r="AR1060" s="115"/>
      <c r="AS1060" s="115"/>
      <c r="AT1060" s="115"/>
      <c r="AU1060" s="115"/>
      <c r="AV1060" s="115"/>
      <c r="AW1060" s="115"/>
      <c r="AX1060" s="115"/>
      <c r="AY1060" s="115"/>
      <c r="AZ1060" s="17"/>
      <c r="BA1060" s="15"/>
      <c r="BD1060" s="114"/>
    </row>
    <row r="1061" spans="4:60" ht="19.5" x14ac:dyDescent="0.4">
      <c r="AZ1061" s="26"/>
      <c r="BA1061" s="15"/>
      <c r="BE1061" s="116"/>
      <c r="BF1061" s="116"/>
      <c r="BG1061" s="116"/>
      <c r="BH1061" s="116"/>
    </row>
    <row r="1062" spans="4:60" ht="19.5" x14ac:dyDescent="0.4">
      <c r="AJ1062" s="122"/>
      <c r="AK1062" s="122"/>
      <c r="AL1062" s="115"/>
      <c r="AM1062" s="115"/>
      <c r="AN1062" s="115"/>
      <c r="AO1062" s="115"/>
      <c r="AP1062" s="115"/>
      <c r="AQ1062" s="115"/>
      <c r="AR1062" s="115"/>
      <c r="AS1062" s="115"/>
      <c r="AT1062" s="115"/>
      <c r="AU1062" s="115"/>
      <c r="AV1062" s="115"/>
      <c r="AW1062" s="115"/>
      <c r="AX1062" s="115"/>
      <c r="AY1062" s="115"/>
      <c r="AZ1062" s="17"/>
      <c r="BA1062" s="15"/>
      <c r="BE1062" s="117"/>
      <c r="BF1062" s="116"/>
      <c r="BG1062" s="116"/>
      <c r="BH1062" s="116"/>
    </row>
    <row r="1063" spans="4:60" ht="19.5" x14ac:dyDescent="0.4">
      <c r="AB1063" s="115"/>
      <c r="AC1063" s="115"/>
      <c r="AD1063" s="115"/>
      <c r="AE1063" s="115"/>
      <c r="AF1063" s="115"/>
      <c r="AG1063" s="115"/>
      <c r="AH1063" s="115"/>
      <c r="AI1063" s="122"/>
      <c r="AJ1063" s="122"/>
      <c r="AK1063" s="122"/>
      <c r="AL1063" s="115"/>
      <c r="AM1063" s="115"/>
      <c r="AN1063" s="115"/>
      <c r="AO1063" s="115"/>
      <c r="AP1063" s="115"/>
      <c r="AQ1063" s="115"/>
      <c r="AR1063" s="115"/>
      <c r="AS1063" s="115"/>
      <c r="AT1063" s="115"/>
      <c r="AU1063" s="115"/>
      <c r="AV1063" s="115"/>
      <c r="AW1063" s="115"/>
      <c r="AX1063" s="115"/>
      <c r="AY1063" s="115"/>
      <c r="AZ1063" s="26"/>
      <c r="BA1063" s="15"/>
      <c r="BE1063" s="117"/>
      <c r="BF1063" s="116"/>
      <c r="BG1063" s="116"/>
      <c r="BH1063" s="116"/>
    </row>
    <row r="1064" spans="4:60" ht="19.5" x14ac:dyDescent="0.4">
      <c r="D1064" s="115"/>
      <c r="E1064" s="115"/>
      <c r="F1064" s="115"/>
      <c r="G1064" s="115"/>
      <c r="H1064" s="115"/>
      <c r="I1064" s="115"/>
      <c r="J1064" s="115"/>
      <c r="K1064" s="115"/>
      <c r="L1064" s="115"/>
      <c r="M1064" s="115"/>
      <c r="N1064" s="115"/>
      <c r="O1064" s="115"/>
      <c r="P1064" s="115"/>
      <c r="Q1064" s="115"/>
      <c r="R1064" s="115"/>
      <c r="S1064" s="115"/>
      <c r="T1064" s="115"/>
      <c r="U1064" s="115"/>
      <c r="V1064" s="115"/>
      <c r="W1064" s="115"/>
      <c r="X1064" s="115"/>
      <c r="Y1064" s="115"/>
      <c r="Z1064" s="115"/>
      <c r="AA1064" s="115"/>
      <c r="AB1064" s="115"/>
      <c r="AC1064" s="115"/>
      <c r="AD1064" s="115"/>
      <c r="AE1064" s="115"/>
      <c r="AF1064" s="115"/>
      <c r="AG1064" s="115"/>
      <c r="AH1064" s="115"/>
      <c r="AI1064" s="122"/>
      <c r="AJ1064" s="122"/>
      <c r="AK1064" s="122"/>
      <c r="AL1064" s="115"/>
      <c r="AM1064" s="115"/>
      <c r="AN1064" s="115"/>
      <c r="AO1064" s="115"/>
      <c r="AP1064" s="115"/>
      <c r="AQ1064" s="115"/>
      <c r="AR1064" s="115"/>
      <c r="AS1064" s="115"/>
      <c r="AT1064" s="115"/>
      <c r="AU1064" s="115"/>
      <c r="AV1064" s="115"/>
      <c r="AW1064" s="115"/>
      <c r="AX1064" s="115"/>
      <c r="AY1064" s="115"/>
      <c r="AZ1064" s="26"/>
      <c r="BA1064" s="13"/>
      <c r="BE1064" s="117"/>
      <c r="BF1064" s="116"/>
      <c r="BG1064" s="116"/>
      <c r="BH1064" s="116"/>
    </row>
    <row r="1065" spans="4:60" ht="19.5" x14ac:dyDescent="0.4">
      <c r="D1065" s="115"/>
      <c r="E1065" s="115"/>
      <c r="F1065" s="115"/>
      <c r="G1065" s="115"/>
      <c r="H1065" s="115"/>
      <c r="I1065" s="115"/>
      <c r="J1065" s="115"/>
      <c r="K1065" s="115"/>
      <c r="L1065" s="115"/>
      <c r="M1065" s="115"/>
      <c r="N1065" s="115"/>
      <c r="O1065" s="115"/>
      <c r="P1065" s="115"/>
      <c r="Q1065" s="115"/>
      <c r="R1065" s="115"/>
      <c r="S1065" s="115"/>
      <c r="T1065" s="115"/>
      <c r="U1065" s="115"/>
      <c r="V1065" s="115"/>
      <c r="W1065" s="115"/>
      <c r="X1065" s="115"/>
      <c r="Y1065" s="115"/>
      <c r="Z1065" s="115"/>
      <c r="AA1065" s="115"/>
      <c r="AB1065" s="115"/>
      <c r="AC1065" s="115"/>
      <c r="AD1065" s="115"/>
      <c r="AE1065" s="115"/>
      <c r="AF1065" s="115"/>
      <c r="AG1065" s="115"/>
      <c r="AH1065" s="115"/>
      <c r="AI1065" s="122"/>
      <c r="AJ1065" s="122"/>
      <c r="AK1065" s="122"/>
      <c r="AL1065" s="115"/>
      <c r="AM1065" s="115"/>
      <c r="AN1065" s="115"/>
      <c r="AO1065" s="115"/>
      <c r="AP1065" s="115"/>
      <c r="AQ1065" s="115"/>
      <c r="AR1065" s="115"/>
      <c r="AS1065" s="115"/>
      <c r="AT1065" s="115"/>
      <c r="AU1065" s="115"/>
      <c r="AV1065" s="115"/>
      <c r="AW1065" s="115"/>
      <c r="AX1065" s="115"/>
      <c r="AY1065" s="115"/>
      <c r="AZ1065" s="26"/>
      <c r="BA1065" s="15"/>
      <c r="BE1065" s="117"/>
      <c r="BF1065" s="116"/>
      <c r="BG1065" s="116"/>
      <c r="BH1065" s="116"/>
    </row>
    <row r="1066" spans="4:60" ht="19.5" x14ac:dyDescent="0.4">
      <c r="D1066" s="115"/>
      <c r="E1066" s="115"/>
      <c r="F1066" s="115"/>
      <c r="G1066" s="115"/>
      <c r="H1066" s="115"/>
      <c r="I1066" s="115"/>
      <c r="J1066" s="115"/>
      <c r="K1066" s="115"/>
      <c r="L1066" s="115"/>
      <c r="M1066" s="115"/>
      <c r="N1066" s="115"/>
      <c r="O1066" s="115"/>
      <c r="P1066" s="115"/>
      <c r="Q1066" s="115"/>
      <c r="R1066" s="115"/>
      <c r="S1066" s="115"/>
      <c r="T1066" s="115"/>
      <c r="U1066" s="115"/>
      <c r="V1066" s="115"/>
      <c r="W1066" s="115"/>
      <c r="X1066" s="115"/>
      <c r="Y1066" s="115"/>
      <c r="Z1066" s="115"/>
      <c r="AA1066" s="115"/>
      <c r="AB1066" s="115"/>
      <c r="AC1066" s="115"/>
      <c r="AD1066" s="115"/>
      <c r="AE1066" s="115"/>
      <c r="AF1066" s="115"/>
      <c r="AG1066" s="115"/>
      <c r="AH1066" s="115"/>
      <c r="AI1066" s="122"/>
      <c r="AJ1066" s="122"/>
      <c r="AK1066" s="122"/>
      <c r="AL1066" s="115"/>
      <c r="AM1066" s="115"/>
      <c r="AN1066" s="115"/>
      <c r="AO1066" s="115"/>
      <c r="AP1066" s="115"/>
      <c r="AQ1066" s="115"/>
      <c r="AR1066" s="115"/>
      <c r="AS1066" s="115"/>
      <c r="AT1066" s="115"/>
      <c r="AU1066" s="115"/>
      <c r="AV1066" s="115"/>
      <c r="AW1066" s="115"/>
      <c r="AX1066" s="115"/>
      <c r="AY1066" s="115"/>
      <c r="AZ1066" s="17"/>
      <c r="BA1066" s="15"/>
      <c r="BE1066" s="117"/>
      <c r="BF1066" s="116"/>
      <c r="BG1066" s="116"/>
      <c r="BH1066" s="116"/>
    </row>
    <row r="1067" spans="4:60" ht="19.5" x14ac:dyDescent="0.4">
      <c r="D1067" s="115"/>
      <c r="E1067" s="115"/>
      <c r="F1067" s="115"/>
      <c r="G1067" s="115"/>
      <c r="H1067" s="115"/>
      <c r="I1067" s="115"/>
      <c r="J1067" s="115"/>
      <c r="K1067" s="115"/>
      <c r="L1067" s="115"/>
      <c r="M1067" s="115"/>
      <c r="N1067" s="115"/>
      <c r="O1067" s="115"/>
      <c r="P1067" s="115"/>
      <c r="Q1067" s="115"/>
      <c r="R1067" s="115"/>
      <c r="S1067" s="115"/>
      <c r="T1067" s="115"/>
      <c r="U1067" s="115"/>
      <c r="V1067" s="115"/>
      <c r="W1067" s="115"/>
      <c r="X1067" s="115"/>
      <c r="Y1067" s="115"/>
      <c r="Z1067" s="115"/>
      <c r="AA1067" s="115"/>
      <c r="AB1067" s="115"/>
      <c r="AC1067" s="115"/>
      <c r="AD1067" s="115"/>
      <c r="AE1067" s="115"/>
      <c r="AF1067" s="115"/>
      <c r="AG1067" s="115"/>
      <c r="AH1067" s="115"/>
      <c r="AI1067" s="122"/>
      <c r="AJ1067" s="122"/>
      <c r="AK1067" s="122"/>
      <c r="AL1067" s="115"/>
      <c r="AM1067" s="115"/>
      <c r="AN1067" s="115"/>
      <c r="AO1067" s="115"/>
      <c r="AP1067" s="115"/>
      <c r="AQ1067" s="115"/>
      <c r="AR1067" s="115"/>
      <c r="AS1067" s="115"/>
      <c r="AT1067" s="115"/>
      <c r="AU1067" s="115"/>
      <c r="AV1067" s="115"/>
      <c r="AW1067" s="115"/>
      <c r="AX1067" s="115"/>
      <c r="AY1067" s="115"/>
      <c r="AZ1067" s="26"/>
      <c r="BA1067" s="15"/>
      <c r="BE1067" s="117"/>
      <c r="BF1067" s="116"/>
      <c r="BG1067" s="116"/>
      <c r="BH1067" s="116"/>
    </row>
    <row r="1068" spans="4:60" ht="19.5" x14ac:dyDescent="0.4">
      <c r="D1068" s="115"/>
      <c r="E1068" s="115"/>
      <c r="F1068" s="115"/>
      <c r="G1068" s="115"/>
      <c r="H1068" s="115"/>
      <c r="I1068" s="115"/>
      <c r="J1068" s="115"/>
      <c r="K1068" s="115"/>
      <c r="L1068" s="115"/>
      <c r="M1068" s="115"/>
      <c r="N1068" s="115"/>
      <c r="O1068" s="115"/>
      <c r="P1068" s="115"/>
      <c r="Q1068" s="115"/>
      <c r="R1068" s="115"/>
      <c r="S1068" s="115"/>
      <c r="T1068" s="115"/>
      <c r="U1068" s="115"/>
      <c r="V1068" s="115"/>
      <c r="W1068" s="115"/>
      <c r="X1068" s="115"/>
      <c r="Y1068" s="115"/>
      <c r="Z1068" s="115"/>
      <c r="AA1068" s="115"/>
      <c r="AB1068" s="115"/>
      <c r="AC1068" s="115"/>
      <c r="AD1068" s="115"/>
      <c r="AE1068" s="115"/>
      <c r="AF1068" s="115"/>
      <c r="AG1068" s="115"/>
      <c r="AH1068" s="115"/>
      <c r="AI1068" s="122"/>
      <c r="AJ1068" s="122"/>
      <c r="AK1068" s="122"/>
      <c r="AL1068" s="115"/>
      <c r="AM1068" s="115"/>
      <c r="AN1068" s="115"/>
      <c r="AO1068" s="115"/>
      <c r="AP1068" s="115"/>
      <c r="AQ1068" s="115"/>
      <c r="AR1068" s="115"/>
      <c r="AS1068" s="115"/>
      <c r="AT1068" s="115"/>
      <c r="AU1068" s="115"/>
      <c r="AV1068" s="115"/>
      <c r="AW1068" s="115"/>
      <c r="AX1068" s="115"/>
      <c r="AY1068" s="115"/>
      <c r="AZ1068" s="26"/>
      <c r="BA1068" s="15"/>
      <c r="BE1068" s="117"/>
      <c r="BF1068" s="116"/>
      <c r="BG1068" s="116"/>
      <c r="BH1068" s="116"/>
    </row>
    <row r="1069" spans="4:60" ht="19.5" x14ac:dyDescent="0.4">
      <c r="D1069" s="115"/>
      <c r="E1069" s="115"/>
      <c r="F1069" s="115"/>
      <c r="G1069" s="115"/>
      <c r="H1069" s="115"/>
      <c r="I1069" s="115"/>
      <c r="J1069" s="115"/>
      <c r="K1069" s="115"/>
      <c r="L1069" s="115"/>
      <c r="M1069" s="115"/>
      <c r="N1069" s="115"/>
      <c r="O1069" s="115"/>
      <c r="P1069" s="115"/>
      <c r="Q1069" s="115"/>
      <c r="R1069" s="115"/>
      <c r="S1069" s="115"/>
      <c r="T1069" s="115"/>
      <c r="U1069" s="115"/>
      <c r="V1069" s="115"/>
      <c r="W1069" s="115"/>
      <c r="X1069" s="115"/>
      <c r="Y1069" s="115"/>
      <c r="Z1069" s="115"/>
      <c r="AA1069" s="115"/>
      <c r="AB1069" s="115"/>
      <c r="AC1069" s="115"/>
      <c r="AD1069" s="115"/>
      <c r="AE1069" s="115"/>
      <c r="AF1069" s="115"/>
      <c r="AG1069" s="115"/>
      <c r="AH1069" s="115"/>
      <c r="AI1069" s="122"/>
      <c r="AJ1069" s="122"/>
      <c r="AK1069" s="122"/>
      <c r="AL1069" s="115"/>
      <c r="AM1069" s="115"/>
      <c r="AN1069" s="115"/>
      <c r="AO1069" s="115"/>
      <c r="AP1069" s="115"/>
      <c r="AQ1069" s="115"/>
      <c r="AR1069" s="115"/>
      <c r="AS1069" s="115"/>
      <c r="AT1069" s="115"/>
      <c r="AU1069" s="115"/>
      <c r="AV1069" s="115"/>
      <c r="AW1069" s="115"/>
      <c r="AX1069" s="115"/>
      <c r="AY1069" s="115"/>
      <c r="AZ1069" s="17"/>
      <c r="BA1069" s="15"/>
      <c r="BE1069" s="117"/>
      <c r="BF1069" s="116"/>
      <c r="BG1069" s="116"/>
      <c r="BH1069" s="116"/>
    </row>
    <row r="1070" spans="4:60" ht="19.5" x14ac:dyDescent="0.4">
      <c r="D1070" s="115"/>
      <c r="E1070" s="115"/>
      <c r="F1070" s="115"/>
      <c r="G1070" s="115"/>
      <c r="H1070" s="115"/>
      <c r="I1070" s="115"/>
      <c r="J1070" s="115"/>
      <c r="K1070" s="115"/>
      <c r="L1070" s="115"/>
      <c r="M1070" s="115"/>
      <c r="N1070" s="115"/>
      <c r="O1070" s="115"/>
      <c r="P1070" s="115"/>
      <c r="Q1070" s="115"/>
      <c r="R1070" s="115"/>
      <c r="S1070" s="115"/>
      <c r="T1070" s="115"/>
      <c r="U1070" s="115"/>
      <c r="V1070" s="115"/>
      <c r="W1070" s="115"/>
      <c r="X1070" s="115"/>
      <c r="Y1070" s="115"/>
      <c r="Z1070" s="115"/>
      <c r="AA1070" s="115"/>
      <c r="AB1070" s="115"/>
      <c r="AC1070" s="115"/>
      <c r="AD1070" s="115"/>
      <c r="AE1070" s="115"/>
      <c r="AF1070" s="115"/>
      <c r="AG1070" s="115"/>
      <c r="AH1070" s="115"/>
      <c r="AI1070" s="122"/>
      <c r="AJ1070" s="122"/>
      <c r="AK1070" s="122"/>
      <c r="AL1070" s="115"/>
      <c r="AM1070" s="115"/>
      <c r="AN1070" s="115"/>
      <c r="AO1070" s="115"/>
      <c r="AP1070" s="115"/>
      <c r="AQ1070" s="115"/>
      <c r="AR1070" s="115"/>
      <c r="AS1070" s="115"/>
      <c r="AT1070" s="115"/>
      <c r="AU1070" s="115"/>
      <c r="AV1070" s="115"/>
      <c r="AW1070" s="115"/>
      <c r="AX1070" s="115"/>
      <c r="AY1070" s="115"/>
      <c r="AZ1070" s="26"/>
      <c r="BA1070" s="15"/>
      <c r="BE1070" s="117"/>
      <c r="BF1070" s="116"/>
      <c r="BG1070" s="116"/>
      <c r="BH1070" s="116"/>
    </row>
    <row r="1071" spans="4:60" ht="19.5" x14ac:dyDescent="0.4">
      <c r="AZ1071" s="26"/>
      <c r="BA1071" s="15"/>
      <c r="BE1071" s="117"/>
      <c r="BF1071" s="116"/>
      <c r="BG1071" s="116"/>
      <c r="BH1071" s="116"/>
    </row>
    <row r="1072" spans="4:60" ht="19.5" x14ac:dyDescent="0.4">
      <c r="AJ1072" s="122"/>
      <c r="AK1072" s="122"/>
      <c r="AL1072" s="115"/>
      <c r="AM1072" s="115"/>
      <c r="AN1072" s="115"/>
      <c r="AO1072" s="115"/>
      <c r="AP1072" s="115"/>
      <c r="AQ1072" s="115"/>
      <c r="AR1072" s="115"/>
      <c r="AS1072" s="115"/>
      <c r="AT1072" s="115"/>
      <c r="AU1072" s="115"/>
      <c r="AV1072" s="115"/>
      <c r="AW1072" s="115"/>
      <c r="AX1072" s="115"/>
      <c r="AY1072" s="115"/>
      <c r="AZ1072" s="17"/>
      <c r="BA1072" s="15"/>
      <c r="BE1072" s="117"/>
      <c r="BF1072" s="116"/>
      <c r="BG1072" s="116"/>
      <c r="BH1072" s="116"/>
    </row>
    <row r="1073" spans="1:60" ht="19.5" x14ac:dyDescent="0.4">
      <c r="AG1073" s="115"/>
      <c r="AH1073" s="115"/>
      <c r="AI1073" s="122"/>
      <c r="AJ1073" s="122"/>
      <c r="AK1073" s="122"/>
      <c r="AL1073" s="115"/>
      <c r="AM1073" s="115"/>
      <c r="AN1073" s="115"/>
      <c r="AO1073" s="115"/>
      <c r="AP1073" s="115"/>
      <c r="AQ1073" s="115"/>
      <c r="AR1073" s="115"/>
      <c r="AS1073" s="115"/>
      <c r="AT1073" s="115"/>
      <c r="AU1073" s="115"/>
      <c r="AV1073" s="115"/>
      <c r="AW1073" s="115"/>
      <c r="AX1073" s="115"/>
      <c r="AY1073" s="115"/>
      <c r="AZ1073" s="26"/>
      <c r="BA1073" s="15"/>
      <c r="BE1073" s="117"/>
      <c r="BF1073" s="116"/>
      <c r="BG1073" s="116"/>
      <c r="BH1073" s="116"/>
    </row>
    <row r="1074" spans="1:60" ht="19.5" x14ac:dyDescent="0.4">
      <c r="AG1074" s="115"/>
      <c r="AH1074" s="115"/>
      <c r="AI1074" s="122"/>
      <c r="AJ1074" s="122"/>
      <c r="AK1074" s="122"/>
      <c r="AL1074" s="115"/>
      <c r="AM1074" s="115"/>
      <c r="AN1074" s="115"/>
      <c r="AO1074" s="115"/>
      <c r="AP1074" s="115"/>
      <c r="AQ1074" s="115"/>
      <c r="AR1074" s="115"/>
      <c r="AS1074" s="115"/>
      <c r="AT1074" s="115"/>
      <c r="AU1074" s="115"/>
      <c r="AV1074" s="115"/>
      <c r="AW1074" s="115"/>
      <c r="AX1074" s="115"/>
      <c r="AY1074" s="115"/>
      <c r="AZ1074" s="17"/>
      <c r="BA1074" s="15"/>
      <c r="BE1074" s="117"/>
      <c r="BF1074" s="116"/>
      <c r="BG1074" s="116"/>
      <c r="BH1074" s="116"/>
    </row>
    <row r="1075" spans="1:60" ht="19.5" x14ac:dyDescent="0.4">
      <c r="AF1075" s="115"/>
      <c r="AG1075" s="115"/>
      <c r="AH1075" s="115"/>
      <c r="AI1075" s="122"/>
      <c r="AJ1075" s="122"/>
      <c r="AK1075" s="122"/>
      <c r="AL1075" s="115"/>
      <c r="AM1075" s="115"/>
      <c r="AN1075" s="115"/>
      <c r="AO1075" s="115"/>
      <c r="AP1075" s="115"/>
      <c r="AQ1075" s="115"/>
      <c r="AR1075" s="115"/>
      <c r="AS1075" s="115"/>
      <c r="AT1075" s="115"/>
      <c r="AU1075" s="115"/>
      <c r="AV1075" s="115"/>
      <c r="AW1075" s="115"/>
      <c r="AX1075" s="115"/>
      <c r="AY1075" s="115"/>
      <c r="AZ1075" s="26"/>
      <c r="BA1075" s="15"/>
      <c r="BE1075" s="117"/>
      <c r="BF1075" s="116"/>
      <c r="BG1075" s="116"/>
      <c r="BH1075" s="116"/>
    </row>
    <row r="1076" spans="1:60" ht="19.5" x14ac:dyDescent="0.4">
      <c r="A1076" s="115"/>
      <c r="B1076" s="115"/>
      <c r="C1076" s="115"/>
      <c r="D1076" s="115"/>
      <c r="E1076" s="115"/>
      <c r="F1076" s="115"/>
      <c r="G1076" s="115"/>
      <c r="H1076" s="115"/>
      <c r="I1076" s="115"/>
      <c r="J1076" s="115"/>
      <c r="K1076" s="115"/>
      <c r="L1076" s="115"/>
      <c r="M1076" s="115"/>
      <c r="N1076" s="115"/>
      <c r="O1076" s="115"/>
      <c r="P1076" s="115"/>
      <c r="Q1076" s="115"/>
      <c r="R1076" s="115"/>
      <c r="S1076" s="115"/>
      <c r="T1076" s="115"/>
      <c r="U1076" s="115"/>
      <c r="V1076" s="115"/>
      <c r="W1076" s="115"/>
      <c r="X1076" s="115"/>
      <c r="Y1076" s="115"/>
      <c r="Z1076" s="115"/>
      <c r="AA1076" s="115"/>
      <c r="AB1076" s="115"/>
      <c r="AC1076" s="115"/>
      <c r="AD1076" s="115"/>
      <c r="AE1076" s="115"/>
      <c r="AF1076" s="115"/>
      <c r="AG1076" s="115"/>
      <c r="AH1076" s="115"/>
      <c r="AI1076" s="122"/>
      <c r="AJ1076" s="122"/>
      <c r="AK1076" s="122"/>
      <c r="AL1076" s="115"/>
      <c r="AM1076" s="115"/>
      <c r="AN1076" s="115"/>
      <c r="AO1076" s="115"/>
      <c r="AP1076" s="115"/>
      <c r="AQ1076" s="115"/>
      <c r="AR1076" s="115"/>
      <c r="AS1076" s="115"/>
      <c r="AT1076" s="115"/>
      <c r="AU1076" s="115"/>
      <c r="AV1076" s="115"/>
      <c r="AW1076" s="115"/>
      <c r="AX1076" s="115"/>
      <c r="AY1076" s="115"/>
      <c r="AZ1076" s="26"/>
      <c r="BA1076" s="15"/>
      <c r="BE1076" s="117"/>
      <c r="BF1076" s="116"/>
      <c r="BG1076" s="116"/>
      <c r="BH1076" s="116"/>
    </row>
    <row r="1077" spans="1:60" ht="19.5" x14ac:dyDescent="0.4">
      <c r="A1077" s="115"/>
      <c r="B1077" s="115"/>
      <c r="C1077" s="115"/>
      <c r="D1077" s="115"/>
      <c r="E1077" s="115"/>
      <c r="F1077" s="115"/>
      <c r="G1077" s="115"/>
      <c r="H1077" s="115"/>
      <c r="I1077" s="115"/>
      <c r="J1077" s="115"/>
      <c r="K1077" s="115"/>
      <c r="L1077" s="115"/>
      <c r="M1077" s="115"/>
      <c r="N1077" s="115"/>
      <c r="O1077" s="115"/>
      <c r="P1077" s="115"/>
      <c r="Q1077" s="115"/>
      <c r="R1077" s="115"/>
      <c r="S1077" s="115"/>
      <c r="T1077" s="115"/>
      <c r="U1077" s="115"/>
      <c r="V1077" s="115"/>
      <c r="W1077" s="115"/>
      <c r="X1077" s="115"/>
      <c r="Y1077" s="115"/>
      <c r="Z1077" s="115"/>
      <c r="AA1077" s="115"/>
      <c r="AB1077" s="115"/>
      <c r="AC1077" s="115"/>
      <c r="AD1077" s="115"/>
      <c r="AE1077" s="115"/>
      <c r="AF1077" s="115"/>
      <c r="AG1077" s="115"/>
      <c r="AH1077" s="115"/>
      <c r="AI1077" s="122"/>
      <c r="AJ1077" s="122"/>
      <c r="AK1077" s="122"/>
      <c r="AL1077" s="115"/>
      <c r="AM1077" s="115"/>
      <c r="AN1077" s="115"/>
      <c r="AO1077" s="115"/>
      <c r="AP1077" s="115"/>
      <c r="AQ1077" s="115"/>
      <c r="AR1077" s="115"/>
      <c r="AS1077" s="115"/>
      <c r="AT1077" s="115"/>
      <c r="AU1077" s="115"/>
      <c r="AV1077" s="115"/>
      <c r="AW1077" s="115"/>
      <c r="AX1077" s="115"/>
      <c r="AY1077" s="115"/>
      <c r="AZ1077" s="26"/>
      <c r="BA1077" s="15"/>
      <c r="BE1077" s="117"/>
      <c r="BF1077" s="116"/>
      <c r="BG1077" s="116"/>
      <c r="BH1077" s="116"/>
    </row>
    <row r="1078" spans="1:60" ht="19.5" x14ac:dyDescent="0.4">
      <c r="A1078" s="115"/>
      <c r="B1078" s="115"/>
      <c r="C1078" s="115"/>
      <c r="D1078" s="115"/>
      <c r="E1078" s="115"/>
      <c r="F1078" s="115"/>
      <c r="G1078" s="115"/>
      <c r="H1078" s="115"/>
      <c r="I1078" s="115"/>
      <c r="J1078" s="115"/>
      <c r="K1078" s="115"/>
      <c r="L1078" s="115"/>
      <c r="M1078" s="115"/>
      <c r="N1078" s="115"/>
      <c r="O1078" s="115"/>
      <c r="P1078" s="115"/>
      <c r="Q1078" s="115"/>
      <c r="R1078" s="115"/>
      <c r="S1078" s="115"/>
      <c r="T1078" s="115"/>
      <c r="U1078" s="115"/>
      <c r="V1078" s="115"/>
      <c r="W1078" s="115"/>
      <c r="X1078" s="115"/>
      <c r="Y1078" s="115"/>
      <c r="Z1078" s="115"/>
      <c r="AA1078" s="115"/>
      <c r="AB1078" s="115"/>
      <c r="AC1078" s="115"/>
      <c r="AD1078" s="115"/>
      <c r="AE1078" s="115"/>
      <c r="AF1078" s="115"/>
      <c r="AG1078" s="115"/>
      <c r="AH1078" s="115"/>
      <c r="AI1078" s="122"/>
      <c r="AJ1078" s="122"/>
      <c r="AK1078" s="122"/>
      <c r="AL1078" s="115"/>
      <c r="AM1078" s="115"/>
      <c r="AN1078" s="115"/>
      <c r="AO1078" s="115"/>
      <c r="AP1078" s="115"/>
      <c r="AQ1078" s="115"/>
      <c r="AR1078" s="115"/>
      <c r="AS1078" s="115"/>
      <c r="AT1078" s="115"/>
      <c r="AU1078" s="115"/>
      <c r="AV1078" s="115"/>
      <c r="AW1078" s="115"/>
      <c r="AX1078" s="115"/>
      <c r="AY1078" s="115"/>
      <c r="AZ1078" s="26"/>
      <c r="BA1078" s="15"/>
      <c r="BE1078" s="117"/>
      <c r="BF1078" s="116"/>
      <c r="BG1078" s="116"/>
      <c r="BH1078" s="116"/>
    </row>
    <row r="1079" spans="1:60" ht="19.5" x14ac:dyDescent="0.4">
      <c r="A1079" s="115"/>
      <c r="B1079" s="115"/>
      <c r="C1079" s="115"/>
      <c r="D1079" s="115"/>
      <c r="E1079" s="115"/>
      <c r="F1079" s="115"/>
      <c r="G1079" s="115"/>
      <c r="H1079" s="115"/>
      <c r="I1079" s="115"/>
      <c r="J1079" s="115"/>
      <c r="K1079" s="115"/>
      <c r="L1079" s="115"/>
      <c r="M1079" s="115"/>
      <c r="N1079" s="115"/>
      <c r="O1079" s="115"/>
      <c r="P1079" s="115"/>
      <c r="Q1079" s="115"/>
      <c r="R1079" s="115"/>
      <c r="S1079" s="115"/>
      <c r="T1079" s="115"/>
      <c r="U1079" s="115"/>
      <c r="V1079" s="115"/>
      <c r="W1079" s="115"/>
      <c r="X1079" s="115"/>
      <c r="Y1079" s="115"/>
      <c r="Z1079" s="115"/>
      <c r="AA1079" s="115"/>
      <c r="AB1079" s="115"/>
      <c r="AC1079" s="115"/>
      <c r="AD1079" s="115"/>
      <c r="AE1079" s="115"/>
      <c r="AF1079" s="115"/>
      <c r="AG1079" s="115"/>
      <c r="AH1079" s="115"/>
      <c r="AI1079" s="122"/>
      <c r="AJ1079" s="122"/>
      <c r="AK1079" s="122"/>
      <c r="AL1079" s="115"/>
      <c r="AM1079" s="115"/>
      <c r="AN1079" s="115"/>
      <c r="AO1079" s="115"/>
      <c r="AP1079" s="115"/>
      <c r="AQ1079" s="115"/>
      <c r="AR1079" s="115"/>
      <c r="AS1079" s="115"/>
      <c r="AT1079" s="115"/>
      <c r="AU1079" s="115"/>
      <c r="AV1079" s="115"/>
      <c r="AW1079" s="115"/>
      <c r="AX1079" s="115"/>
      <c r="AY1079" s="115"/>
      <c r="AZ1079" s="26"/>
      <c r="BA1079" s="105"/>
      <c r="BE1079" s="117"/>
      <c r="BF1079" s="116"/>
      <c r="BG1079" s="116"/>
      <c r="BH1079" s="116"/>
    </row>
    <row r="1080" spans="1:60" ht="19.5" x14ac:dyDescent="0.4">
      <c r="A1080" s="115"/>
      <c r="B1080" s="115"/>
      <c r="C1080" s="115"/>
      <c r="D1080" s="115"/>
      <c r="E1080" s="115"/>
      <c r="F1080" s="115"/>
      <c r="G1080" s="115"/>
      <c r="H1080" s="115"/>
      <c r="I1080" s="115"/>
      <c r="J1080" s="115"/>
      <c r="K1080" s="115"/>
      <c r="L1080" s="115"/>
      <c r="M1080" s="115"/>
      <c r="N1080" s="115"/>
      <c r="O1080" s="115"/>
      <c r="P1080" s="115"/>
      <c r="Q1080" s="115"/>
      <c r="R1080" s="115"/>
      <c r="S1080" s="115"/>
      <c r="T1080" s="115"/>
      <c r="U1080" s="115"/>
      <c r="V1080" s="115"/>
      <c r="W1080" s="115"/>
      <c r="X1080" s="115"/>
      <c r="Y1080" s="115"/>
      <c r="Z1080" s="115"/>
      <c r="AA1080" s="115"/>
      <c r="AB1080" s="115"/>
      <c r="AC1080" s="115"/>
      <c r="AD1080" s="115"/>
      <c r="AE1080" s="115"/>
      <c r="AF1080" s="115"/>
      <c r="AG1080" s="115"/>
      <c r="AH1080" s="115"/>
      <c r="AI1080" s="122"/>
      <c r="AJ1080" s="122"/>
      <c r="AK1080" s="122"/>
      <c r="AL1080" s="115"/>
      <c r="AM1080" s="115"/>
      <c r="AN1080" s="115"/>
      <c r="AO1080" s="115"/>
      <c r="AP1080" s="115"/>
      <c r="AQ1080" s="115"/>
      <c r="AR1080" s="115"/>
      <c r="AS1080" s="115"/>
      <c r="AT1080" s="115"/>
      <c r="AU1080" s="115"/>
      <c r="AV1080" s="115"/>
      <c r="AW1080" s="115"/>
      <c r="AX1080" s="115"/>
      <c r="AY1080" s="115"/>
      <c r="AZ1080" s="26"/>
      <c r="BA1080" s="105"/>
      <c r="BE1080" s="117"/>
      <c r="BF1080" s="116"/>
      <c r="BG1080" s="116"/>
      <c r="BH1080" s="116"/>
    </row>
    <row r="1081" spans="1:60" ht="19.5" x14ac:dyDescent="0.4">
      <c r="AZ1081" s="26"/>
      <c r="BA1081" s="13"/>
      <c r="BE1081" s="117"/>
      <c r="BF1081" s="116"/>
      <c r="BG1081" s="116"/>
      <c r="BH1081" s="116"/>
    </row>
    <row r="1082" spans="1:60" ht="19.5" x14ac:dyDescent="0.4">
      <c r="AG1082" s="115"/>
      <c r="AH1082" s="115"/>
      <c r="AI1082" s="122"/>
      <c r="AJ1082" s="122"/>
      <c r="AK1082" s="122"/>
      <c r="AL1082" s="115"/>
      <c r="AM1082" s="115"/>
      <c r="AN1082" s="115"/>
      <c r="AO1082" s="115"/>
      <c r="AP1082" s="115"/>
      <c r="AQ1082" s="115"/>
      <c r="AR1082" s="115"/>
      <c r="AS1082" s="115"/>
      <c r="AT1082" s="115"/>
      <c r="AU1082" s="115"/>
      <c r="AV1082" s="115"/>
      <c r="AW1082" s="115"/>
      <c r="AX1082" s="115"/>
      <c r="AY1082" s="115"/>
      <c r="AZ1082" s="26"/>
      <c r="BA1082" s="13"/>
      <c r="BE1082" s="117"/>
      <c r="BF1082" s="116"/>
      <c r="BG1082" s="116"/>
      <c r="BH1082" s="116"/>
    </row>
    <row r="1083" spans="1:60" ht="19.5" x14ac:dyDescent="0.4">
      <c r="AB1083" s="115"/>
      <c r="AC1083" s="115"/>
      <c r="AD1083" s="115"/>
      <c r="AE1083" s="115"/>
      <c r="AF1083" s="115"/>
      <c r="AG1083" s="115"/>
      <c r="AH1083" s="115"/>
      <c r="AI1083" s="122"/>
      <c r="AJ1083" s="122"/>
      <c r="AK1083" s="122"/>
      <c r="AL1083" s="115"/>
      <c r="AM1083" s="115"/>
      <c r="AN1083" s="115"/>
      <c r="AO1083" s="115"/>
      <c r="AP1083" s="115"/>
      <c r="AQ1083" s="115"/>
      <c r="AR1083" s="115"/>
      <c r="AS1083" s="115"/>
      <c r="AT1083" s="115"/>
      <c r="AU1083" s="115"/>
      <c r="AV1083" s="115"/>
      <c r="AW1083" s="115"/>
      <c r="AX1083" s="115"/>
      <c r="AY1083" s="115"/>
      <c r="AZ1083" s="26"/>
      <c r="BA1083" s="13"/>
      <c r="BE1083" s="117"/>
      <c r="BF1083" s="116"/>
      <c r="BG1083" s="116"/>
      <c r="BH1083" s="116"/>
    </row>
    <row r="1084" spans="1:60" ht="19.5" x14ac:dyDescent="0.4">
      <c r="AZ1084" s="26"/>
      <c r="BA1084" s="13"/>
      <c r="BE1084" s="117"/>
      <c r="BF1084" s="116"/>
      <c r="BG1084" s="116"/>
      <c r="BH1084" s="116"/>
    </row>
    <row r="1085" spans="1:60" ht="19.5" x14ac:dyDescent="0.4">
      <c r="E1085" s="115"/>
      <c r="F1085" s="115"/>
      <c r="G1085" s="115"/>
      <c r="H1085" s="115"/>
      <c r="I1085" s="115"/>
      <c r="J1085" s="115"/>
      <c r="K1085" s="115"/>
      <c r="L1085" s="115"/>
      <c r="M1085" s="115"/>
      <c r="N1085" s="115"/>
      <c r="O1085" s="115"/>
      <c r="P1085" s="115"/>
      <c r="Q1085" s="115"/>
      <c r="R1085" s="115"/>
      <c r="S1085" s="115"/>
      <c r="T1085" s="115"/>
      <c r="U1085" s="115"/>
      <c r="V1085" s="115"/>
      <c r="W1085" s="115"/>
      <c r="X1085" s="115"/>
      <c r="Y1085" s="115"/>
      <c r="Z1085" s="115"/>
      <c r="AA1085" s="115"/>
      <c r="AB1085" s="115"/>
      <c r="AC1085" s="115"/>
      <c r="AD1085" s="115"/>
      <c r="AE1085" s="115"/>
      <c r="AF1085" s="115"/>
      <c r="AG1085" s="115"/>
      <c r="AH1085" s="115"/>
      <c r="AI1085" s="122"/>
      <c r="AJ1085" s="122"/>
      <c r="AK1085" s="122"/>
      <c r="AL1085" s="115"/>
      <c r="AM1085" s="115"/>
      <c r="AN1085" s="115"/>
      <c r="AO1085" s="115"/>
      <c r="AP1085" s="115"/>
      <c r="AQ1085" s="115"/>
      <c r="AR1085" s="115"/>
      <c r="AS1085" s="115"/>
      <c r="AT1085" s="115"/>
      <c r="AU1085" s="115"/>
      <c r="AV1085" s="115"/>
      <c r="AW1085" s="115"/>
      <c r="AX1085" s="115"/>
      <c r="AY1085" s="115"/>
      <c r="AZ1085" s="26"/>
      <c r="BA1085" s="13"/>
      <c r="BE1085" s="117"/>
      <c r="BF1085" s="116"/>
      <c r="BG1085" s="116"/>
      <c r="BH1085" s="116"/>
    </row>
    <row r="1086" spans="1:60" ht="19.5" x14ac:dyDescent="0.4">
      <c r="E1086" s="115"/>
      <c r="F1086" s="115"/>
      <c r="G1086" s="115"/>
      <c r="H1086" s="115"/>
      <c r="I1086" s="115"/>
      <c r="J1086" s="115"/>
      <c r="K1086" s="115"/>
      <c r="L1086" s="115"/>
      <c r="M1086" s="115"/>
      <c r="N1086" s="115"/>
      <c r="O1086" s="115"/>
      <c r="P1086" s="115"/>
      <c r="Q1086" s="115"/>
      <c r="R1086" s="115"/>
      <c r="S1086" s="115"/>
      <c r="T1086" s="115"/>
      <c r="U1086" s="115"/>
      <c r="V1086" s="115"/>
      <c r="W1086" s="115"/>
      <c r="X1086" s="115"/>
      <c r="Y1086" s="115"/>
      <c r="Z1086" s="115"/>
      <c r="AA1086" s="115"/>
      <c r="AB1086" s="115"/>
      <c r="AC1086" s="115"/>
      <c r="AD1086" s="115"/>
      <c r="AE1086" s="115"/>
      <c r="AF1086" s="115"/>
      <c r="AG1086" s="115"/>
      <c r="AH1086" s="115"/>
      <c r="AI1086" s="122"/>
      <c r="AJ1086" s="122"/>
      <c r="AK1086" s="122"/>
      <c r="AL1086" s="115"/>
      <c r="AM1086" s="115"/>
      <c r="AN1086" s="115"/>
      <c r="AO1086" s="115"/>
      <c r="AP1086" s="115"/>
      <c r="AQ1086" s="115"/>
      <c r="AR1086" s="115"/>
      <c r="AS1086" s="115"/>
      <c r="AT1086" s="115"/>
      <c r="AU1086" s="115"/>
      <c r="AV1086" s="115"/>
      <c r="AW1086" s="115"/>
      <c r="AX1086" s="115"/>
      <c r="AY1086" s="115"/>
      <c r="AZ1086" s="26"/>
      <c r="BA1086" s="13"/>
      <c r="BE1086" s="117"/>
      <c r="BF1086" s="116"/>
      <c r="BG1086" s="116"/>
      <c r="BH1086" s="116"/>
    </row>
    <row r="1087" spans="1:60" ht="19.5" x14ac:dyDescent="0.4">
      <c r="C1087" s="115"/>
      <c r="D1087" s="115"/>
      <c r="E1087" s="115"/>
      <c r="F1087" s="115"/>
      <c r="G1087" s="115"/>
      <c r="H1087" s="115"/>
      <c r="I1087" s="115"/>
      <c r="J1087" s="115"/>
      <c r="K1087" s="115"/>
      <c r="L1087" s="115"/>
      <c r="M1087" s="115"/>
      <c r="N1087" s="115"/>
      <c r="O1087" s="115"/>
      <c r="P1087" s="115"/>
      <c r="Q1087" s="115"/>
      <c r="R1087" s="115"/>
      <c r="S1087" s="115"/>
      <c r="T1087" s="115"/>
      <c r="U1087" s="115"/>
      <c r="V1087" s="115"/>
      <c r="W1087" s="115"/>
      <c r="X1087" s="115"/>
      <c r="Y1087" s="115"/>
      <c r="Z1087" s="115"/>
      <c r="AA1087" s="115"/>
      <c r="AB1087" s="115"/>
      <c r="AC1087" s="115"/>
      <c r="AD1087" s="115"/>
      <c r="AE1087" s="115"/>
      <c r="AF1087" s="115"/>
      <c r="AG1087" s="115"/>
      <c r="AH1087" s="115"/>
      <c r="AI1087" s="122"/>
      <c r="AJ1087" s="122"/>
      <c r="AK1087" s="122"/>
      <c r="AL1087" s="115"/>
      <c r="AM1087" s="115"/>
      <c r="AN1087" s="115"/>
      <c r="AO1087" s="115"/>
      <c r="AP1087" s="115"/>
      <c r="AQ1087" s="115"/>
      <c r="AR1087" s="115"/>
      <c r="AS1087" s="115"/>
      <c r="AT1087" s="115"/>
      <c r="AU1087" s="115"/>
      <c r="AV1087" s="115"/>
      <c r="AW1087" s="115"/>
      <c r="AX1087" s="115"/>
      <c r="AY1087" s="115"/>
      <c r="AZ1087" s="26"/>
      <c r="BA1087" s="13"/>
      <c r="BE1087" s="117"/>
      <c r="BF1087" s="116"/>
      <c r="BG1087" s="116"/>
      <c r="BH1087" s="116"/>
    </row>
    <row r="1088" spans="1:60" ht="19.5" x14ac:dyDescent="0.4">
      <c r="C1088" s="115"/>
      <c r="D1088" s="115"/>
      <c r="E1088" s="115"/>
      <c r="F1088" s="115"/>
      <c r="G1088" s="115"/>
      <c r="H1088" s="115"/>
      <c r="I1088" s="115"/>
      <c r="J1088" s="115"/>
      <c r="K1088" s="115"/>
      <c r="L1088" s="115"/>
      <c r="M1088" s="115"/>
      <c r="N1088" s="115"/>
      <c r="O1088" s="115"/>
      <c r="P1088" s="115"/>
      <c r="Q1088" s="115"/>
      <c r="R1088" s="115"/>
      <c r="S1088" s="115"/>
      <c r="T1088" s="115"/>
      <c r="U1088" s="115"/>
      <c r="V1088" s="115"/>
      <c r="W1088" s="115"/>
      <c r="X1088" s="115"/>
      <c r="Y1088" s="115"/>
      <c r="Z1088" s="115"/>
      <c r="AA1088" s="115"/>
      <c r="AB1088" s="115"/>
      <c r="AC1088" s="115"/>
      <c r="AD1088" s="115"/>
      <c r="AE1088" s="115"/>
      <c r="AF1088" s="115"/>
      <c r="AG1088" s="115"/>
      <c r="AH1088" s="115"/>
      <c r="AI1088" s="122"/>
      <c r="AJ1088" s="122"/>
      <c r="AK1088" s="122"/>
      <c r="AL1088" s="115"/>
      <c r="AM1088" s="115"/>
      <c r="AN1088" s="115"/>
      <c r="AO1088" s="115"/>
      <c r="AP1088" s="115"/>
      <c r="AQ1088" s="115"/>
      <c r="AR1088" s="115"/>
      <c r="AS1088" s="115"/>
      <c r="AT1088" s="115"/>
      <c r="AU1088" s="115"/>
      <c r="AV1088" s="115"/>
      <c r="AW1088" s="115"/>
      <c r="AX1088" s="115"/>
      <c r="AY1088" s="115"/>
      <c r="AZ1088" s="26"/>
      <c r="BA1088" s="13"/>
      <c r="BE1088" s="117"/>
      <c r="BF1088" s="116"/>
      <c r="BG1088" s="116"/>
      <c r="BH1088" s="116"/>
    </row>
    <row r="1089" spans="1:60" ht="19.5" x14ac:dyDescent="0.4">
      <c r="C1089" s="115"/>
      <c r="D1089" s="115"/>
      <c r="E1089" s="115"/>
      <c r="F1089" s="115"/>
      <c r="G1089" s="115"/>
      <c r="H1089" s="115"/>
      <c r="I1089" s="115"/>
      <c r="J1089" s="115"/>
      <c r="K1089" s="115"/>
      <c r="L1089" s="115"/>
      <c r="M1089" s="115"/>
      <c r="N1089" s="115"/>
      <c r="O1089" s="115"/>
      <c r="P1089" s="115"/>
      <c r="Q1089" s="115"/>
      <c r="R1089" s="115"/>
      <c r="S1089" s="115"/>
      <c r="T1089" s="115"/>
      <c r="U1089" s="115"/>
      <c r="V1089" s="115"/>
      <c r="W1089" s="115"/>
      <c r="X1089" s="115"/>
      <c r="Y1089" s="115"/>
      <c r="Z1089" s="115"/>
      <c r="AA1089" s="115"/>
      <c r="AB1089" s="115"/>
      <c r="AC1089" s="115"/>
      <c r="AD1089" s="115"/>
      <c r="AE1089" s="115"/>
      <c r="AF1089" s="115"/>
      <c r="AG1089" s="115"/>
      <c r="AH1089" s="115"/>
      <c r="AI1089" s="122"/>
      <c r="AJ1089" s="122"/>
      <c r="AK1089" s="122"/>
      <c r="AL1089" s="115"/>
      <c r="AM1089" s="115"/>
      <c r="AN1089" s="115"/>
      <c r="AO1089" s="115"/>
      <c r="AP1089" s="115"/>
      <c r="AQ1089" s="115"/>
      <c r="AR1089" s="115"/>
      <c r="AS1089" s="115"/>
      <c r="AT1089" s="115"/>
      <c r="AU1089" s="115"/>
      <c r="AV1089" s="115"/>
      <c r="AW1089" s="115"/>
      <c r="AX1089" s="115"/>
      <c r="AY1089" s="115"/>
      <c r="AZ1089" s="26"/>
      <c r="BA1089" s="13"/>
      <c r="BE1089" s="117"/>
      <c r="BF1089" s="116"/>
      <c r="BG1089" s="116"/>
      <c r="BH1089" s="116"/>
    </row>
    <row r="1090" spans="1:60" ht="19.5" x14ac:dyDescent="0.4">
      <c r="C1090" s="115"/>
      <c r="D1090" s="115"/>
      <c r="E1090" s="115"/>
      <c r="F1090" s="115"/>
      <c r="G1090" s="115"/>
      <c r="H1090" s="115"/>
      <c r="I1090" s="115"/>
      <c r="J1090" s="115"/>
      <c r="K1090" s="115"/>
      <c r="L1090" s="115"/>
      <c r="M1090" s="115"/>
      <c r="N1090" s="115"/>
      <c r="O1090" s="115"/>
      <c r="P1090" s="115"/>
      <c r="Q1090" s="115"/>
      <c r="R1090" s="115"/>
      <c r="S1090" s="115"/>
      <c r="T1090" s="115"/>
      <c r="U1090" s="115"/>
      <c r="V1090" s="115"/>
      <c r="W1090" s="115"/>
      <c r="X1090" s="115"/>
      <c r="Y1090" s="115"/>
      <c r="Z1090" s="115"/>
      <c r="AA1090" s="115"/>
      <c r="AB1090" s="115"/>
      <c r="AC1090" s="115"/>
      <c r="AD1090" s="115"/>
      <c r="AE1090" s="115"/>
      <c r="AF1090" s="115"/>
      <c r="AG1090" s="115"/>
      <c r="AH1090" s="115"/>
      <c r="AI1090" s="122"/>
      <c r="AJ1090" s="122"/>
      <c r="AK1090" s="122"/>
      <c r="AL1090" s="115"/>
      <c r="AM1090" s="115"/>
      <c r="AN1090" s="115"/>
      <c r="AO1090" s="115"/>
      <c r="AP1090" s="115"/>
      <c r="AQ1090" s="115"/>
      <c r="AR1090" s="115"/>
      <c r="AS1090" s="115"/>
      <c r="AT1090" s="115"/>
      <c r="AU1090" s="115"/>
      <c r="AV1090" s="115"/>
      <c r="AW1090" s="115"/>
      <c r="AX1090" s="115"/>
      <c r="AY1090" s="115"/>
      <c r="AZ1090" s="26"/>
      <c r="BA1090" s="13"/>
      <c r="BE1090" s="117"/>
      <c r="BF1090" s="116"/>
      <c r="BG1090" s="116"/>
      <c r="BH1090" s="116"/>
    </row>
    <row r="1091" spans="1:60" ht="19.5" x14ac:dyDescent="0.4">
      <c r="C1091" s="115"/>
      <c r="D1091" s="115"/>
      <c r="E1091" s="115"/>
      <c r="F1091" s="115"/>
      <c r="G1091" s="115"/>
      <c r="H1091" s="115"/>
      <c r="I1091" s="115"/>
      <c r="J1091" s="115"/>
      <c r="K1091" s="115"/>
      <c r="L1091" s="115"/>
      <c r="M1091" s="115"/>
      <c r="N1091" s="115"/>
      <c r="O1091" s="115"/>
      <c r="P1091" s="115"/>
      <c r="Q1091" s="115"/>
      <c r="R1091" s="115"/>
      <c r="S1091" s="115"/>
      <c r="T1091" s="115"/>
      <c r="U1091" s="115"/>
      <c r="V1091" s="115"/>
      <c r="W1091" s="115"/>
      <c r="X1091" s="115"/>
      <c r="Y1091" s="115"/>
      <c r="Z1091" s="115"/>
      <c r="AA1091" s="115"/>
      <c r="AB1091" s="115"/>
      <c r="AC1091" s="115"/>
      <c r="AD1091" s="115"/>
      <c r="AE1091" s="115"/>
      <c r="AF1091" s="115"/>
      <c r="AG1091" s="115"/>
      <c r="AH1091" s="115"/>
      <c r="AI1091" s="122"/>
      <c r="AJ1091" s="122"/>
      <c r="AK1091" s="122"/>
      <c r="AL1091" s="115"/>
      <c r="AM1091" s="115"/>
      <c r="AN1091" s="115"/>
      <c r="AO1091" s="115"/>
      <c r="AP1091" s="115"/>
      <c r="AQ1091" s="115"/>
      <c r="AR1091" s="115"/>
      <c r="AS1091" s="115"/>
      <c r="AT1091" s="115"/>
      <c r="AU1091" s="115"/>
      <c r="AV1091" s="115"/>
      <c r="AW1091" s="115"/>
      <c r="AX1091" s="115"/>
      <c r="AY1091" s="115"/>
      <c r="AZ1091" s="26"/>
      <c r="BA1091" s="13"/>
      <c r="BE1091" s="117"/>
      <c r="BF1091" s="116"/>
      <c r="BG1091" s="116"/>
      <c r="BH1091" s="116"/>
    </row>
    <row r="1092" spans="1:60" ht="19.5" x14ac:dyDescent="0.4">
      <c r="C1092" s="115"/>
      <c r="D1092" s="115"/>
      <c r="E1092" s="115"/>
      <c r="F1092" s="115"/>
      <c r="G1092" s="115"/>
      <c r="H1092" s="115"/>
      <c r="I1092" s="115"/>
      <c r="J1092" s="115"/>
      <c r="K1092" s="115"/>
      <c r="L1092" s="115"/>
      <c r="M1092" s="115"/>
      <c r="N1092" s="115"/>
      <c r="O1092" s="115"/>
      <c r="P1092" s="115"/>
      <c r="Q1092" s="115"/>
      <c r="R1092" s="115"/>
      <c r="S1092" s="115"/>
      <c r="T1092" s="115"/>
      <c r="U1092" s="115"/>
      <c r="V1092" s="115"/>
      <c r="W1092" s="115"/>
      <c r="X1092" s="115"/>
      <c r="Y1092" s="115"/>
      <c r="Z1092" s="115"/>
      <c r="AA1092" s="115"/>
      <c r="AB1092" s="115"/>
      <c r="AC1092" s="115"/>
      <c r="AD1092" s="115"/>
      <c r="AE1092" s="115"/>
      <c r="AF1092" s="115"/>
      <c r="AG1092" s="115"/>
      <c r="AH1092" s="115"/>
      <c r="AI1092" s="122"/>
      <c r="AJ1092" s="122"/>
      <c r="AK1092" s="122"/>
      <c r="AL1092" s="115"/>
      <c r="AM1092" s="115"/>
      <c r="AN1092" s="115"/>
      <c r="AO1092" s="115"/>
      <c r="AP1092" s="115"/>
      <c r="AQ1092" s="115"/>
      <c r="AR1092" s="115"/>
      <c r="AS1092" s="115"/>
      <c r="AT1092" s="115"/>
      <c r="AU1092" s="115"/>
      <c r="AV1092" s="115"/>
      <c r="AW1092" s="115"/>
      <c r="AX1092" s="115"/>
      <c r="AY1092" s="115"/>
      <c r="AZ1092" s="26"/>
      <c r="BA1092" s="13"/>
      <c r="BE1092" s="117"/>
      <c r="BF1092" s="116"/>
      <c r="BG1092" s="116"/>
      <c r="BH1092" s="116"/>
    </row>
    <row r="1093" spans="1:60" ht="19.5" x14ac:dyDescent="0.4">
      <c r="AZ1093" s="26"/>
      <c r="BA1093" s="15"/>
      <c r="BE1093" s="117"/>
      <c r="BF1093" s="116"/>
      <c r="BG1093" s="116"/>
      <c r="BH1093" s="116"/>
    </row>
    <row r="1094" spans="1:60" ht="19.5" x14ac:dyDescent="0.4">
      <c r="D1094" s="115"/>
      <c r="E1094" s="115"/>
      <c r="F1094" s="115"/>
      <c r="G1094" s="115"/>
      <c r="H1094" s="115"/>
      <c r="I1094" s="115"/>
      <c r="J1094" s="115"/>
      <c r="K1094" s="115"/>
      <c r="L1094" s="115"/>
      <c r="M1094" s="115"/>
      <c r="N1094" s="115"/>
      <c r="O1094" s="115"/>
      <c r="P1094" s="115"/>
      <c r="Q1094" s="115"/>
      <c r="R1094" s="115"/>
      <c r="S1094" s="115"/>
      <c r="T1094" s="115"/>
      <c r="U1094" s="115"/>
      <c r="V1094" s="115"/>
      <c r="W1094" s="115"/>
      <c r="X1094" s="115"/>
      <c r="Y1094" s="115"/>
      <c r="Z1094" s="115"/>
      <c r="AA1094" s="115"/>
      <c r="AB1094" s="115"/>
      <c r="AC1094" s="115"/>
      <c r="AD1094" s="115"/>
      <c r="AE1094" s="115"/>
      <c r="AF1094" s="115"/>
      <c r="AG1094" s="115"/>
      <c r="AH1094" s="115"/>
      <c r="AI1094" s="122"/>
      <c r="AJ1094" s="122"/>
      <c r="AK1094" s="122"/>
      <c r="AL1094" s="115"/>
      <c r="AM1094" s="115"/>
      <c r="AN1094" s="115"/>
      <c r="AO1094" s="115"/>
      <c r="AP1094" s="115"/>
      <c r="AQ1094" s="115"/>
      <c r="AR1094" s="115"/>
      <c r="AS1094" s="115"/>
      <c r="AT1094" s="115"/>
      <c r="AU1094" s="115"/>
      <c r="AV1094" s="115"/>
      <c r="AW1094" s="115"/>
      <c r="AX1094" s="115"/>
      <c r="AY1094" s="115"/>
      <c r="AZ1094" s="26"/>
      <c r="BA1094" s="15"/>
      <c r="BE1094" s="117"/>
      <c r="BF1094" s="116"/>
      <c r="BG1094" s="116"/>
      <c r="BH1094" s="116"/>
    </row>
    <row r="1095" spans="1:60" ht="19.5" x14ac:dyDescent="0.4">
      <c r="D1095" s="115"/>
      <c r="E1095" s="115"/>
      <c r="F1095" s="115"/>
      <c r="G1095" s="115"/>
      <c r="H1095" s="115"/>
      <c r="I1095" s="115"/>
      <c r="J1095" s="115"/>
      <c r="K1095" s="115"/>
      <c r="L1095" s="115"/>
      <c r="M1095" s="115"/>
      <c r="N1095" s="115"/>
      <c r="O1095" s="115"/>
      <c r="P1095" s="115"/>
      <c r="Q1095" s="115"/>
      <c r="R1095" s="115"/>
      <c r="S1095" s="115"/>
      <c r="T1095" s="115"/>
      <c r="U1095" s="115"/>
      <c r="V1095" s="115"/>
      <c r="W1095" s="115"/>
      <c r="X1095" s="115"/>
      <c r="Y1095" s="115"/>
      <c r="Z1095" s="115"/>
      <c r="AA1095" s="115"/>
      <c r="AB1095" s="115"/>
      <c r="AC1095" s="115"/>
      <c r="AD1095" s="115"/>
      <c r="AE1095" s="115"/>
      <c r="AF1095" s="115"/>
      <c r="AG1095" s="115"/>
      <c r="AH1095" s="115"/>
      <c r="AI1095" s="122"/>
      <c r="AJ1095" s="122"/>
      <c r="AK1095" s="122"/>
      <c r="AL1095" s="115"/>
      <c r="AM1095" s="115"/>
      <c r="AN1095" s="115"/>
      <c r="AO1095" s="115"/>
      <c r="AP1095" s="115"/>
      <c r="AQ1095" s="115"/>
      <c r="AR1095" s="115"/>
      <c r="AS1095" s="115"/>
      <c r="AT1095" s="115"/>
      <c r="AU1095" s="115"/>
      <c r="AV1095" s="115"/>
      <c r="AW1095" s="115"/>
      <c r="AX1095" s="115"/>
      <c r="AY1095" s="115"/>
      <c r="AZ1095" s="17"/>
      <c r="BA1095" s="15"/>
      <c r="BE1095" s="117"/>
      <c r="BF1095" s="116"/>
      <c r="BG1095" s="116"/>
      <c r="BH1095" s="116"/>
    </row>
    <row r="1096" spans="1:60" ht="19.5" x14ac:dyDescent="0.4">
      <c r="AZ1096" s="26"/>
      <c r="BA1096" s="15"/>
      <c r="BE1096" s="117"/>
      <c r="BF1096" s="116"/>
      <c r="BG1096" s="116"/>
      <c r="BH1096" s="116"/>
    </row>
    <row r="1097" spans="1:60" ht="19.5" x14ac:dyDescent="0.4">
      <c r="AZ1097" s="26"/>
      <c r="BA1097" s="13"/>
      <c r="BE1097" s="117"/>
      <c r="BF1097" s="116"/>
      <c r="BG1097" s="116"/>
      <c r="BH1097" s="116"/>
    </row>
    <row r="1098" spans="1:60" ht="19.5" x14ac:dyDescent="0.4">
      <c r="AF1098" s="115"/>
      <c r="AG1098" s="115"/>
      <c r="AH1098" s="115"/>
      <c r="AI1098" s="122"/>
      <c r="AJ1098" s="122"/>
      <c r="AK1098" s="122"/>
      <c r="AL1098" s="115"/>
      <c r="AM1098" s="115"/>
      <c r="AN1098" s="115"/>
      <c r="AO1098" s="115"/>
      <c r="AP1098" s="115"/>
      <c r="AQ1098" s="115"/>
      <c r="AR1098" s="115"/>
      <c r="AS1098" s="115"/>
      <c r="AT1098" s="115"/>
      <c r="AU1098" s="115"/>
      <c r="AV1098" s="115"/>
      <c r="AW1098" s="115"/>
      <c r="AX1098" s="115"/>
      <c r="AY1098" s="115"/>
      <c r="AZ1098" s="26"/>
      <c r="BA1098" s="13"/>
      <c r="BE1098" s="117"/>
      <c r="BF1098" s="116"/>
      <c r="BG1098" s="116"/>
      <c r="BH1098" s="116"/>
    </row>
    <row r="1099" spans="1:60" ht="19.5" x14ac:dyDescent="0.4">
      <c r="D1099" s="115"/>
      <c r="E1099" s="115"/>
      <c r="F1099" s="115"/>
      <c r="G1099" s="115"/>
      <c r="H1099" s="115"/>
      <c r="I1099" s="115"/>
      <c r="J1099" s="115"/>
      <c r="K1099" s="115"/>
      <c r="L1099" s="115"/>
      <c r="M1099" s="115"/>
      <c r="N1099" s="115"/>
      <c r="O1099" s="115"/>
      <c r="P1099" s="115"/>
      <c r="Q1099" s="115"/>
      <c r="R1099" s="115"/>
      <c r="S1099" s="115"/>
      <c r="T1099" s="115"/>
      <c r="U1099" s="115"/>
      <c r="V1099" s="115"/>
      <c r="W1099" s="115"/>
      <c r="X1099" s="115"/>
      <c r="Y1099" s="115"/>
      <c r="Z1099" s="115"/>
      <c r="AA1099" s="115"/>
      <c r="AB1099" s="115"/>
      <c r="AC1099" s="115"/>
      <c r="AD1099" s="115"/>
      <c r="AE1099" s="115"/>
      <c r="AF1099" s="115"/>
      <c r="AG1099" s="115"/>
      <c r="AH1099" s="115"/>
      <c r="AI1099" s="122"/>
      <c r="AJ1099" s="122"/>
      <c r="AK1099" s="122"/>
      <c r="AL1099" s="115"/>
      <c r="AM1099" s="115"/>
      <c r="AN1099" s="115"/>
      <c r="AO1099" s="115"/>
      <c r="AP1099" s="115"/>
      <c r="AQ1099" s="115"/>
      <c r="AR1099" s="115"/>
      <c r="AS1099" s="115"/>
      <c r="AT1099" s="115"/>
      <c r="AU1099" s="115"/>
      <c r="AV1099" s="115"/>
      <c r="AW1099" s="115"/>
      <c r="AX1099" s="115"/>
      <c r="AY1099" s="115"/>
      <c r="AZ1099" s="26"/>
      <c r="BA1099" s="13"/>
      <c r="BE1099" s="117"/>
      <c r="BF1099" s="116"/>
      <c r="BG1099" s="116"/>
      <c r="BH1099" s="116"/>
    </row>
    <row r="1100" spans="1:60" ht="19.5" x14ac:dyDescent="0.4">
      <c r="D1100" s="115"/>
      <c r="E1100" s="115"/>
      <c r="F1100" s="115"/>
      <c r="G1100" s="115"/>
      <c r="H1100" s="115"/>
      <c r="I1100" s="115"/>
      <c r="J1100" s="115"/>
      <c r="K1100" s="115"/>
      <c r="L1100" s="115"/>
      <c r="M1100" s="115"/>
      <c r="N1100" s="115"/>
      <c r="O1100" s="115"/>
      <c r="P1100" s="115"/>
      <c r="Q1100" s="115"/>
      <c r="R1100" s="115"/>
      <c r="S1100" s="115"/>
      <c r="T1100" s="115"/>
      <c r="U1100" s="115"/>
      <c r="V1100" s="115"/>
      <c r="W1100" s="115"/>
      <c r="X1100" s="115"/>
      <c r="Y1100" s="115"/>
      <c r="Z1100" s="115"/>
      <c r="AA1100" s="115"/>
      <c r="AB1100" s="115"/>
      <c r="AC1100" s="115"/>
      <c r="AD1100" s="115"/>
      <c r="AE1100" s="115"/>
      <c r="AF1100" s="115"/>
      <c r="AG1100" s="115"/>
      <c r="AH1100" s="115"/>
      <c r="AI1100" s="122"/>
      <c r="AJ1100" s="122"/>
      <c r="AK1100" s="122"/>
      <c r="AL1100" s="115"/>
      <c r="AM1100" s="115"/>
      <c r="AN1100" s="115"/>
      <c r="AO1100" s="115"/>
      <c r="AP1100" s="115"/>
      <c r="AQ1100" s="115"/>
      <c r="AR1100" s="115"/>
      <c r="AS1100" s="115"/>
      <c r="AT1100" s="115"/>
      <c r="AU1100" s="115"/>
      <c r="AV1100" s="115"/>
      <c r="AW1100" s="115"/>
      <c r="AX1100" s="115"/>
      <c r="AY1100" s="115"/>
      <c r="AZ1100" s="17"/>
      <c r="BA1100" s="13"/>
      <c r="BE1100" s="117"/>
      <c r="BF1100" s="116"/>
      <c r="BG1100" s="116"/>
      <c r="BH1100" s="116"/>
    </row>
    <row r="1101" spans="1:60" ht="19.5" x14ac:dyDescent="0.4">
      <c r="D1101" s="115"/>
      <c r="E1101" s="115"/>
      <c r="F1101" s="115"/>
      <c r="G1101" s="115"/>
      <c r="H1101" s="115"/>
      <c r="I1101" s="115"/>
      <c r="J1101" s="115"/>
      <c r="K1101" s="115"/>
      <c r="L1101" s="115"/>
      <c r="M1101" s="115"/>
      <c r="N1101" s="115"/>
      <c r="O1101" s="115"/>
      <c r="P1101" s="115"/>
      <c r="Q1101" s="115"/>
      <c r="R1101" s="115"/>
      <c r="S1101" s="115"/>
      <c r="T1101" s="115"/>
      <c r="U1101" s="115"/>
      <c r="V1101" s="115"/>
      <c r="W1101" s="115"/>
      <c r="X1101" s="115"/>
      <c r="Y1101" s="115"/>
      <c r="Z1101" s="115"/>
      <c r="AA1101" s="115"/>
      <c r="AB1101" s="115"/>
      <c r="AC1101" s="115"/>
      <c r="AD1101" s="115"/>
      <c r="AE1101" s="115"/>
      <c r="AF1101" s="115"/>
      <c r="AG1101" s="115"/>
      <c r="AH1101" s="115"/>
      <c r="AI1101" s="122"/>
      <c r="AJ1101" s="122"/>
      <c r="AK1101" s="122"/>
      <c r="AL1101" s="115"/>
      <c r="AM1101" s="115"/>
      <c r="AN1101" s="115"/>
      <c r="AO1101" s="115"/>
      <c r="AP1101" s="115"/>
      <c r="AQ1101" s="115"/>
      <c r="AR1101" s="115"/>
      <c r="AS1101" s="115"/>
      <c r="AT1101" s="115"/>
      <c r="AU1101" s="115"/>
      <c r="AV1101" s="115"/>
      <c r="AW1101" s="115"/>
      <c r="AX1101" s="115"/>
      <c r="AY1101" s="115"/>
      <c r="AZ1101" s="26"/>
      <c r="BA1101" s="25"/>
      <c r="BE1101" s="117"/>
      <c r="BF1101" s="116"/>
      <c r="BG1101" s="116"/>
      <c r="BH1101" s="116"/>
    </row>
    <row r="1102" spans="1:60" ht="19.5" x14ac:dyDescent="0.4">
      <c r="D1102" s="115"/>
      <c r="E1102" s="115"/>
      <c r="F1102" s="115"/>
      <c r="G1102" s="115"/>
      <c r="H1102" s="115"/>
      <c r="I1102" s="115"/>
      <c r="J1102" s="115"/>
      <c r="K1102" s="115"/>
      <c r="L1102" s="115"/>
      <c r="M1102" s="115"/>
      <c r="N1102" s="115"/>
      <c r="O1102" s="115"/>
      <c r="P1102" s="115"/>
      <c r="Q1102" s="115"/>
      <c r="R1102" s="115"/>
      <c r="S1102" s="115"/>
      <c r="T1102" s="115"/>
      <c r="U1102" s="115"/>
      <c r="V1102" s="115"/>
      <c r="W1102" s="115"/>
      <c r="X1102" s="115"/>
      <c r="Y1102" s="115"/>
      <c r="Z1102" s="115"/>
      <c r="AA1102" s="115"/>
      <c r="AB1102" s="115"/>
      <c r="AC1102" s="115"/>
      <c r="AD1102" s="115"/>
      <c r="AE1102" s="115"/>
      <c r="AF1102" s="115"/>
      <c r="AG1102" s="115"/>
      <c r="AH1102" s="115"/>
      <c r="AI1102" s="122"/>
      <c r="AJ1102" s="122"/>
      <c r="AK1102" s="122"/>
      <c r="AL1102" s="115"/>
      <c r="AM1102" s="115"/>
      <c r="AN1102" s="115"/>
      <c r="AO1102" s="115"/>
      <c r="AP1102" s="115"/>
      <c r="AQ1102" s="115"/>
      <c r="AR1102" s="115"/>
      <c r="AS1102" s="115"/>
      <c r="AT1102" s="115"/>
      <c r="AU1102" s="115"/>
      <c r="AV1102" s="115"/>
      <c r="AW1102" s="115"/>
      <c r="AX1102" s="115"/>
      <c r="AY1102" s="115"/>
      <c r="AZ1102" s="17"/>
      <c r="BA1102" s="13"/>
      <c r="BE1102" s="117"/>
      <c r="BF1102" s="116"/>
      <c r="BG1102" s="116"/>
      <c r="BH1102" s="116"/>
    </row>
    <row r="1103" spans="1:60" ht="19.5" x14ac:dyDescent="0.4">
      <c r="D1103" s="115"/>
      <c r="E1103" s="115"/>
      <c r="F1103" s="115"/>
      <c r="G1103" s="115"/>
      <c r="H1103" s="115"/>
      <c r="I1103" s="115"/>
      <c r="J1103" s="115"/>
      <c r="K1103" s="115"/>
      <c r="L1103" s="115"/>
      <c r="M1103" s="115"/>
      <c r="N1103" s="115"/>
      <c r="O1103" s="115"/>
      <c r="P1103" s="115"/>
      <c r="Q1103" s="115"/>
      <c r="R1103" s="115"/>
      <c r="S1103" s="115"/>
      <c r="T1103" s="115"/>
      <c r="U1103" s="115"/>
      <c r="V1103" s="115"/>
      <c r="W1103" s="115"/>
      <c r="X1103" s="115"/>
      <c r="Y1103" s="115"/>
      <c r="Z1103" s="115"/>
      <c r="AA1103" s="115"/>
      <c r="AB1103" s="115"/>
      <c r="AC1103" s="115"/>
      <c r="AD1103" s="115"/>
      <c r="AE1103" s="115"/>
      <c r="AF1103" s="115"/>
      <c r="AG1103" s="115"/>
      <c r="AH1103" s="115"/>
      <c r="AI1103" s="122"/>
      <c r="AJ1103" s="122"/>
      <c r="AK1103" s="122"/>
      <c r="AL1103" s="115"/>
      <c r="AM1103" s="115"/>
      <c r="AN1103" s="115"/>
      <c r="AO1103" s="115"/>
      <c r="AP1103" s="115"/>
      <c r="AQ1103" s="115"/>
      <c r="AR1103" s="115"/>
      <c r="AS1103" s="115"/>
      <c r="AT1103" s="115"/>
      <c r="AU1103" s="115"/>
      <c r="AV1103" s="115"/>
      <c r="AW1103" s="115"/>
      <c r="AX1103" s="115"/>
      <c r="AY1103" s="115"/>
      <c r="AZ1103" s="26"/>
      <c r="BA1103" s="13"/>
      <c r="BE1103" s="117"/>
      <c r="BF1103" s="116"/>
      <c r="BG1103" s="116"/>
      <c r="BH1103" s="116"/>
    </row>
    <row r="1104" spans="1:60" ht="19.5" x14ac:dyDescent="0.4">
      <c r="A1104" s="115"/>
      <c r="B1104" s="115"/>
      <c r="C1104" s="115"/>
      <c r="D1104" s="115"/>
      <c r="E1104" s="115"/>
      <c r="F1104" s="115"/>
      <c r="G1104" s="115"/>
      <c r="H1104" s="115"/>
      <c r="I1104" s="115"/>
      <c r="J1104" s="115"/>
      <c r="K1104" s="115"/>
      <c r="L1104" s="115"/>
      <c r="M1104" s="115"/>
      <c r="N1104" s="115"/>
      <c r="O1104" s="115"/>
      <c r="P1104" s="115"/>
      <c r="Q1104" s="115"/>
      <c r="R1104" s="115"/>
      <c r="S1104" s="115"/>
      <c r="T1104" s="115"/>
      <c r="U1104" s="115"/>
      <c r="V1104" s="115"/>
      <c r="W1104" s="115"/>
      <c r="X1104" s="115"/>
      <c r="Y1104" s="115"/>
      <c r="Z1104" s="115"/>
      <c r="AA1104" s="115"/>
      <c r="AB1104" s="115"/>
      <c r="AC1104" s="115"/>
      <c r="AD1104" s="115"/>
      <c r="AE1104" s="115"/>
      <c r="AF1104" s="115"/>
      <c r="AG1104" s="115"/>
      <c r="AH1104" s="115"/>
      <c r="AI1104" s="122"/>
      <c r="AJ1104" s="122"/>
      <c r="AK1104" s="122"/>
      <c r="AL1104" s="115"/>
      <c r="AM1104" s="115"/>
      <c r="AN1104" s="115"/>
      <c r="AO1104" s="115"/>
      <c r="AP1104" s="115"/>
      <c r="AQ1104" s="115"/>
      <c r="AR1104" s="115"/>
      <c r="AS1104" s="115"/>
      <c r="AT1104" s="115"/>
      <c r="AU1104" s="115"/>
      <c r="AV1104" s="115"/>
      <c r="AW1104" s="115"/>
      <c r="AX1104" s="115"/>
      <c r="AY1104" s="115"/>
      <c r="AZ1104" s="26"/>
      <c r="BA1104" s="13"/>
      <c r="BE1104" s="117"/>
      <c r="BF1104" s="116"/>
      <c r="BG1104" s="116"/>
      <c r="BH1104" s="116"/>
    </row>
    <row r="1105" spans="1:60" ht="19.5" x14ac:dyDescent="0.4">
      <c r="A1105" s="115"/>
      <c r="B1105" s="115"/>
      <c r="C1105" s="115"/>
      <c r="D1105" s="115"/>
      <c r="E1105" s="115"/>
      <c r="F1105" s="115"/>
      <c r="G1105" s="115"/>
      <c r="H1105" s="115"/>
      <c r="I1105" s="115"/>
      <c r="J1105" s="115"/>
      <c r="K1105" s="115"/>
      <c r="L1105" s="115"/>
      <c r="M1105" s="115"/>
      <c r="N1105" s="115"/>
      <c r="O1105" s="115"/>
      <c r="P1105" s="115"/>
      <c r="Q1105" s="115"/>
      <c r="R1105" s="115"/>
      <c r="S1105" s="115"/>
      <c r="T1105" s="115"/>
      <c r="U1105" s="115"/>
      <c r="V1105" s="115"/>
      <c r="W1105" s="115"/>
      <c r="X1105" s="115"/>
      <c r="Y1105" s="115"/>
      <c r="Z1105" s="115"/>
      <c r="AA1105" s="115"/>
      <c r="AB1105" s="115"/>
      <c r="AC1105" s="115"/>
      <c r="AD1105" s="115"/>
      <c r="AE1105" s="115"/>
      <c r="AF1105" s="115"/>
      <c r="AG1105" s="115"/>
      <c r="AH1105" s="115"/>
      <c r="AI1105" s="122"/>
      <c r="AJ1105" s="122"/>
      <c r="AK1105" s="122"/>
      <c r="AL1105" s="115"/>
      <c r="AM1105" s="115"/>
      <c r="AN1105" s="115"/>
      <c r="AO1105" s="115"/>
      <c r="AP1105" s="115"/>
      <c r="AQ1105" s="115"/>
      <c r="AR1105" s="115"/>
      <c r="AS1105" s="115"/>
      <c r="AT1105" s="115"/>
      <c r="AU1105" s="115"/>
      <c r="AV1105" s="115"/>
      <c r="AW1105" s="115"/>
      <c r="AX1105" s="115"/>
      <c r="AY1105" s="115"/>
      <c r="AZ1105" s="26"/>
      <c r="BA1105" s="13"/>
      <c r="BE1105" s="117"/>
      <c r="BF1105" s="116"/>
      <c r="BG1105" s="116"/>
      <c r="BH1105" s="116"/>
    </row>
    <row r="1106" spans="1:60" ht="19.5" x14ac:dyDescent="0.4">
      <c r="A1106" s="115"/>
      <c r="B1106" s="115"/>
      <c r="C1106" s="115"/>
      <c r="D1106" s="115"/>
      <c r="E1106" s="115"/>
      <c r="F1106" s="115"/>
      <c r="G1106" s="115"/>
      <c r="H1106" s="115"/>
      <c r="I1106" s="115"/>
      <c r="J1106" s="115"/>
      <c r="K1106" s="115"/>
      <c r="L1106" s="115"/>
      <c r="M1106" s="115"/>
      <c r="N1106" s="115"/>
      <c r="O1106" s="115"/>
      <c r="P1106" s="115"/>
      <c r="Q1106" s="115"/>
      <c r="R1106" s="115"/>
      <c r="S1106" s="115"/>
      <c r="T1106" s="115"/>
      <c r="U1106" s="115"/>
      <c r="V1106" s="115"/>
      <c r="W1106" s="115"/>
      <c r="X1106" s="115"/>
      <c r="Y1106" s="115"/>
      <c r="Z1106" s="115"/>
      <c r="AA1106" s="115"/>
      <c r="AB1106" s="115"/>
      <c r="AC1106" s="115"/>
      <c r="AD1106" s="115"/>
      <c r="AE1106" s="115"/>
      <c r="AF1106" s="115"/>
      <c r="AG1106" s="115"/>
      <c r="AH1106" s="115"/>
      <c r="AI1106" s="122"/>
      <c r="AJ1106" s="122"/>
      <c r="AK1106" s="122"/>
      <c r="AL1106" s="115"/>
      <c r="AM1106" s="115"/>
      <c r="AN1106" s="115"/>
      <c r="AO1106" s="115"/>
      <c r="AP1106" s="115"/>
      <c r="AQ1106" s="115"/>
      <c r="AR1106" s="115"/>
      <c r="AS1106" s="115"/>
      <c r="AT1106" s="115"/>
      <c r="AU1106" s="115"/>
      <c r="AV1106" s="115"/>
      <c r="AW1106" s="115"/>
      <c r="AX1106" s="115"/>
      <c r="AY1106" s="115"/>
      <c r="AZ1106" s="26"/>
      <c r="BA1106" s="13"/>
      <c r="BE1106" s="117"/>
      <c r="BF1106" s="116"/>
      <c r="BG1106" s="116"/>
      <c r="BH1106" s="116"/>
    </row>
    <row r="1107" spans="1:60" ht="19.5" x14ac:dyDescent="0.4">
      <c r="A1107" s="115"/>
      <c r="B1107" s="115"/>
      <c r="C1107" s="115"/>
      <c r="D1107" s="115"/>
      <c r="E1107" s="115"/>
      <c r="F1107" s="115"/>
      <c r="G1107" s="115"/>
      <c r="H1107" s="115"/>
      <c r="I1107" s="115"/>
      <c r="J1107" s="115"/>
      <c r="K1107" s="115"/>
      <c r="L1107" s="115"/>
      <c r="M1107" s="115"/>
      <c r="N1107" s="115"/>
      <c r="O1107" s="115"/>
      <c r="P1107" s="115"/>
      <c r="Q1107" s="115"/>
      <c r="R1107" s="115"/>
      <c r="S1107" s="115"/>
      <c r="T1107" s="115"/>
      <c r="U1107" s="115"/>
      <c r="V1107" s="115"/>
      <c r="W1107" s="115"/>
      <c r="X1107" s="115"/>
      <c r="Y1107" s="115"/>
      <c r="Z1107" s="115"/>
      <c r="AA1107" s="115"/>
      <c r="AB1107" s="115"/>
      <c r="AC1107" s="115"/>
      <c r="AD1107" s="115"/>
      <c r="AE1107" s="115"/>
      <c r="AF1107" s="115"/>
      <c r="AG1107" s="115"/>
      <c r="AH1107" s="115"/>
      <c r="AI1107" s="122"/>
      <c r="AJ1107" s="122"/>
      <c r="AK1107" s="122"/>
      <c r="AL1107" s="115"/>
      <c r="AM1107" s="115"/>
      <c r="AN1107" s="115"/>
      <c r="AO1107" s="115"/>
      <c r="AP1107" s="115"/>
      <c r="AQ1107" s="115"/>
      <c r="AR1107" s="115"/>
      <c r="AS1107" s="115"/>
      <c r="AT1107" s="115"/>
      <c r="AU1107" s="115"/>
      <c r="AV1107" s="115"/>
      <c r="AW1107" s="115"/>
      <c r="AX1107" s="115"/>
      <c r="AY1107" s="115"/>
      <c r="AZ1107" s="26"/>
      <c r="BA1107" s="13"/>
      <c r="BE1107" s="117"/>
      <c r="BF1107" s="116"/>
      <c r="BG1107" s="116"/>
      <c r="BH1107" s="116"/>
    </row>
    <row r="1108" spans="1:60" ht="19.5" x14ac:dyDescent="0.4">
      <c r="A1108" s="115"/>
      <c r="B1108" s="115"/>
      <c r="C1108" s="115"/>
      <c r="D1108" s="115"/>
      <c r="E1108" s="115"/>
      <c r="F1108" s="115"/>
      <c r="G1108" s="115"/>
      <c r="H1108" s="115"/>
      <c r="I1108" s="115"/>
      <c r="J1108" s="115"/>
      <c r="K1108" s="115"/>
      <c r="L1108" s="115"/>
      <c r="M1108" s="115"/>
      <c r="N1108" s="115"/>
      <c r="O1108" s="115"/>
      <c r="P1108" s="115"/>
      <c r="Q1108" s="115"/>
      <c r="R1108" s="115"/>
      <c r="S1108" s="115"/>
      <c r="T1108" s="115"/>
      <c r="U1108" s="115"/>
      <c r="V1108" s="115"/>
      <c r="W1108" s="115"/>
      <c r="X1108" s="115"/>
      <c r="Y1108" s="115"/>
      <c r="Z1108" s="115"/>
      <c r="AA1108" s="115"/>
      <c r="AB1108" s="115"/>
      <c r="AC1108" s="115"/>
      <c r="AD1108" s="115"/>
      <c r="AE1108" s="115"/>
      <c r="AF1108" s="115"/>
      <c r="AG1108" s="115"/>
      <c r="AH1108" s="115"/>
      <c r="AI1108" s="122"/>
      <c r="AJ1108" s="122"/>
      <c r="AK1108" s="122"/>
      <c r="AL1108" s="115"/>
      <c r="AM1108" s="115"/>
      <c r="AN1108" s="115"/>
      <c r="AO1108" s="115"/>
      <c r="AP1108" s="115"/>
      <c r="AQ1108" s="115"/>
      <c r="AR1108" s="115"/>
      <c r="AS1108" s="115"/>
      <c r="AT1108" s="115"/>
      <c r="AU1108" s="115"/>
      <c r="AV1108" s="115"/>
      <c r="AW1108" s="115"/>
      <c r="AX1108" s="115"/>
      <c r="AY1108" s="115"/>
      <c r="AZ1108" s="26"/>
      <c r="BA1108" s="13"/>
      <c r="BE1108" s="117"/>
      <c r="BF1108" s="116"/>
      <c r="BG1108" s="116"/>
      <c r="BH1108" s="116"/>
    </row>
    <row r="1109" spans="1:60" ht="19.5" x14ac:dyDescent="0.4">
      <c r="A1109" s="115"/>
      <c r="B1109" s="115"/>
      <c r="C1109" s="115"/>
      <c r="D1109" s="115"/>
      <c r="E1109" s="115"/>
      <c r="F1109" s="115"/>
      <c r="G1109" s="115"/>
      <c r="H1109" s="115"/>
      <c r="I1109" s="115"/>
      <c r="J1109" s="115"/>
      <c r="K1109" s="115"/>
      <c r="L1109" s="115"/>
      <c r="M1109" s="115"/>
      <c r="N1109" s="115"/>
      <c r="O1109" s="115"/>
      <c r="P1109" s="115"/>
      <c r="Q1109" s="115"/>
      <c r="R1109" s="115"/>
      <c r="S1109" s="115"/>
      <c r="T1109" s="115"/>
      <c r="U1109" s="115"/>
      <c r="V1109" s="115"/>
      <c r="W1109" s="115"/>
      <c r="X1109" s="115"/>
      <c r="Y1109" s="115"/>
      <c r="Z1109" s="115"/>
      <c r="AA1109" s="115"/>
      <c r="AB1109" s="115"/>
      <c r="AC1109" s="115"/>
      <c r="AD1109" s="115"/>
      <c r="AE1109" s="115"/>
      <c r="AF1109" s="115"/>
      <c r="AG1109" s="115"/>
      <c r="AH1109" s="115"/>
      <c r="AI1109" s="122"/>
      <c r="AJ1109" s="122"/>
      <c r="AK1109" s="122"/>
      <c r="AL1109" s="115"/>
      <c r="AM1109" s="115"/>
      <c r="AN1109" s="115"/>
      <c r="AO1109" s="115"/>
      <c r="AP1109" s="115"/>
      <c r="AQ1109" s="115"/>
      <c r="AR1109" s="115"/>
      <c r="AS1109" s="115"/>
      <c r="AT1109" s="115"/>
      <c r="AU1109" s="115"/>
      <c r="AV1109" s="115"/>
      <c r="AW1109" s="115"/>
      <c r="AX1109" s="115"/>
      <c r="AY1109" s="115"/>
      <c r="AZ1109" s="26"/>
      <c r="BA1109" s="13"/>
      <c r="BE1109" s="117"/>
      <c r="BF1109" s="116"/>
      <c r="BG1109" s="116"/>
      <c r="BH1109" s="116"/>
    </row>
    <row r="1110" spans="1:60" ht="19.5" x14ac:dyDescent="0.4">
      <c r="A1110" s="115"/>
      <c r="B1110" s="115"/>
      <c r="C1110" s="115"/>
      <c r="D1110" s="115"/>
      <c r="E1110" s="115"/>
      <c r="F1110" s="115"/>
      <c r="G1110" s="115"/>
      <c r="H1110" s="115"/>
      <c r="I1110" s="115"/>
      <c r="J1110" s="115"/>
      <c r="K1110" s="115"/>
      <c r="L1110" s="115"/>
      <c r="M1110" s="115"/>
      <c r="N1110" s="115"/>
      <c r="O1110" s="115"/>
      <c r="P1110" s="115"/>
      <c r="Q1110" s="115"/>
      <c r="R1110" s="115"/>
      <c r="S1110" s="115"/>
      <c r="T1110" s="115"/>
      <c r="U1110" s="115"/>
      <c r="V1110" s="115"/>
      <c r="W1110" s="115"/>
      <c r="X1110" s="115"/>
      <c r="Y1110" s="115"/>
      <c r="Z1110" s="115"/>
      <c r="AA1110" s="115"/>
      <c r="AB1110" s="115"/>
      <c r="AC1110" s="115"/>
      <c r="AD1110" s="115"/>
      <c r="AE1110" s="115"/>
      <c r="AF1110" s="115"/>
      <c r="AG1110" s="115"/>
      <c r="AH1110" s="115"/>
      <c r="AI1110" s="122"/>
      <c r="AJ1110" s="122"/>
      <c r="AK1110" s="122"/>
      <c r="AL1110" s="115"/>
      <c r="AM1110" s="115"/>
      <c r="AN1110" s="115"/>
      <c r="AO1110" s="115"/>
      <c r="AP1110" s="115"/>
      <c r="AQ1110" s="115"/>
      <c r="AR1110" s="115"/>
      <c r="AS1110" s="115"/>
      <c r="AT1110" s="115"/>
      <c r="AU1110" s="115"/>
      <c r="AV1110" s="115"/>
      <c r="AW1110" s="115"/>
      <c r="AX1110" s="115"/>
      <c r="AY1110" s="115"/>
      <c r="AZ1110" s="26"/>
      <c r="BA1110" s="13"/>
      <c r="BE1110" s="117"/>
      <c r="BF1110" s="116"/>
      <c r="BG1110" s="116"/>
      <c r="BH1110" s="116"/>
    </row>
    <row r="1111" spans="1:60" ht="19.5" x14ac:dyDescent="0.4">
      <c r="A1111" s="115"/>
      <c r="B1111" s="115"/>
      <c r="C1111" s="115"/>
      <c r="D1111" s="115"/>
      <c r="E1111" s="115"/>
      <c r="F1111" s="115"/>
      <c r="G1111" s="115"/>
      <c r="H1111" s="115"/>
      <c r="I1111" s="115"/>
      <c r="J1111" s="115"/>
      <c r="K1111" s="115"/>
      <c r="L1111" s="115"/>
      <c r="M1111" s="115"/>
      <c r="N1111" s="115"/>
      <c r="O1111" s="115"/>
      <c r="P1111" s="115"/>
      <c r="Q1111" s="115"/>
      <c r="R1111" s="115"/>
      <c r="S1111" s="115"/>
      <c r="T1111" s="115"/>
      <c r="U1111" s="115"/>
      <c r="V1111" s="115"/>
      <c r="W1111" s="115"/>
      <c r="X1111" s="115"/>
      <c r="Y1111" s="115"/>
      <c r="Z1111" s="115"/>
      <c r="AA1111" s="115"/>
      <c r="AB1111" s="115"/>
      <c r="AC1111" s="115"/>
      <c r="AD1111" s="115"/>
      <c r="AE1111" s="115"/>
      <c r="AF1111" s="115"/>
      <c r="AG1111" s="115"/>
      <c r="AH1111" s="115"/>
      <c r="AI1111" s="122"/>
      <c r="AJ1111" s="122"/>
      <c r="AK1111" s="122"/>
      <c r="AL1111" s="115"/>
      <c r="AM1111" s="115"/>
      <c r="AN1111" s="115"/>
      <c r="AO1111" s="115"/>
      <c r="AP1111" s="115"/>
      <c r="AQ1111" s="115"/>
      <c r="AR1111" s="115"/>
      <c r="AS1111" s="115"/>
      <c r="AT1111" s="115"/>
      <c r="AU1111" s="115"/>
      <c r="AV1111" s="115"/>
      <c r="AW1111" s="115"/>
      <c r="AX1111" s="115"/>
      <c r="AY1111" s="115"/>
      <c r="AZ1111" s="26"/>
      <c r="BA1111" s="15"/>
      <c r="BE1111" s="117"/>
      <c r="BF1111" s="116"/>
      <c r="BG1111" s="116"/>
      <c r="BH1111" s="116"/>
    </row>
    <row r="1112" spans="1:60" ht="19.5" x14ac:dyDescent="0.4">
      <c r="A1112" s="115"/>
      <c r="B1112" s="115"/>
      <c r="C1112" s="115"/>
      <c r="D1112" s="115"/>
      <c r="E1112" s="115"/>
      <c r="F1112" s="115"/>
      <c r="G1112" s="115"/>
      <c r="H1112" s="115"/>
      <c r="I1112" s="115"/>
      <c r="J1112" s="115"/>
      <c r="K1112" s="115"/>
      <c r="L1112" s="115"/>
      <c r="M1112" s="115"/>
      <c r="N1112" s="115"/>
      <c r="O1112" s="115"/>
      <c r="P1112" s="115"/>
      <c r="Q1112" s="115"/>
      <c r="R1112" s="115"/>
      <c r="S1112" s="115"/>
      <c r="T1112" s="115"/>
      <c r="U1112" s="115"/>
      <c r="V1112" s="115"/>
      <c r="W1112" s="115"/>
      <c r="X1112" s="115"/>
      <c r="Y1112" s="115"/>
      <c r="Z1112" s="115"/>
      <c r="AA1112" s="115"/>
      <c r="AB1112" s="115"/>
      <c r="AC1112" s="115"/>
      <c r="AD1112" s="115"/>
      <c r="AE1112" s="115"/>
      <c r="AF1112" s="115"/>
      <c r="AG1112" s="115"/>
      <c r="AH1112" s="115"/>
      <c r="AI1112" s="122"/>
      <c r="AJ1112" s="122"/>
      <c r="AK1112" s="122"/>
      <c r="AL1112" s="115"/>
      <c r="AM1112" s="115"/>
      <c r="AN1112" s="115"/>
      <c r="AO1112" s="115"/>
      <c r="AP1112" s="115"/>
      <c r="AQ1112" s="115"/>
      <c r="AR1112" s="115"/>
      <c r="AS1112" s="115"/>
      <c r="AT1112" s="115"/>
      <c r="AU1112" s="115"/>
      <c r="AV1112" s="115"/>
      <c r="AW1112" s="115"/>
      <c r="AX1112" s="115"/>
      <c r="AY1112" s="115"/>
      <c r="AZ1112" s="26"/>
      <c r="BA1112" s="15"/>
      <c r="BE1112" s="117"/>
      <c r="BF1112" s="116"/>
      <c r="BG1112" s="116"/>
      <c r="BH1112" s="116"/>
    </row>
    <row r="1113" spans="1:60" ht="19.5" x14ac:dyDescent="0.4">
      <c r="A1113" s="115"/>
      <c r="B1113" s="115"/>
      <c r="C1113" s="115"/>
      <c r="D1113" s="115"/>
      <c r="E1113" s="115"/>
      <c r="F1113" s="115"/>
      <c r="G1113" s="115"/>
      <c r="H1113" s="115"/>
      <c r="I1113" s="115"/>
      <c r="J1113" s="115"/>
      <c r="K1113" s="115"/>
      <c r="L1113" s="115"/>
      <c r="M1113" s="115"/>
      <c r="N1113" s="115"/>
      <c r="O1113" s="115"/>
      <c r="P1113" s="115"/>
      <c r="Q1113" s="115"/>
      <c r="R1113" s="115"/>
      <c r="S1113" s="115"/>
      <c r="T1113" s="115"/>
      <c r="U1113" s="115"/>
      <c r="V1113" s="115"/>
      <c r="W1113" s="115"/>
      <c r="X1113" s="115"/>
      <c r="Y1113" s="115"/>
      <c r="Z1113" s="115"/>
      <c r="AA1113" s="115"/>
      <c r="AB1113" s="115"/>
      <c r="AC1113" s="115"/>
      <c r="AD1113" s="115"/>
      <c r="AE1113" s="115"/>
      <c r="AF1113" s="115"/>
      <c r="AG1113" s="115"/>
      <c r="AH1113" s="115"/>
      <c r="AI1113" s="122"/>
      <c r="AJ1113" s="122"/>
      <c r="AK1113" s="122"/>
      <c r="AL1113" s="115"/>
      <c r="AM1113" s="115"/>
      <c r="AN1113" s="115"/>
      <c r="AO1113" s="115"/>
      <c r="AP1113" s="115"/>
      <c r="AQ1113" s="115"/>
      <c r="AR1113" s="115"/>
      <c r="AS1113" s="115"/>
      <c r="AT1113" s="115"/>
      <c r="AU1113" s="115"/>
      <c r="AV1113" s="115"/>
      <c r="AW1113" s="115"/>
      <c r="AX1113" s="115"/>
      <c r="AY1113" s="115"/>
      <c r="AZ1113" s="26"/>
      <c r="BA1113" s="15"/>
      <c r="BE1113" s="117"/>
      <c r="BF1113" s="116"/>
      <c r="BG1113" s="116"/>
      <c r="BH1113" s="116"/>
    </row>
    <row r="1114" spans="1:60" ht="19.5" x14ac:dyDescent="0.4">
      <c r="A1114" s="115"/>
      <c r="B1114" s="115"/>
      <c r="C1114" s="115"/>
      <c r="D1114" s="115"/>
      <c r="E1114" s="115"/>
      <c r="F1114" s="115"/>
      <c r="G1114" s="115"/>
      <c r="H1114" s="115"/>
      <c r="I1114" s="115"/>
      <c r="J1114" s="115"/>
      <c r="K1114" s="115"/>
      <c r="L1114" s="115"/>
      <c r="M1114" s="115"/>
      <c r="N1114" s="115"/>
      <c r="O1114" s="115"/>
      <c r="P1114" s="115"/>
      <c r="Q1114" s="115"/>
      <c r="R1114" s="115"/>
      <c r="S1114" s="115"/>
      <c r="T1114" s="115"/>
      <c r="U1114" s="115"/>
      <c r="V1114" s="115"/>
      <c r="W1114" s="115"/>
      <c r="X1114" s="115"/>
      <c r="Y1114" s="115"/>
      <c r="Z1114" s="115"/>
      <c r="AA1114" s="115"/>
      <c r="AB1114" s="115"/>
      <c r="AC1114" s="115"/>
      <c r="AD1114" s="115"/>
      <c r="AE1114" s="115"/>
      <c r="AF1114" s="115"/>
      <c r="AG1114" s="115"/>
      <c r="AH1114" s="115"/>
      <c r="AI1114" s="122"/>
      <c r="AJ1114" s="122"/>
      <c r="AK1114" s="122"/>
      <c r="AL1114" s="115"/>
      <c r="AM1114" s="115"/>
      <c r="AN1114" s="115"/>
      <c r="AO1114" s="115"/>
      <c r="AP1114" s="115"/>
      <c r="AQ1114" s="115"/>
      <c r="AR1114" s="115"/>
      <c r="AS1114" s="115"/>
      <c r="AT1114" s="115"/>
      <c r="AU1114" s="115"/>
      <c r="AV1114" s="115"/>
      <c r="AW1114" s="115"/>
      <c r="AX1114" s="115"/>
      <c r="AY1114" s="115"/>
      <c r="AZ1114" s="26"/>
      <c r="BA1114" s="15"/>
      <c r="BE1114" s="117"/>
      <c r="BF1114" s="116"/>
      <c r="BG1114" s="116"/>
      <c r="BH1114" s="116"/>
    </row>
    <row r="1115" spans="1:60" ht="19.5" x14ac:dyDescent="0.4">
      <c r="A1115" s="115"/>
      <c r="B1115" s="115"/>
      <c r="C1115" s="115"/>
      <c r="D1115" s="115"/>
      <c r="E1115" s="115"/>
      <c r="F1115" s="115"/>
      <c r="G1115" s="115"/>
      <c r="H1115" s="115"/>
      <c r="I1115" s="115"/>
      <c r="J1115" s="115"/>
      <c r="K1115" s="115"/>
      <c r="L1115" s="115"/>
      <c r="M1115" s="115"/>
      <c r="N1115" s="115"/>
      <c r="O1115" s="115"/>
      <c r="P1115" s="115"/>
      <c r="Q1115" s="115"/>
      <c r="R1115" s="115"/>
      <c r="S1115" s="115"/>
      <c r="T1115" s="115"/>
      <c r="U1115" s="115"/>
      <c r="V1115" s="115"/>
      <c r="W1115" s="115"/>
      <c r="X1115" s="115"/>
      <c r="Y1115" s="115"/>
      <c r="Z1115" s="115"/>
      <c r="AA1115" s="115"/>
      <c r="AB1115" s="115"/>
      <c r="AC1115" s="115"/>
      <c r="AD1115" s="115"/>
      <c r="AE1115" s="115"/>
      <c r="AF1115" s="115"/>
      <c r="AG1115" s="115"/>
      <c r="AH1115" s="115"/>
      <c r="AI1115" s="122"/>
      <c r="AJ1115" s="122"/>
      <c r="AK1115" s="122"/>
      <c r="AL1115" s="115"/>
      <c r="AM1115" s="115"/>
      <c r="AN1115" s="115"/>
      <c r="AO1115" s="115"/>
      <c r="AP1115" s="115"/>
      <c r="AQ1115" s="115"/>
      <c r="AR1115" s="115"/>
      <c r="AS1115" s="115"/>
      <c r="AT1115" s="115"/>
      <c r="AU1115" s="115"/>
      <c r="AV1115" s="115"/>
      <c r="AW1115" s="115"/>
      <c r="AX1115" s="115"/>
      <c r="AY1115" s="115"/>
      <c r="AZ1115" s="26"/>
      <c r="BA1115" s="25"/>
      <c r="BE1115" s="117"/>
      <c r="BF1115" s="116"/>
      <c r="BG1115" s="116"/>
      <c r="BH1115" s="116"/>
    </row>
    <row r="1116" spans="1:60" ht="19.5" x14ac:dyDescent="0.4">
      <c r="AZ1116" s="26"/>
      <c r="BA1116" s="15"/>
      <c r="BE1116" s="117"/>
      <c r="BF1116" s="116"/>
      <c r="BG1116" s="116"/>
      <c r="BH1116" s="116"/>
    </row>
    <row r="1117" spans="1:60" ht="19.5" x14ac:dyDescent="0.4">
      <c r="AH1117" s="115"/>
      <c r="AI1117" s="122"/>
      <c r="AJ1117" s="122"/>
      <c r="AK1117" s="122"/>
      <c r="AL1117" s="115"/>
      <c r="AM1117" s="115"/>
      <c r="AN1117" s="115"/>
      <c r="AO1117" s="115"/>
      <c r="AP1117" s="115"/>
      <c r="AQ1117" s="115"/>
      <c r="AR1117" s="115"/>
      <c r="AS1117" s="115"/>
      <c r="AT1117" s="115"/>
      <c r="AU1117" s="115"/>
      <c r="AV1117" s="115"/>
      <c r="AW1117" s="115"/>
      <c r="AX1117" s="115"/>
      <c r="AY1117" s="115"/>
      <c r="AZ1117" s="26"/>
      <c r="BA1117" s="15"/>
      <c r="BE1117" s="117"/>
      <c r="BF1117" s="116"/>
      <c r="BG1117" s="116"/>
      <c r="BH1117" s="116"/>
    </row>
    <row r="1118" spans="1:60" ht="19.5" x14ac:dyDescent="0.4">
      <c r="AF1118" s="115"/>
      <c r="AG1118" s="115"/>
      <c r="AH1118" s="115"/>
      <c r="AI1118" s="122"/>
      <c r="AJ1118" s="122"/>
      <c r="AK1118" s="122"/>
      <c r="AL1118" s="115"/>
      <c r="AM1118" s="115"/>
      <c r="AN1118" s="115"/>
      <c r="AO1118" s="115"/>
      <c r="AP1118" s="115"/>
      <c r="AQ1118" s="115"/>
      <c r="AR1118" s="115"/>
      <c r="AS1118" s="115"/>
      <c r="AT1118" s="115"/>
      <c r="AU1118" s="115"/>
      <c r="AV1118" s="115"/>
      <c r="AW1118" s="115"/>
      <c r="AX1118" s="115"/>
      <c r="AY1118" s="115"/>
      <c r="AZ1118" s="26"/>
      <c r="BA1118" s="15"/>
      <c r="BE1118" s="117"/>
      <c r="BF1118" s="116"/>
      <c r="BG1118" s="116"/>
      <c r="BH1118" s="116"/>
    </row>
    <row r="1119" spans="1:60" ht="19.5" x14ac:dyDescent="0.4">
      <c r="AF1119" s="115"/>
      <c r="AG1119" s="115"/>
      <c r="AH1119" s="115"/>
      <c r="AI1119" s="122"/>
      <c r="AJ1119" s="122"/>
      <c r="AK1119" s="122"/>
      <c r="AL1119" s="115"/>
      <c r="AM1119" s="115"/>
      <c r="AN1119" s="115"/>
      <c r="AO1119" s="115"/>
      <c r="AP1119" s="115"/>
      <c r="AQ1119" s="115"/>
      <c r="AR1119" s="115"/>
      <c r="AS1119" s="115"/>
      <c r="AT1119" s="115"/>
      <c r="AU1119" s="115"/>
      <c r="AV1119" s="115"/>
      <c r="AW1119" s="115"/>
      <c r="AX1119" s="115"/>
      <c r="AY1119" s="115"/>
      <c r="AZ1119" s="17"/>
      <c r="BA1119" s="15"/>
      <c r="BE1119" s="117"/>
      <c r="BF1119" s="116"/>
      <c r="BG1119" s="116"/>
      <c r="BH1119" s="116"/>
    </row>
    <row r="1120" spans="1:60" ht="19.5" x14ac:dyDescent="0.4">
      <c r="AC1120" s="115"/>
      <c r="AD1120" s="115"/>
      <c r="AE1120" s="115"/>
      <c r="AF1120" s="115"/>
      <c r="AG1120" s="115"/>
      <c r="AH1120" s="115"/>
      <c r="AI1120" s="122"/>
      <c r="AJ1120" s="122"/>
      <c r="AK1120" s="122"/>
      <c r="AL1120" s="115"/>
      <c r="AM1120" s="115"/>
      <c r="AN1120" s="115"/>
      <c r="AO1120" s="115"/>
      <c r="AP1120" s="115"/>
      <c r="AQ1120" s="115"/>
      <c r="AR1120" s="115"/>
      <c r="AS1120" s="115"/>
      <c r="AT1120" s="115"/>
      <c r="AU1120" s="115"/>
      <c r="AV1120" s="115"/>
      <c r="AW1120" s="115"/>
      <c r="AX1120" s="115"/>
      <c r="AY1120" s="115"/>
      <c r="AZ1120" s="26"/>
      <c r="BA1120" s="15"/>
      <c r="BE1120" s="117"/>
      <c r="BF1120" s="116"/>
      <c r="BG1120" s="116"/>
      <c r="BH1120" s="116"/>
    </row>
    <row r="1121" spans="1:60" ht="19.5" x14ac:dyDescent="0.4">
      <c r="AC1121" s="115"/>
      <c r="AD1121" s="115"/>
      <c r="AE1121" s="115"/>
      <c r="AF1121" s="115"/>
      <c r="AG1121" s="115"/>
      <c r="AH1121" s="115"/>
      <c r="AI1121" s="122"/>
      <c r="AJ1121" s="122"/>
      <c r="AK1121" s="122"/>
      <c r="AL1121" s="115"/>
      <c r="AM1121" s="115"/>
      <c r="AN1121" s="115"/>
      <c r="AO1121" s="115"/>
      <c r="AP1121" s="115"/>
      <c r="AQ1121" s="115"/>
      <c r="AR1121" s="115"/>
      <c r="AS1121" s="115"/>
      <c r="AT1121" s="115"/>
      <c r="AU1121" s="115"/>
      <c r="AV1121" s="115"/>
      <c r="AW1121" s="115"/>
      <c r="AX1121" s="115"/>
      <c r="AY1121" s="115"/>
      <c r="AZ1121" s="17"/>
      <c r="BA1121" s="15"/>
      <c r="BE1121" s="117"/>
      <c r="BF1121" s="116"/>
      <c r="BG1121" s="116"/>
      <c r="BH1121" s="116"/>
    </row>
    <row r="1122" spans="1:60" ht="19.5" x14ac:dyDescent="0.4">
      <c r="AC1122" s="115"/>
      <c r="AD1122" s="115"/>
      <c r="AE1122" s="115"/>
      <c r="AF1122" s="115"/>
      <c r="AG1122" s="115"/>
      <c r="AH1122" s="115"/>
      <c r="AI1122" s="122"/>
      <c r="AJ1122" s="122"/>
      <c r="AK1122" s="122"/>
      <c r="AL1122" s="115"/>
      <c r="AM1122" s="115"/>
      <c r="AN1122" s="115"/>
      <c r="AO1122" s="115"/>
      <c r="AP1122" s="115"/>
      <c r="AQ1122" s="115"/>
      <c r="AR1122" s="115"/>
      <c r="AS1122" s="115"/>
      <c r="AT1122" s="115"/>
      <c r="AU1122" s="115"/>
      <c r="AV1122" s="115"/>
      <c r="AW1122" s="115"/>
      <c r="AX1122" s="115"/>
      <c r="AY1122" s="115"/>
      <c r="AZ1122" s="26"/>
      <c r="BA1122" s="15"/>
      <c r="BE1122" s="117"/>
      <c r="BF1122" s="116"/>
      <c r="BG1122" s="116"/>
      <c r="BH1122" s="116"/>
    </row>
    <row r="1123" spans="1:60" ht="19.5" x14ac:dyDescent="0.4">
      <c r="AC1123" s="115"/>
      <c r="AD1123" s="115"/>
      <c r="AE1123" s="115"/>
      <c r="AF1123" s="115"/>
      <c r="AG1123" s="115"/>
      <c r="AH1123" s="115"/>
      <c r="AI1123" s="122"/>
      <c r="AJ1123" s="122"/>
      <c r="AK1123" s="122"/>
      <c r="AL1123" s="115"/>
      <c r="AM1123" s="115"/>
      <c r="AN1123" s="115"/>
      <c r="AO1123" s="115"/>
      <c r="AP1123" s="115"/>
      <c r="AQ1123" s="115"/>
      <c r="AR1123" s="115"/>
      <c r="AS1123" s="115"/>
      <c r="AT1123" s="115"/>
      <c r="AU1123" s="115"/>
      <c r="AV1123" s="115"/>
      <c r="AW1123" s="115"/>
      <c r="AX1123" s="115"/>
      <c r="AY1123" s="115"/>
      <c r="AZ1123" s="17"/>
      <c r="BA1123" s="13"/>
      <c r="BE1123" s="117"/>
      <c r="BF1123" s="116"/>
      <c r="BG1123" s="116"/>
      <c r="BH1123" s="116"/>
    </row>
    <row r="1124" spans="1:60" ht="19.5" x14ac:dyDescent="0.4">
      <c r="AC1124" s="115"/>
      <c r="AD1124" s="115"/>
      <c r="AE1124" s="115"/>
      <c r="AF1124" s="115"/>
      <c r="AG1124" s="115"/>
      <c r="AH1124" s="115"/>
      <c r="AI1124" s="122"/>
      <c r="AJ1124" s="122"/>
      <c r="AK1124" s="122"/>
      <c r="AL1124" s="115"/>
      <c r="AM1124" s="115"/>
      <c r="AN1124" s="115"/>
      <c r="AO1124" s="115"/>
      <c r="AP1124" s="115"/>
      <c r="AQ1124" s="115"/>
      <c r="AR1124" s="115"/>
      <c r="AS1124" s="115"/>
      <c r="AT1124" s="115"/>
      <c r="AU1124" s="115"/>
      <c r="AV1124" s="115"/>
      <c r="AW1124" s="115"/>
      <c r="AX1124" s="115"/>
      <c r="AY1124" s="115"/>
      <c r="AZ1124" s="17"/>
      <c r="BA1124" s="13"/>
      <c r="BE1124" s="117"/>
      <c r="BF1124" s="116"/>
      <c r="BG1124" s="116"/>
      <c r="BH1124" s="116"/>
    </row>
    <row r="1125" spans="1:60" ht="19.5" x14ac:dyDescent="0.4">
      <c r="AZ1125" s="26"/>
      <c r="BA1125" s="13"/>
      <c r="BE1125" s="117"/>
      <c r="BF1125" s="116"/>
      <c r="BG1125" s="116"/>
      <c r="BH1125" s="116"/>
    </row>
    <row r="1126" spans="1:60" ht="19.5" x14ac:dyDescent="0.4">
      <c r="AH1126" s="115"/>
      <c r="AI1126" s="122"/>
      <c r="AJ1126" s="122"/>
      <c r="AK1126" s="122"/>
      <c r="AL1126" s="115"/>
      <c r="AM1126" s="115"/>
      <c r="AN1126" s="115"/>
      <c r="AO1126" s="115"/>
      <c r="AP1126" s="115"/>
      <c r="AQ1126" s="115"/>
      <c r="AR1126" s="115"/>
      <c r="AS1126" s="115"/>
      <c r="AT1126" s="115"/>
      <c r="AU1126" s="115"/>
      <c r="AV1126" s="115"/>
      <c r="AW1126" s="115"/>
      <c r="AX1126" s="115"/>
      <c r="AY1126" s="115"/>
      <c r="AZ1126" s="17"/>
      <c r="BA1126" s="13"/>
      <c r="BE1126" s="117"/>
      <c r="BF1126" s="116"/>
      <c r="BG1126" s="116"/>
      <c r="BH1126" s="116"/>
    </row>
    <row r="1127" spans="1:60" ht="19.5" x14ac:dyDescent="0.4">
      <c r="A1127" s="115"/>
      <c r="B1127" s="115"/>
      <c r="C1127" s="115"/>
      <c r="D1127" s="115"/>
      <c r="E1127" s="115"/>
      <c r="F1127" s="115"/>
      <c r="G1127" s="115"/>
      <c r="H1127" s="115"/>
      <c r="I1127" s="115"/>
      <c r="J1127" s="115"/>
      <c r="K1127" s="115"/>
      <c r="L1127" s="115"/>
      <c r="M1127" s="115"/>
      <c r="N1127" s="115"/>
      <c r="O1127" s="115"/>
      <c r="P1127" s="115"/>
      <c r="Q1127" s="115"/>
      <c r="R1127" s="115"/>
      <c r="S1127" s="115"/>
      <c r="T1127" s="115"/>
      <c r="U1127" s="115"/>
      <c r="V1127" s="115"/>
      <c r="W1127" s="115"/>
      <c r="X1127" s="115"/>
      <c r="Y1127" s="115"/>
      <c r="Z1127" s="115"/>
      <c r="AA1127" s="115"/>
      <c r="AB1127" s="115"/>
      <c r="AC1127" s="115"/>
      <c r="AD1127" s="115"/>
      <c r="AE1127" s="115"/>
      <c r="AF1127" s="115"/>
      <c r="AG1127" s="115"/>
      <c r="AH1127" s="115"/>
      <c r="AI1127" s="122"/>
      <c r="AJ1127" s="122"/>
      <c r="AK1127" s="122"/>
      <c r="AL1127" s="115"/>
      <c r="AM1127" s="115"/>
      <c r="AN1127" s="115"/>
      <c r="AO1127" s="115"/>
      <c r="AP1127" s="115"/>
      <c r="AQ1127" s="115"/>
      <c r="AR1127" s="115"/>
      <c r="AS1127" s="115"/>
      <c r="AT1127" s="115"/>
      <c r="AU1127" s="115"/>
      <c r="AV1127" s="115"/>
      <c r="AW1127" s="115"/>
      <c r="AX1127" s="115"/>
      <c r="AY1127" s="115"/>
      <c r="AZ1127" s="26"/>
      <c r="BA1127" s="13"/>
      <c r="BE1127" s="117"/>
      <c r="BF1127" s="116"/>
      <c r="BG1127" s="116"/>
      <c r="BH1127" s="116"/>
    </row>
    <row r="1128" spans="1:60" ht="19.5" x14ac:dyDescent="0.4">
      <c r="A1128" s="115"/>
      <c r="B1128" s="115"/>
      <c r="C1128" s="115"/>
      <c r="D1128" s="115"/>
      <c r="E1128" s="115"/>
      <c r="F1128" s="115"/>
      <c r="G1128" s="115"/>
      <c r="H1128" s="115"/>
      <c r="I1128" s="115"/>
      <c r="J1128" s="115"/>
      <c r="K1128" s="115"/>
      <c r="L1128" s="115"/>
      <c r="M1128" s="115"/>
      <c r="N1128" s="115"/>
      <c r="O1128" s="115"/>
      <c r="P1128" s="115"/>
      <c r="Q1128" s="115"/>
      <c r="R1128" s="115"/>
      <c r="S1128" s="115"/>
      <c r="T1128" s="115"/>
      <c r="U1128" s="115"/>
      <c r="V1128" s="115"/>
      <c r="W1128" s="115"/>
      <c r="X1128" s="115"/>
      <c r="Y1128" s="115"/>
      <c r="Z1128" s="115"/>
      <c r="AA1128" s="115"/>
      <c r="AB1128" s="115"/>
      <c r="AC1128" s="115"/>
      <c r="AD1128" s="115"/>
      <c r="AE1128" s="115"/>
      <c r="AF1128" s="115"/>
      <c r="AG1128" s="115"/>
      <c r="AH1128" s="115"/>
      <c r="AI1128" s="122"/>
      <c r="AJ1128" s="122"/>
      <c r="AK1128" s="122"/>
      <c r="AL1128" s="115"/>
      <c r="AM1128" s="115"/>
      <c r="AN1128" s="115"/>
      <c r="AO1128" s="115"/>
      <c r="AP1128" s="115"/>
      <c r="AQ1128" s="115"/>
      <c r="AR1128" s="115"/>
      <c r="AS1128" s="115"/>
      <c r="AT1128" s="115"/>
      <c r="AU1128" s="115"/>
      <c r="AV1128" s="115"/>
      <c r="AW1128" s="115"/>
      <c r="AX1128" s="115"/>
      <c r="AY1128" s="115"/>
      <c r="AZ1128" s="26"/>
      <c r="BA1128" s="13"/>
      <c r="BE1128" s="117"/>
      <c r="BF1128" s="116"/>
      <c r="BG1128" s="116"/>
      <c r="BH1128" s="116"/>
    </row>
    <row r="1129" spans="1:60" ht="19.5" x14ac:dyDescent="0.4">
      <c r="A1129" s="115"/>
      <c r="B1129" s="115"/>
      <c r="C1129" s="115"/>
      <c r="D1129" s="115"/>
      <c r="E1129" s="115"/>
      <c r="F1129" s="115"/>
      <c r="G1129" s="115"/>
      <c r="H1129" s="115"/>
      <c r="I1129" s="115"/>
      <c r="J1129" s="115"/>
      <c r="K1129" s="115"/>
      <c r="L1129" s="115"/>
      <c r="M1129" s="115"/>
      <c r="N1129" s="115"/>
      <c r="O1129" s="115"/>
      <c r="P1129" s="115"/>
      <c r="Q1129" s="115"/>
      <c r="R1129" s="115"/>
      <c r="S1129" s="115"/>
      <c r="T1129" s="115"/>
      <c r="U1129" s="115"/>
      <c r="V1129" s="115"/>
      <c r="W1129" s="115"/>
      <c r="X1129" s="115"/>
      <c r="Y1129" s="115"/>
      <c r="Z1129" s="115"/>
      <c r="AA1129" s="115"/>
      <c r="AB1129" s="115"/>
      <c r="AC1129" s="115"/>
      <c r="AD1129" s="115"/>
      <c r="AE1129" s="115"/>
      <c r="AF1129" s="115"/>
      <c r="AG1129" s="115"/>
      <c r="AH1129" s="115"/>
      <c r="AI1129" s="122"/>
      <c r="AJ1129" s="122"/>
      <c r="AK1129" s="122"/>
      <c r="AL1129" s="115"/>
      <c r="AM1129" s="115"/>
      <c r="AN1129" s="115"/>
      <c r="AO1129" s="115"/>
      <c r="AP1129" s="115"/>
      <c r="AQ1129" s="115"/>
      <c r="AR1129" s="115"/>
      <c r="AS1129" s="115"/>
      <c r="AT1129" s="115"/>
      <c r="AU1129" s="115"/>
      <c r="AV1129" s="115"/>
      <c r="AW1129" s="115"/>
      <c r="AX1129" s="115"/>
      <c r="AY1129" s="115"/>
      <c r="AZ1129" s="26"/>
      <c r="BA1129" s="13"/>
      <c r="BE1129" s="117"/>
      <c r="BF1129" s="116"/>
      <c r="BG1129" s="116"/>
      <c r="BH1129" s="116"/>
    </row>
    <row r="1130" spans="1:60" ht="19.5" x14ac:dyDescent="0.4">
      <c r="A1130" s="115"/>
      <c r="B1130" s="115"/>
      <c r="C1130" s="115"/>
      <c r="D1130" s="115"/>
      <c r="E1130" s="115"/>
      <c r="F1130" s="115"/>
      <c r="G1130" s="115"/>
      <c r="H1130" s="115"/>
      <c r="I1130" s="115"/>
      <c r="J1130" s="115"/>
      <c r="K1130" s="115"/>
      <c r="L1130" s="115"/>
      <c r="M1130" s="115"/>
      <c r="N1130" s="115"/>
      <c r="O1130" s="115"/>
      <c r="P1130" s="115"/>
      <c r="Q1130" s="115"/>
      <c r="R1130" s="115"/>
      <c r="S1130" s="115"/>
      <c r="T1130" s="115"/>
      <c r="U1130" s="115"/>
      <c r="V1130" s="115"/>
      <c r="W1130" s="115"/>
      <c r="X1130" s="115"/>
      <c r="Y1130" s="115"/>
      <c r="Z1130" s="115"/>
      <c r="AA1130" s="115"/>
      <c r="AB1130" s="115"/>
      <c r="AC1130" s="115"/>
      <c r="AD1130" s="115"/>
      <c r="AE1130" s="115"/>
      <c r="AF1130" s="115"/>
      <c r="AG1130" s="115"/>
      <c r="AH1130" s="115"/>
      <c r="AI1130" s="122"/>
      <c r="AJ1130" s="122"/>
      <c r="AK1130" s="122"/>
      <c r="AL1130" s="115"/>
      <c r="AM1130" s="115"/>
      <c r="AN1130" s="115"/>
      <c r="AO1130" s="115"/>
      <c r="AP1130" s="115"/>
      <c r="AQ1130" s="115"/>
      <c r="AR1130" s="115"/>
      <c r="AS1130" s="115"/>
      <c r="AT1130" s="115"/>
      <c r="AU1130" s="115"/>
      <c r="AV1130" s="115"/>
      <c r="AW1130" s="115"/>
      <c r="AX1130" s="115"/>
      <c r="AY1130" s="115"/>
      <c r="AZ1130" s="26"/>
      <c r="BA1130" s="13"/>
      <c r="BE1130" s="117"/>
      <c r="BF1130" s="116"/>
      <c r="BG1130" s="116"/>
      <c r="BH1130" s="116"/>
    </row>
    <row r="1131" spans="1:60" ht="19.5" x14ac:dyDescent="0.4">
      <c r="A1131" s="115"/>
      <c r="B1131" s="115"/>
      <c r="C1131" s="115"/>
      <c r="D1131" s="115"/>
      <c r="E1131" s="115"/>
      <c r="F1131" s="115"/>
      <c r="G1131" s="115"/>
      <c r="H1131" s="115"/>
      <c r="I1131" s="115"/>
      <c r="J1131" s="115"/>
      <c r="K1131" s="115"/>
      <c r="L1131" s="115"/>
      <c r="M1131" s="115"/>
      <c r="N1131" s="115"/>
      <c r="O1131" s="115"/>
      <c r="P1131" s="115"/>
      <c r="Q1131" s="115"/>
      <c r="R1131" s="115"/>
      <c r="S1131" s="115"/>
      <c r="T1131" s="115"/>
      <c r="U1131" s="115"/>
      <c r="V1131" s="115"/>
      <c r="W1131" s="115"/>
      <c r="X1131" s="115"/>
      <c r="Y1131" s="115"/>
      <c r="Z1131" s="115"/>
      <c r="AA1131" s="115"/>
      <c r="AB1131" s="115"/>
      <c r="AC1131" s="115"/>
      <c r="AD1131" s="115"/>
      <c r="AE1131" s="115"/>
      <c r="AF1131" s="115"/>
      <c r="AG1131" s="115"/>
      <c r="AH1131" s="115"/>
      <c r="AI1131" s="122"/>
      <c r="AJ1131" s="122"/>
      <c r="AK1131" s="122"/>
      <c r="AL1131" s="115"/>
      <c r="AM1131" s="115"/>
      <c r="AN1131" s="115"/>
      <c r="AO1131" s="115"/>
      <c r="AP1131" s="115"/>
      <c r="AQ1131" s="115"/>
      <c r="AR1131" s="115"/>
      <c r="AS1131" s="115"/>
      <c r="AT1131" s="115"/>
      <c r="AU1131" s="115"/>
      <c r="AV1131" s="115"/>
      <c r="AW1131" s="115"/>
      <c r="AX1131" s="115"/>
      <c r="AY1131" s="115"/>
      <c r="AZ1131" s="17"/>
      <c r="BA1131" s="13"/>
      <c r="BE1131" s="117"/>
      <c r="BF1131" s="116"/>
      <c r="BG1131" s="116"/>
      <c r="BH1131" s="116"/>
    </row>
    <row r="1132" spans="1:60" ht="19.5" x14ac:dyDescent="0.4">
      <c r="A1132" s="115"/>
      <c r="B1132" s="115"/>
      <c r="C1132" s="115"/>
      <c r="D1132" s="115"/>
      <c r="E1132" s="115"/>
      <c r="F1132" s="115"/>
      <c r="G1132" s="115"/>
      <c r="H1132" s="115"/>
      <c r="I1132" s="115"/>
      <c r="J1132" s="115"/>
      <c r="K1132" s="115"/>
      <c r="L1132" s="115"/>
      <c r="M1132" s="115"/>
      <c r="N1132" s="115"/>
      <c r="O1132" s="115"/>
      <c r="P1132" s="115"/>
      <c r="Q1132" s="115"/>
      <c r="R1132" s="115"/>
      <c r="S1132" s="115"/>
      <c r="T1132" s="115"/>
      <c r="U1132" s="115"/>
      <c r="V1132" s="115"/>
      <c r="W1132" s="115"/>
      <c r="X1132" s="115"/>
      <c r="Y1132" s="115"/>
      <c r="Z1132" s="115"/>
      <c r="AA1132" s="115"/>
      <c r="AB1132" s="115"/>
      <c r="AC1132" s="115"/>
      <c r="AD1132" s="115"/>
      <c r="AE1132" s="115"/>
      <c r="AF1132" s="115"/>
      <c r="AG1132" s="115"/>
      <c r="AH1132" s="115"/>
      <c r="AI1132" s="122"/>
      <c r="AJ1132" s="122"/>
      <c r="AK1132" s="122"/>
      <c r="AL1132" s="115"/>
      <c r="AM1132" s="115"/>
      <c r="AN1132" s="115"/>
      <c r="AO1132" s="115"/>
      <c r="AP1132" s="115"/>
      <c r="AQ1132" s="115"/>
      <c r="AR1132" s="115"/>
      <c r="AS1132" s="115"/>
      <c r="AT1132" s="115"/>
      <c r="AU1132" s="115"/>
      <c r="AV1132" s="115"/>
      <c r="AW1132" s="115"/>
      <c r="AX1132" s="115"/>
      <c r="AY1132" s="115"/>
      <c r="AZ1132" s="26"/>
      <c r="BA1132" s="13"/>
      <c r="BE1132" s="117"/>
      <c r="BF1132" s="116"/>
      <c r="BG1132" s="116"/>
      <c r="BH1132" s="116"/>
    </row>
    <row r="1133" spans="1:60" ht="19.5" x14ac:dyDescent="0.4">
      <c r="A1133" s="115"/>
      <c r="B1133" s="115"/>
      <c r="C1133" s="115"/>
      <c r="D1133" s="115"/>
      <c r="E1133" s="115"/>
      <c r="F1133" s="115"/>
      <c r="G1133" s="115"/>
      <c r="H1133" s="115"/>
      <c r="I1133" s="115"/>
      <c r="J1133" s="115"/>
      <c r="K1133" s="115"/>
      <c r="L1133" s="115"/>
      <c r="M1133" s="115"/>
      <c r="N1133" s="115"/>
      <c r="O1133" s="115"/>
      <c r="P1133" s="115"/>
      <c r="Q1133" s="115"/>
      <c r="R1133" s="115"/>
      <c r="S1133" s="115"/>
      <c r="T1133" s="115"/>
      <c r="U1133" s="115"/>
      <c r="V1133" s="115"/>
      <c r="W1133" s="115"/>
      <c r="X1133" s="115"/>
      <c r="Y1133" s="115"/>
      <c r="Z1133" s="115"/>
      <c r="AA1133" s="115"/>
      <c r="AB1133" s="115"/>
      <c r="AC1133" s="115"/>
      <c r="AD1133" s="115"/>
      <c r="AE1133" s="115"/>
      <c r="AF1133" s="115"/>
      <c r="AG1133" s="115"/>
      <c r="AH1133" s="115"/>
      <c r="AI1133" s="122"/>
      <c r="AJ1133" s="122"/>
      <c r="AK1133" s="122"/>
      <c r="AL1133" s="115"/>
      <c r="AM1133" s="115"/>
      <c r="AN1133" s="115"/>
      <c r="AO1133" s="115"/>
      <c r="AP1133" s="115"/>
      <c r="AQ1133" s="115"/>
      <c r="AR1133" s="115"/>
      <c r="AS1133" s="115"/>
      <c r="AT1133" s="115"/>
      <c r="AU1133" s="115"/>
      <c r="AV1133" s="115"/>
      <c r="AW1133" s="115"/>
      <c r="AX1133" s="115"/>
      <c r="AY1133" s="115"/>
      <c r="AZ1133" s="26"/>
      <c r="BA1133" s="15"/>
      <c r="BE1133" s="117"/>
      <c r="BF1133" s="116"/>
      <c r="BG1133" s="116"/>
      <c r="BH1133" s="116"/>
    </row>
    <row r="1134" spans="1:60" ht="19.5" x14ac:dyDescent="0.4">
      <c r="AZ1134" s="26"/>
      <c r="BA1134" s="15"/>
      <c r="BE1134" s="117"/>
      <c r="BF1134" s="116"/>
      <c r="BG1134" s="116"/>
      <c r="BH1134" s="116"/>
    </row>
    <row r="1135" spans="1:60" ht="19.5" x14ac:dyDescent="0.4">
      <c r="AG1135" s="115"/>
      <c r="AH1135" s="115"/>
      <c r="AI1135" s="122"/>
      <c r="AJ1135" s="122"/>
      <c r="AK1135" s="122"/>
      <c r="AL1135" s="115"/>
      <c r="AM1135" s="115"/>
      <c r="AN1135" s="115"/>
      <c r="AO1135" s="115"/>
      <c r="AP1135" s="115"/>
      <c r="AQ1135" s="115"/>
      <c r="AR1135" s="115"/>
      <c r="AS1135" s="115"/>
      <c r="AT1135" s="115"/>
      <c r="AU1135" s="115"/>
      <c r="AV1135" s="115"/>
      <c r="AW1135" s="115"/>
      <c r="AX1135" s="115"/>
      <c r="AY1135" s="115"/>
      <c r="AZ1135" s="26"/>
      <c r="BA1135" s="13"/>
      <c r="BE1135" s="117"/>
      <c r="BF1135" s="116"/>
      <c r="BG1135" s="116"/>
      <c r="BH1135" s="116"/>
    </row>
    <row r="1136" spans="1:60" ht="19.5" x14ac:dyDescent="0.4">
      <c r="AE1136" s="115"/>
      <c r="AF1136" s="115"/>
      <c r="AG1136" s="115"/>
      <c r="AH1136" s="115"/>
      <c r="AI1136" s="122"/>
      <c r="AJ1136" s="122"/>
      <c r="AK1136" s="122"/>
      <c r="AL1136" s="115"/>
      <c r="AM1136" s="115"/>
      <c r="AN1136" s="115"/>
      <c r="AO1136" s="115"/>
      <c r="AP1136" s="115"/>
      <c r="AQ1136" s="115"/>
      <c r="AR1136" s="115"/>
      <c r="AS1136" s="115"/>
      <c r="AT1136" s="115"/>
      <c r="AU1136" s="115"/>
      <c r="AV1136" s="115"/>
      <c r="AW1136" s="115"/>
      <c r="AX1136" s="115"/>
      <c r="AY1136" s="115"/>
      <c r="AZ1136" s="26"/>
      <c r="BA1136" s="15"/>
      <c r="BE1136" s="117"/>
      <c r="BF1136" s="116"/>
      <c r="BG1136" s="116"/>
      <c r="BH1136" s="116"/>
    </row>
    <row r="1137" spans="1:60" ht="19.5" x14ac:dyDescent="0.4">
      <c r="AE1137" s="115"/>
      <c r="AF1137" s="115"/>
      <c r="AG1137" s="115"/>
      <c r="AH1137" s="115"/>
      <c r="AI1137" s="122"/>
      <c r="AJ1137" s="122"/>
      <c r="AK1137" s="122"/>
      <c r="AL1137" s="115"/>
      <c r="AM1137" s="115"/>
      <c r="AN1137" s="115"/>
      <c r="AO1137" s="115"/>
      <c r="AP1137" s="115"/>
      <c r="AQ1137" s="115"/>
      <c r="AR1137" s="115"/>
      <c r="AS1137" s="115"/>
      <c r="AT1137" s="115"/>
      <c r="AU1137" s="115"/>
      <c r="AV1137" s="115"/>
      <c r="AW1137" s="115"/>
      <c r="AX1137" s="115"/>
      <c r="AY1137" s="115"/>
      <c r="AZ1137" s="26"/>
      <c r="BA1137" s="15"/>
      <c r="BE1137" s="117"/>
      <c r="BF1137" s="116"/>
      <c r="BG1137" s="116"/>
      <c r="BH1137" s="116"/>
    </row>
    <row r="1138" spans="1:60" ht="19.5" x14ac:dyDescent="0.4">
      <c r="AE1138" s="115"/>
      <c r="AF1138" s="115"/>
      <c r="AG1138" s="115"/>
      <c r="AH1138" s="115"/>
      <c r="AI1138" s="122"/>
      <c r="AJ1138" s="122"/>
      <c r="AK1138" s="122"/>
      <c r="AL1138" s="115"/>
      <c r="AM1138" s="115"/>
      <c r="AN1138" s="115"/>
      <c r="AO1138" s="115"/>
      <c r="AP1138" s="115"/>
      <c r="AQ1138" s="115"/>
      <c r="AR1138" s="115"/>
      <c r="AS1138" s="115"/>
      <c r="AT1138" s="115"/>
      <c r="AU1138" s="115"/>
      <c r="AV1138" s="115"/>
      <c r="AW1138" s="115"/>
      <c r="AX1138" s="115"/>
      <c r="AY1138" s="115"/>
      <c r="AZ1138" s="17"/>
      <c r="BA1138" s="15"/>
      <c r="BE1138" s="117"/>
      <c r="BF1138" s="116"/>
      <c r="BG1138" s="116"/>
      <c r="BH1138" s="116"/>
    </row>
    <row r="1139" spans="1:60" ht="19.5" x14ac:dyDescent="0.4">
      <c r="AD1139" s="115"/>
      <c r="AE1139" s="115"/>
      <c r="AF1139" s="115"/>
      <c r="AG1139" s="115"/>
      <c r="AH1139" s="115"/>
      <c r="AI1139" s="122"/>
      <c r="AJ1139" s="122"/>
      <c r="AK1139" s="122"/>
      <c r="AL1139" s="115"/>
      <c r="AM1139" s="115"/>
      <c r="AN1139" s="115"/>
      <c r="AO1139" s="115"/>
      <c r="AP1139" s="115"/>
      <c r="AQ1139" s="115"/>
      <c r="AR1139" s="115"/>
      <c r="AS1139" s="115"/>
      <c r="AT1139" s="115"/>
      <c r="AU1139" s="115"/>
      <c r="AV1139" s="115"/>
      <c r="AW1139" s="115"/>
      <c r="AX1139" s="115"/>
      <c r="AY1139" s="115"/>
      <c r="AZ1139" s="26"/>
      <c r="BA1139" s="15"/>
      <c r="BE1139" s="117"/>
      <c r="BF1139" s="116"/>
      <c r="BG1139" s="116"/>
      <c r="BH1139" s="116"/>
    </row>
    <row r="1140" spans="1:60" ht="19.5" x14ac:dyDescent="0.4">
      <c r="AD1140" s="115"/>
      <c r="AE1140" s="115"/>
      <c r="AF1140" s="115"/>
      <c r="AG1140" s="115"/>
      <c r="AH1140" s="115"/>
      <c r="AI1140" s="122"/>
      <c r="AJ1140" s="122"/>
      <c r="AK1140" s="122"/>
      <c r="AL1140" s="115"/>
      <c r="AM1140" s="115"/>
      <c r="AN1140" s="115"/>
      <c r="AO1140" s="115"/>
      <c r="AP1140" s="115"/>
      <c r="AQ1140" s="115"/>
      <c r="AR1140" s="115"/>
      <c r="AS1140" s="115"/>
      <c r="AT1140" s="115"/>
      <c r="AU1140" s="115"/>
      <c r="AV1140" s="115"/>
      <c r="AW1140" s="115"/>
      <c r="AX1140" s="115"/>
      <c r="AY1140" s="115"/>
      <c r="AZ1140" s="26"/>
      <c r="BA1140" s="15"/>
      <c r="BE1140" s="117"/>
      <c r="BF1140" s="116"/>
      <c r="BG1140" s="116"/>
      <c r="BH1140" s="116"/>
    </row>
    <row r="1141" spans="1:60" ht="19.5" x14ac:dyDescent="0.4">
      <c r="AD1141" s="115"/>
      <c r="AE1141" s="115"/>
      <c r="AF1141" s="115"/>
      <c r="AG1141" s="115"/>
      <c r="AH1141" s="115"/>
      <c r="AI1141" s="122"/>
      <c r="AJ1141" s="122"/>
      <c r="AK1141" s="122"/>
      <c r="AL1141" s="115"/>
      <c r="AM1141" s="115"/>
      <c r="AN1141" s="115"/>
      <c r="AO1141" s="115"/>
      <c r="AP1141" s="115"/>
      <c r="AQ1141" s="115"/>
      <c r="AR1141" s="115"/>
      <c r="AS1141" s="115"/>
      <c r="AT1141" s="115"/>
      <c r="AU1141" s="115"/>
      <c r="AV1141" s="115"/>
      <c r="AW1141" s="115"/>
      <c r="AX1141" s="115"/>
      <c r="AY1141" s="115"/>
      <c r="AZ1141" s="26"/>
      <c r="BA1141" s="105"/>
      <c r="BE1141" s="117"/>
      <c r="BF1141" s="116"/>
      <c r="BG1141" s="116"/>
      <c r="BH1141" s="116"/>
    </row>
    <row r="1142" spans="1:60" ht="19.5" x14ac:dyDescent="0.4">
      <c r="AD1142" s="115"/>
      <c r="AE1142" s="115"/>
      <c r="AF1142" s="115"/>
      <c r="AG1142" s="115"/>
      <c r="AH1142" s="115"/>
      <c r="AI1142" s="122"/>
      <c r="AJ1142" s="122"/>
      <c r="AK1142" s="122"/>
      <c r="AL1142" s="115"/>
      <c r="AM1142" s="115"/>
      <c r="AN1142" s="115"/>
      <c r="AO1142" s="115"/>
      <c r="AP1142" s="115"/>
      <c r="AQ1142" s="115"/>
      <c r="AR1142" s="115"/>
      <c r="AS1142" s="115"/>
      <c r="AT1142" s="115"/>
      <c r="AU1142" s="115"/>
      <c r="AV1142" s="115"/>
      <c r="AW1142" s="115"/>
      <c r="AX1142" s="115"/>
      <c r="AY1142" s="115"/>
      <c r="AZ1142" s="17"/>
      <c r="BA1142" s="15"/>
      <c r="BE1142" s="117"/>
      <c r="BF1142" s="116"/>
      <c r="BG1142" s="116"/>
      <c r="BH1142" s="116"/>
    </row>
    <row r="1143" spans="1:60" ht="19.5" x14ac:dyDescent="0.4">
      <c r="AD1143" s="115"/>
      <c r="AE1143" s="115"/>
      <c r="AF1143" s="115"/>
      <c r="AG1143" s="115"/>
      <c r="AH1143" s="115"/>
      <c r="AI1143" s="122"/>
      <c r="AJ1143" s="122"/>
      <c r="AK1143" s="122"/>
      <c r="AL1143" s="115"/>
      <c r="AM1143" s="115"/>
      <c r="AN1143" s="115"/>
      <c r="AO1143" s="115"/>
      <c r="AP1143" s="115"/>
      <c r="AQ1143" s="115"/>
      <c r="AR1143" s="115"/>
      <c r="AS1143" s="115"/>
      <c r="AT1143" s="115"/>
      <c r="AU1143" s="115"/>
      <c r="AV1143" s="115"/>
      <c r="AW1143" s="115"/>
      <c r="AX1143" s="115"/>
      <c r="AY1143" s="115"/>
      <c r="AZ1143" s="26"/>
      <c r="BA1143" s="15"/>
      <c r="BE1143" s="117"/>
      <c r="BF1143" s="116"/>
      <c r="BG1143" s="116"/>
      <c r="BH1143" s="116"/>
    </row>
    <row r="1144" spans="1:60" ht="19.5" x14ac:dyDescent="0.4">
      <c r="AD1144" s="115"/>
      <c r="AE1144" s="115"/>
      <c r="AF1144" s="115"/>
      <c r="AG1144" s="115"/>
      <c r="AH1144" s="115"/>
      <c r="AI1144" s="122"/>
      <c r="AJ1144" s="122"/>
      <c r="AK1144" s="122"/>
      <c r="AL1144" s="115"/>
      <c r="AM1144" s="115"/>
      <c r="AN1144" s="115"/>
      <c r="AO1144" s="115"/>
      <c r="AP1144" s="115"/>
      <c r="AQ1144" s="115"/>
      <c r="AR1144" s="115"/>
      <c r="AS1144" s="115"/>
      <c r="AT1144" s="115"/>
      <c r="AU1144" s="115"/>
      <c r="AV1144" s="115"/>
      <c r="AW1144" s="115"/>
      <c r="AX1144" s="115"/>
      <c r="AY1144" s="115"/>
      <c r="AZ1144" s="17"/>
      <c r="BA1144" s="15"/>
      <c r="BE1144" s="117"/>
      <c r="BF1144" s="116"/>
      <c r="BG1144" s="116"/>
      <c r="BH1144" s="116"/>
    </row>
    <row r="1145" spans="1:60" ht="19.5" x14ac:dyDescent="0.4">
      <c r="E1145" s="115"/>
      <c r="F1145" s="115"/>
      <c r="G1145" s="115"/>
      <c r="H1145" s="115"/>
      <c r="I1145" s="115"/>
      <c r="J1145" s="115"/>
      <c r="K1145" s="115"/>
      <c r="L1145" s="115"/>
      <c r="M1145" s="115"/>
      <c r="N1145" s="115"/>
      <c r="O1145" s="115"/>
      <c r="P1145" s="115"/>
      <c r="Q1145" s="115"/>
      <c r="R1145" s="115"/>
      <c r="S1145" s="115"/>
      <c r="T1145" s="115"/>
      <c r="U1145" s="115"/>
      <c r="V1145" s="115"/>
      <c r="W1145" s="115"/>
      <c r="X1145" s="115"/>
      <c r="Y1145" s="115"/>
      <c r="Z1145" s="115"/>
      <c r="AA1145" s="115"/>
      <c r="AB1145" s="115"/>
      <c r="AC1145" s="115"/>
      <c r="AD1145" s="115"/>
      <c r="AE1145" s="115"/>
      <c r="AF1145" s="115"/>
      <c r="AG1145" s="115"/>
      <c r="AH1145" s="115"/>
      <c r="AI1145" s="122"/>
      <c r="AJ1145" s="122"/>
      <c r="AK1145" s="122"/>
      <c r="AL1145" s="115"/>
      <c r="AM1145" s="115"/>
      <c r="AN1145" s="115"/>
      <c r="AO1145" s="115"/>
      <c r="AP1145" s="115"/>
      <c r="AQ1145" s="115"/>
      <c r="AR1145" s="115"/>
      <c r="AS1145" s="115"/>
      <c r="AT1145" s="115"/>
      <c r="AU1145" s="115"/>
      <c r="AV1145" s="115"/>
      <c r="AW1145" s="115"/>
      <c r="AX1145" s="115"/>
      <c r="AY1145" s="115"/>
      <c r="AZ1145" s="26"/>
      <c r="BA1145" s="15"/>
      <c r="BE1145" s="117"/>
      <c r="BF1145" s="116"/>
      <c r="BG1145" s="116"/>
      <c r="BH1145" s="116"/>
    </row>
    <row r="1146" spans="1:60" ht="19.5" x14ac:dyDescent="0.4">
      <c r="E1146" s="115"/>
      <c r="F1146" s="115"/>
      <c r="G1146" s="115"/>
      <c r="H1146" s="115"/>
      <c r="I1146" s="115"/>
      <c r="J1146" s="115"/>
      <c r="K1146" s="115"/>
      <c r="L1146" s="115"/>
      <c r="M1146" s="115"/>
      <c r="N1146" s="115"/>
      <c r="O1146" s="115"/>
      <c r="P1146" s="115"/>
      <c r="Q1146" s="115"/>
      <c r="R1146" s="115"/>
      <c r="S1146" s="115"/>
      <c r="T1146" s="115"/>
      <c r="U1146" s="115"/>
      <c r="V1146" s="115"/>
      <c r="W1146" s="115"/>
      <c r="X1146" s="115"/>
      <c r="Y1146" s="115"/>
      <c r="Z1146" s="115"/>
      <c r="AA1146" s="115"/>
      <c r="AB1146" s="115"/>
      <c r="AC1146" s="115"/>
      <c r="AD1146" s="115"/>
      <c r="AE1146" s="115"/>
      <c r="AF1146" s="115"/>
      <c r="AG1146" s="115"/>
      <c r="AH1146" s="115"/>
      <c r="AI1146" s="122"/>
      <c r="AJ1146" s="122"/>
      <c r="AK1146" s="122"/>
      <c r="AL1146" s="115"/>
      <c r="AM1146" s="115"/>
      <c r="AN1146" s="115"/>
      <c r="AO1146" s="115"/>
      <c r="AP1146" s="115"/>
      <c r="AQ1146" s="115"/>
      <c r="AR1146" s="115"/>
      <c r="AS1146" s="115"/>
      <c r="AT1146" s="115"/>
      <c r="AU1146" s="115"/>
      <c r="AV1146" s="115"/>
      <c r="AW1146" s="115"/>
      <c r="AX1146" s="115"/>
      <c r="AY1146" s="115"/>
      <c r="AZ1146" s="17"/>
      <c r="BA1146" s="15"/>
      <c r="BE1146" s="117"/>
      <c r="BF1146" s="116"/>
      <c r="BG1146" s="116"/>
      <c r="BH1146" s="116"/>
    </row>
    <row r="1147" spans="1:60" ht="19.5" x14ac:dyDescent="0.4">
      <c r="E1147" s="115"/>
      <c r="F1147" s="115"/>
      <c r="G1147" s="115"/>
      <c r="H1147" s="115"/>
      <c r="I1147" s="115"/>
      <c r="J1147" s="115"/>
      <c r="K1147" s="115"/>
      <c r="L1147" s="115"/>
      <c r="M1147" s="115"/>
      <c r="N1147" s="115"/>
      <c r="O1147" s="115"/>
      <c r="P1147" s="115"/>
      <c r="Q1147" s="115"/>
      <c r="R1147" s="115"/>
      <c r="S1147" s="115"/>
      <c r="T1147" s="115"/>
      <c r="U1147" s="115"/>
      <c r="V1147" s="115"/>
      <c r="W1147" s="115"/>
      <c r="X1147" s="115"/>
      <c r="Y1147" s="115"/>
      <c r="Z1147" s="115"/>
      <c r="AA1147" s="115"/>
      <c r="AB1147" s="115"/>
      <c r="AC1147" s="115"/>
      <c r="AD1147" s="115"/>
      <c r="AE1147" s="115"/>
      <c r="AF1147" s="115"/>
      <c r="AG1147" s="115"/>
      <c r="AH1147" s="115"/>
      <c r="AI1147" s="122"/>
      <c r="AJ1147" s="122"/>
      <c r="AK1147" s="122"/>
      <c r="AL1147" s="115"/>
      <c r="AM1147" s="115"/>
      <c r="AN1147" s="115"/>
      <c r="AO1147" s="115"/>
      <c r="AP1147" s="115"/>
      <c r="AQ1147" s="115"/>
      <c r="AR1147" s="115"/>
      <c r="AS1147" s="115"/>
      <c r="AT1147" s="115"/>
      <c r="AU1147" s="115"/>
      <c r="AV1147" s="115"/>
      <c r="AW1147" s="115"/>
      <c r="AX1147" s="115"/>
      <c r="AY1147" s="115"/>
      <c r="AZ1147" s="26"/>
      <c r="BA1147" s="15"/>
      <c r="BE1147" s="117"/>
      <c r="BF1147" s="116"/>
      <c r="BG1147" s="116"/>
      <c r="BH1147" s="116"/>
    </row>
    <row r="1148" spans="1:60" ht="19.5" x14ac:dyDescent="0.4">
      <c r="E1148" s="115"/>
      <c r="F1148" s="115"/>
      <c r="G1148" s="115"/>
      <c r="H1148" s="115"/>
      <c r="I1148" s="115"/>
      <c r="J1148" s="115"/>
      <c r="K1148" s="115"/>
      <c r="L1148" s="115"/>
      <c r="M1148" s="115"/>
      <c r="N1148" s="115"/>
      <c r="O1148" s="115"/>
      <c r="P1148" s="115"/>
      <c r="Q1148" s="115"/>
      <c r="R1148" s="115"/>
      <c r="S1148" s="115"/>
      <c r="T1148" s="115"/>
      <c r="U1148" s="115"/>
      <c r="V1148" s="115"/>
      <c r="W1148" s="115"/>
      <c r="X1148" s="115"/>
      <c r="Y1148" s="115"/>
      <c r="Z1148" s="115"/>
      <c r="AA1148" s="115"/>
      <c r="AB1148" s="115"/>
      <c r="AC1148" s="115"/>
      <c r="AD1148" s="115"/>
      <c r="AE1148" s="115"/>
      <c r="AF1148" s="115"/>
      <c r="AG1148" s="115"/>
      <c r="AH1148" s="115"/>
      <c r="AI1148" s="122"/>
      <c r="AJ1148" s="122"/>
      <c r="AK1148" s="122"/>
      <c r="AL1148" s="115"/>
      <c r="AM1148" s="115"/>
      <c r="AN1148" s="115"/>
      <c r="AO1148" s="115"/>
      <c r="AP1148" s="115"/>
      <c r="AQ1148" s="115"/>
      <c r="AR1148" s="115"/>
      <c r="AS1148" s="115"/>
      <c r="AT1148" s="115"/>
      <c r="AU1148" s="115"/>
      <c r="AV1148" s="115"/>
      <c r="AW1148" s="115"/>
      <c r="AX1148" s="115"/>
      <c r="AY1148" s="115"/>
      <c r="AZ1148" s="17"/>
      <c r="BA1148" s="15"/>
      <c r="BE1148" s="117"/>
      <c r="BF1148" s="116"/>
      <c r="BG1148" s="116"/>
      <c r="BH1148" s="116"/>
    </row>
    <row r="1149" spans="1:60" ht="19.5" x14ac:dyDescent="0.4">
      <c r="A1149" s="115"/>
      <c r="B1149" s="115"/>
      <c r="C1149" s="115"/>
      <c r="D1149" s="115"/>
      <c r="E1149" s="115"/>
      <c r="F1149" s="115"/>
      <c r="G1149" s="115"/>
      <c r="H1149" s="115"/>
      <c r="I1149" s="115"/>
      <c r="J1149" s="115"/>
      <c r="K1149" s="115"/>
      <c r="L1149" s="115"/>
      <c r="M1149" s="115"/>
      <c r="N1149" s="115"/>
      <c r="O1149" s="115"/>
      <c r="P1149" s="115"/>
      <c r="Q1149" s="115"/>
      <c r="R1149" s="115"/>
      <c r="S1149" s="115"/>
      <c r="T1149" s="115"/>
      <c r="U1149" s="115"/>
      <c r="V1149" s="115"/>
      <c r="W1149" s="115"/>
      <c r="X1149" s="115"/>
      <c r="Y1149" s="115"/>
      <c r="Z1149" s="115"/>
      <c r="AA1149" s="115"/>
      <c r="AB1149" s="115"/>
      <c r="AC1149" s="115"/>
      <c r="AD1149" s="115"/>
      <c r="AE1149" s="115"/>
      <c r="AF1149" s="115"/>
      <c r="AG1149" s="115"/>
      <c r="AH1149" s="115"/>
      <c r="AI1149" s="122"/>
      <c r="AJ1149" s="122"/>
      <c r="AK1149" s="122"/>
      <c r="AL1149" s="115"/>
      <c r="AM1149" s="115"/>
      <c r="AN1149" s="115"/>
      <c r="AO1149" s="115"/>
      <c r="AP1149" s="115"/>
      <c r="AQ1149" s="115"/>
      <c r="AR1149" s="115"/>
      <c r="AS1149" s="115"/>
      <c r="AT1149" s="115"/>
      <c r="AU1149" s="115"/>
      <c r="AV1149" s="115"/>
      <c r="AW1149" s="115"/>
      <c r="AX1149" s="115"/>
      <c r="AY1149" s="115"/>
      <c r="AZ1149" s="26"/>
      <c r="BA1149" s="15"/>
      <c r="BE1149" s="117"/>
      <c r="BF1149" s="116"/>
      <c r="BG1149" s="116"/>
      <c r="BH1149" s="116"/>
    </row>
    <row r="1150" spans="1:60" ht="19.5" x14ac:dyDescent="0.4">
      <c r="A1150" s="115"/>
      <c r="B1150" s="115"/>
      <c r="C1150" s="115"/>
      <c r="D1150" s="115"/>
      <c r="E1150" s="115"/>
      <c r="F1150" s="115"/>
      <c r="G1150" s="115"/>
      <c r="H1150" s="115"/>
      <c r="I1150" s="115"/>
      <c r="J1150" s="115"/>
      <c r="K1150" s="115"/>
      <c r="L1150" s="115"/>
      <c r="M1150" s="115"/>
      <c r="N1150" s="115"/>
      <c r="O1150" s="115"/>
      <c r="P1150" s="115"/>
      <c r="Q1150" s="115"/>
      <c r="R1150" s="115"/>
      <c r="S1150" s="115"/>
      <c r="T1150" s="115"/>
      <c r="U1150" s="115"/>
      <c r="V1150" s="115"/>
      <c r="W1150" s="115"/>
      <c r="X1150" s="115"/>
      <c r="Y1150" s="115"/>
      <c r="Z1150" s="115"/>
      <c r="AA1150" s="115"/>
      <c r="AB1150" s="115"/>
      <c r="AC1150" s="115"/>
      <c r="AD1150" s="115"/>
      <c r="AE1150" s="115"/>
      <c r="AF1150" s="115"/>
      <c r="AG1150" s="115"/>
      <c r="AH1150" s="115"/>
      <c r="AI1150" s="122"/>
      <c r="AJ1150" s="122"/>
      <c r="AK1150" s="122"/>
      <c r="AL1150" s="115"/>
      <c r="AM1150" s="115"/>
      <c r="AN1150" s="115"/>
      <c r="AO1150" s="115"/>
      <c r="AP1150" s="115"/>
      <c r="AQ1150" s="115"/>
      <c r="AR1150" s="115"/>
      <c r="AS1150" s="115"/>
      <c r="AT1150" s="115"/>
      <c r="AU1150" s="115"/>
      <c r="AV1150" s="115"/>
      <c r="AW1150" s="115"/>
      <c r="AX1150" s="115"/>
      <c r="AY1150" s="115"/>
      <c r="AZ1150" s="26"/>
      <c r="BA1150" s="15"/>
      <c r="BE1150" s="117"/>
      <c r="BF1150" s="116"/>
      <c r="BG1150" s="116"/>
      <c r="BH1150" s="116"/>
    </row>
    <row r="1151" spans="1:60" ht="19.5" x14ac:dyDescent="0.4">
      <c r="A1151" s="115"/>
      <c r="B1151" s="115"/>
      <c r="C1151" s="115"/>
      <c r="D1151" s="115"/>
      <c r="E1151" s="115"/>
      <c r="F1151" s="115"/>
      <c r="G1151" s="115"/>
      <c r="H1151" s="115"/>
      <c r="I1151" s="115"/>
      <c r="J1151" s="115"/>
      <c r="K1151" s="115"/>
      <c r="L1151" s="115"/>
      <c r="M1151" s="115"/>
      <c r="N1151" s="115"/>
      <c r="O1151" s="115"/>
      <c r="P1151" s="115"/>
      <c r="Q1151" s="115"/>
      <c r="R1151" s="115"/>
      <c r="S1151" s="115"/>
      <c r="T1151" s="115"/>
      <c r="U1151" s="115"/>
      <c r="V1151" s="115"/>
      <c r="W1151" s="115"/>
      <c r="X1151" s="115"/>
      <c r="Y1151" s="115"/>
      <c r="Z1151" s="115"/>
      <c r="AA1151" s="115"/>
      <c r="AB1151" s="115"/>
      <c r="AC1151" s="115"/>
      <c r="AD1151" s="115"/>
      <c r="AE1151" s="115"/>
      <c r="AF1151" s="115"/>
      <c r="AG1151" s="115"/>
      <c r="AH1151" s="115"/>
      <c r="AI1151" s="122"/>
      <c r="AJ1151" s="122"/>
      <c r="AK1151" s="122"/>
      <c r="AL1151" s="115"/>
      <c r="AM1151" s="115"/>
      <c r="AN1151" s="115"/>
      <c r="AO1151" s="115"/>
      <c r="AP1151" s="115"/>
      <c r="AQ1151" s="115"/>
      <c r="AR1151" s="115"/>
      <c r="AS1151" s="115"/>
      <c r="AT1151" s="115"/>
      <c r="AU1151" s="115"/>
      <c r="AV1151" s="115"/>
      <c r="AW1151" s="115"/>
      <c r="AX1151" s="115"/>
      <c r="AY1151" s="115"/>
      <c r="AZ1151" s="26"/>
      <c r="BA1151" s="15"/>
      <c r="BE1151" s="117"/>
      <c r="BF1151" s="116"/>
      <c r="BG1151" s="116"/>
      <c r="BH1151" s="116"/>
    </row>
    <row r="1152" spans="1:60" ht="19.5" x14ac:dyDescent="0.4">
      <c r="A1152" s="115"/>
      <c r="B1152" s="115"/>
      <c r="C1152" s="115"/>
      <c r="D1152" s="115"/>
      <c r="E1152" s="115"/>
      <c r="F1152" s="115"/>
      <c r="G1152" s="115"/>
      <c r="H1152" s="115"/>
      <c r="I1152" s="115"/>
      <c r="J1152" s="115"/>
      <c r="K1152" s="115"/>
      <c r="L1152" s="115"/>
      <c r="M1152" s="115"/>
      <c r="N1152" s="115"/>
      <c r="O1152" s="115"/>
      <c r="P1152" s="115"/>
      <c r="Q1152" s="115"/>
      <c r="R1152" s="115"/>
      <c r="S1152" s="115"/>
      <c r="T1152" s="115"/>
      <c r="U1152" s="115"/>
      <c r="V1152" s="115"/>
      <c r="W1152" s="115"/>
      <c r="X1152" s="115"/>
      <c r="Y1152" s="115"/>
      <c r="Z1152" s="115"/>
      <c r="AA1152" s="115"/>
      <c r="AB1152" s="115"/>
      <c r="AC1152" s="115"/>
      <c r="AD1152" s="115"/>
      <c r="AE1152" s="115"/>
      <c r="AF1152" s="115"/>
      <c r="AG1152" s="115"/>
      <c r="AH1152" s="115"/>
      <c r="AI1152" s="122"/>
      <c r="AJ1152" s="122"/>
      <c r="AK1152" s="122"/>
      <c r="AL1152" s="115"/>
      <c r="AM1152" s="115"/>
      <c r="AN1152" s="115"/>
      <c r="AO1152" s="115"/>
      <c r="AP1152" s="115"/>
      <c r="AQ1152" s="115"/>
      <c r="AR1152" s="115"/>
      <c r="AS1152" s="115"/>
      <c r="AT1152" s="115"/>
      <c r="AU1152" s="115"/>
      <c r="AV1152" s="115"/>
      <c r="AW1152" s="115"/>
      <c r="AX1152" s="115"/>
      <c r="AY1152" s="115"/>
      <c r="AZ1152" s="26"/>
      <c r="BA1152" s="15"/>
      <c r="BE1152" s="117"/>
      <c r="BF1152" s="116"/>
      <c r="BG1152" s="116"/>
      <c r="BH1152" s="116"/>
    </row>
    <row r="1153" spans="1:60" ht="19.5" x14ac:dyDescent="0.4">
      <c r="A1153" s="115"/>
      <c r="B1153" s="115"/>
      <c r="C1153" s="115"/>
      <c r="D1153" s="115"/>
      <c r="E1153" s="115"/>
      <c r="F1153" s="115"/>
      <c r="G1153" s="115"/>
      <c r="H1153" s="115"/>
      <c r="I1153" s="115"/>
      <c r="J1153" s="115"/>
      <c r="K1153" s="115"/>
      <c r="L1153" s="115"/>
      <c r="M1153" s="115"/>
      <c r="N1153" s="115"/>
      <c r="O1153" s="115"/>
      <c r="P1153" s="115"/>
      <c r="Q1153" s="115"/>
      <c r="R1153" s="115"/>
      <c r="S1153" s="115"/>
      <c r="T1153" s="115"/>
      <c r="U1153" s="115"/>
      <c r="V1153" s="115"/>
      <c r="W1153" s="115"/>
      <c r="X1153" s="115"/>
      <c r="Y1153" s="115"/>
      <c r="Z1153" s="115"/>
      <c r="AA1153" s="115"/>
      <c r="AB1153" s="115"/>
      <c r="AC1153" s="115"/>
      <c r="AD1153" s="115"/>
      <c r="AE1153" s="115"/>
      <c r="AF1153" s="115"/>
      <c r="AG1153" s="115"/>
      <c r="AH1153" s="115"/>
      <c r="AI1153" s="122"/>
      <c r="AJ1153" s="122"/>
      <c r="AK1153" s="122"/>
      <c r="AL1153" s="115"/>
      <c r="AM1153" s="115"/>
      <c r="AN1153" s="115"/>
      <c r="AO1153" s="115"/>
      <c r="AP1153" s="115"/>
      <c r="AQ1153" s="115"/>
      <c r="AR1153" s="115"/>
      <c r="AS1153" s="115"/>
      <c r="AT1153" s="115"/>
      <c r="AU1153" s="115"/>
      <c r="AV1153" s="115"/>
      <c r="AW1153" s="115"/>
      <c r="AX1153" s="115"/>
      <c r="AY1153" s="115"/>
      <c r="AZ1153" s="26"/>
      <c r="BA1153" s="15"/>
      <c r="BE1153" s="117"/>
      <c r="BF1153" s="116"/>
      <c r="BG1153" s="116"/>
      <c r="BH1153" s="116"/>
    </row>
    <row r="1154" spans="1:60" ht="19.5" x14ac:dyDescent="0.4">
      <c r="A1154" s="115"/>
      <c r="B1154" s="115"/>
      <c r="C1154" s="115"/>
      <c r="D1154" s="115"/>
      <c r="E1154" s="115"/>
      <c r="F1154" s="115"/>
      <c r="G1154" s="115"/>
      <c r="H1154" s="115"/>
      <c r="I1154" s="115"/>
      <c r="J1154" s="115"/>
      <c r="K1154" s="115"/>
      <c r="L1154" s="115"/>
      <c r="M1154" s="115"/>
      <c r="N1154" s="115"/>
      <c r="O1154" s="115"/>
      <c r="P1154" s="115"/>
      <c r="Q1154" s="115"/>
      <c r="R1154" s="115"/>
      <c r="S1154" s="115"/>
      <c r="T1154" s="115"/>
      <c r="U1154" s="115"/>
      <c r="V1154" s="115"/>
      <c r="W1154" s="115"/>
      <c r="X1154" s="115"/>
      <c r="Y1154" s="115"/>
      <c r="Z1154" s="115"/>
      <c r="AA1154" s="115"/>
      <c r="AB1154" s="115"/>
      <c r="AC1154" s="115"/>
      <c r="AD1154" s="115"/>
      <c r="AE1154" s="115"/>
      <c r="AF1154" s="115"/>
      <c r="AG1154" s="115"/>
      <c r="AH1154" s="115"/>
      <c r="AI1154" s="122"/>
      <c r="AJ1154" s="122"/>
      <c r="AK1154" s="122"/>
      <c r="AL1154" s="115"/>
      <c r="AM1154" s="115"/>
      <c r="AN1154" s="115"/>
      <c r="AO1154" s="115"/>
      <c r="AP1154" s="115"/>
      <c r="AQ1154" s="115"/>
      <c r="AR1154" s="115"/>
      <c r="AS1154" s="115"/>
      <c r="AT1154" s="115"/>
      <c r="AU1154" s="115"/>
      <c r="AV1154" s="115"/>
      <c r="AW1154" s="115"/>
      <c r="AX1154" s="115"/>
      <c r="AY1154" s="115"/>
      <c r="AZ1154" s="26"/>
      <c r="BA1154" s="15"/>
      <c r="BE1154" s="117"/>
      <c r="BF1154" s="116"/>
      <c r="BG1154" s="116"/>
      <c r="BH1154" s="116"/>
    </row>
    <row r="1155" spans="1:60" ht="19.5" x14ac:dyDescent="0.4">
      <c r="A1155" s="115"/>
      <c r="B1155" s="115"/>
      <c r="C1155" s="115"/>
      <c r="D1155" s="115"/>
      <c r="E1155" s="115"/>
      <c r="F1155" s="115"/>
      <c r="G1155" s="115"/>
      <c r="H1155" s="115"/>
      <c r="I1155" s="115"/>
      <c r="J1155" s="115"/>
      <c r="K1155" s="115"/>
      <c r="L1155" s="115"/>
      <c r="M1155" s="115"/>
      <c r="N1155" s="115"/>
      <c r="O1155" s="115"/>
      <c r="P1155" s="115"/>
      <c r="Q1155" s="115"/>
      <c r="R1155" s="115"/>
      <c r="S1155" s="115"/>
      <c r="T1155" s="115"/>
      <c r="U1155" s="115"/>
      <c r="V1155" s="115"/>
      <c r="W1155" s="115"/>
      <c r="X1155" s="115"/>
      <c r="Y1155" s="115"/>
      <c r="Z1155" s="115"/>
      <c r="AA1155" s="115"/>
      <c r="AB1155" s="115"/>
      <c r="AC1155" s="115"/>
      <c r="AD1155" s="115"/>
      <c r="AE1155" s="115"/>
      <c r="AF1155" s="115"/>
      <c r="AG1155" s="115"/>
      <c r="AH1155" s="115"/>
      <c r="AI1155" s="122"/>
      <c r="AJ1155" s="122"/>
      <c r="AK1155" s="122"/>
      <c r="AL1155" s="115"/>
      <c r="AM1155" s="115"/>
      <c r="AN1155" s="115"/>
      <c r="AO1155" s="115"/>
      <c r="AP1155" s="115"/>
      <c r="AQ1155" s="115"/>
      <c r="AR1155" s="115"/>
      <c r="AS1155" s="115"/>
      <c r="AT1155" s="115"/>
      <c r="AU1155" s="115"/>
      <c r="AV1155" s="115"/>
      <c r="AW1155" s="115"/>
      <c r="AX1155" s="115"/>
      <c r="AY1155" s="115"/>
      <c r="AZ1155" s="17"/>
      <c r="BA1155" s="15"/>
      <c r="BE1155" s="117"/>
      <c r="BF1155" s="116"/>
      <c r="BG1155" s="116"/>
      <c r="BH1155" s="116"/>
    </row>
    <row r="1156" spans="1:60" ht="19.5" x14ac:dyDescent="0.4">
      <c r="A1156" s="115"/>
      <c r="B1156" s="115"/>
      <c r="C1156" s="115"/>
      <c r="D1156" s="115"/>
      <c r="E1156" s="115"/>
      <c r="F1156" s="115"/>
      <c r="G1156" s="115"/>
      <c r="H1156" s="115"/>
      <c r="I1156" s="115"/>
      <c r="J1156" s="115"/>
      <c r="K1156" s="115"/>
      <c r="L1156" s="115"/>
      <c r="M1156" s="115"/>
      <c r="N1156" s="115"/>
      <c r="O1156" s="115"/>
      <c r="P1156" s="115"/>
      <c r="Q1156" s="115"/>
      <c r="R1156" s="115"/>
      <c r="S1156" s="115"/>
      <c r="T1156" s="115"/>
      <c r="U1156" s="115"/>
      <c r="V1156" s="115"/>
      <c r="W1156" s="115"/>
      <c r="X1156" s="115"/>
      <c r="Y1156" s="115"/>
      <c r="Z1156" s="115"/>
      <c r="AA1156" s="115"/>
      <c r="AB1156" s="115"/>
      <c r="AC1156" s="115"/>
      <c r="AD1156" s="115"/>
      <c r="AE1156" s="115"/>
      <c r="AF1156" s="115"/>
      <c r="AG1156" s="115"/>
      <c r="AH1156" s="115"/>
      <c r="AI1156" s="122"/>
      <c r="AJ1156" s="122"/>
      <c r="AK1156" s="122"/>
      <c r="AL1156" s="115"/>
      <c r="AM1156" s="115"/>
      <c r="AN1156" s="115"/>
      <c r="AO1156" s="115"/>
      <c r="AP1156" s="115"/>
      <c r="AQ1156" s="115"/>
      <c r="AR1156" s="115"/>
      <c r="AS1156" s="115"/>
      <c r="AT1156" s="115"/>
      <c r="AU1156" s="115"/>
      <c r="AV1156" s="115"/>
      <c r="AW1156" s="115"/>
      <c r="AX1156" s="115"/>
      <c r="AY1156" s="115"/>
      <c r="AZ1156" s="26"/>
      <c r="BA1156" s="15"/>
      <c r="BE1156" s="117"/>
      <c r="BF1156" s="116"/>
      <c r="BG1156" s="116"/>
      <c r="BH1156" s="116"/>
    </row>
    <row r="1157" spans="1:60" ht="19.5" x14ac:dyDescent="0.4">
      <c r="A1157" s="115"/>
      <c r="B1157" s="115"/>
      <c r="C1157" s="115"/>
      <c r="D1157" s="115"/>
      <c r="E1157" s="115"/>
      <c r="F1157" s="115"/>
      <c r="G1157" s="115"/>
      <c r="H1157" s="115"/>
      <c r="I1157" s="115"/>
      <c r="J1157" s="115"/>
      <c r="K1157" s="115"/>
      <c r="L1157" s="115"/>
      <c r="M1157" s="115"/>
      <c r="N1157" s="115"/>
      <c r="O1157" s="115"/>
      <c r="P1157" s="115"/>
      <c r="Q1157" s="115"/>
      <c r="R1157" s="115"/>
      <c r="S1157" s="115"/>
      <c r="T1157" s="115"/>
      <c r="U1157" s="115"/>
      <c r="V1157" s="115"/>
      <c r="W1157" s="115"/>
      <c r="X1157" s="115"/>
      <c r="Y1157" s="115"/>
      <c r="Z1157" s="115"/>
      <c r="AA1157" s="115"/>
      <c r="AB1157" s="115"/>
      <c r="AC1157" s="115"/>
      <c r="AD1157" s="115"/>
      <c r="AE1157" s="115"/>
      <c r="AF1157" s="115"/>
      <c r="AG1157" s="115"/>
      <c r="AH1157" s="115"/>
      <c r="AI1157" s="122"/>
      <c r="AJ1157" s="122"/>
      <c r="AK1157" s="122"/>
      <c r="AL1157" s="115"/>
      <c r="AM1157" s="115"/>
      <c r="AN1157" s="115"/>
      <c r="AO1157" s="115"/>
      <c r="AP1157" s="115"/>
      <c r="AQ1157" s="115"/>
      <c r="AR1157" s="115"/>
      <c r="AS1157" s="115"/>
      <c r="AT1157" s="115"/>
      <c r="AU1157" s="115"/>
      <c r="AV1157" s="115"/>
      <c r="AW1157" s="115"/>
      <c r="AX1157" s="115"/>
      <c r="AY1157" s="115"/>
      <c r="AZ1157" s="17"/>
      <c r="BA1157" s="15"/>
      <c r="BE1157" s="117"/>
      <c r="BF1157" s="116"/>
      <c r="BG1157" s="116"/>
      <c r="BH1157" s="116"/>
    </row>
    <row r="1158" spans="1:60" ht="19.5" x14ac:dyDescent="0.4">
      <c r="A1158" s="115"/>
      <c r="B1158" s="115"/>
      <c r="C1158" s="115"/>
      <c r="D1158" s="115"/>
      <c r="E1158" s="115"/>
      <c r="F1158" s="115"/>
      <c r="G1158" s="115"/>
      <c r="H1158" s="115"/>
      <c r="I1158" s="115"/>
      <c r="J1158" s="115"/>
      <c r="K1158" s="115"/>
      <c r="L1158" s="115"/>
      <c r="M1158" s="115"/>
      <c r="N1158" s="115"/>
      <c r="O1158" s="115"/>
      <c r="P1158" s="115"/>
      <c r="Q1158" s="115"/>
      <c r="R1158" s="115"/>
      <c r="S1158" s="115"/>
      <c r="T1158" s="115"/>
      <c r="U1158" s="115"/>
      <c r="V1158" s="115"/>
      <c r="W1158" s="115"/>
      <c r="X1158" s="115"/>
      <c r="Y1158" s="115"/>
      <c r="Z1158" s="115"/>
      <c r="AA1158" s="115"/>
      <c r="AB1158" s="115"/>
      <c r="AC1158" s="115"/>
      <c r="AD1158" s="115"/>
      <c r="AE1158" s="115"/>
      <c r="AF1158" s="115"/>
      <c r="AG1158" s="115"/>
      <c r="AH1158" s="115"/>
      <c r="AI1158" s="122"/>
      <c r="AJ1158" s="122"/>
      <c r="AK1158" s="122"/>
      <c r="AL1158" s="115"/>
      <c r="AM1158" s="115"/>
      <c r="AN1158" s="115"/>
      <c r="AO1158" s="115"/>
      <c r="AP1158" s="115"/>
      <c r="AQ1158" s="115"/>
      <c r="AR1158" s="115"/>
      <c r="AS1158" s="115"/>
      <c r="AT1158" s="115"/>
      <c r="AU1158" s="115"/>
      <c r="AV1158" s="115"/>
      <c r="AW1158" s="115"/>
      <c r="AX1158" s="115"/>
      <c r="AY1158" s="115"/>
      <c r="AZ1158" s="26"/>
      <c r="BA1158" s="15"/>
      <c r="BE1158" s="117"/>
      <c r="BF1158" s="116"/>
      <c r="BG1158" s="116"/>
      <c r="BH1158" s="116"/>
    </row>
    <row r="1159" spans="1:60" ht="19.5" x14ac:dyDescent="0.4">
      <c r="A1159" s="115"/>
      <c r="B1159" s="115"/>
      <c r="C1159" s="115"/>
      <c r="D1159" s="115"/>
      <c r="E1159" s="115"/>
      <c r="F1159" s="115"/>
      <c r="G1159" s="115"/>
      <c r="H1159" s="115"/>
      <c r="I1159" s="115"/>
      <c r="J1159" s="115"/>
      <c r="K1159" s="115"/>
      <c r="L1159" s="115"/>
      <c r="M1159" s="115"/>
      <c r="N1159" s="115"/>
      <c r="O1159" s="115"/>
      <c r="P1159" s="115"/>
      <c r="Q1159" s="115"/>
      <c r="R1159" s="115"/>
      <c r="S1159" s="115"/>
      <c r="T1159" s="115"/>
      <c r="U1159" s="115"/>
      <c r="V1159" s="115"/>
      <c r="W1159" s="115"/>
      <c r="X1159" s="115"/>
      <c r="Y1159" s="115"/>
      <c r="Z1159" s="115"/>
      <c r="AA1159" s="115"/>
      <c r="AB1159" s="115"/>
      <c r="AC1159" s="115"/>
      <c r="AD1159" s="115"/>
      <c r="AE1159" s="115"/>
      <c r="AF1159" s="115"/>
      <c r="AG1159" s="115"/>
      <c r="AH1159" s="115"/>
      <c r="AI1159" s="122"/>
      <c r="AJ1159" s="122"/>
      <c r="AK1159" s="122"/>
      <c r="AL1159" s="115"/>
      <c r="AM1159" s="115"/>
      <c r="AN1159" s="115"/>
      <c r="AO1159" s="115"/>
      <c r="AP1159" s="115"/>
      <c r="AQ1159" s="115"/>
      <c r="AR1159" s="115"/>
      <c r="AS1159" s="115"/>
      <c r="AT1159" s="115"/>
      <c r="AU1159" s="115"/>
      <c r="AV1159" s="115"/>
      <c r="AW1159" s="115"/>
      <c r="AX1159" s="115"/>
      <c r="AY1159" s="115"/>
      <c r="AZ1159" s="20"/>
      <c r="BA1159" s="15"/>
      <c r="BE1159" s="117"/>
      <c r="BF1159" s="116"/>
      <c r="BG1159" s="116"/>
      <c r="BH1159" s="116"/>
    </row>
    <row r="1160" spans="1:60" ht="19.5" x14ac:dyDescent="0.4">
      <c r="A1160" s="115"/>
      <c r="B1160" s="115"/>
      <c r="C1160" s="115"/>
      <c r="D1160" s="115"/>
      <c r="E1160" s="115"/>
      <c r="F1160" s="115"/>
      <c r="G1160" s="115"/>
      <c r="H1160" s="115"/>
      <c r="I1160" s="115"/>
      <c r="J1160" s="115"/>
      <c r="K1160" s="115"/>
      <c r="L1160" s="115"/>
      <c r="M1160" s="115"/>
      <c r="N1160" s="115"/>
      <c r="O1160" s="115"/>
      <c r="P1160" s="115"/>
      <c r="Q1160" s="115"/>
      <c r="R1160" s="115"/>
      <c r="S1160" s="115"/>
      <c r="T1160" s="115"/>
      <c r="U1160" s="115"/>
      <c r="V1160" s="115"/>
      <c r="W1160" s="115"/>
      <c r="X1160" s="115"/>
      <c r="Y1160" s="115"/>
      <c r="Z1160" s="115"/>
      <c r="AA1160" s="115"/>
      <c r="AB1160" s="115"/>
      <c r="AC1160" s="115"/>
      <c r="AD1160" s="115"/>
      <c r="AE1160" s="115"/>
      <c r="AF1160" s="115"/>
      <c r="AG1160" s="115"/>
      <c r="AH1160" s="115"/>
      <c r="AI1160" s="122"/>
      <c r="AJ1160" s="122"/>
      <c r="AK1160" s="122"/>
      <c r="AL1160" s="115"/>
      <c r="AM1160" s="115"/>
      <c r="AN1160" s="115"/>
      <c r="AO1160" s="115"/>
      <c r="AP1160" s="115"/>
      <c r="AQ1160" s="115"/>
      <c r="AR1160" s="115"/>
      <c r="AS1160" s="115"/>
      <c r="AT1160" s="115"/>
      <c r="AU1160" s="115"/>
      <c r="AV1160" s="115"/>
      <c r="AW1160" s="115"/>
      <c r="AX1160" s="115"/>
      <c r="AY1160" s="115"/>
      <c r="AZ1160" s="20"/>
      <c r="BA1160" s="15"/>
      <c r="BE1160" s="117"/>
      <c r="BF1160" s="116"/>
      <c r="BG1160" s="116"/>
      <c r="BH1160" s="116"/>
    </row>
    <row r="1161" spans="1:60" ht="19.5" x14ac:dyDescent="0.4">
      <c r="A1161" s="115"/>
      <c r="B1161" s="115"/>
      <c r="C1161" s="115"/>
      <c r="D1161" s="115"/>
      <c r="E1161" s="115"/>
      <c r="F1161" s="115"/>
      <c r="G1161" s="115"/>
      <c r="H1161" s="115"/>
      <c r="I1161" s="115"/>
      <c r="J1161" s="115"/>
      <c r="K1161" s="115"/>
      <c r="L1161" s="115"/>
      <c r="M1161" s="115"/>
      <c r="N1161" s="115"/>
      <c r="O1161" s="115"/>
      <c r="P1161" s="115"/>
      <c r="Q1161" s="115"/>
      <c r="R1161" s="115"/>
      <c r="S1161" s="115"/>
      <c r="T1161" s="115"/>
      <c r="U1161" s="115"/>
      <c r="V1161" s="115"/>
      <c r="W1161" s="115"/>
      <c r="X1161" s="115"/>
      <c r="Y1161" s="115"/>
      <c r="Z1161" s="115"/>
      <c r="AA1161" s="115"/>
      <c r="AB1161" s="115"/>
      <c r="AC1161" s="115"/>
      <c r="AD1161" s="115"/>
      <c r="AE1161" s="115"/>
      <c r="AF1161" s="115"/>
      <c r="AG1161" s="115"/>
      <c r="AH1161" s="115"/>
      <c r="AI1161" s="122"/>
      <c r="AJ1161" s="122"/>
      <c r="AK1161" s="122"/>
      <c r="AL1161" s="115"/>
      <c r="AM1161" s="115"/>
      <c r="AN1161" s="115"/>
      <c r="AO1161" s="115"/>
      <c r="AP1161" s="115"/>
      <c r="AQ1161" s="115"/>
      <c r="AR1161" s="115"/>
      <c r="AS1161" s="115"/>
      <c r="AT1161" s="115"/>
      <c r="AU1161" s="115"/>
      <c r="AV1161" s="115"/>
      <c r="AW1161" s="115"/>
      <c r="AX1161" s="115"/>
      <c r="AY1161" s="115"/>
      <c r="AZ1161" s="20"/>
      <c r="BA1161" s="15"/>
      <c r="BE1161" s="117"/>
      <c r="BF1161" s="116"/>
      <c r="BG1161" s="116"/>
      <c r="BH1161" s="116"/>
    </row>
    <row r="1162" spans="1:60" ht="19.5" x14ac:dyDescent="0.4">
      <c r="A1162" s="115"/>
      <c r="B1162" s="115"/>
      <c r="C1162" s="115"/>
      <c r="D1162" s="115"/>
      <c r="E1162" s="115"/>
      <c r="F1162" s="115"/>
      <c r="G1162" s="115"/>
      <c r="H1162" s="115"/>
      <c r="I1162" s="115"/>
      <c r="J1162" s="115"/>
      <c r="K1162" s="115"/>
      <c r="L1162" s="115"/>
      <c r="M1162" s="115"/>
      <c r="N1162" s="115"/>
      <c r="O1162" s="115"/>
      <c r="P1162" s="115"/>
      <c r="Q1162" s="115"/>
      <c r="R1162" s="115"/>
      <c r="S1162" s="115"/>
      <c r="T1162" s="115"/>
      <c r="U1162" s="115"/>
      <c r="V1162" s="115"/>
      <c r="W1162" s="115"/>
      <c r="X1162" s="115"/>
      <c r="Y1162" s="115"/>
      <c r="Z1162" s="115"/>
      <c r="AA1162" s="115"/>
      <c r="AB1162" s="115"/>
      <c r="AC1162" s="115"/>
      <c r="AD1162" s="115"/>
      <c r="AE1162" s="115"/>
      <c r="AF1162" s="115"/>
      <c r="AG1162" s="115"/>
      <c r="AH1162" s="115"/>
      <c r="AI1162" s="122"/>
      <c r="AJ1162" s="122"/>
      <c r="AK1162" s="122"/>
      <c r="AL1162" s="115"/>
      <c r="AM1162" s="115"/>
      <c r="AN1162" s="115"/>
      <c r="AO1162" s="115"/>
      <c r="AP1162" s="115"/>
      <c r="AQ1162" s="115"/>
      <c r="AR1162" s="115"/>
      <c r="AS1162" s="115"/>
      <c r="AT1162" s="115"/>
      <c r="AU1162" s="115"/>
      <c r="AV1162" s="115"/>
      <c r="AW1162" s="115"/>
      <c r="AX1162" s="115"/>
      <c r="AY1162" s="115"/>
      <c r="AZ1162" s="20"/>
      <c r="BA1162" s="15"/>
      <c r="BE1162" s="117"/>
      <c r="BF1162" s="116"/>
      <c r="BG1162" s="116"/>
      <c r="BH1162" s="116"/>
    </row>
    <row r="1163" spans="1:60" ht="19.5" x14ac:dyDescent="0.4">
      <c r="A1163" s="115"/>
      <c r="B1163" s="115"/>
      <c r="C1163" s="115"/>
      <c r="D1163" s="115"/>
      <c r="E1163" s="115"/>
      <c r="F1163" s="115"/>
      <c r="G1163" s="115"/>
      <c r="H1163" s="115"/>
      <c r="I1163" s="115"/>
      <c r="J1163" s="115"/>
      <c r="K1163" s="115"/>
      <c r="L1163" s="115"/>
      <c r="M1163" s="115"/>
      <c r="N1163" s="115"/>
      <c r="O1163" s="115"/>
      <c r="P1163" s="115"/>
      <c r="Q1163" s="115"/>
      <c r="R1163" s="115"/>
      <c r="S1163" s="115"/>
      <c r="T1163" s="115"/>
      <c r="U1163" s="115"/>
      <c r="V1163" s="115"/>
      <c r="W1163" s="115"/>
      <c r="X1163" s="115"/>
      <c r="Y1163" s="115"/>
      <c r="Z1163" s="115"/>
      <c r="AA1163" s="115"/>
      <c r="AB1163" s="115"/>
      <c r="AC1163" s="115"/>
      <c r="AD1163" s="115"/>
      <c r="AE1163" s="115"/>
      <c r="AF1163" s="115"/>
      <c r="AG1163" s="115"/>
      <c r="AH1163" s="115"/>
      <c r="AI1163" s="122"/>
      <c r="AJ1163" s="122"/>
      <c r="AK1163" s="122"/>
      <c r="AL1163" s="115"/>
      <c r="AM1163" s="115"/>
      <c r="AN1163" s="115"/>
      <c r="AO1163" s="115"/>
      <c r="AP1163" s="115"/>
      <c r="AQ1163" s="115"/>
      <c r="AR1163" s="115"/>
      <c r="AS1163" s="115"/>
      <c r="AT1163" s="115"/>
      <c r="AU1163" s="115"/>
      <c r="AV1163" s="115"/>
      <c r="AW1163" s="115"/>
      <c r="AX1163" s="115"/>
      <c r="AY1163" s="115"/>
      <c r="AZ1163" s="25"/>
      <c r="BA1163" s="15"/>
      <c r="BE1163" s="117"/>
      <c r="BF1163" s="116"/>
      <c r="BG1163" s="116"/>
      <c r="BH1163" s="116"/>
    </row>
    <row r="1164" spans="1:60" ht="19.5" x14ac:dyDescent="0.4">
      <c r="A1164" s="115"/>
      <c r="B1164" s="115"/>
      <c r="C1164" s="115"/>
      <c r="D1164" s="115"/>
      <c r="E1164" s="115"/>
      <c r="F1164" s="115"/>
      <c r="G1164" s="115"/>
      <c r="H1164" s="115"/>
      <c r="I1164" s="115"/>
      <c r="J1164" s="115"/>
      <c r="K1164" s="115"/>
      <c r="L1164" s="115"/>
      <c r="M1164" s="115"/>
      <c r="N1164" s="115"/>
      <c r="O1164" s="115"/>
      <c r="P1164" s="115"/>
      <c r="Q1164" s="115"/>
      <c r="R1164" s="115"/>
      <c r="S1164" s="115"/>
      <c r="T1164" s="115"/>
      <c r="U1164" s="115"/>
      <c r="V1164" s="115"/>
      <c r="W1164" s="115"/>
      <c r="X1164" s="115"/>
      <c r="Y1164" s="115"/>
      <c r="Z1164" s="115"/>
      <c r="AA1164" s="115"/>
      <c r="AB1164" s="115"/>
      <c r="AC1164" s="115"/>
      <c r="AD1164" s="115"/>
      <c r="AE1164" s="115"/>
      <c r="AF1164" s="115"/>
      <c r="AG1164" s="115"/>
      <c r="AH1164" s="115"/>
      <c r="AI1164" s="122"/>
      <c r="AJ1164" s="122"/>
      <c r="AK1164" s="122"/>
      <c r="AL1164" s="115"/>
      <c r="AM1164" s="115"/>
      <c r="AN1164" s="115"/>
      <c r="AO1164" s="115"/>
      <c r="AP1164" s="115"/>
      <c r="AQ1164" s="115"/>
      <c r="AR1164" s="115"/>
      <c r="AS1164" s="115"/>
      <c r="AT1164" s="115"/>
      <c r="AU1164" s="115"/>
      <c r="AV1164" s="115"/>
      <c r="AW1164" s="115"/>
      <c r="AX1164" s="115"/>
      <c r="AY1164" s="115"/>
      <c r="AZ1164" s="13"/>
      <c r="BA1164" s="15"/>
      <c r="BE1164" s="117"/>
      <c r="BF1164" s="116"/>
      <c r="BG1164" s="116"/>
      <c r="BH1164" s="116"/>
    </row>
    <row r="1165" spans="1:60" ht="19.5" x14ac:dyDescent="0.4">
      <c r="AZ1165" s="25"/>
      <c r="BA1165" s="15"/>
      <c r="BE1165" s="117"/>
      <c r="BF1165" s="116"/>
      <c r="BG1165" s="116"/>
      <c r="BH1165" s="116"/>
    </row>
    <row r="1166" spans="1:60" ht="19.5" x14ac:dyDescent="0.4">
      <c r="AF1166" s="115"/>
      <c r="AG1166" s="115"/>
      <c r="AH1166" s="115"/>
      <c r="AI1166" s="122"/>
      <c r="AJ1166" s="122"/>
      <c r="AK1166" s="122"/>
      <c r="AL1166" s="115"/>
      <c r="AM1166" s="115"/>
      <c r="AN1166" s="115"/>
      <c r="AO1166" s="115"/>
      <c r="AP1166" s="115"/>
      <c r="AQ1166" s="115"/>
      <c r="AR1166" s="115"/>
      <c r="AS1166" s="115"/>
      <c r="AT1166" s="115"/>
      <c r="AU1166" s="115"/>
      <c r="AV1166" s="115"/>
      <c r="AW1166" s="115"/>
      <c r="AX1166" s="115"/>
      <c r="AY1166" s="115"/>
      <c r="AZ1166" s="13"/>
      <c r="BA1166" s="15"/>
      <c r="BE1166" s="117"/>
      <c r="BF1166" s="116"/>
      <c r="BG1166" s="116"/>
      <c r="BH1166" s="116"/>
    </row>
    <row r="1167" spans="1:60" ht="19.5" x14ac:dyDescent="0.4">
      <c r="D1167" s="115"/>
      <c r="E1167" s="115"/>
      <c r="F1167" s="115"/>
      <c r="G1167" s="115"/>
      <c r="H1167" s="115"/>
      <c r="I1167" s="115"/>
      <c r="J1167" s="115"/>
      <c r="K1167" s="115"/>
      <c r="L1167" s="115"/>
      <c r="M1167" s="115"/>
      <c r="N1167" s="115"/>
      <c r="O1167" s="115"/>
      <c r="P1167" s="115"/>
      <c r="Q1167" s="115"/>
      <c r="R1167" s="115"/>
      <c r="S1167" s="115"/>
      <c r="T1167" s="115"/>
      <c r="U1167" s="115"/>
      <c r="V1167" s="115"/>
      <c r="W1167" s="115"/>
      <c r="X1167" s="115"/>
      <c r="Y1167" s="115"/>
      <c r="Z1167" s="115"/>
      <c r="AA1167" s="115"/>
      <c r="AB1167" s="115"/>
      <c r="AC1167" s="115"/>
      <c r="AD1167" s="115"/>
      <c r="AE1167" s="115"/>
      <c r="AF1167" s="115"/>
      <c r="AG1167" s="115"/>
      <c r="AH1167" s="115"/>
      <c r="AI1167" s="122"/>
      <c r="AJ1167" s="122"/>
      <c r="AK1167" s="122"/>
      <c r="AL1167" s="115"/>
      <c r="AM1167" s="115"/>
      <c r="AN1167" s="115"/>
      <c r="AO1167" s="115"/>
      <c r="AP1167" s="115"/>
      <c r="AQ1167" s="115"/>
      <c r="AR1167" s="115"/>
      <c r="AS1167" s="115"/>
      <c r="AT1167" s="115"/>
      <c r="AU1167" s="115"/>
      <c r="AV1167" s="115"/>
      <c r="AW1167" s="115"/>
      <c r="AX1167" s="115"/>
      <c r="AY1167" s="115"/>
      <c r="AZ1167" s="25"/>
      <c r="BA1167" s="15"/>
      <c r="BE1167" s="117"/>
      <c r="BF1167" s="116"/>
      <c r="BG1167" s="116"/>
      <c r="BH1167" s="116"/>
    </row>
    <row r="1168" spans="1:60" ht="19.5" x14ac:dyDescent="0.4">
      <c r="A1168" s="115"/>
      <c r="B1168" s="115"/>
      <c r="C1168" s="115"/>
      <c r="D1168" s="115"/>
      <c r="E1168" s="115"/>
      <c r="F1168" s="115"/>
      <c r="G1168" s="115"/>
      <c r="H1168" s="115"/>
      <c r="I1168" s="115"/>
      <c r="J1168" s="115"/>
      <c r="K1168" s="115"/>
      <c r="L1168" s="115"/>
      <c r="M1168" s="115"/>
      <c r="N1168" s="115"/>
      <c r="O1168" s="115"/>
      <c r="P1168" s="115"/>
      <c r="Q1168" s="115"/>
      <c r="R1168" s="115"/>
      <c r="S1168" s="115"/>
      <c r="T1168" s="115"/>
      <c r="U1168" s="115"/>
      <c r="V1168" s="115"/>
      <c r="W1168" s="115"/>
      <c r="X1168" s="115"/>
      <c r="Y1168" s="115"/>
      <c r="Z1168" s="115"/>
      <c r="AA1168" s="115"/>
      <c r="AB1168" s="115"/>
      <c r="AC1168" s="115"/>
      <c r="AD1168" s="115"/>
      <c r="AE1168" s="115"/>
      <c r="AF1168" s="115"/>
      <c r="AG1168" s="115"/>
      <c r="AH1168" s="115"/>
      <c r="AI1168" s="122"/>
      <c r="AJ1168" s="122"/>
      <c r="AK1168" s="122"/>
      <c r="AL1168" s="115"/>
      <c r="AM1168" s="115"/>
      <c r="AN1168" s="115"/>
      <c r="AO1168" s="115"/>
      <c r="AP1168" s="115"/>
      <c r="AQ1168" s="115"/>
      <c r="AR1168" s="115"/>
      <c r="AS1168" s="115"/>
      <c r="AT1168" s="115"/>
      <c r="AU1168" s="115"/>
      <c r="AV1168" s="115"/>
      <c r="AW1168" s="115"/>
      <c r="AX1168" s="115"/>
      <c r="AY1168" s="115"/>
      <c r="AZ1168" s="25"/>
      <c r="BA1168" s="15"/>
      <c r="BE1168" s="117"/>
      <c r="BF1168" s="116"/>
      <c r="BG1168" s="116"/>
      <c r="BH1168" s="116"/>
    </row>
    <row r="1169" spans="1:60" ht="19.5" x14ac:dyDescent="0.4">
      <c r="A1169" s="115"/>
      <c r="B1169" s="115"/>
      <c r="C1169" s="115"/>
      <c r="D1169" s="115"/>
      <c r="E1169" s="115"/>
      <c r="F1169" s="115"/>
      <c r="G1169" s="115"/>
      <c r="H1169" s="115"/>
      <c r="I1169" s="115"/>
      <c r="J1169" s="115"/>
      <c r="K1169" s="115"/>
      <c r="L1169" s="115"/>
      <c r="M1169" s="115"/>
      <c r="N1169" s="115"/>
      <c r="O1169" s="115"/>
      <c r="P1169" s="115"/>
      <c r="Q1169" s="115"/>
      <c r="R1169" s="115"/>
      <c r="S1169" s="115"/>
      <c r="T1169" s="115"/>
      <c r="U1169" s="115"/>
      <c r="V1169" s="115"/>
      <c r="W1169" s="115"/>
      <c r="X1169" s="115"/>
      <c r="Y1169" s="115"/>
      <c r="Z1169" s="115"/>
      <c r="AA1169" s="115"/>
      <c r="AB1169" s="115"/>
      <c r="AC1169" s="115"/>
      <c r="AD1169" s="115"/>
      <c r="AE1169" s="115"/>
      <c r="AF1169" s="115"/>
      <c r="AG1169" s="115"/>
      <c r="AH1169" s="115"/>
      <c r="AI1169" s="122"/>
      <c r="AJ1169" s="122"/>
      <c r="AK1169" s="122"/>
      <c r="AL1169" s="115"/>
      <c r="AM1169" s="115"/>
      <c r="AN1169" s="115"/>
      <c r="AO1169" s="115"/>
      <c r="AP1169" s="115"/>
      <c r="AQ1169" s="115"/>
      <c r="AR1169" s="115"/>
      <c r="AS1169" s="115"/>
      <c r="AT1169" s="115"/>
      <c r="AU1169" s="115"/>
      <c r="AV1169" s="115"/>
      <c r="AW1169" s="115"/>
      <c r="AX1169" s="115"/>
      <c r="AY1169" s="115"/>
      <c r="AZ1169" s="13"/>
      <c r="BA1169" s="15"/>
      <c r="BE1169" s="117"/>
      <c r="BF1169" s="116"/>
      <c r="BG1169" s="116"/>
      <c r="BH1169" s="116"/>
    </row>
    <row r="1170" spans="1:60" ht="19.5" x14ac:dyDescent="0.4">
      <c r="A1170" s="115"/>
      <c r="B1170" s="115"/>
      <c r="C1170" s="115"/>
      <c r="D1170" s="115"/>
      <c r="E1170" s="115"/>
      <c r="F1170" s="115"/>
      <c r="G1170" s="115"/>
      <c r="H1170" s="115"/>
      <c r="I1170" s="115"/>
      <c r="J1170" s="115"/>
      <c r="K1170" s="115"/>
      <c r="L1170" s="115"/>
      <c r="M1170" s="115"/>
      <c r="N1170" s="115"/>
      <c r="O1170" s="115"/>
      <c r="P1170" s="115"/>
      <c r="Q1170" s="115"/>
      <c r="R1170" s="115"/>
      <c r="S1170" s="115"/>
      <c r="T1170" s="115"/>
      <c r="U1170" s="115"/>
      <c r="V1170" s="115"/>
      <c r="W1170" s="115"/>
      <c r="X1170" s="115"/>
      <c r="Y1170" s="115"/>
      <c r="Z1170" s="115"/>
      <c r="AA1170" s="115"/>
      <c r="AB1170" s="115"/>
      <c r="AC1170" s="115"/>
      <c r="AD1170" s="115"/>
      <c r="AE1170" s="115"/>
      <c r="AF1170" s="115"/>
      <c r="AG1170" s="115"/>
      <c r="AH1170" s="115"/>
      <c r="AI1170" s="122"/>
      <c r="AJ1170" s="122"/>
      <c r="AK1170" s="122"/>
      <c r="AL1170" s="115"/>
      <c r="AM1170" s="115"/>
      <c r="AN1170" s="115"/>
      <c r="AO1170" s="115"/>
      <c r="AP1170" s="115"/>
      <c r="AQ1170" s="115"/>
      <c r="AR1170" s="115"/>
      <c r="AS1170" s="115"/>
      <c r="AT1170" s="115"/>
      <c r="AU1170" s="115"/>
      <c r="AV1170" s="115"/>
      <c r="AW1170" s="115"/>
      <c r="AX1170" s="115"/>
      <c r="AY1170" s="115"/>
      <c r="AZ1170" s="25"/>
      <c r="BA1170" s="15"/>
      <c r="BE1170" s="117"/>
      <c r="BF1170" s="116"/>
      <c r="BG1170" s="116"/>
      <c r="BH1170" s="116"/>
    </row>
    <row r="1171" spans="1:60" ht="19.5" x14ac:dyDescent="0.4">
      <c r="A1171" s="115"/>
      <c r="B1171" s="115"/>
      <c r="C1171" s="115"/>
      <c r="D1171" s="115"/>
      <c r="E1171" s="115"/>
      <c r="F1171" s="115"/>
      <c r="G1171" s="115"/>
      <c r="H1171" s="115"/>
      <c r="I1171" s="115"/>
      <c r="J1171" s="115"/>
      <c r="K1171" s="115"/>
      <c r="L1171" s="115"/>
      <c r="M1171" s="115"/>
      <c r="N1171" s="115"/>
      <c r="O1171" s="115"/>
      <c r="P1171" s="115"/>
      <c r="Q1171" s="115"/>
      <c r="R1171" s="115"/>
      <c r="S1171" s="115"/>
      <c r="T1171" s="115"/>
      <c r="U1171" s="115"/>
      <c r="V1171" s="115"/>
      <c r="W1171" s="115"/>
      <c r="X1171" s="115"/>
      <c r="Y1171" s="115"/>
      <c r="Z1171" s="115"/>
      <c r="AA1171" s="115"/>
      <c r="AB1171" s="115"/>
      <c r="AC1171" s="115"/>
      <c r="AD1171" s="115"/>
      <c r="AE1171" s="115"/>
      <c r="AF1171" s="115"/>
      <c r="AG1171" s="115"/>
      <c r="AH1171" s="115"/>
      <c r="AI1171" s="122"/>
      <c r="AJ1171" s="122"/>
      <c r="AK1171" s="122"/>
      <c r="AL1171" s="115"/>
      <c r="AM1171" s="115"/>
      <c r="AN1171" s="115"/>
      <c r="AO1171" s="115"/>
      <c r="AP1171" s="115"/>
      <c r="AQ1171" s="115"/>
      <c r="AR1171" s="115"/>
      <c r="AS1171" s="115"/>
      <c r="AT1171" s="115"/>
      <c r="AU1171" s="115"/>
      <c r="AV1171" s="115"/>
      <c r="AW1171" s="115"/>
      <c r="AX1171" s="115"/>
      <c r="AY1171" s="115"/>
      <c r="AZ1171" s="13"/>
      <c r="BA1171" s="15"/>
      <c r="BE1171" s="117"/>
      <c r="BF1171" s="116"/>
      <c r="BG1171" s="116"/>
      <c r="BH1171" s="116"/>
    </row>
    <row r="1172" spans="1:60" ht="19.5" x14ac:dyDescent="0.4">
      <c r="A1172" s="115"/>
      <c r="B1172" s="115"/>
      <c r="C1172" s="115"/>
      <c r="D1172" s="115"/>
      <c r="E1172" s="115"/>
      <c r="F1172" s="115"/>
      <c r="G1172" s="115"/>
      <c r="H1172" s="115"/>
      <c r="I1172" s="115"/>
      <c r="J1172" s="115"/>
      <c r="K1172" s="115"/>
      <c r="L1172" s="115"/>
      <c r="M1172" s="115"/>
      <c r="N1172" s="115"/>
      <c r="O1172" s="115"/>
      <c r="P1172" s="115"/>
      <c r="Q1172" s="115"/>
      <c r="R1172" s="115"/>
      <c r="S1172" s="115"/>
      <c r="T1172" s="115"/>
      <c r="U1172" s="115"/>
      <c r="V1172" s="115"/>
      <c r="W1172" s="115"/>
      <c r="X1172" s="115"/>
      <c r="Y1172" s="115"/>
      <c r="Z1172" s="115"/>
      <c r="AA1172" s="115"/>
      <c r="AB1172" s="115"/>
      <c r="AC1172" s="115"/>
      <c r="AD1172" s="115"/>
      <c r="AE1172" s="115"/>
      <c r="AF1172" s="115"/>
      <c r="AG1172" s="115"/>
      <c r="AH1172" s="115"/>
      <c r="AI1172" s="122"/>
      <c r="AJ1172" s="122"/>
      <c r="AK1172" s="122"/>
      <c r="AL1172" s="115"/>
      <c r="AM1172" s="115"/>
      <c r="AN1172" s="115"/>
      <c r="AO1172" s="115"/>
      <c r="AP1172" s="115"/>
      <c r="AQ1172" s="115"/>
      <c r="AR1172" s="115"/>
      <c r="AS1172" s="115"/>
      <c r="AT1172" s="115"/>
      <c r="AU1172" s="115"/>
      <c r="AV1172" s="115"/>
      <c r="AW1172" s="115"/>
      <c r="AX1172" s="115"/>
      <c r="AY1172" s="115"/>
      <c r="AZ1172" s="25"/>
      <c r="BA1172" s="15"/>
      <c r="BE1172" s="117"/>
      <c r="BF1172" s="116"/>
      <c r="BG1172" s="116"/>
      <c r="BH1172" s="116"/>
    </row>
    <row r="1173" spans="1:60" ht="19.5" x14ac:dyDescent="0.4">
      <c r="A1173" s="115"/>
      <c r="B1173" s="115"/>
      <c r="C1173" s="115"/>
      <c r="D1173" s="115"/>
      <c r="E1173" s="115"/>
      <c r="F1173" s="115"/>
      <c r="G1173" s="115"/>
      <c r="H1173" s="115"/>
      <c r="I1173" s="115"/>
      <c r="J1173" s="115"/>
      <c r="K1173" s="115"/>
      <c r="L1173" s="115"/>
      <c r="M1173" s="115"/>
      <c r="N1173" s="115"/>
      <c r="O1173" s="115"/>
      <c r="P1173" s="115"/>
      <c r="Q1173" s="115"/>
      <c r="R1173" s="115"/>
      <c r="S1173" s="115"/>
      <c r="T1173" s="115"/>
      <c r="U1173" s="115"/>
      <c r="V1173" s="115"/>
      <c r="W1173" s="115"/>
      <c r="X1173" s="115"/>
      <c r="Y1173" s="115"/>
      <c r="Z1173" s="115"/>
      <c r="AA1173" s="115"/>
      <c r="AB1173" s="115"/>
      <c r="AC1173" s="115"/>
      <c r="AD1173" s="115"/>
      <c r="AE1173" s="115"/>
      <c r="AF1173" s="115"/>
      <c r="AG1173" s="115"/>
      <c r="AH1173" s="115"/>
      <c r="AI1173" s="122"/>
      <c r="AJ1173" s="122"/>
      <c r="AK1173" s="122"/>
      <c r="AL1173" s="115"/>
      <c r="AM1173" s="115"/>
      <c r="AN1173" s="115"/>
      <c r="AO1173" s="115"/>
      <c r="AP1173" s="115"/>
      <c r="AQ1173" s="115"/>
      <c r="AR1173" s="115"/>
      <c r="AS1173" s="115"/>
      <c r="AT1173" s="115"/>
      <c r="AU1173" s="115"/>
      <c r="AV1173" s="115"/>
      <c r="AW1173" s="115"/>
      <c r="AX1173" s="115"/>
      <c r="AY1173" s="115"/>
      <c r="AZ1173" s="26"/>
      <c r="BA1173" s="15"/>
      <c r="BE1173" s="117"/>
      <c r="BF1173" s="116"/>
      <c r="BG1173" s="116"/>
      <c r="BH1173" s="116"/>
    </row>
    <row r="1174" spans="1:60" ht="19.5" x14ac:dyDescent="0.4">
      <c r="A1174" s="115"/>
      <c r="B1174" s="115"/>
      <c r="C1174" s="115"/>
      <c r="D1174" s="115"/>
      <c r="E1174" s="115"/>
      <c r="F1174" s="115"/>
      <c r="G1174" s="115"/>
      <c r="H1174" s="115"/>
      <c r="I1174" s="115"/>
      <c r="J1174" s="115"/>
      <c r="K1174" s="115"/>
      <c r="L1174" s="115"/>
      <c r="M1174" s="115"/>
      <c r="N1174" s="115"/>
      <c r="O1174" s="115"/>
      <c r="P1174" s="115"/>
      <c r="Q1174" s="115"/>
      <c r="R1174" s="115"/>
      <c r="S1174" s="115"/>
      <c r="T1174" s="115"/>
      <c r="U1174" s="115"/>
      <c r="V1174" s="115"/>
      <c r="W1174" s="115"/>
      <c r="X1174" s="115"/>
      <c r="Y1174" s="115"/>
      <c r="Z1174" s="115"/>
      <c r="AA1174" s="115"/>
      <c r="AB1174" s="115"/>
      <c r="AC1174" s="115"/>
      <c r="AD1174" s="115"/>
      <c r="AE1174" s="115"/>
      <c r="AF1174" s="115"/>
      <c r="AG1174" s="115"/>
      <c r="AH1174" s="115"/>
      <c r="AI1174" s="122"/>
      <c r="AJ1174" s="122"/>
      <c r="AK1174" s="122"/>
      <c r="AL1174" s="115"/>
      <c r="AM1174" s="115"/>
      <c r="AN1174" s="115"/>
      <c r="AO1174" s="115"/>
      <c r="AP1174" s="115"/>
      <c r="AQ1174" s="115"/>
      <c r="AR1174" s="115"/>
      <c r="AS1174" s="115"/>
      <c r="AT1174" s="115"/>
      <c r="AU1174" s="115"/>
      <c r="AV1174" s="115"/>
      <c r="AW1174" s="115"/>
      <c r="AX1174" s="115"/>
      <c r="AY1174" s="115"/>
      <c r="AZ1174" s="17"/>
      <c r="BA1174" s="13"/>
      <c r="BE1174" s="117"/>
      <c r="BF1174" s="116"/>
      <c r="BG1174" s="116"/>
      <c r="BH1174" s="116"/>
    </row>
    <row r="1175" spans="1:60" ht="19.5" x14ac:dyDescent="0.4">
      <c r="A1175" s="115"/>
      <c r="B1175" s="115"/>
      <c r="C1175" s="115"/>
      <c r="D1175" s="115"/>
      <c r="E1175" s="115"/>
      <c r="F1175" s="115"/>
      <c r="G1175" s="115"/>
      <c r="H1175" s="115"/>
      <c r="I1175" s="115"/>
      <c r="J1175" s="115"/>
      <c r="K1175" s="115"/>
      <c r="L1175" s="115"/>
      <c r="M1175" s="115"/>
      <c r="N1175" s="115"/>
      <c r="O1175" s="115"/>
      <c r="P1175" s="115"/>
      <c r="Q1175" s="115"/>
      <c r="R1175" s="115"/>
      <c r="S1175" s="115"/>
      <c r="T1175" s="115"/>
      <c r="U1175" s="115"/>
      <c r="V1175" s="115"/>
      <c r="W1175" s="115"/>
      <c r="X1175" s="115"/>
      <c r="Y1175" s="115"/>
      <c r="Z1175" s="115"/>
      <c r="AA1175" s="115"/>
      <c r="AB1175" s="115"/>
      <c r="AC1175" s="115"/>
      <c r="AD1175" s="115"/>
      <c r="AE1175" s="115"/>
      <c r="AF1175" s="115"/>
      <c r="AG1175" s="115"/>
      <c r="AH1175" s="115"/>
      <c r="AI1175" s="122"/>
      <c r="AJ1175" s="122"/>
      <c r="AK1175" s="122"/>
      <c r="AL1175" s="115"/>
      <c r="AM1175" s="115"/>
      <c r="AN1175" s="115"/>
      <c r="AO1175" s="115"/>
      <c r="AP1175" s="115"/>
      <c r="AQ1175" s="115"/>
      <c r="AR1175" s="115"/>
      <c r="AS1175" s="115"/>
      <c r="AT1175" s="115"/>
      <c r="AU1175" s="115"/>
      <c r="AV1175" s="115"/>
      <c r="AW1175" s="115"/>
      <c r="AX1175" s="115"/>
      <c r="AY1175" s="115"/>
      <c r="AZ1175" s="26"/>
      <c r="BA1175" s="13"/>
      <c r="BE1175" s="117"/>
      <c r="BF1175" s="116"/>
      <c r="BG1175" s="116"/>
      <c r="BH1175" s="116"/>
    </row>
    <row r="1176" spans="1:60" ht="19.5" x14ac:dyDescent="0.4">
      <c r="A1176" s="115"/>
      <c r="B1176" s="115"/>
      <c r="C1176" s="115"/>
      <c r="D1176" s="115"/>
      <c r="E1176" s="115"/>
      <c r="F1176" s="115"/>
      <c r="G1176" s="115"/>
      <c r="H1176" s="115"/>
      <c r="I1176" s="115"/>
      <c r="J1176" s="115"/>
      <c r="K1176" s="115"/>
      <c r="L1176" s="115"/>
      <c r="M1176" s="115"/>
      <c r="N1176" s="115"/>
      <c r="O1176" s="115"/>
      <c r="P1176" s="115"/>
      <c r="Q1176" s="115"/>
      <c r="R1176" s="115"/>
      <c r="S1176" s="115"/>
      <c r="T1176" s="115"/>
      <c r="U1176" s="115"/>
      <c r="V1176" s="115"/>
      <c r="W1176" s="115"/>
      <c r="X1176" s="115"/>
      <c r="Y1176" s="115"/>
      <c r="Z1176" s="115"/>
      <c r="AA1176" s="115"/>
      <c r="AB1176" s="115"/>
      <c r="AC1176" s="115"/>
      <c r="AD1176" s="115"/>
      <c r="AE1176" s="115"/>
      <c r="AF1176" s="115"/>
      <c r="AG1176" s="115"/>
      <c r="AH1176" s="115"/>
      <c r="AI1176" s="122"/>
      <c r="AJ1176" s="122"/>
      <c r="AK1176" s="122"/>
      <c r="AL1176" s="115"/>
      <c r="AM1176" s="115"/>
      <c r="AN1176" s="115"/>
      <c r="AO1176" s="115"/>
      <c r="AP1176" s="115"/>
      <c r="AQ1176" s="115"/>
      <c r="AR1176" s="115"/>
      <c r="AS1176" s="115"/>
      <c r="AT1176" s="115"/>
      <c r="AU1176" s="115"/>
      <c r="AV1176" s="115"/>
      <c r="AW1176" s="115"/>
      <c r="AX1176" s="115"/>
      <c r="AY1176" s="115"/>
      <c r="AZ1176" s="17"/>
      <c r="BA1176" s="13"/>
      <c r="BE1176" s="117"/>
      <c r="BF1176" s="116"/>
      <c r="BG1176" s="116"/>
      <c r="BH1176" s="116"/>
    </row>
    <row r="1177" spans="1:60" ht="19.5" x14ac:dyDescent="0.4">
      <c r="A1177" s="115"/>
      <c r="B1177" s="115"/>
      <c r="C1177" s="115"/>
      <c r="D1177" s="115"/>
      <c r="E1177" s="115"/>
      <c r="F1177" s="115"/>
      <c r="G1177" s="115"/>
      <c r="H1177" s="115"/>
      <c r="I1177" s="115"/>
      <c r="J1177" s="115"/>
      <c r="K1177" s="115"/>
      <c r="L1177" s="115"/>
      <c r="M1177" s="115"/>
      <c r="N1177" s="115"/>
      <c r="O1177" s="115"/>
      <c r="P1177" s="115"/>
      <c r="Q1177" s="115"/>
      <c r="R1177" s="115"/>
      <c r="S1177" s="115"/>
      <c r="T1177" s="115"/>
      <c r="U1177" s="115"/>
      <c r="V1177" s="115"/>
      <c r="W1177" s="115"/>
      <c r="X1177" s="115"/>
      <c r="Y1177" s="115"/>
      <c r="Z1177" s="115"/>
      <c r="AA1177" s="115"/>
      <c r="AB1177" s="115"/>
      <c r="AC1177" s="115"/>
      <c r="AD1177" s="115"/>
      <c r="AE1177" s="115"/>
      <c r="AF1177" s="115"/>
      <c r="AG1177" s="115"/>
      <c r="AH1177" s="115"/>
      <c r="AI1177" s="122"/>
      <c r="AJ1177" s="122"/>
      <c r="AK1177" s="122"/>
      <c r="AL1177" s="115"/>
      <c r="AM1177" s="115"/>
      <c r="AN1177" s="115"/>
      <c r="AO1177" s="115"/>
      <c r="AP1177" s="115"/>
      <c r="AQ1177" s="115"/>
      <c r="AR1177" s="115"/>
      <c r="AS1177" s="115"/>
      <c r="AT1177" s="115"/>
      <c r="AU1177" s="115"/>
      <c r="AV1177" s="115"/>
      <c r="AW1177" s="115"/>
      <c r="AX1177" s="115"/>
      <c r="AY1177" s="115"/>
      <c r="AZ1177" s="26"/>
      <c r="BA1177" s="15"/>
      <c r="BE1177" s="117"/>
      <c r="BF1177" s="116"/>
      <c r="BG1177" s="116"/>
      <c r="BH1177" s="116"/>
    </row>
    <row r="1178" spans="1:60" ht="19.5" x14ac:dyDescent="0.4">
      <c r="A1178" s="115"/>
      <c r="B1178" s="115"/>
      <c r="C1178" s="115"/>
      <c r="D1178" s="115"/>
      <c r="E1178" s="115"/>
      <c r="F1178" s="115"/>
      <c r="G1178" s="115"/>
      <c r="H1178" s="115"/>
      <c r="I1178" s="115"/>
      <c r="J1178" s="115"/>
      <c r="K1178" s="115"/>
      <c r="L1178" s="115"/>
      <c r="M1178" s="115"/>
      <c r="N1178" s="115"/>
      <c r="O1178" s="115"/>
      <c r="P1178" s="115"/>
      <c r="Q1178" s="115"/>
      <c r="R1178" s="115"/>
      <c r="S1178" s="115"/>
      <c r="T1178" s="115"/>
      <c r="U1178" s="115"/>
      <c r="V1178" s="115"/>
      <c r="W1178" s="115"/>
      <c r="X1178" s="115"/>
      <c r="Y1178" s="115"/>
      <c r="Z1178" s="115"/>
      <c r="AA1178" s="115"/>
      <c r="AB1178" s="115"/>
      <c r="AC1178" s="115"/>
      <c r="AD1178" s="115"/>
      <c r="AE1178" s="115"/>
      <c r="AF1178" s="115"/>
      <c r="AG1178" s="115"/>
      <c r="AH1178" s="115"/>
      <c r="AI1178" s="122"/>
      <c r="AJ1178" s="122"/>
      <c r="AK1178" s="122"/>
      <c r="AL1178" s="115"/>
      <c r="AM1178" s="115"/>
      <c r="AN1178" s="115"/>
      <c r="AO1178" s="115"/>
      <c r="AP1178" s="115"/>
      <c r="AQ1178" s="115"/>
      <c r="AR1178" s="115"/>
      <c r="AS1178" s="115"/>
      <c r="AT1178" s="115"/>
      <c r="AU1178" s="115"/>
      <c r="AV1178" s="115"/>
      <c r="AW1178" s="115"/>
      <c r="AX1178" s="115"/>
      <c r="AY1178" s="115"/>
      <c r="AZ1178" s="17"/>
      <c r="BA1178" s="15"/>
      <c r="BE1178" s="117"/>
      <c r="BF1178" s="116"/>
      <c r="BG1178" s="116"/>
      <c r="BH1178" s="116"/>
    </row>
    <row r="1179" spans="1:60" ht="19.5" x14ac:dyDescent="0.4">
      <c r="AZ1179" s="26"/>
      <c r="BA1179" s="105"/>
      <c r="BE1179" s="117"/>
      <c r="BF1179" s="116"/>
      <c r="BG1179" s="116"/>
      <c r="BH1179" s="116"/>
    </row>
    <row r="1180" spans="1:60" ht="19.5" x14ac:dyDescent="0.4">
      <c r="AF1180" s="115"/>
      <c r="AG1180" s="115"/>
      <c r="AH1180" s="115"/>
      <c r="AI1180" s="122"/>
      <c r="AJ1180" s="122"/>
      <c r="AK1180" s="122"/>
      <c r="AL1180" s="115"/>
      <c r="AM1180" s="115"/>
      <c r="AN1180" s="115"/>
      <c r="AO1180" s="115"/>
      <c r="AP1180" s="115"/>
      <c r="AQ1180" s="115"/>
      <c r="AR1180" s="115"/>
      <c r="AS1180" s="115"/>
      <c r="AT1180" s="115"/>
      <c r="AU1180" s="115"/>
      <c r="AV1180" s="115"/>
      <c r="AW1180" s="115"/>
      <c r="AX1180" s="115"/>
      <c r="AY1180" s="115"/>
      <c r="AZ1180" s="17"/>
      <c r="BA1180" s="15"/>
      <c r="BE1180" s="117"/>
      <c r="BF1180" s="116"/>
      <c r="BG1180" s="116"/>
      <c r="BH1180" s="116"/>
    </row>
    <row r="1181" spans="1:60" ht="19.5" x14ac:dyDescent="0.4">
      <c r="AC1181" s="115"/>
      <c r="AD1181" s="115"/>
      <c r="AE1181" s="115"/>
      <c r="AF1181" s="115"/>
      <c r="AG1181" s="115"/>
      <c r="AH1181" s="115"/>
      <c r="AI1181" s="122"/>
      <c r="AJ1181" s="122"/>
      <c r="AK1181" s="122"/>
      <c r="AL1181" s="115"/>
      <c r="AM1181" s="115"/>
      <c r="AN1181" s="115"/>
      <c r="AO1181" s="115"/>
      <c r="AP1181" s="115"/>
      <c r="AQ1181" s="115"/>
      <c r="AR1181" s="115"/>
      <c r="AS1181" s="115"/>
      <c r="AT1181" s="115"/>
      <c r="AU1181" s="115"/>
      <c r="AV1181" s="115"/>
      <c r="AW1181" s="115"/>
      <c r="AX1181" s="115"/>
      <c r="AY1181" s="115"/>
      <c r="AZ1181" s="26"/>
      <c r="BA1181" s="15"/>
      <c r="BE1181" s="117"/>
      <c r="BF1181" s="116"/>
      <c r="BG1181" s="116"/>
      <c r="BH1181" s="116"/>
    </row>
    <row r="1182" spans="1:60" ht="19.5" x14ac:dyDescent="0.4">
      <c r="AC1182" s="115"/>
      <c r="AD1182" s="115"/>
      <c r="AE1182" s="115"/>
      <c r="AF1182" s="115"/>
      <c r="AG1182" s="115"/>
      <c r="AH1182" s="115"/>
      <c r="AI1182" s="122"/>
      <c r="AJ1182" s="122"/>
      <c r="AK1182" s="122"/>
      <c r="AL1182" s="115"/>
      <c r="AM1182" s="115"/>
      <c r="AN1182" s="115"/>
      <c r="AO1182" s="115"/>
      <c r="AP1182" s="115"/>
      <c r="AQ1182" s="115"/>
      <c r="AR1182" s="115"/>
      <c r="AS1182" s="115"/>
      <c r="AT1182" s="115"/>
      <c r="AU1182" s="115"/>
      <c r="AV1182" s="115"/>
      <c r="AW1182" s="115"/>
      <c r="AX1182" s="115"/>
      <c r="AY1182" s="115"/>
      <c r="AZ1182" s="17"/>
      <c r="BA1182" s="15"/>
      <c r="BE1182" s="117"/>
      <c r="BF1182" s="116"/>
      <c r="BG1182" s="116"/>
      <c r="BH1182" s="116"/>
    </row>
    <row r="1183" spans="1:60" ht="19.5" x14ac:dyDescent="0.4">
      <c r="E1183" s="115"/>
      <c r="F1183" s="115"/>
      <c r="G1183" s="115"/>
      <c r="H1183" s="115"/>
      <c r="I1183" s="115"/>
      <c r="J1183" s="115"/>
      <c r="K1183" s="115"/>
      <c r="L1183" s="115"/>
      <c r="M1183" s="115"/>
      <c r="N1183" s="115"/>
      <c r="O1183" s="115"/>
      <c r="P1183" s="115"/>
      <c r="Q1183" s="115"/>
      <c r="R1183" s="115"/>
      <c r="S1183" s="115"/>
      <c r="T1183" s="115"/>
      <c r="U1183" s="115"/>
      <c r="V1183" s="115"/>
      <c r="W1183" s="115"/>
      <c r="X1183" s="115"/>
      <c r="Y1183" s="115"/>
      <c r="Z1183" s="115"/>
      <c r="AA1183" s="115"/>
      <c r="AB1183" s="115"/>
      <c r="AC1183" s="115"/>
      <c r="AD1183" s="115"/>
      <c r="AE1183" s="115"/>
      <c r="AF1183" s="115"/>
      <c r="AG1183" s="115"/>
      <c r="AH1183" s="115"/>
      <c r="AI1183" s="122"/>
      <c r="AJ1183" s="122"/>
      <c r="AK1183" s="122"/>
      <c r="AL1183" s="115"/>
      <c r="AM1183" s="115"/>
      <c r="AN1183" s="115"/>
      <c r="AO1183" s="115"/>
      <c r="AP1183" s="115"/>
      <c r="AQ1183" s="115"/>
      <c r="AR1183" s="115"/>
      <c r="AS1183" s="115"/>
      <c r="AT1183" s="115"/>
      <c r="AU1183" s="115"/>
      <c r="AV1183" s="115"/>
      <c r="AW1183" s="115"/>
      <c r="AX1183" s="115"/>
      <c r="AY1183" s="115"/>
      <c r="AZ1183" s="26"/>
      <c r="BA1183" s="15"/>
      <c r="BE1183" s="117"/>
      <c r="BF1183" s="116"/>
      <c r="BG1183" s="116"/>
      <c r="BH1183" s="116"/>
    </row>
    <row r="1184" spans="1:60" ht="19.5" x14ac:dyDescent="0.4">
      <c r="E1184" s="115"/>
      <c r="F1184" s="115"/>
      <c r="G1184" s="115"/>
      <c r="H1184" s="115"/>
      <c r="I1184" s="115"/>
      <c r="J1184" s="115"/>
      <c r="K1184" s="115"/>
      <c r="L1184" s="115"/>
      <c r="M1184" s="115"/>
      <c r="N1184" s="115"/>
      <c r="O1184" s="115"/>
      <c r="P1184" s="115"/>
      <c r="Q1184" s="115"/>
      <c r="R1184" s="115"/>
      <c r="S1184" s="115"/>
      <c r="T1184" s="115"/>
      <c r="U1184" s="115"/>
      <c r="V1184" s="115"/>
      <c r="W1184" s="115"/>
      <c r="X1184" s="115"/>
      <c r="Y1184" s="115"/>
      <c r="Z1184" s="115"/>
      <c r="AA1184" s="115"/>
      <c r="AB1184" s="115"/>
      <c r="AC1184" s="115"/>
      <c r="AD1184" s="115"/>
      <c r="AE1184" s="115"/>
      <c r="AF1184" s="115"/>
      <c r="AG1184" s="115"/>
      <c r="AH1184" s="115"/>
      <c r="AI1184" s="122"/>
      <c r="AJ1184" s="122"/>
      <c r="AK1184" s="122"/>
      <c r="AL1184" s="115"/>
      <c r="AM1184" s="115"/>
      <c r="AN1184" s="115"/>
      <c r="AO1184" s="115"/>
      <c r="AP1184" s="115"/>
      <c r="AQ1184" s="115"/>
      <c r="AR1184" s="115"/>
      <c r="AS1184" s="115"/>
      <c r="AT1184" s="115"/>
      <c r="AU1184" s="115"/>
      <c r="AV1184" s="115"/>
      <c r="AW1184" s="115"/>
      <c r="AX1184" s="115"/>
      <c r="AY1184" s="115"/>
      <c r="AZ1184" s="17"/>
      <c r="BA1184" s="15"/>
      <c r="BE1184" s="117"/>
      <c r="BF1184" s="116"/>
      <c r="BG1184" s="116"/>
      <c r="BH1184" s="116"/>
    </row>
    <row r="1185" spans="1:60" ht="19.5" x14ac:dyDescent="0.4">
      <c r="A1185" s="115"/>
      <c r="B1185" s="115"/>
      <c r="C1185" s="115"/>
      <c r="D1185" s="115"/>
      <c r="E1185" s="115"/>
      <c r="F1185" s="115"/>
      <c r="G1185" s="115"/>
      <c r="H1185" s="115"/>
      <c r="I1185" s="115"/>
      <c r="J1185" s="115"/>
      <c r="K1185" s="115"/>
      <c r="L1185" s="115"/>
      <c r="M1185" s="115"/>
      <c r="N1185" s="115"/>
      <c r="O1185" s="115"/>
      <c r="P1185" s="115"/>
      <c r="Q1185" s="115"/>
      <c r="R1185" s="115"/>
      <c r="S1185" s="115"/>
      <c r="T1185" s="115"/>
      <c r="U1185" s="115"/>
      <c r="V1185" s="115"/>
      <c r="W1185" s="115"/>
      <c r="X1185" s="115"/>
      <c r="Y1185" s="115"/>
      <c r="Z1185" s="115"/>
      <c r="AA1185" s="115"/>
      <c r="AB1185" s="115"/>
      <c r="AC1185" s="115"/>
      <c r="AD1185" s="115"/>
      <c r="AE1185" s="115"/>
      <c r="AF1185" s="115"/>
      <c r="AG1185" s="115"/>
      <c r="AH1185" s="115"/>
      <c r="AI1185" s="122"/>
      <c r="AJ1185" s="122"/>
      <c r="AK1185" s="122"/>
      <c r="AL1185" s="115"/>
      <c r="AM1185" s="115"/>
      <c r="AN1185" s="115"/>
      <c r="AO1185" s="115"/>
      <c r="AP1185" s="115"/>
      <c r="AQ1185" s="115"/>
      <c r="AR1185" s="115"/>
      <c r="AS1185" s="115"/>
      <c r="AT1185" s="115"/>
      <c r="AU1185" s="115"/>
      <c r="AV1185" s="115"/>
      <c r="AW1185" s="115"/>
      <c r="AX1185" s="115"/>
      <c r="AY1185" s="115"/>
      <c r="AZ1185" s="26"/>
      <c r="BA1185" s="15"/>
      <c r="BE1185" s="117"/>
      <c r="BF1185" s="116"/>
      <c r="BG1185" s="116"/>
      <c r="BH1185" s="116"/>
    </row>
    <row r="1186" spans="1:60" ht="19.5" x14ac:dyDescent="0.4">
      <c r="A1186" s="115"/>
      <c r="B1186" s="115"/>
      <c r="C1186" s="115"/>
      <c r="D1186" s="115"/>
      <c r="E1186" s="115"/>
      <c r="F1186" s="115"/>
      <c r="G1186" s="115"/>
      <c r="H1186" s="115"/>
      <c r="I1186" s="115"/>
      <c r="J1186" s="115"/>
      <c r="K1186" s="115"/>
      <c r="L1186" s="115"/>
      <c r="M1186" s="115"/>
      <c r="N1186" s="115"/>
      <c r="O1186" s="115"/>
      <c r="P1186" s="115"/>
      <c r="Q1186" s="115"/>
      <c r="R1186" s="115"/>
      <c r="S1186" s="115"/>
      <c r="T1186" s="115"/>
      <c r="U1186" s="115"/>
      <c r="V1186" s="115"/>
      <c r="W1186" s="115"/>
      <c r="X1186" s="115"/>
      <c r="Y1186" s="115"/>
      <c r="Z1186" s="115"/>
      <c r="AA1186" s="115"/>
      <c r="AB1186" s="115"/>
      <c r="AC1186" s="115"/>
      <c r="AD1186" s="115"/>
      <c r="AE1186" s="115"/>
      <c r="AF1186" s="115"/>
      <c r="AG1186" s="115"/>
      <c r="AH1186" s="115"/>
      <c r="AI1186" s="122"/>
      <c r="AJ1186" s="122"/>
      <c r="AK1186" s="122"/>
      <c r="AL1186" s="115"/>
      <c r="AM1186" s="115"/>
      <c r="AN1186" s="115"/>
      <c r="AO1186" s="115"/>
      <c r="AP1186" s="115"/>
      <c r="AQ1186" s="115"/>
      <c r="AR1186" s="115"/>
      <c r="AS1186" s="115"/>
      <c r="AT1186" s="115"/>
      <c r="AU1186" s="115"/>
      <c r="AV1186" s="115"/>
      <c r="AW1186" s="115"/>
      <c r="AX1186" s="115"/>
      <c r="AY1186" s="115"/>
      <c r="AZ1186" s="26"/>
      <c r="BA1186" s="15"/>
      <c r="BE1186" s="117"/>
      <c r="BF1186" s="116"/>
      <c r="BG1186" s="116"/>
      <c r="BH1186" s="116"/>
    </row>
    <row r="1187" spans="1:60" ht="19.5" x14ac:dyDescent="0.4">
      <c r="A1187" s="115"/>
      <c r="B1187" s="115"/>
      <c r="C1187" s="115"/>
      <c r="D1187" s="115"/>
      <c r="E1187" s="115"/>
      <c r="F1187" s="115"/>
      <c r="G1187" s="115"/>
      <c r="H1187" s="115"/>
      <c r="I1187" s="115"/>
      <c r="J1187" s="115"/>
      <c r="K1187" s="115"/>
      <c r="L1187" s="115"/>
      <c r="M1187" s="115"/>
      <c r="N1187" s="115"/>
      <c r="O1187" s="115"/>
      <c r="P1187" s="115"/>
      <c r="Q1187" s="115"/>
      <c r="R1187" s="115"/>
      <c r="S1187" s="115"/>
      <c r="T1187" s="115"/>
      <c r="U1187" s="115"/>
      <c r="V1187" s="115"/>
      <c r="W1187" s="115"/>
      <c r="X1187" s="115"/>
      <c r="Y1187" s="115"/>
      <c r="Z1187" s="115"/>
      <c r="AA1187" s="115"/>
      <c r="AB1187" s="115"/>
      <c r="AC1187" s="115"/>
      <c r="AD1187" s="115"/>
      <c r="AE1187" s="115"/>
      <c r="AF1187" s="115"/>
      <c r="AG1187" s="115"/>
      <c r="AH1187" s="115"/>
      <c r="AI1187" s="122"/>
      <c r="AJ1187" s="122"/>
      <c r="AK1187" s="122"/>
      <c r="AL1187" s="115"/>
      <c r="AM1187" s="115"/>
      <c r="AN1187" s="115"/>
      <c r="AO1187" s="115"/>
      <c r="AP1187" s="115"/>
      <c r="AQ1187" s="115"/>
      <c r="AR1187" s="115"/>
      <c r="AS1187" s="115"/>
      <c r="AT1187" s="115"/>
      <c r="AU1187" s="115"/>
      <c r="AV1187" s="115"/>
      <c r="AW1187" s="115"/>
      <c r="AX1187" s="115"/>
      <c r="AY1187" s="115"/>
      <c r="AZ1187" s="17"/>
      <c r="BA1187" s="15"/>
      <c r="BE1187" s="117"/>
      <c r="BF1187" s="116"/>
      <c r="BG1187" s="116"/>
      <c r="BH1187" s="116"/>
    </row>
    <row r="1188" spans="1:60" ht="19.5" x14ac:dyDescent="0.4">
      <c r="A1188" s="115"/>
      <c r="B1188" s="115"/>
      <c r="C1188" s="115"/>
      <c r="D1188" s="115"/>
      <c r="E1188" s="115"/>
      <c r="F1188" s="115"/>
      <c r="G1188" s="115"/>
      <c r="H1188" s="115"/>
      <c r="I1188" s="115"/>
      <c r="J1188" s="115"/>
      <c r="K1188" s="115"/>
      <c r="L1188" s="115"/>
      <c r="M1188" s="115"/>
      <c r="N1188" s="115"/>
      <c r="O1188" s="115"/>
      <c r="P1188" s="115"/>
      <c r="Q1188" s="115"/>
      <c r="R1188" s="115"/>
      <c r="S1188" s="115"/>
      <c r="T1188" s="115"/>
      <c r="U1188" s="115"/>
      <c r="V1188" s="115"/>
      <c r="W1188" s="115"/>
      <c r="X1188" s="115"/>
      <c r="Y1188" s="115"/>
      <c r="Z1188" s="115"/>
      <c r="AA1188" s="115"/>
      <c r="AB1188" s="115"/>
      <c r="AC1188" s="115"/>
      <c r="AD1188" s="115"/>
      <c r="AE1188" s="115"/>
      <c r="AF1188" s="115"/>
      <c r="AG1188" s="115"/>
      <c r="AH1188" s="115"/>
      <c r="AI1188" s="122"/>
      <c r="AJ1188" s="122"/>
      <c r="AK1188" s="122"/>
      <c r="AL1188" s="115"/>
      <c r="AM1188" s="115"/>
      <c r="AN1188" s="115"/>
      <c r="AO1188" s="115"/>
      <c r="AP1188" s="115"/>
      <c r="AQ1188" s="115"/>
      <c r="AR1188" s="115"/>
      <c r="AS1188" s="115"/>
      <c r="AT1188" s="115"/>
      <c r="AU1188" s="115"/>
      <c r="AV1188" s="115"/>
      <c r="AW1188" s="115"/>
      <c r="AX1188" s="115"/>
      <c r="AY1188" s="115"/>
      <c r="AZ1188" s="26"/>
      <c r="BA1188" s="15"/>
      <c r="BE1188" s="117"/>
      <c r="BF1188" s="116"/>
      <c r="BG1188" s="116"/>
      <c r="BH1188" s="116"/>
    </row>
    <row r="1189" spans="1:60" ht="19.5" x14ac:dyDescent="0.4">
      <c r="A1189" s="115"/>
      <c r="B1189" s="115"/>
      <c r="C1189" s="115"/>
      <c r="D1189" s="115"/>
      <c r="E1189" s="115"/>
      <c r="F1189" s="115"/>
      <c r="G1189" s="115"/>
      <c r="H1189" s="115"/>
      <c r="I1189" s="115"/>
      <c r="J1189" s="115"/>
      <c r="K1189" s="115"/>
      <c r="L1189" s="115"/>
      <c r="M1189" s="115"/>
      <c r="N1189" s="115"/>
      <c r="O1189" s="115"/>
      <c r="P1189" s="115"/>
      <c r="Q1189" s="115"/>
      <c r="R1189" s="115"/>
      <c r="S1189" s="115"/>
      <c r="T1189" s="115"/>
      <c r="U1189" s="115"/>
      <c r="V1189" s="115"/>
      <c r="W1189" s="115"/>
      <c r="X1189" s="115"/>
      <c r="Y1189" s="115"/>
      <c r="Z1189" s="115"/>
      <c r="AA1189" s="115"/>
      <c r="AB1189" s="115"/>
      <c r="AC1189" s="115"/>
      <c r="AD1189" s="115"/>
      <c r="AE1189" s="115"/>
      <c r="AF1189" s="115"/>
      <c r="AG1189" s="115"/>
      <c r="AH1189" s="115"/>
      <c r="AI1189" s="122"/>
      <c r="AJ1189" s="122"/>
      <c r="AK1189" s="122"/>
      <c r="AL1189" s="115"/>
      <c r="AM1189" s="115"/>
      <c r="AN1189" s="115"/>
      <c r="AO1189" s="115"/>
      <c r="AP1189" s="115"/>
      <c r="AQ1189" s="115"/>
      <c r="AR1189" s="115"/>
      <c r="AS1189" s="115"/>
      <c r="AT1189" s="115"/>
      <c r="AU1189" s="115"/>
      <c r="AV1189" s="115"/>
      <c r="AW1189" s="115"/>
      <c r="AX1189" s="115"/>
      <c r="AY1189" s="115"/>
      <c r="AZ1189" s="17"/>
      <c r="BA1189" s="15"/>
      <c r="BE1189" s="117"/>
      <c r="BF1189" s="116"/>
      <c r="BG1189" s="116"/>
      <c r="BH1189" s="116"/>
    </row>
    <row r="1190" spans="1:60" ht="19.5" x14ac:dyDescent="0.4">
      <c r="AZ1190" s="26"/>
      <c r="BA1190" s="15"/>
      <c r="BE1190" s="117"/>
      <c r="BF1190" s="116"/>
      <c r="BG1190" s="116"/>
      <c r="BH1190" s="116"/>
    </row>
    <row r="1191" spans="1:60" ht="19.5" x14ac:dyDescent="0.4">
      <c r="AF1191" s="115"/>
      <c r="AG1191" s="115"/>
      <c r="AH1191" s="115"/>
      <c r="AI1191" s="122"/>
      <c r="AJ1191" s="122"/>
      <c r="AK1191" s="122"/>
      <c r="AL1191" s="115"/>
      <c r="AM1191" s="115"/>
      <c r="AN1191" s="115"/>
      <c r="AO1191" s="115"/>
      <c r="AP1191" s="115"/>
      <c r="AQ1191" s="115"/>
      <c r="AR1191" s="115"/>
      <c r="AS1191" s="115"/>
      <c r="AT1191" s="115"/>
      <c r="AU1191" s="115"/>
      <c r="AV1191" s="115"/>
      <c r="AW1191" s="115"/>
      <c r="AX1191" s="115"/>
      <c r="AY1191" s="115"/>
      <c r="AZ1191" s="17"/>
      <c r="BA1191" s="15"/>
      <c r="BE1191" s="117"/>
      <c r="BF1191" s="116"/>
      <c r="BG1191" s="116"/>
      <c r="BH1191" s="116"/>
    </row>
    <row r="1192" spans="1:60" ht="19.5" x14ac:dyDescent="0.4">
      <c r="AZ1192" s="26"/>
      <c r="BA1192" s="15"/>
      <c r="BE1192" s="117"/>
      <c r="BF1192" s="116"/>
      <c r="BG1192" s="116"/>
      <c r="BH1192" s="116"/>
    </row>
    <row r="1193" spans="1:60" ht="19.5" x14ac:dyDescent="0.4">
      <c r="AF1193" s="115"/>
      <c r="AG1193" s="115"/>
      <c r="AH1193" s="115"/>
      <c r="AI1193" s="122"/>
      <c r="AJ1193" s="122"/>
      <c r="AK1193" s="122"/>
      <c r="AL1193" s="115"/>
      <c r="AM1193" s="115"/>
      <c r="AN1193" s="115"/>
      <c r="AO1193" s="115"/>
      <c r="AP1193" s="115"/>
      <c r="AQ1193" s="115"/>
      <c r="AR1193" s="115"/>
      <c r="AS1193" s="115"/>
      <c r="AT1193" s="115"/>
      <c r="AU1193" s="115"/>
      <c r="AV1193" s="115"/>
      <c r="AW1193" s="115"/>
      <c r="AX1193" s="115"/>
      <c r="AY1193" s="115"/>
      <c r="AZ1193" s="17"/>
      <c r="BA1193" s="15"/>
      <c r="BE1193" s="117"/>
      <c r="BF1193" s="116"/>
      <c r="BG1193" s="116"/>
      <c r="BH1193" s="116"/>
    </row>
    <row r="1194" spans="1:60" ht="19.5" x14ac:dyDescent="0.4">
      <c r="AZ1194" s="26"/>
      <c r="BA1194" s="15"/>
      <c r="BE1194" s="117"/>
      <c r="BF1194" s="116"/>
      <c r="BG1194" s="116"/>
      <c r="BH1194" s="116"/>
    </row>
    <row r="1195" spans="1:60" ht="19.5" x14ac:dyDescent="0.4">
      <c r="AF1195" s="115"/>
      <c r="AG1195" s="115"/>
      <c r="AH1195" s="115"/>
      <c r="AI1195" s="122"/>
      <c r="AJ1195" s="122"/>
      <c r="AK1195" s="122"/>
      <c r="AL1195" s="115"/>
      <c r="AM1195" s="115"/>
      <c r="AN1195" s="115"/>
      <c r="AO1195" s="115"/>
      <c r="AP1195" s="115"/>
      <c r="AQ1195" s="115"/>
      <c r="AR1195" s="115"/>
      <c r="AS1195" s="115"/>
      <c r="AT1195" s="115"/>
      <c r="AU1195" s="115"/>
      <c r="AV1195" s="115"/>
      <c r="AW1195" s="115"/>
      <c r="AX1195" s="115"/>
      <c r="AY1195" s="115"/>
      <c r="AZ1195" s="17"/>
      <c r="BA1195" s="15"/>
      <c r="BE1195" s="117"/>
      <c r="BF1195" s="116"/>
      <c r="BG1195" s="116"/>
      <c r="BH1195" s="116"/>
    </row>
    <row r="1196" spans="1:60" ht="19.5" x14ac:dyDescent="0.4">
      <c r="B1196" s="115"/>
      <c r="C1196" s="115"/>
      <c r="D1196" s="115"/>
      <c r="E1196" s="115"/>
      <c r="F1196" s="115"/>
      <c r="G1196" s="115"/>
      <c r="H1196" s="115"/>
      <c r="I1196" s="115"/>
      <c r="J1196" s="115"/>
      <c r="K1196" s="115"/>
      <c r="L1196" s="115"/>
      <c r="M1196" s="115"/>
      <c r="N1196" s="115"/>
      <c r="O1196" s="115"/>
      <c r="P1196" s="115"/>
      <c r="Q1196" s="115"/>
      <c r="R1196" s="115"/>
      <c r="S1196" s="115"/>
      <c r="T1196" s="115"/>
      <c r="U1196" s="115"/>
      <c r="V1196" s="115"/>
      <c r="W1196" s="115"/>
      <c r="X1196" s="115"/>
      <c r="Y1196" s="115"/>
      <c r="Z1196" s="115"/>
      <c r="AA1196" s="115"/>
      <c r="AB1196" s="115"/>
      <c r="AC1196" s="115"/>
      <c r="AD1196" s="115"/>
      <c r="AE1196" s="115"/>
      <c r="AF1196" s="115"/>
      <c r="AG1196" s="115"/>
      <c r="AH1196" s="115"/>
      <c r="AI1196" s="122"/>
      <c r="AJ1196" s="122"/>
      <c r="AK1196" s="122"/>
      <c r="AL1196" s="115"/>
      <c r="AM1196" s="115"/>
      <c r="AN1196" s="115"/>
      <c r="AO1196" s="115"/>
      <c r="AP1196" s="115"/>
      <c r="AQ1196" s="115"/>
      <c r="AR1196" s="115"/>
      <c r="AS1196" s="115"/>
      <c r="AT1196" s="115"/>
      <c r="AU1196" s="115"/>
      <c r="AV1196" s="115"/>
      <c r="AW1196" s="115"/>
      <c r="AX1196" s="115"/>
      <c r="AY1196" s="115"/>
      <c r="AZ1196" s="26"/>
      <c r="BA1196" s="15"/>
      <c r="BE1196" s="117"/>
      <c r="BF1196" s="116"/>
      <c r="BG1196" s="116"/>
      <c r="BH1196" s="116"/>
    </row>
    <row r="1197" spans="1:60" ht="19.5" x14ac:dyDescent="0.4">
      <c r="B1197" s="115"/>
      <c r="C1197" s="115"/>
      <c r="D1197" s="115"/>
      <c r="E1197" s="115"/>
      <c r="F1197" s="115"/>
      <c r="G1197" s="115"/>
      <c r="H1197" s="115"/>
      <c r="I1197" s="115"/>
      <c r="J1197" s="115"/>
      <c r="K1197" s="115"/>
      <c r="L1197" s="115"/>
      <c r="M1197" s="115"/>
      <c r="N1197" s="115"/>
      <c r="O1197" s="115"/>
      <c r="P1197" s="115"/>
      <c r="Q1197" s="115"/>
      <c r="R1197" s="115"/>
      <c r="S1197" s="115"/>
      <c r="T1197" s="115"/>
      <c r="U1197" s="115"/>
      <c r="V1197" s="115"/>
      <c r="W1197" s="115"/>
      <c r="X1197" s="115"/>
      <c r="Y1197" s="115"/>
      <c r="Z1197" s="115"/>
      <c r="AA1197" s="115"/>
      <c r="AB1197" s="115"/>
      <c r="AC1197" s="115"/>
      <c r="AD1197" s="115"/>
      <c r="AE1197" s="115"/>
      <c r="AF1197" s="115"/>
      <c r="AG1197" s="115"/>
      <c r="AH1197" s="115"/>
      <c r="AI1197" s="122"/>
      <c r="AJ1197" s="122"/>
      <c r="AK1197" s="122"/>
      <c r="AL1197" s="115"/>
      <c r="AM1197" s="115"/>
      <c r="AN1197" s="115"/>
      <c r="AO1197" s="115"/>
      <c r="AP1197" s="115"/>
      <c r="AQ1197" s="115"/>
      <c r="AR1197" s="115"/>
      <c r="AS1197" s="115"/>
      <c r="AT1197" s="115"/>
      <c r="AU1197" s="115"/>
      <c r="AV1197" s="115"/>
      <c r="AW1197" s="115"/>
      <c r="AX1197" s="115"/>
      <c r="AY1197" s="115"/>
      <c r="AZ1197" s="17"/>
      <c r="BA1197" s="15"/>
      <c r="BE1197" s="117"/>
      <c r="BF1197" s="116"/>
      <c r="BG1197" s="116"/>
      <c r="BH1197" s="116"/>
    </row>
    <row r="1198" spans="1:60" ht="19.5" x14ac:dyDescent="0.4">
      <c r="B1198" s="115"/>
      <c r="C1198" s="115"/>
      <c r="D1198" s="115"/>
      <c r="E1198" s="115"/>
      <c r="F1198" s="115"/>
      <c r="G1198" s="115"/>
      <c r="H1198" s="115"/>
      <c r="I1198" s="115"/>
      <c r="J1198" s="115"/>
      <c r="K1198" s="115"/>
      <c r="L1198" s="115"/>
      <c r="M1198" s="115"/>
      <c r="N1198" s="115"/>
      <c r="O1198" s="115"/>
      <c r="P1198" s="115"/>
      <c r="Q1198" s="115"/>
      <c r="R1198" s="115"/>
      <c r="S1198" s="115"/>
      <c r="T1198" s="115"/>
      <c r="U1198" s="115"/>
      <c r="V1198" s="115"/>
      <c r="W1198" s="115"/>
      <c r="X1198" s="115"/>
      <c r="Y1198" s="115"/>
      <c r="Z1198" s="115"/>
      <c r="AA1198" s="115"/>
      <c r="AB1198" s="115"/>
      <c r="AC1198" s="115"/>
      <c r="AD1198" s="115"/>
      <c r="AE1198" s="115"/>
      <c r="AF1198" s="115"/>
      <c r="AG1198" s="115"/>
      <c r="AH1198" s="115"/>
      <c r="AI1198" s="122"/>
      <c r="AJ1198" s="122"/>
      <c r="AK1198" s="122"/>
      <c r="AL1198" s="115"/>
      <c r="AM1198" s="115"/>
      <c r="AN1198" s="115"/>
      <c r="AO1198" s="115"/>
      <c r="AP1198" s="115"/>
      <c r="AQ1198" s="115"/>
      <c r="AR1198" s="115"/>
      <c r="AS1198" s="115"/>
      <c r="AT1198" s="115"/>
      <c r="AU1198" s="115"/>
      <c r="AV1198" s="115"/>
      <c r="AW1198" s="115"/>
      <c r="AX1198" s="115"/>
      <c r="AY1198" s="115"/>
      <c r="AZ1198" s="26"/>
      <c r="BA1198" s="15"/>
      <c r="BE1198" s="117"/>
      <c r="BF1198" s="116"/>
      <c r="BG1198" s="116"/>
      <c r="BH1198" s="116"/>
    </row>
    <row r="1199" spans="1:60" ht="19.5" x14ac:dyDescent="0.4">
      <c r="AZ1199" s="26"/>
      <c r="BA1199" s="15"/>
      <c r="BE1199" s="117"/>
      <c r="BF1199" s="116"/>
      <c r="BG1199" s="116"/>
      <c r="BH1199" s="116"/>
    </row>
    <row r="1200" spans="1:60" ht="19.5" x14ac:dyDescent="0.4">
      <c r="AF1200" s="115"/>
      <c r="AG1200" s="115"/>
      <c r="AH1200" s="115"/>
      <c r="AI1200" s="122"/>
      <c r="AJ1200" s="122"/>
      <c r="AK1200" s="122"/>
      <c r="AL1200" s="115"/>
      <c r="AM1200" s="115"/>
      <c r="AN1200" s="115"/>
      <c r="AO1200" s="115"/>
      <c r="AP1200" s="115"/>
      <c r="AQ1200" s="115"/>
      <c r="AR1200" s="115"/>
      <c r="AS1200" s="115"/>
      <c r="AT1200" s="115"/>
      <c r="AU1200" s="115"/>
      <c r="AV1200" s="115"/>
      <c r="AW1200" s="115"/>
      <c r="AX1200" s="115"/>
      <c r="AY1200" s="115"/>
      <c r="AZ1200" s="17"/>
      <c r="BA1200" s="15"/>
      <c r="BE1200" s="117"/>
      <c r="BF1200" s="116"/>
      <c r="BG1200" s="116"/>
      <c r="BH1200" s="116"/>
    </row>
    <row r="1201" spans="1:60" ht="19.5" x14ac:dyDescent="0.4">
      <c r="AD1201" s="115"/>
      <c r="AE1201" s="115"/>
      <c r="AF1201" s="115"/>
      <c r="AG1201" s="115"/>
      <c r="AH1201" s="115"/>
      <c r="AI1201" s="122"/>
      <c r="AJ1201" s="122"/>
      <c r="AK1201" s="122"/>
      <c r="AL1201" s="115"/>
      <c r="AM1201" s="115"/>
      <c r="AN1201" s="115"/>
      <c r="AO1201" s="115"/>
      <c r="AP1201" s="115"/>
      <c r="AQ1201" s="115"/>
      <c r="AR1201" s="115"/>
      <c r="AS1201" s="115"/>
      <c r="AT1201" s="115"/>
      <c r="AU1201" s="115"/>
      <c r="AV1201" s="115"/>
      <c r="AW1201" s="115"/>
      <c r="AX1201" s="115"/>
      <c r="AY1201" s="115"/>
      <c r="AZ1201" s="26"/>
      <c r="BA1201" s="15"/>
      <c r="BE1201" s="117"/>
      <c r="BF1201" s="116"/>
      <c r="BG1201" s="116"/>
      <c r="BH1201" s="116"/>
    </row>
    <row r="1202" spans="1:60" ht="19.5" x14ac:dyDescent="0.4">
      <c r="AD1202" s="115"/>
      <c r="AE1202" s="115"/>
      <c r="AF1202" s="115"/>
      <c r="AG1202" s="115"/>
      <c r="AH1202" s="115"/>
      <c r="AI1202" s="122"/>
      <c r="AJ1202" s="122"/>
      <c r="AK1202" s="122"/>
      <c r="AL1202" s="115"/>
      <c r="AM1202" s="115"/>
      <c r="AN1202" s="115"/>
      <c r="AO1202" s="115"/>
      <c r="AP1202" s="115"/>
      <c r="AQ1202" s="115"/>
      <c r="AR1202" s="115"/>
      <c r="AS1202" s="115"/>
      <c r="AT1202" s="115"/>
      <c r="AU1202" s="115"/>
      <c r="AV1202" s="115"/>
      <c r="AW1202" s="115"/>
      <c r="AX1202" s="115"/>
      <c r="AY1202" s="115"/>
      <c r="AZ1202" s="17"/>
      <c r="BA1202" s="13"/>
      <c r="BE1202" s="117"/>
      <c r="BF1202" s="116"/>
      <c r="BG1202" s="116"/>
      <c r="BH1202" s="116"/>
    </row>
    <row r="1203" spans="1:60" ht="19.5" x14ac:dyDescent="0.4">
      <c r="AC1203" s="115"/>
      <c r="AD1203" s="115"/>
      <c r="AE1203" s="115"/>
      <c r="AF1203" s="115"/>
      <c r="AG1203" s="115"/>
      <c r="AH1203" s="115"/>
      <c r="AI1203" s="122"/>
      <c r="AJ1203" s="122"/>
      <c r="AK1203" s="122"/>
      <c r="AL1203" s="115"/>
      <c r="AM1203" s="115"/>
      <c r="AN1203" s="115"/>
      <c r="AO1203" s="115"/>
      <c r="AP1203" s="115"/>
      <c r="AQ1203" s="115"/>
      <c r="AR1203" s="115"/>
      <c r="AS1203" s="115"/>
      <c r="AT1203" s="115"/>
      <c r="AU1203" s="115"/>
      <c r="AV1203" s="115"/>
      <c r="AW1203" s="115"/>
      <c r="AX1203" s="115"/>
      <c r="AY1203" s="115"/>
      <c r="AZ1203" s="26"/>
      <c r="BA1203" s="13"/>
      <c r="BE1203" s="117"/>
      <c r="BF1203" s="116"/>
      <c r="BG1203" s="116"/>
      <c r="BH1203" s="116"/>
    </row>
    <row r="1204" spans="1:60" ht="19.5" x14ac:dyDescent="0.4">
      <c r="AC1204" s="115"/>
      <c r="AD1204" s="115"/>
      <c r="AE1204" s="115"/>
      <c r="AF1204" s="115"/>
      <c r="AG1204" s="115"/>
      <c r="AH1204" s="115"/>
      <c r="AI1204" s="122"/>
      <c r="AJ1204" s="122"/>
      <c r="AK1204" s="122"/>
      <c r="AL1204" s="115"/>
      <c r="AM1204" s="115"/>
      <c r="AN1204" s="115"/>
      <c r="AO1204" s="115"/>
      <c r="AP1204" s="115"/>
      <c r="AQ1204" s="115"/>
      <c r="AR1204" s="115"/>
      <c r="AS1204" s="115"/>
      <c r="AT1204" s="115"/>
      <c r="AU1204" s="115"/>
      <c r="AV1204" s="115"/>
      <c r="AW1204" s="115"/>
      <c r="AX1204" s="115"/>
      <c r="AY1204" s="115"/>
      <c r="AZ1204" s="17"/>
      <c r="BA1204" s="13"/>
      <c r="BE1204" s="117"/>
      <c r="BF1204" s="116"/>
      <c r="BG1204" s="116"/>
      <c r="BH1204" s="116"/>
    </row>
    <row r="1205" spans="1:60" ht="19.5" x14ac:dyDescent="0.4">
      <c r="C1205" s="115"/>
      <c r="D1205" s="115"/>
      <c r="E1205" s="115"/>
      <c r="F1205" s="115"/>
      <c r="G1205" s="115"/>
      <c r="H1205" s="115"/>
      <c r="I1205" s="115"/>
      <c r="J1205" s="115"/>
      <c r="K1205" s="115"/>
      <c r="L1205" s="115"/>
      <c r="M1205" s="115"/>
      <c r="N1205" s="115"/>
      <c r="O1205" s="115"/>
      <c r="P1205" s="115"/>
      <c r="Q1205" s="115"/>
      <c r="R1205" s="115"/>
      <c r="S1205" s="115"/>
      <c r="T1205" s="115"/>
      <c r="U1205" s="115"/>
      <c r="V1205" s="115"/>
      <c r="W1205" s="115"/>
      <c r="X1205" s="115"/>
      <c r="Y1205" s="115"/>
      <c r="Z1205" s="115"/>
      <c r="AA1205" s="115"/>
      <c r="AB1205" s="115"/>
      <c r="AC1205" s="115"/>
      <c r="AD1205" s="115"/>
      <c r="AE1205" s="115"/>
      <c r="AF1205" s="115"/>
      <c r="AG1205" s="115"/>
      <c r="AH1205" s="115"/>
      <c r="AI1205" s="122"/>
      <c r="AJ1205" s="122"/>
      <c r="AK1205" s="122"/>
      <c r="AL1205" s="115"/>
      <c r="AM1205" s="115"/>
      <c r="AN1205" s="115"/>
      <c r="AO1205" s="115"/>
      <c r="AP1205" s="115"/>
      <c r="AQ1205" s="115"/>
      <c r="AR1205" s="115"/>
      <c r="AS1205" s="115"/>
      <c r="AT1205" s="115"/>
      <c r="AU1205" s="115"/>
      <c r="AV1205" s="115"/>
      <c r="AW1205" s="115"/>
      <c r="AX1205" s="115"/>
      <c r="AY1205" s="115"/>
      <c r="AZ1205" s="26"/>
      <c r="BA1205" s="15"/>
      <c r="BE1205" s="117"/>
      <c r="BF1205" s="116"/>
      <c r="BG1205" s="116"/>
      <c r="BH1205" s="116"/>
    </row>
    <row r="1206" spans="1:60" ht="19.5" x14ac:dyDescent="0.4">
      <c r="C1206" s="115"/>
      <c r="D1206" s="115"/>
      <c r="E1206" s="115"/>
      <c r="F1206" s="115"/>
      <c r="G1206" s="115"/>
      <c r="H1206" s="115"/>
      <c r="I1206" s="115"/>
      <c r="J1206" s="115"/>
      <c r="K1206" s="115"/>
      <c r="L1206" s="115"/>
      <c r="M1206" s="115"/>
      <c r="N1206" s="115"/>
      <c r="O1206" s="115"/>
      <c r="P1206" s="115"/>
      <c r="Q1206" s="115"/>
      <c r="R1206" s="115"/>
      <c r="S1206" s="115"/>
      <c r="T1206" s="115"/>
      <c r="U1206" s="115"/>
      <c r="V1206" s="115"/>
      <c r="W1206" s="115"/>
      <c r="X1206" s="115"/>
      <c r="Y1206" s="115"/>
      <c r="Z1206" s="115"/>
      <c r="AA1206" s="115"/>
      <c r="AB1206" s="115"/>
      <c r="AC1206" s="115"/>
      <c r="AD1206" s="115"/>
      <c r="AE1206" s="115"/>
      <c r="AF1206" s="115"/>
      <c r="AG1206" s="115"/>
      <c r="AH1206" s="115"/>
      <c r="AI1206" s="122"/>
      <c r="AJ1206" s="122"/>
      <c r="AK1206" s="122"/>
      <c r="AL1206" s="115"/>
      <c r="AM1206" s="115"/>
      <c r="AN1206" s="115"/>
      <c r="AO1206" s="115"/>
      <c r="AP1206" s="115"/>
      <c r="AQ1206" s="115"/>
      <c r="AR1206" s="115"/>
      <c r="AS1206" s="115"/>
      <c r="AT1206" s="115"/>
      <c r="AU1206" s="115"/>
      <c r="AV1206" s="115"/>
      <c r="AW1206" s="115"/>
      <c r="AX1206" s="115"/>
      <c r="AY1206" s="115"/>
      <c r="AZ1206" s="17"/>
      <c r="BA1206" s="15"/>
      <c r="BE1206" s="117"/>
      <c r="BF1206" s="116"/>
      <c r="BG1206" s="116"/>
      <c r="BH1206" s="116"/>
    </row>
    <row r="1207" spans="1:60" ht="19.5" x14ac:dyDescent="0.4">
      <c r="C1207" s="115"/>
      <c r="D1207" s="115"/>
      <c r="E1207" s="115"/>
      <c r="F1207" s="115"/>
      <c r="G1207" s="115"/>
      <c r="H1207" s="115"/>
      <c r="I1207" s="115"/>
      <c r="J1207" s="115"/>
      <c r="K1207" s="115"/>
      <c r="L1207" s="115"/>
      <c r="M1207" s="115"/>
      <c r="N1207" s="115"/>
      <c r="O1207" s="115"/>
      <c r="P1207" s="115"/>
      <c r="Q1207" s="115"/>
      <c r="R1207" s="115"/>
      <c r="S1207" s="115"/>
      <c r="T1207" s="115"/>
      <c r="U1207" s="115"/>
      <c r="V1207" s="115"/>
      <c r="W1207" s="115"/>
      <c r="X1207" s="115"/>
      <c r="Y1207" s="115"/>
      <c r="Z1207" s="115"/>
      <c r="AA1207" s="115"/>
      <c r="AB1207" s="115"/>
      <c r="AC1207" s="115"/>
      <c r="AD1207" s="115"/>
      <c r="AE1207" s="115"/>
      <c r="AF1207" s="115"/>
      <c r="AG1207" s="115"/>
      <c r="AH1207" s="115"/>
      <c r="AI1207" s="122"/>
      <c r="AJ1207" s="122"/>
      <c r="AK1207" s="122"/>
      <c r="AL1207" s="115"/>
      <c r="AM1207" s="115"/>
      <c r="AN1207" s="115"/>
      <c r="AO1207" s="115"/>
      <c r="AP1207" s="115"/>
      <c r="AQ1207" s="115"/>
      <c r="AR1207" s="115"/>
      <c r="AS1207" s="115"/>
      <c r="AT1207" s="115"/>
      <c r="AU1207" s="115"/>
      <c r="AV1207" s="115"/>
      <c r="AW1207" s="115"/>
      <c r="AX1207" s="115"/>
      <c r="AY1207" s="115"/>
      <c r="AZ1207" s="26"/>
      <c r="BA1207" s="105"/>
      <c r="BE1207" s="117"/>
      <c r="BF1207" s="116"/>
      <c r="BG1207" s="116"/>
      <c r="BH1207" s="116"/>
    </row>
    <row r="1208" spans="1:60" ht="19.5" x14ac:dyDescent="0.4">
      <c r="C1208" s="115"/>
      <c r="D1208" s="115"/>
      <c r="E1208" s="115"/>
      <c r="F1208" s="115"/>
      <c r="G1208" s="115"/>
      <c r="H1208" s="115"/>
      <c r="I1208" s="115"/>
      <c r="J1208" s="115"/>
      <c r="K1208" s="115"/>
      <c r="L1208" s="115"/>
      <c r="M1208" s="115"/>
      <c r="N1208" s="115"/>
      <c r="O1208" s="115"/>
      <c r="P1208" s="115"/>
      <c r="Q1208" s="115"/>
      <c r="R1208" s="115"/>
      <c r="S1208" s="115"/>
      <c r="T1208" s="115"/>
      <c r="U1208" s="115"/>
      <c r="V1208" s="115"/>
      <c r="W1208" s="115"/>
      <c r="X1208" s="115"/>
      <c r="Y1208" s="115"/>
      <c r="Z1208" s="115"/>
      <c r="AA1208" s="115"/>
      <c r="AB1208" s="115"/>
      <c r="AC1208" s="115"/>
      <c r="AD1208" s="115"/>
      <c r="AE1208" s="115"/>
      <c r="AF1208" s="115"/>
      <c r="AG1208" s="115"/>
      <c r="AH1208" s="115"/>
      <c r="AI1208" s="122"/>
      <c r="AJ1208" s="122"/>
      <c r="AK1208" s="122"/>
      <c r="AL1208" s="115"/>
      <c r="AM1208" s="115"/>
      <c r="AN1208" s="115"/>
      <c r="AO1208" s="115"/>
      <c r="AP1208" s="115"/>
      <c r="AQ1208" s="115"/>
      <c r="AR1208" s="115"/>
      <c r="AS1208" s="115"/>
      <c r="AT1208" s="115"/>
      <c r="AU1208" s="115"/>
      <c r="AV1208" s="115"/>
      <c r="AW1208" s="115"/>
      <c r="AX1208" s="115"/>
      <c r="AY1208" s="115"/>
      <c r="AZ1208" s="17"/>
      <c r="BA1208" s="15"/>
      <c r="BE1208" s="117"/>
      <c r="BF1208" s="116"/>
      <c r="BG1208" s="116"/>
      <c r="BH1208" s="116"/>
    </row>
    <row r="1209" spans="1:60" ht="19.5" x14ac:dyDescent="0.4">
      <c r="C1209" s="115"/>
      <c r="D1209" s="115"/>
      <c r="E1209" s="115"/>
      <c r="F1209" s="115"/>
      <c r="G1209" s="115"/>
      <c r="H1209" s="115"/>
      <c r="I1209" s="115"/>
      <c r="J1209" s="115"/>
      <c r="K1209" s="115"/>
      <c r="L1209" s="115"/>
      <c r="M1209" s="115"/>
      <c r="N1209" s="115"/>
      <c r="O1209" s="115"/>
      <c r="P1209" s="115"/>
      <c r="Q1209" s="115"/>
      <c r="R1209" s="115"/>
      <c r="S1209" s="115"/>
      <c r="T1209" s="115"/>
      <c r="U1209" s="115"/>
      <c r="V1209" s="115"/>
      <c r="W1209" s="115"/>
      <c r="X1209" s="115"/>
      <c r="Y1209" s="115"/>
      <c r="Z1209" s="115"/>
      <c r="AA1209" s="115"/>
      <c r="AB1209" s="115"/>
      <c r="AC1209" s="115"/>
      <c r="AD1209" s="115"/>
      <c r="AE1209" s="115"/>
      <c r="AF1209" s="115"/>
      <c r="AG1209" s="115"/>
      <c r="AH1209" s="115"/>
      <c r="AI1209" s="122"/>
      <c r="AJ1209" s="122"/>
      <c r="AK1209" s="122"/>
      <c r="AL1209" s="115"/>
      <c r="AM1209" s="115"/>
      <c r="AN1209" s="115"/>
      <c r="AO1209" s="115"/>
      <c r="AP1209" s="115"/>
      <c r="AQ1209" s="115"/>
      <c r="AR1209" s="115"/>
      <c r="AS1209" s="115"/>
      <c r="AT1209" s="115"/>
      <c r="AU1209" s="115"/>
      <c r="AV1209" s="115"/>
      <c r="AW1209" s="115"/>
      <c r="AX1209" s="115"/>
      <c r="AY1209" s="115"/>
      <c r="AZ1209" s="26"/>
      <c r="BA1209" s="15"/>
      <c r="BE1209" s="117"/>
      <c r="BF1209" s="116"/>
      <c r="BG1209" s="116"/>
      <c r="BH1209" s="116"/>
    </row>
    <row r="1210" spans="1:60" ht="19.5" x14ac:dyDescent="0.4">
      <c r="C1210" s="115"/>
      <c r="D1210" s="115"/>
      <c r="E1210" s="115"/>
      <c r="F1210" s="115"/>
      <c r="G1210" s="115"/>
      <c r="H1210" s="115"/>
      <c r="I1210" s="115"/>
      <c r="J1210" s="115"/>
      <c r="K1210" s="115"/>
      <c r="L1210" s="115"/>
      <c r="M1210" s="115"/>
      <c r="N1210" s="115"/>
      <c r="O1210" s="115"/>
      <c r="P1210" s="115"/>
      <c r="Q1210" s="115"/>
      <c r="R1210" s="115"/>
      <c r="S1210" s="115"/>
      <c r="T1210" s="115"/>
      <c r="U1210" s="115"/>
      <c r="V1210" s="115"/>
      <c r="W1210" s="115"/>
      <c r="X1210" s="115"/>
      <c r="Y1210" s="115"/>
      <c r="Z1210" s="115"/>
      <c r="AA1210" s="115"/>
      <c r="AB1210" s="115"/>
      <c r="AC1210" s="115"/>
      <c r="AD1210" s="115"/>
      <c r="AE1210" s="115"/>
      <c r="AF1210" s="115"/>
      <c r="AG1210" s="115"/>
      <c r="AH1210" s="115"/>
      <c r="AI1210" s="122"/>
      <c r="AJ1210" s="122"/>
      <c r="AK1210" s="122"/>
      <c r="AL1210" s="115"/>
      <c r="AM1210" s="115"/>
      <c r="AN1210" s="115"/>
      <c r="AO1210" s="115"/>
      <c r="AP1210" s="115"/>
      <c r="AQ1210" s="115"/>
      <c r="AR1210" s="115"/>
      <c r="AS1210" s="115"/>
      <c r="AT1210" s="115"/>
      <c r="AU1210" s="115"/>
      <c r="AV1210" s="115"/>
      <c r="AW1210" s="115"/>
      <c r="AX1210" s="115"/>
      <c r="AY1210" s="115"/>
      <c r="AZ1210" s="26"/>
      <c r="BA1210" s="15"/>
      <c r="BE1210" s="117"/>
      <c r="BF1210" s="116"/>
      <c r="BG1210" s="116"/>
      <c r="BH1210" s="116"/>
    </row>
    <row r="1211" spans="1:60" ht="19.5" x14ac:dyDescent="0.4">
      <c r="AZ1211" s="26"/>
      <c r="BA1211" s="15"/>
      <c r="BE1211" s="117"/>
      <c r="BF1211" s="116"/>
      <c r="BG1211" s="116"/>
      <c r="BH1211" s="116"/>
    </row>
    <row r="1212" spans="1:60" ht="19.5" x14ac:dyDescent="0.4">
      <c r="AE1212" s="115"/>
      <c r="AF1212" s="115"/>
      <c r="AG1212" s="115"/>
      <c r="AH1212" s="115"/>
      <c r="AI1212" s="122"/>
      <c r="AJ1212" s="122"/>
      <c r="AK1212" s="122"/>
      <c r="AL1212" s="115"/>
      <c r="AM1212" s="115"/>
      <c r="AN1212" s="115"/>
      <c r="AO1212" s="115"/>
      <c r="AP1212" s="115"/>
      <c r="AQ1212" s="115"/>
      <c r="AR1212" s="115"/>
      <c r="AS1212" s="115"/>
      <c r="AT1212" s="115"/>
      <c r="AU1212" s="115"/>
      <c r="AV1212" s="115"/>
      <c r="AW1212" s="115"/>
      <c r="AX1212" s="115"/>
      <c r="AY1212" s="115"/>
      <c r="AZ1212" s="26"/>
      <c r="BA1212" s="15"/>
      <c r="BE1212" s="117"/>
      <c r="BF1212" s="116"/>
      <c r="BG1212" s="116"/>
      <c r="BH1212" s="116"/>
    </row>
    <row r="1213" spans="1:60" ht="19.5" x14ac:dyDescent="0.4">
      <c r="A1213" s="115"/>
      <c r="B1213" s="115"/>
      <c r="C1213" s="115"/>
      <c r="D1213" s="115"/>
      <c r="E1213" s="115"/>
      <c r="F1213" s="115"/>
      <c r="G1213" s="115"/>
      <c r="H1213" s="115"/>
      <c r="I1213" s="115"/>
      <c r="J1213" s="115"/>
      <c r="K1213" s="115"/>
      <c r="L1213" s="115"/>
      <c r="M1213" s="115"/>
      <c r="N1213" s="115"/>
      <c r="O1213" s="115"/>
      <c r="P1213" s="115"/>
      <c r="Q1213" s="115"/>
      <c r="R1213" s="115"/>
      <c r="S1213" s="115"/>
      <c r="T1213" s="115"/>
      <c r="U1213" s="115"/>
      <c r="V1213" s="115"/>
      <c r="W1213" s="115"/>
      <c r="X1213" s="115"/>
      <c r="Y1213" s="115"/>
      <c r="Z1213" s="115"/>
      <c r="AA1213" s="115"/>
      <c r="AB1213" s="115"/>
      <c r="AC1213" s="115"/>
      <c r="AD1213" s="115"/>
      <c r="AE1213" s="115"/>
      <c r="AF1213" s="115"/>
      <c r="AG1213" s="115"/>
      <c r="AH1213" s="115"/>
      <c r="AI1213" s="122"/>
      <c r="AJ1213" s="122"/>
      <c r="AK1213" s="122"/>
      <c r="AL1213" s="115"/>
      <c r="AM1213" s="115"/>
      <c r="AN1213" s="115"/>
      <c r="AO1213" s="115"/>
      <c r="AP1213" s="115"/>
      <c r="AQ1213" s="115"/>
      <c r="AR1213" s="115"/>
      <c r="AS1213" s="115"/>
      <c r="AT1213" s="115"/>
      <c r="AU1213" s="115"/>
      <c r="AV1213" s="115"/>
      <c r="AW1213" s="115"/>
      <c r="AX1213" s="115"/>
      <c r="AY1213" s="115"/>
      <c r="AZ1213" s="26"/>
      <c r="BA1213" s="15"/>
      <c r="BE1213" s="117"/>
      <c r="BF1213" s="116"/>
      <c r="BG1213" s="116"/>
      <c r="BH1213" s="116"/>
    </row>
    <row r="1214" spans="1:60" ht="19.5" x14ac:dyDescent="0.4">
      <c r="A1214" s="115"/>
      <c r="B1214" s="115"/>
      <c r="C1214" s="115"/>
      <c r="D1214" s="115"/>
      <c r="E1214" s="115"/>
      <c r="F1214" s="115"/>
      <c r="G1214" s="115"/>
      <c r="H1214" s="115"/>
      <c r="I1214" s="115"/>
      <c r="J1214" s="115"/>
      <c r="K1214" s="115"/>
      <c r="L1214" s="115"/>
      <c r="M1214" s="115"/>
      <c r="N1214" s="115"/>
      <c r="O1214" s="115"/>
      <c r="P1214" s="115"/>
      <c r="Q1214" s="115"/>
      <c r="R1214" s="115"/>
      <c r="S1214" s="115"/>
      <c r="T1214" s="115"/>
      <c r="U1214" s="115"/>
      <c r="V1214" s="115"/>
      <c r="W1214" s="115"/>
      <c r="X1214" s="115"/>
      <c r="Y1214" s="115"/>
      <c r="Z1214" s="115"/>
      <c r="AA1214" s="115"/>
      <c r="AB1214" s="115"/>
      <c r="AC1214" s="115"/>
      <c r="AD1214" s="115"/>
      <c r="AE1214" s="115"/>
      <c r="AF1214" s="115"/>
      <c r="AG1214" s="115"/>
      <c r="AH1214" s="115"/>
      <c r="AI1214" s="122"/>
      <c r="AJ1214" s="122"/>
      <c r="AK1214" s="122"/>
      <c r="AL1214" s="115"/>
      <c r="AM1214" s="115"/>
      <c r="AN1214" s="115"/>
      <c r="AO1214" s="115"/>
      <c r="AP1214" s="115"/>
      <c r="AQ1214" s="115"/>
      <c r="AR1214" s="115"/>
      <c r="AS1214" s="115"/>
      <c r="AT1214" s="115"/>
      <c r="AU1214" s="115"/>
      <c r="AV1214" s="115"/>
      <c r="AW1214" s="115"/>
      <c r="AX1214" s="115"/>
      <c r="AY1214" s="115"/>
      <c r="AZ1214" s="26"/>
      <c r="BA1214" s="15"/>
      <c r="BE1214" s="117"/>
      <c r="BF1214" s="116"/>
      <c r="BG1214" s="116"/>
      <c r="BH1214" s="116"/>
    </row>
    <row r="1215" spans="1:60" ht="19.5" x14ac:dyDescent="0.4">
      <c r="A1215" s="115"/>
      <c r="B1215" s="115"/>
      <c r="C1215" s="115"/>
      <c r="D1215" s="115"/>
      <c r="E1215" s="115"/>
      <c r="F1215" s="115"/>
      <c r="G1215" s="115"/>
      <c r="H1215" s="115"/>
      <c r="I1215" s="115"/>
      <c r="J1215" s="115"/>
      <c r="K1215" s="115"/>
      <c r="L1215" s="115"/>
      <c r="M1215" s="115"/>
      <c r="N1215" s="115"/>
      <c r="O1215" s="115"/>
      <c r="P1215" s="115"/>
      <c r="Q1215" s="115"/>
      <c r="R1215" s="115"/>
      <c r="S1215" s="115"/>
      <c r="T1215" s="115"/>
      <c r="U1215" s="115"/>
      <c r="V1215" s="115"/>
      <c r="W1215" s="115"/>
      <c r="X1215" s="115"/>
      <c r="Y1215" s="115"/>
      <c r="Z1215" s="115"/>
      <c r="AA1215" s="115"/>
      <c r="AB1215" s="115"/>
      <c r="AC1215" s="115"/>
      <c r="AD1215" s="115"/>
      <c r="AE1215" s="115"/>
      <c r="AF1215" s="115"/>
      <c r="AG1215" s="115"/>
      <c r="AH1215" s="115"/>
      <c r="AI1215" s="122"/>
      <c r="AJ1215" s="122"/>
      <c r="AK1215" s="122"/>
      <c r="AL1215" s="115"/>
      <c r="AM1215" s="115"/>
      <c r="AN1215" s="115"/>
      <c r="AO1215" s="115"/>
      <c r="AP1215" s="115"/>
      <c r="AQ1215" s="115"/>
      <c r="AR1215" s="115"/>
      <c r="AS1215" s="115"/>
      <c r="AT1215" s="115"/>
      <c r="AU1215" s="115"/>
      <c r="AV1215" s="115"/>
      <c r="AW1215" s="115"/>
      <c r="AX1215" s="115"/>
      <c r="AY1215" s="115"/>
      <c r="AZ1215" s="17"/>
      <c r="BA1215" s="15"/>
      <c r="BE1215" s="117"/>
      <c r="BF1215" s="116"/>
      <c r="BG1215" s="116"/>
      <c r="BH1215" s="116"/>
    </row>
    <row r="1216" spans="1:60" ht="19.5" x14ac:dyDescent="0.4">
      <c r="AZ1216" s="26"/>
      <c r="BA1216" s="15"/>
      <c r="BE1216" s="117"/>
      <c r="BF1216" s="116"/>
      <c r="BG1216" s="116"/>
      <c r="BH1216" s="116"/>
    </row>
    <row r="1217" spans="1:60" ht="19.5" x14ac:dyDescent="0.4">
      <c r="AF1217" s="115"/>
      <c r="AG1217" s="115"/>
      <c r="AH1217" s="115"/>
      <c r="AI1217" s="122"/>
      <c r="AJ1217" s="122"/>
      <c r="AK1217" s="122"/>
      <c r="AL1217" s="115"/>
      <c r="AM1217" s="115"/>
      <c r="AN1217" s="115"/>
      <c r="AO1217" s="115"/>
      <c r="AP1217" s="115"/>
      <c r="AQ1217" s="115"/>
      <c r="AR1217" s="115"/>
      <c r="AS1217" s="115"/>
      <c r="AT1217" s="115"/>
      <c r="AU1217" s="115"/>
      <c r="AV1217" s="115"/>
      <c r="AW1217" s="115"/>
      <c r="AX1217" s="115"/>
      <c r="AY1217" s="115"/>
      <c r="AZ1217" s="17"/>
      <c r="BA1217" s="15"/>
      <c r="BE1217" s="117"/>
      <c r="BF1217" s="116"/>
      <c r="BG1217" s="116"/>
      <c r="BH1217" s="116"/>
    </row>
    <row r="1218" spans="1:60" ht="19.5" x14ac:dyDescent="0.4">
      <c r="AE1218" s="115"/>
      <c r="AF1218" s="115"/>
      <c r="AG1218" s="115"/>
      <c r="AH1218" s="115"/>
      <c r="AI1218" s="122"/>
      <c r="AJ1218" s="122"/>
      <c r="AK1218" s="122"/>
      <c r="AL1218" s="115"/>
      <c r="AM1218" s="115"/>
      <c r="AN1218" s="115"/>
      <c r="AO1218" s="115"/>
      <c r="AP1218" s="115"/>
      <c r="AQ1218" s="115"/>
      <c r="AR1218" s="115"/>
      <c r="AS1218" s="115"/>
      <c r="AT1218" s="115"/>
      <c r="AU1218" s="115"/>
      <c r="AV1218" s="115"/>
      <c r="AW1218" s="115"/>
      <c r="AX1218" s="115"/>
      <c r="AY1218" s="115"/>
      <c r="AZ1218" s="26"/>
      <c r="BA1218" s="15"/>
      <c r="BE1218" s="117"/>
      <c r="BF1218" s="116"/>
      <c r="BG1218" s="116"/>
      <c r="BH1218" s="116"/>
    </row>
    <row r="1219" spans="1:60" ht="19.5" x14ac:dyDescent="0.4">
      <c r="C1219" s="115"/>
      <c r="D1219" s="115"/>
      <c r="E1219" s="115"/>
      <c r="F1219" s="115"/>
      <c r="G1219" s="115"/>
      <c r="H1219" s="115"/>
      <c r="I1219" s="115"/>
      <c r="J1219" s="115"/>
      <c r="K1219" s="115"/>
      <c r="L1219" s="115"/>
      <c r="M1219" s="115"/>
      <c r="N1219" s="115"/>
      <c r="O1219" s="115"/>
      <c r="P1219" s="115"/>
      <c r="Q1219" s="115"/>
      <c r="R1219" s="115"/>
      <c r="S1219" s="115"/>
      <c r="T1219" s="115"/>
      <c r="U1219" s="115"/>
      <c r="V1219" s="115"/>
      <c r="W1219" s="115"/>
      <c r="X1219" s="115"/>
      <c r="Y1219" s="115"/>
      <c r="Z1219" s="115"/>
      <c r="AA1219" s="115"/>
      <c r="AB1219" s="115"/>
      <c r="AC1219" s="115"/>
      <c r="AD1219" s="115"/>
      <c r="AE1219" s="115"/>
      <c r="AF1219" s="115"/>
      <c r="AG1219" s="115"/>
      <c r="AH1219" s="115"/>
      <c r="AI1219" s="122"/>
      <c r="AJ1219" s="122"/>
      <c r="AK1219" s="122"/>
      <c r="AL1219" s="115"/>
      <c r="AM1219" s="115"/>
      <c r="AN1219" s="115"/>
      <c r="AO1219" s="115"/>
      <c r="AP1219" s="115"/>
      <c r="AQ1219" s="115"/>
      <c r="AR1219" s="115"/>
      <c r="AS1219" s="115"/>
      <c r="AT1219" s="115"/>
      <c r="AU1219" s="115"/>
      <c r="AV1219" s="115"/>
      <c r="AW1219" s="115"/>
      <c r="AX1219" s="115"/>
      <c r="AY1219" s="115"/>
      <c r="AZ1219" s="26"/>
      <c r="BA1219" s="15"/>
      <c r="BE1219" s="117"/>
      <c r="BF1219" s="116"/>
      <c r="BG1219" s="116"/>
      <c r="BH1219" s="116"/>
    </row>
    <row r="1220" spans="1:60" ht="19.5" x14ac:dyDescent="0.4">
      <c r="C1220" s="115"/>
      <c r="D1220" s="115"/>
      <c r="E1220" s="115"/>
      <c r="F1220" s="115"/>
      <c r="G1220" s="115"/>
      <c r="H1220" s="115"/>
      <c r="I1220" s="115"/>
      <c r="J1220" s="115"/>
      <c r="K1220" s="115"/>
      <c r="L1220" s="115"/>
      <c r="M1220" s="115"/>
      <c r="N1220" s="115"/>
      <c r="O1220" s="115"/>
      <c r="P1220" s="115"/>
      <c r="Q1220" s="115"/>
      <c r="R1220" s="115"/>
      <c r="S1220" s="115"/>
      <c r="T1220" s="115"/>
      <c r="U1220" s="115"/>
      <c r="V1220" s="115"/>
      <c r="W1220" s="115"/>
      <c r="X1220" s="115"/>
      <c r="Y1220" s="115"/>
      <c r="Z1220" s="115"/>
      <c r="AA1220" s="115"/>
      <c r="AB1220" s="115"/>
      <c r="AC1220" s="115"/>
      <c r="AD1220" s="115"/>
      <c r="AE1220" s="115"/>
      <c r="AF1220" s="115"/>
      <c r="AG1220" s="115"/>
      <c r="AH1220" s="115"/>
      <c r="AI1220" s="122"/>
      <c r="AJ1220" s="122"/>
      <c r="AK1220" s="122"/>
      <c r="AL1220" s="115"/>
      <c r="AM1220" s="115"/>
      <c r="AN1220" s="115"/>
      <c r="AO1220" s="115"/>
      <c r="AP1220" s="115"/>
      <c r="AQ1220" s="115"/>
      <c r="AR1220" s="115"/>
      <c r="AS1220" s="115"/>
      <c r="AT1220" s="115"/>
      <c r="AU1220" s="115"/>
      <c r="AV1220" s="115"/>
      <c r="AW1220" s="115"/>
      <c r="AX1220" s="115"/>
      <c r="AY1220" s="115"/>
      <c r="AZ1220" s="26"/>
      <c r="BA1220" s="15"/>
      <c r="BE1220" s="117"/>
      <c r="BF1220" s="116"/>
      <c r="BG1220" s="116"/>
      <c r="BH1220" s="116"/>
    </row>
    <row r="1221" spans="1:60" ht="19.5" x14ac:dyDescent="0.4">
      <c r="B1221" s="115"/>
      <c r="C1221" s="115"/>
      <c r="D1221" s="115"/>
      <c r="E1221" s="115"/>
      <c r="F1221" s="115"/>
      <c r="G1221" s="115"/>
      <c r="H1221" s="115"/>
      <c r="I1221" s="115"/>
      <c r="J1221" s="115"/>
      <c r="K1221" s="115"/>
      <c r="L1221" s="115"/>
      <c r="M1221" s="115"/>
      <c r="N1221" s="115"/>
      <c r="O1221" s="115"/>
      <c r="P1221" s="115"/>
      <c r="Q1221" s="115"/>
      <c r="R1221" s="115"/>
      <c r="S1221" s="115"/>
      <c r="T1221" s="115"/>
      <c r="U1221" s="115"/>
      <c r="V1221" s="115"/>
      <c r="W1221" s="115"/>
      <c r="X1221" s="115"/>
      <c r="Y1221" s="115"/>
      <c r="Z1221" s="115"/>
      <c r="AA1221" s="115"/>
      <c r="AB1221" s="115"/>
      <c r="AC1221" s="115"/>
      <c r="AD1221" s="115"/>
      <c r="AE1221" s="115"/>
      <c r="AF1221" s="115"/>
      <c r="AG1221" s="115"/>
      <c r="AH1221" s="115"/>
      <c r="AI1221" s="122"/>
      <c r="AJ1221" s="122"/>
      <c r="AK1221" s="122"/>
      <c r="AL1221" s="115"/>
      <c r="AM1221" s="115"/>
      <c r="AN1221" s="115"/>
      <c r="AO1221" s="115"/>
      <c r="AP1221" s="115"/>
      <c r="AQ1221" s="115"/>
      <c r="AR1221" s="115"/>
      <c r="AS1221" s="115"/>
      <c r="AT1221" s="115"/>
      <c r="AU1221" s="115"/>
      <c r="AV1221" s="115"/>
      <c r="AW1221" s="115"/>
      <c r="AX1221" s="115"/>
      <c r="AY1221" s="115"/>
      <c r="AZ1221" s="26"/>
      <c r="BA1221" s="15"/>
      <c r="BE1221" s="117"/>
      <c r="BF1221" s="116"/>
      <c r="BG1221" s="116"/>
      <c r="BH1221" s="116"/>
    </row>
    <row r="1222" spans="1:60" ht="19.5" x14ac:dyDescent="0.4">
      <c r="A1222" s="115"/>
      <c r="B1222" s="115"/>
      <c r="C1222" s="115"/>
      <c r="D1222" s="115"/>
      <c r="E1222" s="115"/>
      <c r="F1222" s="115"/>
      <c r="G1222" s="115"/>
      <c r="H1222" s="115"/>
      <c r="I1222" s="115"/>
      <c r="J1222" s="115"/>
      <c r="K1222" s="115"/>
      <c r="L1222" s="115"/>
      <c r="M1222" s="115"/>
      <c r="N1222" s="115"/>
      <c r="O1222" s="115"/>
      <c r="P1222" s="115"/>
      <c r="Q1222" s="115"/>
      <c r="R1222" s="115"/>
      <c r="S1222" s="115"/>
      <c r="T1222" s="115"/>
      <c r="U1222" s="115"/>
      <c r="V1222" s="115"/>
      <c r="W1222" s="115"/>
      <c r="X1222" s="115"/>
      <c r="Y1222" s="115"/>
      <c r="Z1222" s="115"/>
      <c r="AA1222" s="115"/>
      <c r="AB1222" s="115"/>
      <c r="AC1222" s="115"/>
      <c r="AD1222" s="115"/>
      <c r="AE1222" s="115"/>
      <c r="AF1222" s="115"/>
      <c r="AG1222" s="115"/>
      <c r="AH1222" s="115"/>
      <c r="AI1222" s="122"/>
      <c r="AJ1222" s="122"/>
      <c r="AK1222" s="122"/>
      <c r="AL1222" s="115"/>
      <c r="AM1222" s="115"/>
      <c r="AN1222" s="115"/>
      <c r="AO1222" s="115"/>
      <c r="AP1222" s="115"/>
      <c r="AQ1222" s="115"/>
      <c r="AR1222" s="115"/>
      <c r="AS1222" s="115"/>
      <c r="AT1222" s="115"/>
      <c r="AU1222" s="115"/>
      <c r="AV1222" s="115"/>
      <c r="AW1222" s="115"/>
      <c r="AX1222" s="115"/>
      <c r="AY1222" s="115"/>
      <c r="AZ1222" s="26"/>
      <c r="BA1222" s="15"/>
      <c r="BE1222" s="117"/>
      <c r="BF1222" s="116"/>
      <c r="BG1222" s="116"/>
      <c r="BH1222" s="116"/>
    </row>
    <row r="1223" spans="1:60" ht="19.5" x14ac:dyDescent="0.4">
      <c r="A1223" s="115"/>
      <c r="B1223" s="115"/>
      <c r="C1223" s="115"/>
      <c r="D1223" s="115"/>
      <c r="E1223" s="115"/>
      <c r="F1223" s="115"/>
      <c r="G1223" s="115"/>
      <c r="H1223" s="115"/>
      <c r="I1223" s="115"/>
      <c r="J1223" s="115"/>
      <c r="K1223" s="115"/>
      <c r="L1223" s="115"/>
      <c r="M1223" s="115"/>
      <c r="N1223" s="115"/>
      <c r="O1223" s="115"/>
      <c r="P1223" s="115"/>
      <c r="Q1223" s="115"/>
      <c r="R1223" s="115"/>
      <c r="S1223" s="115"/>
      <c r="T1223" s="115"/>
      <c r="U1223" s="115"/>
      <c r="V1223" s="115"/>
      <c r="W1223" s="115"/>
      <c r="X1223" s="115"/>
      <c r="Y1223" s="115"/>
      <c r="Z1223" s="115"/>
      <c r="AA1223" s="115"/>
      <c r="AB1223" s="115"/>
      <c r="AC1223" s="115"/>
      <c r="AD1223" s="115"/>
      <c r="AE1223" s="115"/>
      <c r="AF1223" s="115"/>
      <c r="AG1223" s="115"/>
      <c r="AH1223" s="115"/>
      <c r="AI1223" s="122"/>
      <c r="AJ1223" s="122"/>
      <c r="AK1223" s="122"/>
      <c r="AL1223" s="115"/>
      <c r="AM1223" s="115"/>
      <c r="AN1223" s="115"/>
      <c r="AO1223" s="115"/>
      <c r="AP1223" s="115"/>
      <c r="AQ1223" s="115"/>
      <c r="AR1223" s="115"/>
      <c r="AS1223" s="115"/>
      <c r="AT1223" s="115"/>
      <c r="AU1223" s="115"/>
      <c r="AV1223" s="115"/>
      <c r="AW1223" s="115"/>
      <c r="AX1223" s="115"/>
      <c r="AY1223" s="115"/>
      <c r="AZ1223" s="26"/>
      <c r="BA1223" s="15"/>
      <c r="BE1223" s="117"/>
      <c r="BF1223" s="116"/>
      <c r="BG1223" s="116"/>
      <c r="BH1223" s="116"/>
    </row>
    <row r="1224" spans="1:60" ht="19.5" x14ac:dyDescent="0.4">
      <c r="A1224" s="115"/>
      <c r="B1224" s="115"/>
      <c r="C1224" s="115"/>
      <c r="D1224" s="115"/>
      <c r="E1224" s="115"/>
      <c r="F1224" s="115"/>
      <c r="G1224" s="115"/>
      <c r="H1224" s="115"/>
      <c r="I1224" s="115"/>
      <c r="J1224" s="115"/>
      <c r="K1224" s="115"/>
      <c r="L1224" s="115"/>
      <c r="M1224" s="115"/>
      <c r="N1224" s="115"/>
      <c r="O1224" s="115"/>
      <c r="P1224" s="115"/>
      <c r="Q1224" s="115"/>
      <c r="R1224" s="115"/>
      <c r="S1224" s="115"/>
      <c r="T1224" s="115"/>
      <c r="U1224" s="115"/>
      <c r="V1224" s="115"/>
      <c r="W1224" s="115"/>
      <c r="X1224" s="115"/>
      <c r="Y1224" s="115"/>
      <c r="Z1224" s="115"/>
      <c r="AA1224" s="115"/>
      <c r="AB1224" s="115"/>
      <c r="AC1224" s="115"/>
      <c r="AD1224" s="115"/>
      <c r="AE1224" s="115"/>
      <c r="AF1224" s="115"/>
      <c r="AG1224" s="115"/>
      <c r="AH1224" s="115"/>
      <c r="AI1224" s="122"/>
      <c r="AJ1224" s="122"/>
      <c r="AK1224" s="122"/>
      <c r="AL1224" s="115"/>
      <c r="AM1224" s="115"/>
      <c r="AN1224" s="115"/>
      <c r="AO1224" s="115"/>
      <c r="AP1224" s="115"/>
      <c r="AQ1224" s="115"/>
      <c r="AR1224" s="115"/>
      <c r="AS1224" s="115"/>
      <c r="AT1224" s="115"/>
      <c r="AU1224" s="115"/>
      <c r="AV1224" s="115"/>
      <c r="AW1224" s="115"/>
      <c r="AX1224" s="115"/>
      <c r="AY1224" s="115"/>
      <c r="AZ1224" s="17"/>
      <c r="BA1224" s="15"/>
      <c r="BE1224" s="117"/>
      <c r="BF1224" s="116"/>
      <c r="BG1224" s="116"/>
      <c r="BH1224" s="116"/>
    </row>
    <row r="1225" spans="1:60" ht="19.5" x14ac:dyDescent="0.4">
      <c r="AZ1225" s="26"/>
      <c r="BA1225" s="15"/>
      <c r="BE1225" s="117"/>
      <c r="BF1225" s="116"/>
      <c r="BG1225" s="116"/>
      <c r="BH1225" s="116"/>
    </row>
    <row r="1226" spans="1:60" ht="19.5" x14ac:dyDescent="0.4">
      <c r="AF1226" s="115"/>
      <c r="AG1226" s="115"/>
      <c r="AH1226" s="115"/>
      <c r="AI1226" s="122"/>
      <c r="AJ1226" s="122"/>
      <c r="AK1226" s="122"/>
      <c r="AL1226" s="115"/>
      <c r="AM1226" s="115"/>
      <c r="AN1226" s="115"/>
      <c r="AO1226" s="115"/>
      <c r="AP1226" s="115"/>
      <c r="AQ1226" s="115"/>
      <c r="AR1226" s="115"/>
      <c r="AS1226" s="115"/>
      <c r="AT1226" s="115"/>
      <c r="AU1226" s="115"/>
      <c r="AV1226" s="115"/>
      <c r="AW1226" s="115"/>
      <c r="AX1226" s="115"/>
      <c r="AY1226" s="115"/>
      <c r="AZ1226" s="17"/>
      <c r="BA1226" s="13"/>
      <c r="BE1226" s="117"/>
      <c r="BF1226" s="116"/>
      <c r="BG1226" s="116"/>
      <c r="BH1226" s="116"/>
    </row>
    <row r="1227" spans="1:60" ht="19.5" x14ac:dyDescent="0.4">
      <c r="AF1227" s="115"/>
      <c r="AG1227" s="115"/>
      <c r="AH1227" s="115"/>
      <c r="AI1227" s="122"/>
      <c r="AJ1227" s="122"/>
      <c r="AK1227" s="122"/>
      <c r="AL1227" s="115"/>
      <c r="AM1227" s="115"/>
      <c r="AN1227" s="115"/>
      <c r="AO1227" s="115"/>
      <c r="AP1227" s="115"/>
      <c r="AQ1227" s="115"/>
      <c r="AR1227" s="115"/>
      <c r="AS1227" s="115"/>
      <c r="AT1227" s="115"/>
      <c r="AU1227" s="115"/>
      <c r="AV1227" s="115"/>
      <c r="AW1227" s="115"/>
      <c r="AX1227" s="115"/>
      <c r="AY1227" s="115"/>
      <c r="AZ1227" s="17"/>
      <c r="BA1227" s="13"/>
      <c r="BE1227" s="117"/>
      <c r="BF1227" s="116"/>
      <c r="BG1227" s="116"/>
      <c r="BH1227" s="116"/>
    </row>
    <row r="1228" spans="1:60" ht="19.5" x14ac:dyDescent="0.4">
      <c r="AZ1228" s="26"/>
      <c r="BA1228" s="13"/>
      <c r="BE1228" s="117"/>
      <c r="BF1228" s="116"/>
      <c r="BG1228" s="116"/>
      <c r="BH1228" s="116"/>
    </row>
    <row r="1229" spans="1:60" ht="19.5" x14ac:dyDescent="0.4">
      <c r="AZ1229" s="26"/>
      <c r="BA1229" s="13"/>
      <c r="BE1229" s="116"/>
      <c r="BF1229" s="116"/>
      <c r="BG1229" s="116"/>
      <c r="BH1229" s="116"/>
    </row>
    <row r="1230" spans="1:60" ht="19.5" x14ac:dyDescent="0.4">
      <c r="D1230" s="115"/>
      <c r="E1230" s="115"/>
      <c r="F1230" s="115"/>
      <c r="G1230" s="115"/>
      <c r="H1230" s="115"/>
      <c r="I1230" s="115"/>
      <c r="J1230" s="115"/>
      <c r="K1230" s="115"/>
      <c r="L1230" s="115"/>
      <c r="M1230" s="115"/>
      <c r="N1230" s="115"/>
      <c r="O1230" s="115"/>
      <c r="P1230" s="115"/>
      <c r="Q1230" s="115"/>
      <c r="R1230" s="115"/>
      <c r="S1230" s="115"/>
      <c r="T1230" s="115"/>
      <c r="U1230" s="115"/>
      <c r="V1230" s="115"/>
      <c r="W1230" s="115"/>
      <c r="X1230" s="115"/>
      <c r="Y1230" s="115"/>
      <c r="Z1230" s="115"/>
      <c r="AA1230" s="115"/>
      <c r="AB1230" s="115"/>
      <c r="AC1230" s="115"/>
      <c r="AD1230" s="115"/>
      <c r="AE1230" s="115"/>
      <c r="AF1230" s="115"/>
      <c r="AG1230" s="115"/>
      <c r="AH1230" s="115"/>
      <c r="AI1230" s="122"/>
      <c r="AJ1230" s="122"/>
      <c r="AK1230" s="122"/>
      <c r="AL1230" s="115"/>
      <c r="AM1230" s="115"/>
      <c r="AN1230" s="115"/>
      <c r="AO1230" s="115"/>
      <c r="AP1230" s="115"/>
      <c r="AQ1230" s="115"/>
      <c r="AR1230" s="115"/>
      <c r="AS1230" s="115"/>
      <c r="AT1230" s="115"/>
      <c r="AU1230" s="115"/>
      <c r="AV1230" s="115"/>
      <c r="AW1230" s="115"/>
      <c r="AX1230" s="115"/>
      <c r="AY1230" s="115"/>
      <c r="AZ1230" s="26"/>
      <c r="BA1230" s="13"/>
      <c r="BE1230" s="118"/>
      <c r="BF1230" s="118"/>
      <c r="BG1230" s="118"/>
      <c r="BH1230" s="118"/>
    </row>
    <row r="1231" spans="1:60" ht="19.5" x14ac:dyDescent="0.4">
      <c r="D1231" s="115"/>
      <c r="E1231" s="115"/>
      <c r="F1231" s="115"/>
      <c r="G1231" s="115"/>
      <c r="H1231" s="115"/>
      <c r="I1231" s="115"/>
      <c r="J1231" s="115"/>
      <c r="K1231" s="115"/>
      <c r="L1231" s="115"/>
      <c r="M1231" s="115"/>
      <c r="N1231" s="115"/>
      <c r="O1231" s="115"/>
      <c r="P1231" s="115"/>
      <c r="Q1231" s="115"/>
      <c r="R1231" s="115"/>
      <c r="S1231" s="115"/>
      <c r="T1231" s="115"/>
      <c r="U1231" s="115"/>
      <c r="V1231" s="115"/>
      <c r="W1231" s="115"/>
      <c r="X1231" s="115"/>
      <c r="Y1231" s="115"/>
      <c r="Z1231" s="115"/>
      <c r="AA1231" s="115"/>
      <c r="AB1231" s="115"/>
      <c r="AC1231" s="115"/>
      <c r="AD1231" s="115"/>
      <c r="AE1231" s="115"/>
      <c r="AF1231" s="115"/>
      <c r="AG1231" s="115"/>
      <c r="AH1231" s="115"/>
      <c r="AI1231" s="122"/>
      <c r="AJ1231" s="122"/>
      <c r="AK1231" s="122"/>
      <c r="AL1231" s="115"/>
      <c r="AM1231" s="115"/>
      <c r="AN1231" s="115"/>
      <c r="AO1231" s="115"/>
      <c r="AP1231" s="115"/>
      <c r="AQ1231" s="115"/>
      <c r="AR1231" s="115"/>
      <c r="AS1231" s="115"/>
      <c r="AT1231" s="115"/>
      <c r="AU1231" s="115"/>
      <c r="AV1231" s="115"/>
      <c r="AW1231" s="115"/>
      <c r="AX1231" s="115"/>
      <c r="AY1231" s="115"/>
      <c r="AZ1231" s="26"/>
      <c r="BA1231" s="13"/>
      <c r="BE1231" s="118"/>
      <c r="BF1231" s="118"/>
      <c r="BG1231" s="118"/>
      <c r="BH1231" s="118"/>
    </row>
    <row r="1232" spans="1:60" ht="19.5" x14ac:dyDescent="0.4">
      <c r="B1232" s="115"/>
      <c r="C1232" s="115"/>
      <c r="D1232" s="115"/>
      <c r="E1232" s="115"/>
      <c r="F1232" s="115"/>
      <c r="G1232" s="115"/>
      <c r="H1232" s="115"/>
      <c r="I1232" s="115"/>
      <c r="J1232" s="115"/>
      <c r="K1232" s="115"/>
      <c r="L1232" s="115"/>
      <c r="M1232" s="115"/>
      <c r="N1232" s="115"/>
      <c r="O1232" s="115"/>
      <c r="P1232" s="115"/>
      <c r="Q1232" s="115"/>
      <c r="R1232" s="115"/>
      <c r="S1232" s="115"/>
      <c r="T1232" s="115"/>
      <c r="U1232" s="115"/>
      <c r="V1232" s="115"/>
      <c r="W1232" s="115"/>
      <c r="X1232" s="115"/>
      <c r="Y1232" s="115"/>
      <c r="Z1232" s="115"/>
      <c r="AA1232" s="115"/>
      <c r="AB1232" s="115"/>
      <c r="AC1232" s="115"/>
      <c r="AD1232" s="115"/>
      <c r="AE1232" s="115"/>
      <c r="AF1232" s="115"/>
      <c r="AG1232" s="115"/>
      <c r="AH1232" s="115"/>
      <c r="AI1232" s="122"/>
      <c r="AJ1232" s="122"/>
      <c r="AK1232" s="122"/>
      <c r="AL1232" s="115"/>
      <c r="AM1232" s="115"/>
      <c r="AN1232" s="115"/>
      <c r="AO1232" s="115"/>
      <c r="AP1232" s="115"/>
      <c r="AQ1232" s="115"/>
      <c r="AR1232" s="115"/>
      <c r="AS1232" s="115"/>
      <c r="AT1232" s="115"/>
      <c r="AU1232" s="115"/>
      <c r="AV1232" s="115"/>
      <c r="AW1232" s="115"/>
      <c r="AX1232" s="115"/>
      <c r="AY1232" s="115"/>
      <c r="AZ1232" s="26"/>
      <c r="BA1232" s="13"/>
      <c r="BE1232" s="118"/>
      <c r="BF1232" s="118"/>
      <c r="BG1232" s="118"/>
      <c r="BH1232" s="118"/>
    </row>
    <row r="1233" spans="1:60" ht="19.5" x14ac:dyDescent="0.4">
      <c r="B1233" s="115"/>
      <c r="C1233" s="115"/>
      <c r="D1233" s="115"/>
      <c r="E1233" s="115"/>
      <c r="F1233" s="115"/>
      <c r="G1233" s="115"/>
      <c r="H1233" s="115"/>
      <c r="I1233" s="115"/>
      <c r="J1233" s="115"/>
      <c r="K1233" s="115"/>
      <c r="L1233" s="115"/>
      <c r="M1233" s="115"/>
      <c r="N1233" s="115"/>
      <c r="O1233" s="115"/>
      <c r="P1233" s="115"/>
      <c r="Q1233" s="115"/>
      <c r="R1233" s="115"/>
      <c r="S1233" s="115"/>
      <c r="T1233" s="115"/>
      <c r="U1233" s="115"/>
      <c r="V1233" s="115"/>
      <c r="W1233" s="115"/>
      <c r="X1233" s="115"/>
      <c r="Y1233" s="115"/>
      <c r="Z1233" s="115"/>
      <c r="AA1233" s="115"/>
      <c r="AB1233" s="115"/>
      <c r="AC1233" s="115"/>
      <c r="AD1233" s="115"/>
      <c r="AE1233" s="115"/>
      <c r="AF1233" s="115"/>
      <c r="AG1233" s="115"/>
      <c r="AH1233" s="115"/>
      <c r="AI1233" s="122"/>
      <c r="AJ1233" s="122"/>
      <c r="AK1233" s="122"/>
      <c r="AL1233" s="115"/>
      <c r="AM1233" s="115"/>
      <c r="AN1233" s="115"/>
      <c r="AO1233" s="115"/>
      <c r="AP1233" s="115"/>
      <c r="AQ1233" s="115"/>
      <c r="AR1233" s="115"/>
      <c r="AS1233" s="115"/>
      <c r="AT1233" s="115"/>
      <c r="AU1233" s="115"/>
      <c r="AV1233" s="115"/>
      <c r="AW1233" s="115"/>
      <c r="AX1233" s="115"/>
      <c r="AY1233" s="115"/>
      <c r="AZ1233" s="26"/>
      <c r="BA1233" s="15"/>
      <c r="BE1233" s="118"/>
      <c r="BF1233" s="118"/>
      <c r="BG1233" s="118"/>
      <c r="BH1233" s="118"/>
    </row>
    <row r="1234" spans="1:60" ht="19.5" x14ac:dyDescent="0.4">
      <c r="B1234" s="115"/>
      <c r="C1234" s="115"/>
      <c r="D1234" s="115"/>
      <c r="E1234" s="115"/>
      <c r="F1234" s="115"/>
      <c r="G1234" s="115"/>
      <c r="H1234" s="115"/>
      <c r="I1234" s="115"/>
      <c r="J1234" s="115"/>
      <c r="K1234" s="115"/>
      <c r="L1234" s="115"/>
      <c r="M1234" s="115"/>
      <c r="N1234" s="115"/>
      <c r="O1234" s="115"/>
      <c r="P1234" s="115"/>
      <c r="Q1234" s="115"/>
      <c r="R1234" s="115"/>
      <c r="S1234" s="115"/>
      <c r="T1234" s="115"/>
      <c r="U1234" s="115"/>
      <c r="V1234" s="115"/>
      <c r="W1234" s="115"/>
      <c r="X1234" s="115"/>
      <c r="Y1234" s="115"/>
      <c r="Z1234" s="115"/>
      <c r="AA1234" s="115"/>
      <c r="AB1234" s="115"/>
      <c r="AC1234" s="115"/>
      <c r="AD1234" s="115"/>
      <c r="AE1234" s="115"/>
      <c r="AF1234" s="115"/>
      <c r="AG1234" s="115"/>
      <c r="AH1234" s="115"/>
      <c r="AI1234" s="122"/>
      <c r="AJ1234" s="122"/>
      <c r="AK1234" s="122"/>
      <c r="AL1234" s="115"/>
      <c r="AM1234" s="115"/>
      <c r="AN1234" s="115"/>
      <c r="AO1234" s="115"/>
      <c r="AP1234" s="115"/>
      <c r="AQ1234" s="115"/>
      <c r="AR1234" s="115"/>
      <c r="AS1234" s="115"/>
      <c r="AT1234" s="115"/>
      <c r="AU1234" s="115"/>
      <c r="AV1234" s="115"/>
      <c r="AW1234" s="115"/>
      <c r="AX1234" s="115"/>
      <c r="AY1234" s="115"/>
      <c r="AZ1234" s="26"/>
      <c r="BA1234" s="15"/>
      <c r="BE1234" s="118"/>
      <c r="BF1234" s="118"/>
      <c r="BG1234" s="118"/>
      <c r="BH1234" s="118"/>
    </row>
    <row r="1235" spans="1:60" ht="19.5" x14ac:dyDescent="0.4">
      <c r="A1235" s="115"/>
      <c r="B1235" s="115"/>
      <c r="C1235" s="115"/>
      <c r="D1235" s="115"/>
      <c r="E1235" s="115"/>
      <c r="F1235" s="115"/>
      <c r="G1235" s="115"/>
      <c r="H1235" s="115"/>
      <c r="I1235" s="115"/>
      <c r="J1235" s="115"/>
      <c r="K1235" s="115"/>
      <c r="L1235" s="115"/>
      <c r="M1235" s="115"/>
      <c r="N1235" s="115"/>
      <c r="O1235" s="115"/>
      <c r="P1235" s="115"/>
      <c r="Q1235" s="115"/>
      <c r="R1235" s="115"/>
      <c r="S1235" s="115"/>
      <c r="T1235" s="115"/>
      <c r="U1235" s="115"/>
      <c r="V1235" s="115"/>
      <c r="W1235" s="115"/>
      <c r="X1235" s="115"/>
      <c r="Y1235" s="115"/>
      <c r="Z1235" s="115"/>
      <c r="AA1235" s="115"/>
      <c r="AB1235" s="115"/>
      <c r="AC1235" s="115"/>
      <c r="AD1235" s="115"/>
      <c r="AE1235" s="115"/>
      <c r="AF1235" s="115"/>
      <c r="AG1235" s="115"/>
      <c r="AH1235" s="115"/>
      <c r="AI1235" s="122"/>
      <c r="AJ1235" s="122"/>
      <c r="AK1235" s="122"/>
      <c r="AL1235" s="115"/>
      <c r="AM1235" s="115"/>
      <c r="AN1235" s="115"/>
      <c r="AO1235" s="115"/>
      <c r="AP1235" s="115"/>
      <c r="AQ1235" s="115"/>
      <c r="AR1235" s="115"/>
      <c r="AS1235" s="115"/>
      <c r="AT1235" s="115"/>
      <c r="AU1235" s="115"/>
      <c r="AV1235" s="115"/>
      <c r="AW1235" s="115"/>
      <c r="AX1235" s="115"/>
      <c r="AY1235" s="115"/>
      <c r="AZ1235" s="26"/>
      <c r="BA1235" s="15"/>
      <c r="BE1235" s="118"/>
      <c r="BF1235" s="118"/>
      <c r="BG1235" s="118"/>
      <c r="BH1235" s="118"/>
    </row>
    <row r="1236" spans="1:60" ht="19.5" x14ac:dyDescent="0.4">
      <c r="A1236" s="115"/>
      <c r="B1236" s="115"/>
      <c r="C1236" s="115"/>
      <c r="D1236" s="115"/>
      <c r="E1236" s="115"/>
      <c r="F1236" s="115"/>
      <c r="G1236" s="115"/>
      <c r="H1236" s="115"/>
      <c r="I1236" s="115"/>
      <c r="J1236" s="115"/>
      <c r="K1236" s="115"/>
      <c r="L1236" s="115"/>
      <c r="M1236" s="115"/>
      <c r="N1236" s="115"/>
      <c r="O1236" s="115"/>
      <c r="P1236" s="115"/>
      <c r="Q1236" s="115"/>
      <c r="R1236" s="115"/>
      <c r="S1236" s="115"/>
      <c r="T1236" s="115"/>
      <c r="U1236" s="115"/>
      <c r="V1236" s="115"/>
      <c r="W1236" s="115"/>
      <c r="X1236" s="115"/>
      <c r="Y1236" s="115"/>
      <c r="Z1236" s="115"/>
      <c r="AA1236" s="115"/>
      <c r="AB1236" s="115"/>
      <c r="AC1236" s="115"/>
      <c r="AD1236" s="115"/>
      <c r="AE1236" s="115"/>
      <c r="AF1236" s="115"/>
      <c r="AG1236" s="115"/>
      <c r="AH1236" s="115"/>
      <c r="AI1236" s="122"/>
      <c r="AJ1236" s="122"/>
      <c r="AK1236" s="122"/>
      <c r="AL1236" s="115"/>
      <c r="AM1236" s="115"/>
      <c r="AN1236" s="115"/>
      <c r="AO1236" s="115"/>
      <c r="AP1236" s="115"/>
      <c r="AQ1236" s="115"/>
      <c r="AR1236" s="115"/>
      <c r="AS1236" s="115"/>
      <c r="AT1236" s="115"/>
      <c r="AU1236" s="115"/>
      <c r="AV1236" s="115"/>
      <c r="AW1236" s="115"/>
      <c r="AX1236" s="115"/>
      <c r="AY1236" s="115"/>
      <c r="AZ1236" s="26"/>
      <c r="BA1236" s="15"/>
      <c r="BE1236" s="118"/>
      <c r="BF1236" s="118"/>
      <c r="BG1236" s="118"/>
      <c r="BH1236" s="118"/>
    </row>
    <row r="1237" spans="1:60" ht="20.25" customHeight="1" x14ac:dyDescent="0.4">
      <c r="A1237" s="115"/>
      <c r="B1237" s="115"/>
      <c r="C1237" s="115"/>
      <c r="D1237" s="115"/>
      <c r="E1237" s="115"/>
      <c r="F1237" s="115"/>
      <c r="G1237" s="115"/>
      <c r="H1237" s="115"/>
      <c r="I1237" s="115"/>
      <c r="J1237" s="115"/>
      <c r="K1237" s="115"/>
      <c r="L1237" s="115"/>
      <c r="M1237" s="115"/>
      <c r="N1237" s="115"/>
      <c r="O1237" s="115"/>
      <c r="P1237" s="115"/>
      <c r="Q1237" s="115"/>
      <c r="R1237" s="115"/>
      <c r="S1237" s="115"/>
      <c r="T1237" s="115"/>
      <c r="U1237" s="115"/>
      <c r="V1237" s="115"/>
      <c r="W1237" s="115"/>
      <c r="X1237" s="115"/>
      <c r="Y1237" s="115"/>
      <c r="Z1237" s="115"/>
      <c r="AA1237" s="115"/>
      <c r="AB1237" s="115"/>
      <c r="AC1237" s="115"/>
      <c r="AD1237" s="115"/>
      <c r="AE1237" s="115"/>
      <c r="AF1237" s="115"/>
      <c r="AG1237" s="115"/>
      <c r="AH1237" s="115"/>
      <c r="AI1237" s="122"/>
      <c r="AJ1237" s="122"/>
      <c r="AK1237" s="122"/>
      <c r="AL1237" s="115"/>
      <c r="AM1237" s="115"/>
      <c r="AN1237" s="115"/>
      <c r="AO1237" s="115"/>
      <c r="AP1237" s="115"/>
      <c r="AQ1237" s="115"/>
      <c r="AR1237" s="115"/>
      <c r="AS1237" s="115"/>
      <c r="AT1237" s="115"/>
      <c r="AU1237" s="115"/>
      <c r="AV1237" s="115"/>
      <c r="AW1237" s="115"/>
      <c r="AX1237" s="115"/>
      <c r="AY1237" s="115"/>
      <c r="AZ1237" s="26"/>
      <c r="BA1237" s="15"/>
      <c r="BE1237" s="118"/>
      <c r="BF1237" s="118"/>
      <c r="BG1237" s="118"/>
      <c r="BH1237" s="118"/>
    </row>
    <row r="1238" spans="1:60" x14ac:dyDescent="0.4">
      <c r="AZ1238" s="26"/>
      <c r="BA1238" s="15"/>
    </row>
    <row r="1239" spans="1:60" x14ac:dyDescent="0.4">
      <c r="AZ1239" s="26"/>
      <c r="BA1239" s="13"/>
    </row>
    <row r="1240" spans="1:60" x14ac:dyDescent="0.4">
      <c r="AD1240" s="115"/>
      <c r="AE1240" s="115"/>
      <c r="AF1240" s="115"/>
      <c r="AG1240" s="115"/>
      <c r="AH1240" s="115"/>
      <c r="AI1240" s="122"/>
      <c r="AJ1240" s="122"/>
      <c r="AK1240" s="122"/>
      <c r="AL1240" s="115"/>
      <c r="AM1240" s="115"/>
      <c r="AN1240" s="115"/>
      <c r="AO1240" s="115"/>
      <c r="AP1240" s="115"/>
      <c r="AQ1240" s="115"/>
      <c r="AR1240" s="115"/>
      <c r="AS1240" s="115"/>
      <c r="AT1240" s="115"/>
      <c r="AU1240" s="115"/>
      <c r="AV1240" s="115"/>
      <c r="AW1240" s="115"/>
      <c r="AX1240" s="115"/>
      <c r="AY1240" s="115"/>
      <c r="AZ1240" s="26"/>
      <c r="BA1240" s="13"/>
    </row>
    <row r="1241" spans="1:60" x14ac:dyDescent="0.4">
      <c r="AD1241" s="115"/>
      <c r="AE1241" s="115"/>
      <c r="AF1241" s="115"/>
      <c r="AG1241" s="115"/>
      <c r="AH1241" s="115"/>
      <c r="AI1241" s="122"/>
      <c r="AJ1241" s="122"/>
      <c r="AK1241" s="122"/>
      <c r="AL1241" s="115"/>
      <c r="AM1241" s="115"/>
      <c r="AN1241" s="115"/>
      <c r="AO1241" s="115"/>
      <c r="AP1241" s="115"/>
      <c r="AQ1241" s="115"/>
      <c r="AR1241" s="115"/>
      <c r="AS1241" s="115"/>
      <c r="AT1241" s="115"/>
      <c r="AU1241" s="115"/>
      <c r="AV1241" s="115"/>
      <c r="AW1241" s="115"/>
      <c r="AX1241" s="115"/>
      <c r="AY1241" s="115"/>
      <c r="AZ1241" s="17"/>
      <c r="BA1241" s="13"/>
    </row>
    <row r="1242" spans="1:60" x14ac:dyDescent="0.4">
      <c r="C1242" s="115"/>
      <c r="D1242" s="115"/>
      <c r="E1242" s="115"/>
      <c r="F1242" s="115"/>
      <c r="G1242" s="115"/>
      <c r="H1242" s="115"/>
      <c r="I1242" s="115"/>
      <c r="J1242" s="115"/>
      <c r="K1242" s="115"/>
      <c r="L1242" s="115"/>
      <c r="M1242" s="115"/>
      <c r="N1242" s="115"/>
      <c r="O1242" s="115"/>
      <c r="P1242" s="115"/>
      <c r="Q1242" s="115"/>
      <c r="R1242" s="115"/>
      <c r="S1242" s="115"/>
      <c r="T1242" s="115"/>
      <c r="U1242" s="115"/>
      <c r="V1242" s="115"/>
      <c r="W1242" s="115"/>
      <c r="X1242" s="115"/>
      <c r="Y1242" s="115"/>
      <c r="Z1242" s="115"/>
      <c r="AA1242" s="115"/>
      <c r="AB1242" s="115"/>
      <c r="AC1242" s="115"/>
      <c r="AD1242" s="115"/>
      <c r="AE1242" s="115"/>
      <c r="AF1242" s="115"/>
      <c r="AG1242" s="115"/>
      <c r="AH1242" s="115"/>
      <c r="AI1242" s="122"/>
      <c r="AJ1242" s="122"/>
      <c r="AK1242" s="122"/>
      <c r="AL1242" s="115"/>
      <c r="AM1242" s="115"/>
      <c r="AN1242" s="115"/>
      <c r="AO1242" s="115"/>
      <c r="AP1242" s="115"/>
      <c r="AQ1242" s="115"/>
      <c r="AR1242" s="115"/>
      <c r="AS1242" s="115"/>
      <c r="AT1242" s="115"/>
      <c r="AU1242" s="115"/>
      <c r="AV1242" s="115"/>
      <c r="AW1242" s="115"/>
      <c r="AX1242" s="115"/>
      <c r="AY1242" s="115"/>
      <c r="AZ1242" s="26"/>
      <c r="BA1242" s="13"/>
    </row>
    <row r="1243" spans="1:60" x14ac:dyDescent="0.4">
      <c r="C1243" s="115"/>
      <c r="D1243" s="115"/>
      <c r="E1243" s="115"/>
      <c r="F1243" s="115"/>
      <c r="G1243" s="115"/>
      <c r="H1243" s="115"/>
      <c r="I1243" s="115"/>
      <c r="J1243" s="115"/>
      <c r="K1243" s="115"/>
      <c r="L1243" s="115"/>
      <c r="M1243" s="115"/>
      <c r="N1243" s="115"/>
      <c r="O1243" s="115"/>
      <c r="P1243" s="115"/>
      <c r="Q1243" s="115"/>
      <c r="R1243" s="115"/>
      <c r="S1243" s="115"/>
      <c r="T1243" s="115"/>
      <c r="U1243" s="115"/>
      <c r="V1243" s="115"/>
      <c r="W1243" s="115"/>
      <c r="X1243" s="115"/>
      <c r="Y1243" s="115"/>
      <c r="Z1243" s="115"/>
      <c r="AA1243" s="115"/>
      <c r="AB1243" s="115"/>
      <c r="AC1243" s="115"/>
      <c r="AD1243" s="115"/>
      <c r="AE1243" s="115"/>
      <c r="AF1243" s="115"/>
      <c r="AG1243" s="115"/>
      <c r="AH1243" s="115"/>
      <c r="AI1243" s="122"/>
      <c r="AJ1243" s="122"/>
      <c r="AK1243" s="122"/>
      <c r="AL1243" s="115"/>
      <c r="AM1243" s="115"/>
      <c r="AN1243" s="115"/>
      <c r="AO1243" s="115"/>
      <c r="AP1243" s="115"/>
      <c r="AQ1243" s="115"/>
      <c r="AR1243" s="115"/>
      <c r="AS1243" s="115"/>
      <c r="AT1243" s="115"/>
      <c r="AU1243" s="115"/>
      <c r="AV1243" s="115"/>
      <c r="AW1243" s="115"/>
      <c r="AX1243" s="115"/>
      <c r="AY1243" s="115"/>
      <c r="AZ1243" s="26"/>
      <c r="BA1243" s="13"/>
    </row>
    <row r="1244" spans="1:60" x14ac:dyDescent="0.4">
      <c r="AZ1244" s="26"/>
      <c r="BA1244" s="13"/>
    </row>
    <row r="1245" spans="1:60" x14ac:dyDescent="0.4">
      <c r="E1245" s="115"/>
      <c r="F1245" s="115"/>
      <c r="G1245" s="115"/>
      <c r="H1245" s="115"/>
      <c r="I1245" s="115"/>
      <c r="J1245" s="115"/>
      <c r="K1245" s="115"/>
      <c r="L1245" s="115"/>
      <c r="M1245" s="115"/>
      <c r="N1245" s="115"/>
      <c r="O1245" s="115"/>
      <c r="P1245" s="115"/>
      <c r="Q1245" s="115"/>
      <c r="R1245" s="115"/>
      <c r="S1245" s="115"/>
      <c r="T1245" s="115"/>
      <c r="U1245" s="115"/>
      <c r="V1245" s="115"/>
      <c r="W1245" s="115"/>
      <c r="X1245" s="115"/>
      <c r="Y1245" s="115"/>
      <c r="Z1245" s="115"/>
      <c r="AA1245" s="115"/>
      <c r="AB1245" s="115"/>
      <c r="AC1245" s="115"/>
      <c r="AD1245" s="115"/>
      <c r="AE1245" s="115"/>
      <c r="AF1245" s="115"/>
      <c r="AG1245" s="115"/>
      <c r="AH1245" s="115"/>
      <c r="AI1245" s="122"/>
      <c r="AJ1245" s="122"/>
      <c r="AK1245" s="122"/>
      <c r="AL1245" s="115"/>
      <c r="AM1245" s="115"/>
      <c r="AN1245" s="115"/>
      <c r="AO1245" s="115"/>
      <c r="AP1245" s="115"/>
      <c r="AQ1245" s="115"/>
      <c r="AR1245" s="115"/>
      <c r="AS1245" s="115"/>
      <c r="AT1245" s="115"/>
      <c r="AU1245" s="115"/>
      <c r="AV1245" s="115"/>
      <c r="AW1245" s="115"/>
      <c r="AX1245" s="115"/>
      <c r="AY1245" s="115"/>
      <c r="AZ1245" s="26"/>
      <c r="BA1245" s="13"/>
    </row>
    <row r="1246" spans="1:60" x14ac:dyDescent="0.4">
      <c r="C1246" s="115"/>
      <c r="D1246" s="115"/>
      <c r="E1246" s="115"/>
      <c r="F1246" s="115"/>
      <c r="G1246" s="115"/>
      <c r="H1246" s="115"/>
      <c r="I1246" s="115"/>
      <c r="J1246" s="115"/>
      <c r="K1246" s="115"/>
      <c r="L1246" s="115"/>
      <c r="M1246" s="115"/>
      <c r="N1246" s="115"/>
      <c r="O1246" s="115"/>
      <c r="P1246" s="115"/>
      <c r="Q1246" s="115"/>
      <c r="R1246" s="115"/>
      <c r="S1246" s="115"/>
      <c r="T1246" s="115"/>
      <c r="U1246" s="115"/>
      <c r="V1246" s="115"/>
      <c r="W1246" s="115"/>
      <c r="X1246" s="115"/>
      <c r="Y1246" s="115"/>
      <c r="Z1246" s="115"/>
      <c r="AA1246" s="115"/>
      <c r="AB1246" s="115"/>
      <c r="AC1246" s="115"/>
      <c r="AD1246" s="115"/>
      <c r="AE1246" s="115"/>
      <c r="AF1246" s="115"/>
      <c r="AG1246" s="115"/>
      <c r="AH1246" s="115"/>
      <c r="AI1246" s="122"/>
      <c r="AJ1246" s="122"/>
      <c r="AK1246" s="122"/>
      <c r="AL1246" s="115"/>
      <c r="AM1246" s="115"/>
      <c r="AN1246" s="115"/>
      <c r="AO1246" s="115"/>
      <c r="AP1246" s="115"/>
      <c r="AQ1246" s="115"/>
      <c r="AR1246" s="115"/>
      <c r="AS1246" s="115"/>
      <c r="AT1246" s="115"/>
      <c r="AU1246" s="115"/>
      <c r="AV1246" s="115"/>
      <c r="AW1246" s="115"/>
      <c r="AX1246" s="115"/>
      <c r="AY1246" s="115"/>
      <c r="AZ1246" s="26"/>
      <c r="BA1246" s="13"/>
    </row>
    <row r="1247" spans="1:60" x14ac:dyDescent="0.4">
      <c r="AZ1247" s="26"/>
      <c r="BA1247" s="13"/>
    </row>
    <row r="1248" spans="1:60" x14ac:dyDescent="0.4">
      <c r="C1248" s="115"/>
      <c r="D1248" s="115"/>
      <c r="E1248" s="115"/>
      <c r="F1248" s="115"/>
      <c r="G1248" s="115"/>
      <c r="H1248" s="115"/>
      <c r="I1248" s="115"/>
      <c r="J1248" s="115"/>
      <c r="K1248" s="115"/>
      <c r="L1248" s="115"/>
      <c r="M1248" s="115"/>
      <c r="N1248" s="115"/>
      <c r="O1248" s="115"/>
      <c r="P1248" s="115"/>
      <c r="Q1248" s="115"/>
      <c r="R1248" s="115"/>
      <c r="S1248" s="115"/>
      <c r="T1248" s="115"/>
      <c r="U1248" s="115"/>
      <c r="V1248" s="115"/>
      <c r="W1248" s="115"/>
      <c r="X1248" s="115"/>
      <c r="Y1248" s="115"/>
      <c r="Z1248" s="115"/>
      <c r="AA1248" s="115"/>
      <c r="AB1248" s="115"/>
      <c r="AC1248" s="115"/>
      <c r="AD1248" s="115"/>
      <c r="AE1248" s="115"/>
      <c r="AF1248" s="115"/>
      <c r="AG1248" s="115"/>
      <c r="AH1248" s="115"/>
      <c r="AI1248" s="122"/>
      <c r="AJ1248" s="122"/>
      <c r="AK1248" s="122"/>
      <c r="AL1248" s="115"/>
      <c r="AM1248" s="115"/>
      <c r="AN1248" s="115"/>
      <c r="AO1248" s="115"/>
      <c r="AP1248" s="115"/>
      <c r="AQ1248" s="115"/>
      <c r="AR1248" s="115"/>
      <c r="AS1248" s="115"/>
      <c r="AT1248" s="115"/>
      <c r="AU1248" s="115"/>
      <c r="AV1248" s="115"/>
      <c r="AW1248" s="115"/>
      <c r="AX1248" s="115"/>
      <c r="AY1248" s="115"/>
      <c r="AZ1248" s="26"/>
      <c r="BA1248" s="13"/>
    </row>
    <row r="1249" spans="1:53" x14ac:dyDescent="0.4">
      <c r="AZ1249" s="26"/>
      <c r="BA1249" s="13"/>
    </row>
    <row r="1250" spans="1:53" x14ac:dyDescent="0.4">
      <c r="AC1250" s="115"/>
      <c r="AD1250" s="115"/>
      <c r="AE1250" s="115"/>
      <c r="AF1250" s="115"/>
      <c r="AG1250" s="115"/>
      <c r="AH1250" s="115"/>
      <c r="AI1250" s="122"/>
      <c r="AJ1250" s="122"/>
      <c r="AK1250" s="122"/>
      <c r="AL1250" s="115"/>
      <c r="AM1250" s="115"/>
      <c r="AN1250" s="115"/>
      <c r="AO1250" s="115"/>
      <c r="AP1250" s="115"/>
      <c r="AQ1250" s="115"/>
      <c r="AR1250" s="115"/>
      <c r="AS1250" s="115"/>
      <c r="AT1250" s="115"/>
      <c r="AU1250" s="115"/>
      <c r="AV1250" s="115"/>
      <c r="AW1250" s="115"/>
      <c r="AX1250" s="115"/>
      <c r="AY1250" s="115"/>
      <c r="AZ1250" s="26"/>
      <c r="BA1250" s="13"/>
    </row>
    <row r="1251" spans="1:53" x14ac:dyDescent="0.4">
      <c r="AZ1251" s="26"/>
      <c r="BA1251" s="13"/>
    </row>
    <row r="1252" spans="1:53" x14ac:dyDescent="0.4">
      <c r="D1252" s="115"/>
      <c r="E1252" s="115"/>
      <c r="F1252" s="115"/>
      <c r="G1252" s="115"/>
      <c r="H1252" s="115"/>
      <c r="I1252" s="115"/>
      <c r="J1252" s="115"/>
      <c r="K1252" s="115"/>
      <c r="L1252" s="115"/>
      <c r="M1252" s="115"/>
      <c r="N1252" s="115"/>
      <c r="O1252" s="115"/>
      <c r="P1252" s="115"/>
      <c r="Q1252" s="115"/>
      <c r="R1252" s="115"/>
      <c r="S1252" s="115"/>
      <c r="T1252" s="115"/>
      <c r="U1252" s="115"/>
      <c r="V1252" s="115"/>
      <c r="W1252" s="115"/>
      <c r="X1252" s="115"/>
      <c r="Y1252" s="115"/>
      <c r="Z1252" s="115"/>
      <c r="AA1252" s="115"/>
      <c r="AB1252" s="115"/>
      <c r="AC1252" s="115"/>
      <c r="AD1252" s="115"/>
      <c r="AE1252" s="115"/>
      <c r="AF1252" s="115"/>
      <c r="AG1252" s="115"/>
      <c r="AH1252" s="115"/>
      <c r="AI1252" s="122"/>
      <c r="AJ1252" s="122"/>
      <c r="AK1252" s="122"/>
      <c r="AL1252" s="115"/>
      <c r="AM1252" s="115"/>
      <c r="AN1252" s="115"/>
      <c r="AO1252" s="115"/>
      <c r="AP1252" s="115"/>
      <c r="AQ1252" s="115"/>
      <c r="AR1252" s="115"/>
      <c r="AS1252" s="115"/>
      <c r="AT1252" s="115"/>
      <c r="AU1252" s="115"/>
      <c r="AV1252" s="115"/>
      <c r="AW1252" s="115"/>
      <c r="AX1252" s="115"/>
      <c r="AY1252" s="115"/>
      <c r="AZ1252" s="26"/>
      <c r="BA1252" s="15"/>
    </row>
    <row r="1253" spans="1:53" x14ac:dyDescent="0.4">
      <c r="D1253" s="115"/>
      <c r="E1253" s="115"/>
      <c r="F1253" s="115"/>
      <c r="G1253" s="115"/>
      <c r="H1253" s="115"/>
      <c r="I1253" s="115"/>
      <c r="J1253" s="115"/>
      <c r="K1253" s="115"/>
      <c r="L1253" s="115"/>
      <c r="M1253" s="115"/>
      <c r="N1253" s="115"/>
      <c r="O1253" s="115"/>
      <c r="P1253" s="115"/>
      <c r="Q1253" s="115"/>
      <c r="R1253" s="115"/>
      <c r="S1253" s="115"/>
      <c r="T1253" s="115"/>
      <c r="U1253" s="115"/>
      <c r="V1253" s="115"/>
      <c r="W1253" s="115"/>
      <c r="X1253" s="115"/>
      <c r="Y1253" s="115"/>
      <c r="Z1253" s="115"/>
      <c r="AA1253" s="115"/>
      <c r="AB1253" s="115"/>
      <c r="AC1253" s="115"/>
      <c r="AD1253" s="115"/>
      <c r="AE1253" s="115"/>
      <c r="AF1253" s="115"/>
      <c r="AG1253" s="115"/>
      <c r="AH1253" s="115"/>
      <c r="AI1253" s="122"/>
      <c r="AJ1253" s="122"/>
      <c r="AK1253" s="122"/>
      <c r="AL1253" s="115"/>
      <c r="AM1253" s="115"/>
      <c r="AN1253" s="115"/>
      <c r="AO1253" s="115"/>
      <c r="AP1253" s="115"/>
      <c r="AQ1253" s="115"/>
      <c r="AR1253" s="115"/>
      <c r="AS1253" s="115"/>
      <c r="AT1253" s="115"/>
      <c r="AU1253" s="115"/>
      <c r="AV1253" s="115"/>
      <c r="AW1253" s="115"/>
      <c r="AX1253" s="115"/>
      <c r="AY1253" s="115"/>
      <c r="AZ1253" s="26"/>
      <c r="BA1253" s="15"/>
    </row>
    <row r="1254" spans="1:53" x14ac:dyDescent="0.4">
      <c r="D1254" s="115"/>
      <c r="E1254" s="115"/>
      <c r="F1254" s="115"/>
      <c r="G1254" s="115"/>
      <c r="H1254" s="115"/>
      <c r="I1254" s="115"/>
      <c r="J1254" s="115"/>
      <c r="K1254" s="115"/>
      <c r="L1254" s="115"/>
      <c r="M1254" s="115"/>
      <c r="N1254" s="115"/>
      <c r="O1254" s="115"/>
      <c r="P1254" s="115"/>
      <c r="Q1254" s="115"/>
      <c r="R1254" s="115"/>
      <c r="S1254" s="115"/>
      <c r="T1254" s="115"/>
      <c r="U1254" s="115"/>
      <c r="V1254" s="115"/>
      <c r="W1254" s="115"/>
      <c r="X1254" s="115"/>
      <c r="Y1254" s="115"/>
      <c r="Z1254" s="115"/>
      <c r="AA1254" s="115"/>
      <c r="AB1254" s="115"/>
      <c r="AC1254" s="115"/>
      <c r="AD1254" s="115"/>
      <c r="AE1254" s="115"/>
      <c r="AF1254" s="115"/>
      <c r="AG1254" s="115"/>
      <c r="AH1254" s="115"/>
      <c r="AI1254" s="122"/>
      <c r="AJ1254" s="122"/>
      <c r="AK1254" s="122"/>
      <c r="AL1254" s="115"/>
      <c r="AM1254" s="115"/>
      <c r="AN1254" s="115"/>
      <c r="AO1254" s="115"/>
      <c r="AP1254" s="115"/>
      <c r="AQ1254" s="115"/>
      <c r="AR1254" s="115"/>
      <c r="AS1254" s="115"/>
      <c r="AT1254" s="115"/>
      <c r="AU1254" s="115"/>
      <c r="AV1254" s="115"/>
      <c r="AW1254" s="115"/>
      <c r="AX1254" s="115"/>
      <c r="AY1254" s="115"/>
      <c r="AZ1254" s="26"/>
      <c r="BA1254" s="15"/>
    </row>
    <row r="1255" spans="1:53" x14ac:dyDescent="0.4">
      <c r="AZ1255" s="26"/>
      <c r="BA1255" s="13"/>
    </row>
    <row r="1256" spans="1:53" x14ac:dyDescent="0.4">
      <c r="A1256" s="115"/>
      <c r="B1256" s="115"/>
      <c r="C1256" s="115"/>
      <c r="D1256" s="115"/>
      <c r="E1256" s="115"/>
      <c r="F1256" s="115"/>
      <c r="G1256" s="115"/>
      <c r="H1256" s="115"/>
      <c r="I1256" s="115"/>
      <c r="J1256" s="115"/>
      <c r="K1256" s="115"/>
      <c r="L1256" s="115"/>
      <c r="M1256" s="115"/>
      <c r="N1256" s="115"/>
      <c r="O1256" s="115"/>
      <c r="P1256" s="115"/>
      <c r="Q1256" s="115"/>
      <c r="R1256" s="115"/>
      <c r="S1256" s="115"/>
      <c r="T1256" s="115"/>
      <c r="U1256" s="115"/>
      <c r="V1256" s="115"/>
      <c r="W1256" s="115"/>
      <c r="X1256" s="115"/>
      <c r="Y1256" s="115"/>
      <c r="Z1256" s="115"/>
      <c r="AA1256" s="115"/>
      <c r="AB1256" s="115"/>
      <c r="AC1256" s="115"/>
      <c r="AD1256" s="115"/>
      <c r="AE1256" s="115"/>
      <c r="AF1256" s="115"/>
      <c r="AG1256" s="115"/>
      <c r="AH1256" s="115"/>
      <c r="AI1256" s="122"/>
      <c r="AJ1256" s="122"/>
      <c r="AK1256" s="122"/>
      <c r="AL1256" s="115"/>
      <c r="AM1256" s="115"/>
      <c r="AN1256" s="115"/>
      <c r="AO1256" s="115"/>
      <c r="AP1256" s="115"/>
      <c r="AQ1256" s="115"/>
      <c r="AR1256" s="115"/>
      <c r="AS1256" s="115"/>
      <c r="AT1256" s="115"/>
      <c r="AU1256" s="115"/>
      <c r="AV1256" s="115"/>
      <c r="AW1256" s="115"/>
      <c r="AX1256" s="115"/>
      <c r="AY1256" s="115"/>
      <c r="AZ1256" s="26"/>
      <c r="BA1256" s="15"/>
    </row>
    <row r="1257" spans="1:53" x14ac:dyDescent="0.4">
      <c r="AZ1257" s="26"/>
      <c r="BA1257" s="15"/>
    </row>
    <row r="1258" spans="1:53" x14ac:dyDescent="0.4">
      <c r="AZ1258" s="26"/>
      <c r="BA1258" s="15"/>
    </row>
    <row r="1259" spans="1:53" x14ac:dyDescent="0.4">
      <c r="E1259" s="115"/>
      <c r="F1259" s="115"/>
      <c r="G1259" s="115"/>
      <c r="H1259" s="115"/>
      <c r="I1259" s="115"/>
      <c r="J1259" s="115"/>
      <c r="K1259" s="115"/>
      <c r="L1259" s="115"/>
      <c r="M1259" s="115"/>
      <c r="N1259" s="115"/>
      <c r="O1259" s="115"/>
      <c r="P1259" s="115"/>
      <c r="Q1259" s="115"/>
      <c r="R1259" s="115"/>
      <c r="S1259" s="115"/>
      <c r="T1259" s="115"/>
      <c r="U1259" s="115"/>
      <c r="V1259" s="115"/>
      <c r="W1259" s="115"/>
      <c r="X1259" s="115"/>
      <c r="Y1259" s="115"/>
      <c r="Z1259" s="115"/>
      <c r="AA1259" s="115"/>
      <c r="AB1259" s="115"/>
      <c r="AC1259" s="115"/>
      <c r="AD1259" s="115"/>
      <c r="AE1259" s="115"/>
      <c r="AF1259" s="115"/>
      <c r="AG1259" s="115"/>
      <c r="AH1259" s="115"/>
      <c r="AI1259" s="122"/>
      <c r="AJ1259" s="122"/>
      <c r="AK1259" s="122"/>
      <c r="AL1259" s="115"/>
      <c r="AM1259" s="115"/>
      <c r="AN1259" s="115"/>
      <c r="AO1259" s="115"/>
      <c r="AP1259" s="115"/>
      <c r="AQ1259" s="115"/>
      <c r="AR1259" s="115"/>
      <c r="AS1259" s="115"/>
      <c r="AT1259" s="115"/>
      <c r="AU1259" s="115"/>
      <c r="AV1259" s="115"/>
      <c r="AW1259" s="115"/>
      <c r="AX1259" s="115"/>
      <c r="AY1259" s="115"/>
      <c r="AZ1259" s="26"/>
      <c r="BA1259" s="15"/>
    </row>
    <row r="1260" spans="1:53" x14ac:dyDescent="0.4">
      <c r="C1260" s="115"/>
      <c r="D1260" s="115"/>
      <c r="E1260" s="115"/>
      <c r="F1260" s="115"/>
      <c r="G1260" s="115"/>
      <c r="H1260" s="115"/>
      <c r="I1260" s="115"/>
      <c r="J1260" s="115"/>
      <c r="K1260" s="115"/>
      <c r="L1260" s="115"/>
      <c r="M1260" s="115"/>
      <c r="N1260" s="115"/>
      <c r="O1260" s="115"/>
      <c r="P1260" s="115"/>
      <c r="Q1260" s="115"/>
      <c r="R1260" s="115"/>
      <c r="S1260" s="115"/>
      <c r="T1260" s="115"/>
      <c r="U1260" s="115"/>
      <c r="V1260" s="115"/>
      <c r="W1260" s="115"/>
      <c r="X1260" s="115"/>
      <c r="Y1260" s="115"/>
      <c r="Z1260" s="115"/>
      <c r="AA1260" s="115"/>
      <c r="AB1260" s="115"/>
      <c r="AC1260" s="115"/>
      <c r="AD1260" s="115"/>
      <c r="AE1260" s="115"/>
      <c r="AF1260" s="115"/>
      <c r="AG1260" s="115"/>
      <c r="AH1260" s="115"/>
      <c r="AI1260" s="122"/>
      <c r="AJ1260" s="122"/>
      <c r="AK1260" s="122"/>
      <c r="AL1260" s="115"/>
      <c r="AM1260" s="115"/>
      <c r="AN1260" s="115"/>
      <c r="AO1260" s="115"/>
      <c r="AP1260" s="115"/>
      <c r="AQ1260" s="115"/>
      <c r="AR1260" s="115"/>
      <c r="AS1260" s="115"/>
      <c r="AT1260" s="115"/>
      <c r="AU1260" s="115"/>
      <c r="AV1260" s="115"/>
      <c r="AW1260" s="115"/>
      <c r="AX1260" s="115"/>
      <c r="AY1260" s="115"/>
      <c r="AZ1260" s="26"/>
      <c r="BA1260" s="15"/>
    </row>
    <row r="1261" spans="1:53" x14ac:dyDescent="0.4">
      <c r="AZ1261" s="26"/>
      <c r="BA1261" s="15"/>
    </row>
    <row r="1262" spans="1:53" x14ac:dyDescent="0.4">
      <c r="AB1262" s="115"/>
      <c r="AC1262" s="115"/>
      <c r="AD1262" s="115"/>
      <c r="AE1262" s="115"/>
      <c r="AF1262" s="115"/>
      <c r="AG1262" s="115"/>
      <c r="AH1262" s="115"/>
      <c r="AI1262" s="122"/>
      <c r="AJ1262" s="122"/>
      <c r="AK1262" s="122"/>
      <c r="AL1262" s="115"/>
      <c r="AM1262" s="115"/>
      <c r="AN1262" s="115"/>
      <c r="AO1262" s="115"/>
      <c r="AP1262" s="115"/>
      <c r="AQ1262" s="115"/>
      <c r="AR1262" s="115"/>
      <c r="AS1262" s="115"/>
      <c r="AT1262" s="115"/>
      <c r="AU1262" s="115"/>
      <c r="AV1262" s="115"/>
      <c r="AW1262" s="115"/>
      <c r="AX1262" s="115"/>
      <c r="AY1262" s="115"/>
      <c r="AZ1262" s="26"/>
      <c r="BA1262" s="15"/>
    </row>
    <row r="1263" spans="1:53" x14ac:dyDescent="0.4">
      <c r="D1263" s="115"/>
      <c r="E1263" s="115"/>
      <c r="F1263" s="115"/>
      <c r="G1263" s="115"/>
      <c r="H1263" s="115"/>
      <c r="I1263" s="115"/>
      <c r="J1263" s="115"/>
      <c r="K1263" s="115"/>
      <c r="L1263" s="115"/>
      <c r="M1263" s="115"/>
      <c r="N1263" s="115"/>
      <c r="O1263" s="115"/>
      <c r="P1263" s="115"/>
      <c r="Q1263" s="115"/>
      <c r="R1263" s="115"/>
      <c r="S1263" s="115"/>
      <c r="T1263" s="115"/>
      <c r="U1263" s="115"/>
      <c r="V1263" s="115"/>
      <c r="W1263" s="115"/>
      <c r="X1263" s="115"/>
      <c r="Y1263" s="115"/>
      <c r="Z1263" s="115"/>
      <c r="AA1263" s="115"/>
      <c r="AB1263" s="115"/>
      <c r="AC1263" s="115"/>
      <c r="AD1263" s="115"/>
      <c r="AE1263" s="115"/>
      <c r="AF1263" s="115"/>
      <c r="AG1263" s="115"/>
      <c r="AH1263" s="115"/>
      <c r="AI1263" s="122"/>
      <c r="AJ1263" s="122"/>
      <c r="AK1263" s="122"/>
      <c r="AL1263" s="115"/>
      <c r="AM1263" s="115"/>
      <c r="AN1263" s="115"/>
      <c r="AO1263" s="115"/>
      <c r="AP1263" s="115"/>
      <c r="AQ1263" s="115"/>
      <c r="AR1263" s="115"/>
      <c r="AS1263" s="115"/>
      <c r="AT1263" s="115"/>
      <c r="AU1263" s="115"/>
      <c r="AV1263" s="115"/>
      <c r="AW1263" s="115"/>
      <c r="AX1263" s="115"/>
      <c r="AY1263" s="115"/>
      <c r="AZ1263" s="26"/>
      <c r="BA1263" s="15"/>
    </row>
    <row r="1264" spans="1:53" x14ac:dyDescent="0.4">
      <c r="D1264" s="115"/>
      <c r="E1264" s="115"/>
      <c r="F1264" s="115"/>
      <c r="G1264" s="115"/>
      <c r="H1264" s="115"/>
      <c r="I1264" s="115"/>
      <c r="J1264" s="115"/>
      <c r="K1264" s="115"/>
      <c r="L1264" s="115"/>
      <c r="M1264" s="115"/>
      <c r="N1264" s="115"/>
      <c r="O1264" s="115"/>
      <c r="P1264" s="115"/>
      <c r="Q1264" s="115"/>
      <c r="R1264" s="115"/>
      <c r="S1264" s="115"/>
      <c r="T1264" s="115"/>
      <c r="U1264" s="115"/>
      <c r="V1264" s="115"/>
      <c r="W1264" s="115"/>
      <c r="X1264" s="115"/>
      <c r="Y1264" s="115"/>
      <c r="Z1264" s="115"/>
      <c r="AA1264" s="115"/>
      <c r="AB1264" s="115"/>
      <c r="AC1264" s="115"/>
      <c r="AD1264" s="115"/>
      <c r="AE1264" s="115"/>
      <c r="AF1264" s="115"/>
      <c r="AG1264" s="115"/>
      <c r="AH1264" s="115"/>
      <c r="AI1264" s="122"/>
      <c r="AJ1264" s="122"/>
      <c r="AK1264" s="122"/>
      <c r="AL1264" s="115"/>
      <c r="AM1264" s="115"/>
      <c r="AN1264" s="115"/>
      <c r="AO1264" s="115"/>
      <c r="AP1264" s="115"/>
      <c r="AQ1264" s="115"/>
      <c r="AR1264" s="115"/>
      <c r="AS1264" s="115"/>
      <c r="AT1264" s="115"/>
      <c r="AU1264" s="115"/>
      <c r="AV1264" s="115"/>
      <c r="AW1264" s="115"/>
      <c r="AX1264" s="115"/>
      <c r="AY1264" s="115"/>
      <c r="AZ1264" s="26"/>
      <c r="BA1264" s="15"/>
    </row>
    <row r="1265" spans="1:53" x14ac:dyDescent="0.4">
      <c r="D1265" s="115"/>
      <c r="E1265" s="115"/>
      <c r="F1265" s="115"/>
      <c r="G1265" s="115"/>
      <c r="H1265" s="115"/>
      <c r="I1265" s="115"/>
      <c r="J1265" s="115"/>
      <c r="K1265" s="115"/>
      <c r="L1265" s="115"/>
      <c r="M1265" s="115"/>
      <c r="N1265" s="115"/>
      <c r="O1265" s="115"/>
      <c r="P1265" s="115"/>
      <c r="Q1265" s="115"/>
      <c r="R1265" s="115"/>
      <c r="S1265" s="115"/>
      <c r="T1265" s="115"/>
      <c r="U1265" s="115"/>
      <c r="V1265" s="115"/>
      <c r="W1265" s="115"/>
      <c r="X1265" s="115"/>
      <c r="Y1265" s="115"/>
      <c r="Z1265" s="115"/>
      <c r="AA1265" s="115"/>
      <c r="AB1265" s="115"/>
      <c r="AC1265" s="115"/>
      <c r="AD1265" s="115"/>
      <c r="AE1265" s="115"/>
      <c r="AF1265" s="115"/>
      <c r="AG1265" s="115"/>
      <c r="AH1265" s="115"/>
      <c r="AI1265" s="122"/>
      <c r="AJ1265" s="122"/>
      <c r="AK1265" s="122"/>
      <c r="AL1265" s="115"/>
      <c r="AM1265" s="115"/>
      <c r="AN1265" s="115"/>
      <c r="AO1265" s="115"/>
      <c r="AP1265" s="115"/>
      <c r="AQ1265" s="115"/>
      <c r="AR1265" s="115"/>
      <c r="AS1265" s="115"/>
      <c r="AT1265" s="115"/>
      <c r="AU1265" s="115"/>
      <c r="AV1265" s="115"/>
      <c r="AW1265" s="115"/>
      <c r="AX1265" s="115"/>
      <c r="AY1265" s="115"/>
      <c r="AZ1265" s="26"/>
      <c r="BA1265" s="15"/>
    </row>
    <row r="1266" spans="1:53" x14ac:dyDescent="0.4">
      <c r="C1266" s="115"/>
      <c r="D1266" s="115"/>
      <c r="E1266" s="115"/>
      <c r="F1266" s="115"/>
      <c r="G1266" s="115"/>
      <c r="H1266" s="115"/>
      <c r="I1266" s="115"/>
      <c r="J1266" s="115"/>
      <c r="K1266" s="115"/>
      <c r="L1266" s="115"/>
      <c r="M1266" s="115"/>
      <c r="N1266" s="115"/>
      <c r="O1266" s="115"/>
      <c r="P1266" s="115"/>
      <c r="Q1266" s="115"/>
      <c r="R1266" s="115"/>
      <c r="S1266" s="115"/>
      <c r="T1266" s="115"/>
      <c r="U1266" s="115"/>
      <c r="V1266" s="115"/>
      <c r="W1266" s="115"/>
      <c r="X1266" s="115"/>
      <c r="Y1266" s="115"/>
      <c r="Z1266" s="115"/>
      <c r="AA1266" s="115"/>
      <c r="AB1266" s="115"/>
      <c r="AC1266" s="115"/>
      <c r="AD1266" s="115"/>
      <c r="AE1266" s="115"/>
      <c r="AF1266" s="115"/>
      <c r="AG1266" s="115"/>
      <c r="AH1266" s="115"/>
      <c r="AI1266" s="122"/>
      <c r="AJ1266" s="122"/>
      <c r="AK1266" s="122"/>
      <c r="AL1266" s="115"/>
      <c r="AM1266" s="115"/>
      <c r="AN1266" s="115"/>
      <c r="AO1266" s="115"/>
      <c r="AP1266" s="115"/>
      <c r="AQ1266" s="115"/>
      <c r="AR1266" s="115"/>
      <c r="AS1266" s="115"/>
      <c r="AT1266" s="115"/>
      <c r="AU1266" s="115"/>
      <c r="AV1266" s="115"/>
      <c r="AW1266" s="115"/>
      <c r="AX1266" s="115"/>
      <c r="AY1266" s="115"/>
      <c r="AZ1266" s="26"/>
      <c r="BA1266" s="15"/>
    </row>
    <row r="1267" spans="1:53" x14ac:dyDescent="0.4">
      <c r="AZ1267" s="26"/>
      <c r="BA1267" s="15"/>
    </row>
    <row r="1268" spans="1:53" x14ac:dyDescent="0.4">
      <c r="AE1268" s="115"/>
      <c r="AF1268" s="115"/>
      <c r="AG1268" s="115"/>
      <c r="AH1268" s="115"/>
      <c r="AI1268" s="122"/>
      <c r="AJ1268" s="122"/>
      <c r="AK1268" s="122"/>
      <c r="AL1268" s="115"/>
      <c r="AM1268" s="115"/>
      <c r="AN1268" s="115"/>
      <c r="AO1268" s="115"/>
      <c r="AP1268" s="115"/>
      <c r="AQ1268" s="115"/>
      <c r="AR1268" s="115"/>
      <c r="AS1268" s="115"/>
      <c r="AT1268" s="115"/>
      <c r="AU1268" s="115"/>
      <c r="AV1268" s="115"/>
      <c r="AW1268" s="115"/>
      <c r="AX1268" s="115"/>
      <c r="AY1268" s="115"/>
      <c r="AZ1268" s="17"/>
      <c r="BA1268" s="15"/>
    </row>
    <row r="1269" spans="1:53" x14ac:dyDescent="0.4">
      <c r="AZ1269" s="26"/>
      <c r="BA1269" s="15"/>
    </row>
    <row r="1270" spans="1:53" x14ac:dyDescent="0.4">
      <c r="AC1270" s="115"/>
      <c r="AD1270" s="115"/>
      <c r="AE1270" s="115"/>
      <c r="AF1270" s="115"/>
      <c r="AG1270" s="115"/>
      <c r="AH1270" s="115"/>
      <c r="AI1270" s="122"/>
      <c r="AJ1270" s="122"/>
      <c r="AK1270" s="122"/>
      <c r="AL1270" s="115"/>
      <c r="AM1270" s="115"/>
      <c r="AN1270" s="115"/>
      <c r="AO1270" s="115"/>
      <c r="AP1270" s="115"/>
      <c r="AQ1270" s="115"/>
      <c r="AR1270" s="115"/>
      <c r="AS1270" s="115"/>
      <c r="AT1270" s="115"/>
      <c r="AU1270" s="115"/>
      <c r="AV1270" s="115"/>
      <c r="AW1270" s="115"/>
      <c r="AX1270" s="115"/>
      <c r="AY1270" s="115"/>
      <c r="AZ1270" s="26"/>
      <c r="BA1270" s="15"/>
    </row>
    <row r="1271" spans="1:53" x14ac:dyDescent="0.4">
      <c r="AZ1271" s="26"/>
      <c r="BA1271" s="15"/>
    </row>
    <row r="1272" spans="1:53" x14ac:dyDescent="0.4">
      <c r="AZ1272" s="26"/>
      <c r="BA1272" s="15"/>
    </row>
    <row r="1273" spans="1:53" x14ac:dyDescent="0.4">
      <c r="E1273" s="115"/>
      <c r="F1273" s="115"/>
      <c r="G1273" s="115"/>
      <c r="H1273" s="115"/>
      <c r="I1273" s="115"/>
      <c r="J1273" s="115"/>
      <c r="K1273" s="115"/>
      <c r="L1273" s="115"/>
      <c r="M1273" s="115"/>
      <c r="N1273" s="115"/>
      <c r="O1273" s="115"/>
      <c r="P1273" s="115"/>
      <c r="Q1273" s="115"/>
      <c r="R1273" s="115"/>
      <c r="S1273" s="115"/>
      <c r="T1273" s="115"/>
      <c r="U1273" s="115"/>
      <c r="V1273" s="115"/>
      <c r="W1273" s="115"/>
      <c r="X1273" s="115"/>
      <c r="Y1273" s="115"/>
      <c r="Z1273" s="115"/>
      <c r="AA1273" s="115"/>
      <c r="AB1273" s="115"/>
      <c r="AC1273" s="115"/>
      <c r="AD1273" s="115"/>
      <c r="AE1273" s="115"/>
      <c r="AF1273" s="115"/>
      <c r="AG1273" s="115"/>
      <c r="AH1273" s="115"/>
      <c r="AI1273" s="122"/>
      <c r="AJ1273" s="122"/>
      <c r="AK1273" s="122"/>
      <c r="AL1273" s="115"/>
      <c r="AM1273" s="115"/>
      <c r="AN1273" s="115"/>
      <c r="AO1273" s="115"/>
      <c r="AP1273" s="115"/>
      <c r="AQ1273" s="115"/>
      <c r="AR1273" s="115"/>
      <c r="AS1273" s="115"/>
      <c r="AT1273" s="115"/>
      <c r="AU1273" s="115"/>
      <c r="AV1273" s="115"/>
      <c r="AW1273" s="115"/>
      <c r="AX1273" s="115"/>
      <c r="AY1273" s="115"/>
      <c r="AZ1273" s="26"/>
      <c r="BA1273" s="15"/>
    </row>
    <row r="1274" spans="1:53" x14ac:dyDescent="0.4">
      <c r="E1274" s="115"/>
      <c r="F1274" s="115"/>
      <c r="G1274" s="115"/>
      <c r="H1274" s="115"/>
      <c r="I1274" s="115"/>
      <c r="J1274" s="115"/>
      <c r="K1274" s="115"/>
      <c r="L1274" s="115"/>
      <c r="M1274" s="115"/>
      <c r="N1274" s="115"/>
      <c r="O1274" s="115"/>
      <c r="P1274" s="115"/>
      <c r="Q1274" s="115"/>
      <c r="R1274" s="115"/>
      <c r="S1274" s="115"/>
      <c r="T1274" s="115"/>
      <c r="U1274" s="115"/>
      <c r="V1274" s="115"/>
      <c r="W1274" s="115"/>
      <c r="X1274" s="115"/>
      <c r="Y1274" s="115"/>
      <c r="Z1274" s="115"/>
      <c r="AA1274" s="115"/>
      <c r="AB1274" s="115"/>
      <c r="AC1274" s="115"/>
      <c r="AD1274" s="115"/>
      <c r="AE1274" s="115"/>
      <c r="AF1274" s="115"/>
      <c r="AG1274" s="115"/>
      <c r="AH1274" s="115"/>
      <c r="AI1274" s="122"/>
      <c r="AJ1274" s="122"/>
      <c r="AK1274" s="122"/>
      <c r="AL1274" s="115"/>
      <c r="AM1274" s="115"/>
      <c r="AN1274" s="115"/>
      <c r="AO1274" s="115"/>
      <c r="AP1274" s="115"/>
      <c r="AQ1274" s="115"/>
      <c r="AR1274" s="115"/>
      <c r="AS1274" s="115"/>
      <c r="AT1274" s="115"/>
      <c r="AU1274" s="115"/>
      <c r="AV1274" s="115"/>
      <c r="AW1274" s="115"/>
      <c r="AX1274" s="115"/>
      <c r="AY1274" s="115"/>
      <c r="AZ1274" s="26"/>
      <c r="BA1274" s="15"/>
    </row>
    <row r="1275" spans="1:53" x14ac:dyDescent="0.4">
      <c r="A1275" s="115"/>
      <c r="B1275" s="115"/>
      <c r="C1275" s="115"/>
      <c r="D1275" s="115"/>
      <c r="E1275" s="115"/>
      <c r="F1275" s="115"/>
      <c r="G1275" s="115"/>
      <c r="H1275" s="115"/>
      <c r="I1275" s="115"/>
      <c r="J1275" s="115"/>
      <c r="K1275" s="115"/>
      <c r="L1275" s="115"/>
      <c r="M1275" s="115"/>
      <c r="N1275" s="115"/>
      <c r="O1275" s="115"/>
      <c r="P1275" s="115"/>
      <c r="Q1275" s="115"/>
      <c r="R1275" s="115"/>
      <c r="S1275" s="115"/>
      <c r="T1275" s="115"/>
      <c r="U1275" s="115"/>
      <c r="V1275" s="115"/>
      <c r="W1275" s="115"/>
      <c r="X1275" s="115"/>
      <c r="Y1275" s="115"/>
      <c r="Z1275" s="115"/>
      <c r="AA1275" s="115"/>
      <c r="AB1275" s="115"/>
      <c r="AC1275" s="115"/>
      <c r="AD1275" s="115"/>
      <c r="AE1275" s="115"/>
      <c r="AF1275" s="115"/>
      <c r="AG1275" s="115"/>
      <c r="AH1275" s="115"/>
      <c r="AI1275" s="122"/>
      <c r="AJ1275" s="122"/>
      <c r="AK1275" s="122"/>
      <c r="AL1275" s="115"/>
      <c r="AM1275" s="115"/>
      <c r="AN1275" s="115"/>
      <c r="AO1275" s="115"/>
      <c r="AP1275" s="115"/>
      <c r="AQ1275" s="115"/>
      <c r="AR1275" s="115"/>
      <c r="AS1275" s="115"/>
      <c r="AT1275" s="115"/>
      <c r="AU1275" s="115"/>
      <c r="AV1275" s="115"/>
      <c r="AW1275" s="115"/>
      <c r="AX1275" s="115"/>
      <c r="AY1275" s="115"/>
      <c r="AZ1275" s="26"/>
      <c r="BA1275" s="15"/>
    </row>
    <row r="1276" spans="1:53" x14ac:dyDescent="0.4">
      <c r="A1276" s="115"/>
      <c r="B1276" s="115"/>
      <c r="C1276" s="115"/>
      <c r="D1276" s="115"/>
      <c r="E1276" s="115"/>
      <c r="F1276" s="115"/>
      <c r="G1276" s="115"/>
      <c r="H1276" s="115"/>
      <c r="I1276" s="115"/>
      <c r="J1276" s="115"/>
      <c r="K1276" s="115"/>
      <c r="L1276" s="115"/>
      <c r="M1276" s="115"/>
      <c r="N1276" s="115"/>
      <c r="O1276" s="115"/>
      <c r="P1276" s="115"/>
      <c r="Q1276" s="115"/>
      <c r="R1276" s="115"/>
      <c r="S1276" s="115"/>
      <c r="T1276" s="115"/>
      <c r="U1276" s="115"/>
      <c r="V1276" s="115"/>
      <c r="W1276" s="115"/>
      <c r="X1276" s="115"/>
      <c r="Y1276" s="115"/>
      <c r="Z1276" s="115"/>
      <c r="AA1276" s="115"/>
      <c r="AB1276" s="115"/>
      <c r="AC1276" s="115"/>
      <c r="AD1276" s="115"/>
      <c r="AE1276" s="115"/>
      <c r="AF1276" s="115"/>
      <c r="AG1276" s="115"/>
      <c r="AH1276" s="115"/>
      <c r="AI1276" s="122"/>
      <c r="AJ1276" s="122"/>
      <c r="AK1276" s="122"/>
      <c r="AL1276" s="115"/>
      <c r="AM1276" s="115"/>
      <c r="AN1276" s="115"/>
      <c r="AO1276" s="115"/>
      <c r="AP1276" s="115"/>
      <c r="AQ1276" s="115"/>
      <c r="AR1276" s="115"/>
      <c r="AS1276" s="115"/>
      <c r="AT1276" s="115"/>
      <c r="AU1276" s="115"/>
      <c r="AV1276" s="115"/>
      <c r="AW1276" s="115"/>
      <c r="AX1276" s="115"/>
      <c r="AY1276" s="115"/>
      <c r="AZ1276" s="26"/>
      <c r="BA1276" s="15"/>
    </row>
    <row r="1277" spans="1:53" x14ac:dyDescent="0.4">
      <c r="AZ1277" s="26"/>
      <c r="BA1277" s="15"/>
    </row>
    <row r="1278" spans="1:53" x14ac:dyDescent="0.4">
      <c r="AE1278" s="115"/>
      <c r="AF1278" s="115"/>
      <c r="AG1278" s="115"/>
      <c r="AH1278" s="115"/>
      <c r="AI1278" s="122"/>
      <c r="AJ1278" s="122"/>
      <c r="AK1278" s="122"/>
      <c r="AL1278" s="115"/>
      <c r="AM1278" s="115"/>
      <c r="AN1278" s="115"/>
      <c r="AO1278" s="115"/>
      <c r="AP1278" s="115"/>
      <c r="AQ1278" s="115"/>
      <c r="AR1278" s="115"/>
      <c r="AS1278" s="115"/>
      <c r="AT1278" s="115"/>
      <c r="AU1278" s="115"/>
      <c r="AV1278" s="115"/>
      <c r="AW1278" s="115"/>
      <c r="AX1278" s="115"/>
      <c r="AY1278" s="115"/>
      <c r="AZ1278" s="17"/>
      <c r="BA1278" s="15"/>
    </row>
    <row r="1279" spans="1:53" x14ac:dyDescent="0.4">
      <c r="AZ1279" s="26"/>
      <c r="BA1279" s="15"/>
    </row>
    <row r="1280" spans="1:53" x14ac:dyDescent="0.4">
      <c r="E1280" s="115"/>
      <c r="F1280" s="115"/>
      <c r="G1280" s="115"/>
      <c r="H1280" s="115"/>
      <c r="I1280" s="115"/>
      <c r="J1280" s="115"/>
      <c r="K1280" s="115"/>
      <c r="L1280" s="115"/>
      <c r="M1280" s="115"/>
      <c r="N1280" s="115"/>
      <c r="O1280" s="115"/>
      <c r="P1280" s="115"/>
      <c r="Q1280" s="115"/>
      <c r="R1280" s="115"/>
      <c r="S1280" s="115"/>
      <c r="T1280" s="115"/>
      <c r="U1280" s="115"/>
      <c r="V1280" s="115"/>
      <c r="W1280" s="115"/>
      <c r="X1280" s="115"/>
      <c r="Y1280" s="115"/>
      <c r="Z1280" s="115"/>
      <c r="AA1280" s="115"/>
      <c r="AB1280" s="115"/>
      <c r="AC1280" s="115"/>
      <c r="AD1280" s="115"/>
      <c r="AE1280" s="115"/>
      <c r="AF1280" s="115"/>
      <c r="AG1280" s="115"/>
      <c r="AH1280" s="115"/>
      <c r="AI1280" s="122"/>
      <c r="AJ1280" s="122"/>
      <c r="AK1280" s="122"/>
      <c r="AL1280" s="115"/>
      <c r="AM1280" s="115"/>
      <c r="AN1280" s="115"/>
      <c r="AO1280" s="115"/>
      <c r="AP1280" s="115"/>
      <c r="AQ1280" s="115"/>
      <c r="AR1280" s="115"/>
      <c r="AS1280" s="115"/>
      <c r="AT1280" s="115"/>
      <c r="AU1280" s="115"/>
      <c r="AV1280" s="115"/>
      <c r="AW1280" s="115"/>
      <c r="AX1280" s="115"/>
      <c r="AY1280" s="115"/>
      <c r="AZ1280" s="26"/>
      <c r="BA1280" s="15"/>
    </row>
    <row r="1281" spans="3:53" x14ac:dyDescent="0.4">
      <c r="C1281" s="115"/>
      <c r="D1281" s="115"/>
      <c r="E1281" s="115"/>
      <c r="F1281" s="115"/>
      <c r="G1281" s="115"/>
      <c r="H1281" s="115"/>
      <c r="I1281" s="115"/>
      <c r="J1281" s="115"/>
      <c r="K1281" s="115"/>
      <c r="L1281" s="115"/>
      <c r="M1281" s="115"/>
      <c r="N1281" s="115"/>
      <c r="O1281" s="115"/>
      <c r="P1281" s="115"/>
      <c r="Q1281" s="115"/>
      <c r="R1281" s="115"/>
      <c r="S1281" s="115"/>
      <c r="T1281" s="115"/>
      <c r="U1281" s="115"/>
      <c r="V1281" s="115"/>
      <c r="W1281" s="115"/>
      <c r="X1281" s="115"/>
      <c r="Y1281" s="115"/>
      <c r="Z1281" s="115"/>
      <c r="AA1281" s="115"/>
      <c r="AB1281" s="115"/>
      <c r="AC1281" s="115"/>
      <c r="AD1281" s="115"/>
      <c r="AE1281" s="115"/>
      <c r="AF1281" s="115"/>
      <c r="AG1281" s="115"/>
      <c r="AH1281" s="115"/>
      <c r="AI1281" s="122"/>
      <c r="AJ1281" s="122"/>
      <c r="AK1281" s="122"/>
      <c r="AL1281" s="115"/>
      <c r="AM1281" s="115"/>
      <c r="AN1281" s="115"/>
      <c r="AO1281" s="115"/>
      <c r="AP1281" s="115"/>
      <c r="AQ1281" s="115"/>
      <c r="AR1281" s="115"/>
      <c r="AS1281" s="115"/>
      <c r="AT1281" s="115"/>
      <c r="AU1281" s="115"/>
      <c r="AV1281" s="115"/>
      <c r="AW1281" s="115"/>
      <c r="AX1281" s="115"/>
      <c r="AY1281" s="115"/>
      <c r="AZ1281" s="26"/>
      <c r="BA1281" s="15"/>
    </row>
    <row r="1282" spans="3:53" x14ac:dyDescent="0.4">
      <c r="C1282" s="115"/>
      <c r="D1282" s="115"/>
      <c r="E1282" s="115"/>
      <c r="F1282" s="115"/>
      <c r="G1282" s="115"/>
      <c r="H1282" s="115"/>
      <c r="I1282" s="115"/>
      <c r="J1282" s="115"/>
      <c r="K1282" s="115"/>
      <c r="L1282" s="115"/>
      <c r="M1282" s="115"/>
      <c r="N1282" s="115"/>
      <c r="O1282" s="115"/>
      <c r="P1282" s="115"/>
      <c r="Q1282" s="115"/>
      <c r="R1282" s="115"/>
      <c r="S1282" s="115"/>
      <c r="T1282" s="115"/>
      <c r="U1282" s="115"/>
      <c r="V1282" s="115"/>
      <c r="W1282" s="115"/>
      <c r="X1282" s="115"/>
      <c r="Y1282" s="115"/>
      <c r="Z1282" s="115"/>
      <c r="AA1282" s="115"/>
      <c r="AB1282" s="115"/>
      <c r="AC1282" s="115"/>
      <c r="AD1282" s="115"/>
      <c r="AE1282" s="115"/>
      <c r="AF1282" s="115"/>
      <c r="AG1282" s="115"/>
      <c r="AH1282" s="115"/>
      <c r="AI1282" s="122"/>
      <c r="AJ1282" s="122"/>
      <c r="AK1282" s="122"/>
      <c r="AL1282" s="115"/>
      <c r="AM1282" s="115"/>
      <c r="AN1282" s="115"/>
      <c r="AO1282" s="115"/>
      <c r="AP1282" s="115"/>
      <c r="AQ1282" s="115"/>
      <c r="AR1282" s="115"/>
      <c r="AS1282" s="115"/>
      <c r="AT1282" s="115"/>
      <c r="AU1282" s="115"/>
      <c r="AV1282" s="115"/>
      <c r="AW1282" s="115"/>
      <c r="AX1282" s="115"/>
      <c r="AY1282" s="115"/>
      <c r="AZ1282" s="17"/>
      <c r="BA1282" s="15"/>
    </row>
    <row r="1283" spans="3:53" x14ac:dyDescent="0.4">
      <c r="AZ1283" s="26"/>
      <c r="BA1283" s="15"/>
    </row>
    <row r="1284" spans="3:53" x14ac:dyDescent="0.4">
      <c r="D1284" s="115"/>
      <c r="E1284" s="115"/>
      <c r="F1284" s="115"/>
      <c r="G1284" s="115"/>
      <c r="H1284" s="115"/>
      <c r="I1284" s="115"/>
      <c r="J1284" s="115"/>
      <c r="K1284" s="115"/>
      <c r="L1284" s="115"/>
      <c r="M1284" s="115"/>
      <c r="N1284" s="115"/>
      <c r="O1284" s="115"/>
      <c r="P1284" s="115"/>
      <c r="Q1284" s="115"/>
      <c r="R1284" s="115"/>
      <c r="S1284" s="115"/>
      <c r="T1284" s="115"/>
      <c r="U1284" s="115"/>
      <c r="V1284" s="115"/>
      <c r="W1284" s="115"/>
      <c r="X1284" s="115"/>
      <c r="Y1284" s="115"/>
      <c r="Z1284" s="115"/>
      <c r="AA1284" s="115"/>
      <c r="AB1284" s="115"/>
      <c r="AC1284" s="115"/>
      <c r="AD1284" s="115"/>
      <c r="AE1284" s="115"/>
      <c r="AF1284" s="115"/>
      <c r="AG1284" s="115"/>
      <c r="AH1284" s="115"/>
      <c r="AI1284" s="122"/>
      <c r="AJ1284" s="122"/>
      <c r="AK1284" s="122"/>
      <c r="AL1284" s="115"/>
      <c r="AM1284" s="115"/>
      <c r="AN1284" s="115"/>
      <c r="AO1284" s="115"/>
      <c r="AP1284" s="115"/>
      <c r="AQ1284" s="115"/>
      <c r="AR1284" s="115"/>
      <c r="AS1284" s="115"/>
      <c r="AT1284" s="115"/>
      <c r="AU1284" s="115"/>
      <c r="AV1284" s="115"/>
      <c r="AW1284" s="115"/>
      <c r="AX1284" s="115"/>
      <c r="AY1284" s="115"/>
      <c r="AZ1284" s="26"/>
      <c r="BA1284" s="15"/>
    </row>
    <row r="1285" spans="3:53" x14ac:dyDescent="0.4">
      <c r="D1285" s="115"/>
      <c r="E1285" s="115"/>
      <c r="F1285" s="115"/>
      <c r="G1285" s="115"/>
      <c r="H1285" s="115"/>
      <c r="I1285" s="115"/>
      <c r="J1285" s="115"/>
      <c r="K1285" s="115"/>
      <c r="L1285" s="115"/>
      <c r="M1285" s="115"/>
      <c r="N1285" s="115"/>
      <c r="O1285" s="115"/>
      <c r="P1285" s="115"/>
      <c r="Q1285" s="115"/>
      <c r="R1285" s="115"/>
      <c r="S1285" s="115"/>
      <c r="T1285" s="115"/>
      <c r="U1285" s="115"/>
      <c r="V1285" s="115"/>
      <c r="W1285" s="115"/>
      <c r="X1285" s="115"/>
      <c r="Y1285" s="115"/>
      <c r="Z1285" s="115"/>
      <c r="AA1285" s="115"/>
      <c r="AB1285" s="115"/>
      <c r="AC1285" s="115"/>
      <c r="AD1285" s="115"/>
      <c r="AE1285" s="115"/>
      <c r="AF1285" s="115"/>
      <c r="AG1285" s="115"/>
      <c r="AH1285" s="115"/>
      <c r="AI1285" s="122"/>
      <c r="AJ1285" s="122"/>
      <c r="AK1285" s="122"/>
      <c r="AL1285" s="115"/>
      <c r="AM1285" s="115"/>
      <c r="AN1285" s="115"/>
      <c r="AO1285" s="115"/>
      <c r="AP1285" s="115"/>
      <c r="AQ1285" s="115"/>
      <c r="AR1285" s="115"/>
      <c r="AS1285" s="115"/>
      <c r="AT1285" s="115"/>
      <c r="AU1285" s="115"/>
      <c r="AV1285" s="115"/>
      <c r="AW1285" s="115"/>
      <c r="AX1285" s="115"/>
      <c r="AY1285" s="115"/>
      <c r="AZ1285" s="17"/>
      <c r="BA1285" s="15"/>
    </row>
    <row r="1286" spans="3:53" x14ac:dyDescent="0.4">
      <c r="AZ1286" s="26"/>
      <c r="BA1286" s="15"/>
    </row>
    <row r="1287" spans="3:53" x14ac:dyDescent="0.4">
      <c r="AE1287" s="115"/>
      <c r="AF1287" s="115"/>
      <c r="AG1287" s="115"/>
      <c r="AH1287" s="115"/>
      <c r="AI1287" s="122"/>
      <c r="AJ1287" s="122"/>
      <c r="AK1287" s="122"/>
      <c r="AL1287" s="115"/>
      <c r="AM1287" s="115"/>
      <c r="AN1287" s="115"/>
      <c r="AO1287" s="115"/>
      <c r="AP1287" s="115"/>
      <c r="AQ1287" s="115"/>
      <c r="AR1287" s="115"/>
      <c r="AS1287" s="115"/>
      <c r="AT1287" s="115"/>
      <c r="AU1287" s="115"/>
      <c r="AV1287" s="115"/>
      <c r="AW1287" s="115"/>
      <c r="AX1287" s="115"/>
      <c r="AY1287" s="115"/>
      <c r="AZ1287" s="17"/>
      <c r="BA1287" s="15"/>
    </row>
    <row r="1288" spans="3:53" x14ac:dyDescent="0.4">
      <c r="C1288" s="115"/>
      <c r="D1288" s="115"/>
      <c r="E1288" s="115"/>
      <c r="F1288" s="115"/>
      <c r="G1288" s="115"/>
      <c r="H1288" s="115"/>
      <c r="I1288" s="115"/>
      <c r="J1288" s="115"/>
      <c r="K1288" s="115"/>
      <c r="L1288" s="115"/>
      <c r="M1288" s="115"/>
      <c r="N1288" s="115"/>
      <c r="O1288" s="115"/>
      <c r="P1288" s="115"/>
      <c r="Q1288" s="115"/>
      <c r="R1288" s="115"/>
      <c r="S1288" s="115"/>
      <c r="T1288" s="115"/>
      <c r="U1288" s="115"/>
      <c r="V1288" s="115"/>
      <c r="W1288" s="115"/>
      <c r="X1288" s="115"/>
      <c r="Y1288" s="115"/>
      <c r="Z1288" s="115"/>
      <c r="AA1288" s="115"/>
      <c r="AB1288" s="115"/>
      <c r="AC1288" s="115"/>
      <c r="AD1288" s="115"/>
      <c r="AE1288" s="115"/>
      <c r="AF1288" s="115"/>
      <c r="AG1288" s="115"/>
      <c r="AH1288" s="115"/>
      <c r="AI1288" s="122"/>
      <c r="AJ1288" s="122"/>
      <c r="AK1288" s="122"/>
      <c r="AL1288" s="115"/>
      <c r="AM1288" s="115"/>
      <c r="AN1288" s="115"/>
      <c r="AO1288" s="115"/>
      <c r="AP1288" s="115"/>
      <c r="AQ1288" s="115"/>
      <c r="AR1288" s="115"/>
      <c r="AS1288" s="115"/>
      <c r="AT1288" s="115"/>
      <c r="AU1288" s="115"/>
      <c r="AV1288" s="115"/>
      <c r="AW1288" s="115"/>
      <c r="AX1288" s="115"/>
      <c r="AY1288" s="115"/>
      <c r="AZ1288" s="26"/>
      <c r="BA1288" s="15"/>
    </row>
    <row r="1289" spans="3:53" x14ac:dyDescent="0.4">
      <c r="C1289" s="115"/>
      <c r="D1289" s="115"/>
      <c r="E1289" s="115"/>
      <c r="F1289" s="115"/>
      <c r="G1289" s="115"/>
      <c r="H1289" s="115"/>
      <c r="I1289" s="115"/>
      <c r="J1289" s="115"/>
      <c r="K1289" s="115"/>
      <c r="L1289" s="115"/>
      <c r="M1289" s="115"/>
      <c r="N1289" s="115"/>
      <c r="O1289" s="115"/>
      <c r="P1289" s="115"/>
      <c r="Q1289" s="115"/>
      <c r="R1289" s="115"/>
      <c r="S1289" s="115"/>
      <c r="T1289" s="115"/>
      <c r="U1289" s="115"/>
      <c r="V1289" s="115"/>
      <c r="W1289" s="115"/>
      <c r="X1289" s="115"/>
      <c r="Y1289" s="115"/>
      <c r="Z1289" s="115"/>
      <c r="AA1289" s="115"/>
      <c r="AB1289" s="115"/>
      <c r="AC1289" s="115"/>
      <c r="AD1289" s="115"/>
      <c r="AE1289" s="115"/>
      <c r="AF1289" s="115"/>
      <c r="AG1289" s="115"/>
      <c r="AH1289" s="115"/>
      <c r="AI1289" s="122"/>
      <c r="AJ1289" s="122"/>
      <c r="AK1289" s="122"/>
      <c r="AL1289" s="115"/>
      <c r="AM1289" s="115"/>
      <c r="AN1289" s="115"/>
      <c r="AO1289" s="115"/>
      <c r="AP1289" s="115"/>
      <c r="AQ1289" s="115"/>
      <c r="AR1289" s="115"/>
      <c r="AS1289" s="115"/>
      <c r="AT1289" s="115"/>
      <c r="AU1289" s="115"/>
      <c r="AV1289" s="115"/>
      <c r="AW1289" s="115"/>
      <c r="AX1289" s="115"/>
      <c r="AY1289" s="115"/>
      <c r="AZ1289" s="17"/>
      <c r="BA1289" s="15"/>
    </row>
    <row r="1290" spans="3:53" x14ac:dyDescent="0.4">
      <c r="AZ1290" s="26"/>
      <c r="BA1290" s="15"/>
    </row>
    <row r="1291" spans="3:53" x14ac:dyDescent="0.4">
      <c r="AZ1291" s="26"/>
      <c r="BA1291" s="15"/>
    </row>
    <row r="1292" spans="3:53" x14ac:dyDescent="0.4">
      <c r="AD1292" s="115"/>
      <c r="AE1292" s="115"/>
      <c r="AF1292" s="115"/>
      <c r="AG1292" s="115"/>
      <c r="AH1292" s="115"/>
      <c r="AI1292" s="122"/>
      <c r="AJ1292" s="122"/>
      <c r="AK1292" s="122"/>
      <c r="AL1292" s="115"/>
      <c r="AM1292" s="115"/>
      <c r="AN1292" s="115"/>
      <c r="AO1292" s="115"/>
      <c r="AP1292" s="115"/>
      <c r="AQ1292" s="115"/>
      <c r="AR1292" s="115"/>
      <c r="AS1292" s="115"/>
      <c r="AT1292" s="115"/>
      <c r="AU1292" s="115"/>
      <c r="AV1292" s="115"/>
      <c r="AW1292" s="115"/>
      <c r="AX1292" s="115"/>
      <c r="AY1292" s="115"/>
      <c r="AZ1292" s="26"/>
      <c r="BA1292" s="15"/>
    </row>
    <row r="1293" spans="3:53" x14ac:dyDescent="0.4">
      <c r="AB1293" s="115"/>
      <c r="AC1293" s="115"/>
      <c r="AD1293" s="115"/>
      <c r="AE1293" s="115"/>
      <c r="AF1293" s="115"/>
      <c r="AG1293" s="115"/>
      <c r="AH1293" s="115"/>
      <c r="AI1293" s="122"/>
      <c r="AJ1293" s="122"/>
      <c r="AK1293" s="122"/>
      <c r="AL1293" s="115"/>
      <c r="AM1293" s="115"/>
      <c r="AN1293" s="115"/>
      <c r="AO1293" s="115"/>
      <c r="AP1293" s="115"/>
      <c r="AQ1293" s="115"/>
      <c r="AR1293" s="115"/>
      <c r="AS1293" s="115"/>
      <c r="AT1293" s="115"/>
      <c r="AU1293" s="115"/>
      <c r="AV1293" s="115"/>
      <c r="AW1293" s="115"/>
      <c r="AX1293" s="115"/>
      <c r="AY1293" s="115"/>
      <c r="AZ1293" s="26"/>
      <c r="BA1293" s="15"/>
    </row>
    <row r="1294" spans="3:53" x14ac:dyDescent="0.4">
      <c r="AB1294" s="115"/>
      <c r="AC1294" s="115"/>
      <c r="AD1294" s="115"/>
      <c r="AE1294" s="115"/>
      <c r="AF1294" s="115"/>
      <c r="AG1294" s="115"/>
      <c r="AH1294" s="115"/>
      <c r="AI1294" s="122"/>
      <c r="AJ1294" s="122"/>
      <c r="AK1294" s="122"/>
      <c r="AL1294" s="115"/>
      <c r="AM1294" s="115"/>
      <c r="AN1294" s="115"/>
      <c r="AO1294" s="115"/>
      <c r="AP1294" s="115"/>
      <c r="AQ1294" s="115"/>
      <c r="AR1294" s="115"/>
      <c r="AS1294" s="115"/>
      <c r="AT1294" s="115"/>
      <c r="AU1294" s="115"/>
      <c r="AV1294" s="115"/>
      <c r="AW1294" s="115"/>
      <c r="AX1294" s="115"/>
      <c r="AY1294" s="115"/>
      <c r="AZ1294" s="26"/>
      <c r="BA1294" s="15"/>
    </row>
    <row r="1295" spans="3:53" x14ac:dyDescent="0.4">
      <c r="E1295" s="115"/>
      <c r="F1295" s="115"/>
      <c r="G1295" s="115"/>
      <c r="H1295" s="115"/>
      <c r="I1295" s="115"/>
      <c r="J1295" s="115"/>
      <c r="K1295" s="115"/>
      <c r="L1295" s="115"/>
      <c r="M1295" s="115"/>
      <c r="N1295" s="115"/>
      <c r="O1295" s="115"/>
      <c r="P1295" s="115"/>
      <c r="Q1295" s="115"/>
      <c r="R1295" s="115"/>
      <c r="S1295" s="115"/>
      <c r="T1295" s="115"/>
      <c r="U1295" s="115"/>
      <c r="V1295" s="115"/>
      <c r="W1295" s="115"/>
      <c r="X1295" s="115"/>
      <c r="Y1295" s="115"/>
      <c r="Z1295" s="115"/>
      <c r="AA1295" s="115"/>
      <c r="AB1295" s="115"/>
      <c r="AC1295" s="115"/>
      <c r="AD1295" s="115"/>
      <c r="AE1295" s="115"/>
      <c r="AF1295" s="115"/>
      <c r="AG1295" s="115"/>
      <c r="AH1295" s="115"/>
      <c r="AI1295" s="122"/>
      <c r="AJ1295" s="122"/>
      <c r="AK1295" s="122"/>
      <c r="AL1295" s="115"/>
      <c r="AM1295" s="115"/>
      <c r="AN1295" s="115"/>
      <c r="AO1295" s="115"/>
      <c r="AP1295" s="115"/>
      <c r="AQ1295" s="115"/>
      <c r="AR1295" s="115"/>
      <c r="AS1295" s="115"/>
      <c r="AT1295" s="115"/>
      <c r="AU1295" s="115"/>
      <c r="AV1295" s="115"/>
      <c r="AW1295" s="115"/>
      <c r="AX1295" s="115"/>
      <c r="AY1295" s="115"/>
      <c r="AZ1295" s="26"/>
      <c r="BA1295" s="15"/>
    </row>
    <row r="1296" spans="3:53" x14ac:dyDescent="0.4">
      <c r="E1296" s="115"/>
      <c r="F1296" s="115"/>
      <c r="G1296" s="115"/>
      <c r="H1296" s="115"/>
      <c r="I1296" s="115"/>
      <c r="J1296" s="115"/>
      <c r="K1296" s="115"/>
      <c r="L1296" s="115"/>
      <c r="M1296" s="115"/>
      <c r="N1296" s="115"/>
      <c r="O1296" s="115"/>
      <c r="P1296" s="115"/>
      <c r="Q1296" s="115"/>
      <c r="R1296" s="115"/>
      <c r="S1296" s="115"/>
      <c r="T1296" s="115"/>
      <c r="U1296" s="115"/>
      <c r="V1296" s="115"/>
      <c r="W1296" s="115"/>
      <c r="X1296" s="115"/>
      <c r="Y1296" s="115"/>
      <c r="Z1296" s="115"/>
      <c r="AA1296" s="115"/>
      <c r="AB1296" s="115"/>
      <c r="AC1296" s="115"/>
      <c r="AD1296" s="115"/>
      <c r="AE1296" s="115"/>
      <c r="AF1296" s="115"/>
      <c r="AG1296" s="115"/>
      <c r="AH1296" s="115"/>
      <c r="AI1296" s="122"/>
      <c r="AJ1296" s="122"/>
      <c r="AK1296" s="122"/>
      <c r="AL1296" s="115"/>
      <c r="AM1296" s="115"/>
      <c r="AN1296" s="115"/>
      <c r="AO1296" s="115"/>
      <c r="AP1296" s="115"/>
      <c r="AQ1296" s="115"/>
      <c r="AR1296" s="115"/>
      <c r="AS1296" s="115"/>
      <c r="AT1296" s="115"/>
      <c r="AU1296" s="115"/>
      <c r="AV1296" s="115"/>
      <c r="AW1296" s="115"/>
      <c r="AX1296" s="115"/>
      <c r="AY1296" s="115"/>
      <c r="AZ1296" s="26"/>
      <c r="BA1296" s="15"/>
    </row>
    <row r="1297" spans="3:53" x14ac:dyDescent="0.4">
      <c r="AZ1297" s="26"/>
      <c r="BA1297" s="15"/>
    </row>
    <row r="1298" spans="3:53" x14ac:dyDescent="0.4">
      <c r="AD1298" s="115"/>
      <c r="AE1298" s="115"/>
      <c r="AF1298" s="115"/>
      <c r="AG1298" s="115"/>
      <c r="AH1298" s="115"/>
      <c r="AI1298" s="122"/>
      <c r="AJ1298" s="122"/>
      <c r="AK1298" s="122"/>
      <c r="AL1298" s="115"/>
      <c r="AM1298" s="115"/>
      <c r="AN1298" s="115"/>
      <c r="AO1298" s="115"/>
      <c r="AP1298" s="115"/>
      <c r="AQ1298" s="115"/>
      <c r="AR1298" s="115"/>
      <c r="AS1298" s="115"/>
      <c r="AT1298" s="115"/>
      <c r="AU1298" s="115"/>
      <c r="AV1298" s="115"/>
      <c r="AW1298" s="115"/>
      <c r="AX1298" s="115"/>
      <c r="AY1298" s="115"/>
      <c r="AZ1298" s="26"/>
      <c r="BA1298" s="15"/>
    </row>
    <row r="1299" spans="3:53" x14ac:dyDescent="0.4">
      <c r="AZ1299" s="26"/>
      <c r="BA1299" s="15"/>
    </row>
    <row r="1300" spans="3:53" x14ac:dyDescent="0.4">
      <c r="AE1300" s="115"/>
      <c r="AF1300" s="115"/>
      <c r="AG1300" s="115"/>
      <c r="AH1300" s="115"/>
      <c r="AI1300" s="122"/>
      <c r="AJ1300" s="122"/>
      <c r="AK1300" s="122"/>
      <c r="AL1300" s="115"/>
      <c r="AM1300" s="115"/>
      <c r="AN1300" s="115"/>
      <c r="AO1300" s="115"/>
      <c r="AP1300" s="115"/>
      <c r="AQ1300" s="115"/>
      <c r="AR1300" s="115"/>
      <c r="AS1300" s="115"/>
      <c r="AT1300" s="115"/>
      <c r="AU1300" s="115"/>
      <c r="AV1300" s="115"/>
      <c r="AW1300" s="115"/>
      <c r="AX1300" s="115"/>
      <c r="AY1300" s="115"/>
      <c r="AZ1300" s="17"/>
      <c r="BA1300" s="15"/>
    </row>
    <row r="1301" spans="3:53" x14ac:dyDescent="0.4">
      <c r="AD1301" s="115"/>
      <c r="AE1301" s="115"/>
      <c r="AF1301" s="115"/>
      <c r="AG1301" s="115"/>
      <c r="AH1301" s="115"/>
      <c r="AI1301" s="122"/>
      <c r="AJ1301" s="122"/>
      <c r="AK1301" s="122"/>
      <c r="AL1301" s="115"/>
      <c r="AM1301" s="115"/>
      <c r="AN1301" s="115"/>
      <c r="AO1301" s="115"/>
      <c r="AP1301" s="115"/>
      <c r="AQ1301" s="115"/>
      <c r="AR1301" s="115"/>
      <c r="AS1301" s="115"/>
      <c r="AT1301" s="115"/>
      <c r="AU1301" s="115"/>
      <c r="AV1301" s="115"/>
      <c r="AW1301" s="115"/>
      <c r="AX1301" s="115"/>
      <c r="AY1301" s="115"/>
      <c r="AZ1301" s="26"/>
      <c r="BA1301" s="15"/>
    </row>
    <row r="1302" spans="3:53" x14ac:dyDescent="0.4">
      <c r="C1302" s="115"/>
      <c r="D1302" s="115"/>
      <c r="E1302" s="115"/>
      <c r="F1302" s="115"/>
      <c r="G1302" s="115"/>
      <c r="H1302" s="115"/>
      <c r="I1302" s="115"/>
      <c r="J1302" s="115"/>
      <c r="K1302" s="115"/>
      <c r="L1302" s="115"/>
      <c r="M1302" s="115"/>
      <c r="N1302" s="115"/>
      <c r="O1302" s="115"/>
      <c r="P1302" s="115"/>
      <c r="Q1302" s="115"/>
      <c r="R1302" s="115"/>
      <c r="S1302" s="115"/>
      <c r="T1302" s="115"/>
      <c r="U1302" s="115"/>
      <c r="V1302" s="115"/>
      <c r="W1302" s="115"/>
      <c r="X1302" s="115"/>
      <c r="Y1302" s="115"/>
      <c r="Z1302" s="115"/>
      <c r="AA1302" s="115"/>
      <c r="AB1302" s="115"/>
      <c r="AC1302" s="115"/>
      <c r="AD1302" s="115"/>
      <c r="AE1302" s="115"/>
      <c r="AF1302" s="115"/>
      <c r="AG1302" s="115"/>
      <c r="AH1302" s="115"/>
      <c r="AI1302" s="122"/>
      <c r="AJ1302" s="122"/>
      <c r="AK1302" s="122"/>
      <c r="AL1302" s="115"/>
      <c r="AM1302" s="115"/>
      <c r="AN1302" s="115"/>
      <c r="AO1302" s="115"/>
      <c r="AP1302" s="115"/>
      <c r="AQ1302" s="115"/>
      <c r="AR1302" s="115"/>
      <c r="AS1302" s="115"/>
      <c r="AT1302" s="115"/>
      <c r="AU1302" s="115"/>
      <c r="AV1302" s="115"/>
      <c r="AW1302" s="115"/>
      <c r="AX1302" s="115"/>
      <c r="AY1302" s="115"/>
      <c r="AZ1302" s="26"/>
      <c r="BA1302" s="15"/>
    </row>
    <row r="1303" spans="3:53" x14ac:dyDescent="0.4">
      <c r="C1303" s="115"/>
      <c r="D1303" s="115"/>
      <c r="E1303" s="115"/>
      <c r="F1303" s="115"/>
      <c r="G1303" s="115"/>
      <c r="H1303" s="115"/>
      <c r="I1303" s="115"/>
      <c r="J1303" s="115"/>
      <c r="K1303" s="115"/>
      <c r="L1303" s="115"/>
      <c r="M1303" s="115"/>
      <c r="N1303" s="115"/>
      <c r="O1303" s="115"/>
      <c r="P1303" s="115"/>
      <c r="Q1303" s="115"/>
      <c r="R1303" s="115"/>
      <c r="S1303" s="115"/>
      <c r="T1303" s="115"/>
      <c r="U1303" s="115"/>
      <c r="V1303" s="115"/>
      <c r="W1303" s="115"/>
      <c r="X1303" s="115"/>
      <c r="Y1303" s="115"/>
      <c r="Z1303" s="115"/>
      <c r="AA1303" s="115"/>
      <c r="AB1303" s="115"/>
      <c r="AC1303" s="115"/>
      <c r="AD1303" s="115"/>
      <c r="AE1303" s="115"/>
      <c r="AF1303" s="115"/>
      <c r="AG1303" s="115"/>
      <c r="AH1303" s="115"/>
      <c r="AI1303" s="122"/>
      <c r="AJ1303" s="122"/>
      <c r="AK1303" s="122"/>
      <c r="AL1303" s="115"/>
      <c r="AM1303" s="115"/>
      <c r="AN1303" s="115"/>
      <c r="AO1303" s="115"/>
      <c r="AP1303" s="115"/>
      <c r="AQ1303" s="115"/>
      <c r="AR1303" s="115"/>
      <c r="AS1303" s="115"/>
      <c r="AT1303" s="115"/>
      <c r="AU1303" s="115"/>
      <c r="AV1303" s="115"/>
      <c r="AW1303" s="115"/>
      <c r="AX1303" s="115"/>
      <c r="AY1303" s="115"/>
      <c r="AZ1303" s="17"/>
      <c r="BA1303" s="15"/>
    </row>
    <row r="1304" spans="3:53" x14ac:dyDescent="0.4">
      <c r="AZ1304" s="26"/>
      <c r="BA1304" s="15"/>
    </row>
    <row r="1305" spans="3:53" x14ac:dyDescent="0.4">
      <c r="AE1305" s="115"/>
      <c r="AF1305" s="115"/>
      <c r="AG1305" s="115"/>
      <c r="AH1305" s="115"/>
      <c r="AI1305" s="122"/>
      <c r="AJ1305" s="122"/>
      <c r="AK1305" s="122"/>
      <c r="AL1305" s="115"/>
      <c r="AM1305" s="115"/>
      <c r="AN1305" s="115"/>
      <c r="AO1305" s="115"/>
      <c r="AP1305" s="115"/>
      <c r="AQ1305" s="115"/>
      <c r="AR1305" s="115"/>
      <c r="AS1305" s="115"/>
      <c r="AT1305" s="115"/>
      <c r="AU1305" s="115"/>
      <c r="AV1305" s="115"/>
      <c r="AW1305" s="115"/>
      <c r="AX1305" s="115"/>
      <c r="AY1305" s="115"/>
      <c r="AZ1305" s="17"/>
      <c r="BA1305" s="15"/>
    </row>
    <row r="1306" spans="3:53" x14ac:dyDescent="0.4">
      <c r="AD1306" s="115"/>
      <c r="AE1306" s="115"/>
      <c r="AF1306" s="115"/>
      <c r="AG1306" s="115"/>
      <c r="AH1306" s="115"/>
      <c r="AI1306" s="122"/>
      <c r="AJ1306" s="122"/>
      <c r="AK1306" s="122"/>
      <c r="AL1306" s="115"/>
      <c r="AM1306" s="115"/>
      <c r="AN1306" s="115"/>
      <c r="AO1306" s="115"/>
      <c r="AP1306" s="115"/>
      <c r="AQ1306" s="115"/>
      <c r="AR1306" s="115"/>
      <c r="AS1306" s="115"/>
      <c r="AT1306" s="115"/>
      <c r="AU1306" s="115"/>
      <c r="AV1306" s="115"/>
      <c r="AW1306" s="115"/>
      <c r="AX1306" s="115"/>
      <c r="AY1306" s="115"/>
      <c r="AZ1306" s="26"/>
      <c r="BA1306" s="15"/>
    </row>
    <row r="1307" spans="3:53" x14ac:dyDescent="0.4">
      <c r="AD1307" s="115"/>
      <c r="AE1307" s="115"/>
      <c r="AF1307" s="115"/>
      <c r="AG1307" s="115"/>
      <c r="AH1307" s="115"/>
      <c r="AI1307" s="122"/>
      <c r="AJ1307" s="122"/>
      <c r="AK1307" s="122"/>
      <c r="AL1307" s="115"/>
      <c r="AM1307" s="115"/>
      <c r="AN1307" s="115"/>
      <c r="AO1307" s="115"/>
      <c r="AP1307" s="115"/>
      <c r="AQ1307" s="115"/>
      <c r="AR1307" s="115"/>
      <c r="AS1307" s="115"/>
      <c r="AT1307" s="115"/>
      <c r="AU1307" s="115"/>
      <c r="AV1307" s="115"/>
      <c r="AW1307" s="115"/>
      <c r="AX1307" s="115"/>
      <c r="AY1307" s="115"/>
      <c r="AZ1307" s="17"/>
      <c r="BA1307" s="15"/>
    </row>
    <row r="1308" spans="3:53" x14ac:dyDescent="0.4">
      <c r="AD1308" s="115"/>
      <c r="AE1308" s="115"/>
      <c r="AF1308" s="115"/>
      <c r="AG1308" s="115"/>
      <c r="AH1308" s="115"/>
      <c r="AI1308" s="122"/>
      <c r="AJ1308" s="122"/>
      <c r="AK1308" s="122"/>
      <c r="AL1308" s="115"/>
      <c r="AM1308" s="115"/>
      <c r="AN1308" s="115"/>
      <c r="AO1308" s="115"/>
      <c r="AP1308" s="115"/>
      <c r="AQ1308" s="115"/>
      <c r="AR1308" s="115"/>
      <c r="AS1308" s="115"/>
      <c r="AT1308" s="115"/>
      <c r="AU1308" s="115"/>
      <c r="AV1308" s="115"/>
      <c r="AW1308" s="115"/>
      <c r="AX1308" s="115"/>
      <c r="AY1308" s="115"/>
      <c r="AZ1308" s="17"/>
      <c r="BA1308" s="15"/>
    </row>
    <row r="1309" spans="3:53" x14ac:dyDescent="0.4">
      <c r="E1309" s="115"/>
      <c r="F1309" s="115"/>
      <c r="G1309" s="115"/>
      <c r="H1309" s="115"/>
      <c r="I1309" s="115"/>
      <c r="J1309" s="115"/>
      <c r="K1309" s="115"/>
      <c r="L1309" s="115"/>
      <c r="M1309" s="115"/>
      <c r="N1309" s="115"/>
      <c r="O1309" s="115"/>
      <c r="P1309" s="115"/>
      <c r="Q1309" s="115"/>
      <c r="R1309" s="115"/>
      <c r="S1309" s="115"/>
      <c r="T1309" s="115"/>
      <c r="U1309" s="115"/>
      <c r="V1309" s="115"/>
      <c r="W1309" s="115"/>
      <c r="X1309" s="115"/>
      <c r="Y1309" s="115"/>
      <c r="Z1309" s="115"/>
      <c r="AA1309" s="115"/>
      <c r="AB1309" s="115"/>
      <c r="AC1309" s="115"/>
      <c r="AD1309" s="115"/>
      <c r="AE1309" s="115"/>
      <c r="AF1309" s="115"/>
      <c r="AG1309" s="115"/>
      <c r="AH1309" s="115"/>
      <c r="AI1309" s="122"/>
      <c r="AJ1309" s="122"/>
      <c r="AK1309" s="122"/>
      <c r="AL1309" s="115"/>
      <c r="AM1309" s="115"/>
      <c r="AN1309" s="115"/>
      <c r="AO1309" s="115"/>
      <c r="AP1309" s="115"/>
      <c r="AQ1309" s="115"/>
      <c r="AR1309" s="115"/>
      <c r="AS1309" s="115"/>
      <c r="AT1309" s="115"/>
      <c r="AU1309" s="115"/>
      <c r="AV1309" s="115"/>
      <c r="AW1309" s="115"/>
      <c r="AX1309" s="115"/>
      <c r="AY1309" s="115"/>
      <c r="AZ1309" s="26"/>
      <c r="BA1309" s="15"/>
    </row>
    <row r="1310" spans="3:53" x14ac:dyDescent="0.4">
      <c r="E1310" s="115"/>
      <c r="F1310" s="115"/>
      <c r="G1310" s="115"/>
      <c r="H1310" s="115"/>
      <c r="I1310" s="115"/>
      <c r="J1310" s="115"/>
      <c r="K1310" s="115"/>
      <c r="L1310" s="115"/>
      <c r="M1310" s="115"/>
      <c r="N1310" s="115"/>
      <c r="O1310" s="115"/>
      <c r="P1310" s="115"/>
      <c r="Q1310" s="115"/>
      <c r="R1310" s="115"/>
      <c r="S1310" s="115"/>
      <c r="T1310" s="115"/>
      <c r="U1310" s="115"/>
      <c r="V1310" s="115"/>
      <c r="W1310" s="115"/>
      <c r="X1310" s="115"/>
      <c r="Y1310" s="115"/>
      <c r="Z1310" s="115"/>
      <c r="AA1310" s="115"/>
      <c r="AB1310" s="115"/>
      <c r="AC1310" s="115"/>
      <c r="AD1310" s="115"/>
      <c r="AE1310" s="115"/>
      <c r="AF1310" s="115"/>
      <c r="AG1310" s="115"/>
      <c r="AH1310" s="115"/>
      <c r="AI1310" s="122"/>
      <c r="AJ1310" s="122"/>
      <c r="AK1310" s="122"/>
      <c r="AL1310" s="115"/>
      <c r="AM1310" s="115"/>
      <c r="AN1310" s="115"/>
      <c r="AO1310" s="115"/>
      <c r="AP1310" s="115"/>
      <c r="AQ1310" s="115"/>
      <c r="AR1310" s="115"/>
      <c r="AS1310" s="115"/>
      <c r="AT1310" s="115"/>
      <c r="AU1310" s="115"/>
      <c r="AV1310" s="115"/>
      <c r="AW1310" s="115"/>
      <c r="AX1310" s="115"/>
      <c r="AY1310" s="115"/>
      <c r="AZ1310" s="26"/>
      <c r="BA1310" s="15"/>
    </row>
    <row r="1311" spans="3:53" x14ac:dyDescent="0.4">
      <c r="E1311" s="115"/>
      <c r="F1311" s="115"/>
      <c r="G1311" s="115"/>
      <c r="H1311" s="115"/>
      <c r="I1311" s="115"/>
      <c r="J1311" s="115"/>
      <c r="K1311" s="115"/>
      <c r="L1311" s="115"/>
      <c r="M1311" s="115"/>
      <c r="N1311" s="115"/>
      <c r="O1311" s="115"/>
      <c r="P1311" s="115"/>
      <c r="Q1311" s="115"/>
      <c r="R1311" s="115"/>
      <c r="S1311" s="115"/>
      <c r="T1311" s="115"/>
      <c r="U1311" s="115"/>
      <c r="V1311" s="115"/>
      <c r="W1311" s="115"/>
      <c r="X1311" s="115"/>
      <c r="Y1311" s="115"/>
      <c r="Z1311" s="115"/>
      <c r="AA1311" s="115"/>
      <c r="AB1311" s="115"/>
      <c r="AC1311" s="115"/>
      <c r="AD1311" s="115"/>
      <c r="AE1311" s="115"/>
      <c r="AF1311" s="115"/>
      <c r="AG1311" s="115"/>
      <c r="AH1311" s="115"/>
      <c r="AI1311" s="122"/>
      <c r="AJ1311" s="122"/>
      <c r="AK1311" s="122"/>
      <c r="AL1311" s="115"/>
      <c r="AM1311" s="115"/>
      <c r="AN1311" s="115"/>
      <c r="AO1311" s="115"/>
      <c r="AP1311" s="115"/>
      <c r="AQ1311" s="115"/>
      <c r="AR1311" s="115"/>
      <c r="AS1311" s="115"/>
      <c r="AT1311" s="115"/>
      <c r="AU1311" s="115"/>
      <c r="AV1311" s="115"/>
      <c r="AW1311" s="115"/>
      <c r="AX1311" s="115"/>
      <c r="AY1311" s="115"/>
      <c r="AZ1311" s="26"/>
      <c r="BA1311" s="15"/>
    </row>
    <row r="1312" spans="3:53" x14ac:dyDescent="0.4">
      <c r="D1312" s="115"/>
      <c r="E1312" s="115"/>
      <c r="F1312" s="115"/>
      <c r="G1312" s="115"/>
      <c r="H1312" s="115"/>
      <c r="I1312" s="115"/>
      <c r="J1312" s="115"/>
      <c r="K1312" s="115"/>
      <c r="L1312" s="115"/>
      <c r="M1312" s="115"/>
      <c r="N1312" s="115"/>
      <c r="O1312" s="115"/>
      <c r="P1312" s="115"/>
      <c r="Q1312" s="115"/>
      <c r="R1312" s="115"/>
      <c r="S1312" s="115"/>
      <c r="T1312" s="115"/>
      <c r="U1312" s="115"/>
      <c r="V1312" s="115"/>
      <c r="W1312" s="115"/>
      <c r="X1312" s="115"/>
      <c r="Y1312" s="115"/>
      <c r="Z1312" s="115"/>
      <c r="AA1312" s="115"/>
      <c r="AB1312" s="115"/>
      <c r="AC1312" s="115"/>
      <c r="AD1312" s="115"/>
      <c r="AE1312" s="115"/>
      <c r="AF1312" s="115"/>
      <c r="AG1312" s="115"/>
      <c r="AH1312" s="115"/>
      <c r="AI1312" s="122"/>
      <c r="AJ1312" s="122"/>
      <c r="AK1312" s="122"/>
      <c r="AL1312" s="115"/>
      <c r="AM1312" s="115"/>
      <c r="AN1312" s="115"/>
      <c r="AO1312" s="115"/>
      <c r="AP1312" s="115"/>
      <c r="AQ1312" s="115"/>
      <c r="AR1312" s="115"/>
      <c r="AS1312" s="115"/>
      <c r="AT1312" s="115"/>
      <c r="AU1312" s="115"/>
      <c r="AV1312" s="115"/>
      <c r="AW1312" s="115"/>
      <c r="AX1312" s="115"/>
      <c r="AY1312" s="115"/>
      <c r="AZ1312" s="26"/>
      <c r="BA1312" s="15"/>
    </row>
    <row r="1313" spans="3:53" x14ac:dyDescent="0.4">
      <c r="D1313" s="115"/>
      <c r="E1313" s="115"/>
      <c r="F1313" s="115"/>
      <c r="G1313" s="115"/>
      <c r="H1313" s="115"/>
      <c r="I1313" s="115"/>
      <c r="J1313" s="115"/>
      <c r="K1313" s="115"/>
      <c r="L1313" s="115"/>
      <c r="M1313" s="115"/>
      <c r="N1313" s="115"/>
      <c r="O1313" s="115"/>
      <c r="P1313" s="115"/>
      <c r="Q1313" s="115"/>
      <c r="R1313" s="115"/>
      <c r="S1313" s="115"/>
      <c r="T1313" s="115"/>
      <c r="U1313" s="115"/>
      <c r="V1313" s="115"/>
      <c r="W1313" s="115"/>
      <c r="X1313" s="115"/>
      <c r="Y1313" s="115"/>
      <c r="Z1313" s="115"/>
      <c r="AA1313" s="115"/>
      <c r="AB1313" s="115"/>
      <c r="AC1313" s="115"/>
      <c r="AD1313" s="115"/>
      <c r="AE1313" s="115"/>
      <c r="AF1313" s="115"/>
      <c r="AG1313" s="115"/>
      <c r="AH1313" s="115"/>
      <c r="AI1313" s="122"/>
      <c r="AJ1313" s="122"/>
      <c r="AK1313" s="122"/>
      <c r="AL1313" s="115"/>
      <c r="AM1313" s="115"/>
      <c r="AN1313" s="115"/>
      <c r="AO1313" s="115"/>
      <c r="AP1313" s="115"/>
      <c r="AQ1313" s="115"/>
      <c r="AR1313" s="115"/>
      <c r="AS1313" s="115"/>
      <c r="AT1313" s="115"/>
      <c r="AU1313" s="115"/>
      <c r="AV1313" s="115"/>
      <c r="AW1313" s="115"/>
      <c r="AX1313" s="115"/>
      <c r="AY1313" s="115"/>
      <c r="AZ1313" s="26"/>
      <c r="BA1313" s="15"/>
    </row>
    <row r="1314" spans="3:53" x14ac:dyDescent="0.4">
      <c r="D1314" s="115"/>
      <c r="E1314" s="115"/>
      <c r="F1314" s="115"/>
      <c r="G1314" s="115"/>
      <c r="H1314" s="115"/>
      <c r="I1314" s="115"/>
      <c r="J1314" s="115"/>
      <c r="K1314" s="115"/>
      <c r="L1314" s="115"/>
      <c r="M1314" s="115"/>
      <c r="N1314" s="115"/>
      <c r="O1314" s="115"/>
      <c r="P1314" s="115"/>
      <c r="Q1314" s="115"/>
      <c r="R1314" s="115"/>
      <c r="S1314" s="115"/>
      <c r="T1314" s="115"/>
      <c r="U1314" s="115"/>
      <c r="V1314" s="115"/>
      <c r="W1314" s="115"/>
      <c r="X1314" s="115"/>
      <c r="Y1314" s="115"/>
      <c r="Z1314" s="115"/>
      <c r="AA1314" s="115"/>
      <c r="AB1314" s="115"/>
      <c r="AC1314" s="115"/>
      <c r="AD1314" s="115"/>
      <c r="AE1314" s="115"/>
      <c r="AF1314" s="115"/>
      <c r="AG1314" s="115"/>
      <c r="AH1314" s="115"/>
      <c r="AI1314" s="122"/>
      <c r="AJ1314" s="122"/>
      <c r="AK1314" s="122"/>
      <c r="AL1314" s="115"/>
      <c r="AM1314" s="115"/>
      <c r="AN1314" s="115"/>
      <c r="AO1314" s="115"/>
      <c r="AP1314" s="115"/>
      <c r="AQ1314" s="115"/>
      <c r="AR1314" s="115"/>
      <c r="AS1314" s="115"/>
      <c r="AT1314" s="115"/>
      <c r="AU1314" s="115"/>
      <c r="AV1314" s="115"/>
      <c r="AW1314" s="115"/>
      <c r="AX1314" s="115"/>
      <c r="AY1314" s="115"/>
      <c r="AZ1314" s="17"/>
      <c r="BA1314" s="15"/>
    </row>
    <row r="1315" spans="3:53" x14ac:dyDescent="0.4">
      <c r="AZ1315" s="26"/>
      <c r="BA1315" s="15"/>
    </row>
    <row r="1316" spans="3:53" x14ac:dyDescent="0.4">
      <c r="AD1316" s="115"/>
      <c r="AE1316" s="115"/>
      <c r="AF1316" s="115"/>
      <c r="AG1316" s="115"/>
      <c r="AH1316" s="115"/>
      <c r="AI1316" s="122"/>
      <c r="AJ1316" s="122"/>
      <c r="AK1316" s="122"/>
      <c r="AL1316" s="115"/>
      <c r="AM1316" s="115"/>
      <c r="AN1316" s="115"/>
      <c r="AO1316" s="115"/>
      <c r="AP1316" s="115"/>
      <c r="AQ1316" s="115"/>
      <c r="AR1316" s="115"/>
      <c r="AS1316" s="115"/>
      <c r="AT1316" s="115"/>
      <c r="AU1316" s="115"/>
      <c r="AV1316" s="115"/>
      <c r="AW1316" s="115"/>
      <c r="AX1316" s="115"/>
      <c r="AY1316" s="115"/>
      <c r="AZ1316" s="17"/>
      <c r="BA1316" s="13"/>
    </row>
    <row r="1317" spans="3:53" x14ac:dyDescent="0.4">
      <c r="AD1317" s="115"/>
      <c r="AE1317" s="115"/>
      <c r="AF1317" s="115"/>
      <c r="AG1317" s="115"/>
      <c r="AH1317" s="115"/>
      <c r="AI1317" s="122"/>
      <c r="AJ1317" s="122"/>
      <c r="AK1317" s="122"/>
      <c r="AL1317" s="115"/>
      <c r="AM1317" s="115"/>
      <c r="AN1317" s="115"/>
      <c r="AO1317" s="115"/>
      <c r="AP1317" s="115"/>
      <c r="AQ1317" s="115"/>
      <c r="AR1317" s="115"/>
      <c r="AS1317" s="115"/>
      <c r="AT1317" s="115"/>
      <c r="AU1317" s="115"/>
      <c r="AV1317" s="115"/>
      <c r="AW1317" s="115"/>
      <c r="AX1317" s="115"/>
      <c r="AY1317" s="115"/>
      <c r="AZ1317" s="17"/>
      <c r="BA1317" s="13"/>
    </row>
    <row r="1318" spans="3:53" x14ac:dyDescent="0.4">
      <c r="AB1318" s="115"/>
      <c r="AC1318" s="115"/>
      <c r="AD1318" s="115"/>
      <c r="AE1318" s="115"/>
      <c r="AF1318" s="115"/>
      <c r="AG1318" s="115"/>
      <c r="AH1318" s="115"/>
      <c r="AI1318" s="122"/>
      <c r="AJ1318" s="122"/>
      <c r="AK1318" s="122"/>
      <c r="AL1318" s="115"/>
      <c r="AM1318" s="115"/>
      <c r="AN1318" s="115"/>
      <c r="AO1318" s="115"/>
      <c r="AP1318" s="115"/>
      <c r="AQ1318" s="115"/>
      <c r="AR1318" s="115"/>
      <c r="AS1318" s="115"/>
      <c r="AT1318" s="115"/>
      <c r="AU1318" s="115"/>
      <c r="AV1318" s="115"/>
      <c r="AW1318" s="115"/>
      <c r="AX1318" s="115"/>
      <c r="AY1318" s="115"/>
      <c r="AZ1318" s="26"/>
      <c r="BA1318" s="13"/>
    </row>
    <row r="1319" spans="3:53" x14ac:dyDescent="0.4">
      <c r="AB1319" s="115"/>
      <c r="AC1319" s="115"/>
      <c r="AD1319" s="115"/>
      <c r="AE1319" s="115"/>
      <c r="AF1319" s="115"/>
      <c r="AG1319" s="115"/>
      <c r="AH1319" s="115"/>
      <c r="AI1319" s="122"/>
      <c r="AJ1319" s="122"/>
      <c r="AK1319" s="122"/>
      <c r="AL1319" s="115"/>
      <c r="AM1319" s="115"/>
      <c r="AN1319" s="115"/>
      <c r="AO1319" s="115"/>
      <c r="AP1319" s="115"/>
      <c r="AQ1319" s="115"/>
      <c r="AR1319" s="115"/>
      <c r="AS1319" s="115"/>
      <c r="AT1319" s="115"/>
      <c r="AU1319" s="115"/>
      <c r="AV1319" s="115"/>
      <c r="AW1319" s="115"/>
      <c r="AX1319" s="115"/>
      <c r="AY1319" s="115"/>
      <c r="AZ1319" s="17"/>
      <c r="BA1319" s="13"/>
    </row>
    <row r="1320" spans="3:53" x14ac:dyDescent="0.4">
      <c r="AZ1320" s="26"/>
      <c r="BA1320" s="13"/>
    </row>
    <row r="1321" spans="3:53" x14ac:dyDescent="0.4">
      <c r="AC1321" s="115"/>
      <c r="AD1321" s="115"/>
      <c r="AE1321" s="115"/>
      <c r="AF1321" s="115"/>
      <c r="AG1321" s="115"/>
      <c r="AH1321" s="115"/>
      <c r="AI1321" s="122"/>
      <c r="AJ1321" s="122"/>
      <c r="AK1321" s="122"/>
      <c r="AL1321" s="115"/>
      <c r="AM1321" s="115"/>
      <c r="AN1321" s="115"/>
      <c r="AO1321" s="115"/>
      <c r="AP1321" s="115"/>
      <c r="AQ1321" s="115"/>
      <c r="AR1321" s="115"/>
      <c r="AS1321" s="115"/>
      <c r="AT1321" s="115"/>
      <c r="AU1321" s="115"/>
      <c r="AV1321" s="115"/>
      <c r="AW1321" s="115"/>
      <c r="AX1321" s="115"/>
      <c r="AY1321" s="115"/>
      <c r="AZ1321" s="17"/>
      <c r="BA1321" s="13"/>
    </row>
    <row r="1322" spans="3:53" x14ac:dyDescent="0.4">
      <c r="AZ1322" s="26"/>
      <c r="BA1322" s="13"/>
    </row>
    <row r="1323" spans="3:53" x14ac:dyDescent="0.4">
      <c r="AZ1323" s="26"/>
      <c r="BA1323" s="13"/>
    </row>
    <row r="1324" spans="3:53" x14ac:dyDescent="0.4">
      <c r="D1324" s="115"/>
      <c r="E1324" s="115"/>
      <c r="F1324" s="115"/>
      <c r="G1324" s="115"/>
      <c r="H1324" s="115"/>
      <c r="I1324" s="115"/>
      <c r="J1324" s="115"/>
      <c r="K1324" s="115"/>
      <c r="L1324" s="115"/>
      <c r="M1324" s="115"/>
      <c r="N1324" s="115"/>
      <c r="O1324" s="115"/>
      <c r="P1324" s="115"/>
      <c r="Q1324" s="115"/>
      <c r="R1324" s="115"/>
      <c r="S1324" s="115"/>
      <c r="T1324" s="115"/>
      <c r="U1324" s="115"/>
      <c r="V1324" s="115"/>
      <c r="W1324" s="115"/>
      <c r="X1324" s="115"/>
      <c r="Y1324" s="115"/>
      <c r="Z1324" s="115"/>
      <c r="AA1324" s="115"/>
      <c r="AB1324" s="115"/>
      <c r="AC1324" s="115"/>
      <c r="AD1324" s="115"/>
      <c r="AE1324" s="115"/>
      <c r="AF1324" s="115"/>
      <c r="AG1324" s="115"/>
      <c r="AH1324" s="115"/>
      <c r="AI1324" s="122"/>
      <c r="AJ1324" s="122"/>
      <c r="AK1324" s="122"/>
      <c r="AL1324" s="115"/>
      <c r="AM1324" s="115"/>
      <c r="AN1324" s="115"/>
      <c r="AO1324" s="115"/>
      <c r="AP1324" s="115"/>
      <c r="AQ1324" s="115"/>
      <c r="AR1324" s="115"/>
      <c r="AS1324" s="115"/>
      <c r="AT1324" s="115"/>
      <c r="AU1324" s="115"/>
      <c r="AV1324" s="115"/>
      <c r="AW1324" s="115"/>
      <c r="AX1324" s="115"/>
      <c r="AY1324" s="115"/>
      <c r="AZ1324" s="26"/>
      <c r="BA1324" s="13"/>
    </row>
    <row r="1325" spans="3:53" x14ac:dyDescent="0.4">
      <c r="C1325" s="115"/>
      <c r="D1325" s="115"/>
      <c r="E1325" s="115"/>
      <c r="F1325" s="115"/>
      <c r="G1325" s="115"/>
      <c r="H1325" s="115"/>
      <c r="I1325" s="115"/>
      <c r="J1325" s="115"/>
      <c r="K1325" s="115"/>
      <c r="L1325" s="115"/>
      <c r="M1325" s="115"/>
      <c r="N1325" s="115"/>
      <c r="O1325" s="115"/>
      <c r="P1325" s="115"/>
      <c r="Q1325" s="115"/>
      <c r="R1325" s="115"/>
      <c r="S1325" s="115"/>
      <c r="T1325" s="115"/>
      <c r="U1325" s="115"/>
      <c r="V1325" s="115"/>
      <c r="W1325" s="115"/>
      <c r="X1325" s="115"/>
      <c r="Y1325" s="115"/>
      <c r="Z1325" s="115"/>
      <c r="AA1325" s="115"/>
      <c r="AB1325" s="115"/>
      <c r="AC1325" s="115"/>
      <c r="AD1325" s="115"/>
      <c r="AE1325" s="115"/>
      <c r="AF1325" s="115"/>
      <c r="AG1325" s="115"/>
      <c r="AH1325" s="115"/>
      <c r="AI1325" s="122"/>
      <c r="AJ1325" s="122"/>
      <c r="AK1325" s="122"/>
      <c r="AL1325" s="115"/>
      <c r="AM1325" s="115"/>
      <c r="AN1325" s="115"/>
      <c r="AO1325" s="115"/>
      <c r="AP1325" s="115"/>
      <c r="AQ1325" s="115"/>
      <c r="AR1325" s="115"/>
      <c r="AS1325" s="115"/>
      <c r="AT1325" s="115"/>
      <c r="AU1325" s="115"/>
      <c r="AV1325" s="115"/>
      <c r="AW1325" s="115"/>
      <c r="AX1325" s="115"/>
      <c r="AY1325" s="115"/>
      <c r="AZ1325" s="26"/>
      <c r="BA1325" s="13"/>
    </row>
    <row r="1326" spans="3:53" x14ac:dyDescent="0.4">
      <c r="AZ1326" s="26"/>
      <c r="BA1326" s="13"/>
    </row>
    <row r="1327" spans="3:53" x14ac:dyDescent="0.4">
      <c r="AZ1327" s="26"/>
      <c r="BA1327" s="13"/>
    </row>
    <row r="1328" spans="3:53" x14ac:dyDescent="0.4">
      <c r="E1328" s="115"/>
      <c r="F1328" s="115"/>
      <c r="G1328" s="115"/>
      <c r="H1328" s="115"/>
      <c r="I1328" s="115"/>
      <c r="J1328" s="115"/>
      <c r="K1328" s="115"/>
      <c r="L1328" s="115"/>
      <c r="M1328" s="115"/>
      <c r="N1328" s="115"/>
      <c r="O1328" s="115"/>
      <c r="P1328" s="115"/>
      <c r="Q1328" s="115"/>
      <c r="R1328" s="115"/>
      <c r="S1328" s="115"/>
      <c r="T1328" s="115"/>
      <c r="U1328" s="115"/>
      <c r="V1328" s="115"/>
      <c r="W1328" s="115"/>
      <c r="X1328" s="115"/>
      <c r="Y1328" s="115"/>
      <c r="Z1328" s="115"/>
      <c r="AA1328" s="115"/>
      <c r="AB1328" s="115"/>
      <c r="AC1328" s="115"/>
      <c r="AD1328" s="115"/>
      <c r="AE1328" s="115"/>
      <c r="AF1328" s="115"/>
      <c r="AG1328" s="115"/>
      <c r="AH1328" s="115"/>
      <c r="AI1328" s="122"/>
      <c r="AJ1328" s="122"/>
      <c r="AK1328" s="122"/>
      <c r="AL1328" s="115"/>
      <c r="AM1328" s="115"/>
      <c r="AN1328" s="115"/>
      <c r="AO1328" s="115"/>
      <c r="AP1328" s="115"/>
      <c r="AQ1328" s="115"/>
      <c r="AR1328" s="115"/>
      <c r="AS1328" s="115"/>
      <c r="AT1328" s="115"/>
      <c r="AU1328" s="115"/>
      <c r="AV1328" s="115"/>
      <c r="AW1328" s="115"/>
      <c r="AX1328" s="115"/>
      <c r="AY1328" s="115"/>
      <c r="AZ1328" s="26"/>
      <c r="BA1328" s="13"/>
    </row>
    <row r="1329" spans="2:53" x14ac:dyDescent="0.4">
      <c r="AZ1329" s="26"/>
      <c r="BA1329" s="105"/>
    </row>
    <row r="1330" spans="2:53" x14ac:dyDescent="0.4">
      <c r="E1330" s="115"/>
      <c r="F1330" s="115"/>
      <c r="G1330" s="115"/>
      <c r="H1330" s="115"/>
      <c r="I1330" s="115"/>
      <c r="J1330" s="115"/>
      <c r="K1330" s="115"/>
      <c r="L1330" s="115"/>
      <c r="M1330" s="115"/>
      <c r="N1330" s="115"/>
      <c r="O1330" s="115"/>
      <c r="P1330" s="115"/>
      <c r="Q1330" s="115"/>
      <c r="R1330" s="115"/>
      <c r="S1330" s="115"/>
      <c r="T1330" s="115"/>
      <c r="U1330" s="115"/>
      <c r="V1330" s="115"/>
      <c r="W1330" s="115"/>
      <c r="X1330" s="115"/>
      <c r="Y1330" s="115"/>
      <c r="Z1330" s="115"/>
      <c r="AA1330" s="115"/>
      <c r="AB1330" s="115"/>
      <c r="AC1330" s="115"/>
      <c r="AD1330" s="115"/>
      <c r="AE1330" s="115"/>
      <c r="AF1330" s="115"/>
      <c r="AG1330" s="115"/>
      <c r="AH1330" s="115"/>
      <c r="AI1330" s="122"/>
      <c r="AJ1330" s="122"/>
      <c r="AK1330" s="122"/>
      <c r="AL1330" s="115"/>
      <c r="AM1330" s="115"/>
      <c r="AN1330" s="115"/>
      <c r="AO1330" s="115"/>
      <c r="AP1330" s="115"/>
      <c r="AQ1330" s="115"/>
      <c r="AR1330" s="115"/>
      <c r="AS1330" s="115"/>
      <c r="AT1330" s="115"/>
      <c r="AU1330" s="115"/>
      <c r="AV1330" s="115"/>
      <c r="AW1330" s="115"/>
      <c r="AX1330" s="115"/>
      <c r="AY1330" s="115"/>
      <c r="AZ1330" s="26"/>
      <c r="BA1330" s="15"/>
    </row>
    <row r="1331" spans="2:53" x14ac:dyDescent="0.4">
      <c r="E1331" s="115"/>
      <c r="F1331" s="115"/>
      <c r="G1331" s="115"/>
      <c r="H1331" s="115"/>
      <c r="I1331" s="115"/>
      <c r="J1331" s="115"/>
      <c r="K1331" s="115"/>
      <c r="L1331" s="115"/>
      <c r="M1331" s="115"/>
      <c r="N1331" s="115"/>
      <c r="O1331" s="115"/>
      <c r="P1331" s="115"/>
      <c r="Q1331" s="115"/>
      <c r="R1331" s="115"/>
      <c r="S1331" s="115"/>
      <c r="T1331" s="115"/>
      <c r="U1331" s="115"/>
      <c r="V1331" s="115"/>
      <c r="W1331" s="115"/>
      <c r="X1331" s="115"/>
      <c r="Y1331" s="115"/>
      <c r="Z1331" s="115"/>
      <c r="AA1331" s="115"/>
      <c r="AB1331" s="115"/>
      <c r="AC1331" s="115"/>
      <c r="AD1331" s="115"/>
      <c r="AE1331" s="115"/>
      <c r="AF1331" s="115"/>
      <c r="AG1331" s="115"/>
      <c r="AH1331" s="115"/>
      <c r="AI1331" s="122"/>
      <c r="AJ1331" s="122"/>
      <c r="AK1331" s="122"/>
      <c r="AL1331" s="115"/>
      <c r="AM1331" s="115"/>
      <c r="AN1331" s="115"/>
      <c r="AO1331" s="115"/>
      <c r="AP1331" s="115"/>
      <c r="AQ1331" s="115"/>
      <c r="AR1331" s="115"/>
      <c r="AS1331" s="115"/>
      <c r="AT1331" s="115"/>
      <c r="AU1331" s="115"/>
      <c r="AV1331" s="115"/>
      <c r="AW1331" s="115"/>
      <c r="AX1331" s="115"/>
      <c r="AY1331" s="115"/>
      <c r="AZ1331" s="17"/>
      <c r="BA1331" s="15"/>
    </row>
    <row r="1332" spans="2:53" x14ac:dyDescent="0.4">
      <c r="AZ1332" s="26"/>
      <c r="BA1332" s="15"/>
    </row>
    <row r="1333" spans="2:53" x14ac:dyDescent="0.4">
      <c r="E1333" s="115"/>
      <c r="F1333" s="115"/>
      <c r="G1333" s="115"/>
      <c r="H1333" s="115"/>
      <c r="I1333" s="115"/>
      <c r="J1333" s="115"/>
      <c r="K1333" s="115"/>
      <c r="L1333" s="115"/>
      <c r="M1333" s="115"/>
      <c r="N1333" s="115"/>
      <c r="O1333" s="115"/>
      <c r="P1333" s="115"/>
      <c r="Q1333" s="115"/>
      <c r="R1333" s="115"/>
      <c r="S1333" s="115"/>
      <c r="T1333" s="115"/>
      <c r="U1333" s="115"/>
      <c r="V1333" s="115"/>
      <c r="W1333" s="115"/>
      <c r="X1333" s="115"/>
      <c r="Y1333" s="115"/>
      <c r="Z1333" s="115"/>
      <c r="AA1333" s="115"/>
      <c r="AB1333" s="115"/>
      <c r="AC1333" s="115"/>
      <c r="AD1333" s="115"/>
      <c r="AE1333" s="115"/>
      <c r="AF1333" s="115"/>
      <c r="AG1333" s="115"/>
      <c r="AH1333" s="115"/>
      <c r="AI1333" s="122"/>
      <c r="AJ1333" s="122"/>
      <c r="AK1333" s="122"/>
      <c r="AL1333" s="115"/>
      <c r="AM1333" s="115"/>
      <c r="AN1333" s="115"/>
      <c r="AO1333" s="115"/>
      <c r="AP1333" s="115"/>
      <c r="AQ1333" s="115"/>
      <c r="AR1333" s="115"/>
      <c r="AS1333" s="115"/>
      <c r="AT1333" s="115"/>
      <c r="AU1333" s="115"/>
      <c r="AV1333" s="115"/>
      <c r="AW1333" s="115"/>
      <c r="AX1333" s="115"/>
      <c r="AY1333" s="115"/>
      <c r="AZ1333" s="26"/>
      <c r="BA1333" s="15"/>
    </row>
    <row r="1334" spans="2:53" x14ac:dyDescent="0.4">
      <c r="C1334" s="115"/>
      <c r="D1334" s="115"/>
      <c r="E1334" s="115"/>
      <c r="F1334" s="115"/>
      <c r="G1334" s="115"/>
      <c r="H1334" s="115"/>
      <c r="I1334" s="115"/>
      <c r="J1334" s="115"/>
      <c r="K1334" s="115"/>
      <c r="L1334" s="115"/>
      <c r="M1334" s="115"/>
      <c r="N1334" s="115"/>
      <c r="O1334" s="115"/>
      <c r="P1334" s="115"/>
      <c r="Q1334" s="115"/>
      <c r="R1334" s="115"/>
      <c r="S1334" s="115"/>
      <c r="T1334" s="115"/>
      <c r="U1334" s="115"/>
      <c r="V1334" s="115"/>
      <c r="W1334" s="115"/>
      <c r="X1334" s="115"/>
      <c r="Y1334" s="115"/>
      <c r="Z1334" s="115"/>
      <c r="AA1334" s="115"/>
      <c r="AB1334" s="115"/>
      <c r="AC1334" s="115"/>
      <c r="AD1334" s="115"/>
      <c r="AE1334" s="115"/>
      <c r="AF1334" s="115"/>
      <c r="AG1334" s="115"/>
      <c r="AH1334" s="115"/>
      <c r="AI1334" s="122"/>
      <c r="AJ1334" s="122"/>
      <c r="AK1334" s="122"/>
      <c r="AL1334" s="115"/>
      <c r="AM1334" s="115"/>
      <c r="AN1334" s="115"/>
      <c r="AO1334" s="115"/>
      <c r="AP1334" s="115"/>
      <c r="AQ1334" s="115"/>
      <c r="AR1334" s="115"/>
      <c r="AS1334" s="115"/>
      <c r="AT1334" s="115"/>
      <c r="AU1334" s="115"/>
      <c r="AV1334" s="115"/>
      <c r="AW1334" s="115"/>
      <c r="AX1334" s="115"/>
      <c r="AY1334" s="115"/>
      <c r="AZ1334" s="26"/>
      <c r="BA1334" s="15"/>
    </row>
    <row r="1335" spans="2:53" x14ac:dyDescent="0.4">
      <c r="C1335" s="115"/>
      <c r="D1335" s="115"/>
      <c r="E1335" s="115"/>
      <c r="F1335" s="115"/>
      <c r="G1335" s="115"/>
      <c r="H1335" s="115"/>
      <c r="I1335" s="115"/>
      <c r="J1335" s="115"/>
      <c r="K1335" s="115"/>
      <c r="L1335" s="115"/>
      <c r="M1335" s="115"/>
      <c r="N1335" s="115"/>
      <c r="O1335" s="115"/>
      <c r="P1335" s="115"/>
      <c r="Q1335" s="115"/>
      <c r="R1335" s="115"/>
      <c r="S1335" s="115"/>
      <c r="T1335" s="115"/>
      <c r="U1335" s="115"/>
      <c r="V1335" s="115"/>
      <c r="W1335" s="115"/>
      <c r="X1335" s="115"/>
      <c r="Y1335" s="115"/>
      <c r="Z1335" s="115"/>
      <c r="AA1335" s="115"/>
      <c r="AB1335" s="115"/>
      <c r="AC1335" s="115"/>
      <c r="AD1335" s="115"/>
      <c r="AE1335" s="115"/>
      <c r="AF1335" s="115"/>
      <c r="AG1335" s="115"/>
      <c r="AH1335" s="115"/>
      <c r="AI1335" s="122"/>
      <c r="AJ1335" s="122"/>
      <c r="AK1335" s="122"/>
      <c r="AL1335" s="115"/>
      <c r="AM1335" s="115"/>
      <c r="AN1335" s="115"/>
      <c r="AO1335" s="115"/>
      <c r="AP1335" s="115"/>
      <c r="AQ1335" s="115"/>
      <c r="AR1335" s="115"/>
      <c r="AS1335" s="115"/>
      <c r="AT1335" s="115"/>
      <c r="AU1335" s="115"/>
      <c r="AV1335" s="115"/>
      <c r="AW1335" s="115"/>
      <c r="AX1335" s="115"/>
      <c r="AY1335" s="115"/>
      <c r="AZ1335" s="26"/>
      <c r="BA1335" s="13"/>
    </row>
    <row r="1336" spans="2:53" x14ac:dyDescent="0.4">
      <c r="AZ1336" s="26"/>
      <c r="BA1336" s="15"/>
    </row>
    <row r="1337" spans="2:53" x14ac:dyDescent="0.4">
      <c r="E1337" s="115"/>
      <c r="F1337" s="115"/>
      <c r="G1337" s="115"/>
      <c r="H1337" s="115"/>
      <c r="I1337" s="115"/>
      <c r="J1337" s="115"/>
      <c r="K1337" s="115"/>
      <c r="L1337" s="115"/>
      <c r="M1337" s="115"/>
      <c r="N1337" s="115"/>
      <c r="O1337" s="115"/>
      <c r="P1337" s="115"/>
      <c r="Q1337" s="115"/>
      <c r="R1337" s="115"/>
      <c r="S1337" s="115"/>
      <c r="T1337" s="115"/>
      <c r="U1337" s="115"/>
      <c r="V1337" s="115"/>
      <c r="W1337" s="115"/>
      <c r="X1337" s="115"/>
      <c r="Y1337" s="115"/>
      <c r="Z1337" s="115"/>
      <c r="AA1337" s="115"/>
      <c r="AB1337" s="115"/>
      <c r="AC1337" s="115"/>
      <c r="AD1337" s="115"/>
      <c r="AE1337" s="115"/>
      <c r="AF1337" s="115"/>
      <c r="AG1337" s="115"/>
      <c r="AH1337" s="115"/>
      <c r="AI1337" s="122"/>
      <c r="AJ1337" s="122"/>
      <c r="AK1337" s="122"/>
      <c r="AL1337" s="115"/>
      <c r="AM1337" s="115"/>
      <c r="AN1337" s="115"/>
      <c r="AO1337" s="115"/>
      <c r="AP1337" s="115"/>
      <c r="AQ1337" s="115"/>
      <c r="AR1337" s="115"/>
      <c r="AS1337" s="115"/>
      <c r="AT1337" s="115"/>
      <c r="AU1337" s="115"/>
      <c r="AV1337" s="115"/>
      <c r="AW1337" s="115"/>
      <c r="AX1337" s="115"/>
      <c r="AY1337" s="115"/>
      <c r="AZ1337" s="26"/>
      <c r="BA1337" s="15"/>
    </row>
    <row r="1338" spans="2:53" x14ac:dyDescent="0.4">
      <c r="E1338" s="115"/>
      <c r="F1338" s="115"/>
      <c r="G1338" s="115"/>
      <c r="H1338" s="115"/>
      <c r="I1338" s="115"/>
      <c r="J1338" s="115"/>
      <c r="K1338" s="115"/>
      <c r="L1338" s="115"/>
      <c r="M1338" s="115"/>
      <c r="N1338" s="115"/>
      <c r="O1338" s="115"/>
      <c r="P1338" s="115"/>
      <c r="Q1338" s="115"/>
      <c r="R1338" s="115"/>
      <c r="S1338" s="115"/>
      <c r="T1338" s="115"/>
      <c r="U1338" s="115"/>
      <c r="V1338" s="115"/>
      <c r="W1338" s="115"/>
      <c r="X1338" s="115"/>
      <c r="Y1338" s="115"/>
      <c r="Z1338" s="115"/>
      <c r="AA1338" s="115"/>
      <c r="AB1338" s="115"/>
      <c r="AC1338" s="115"/>
      <c r="AD1338" s="115"/>
      <c r="AE1338" s="115"/>
      <c r="AF1338" s="115"/>
      <c r="AG1338" s="115"/>
      <c r="AH1338" s="115"/>
      <c r="AI1338" s="122"/>
      <c r="AJ1338" s="122"/>
      <c r="AK1338" s="122"/>
      <c r="AL1338" s="115"/>
      <c r="AM1338" s="115"/>
      <c r="AN1338" s="115"/>
      <c r="AO1338" s="115"/>
      <c r="AP1338" s="115"/>
      <c r="AQ1338" s="115"/>
      <c r="AR1338" s="115"/>
      <c r="AS1338" s="115"/>
      <c r="AT1338" s="115"/>
      <c r="AU1338" s="115"/>
      <c r="AV1338" s="115"/>
      <c r="AW1338" s="115"/>
      <c r="AX1338" s="115"/>
      <c r="AY1338" s="115"/>
      <c r="AZ1338" s="26"/>
      <c r="BA1338" s="15"/>
    </row>
    <row r="1339" spans="2:53" x14ac:dyDescent="0.4">
      <c r="D1339" s="115"/>
      <c r="E1339" s="115"/>
      <c r="F1339" s="115"/>
      <c r="G1339" s="115"/>
      <c r="H1339" s="115"/>
      <c r="I1339" s="115"/>
      <c r="J1339" s="115"/>
      <c r="K1339" s="115"/>
      <c r="L1339" s="115"/>
      <c r="M1339" s="115"/>
      <c r="N1339" s="115"/>
      <c r="O1339" s="115"/>
      <c r="P1339" s="115"/>
      <c r="Q1339" s="115"/>
      <c r="R1339" s="115"/>
      <c r="S1339" s="115"/>
      <c r="T1339" s="115"/>
      <c r="U1339" s="115"/>
      <c r="V1339" s="115"/>
      <c r="W1339" s="115"/>
      <c r="X1339" s="115"/>
      <c r="Y1339" s="115"/>
      <c r="Z1339" s="115"/>
      <c r="AA1339" s="115"/>
      <c r="AB1339" s="115"/>
      <c r="AC1339" s="115"/>
      <c r="AD1339" s="115"/>
      <c r="AE1339" s="115"/>
      <c r="AF1339" s="115"/>
      <c r="AG1339" s="115"/>
      <c r="AH1339" s="115"/>
      <c r="AI1339" s="122"/>
      <c r="AJ1339" s="122"/>
      <c r="AK1339" s="122"/>
      <c r="AL1339" s="115"/>
      <c r="AM1339" s="115"/>
      <c r="AN1339" s="115"/>
      <c r="AO1339" s="115"/>
      <c r="AP1339" s="115"/>
      <c r="AQ1339" s="115"/>
      <c r="AR1339" s="115"/>
      <c r="AS1339" s="115"/>
      <c r="AT1339" s="115"/>
      <c r="AU1339" s="115"/>
      <c r="AV1339" s="115"/>
      <c r="AW1339" s="115"/>
      <c r="AX1339" s="115"/>
      <c r="AY1339" s="115"/>
      <c r="AZ1339" s="26"/>
      <c r="BA1339" s="15"/>
    </row>
    <row r="1340" spans="2:53" x14ac:dyDescent="0.4">
      <c r="D1340" s="115"/>
      <c r="E1340" s="115"/>
      <c r="F1340" s="115"/>
      <c r="G1340" s="115"/>
      <c r="H1340" s="115"/>
      <c r="I1340" s="115"/>
      <c r="J1340" s="115"/>
      <c r="K1340" s="115"/>
      <c r="L1340" s="115"/>
      <c r="M1340" s="115"/>
      <c r="N1340" s="115"/>
      <c r="O1340" s="115"/>
      <c r="P1340" s="115"/>
      <c r="Q1340" s="115"/>
      <c r="R1340" s="115"/>
      <c r="S1340" s="115"/>
      <c r="T1340" s="115"/>
      <c r="U1340" s="115"/>
      <c r="V1340" s="115"/>
      <c r="W1340" s="115"/>
      <c r="X1340" s="115"/>
      <c r="Y1340" s="115"/>
      <c r="Z1340" s="115"/>
      <c r="AA1340" s="115"/>
      <c r="AB1340" s="115"/>
      <c r="AC1340" s="115"/>
      <c r="AD1340" s="115"/>
      <c r="AE1340" s="115"/>
      <c r="AF1340" s="115"/>
      <c r="AG1340" s="115"/>
      <c r="AH1340" s="115"/>
      <c r="AI1340" s="122"/>
      <c r="AJ1340" s="122"/>
      <c r="AK1340" s="122"/>
      <c r="AL1340" s="115"/>
      <c r="AM1340" s="115"/>
      <c r="AN1340" s="115"/>
      <c r="AO1340" s="115"/>
      <c r="AP1340" s="115"/>
      <c r="AQ1340" s="115"/>
      <c r="AR1340" s="115"/>
      <c r="AS1340" s="115"/>
      <c r="AT1340" s="115"/>
      <c r="AU1340" s="115"/>
      <c r="AV1340" s="115"/>
      <c r="AW1340" s="115"/>
      <c r="AX1340" s="115"/>
      <c r="AY1340" s="115"/>
      <c r="AZ1340" s="26"/>
      <c r="BA1340" s="15"/>
    </row>
    <row r="1341" spans="2:53" x14ac:dyDescent="0.4">
      <c r="D1341" s="115"/>
      <c r="E1341" s="115"/>
      <c r="F1341" s="115"/>
      <c r="G1341" s="115"/>
      <c r="H1341" s="115"/>
      <c r="I1341" s="115"/>
      <c r="J1341" s="115"/>
      <c r="K1341" s="115"/>
      <c r="L1341" s="115"/>
      <c r="M1341" s="115"/>
      <c r="N1341" s="115"/>
      <c r="O1341" s="115"/>
      <c r="P1341" s="115"/>
      <c r="Q1341" s="115"/>
      <c r="R1341" s="115"/>
      <c r="S1341" s="115"/>
      <c r="T1341" s="115"/>
      <c r="U1341" s="115"/>
      <c r="V1341" s="115"/>
      <c r="W1341" s="115"/>
      <c r="X1341" s="115"/>
      <c r="Y1341" s="115"/>
      <c r="Z1341" s="115"/>
      <c r="AA1341" s="115"/>
      <c r="AB1341" s="115"/>
      <c r="AC1341" s="115"/>
      <c r="AD1341" s="115"/>
      <c r="AE1341" s="115"/>
      <c r="AF1341" s="115"/>
      <c r="AG1341" s="115"/>
      <c r="AH1341" s="115"/>
      <c r="AI1341" s="122"/>
      <c r="AJ1341" s="122"/>
      <c r="AK1341" s="122"/>
      <c r="AL1341" s="115"/>
      <c r="AM1341" s="115"/>
      <c r="AN1341" s="115"/>
      <c r="AO1341" s="115"/>
      <c r="AP1341" s="115"/>
      <c r="AQ1341" s="115"/>
      <c r="AR1341" s="115"/>
      <c r="AS1341" s="115"/>
      <c r="AT1341" s="115"/>
      <c r="AU1341" s="115"/>
      <c r="AV1341" s="115"/>
      <c r="AW1341" s="115"/>
      <c r="AX1341" s="115"/>
      <c r="AY1341" s="115"/>
      <c r="AZ1341" s="26"/>
      <c r="BA1341" s="15"/>
    </row>
    <row r="1342" spans="2:53" x14ac:dyDescent="0.4">
      <c r="C1342" s="115"/>
      <c r="D1342" s="115"/>
      <c r="E1342" s="115"/>
      <c r="F1342" s="115"/>
      <c r="G1342" s="115"/>
      <c r="H1342" s="115"/>
      <c r="I1342" s="115"/>
      <c r="J1342" s="115"/>
      <c r="K1342" s="115"/>
      <c r="L1342" s="115"/>
      <c r="M1342" s="115"/>
      <c r="N1342" s="115"/>
      <c r="O1342" s="115"/>
      <c r="P1342" s="115"/>
      <c r="Q1342" s="115"/>
      <c r="R1342" s="115"/>
      <c r="S1342" s="115"/>
      <c r="T1342" s="115"/>
      <c r="U1342" s="115"/>
      <c r="V1342" s="115"/>
      <c r="W1342" s="115"/>
      <c r="X1342" s="115"/>
      <c r="Y1342" s="115"/>
      <c r="Z1342" s="115"/>
      <c r="AA1342" s="115"/>
      <c r="AB1342" s="115"/>
      <c r="AC1342" s="115"/>
      <c r="AD1342" s="115"/>
      <c r="AE1342" s="115"/>
      <c r="AF1342" s="115"/>
      <c r="AG1342" s="115"/>
      <c r="AH1342" s="115"/>
      <c r="AI1342" s="122"/>
      <c r="AJ1342" s="122"/>
      <c r="AK1342" s="122"/>
      <c r="AL1342" s="115"/>
      <c r="AM1342" s="115"/>
      <c r="AN1342" s="115"/>
      <c r="AO1342" s="115"/>
      <c r="AP1342" s="115"/>
      <c r="AQ1342" s="115"/>
      <c r="AR1342" s="115"/>
      <c r="AS1342" s="115"/>
      <c r="AT1342" s="115"/>
      <c r="AU1342" s="115"/>
      <c r="AV1342" s="115"/>
      <c r="AW1342" s="115"/>
      <c r="AX1342" s="115"/>
      <c r="AY1342" s="115"/>
      <c r="AZ1342" s="26"/>
      <c r="BA1342" s="15"/>
    </row>
    <row r="1343" spans="2:53" ht="19.5" customHeight="1" x14ac:dyDescent="0.4">
      <c r="B1343" s="115"/>
      <c r="C1343" s="115"/>
      <c r="D1343" s="115"/>
      <c r="E1343" s="115"/>
      <c r="F1343" s="115"/>
      <c r="G1343" s="115"/>
      <c r="H1343" s="115"/>
      <c r="I1343" s="115"/>
      <c r="J1343" s="115"/>
      <c r="K1343" s="115"/>
      <c r="L1343" s="115"/>
      <c r="M1343" s="115"/>
      <c r="N1343" s="115"/>
      <c r="O1343" s="115"/>
      <c r="P1343" s="115"/>
      <c r="Q1343" s="115"/>
      <c r="R1343" s="115"/>
      <c r="S1343" s="115"/>
      <c r="T1343" s="115"/>
      <c r="U1343" s="115"/>
      <c r="V1343" s="115"/>
      <c r="W1343" s="115"/>
      <c r="X1343" s="115"/>
      <c r="Y1343" s="115"/>
      <c r="Z1343" s="115"/>
      <c r="AA1343" s="115"/>
      <c r="AB1343" s="115"/>
      <c r="AC1343" s="115"/>
      <c r="AD1343" s="115"/>
      <c r="AE1343" s="115"/>
      <c r="AF1343" s="115"/>
      <c r="AG1343" s="115"/>
      <c r="AH1343" s="115"/>
      <c r="AI1343" s="122"/>
      <c r="AJ1343" s="122"/>
      <c r="AK1343" s="122"/>
      <c r="AL1343" s="115"/>
      <c r="AM1343" s="115"/>
      <c r="AN1343" s="115"/>
      <c r="AO1343" s="115"/>
      <c r="AP1343" s="115"/>
      <c r="AQ1343" s="115"/>
      <c r="AR1343" s="115"/>
      <c r="AS1343" s="115"/>
      <c r="AT1343" s="115"/>
      <c r="AU1343" s="115"/>
      <c r="AV1343" s="115"/>
      <c r="AW1343" s="115"/>
      <c r="AX1343" s="115"/>
      <c r="AY1343" s="115"/>
      <c r="AZ1343" s="26"/>
      <c r="BA1343" s="15"/>
    </row>
    <row r="1344" spans="2:53" ht="19.5" customHeight="1" x14ac:dyDescent="0.4">
      <c r="B1344" s="115"/>
      <c r="C1344" s="115"/>
      <c r="D1344" s="115"/>
      <c r="E1344" s="115"/>
      <c r="F1344" s="115"/>
      <c r="G1344" s="115"/>
      <c r="H1344" s="115"/>
      <c r="I1344" s="115"/>
      <c r="J1344" s="115"/>
      <c r="K1344" s="115"/>
      <c r="L1344" s="115"/>
      <c r="M1344" s="115"/>
      <c r="N1344" s="115"/>
      <c r="O1344" s="115"/>
      <c r="P1344" s="115"/>
      <c r="Q1344" s="115"/>
      <c r="R1344" s="115"/>
      <c r="S1344" s="115"/>
      <c r="T1344" s="115"/>
      <c r="U1344" s="115"/>
      <c r="V1344" s="115"/>
      <c r="W1344" s="115"/>
      <c r="X1344" s="115"/>
      <c r="Y1344" s="115"/>
      <c r="Z1344" s="115"/>
      <c r="AA1344" s="115"/>
      <c r="AB1344" s="115"/>
      <c r="AC1344" s="115"/>
      <c r="AD1344" s="115"/>
      <c r="AE1344" s="115"/>
      <c r="AF1344" s="115"/>
      <c r="AG1344" s="115"/>
      <c r="AH1344" s="115"/>
      <c r="AI1344" s="122"/>
      <c r="AJ1344" s="122"/>
      <c r="AK1344" s="122"/>
      <c r="AL1344" s="115"/>
      <c r="AM1344" s="115"/>
      <c r="AN1344" s="115"/>
      <c r="AO1344" s="115"/>
      <c r="AP1344" s="115"/>
      <c r="AQ1344" s="115"/>
      <c r="AR1344" s="115"/>
      <c r="AS1344" s="115"/>
      <c r="AT1344" s="115"/>
      <c r="AU1344" s="115"/>
      <c r="AV1344" s="115"/>
      <c r="AW1344" s="115"/>
      <c r="AX1344" s="115"/>
      <c r="AY1344" s="115"/>
      <c r="AZ1344" s="26"/>
      <c r="BA1344" s="15"/>
    </row>
    <row r="1345" spans="1:53" x14ac:dyDescent="0.4">
      <c r="AZ1345" s="26"/>
      <c r="BA1345" s="15"/>
    </row>
    <row r="1346" spans="1:53" x14ac:dyDescent="0.4">
      <c r="D1346" s="115"/>
      <c r="E1346" s="115"/>
      <c r="F1346" s="115"/>
      <c r="G1346" s="115"/>
      <c r="H1346" s="115"/>
      <c r="I1346" s="115"/>
      <c r="J1346" s="115"/>
      <c r="K1346" s="115"/>
      <c r="L1346" s="115"/>
      <c r="M1346" s="115"/>
      <c r="N1346" s="115"/>
      <c r="O1346" s="115"/>
      <c r="P1346" s="115"/>
      <c r="Q1346" s="115"/>
      <c r="R1346" s="115"/>
      <c r="S1346" s="115"/>
      <c r="T1346" s="115"/>
      <c r="U1346" s="115"/>
      <c r="V1346" s="115"/>
      <c r="W1346" s="115"/>
      <c r="X1346" s="115"/>
      <c r="Y1346" s="115"/>
      <c r="Z1346" s="115"/>
      <c r="AA1346" s="115"/>
      <c r="AB1346" s="115"/>
      <c r="AC1346" s="115"/>
      <c r="AD1346" s="115"/>
      <c r="AE1346" s="115"/>
      <c r="AF1346" s="115"/>
      <c r="AG1346" s="115"/>
      <c r="AH1346" s="115"/>
      <c r="AI1346" s="122"/>
      <c r="AJ1346" s="122"/>
      <c r="AK1346" s="122"/>
      <c r="AL1346" s="115"/>
      <c r="AM1346" s="115"/>
      <c r="AN1346" s="115"/>
      <c r="AO1346" s="115"/>
      <c r="AP1346" s="115"/>
      <c r="AQ1346" s="115"/>
      <c r="AR1346" s="115"/>
      <c r="AS1346" s="115"/>
      <c r="AT1346" s="115"/>
      <c r="AU1346" s="115"/>
      <c r="AV1346" s="115"/>
      <c r="AW1346" s="115"/>
      <c r="AX1346" s="115"/>
      <c r="AY1346" s="115"/>
      <c r="AZ1346" s="26"/>
      <c r="BA1346" s="15"/>
    </row>
    <row r="1347" spans="1:53" x14ac:dyDescent="0.4">
      <c r="C1347" s="115"/>
      <c r="D1347" s="115"/>
      <c r="E1347" s="115"/>
      <c r="F1347" s="115"/>
      <c r="G1347" s="115"/>
      <c r="H1347" s="115"/>
      <c r="I1347" s="115"/>
      <c r="J1347" s="115"/>
      <c r="K1347" s="115"/>
      <c r="L1347" s="115"/>
      <c r="M1347" s="115"/>
      <c r="N1347" s="115"/>
      <c r="O1347" s="115"/>
      <c r="P1347" s="115"/>
      <c r="Q1347" s="115"/>
      <c r="R1347" s="115"/>
      <c r="S1347" s="115"/>
      <c r="T1347" s="115"/>
      <c r="U1347" s="115"/>
      <c r="V1347" s="115"/>
      <c r="W1347" s="115"/>
      <c r="X1347" s="115"/>
      <c r="Y1347" s="115"/>
      <c r="Z1347" s="115"/>
      <c r="AA1347" s="115"/>
      <c r="AB1347" s="115"/>
      <c r="AC1347" s="115"/>
      <c r="AD1347" s="115"/>
      <c r="AE1347" s="115"/>
      <c r="AF1347" s="115"/>
      <c r="AG1347" s="115"/>
      <c r="AH1347" s="115"/>
      <c r="AI1347" s="122"/>
      <c r="AJ1347" s="122"/>
      <c r="AK1347" s="122"/>
      <c r="AL1347" s="115"/>
      <c r="AM1347" s="115"/>
      <c r="AN1347" s="115"/>
      <c r="AO1347" s="115"/>
      <c r="AP1347" s="115"/>
      <c r="AQ1347" s="115"/>
      <c r="AR1347" s="115"/>
      <c r="AS1347" s="115"/>
      <c r="AT1347" s="115"/>
      <c r="AU1347" s="115"/>
      <c r="AV1347" s="115"/>
      <c r="AW1347" s="115"/>
      <c r="AX1347" s="115"/>
      <c r="AY1347" s="115"/>
      <c r="AZ1347" s="26"/>
      <c r="BA1347" s="15"/>
    </row>
    <row r="1348" spans="1:53" x14ac:dyDescent="0.4">
      <c r="C1348" s="115"/>
      <c r="D1348" s="115"/>
      <c r="E1348" s="115"/>
      <c r="F1348" s="115"/>
      <c r="G1348" s="115"/>
      <c r="H1348" s="115"/>
      <c r="I1348" s="115"/>
      <c r="J1348" s="115"/>
      <c r="K1348" s="115"/>
      <c r="L1348" s="115"/>
      <c r="M1348" s="115"/>
      <c r="N1348" s="115"/>
      <c r="O1348" s="115"/>
      <c r="P1348" s="115"/>
      <c r="Q1348" s="115"/>
      <c r="R1348" s="115"/>
      <c r="S1348" s="115"/>
      <c r="T1348" s="115"/>
      <c r="U1348" s="115"/>
      <c r="V1348" s="115"/>
      <c r="W1348" s="115"/>
      <c r="X1348" s="115"/>
      <c r="Y1348" s="115"/>
      <c r="Z1348" s="115"/>
      <c r="AA1348" s="115"/>
      <c r="AB1348" s="115"/>
      <c r="AC1348" s="115"/>
      <c r="AD1348" s="115"/>
      <c r="AE1348" s="115"/>
      <c r="AF1348" s="115"/>
      <c r="AG1348" s="115"/>
      <c r="AH1348" s="115"/>
      <c r="AI1348" s="122"/>
      <c r="AJ1348" s="122"/>
      <c r="AK1348" s="122"/>
      <c r="AL1348" s="115"/>
      <c r="AM1348" s="115"/>
      <c r="AN1348" s="115"/>
      <c r="AO1348" s="115"/>
      <c r="AP1348" s="115"/>
      <c r="AQ1348" s="115"/>
      <c r="AR1348" s="115"/>
      <c r="AS1348" s="115"/>
      <c r="AT1348" s="115"/>
      <c r="AU1348" s="115"/>
      <c r="AV1348" s="115"/>
      <c r="AW1348" s="115"/>
      <c r="AX1348" s="115"/>
      <c r="AY1348" s="115"/>
      <c r="AZ1348" s="17"/>
      <c r="BA1348" s="15"/>
    </row>
    <row r="1349" spans="1:53" x14ac:dyDescent="0.4">
      <c r="AZ1349" s="26"/>
      <c r="BA1349" s="15"/>
    </row>
    <row r="1350" spans="1:53" x14ac:dyDescent="0.4">
      <c r="AC1350" s="115"/>
      <c r="AD1350" s="115"/>
      <c r="AE1350" s="115"/>
      <c r="AF1350" s="115"/>
      <c r="AG1350" s="115"/>
      <c r="AH1350" s="115"/>
      <c r="AI1350" s="122"/>
      <c r="AJ1350" s="122"/>
      <c r="AK1350" s="122"/>
      <c r="AL1350" s="115"/>
      <c r="AM1350" s="115"/>
      <c r="AN1350" s="115"/>
      <c r="AO1350" s="115"/>
      <c r="AP1350" s="115"/>
      <c r="AQ1350" s="115"/>
      <c r="AR1350" s="115"/>
      <c r="AS1350" s="115"/>
      <c r="AT1350" s="115"/>
      <c r="AU1350" s="115"/>
      <c r="AV1350" s="115"/>
      <c r="AW1350" s="115"/>
      <c r="AX1350" s="115"/>
      <c r="AY1350" s="115"/>
      <c r="AZ1350" s="17"/>
      <c r="BA1350" s="15"/>
    </row>
    <row r="1351" spans="1:53" x14ac:dyDescent="0.4">
      <c r="C1351" s="115"/>
      <c r="D1351" s="115"/>
      <c r="E1351" s="115"/>
      <c r="F1351" s="115"/>
      <c r="G1351" s="115"/>
      <c r="H1351" s="115"/>
      <c r="I1351" s="115"/>
      <c r="J1351" s="115"/>
      <c r="K1351" s="115"/>
      <c r="L1351" s="115"/>
      <c r="M1351" s="115"/>
      <c r="N1351" s="115"/>
      <c r="O1351" s="115"/>
      <c r="P1351" s="115"/>
      <c r="Q1351" s="115"/>
      <c r="R1351" s="115"/>
      <c r="S1351" s="115"/>
      <c r="T1351" s="115"/>
      <c r="U1351" s="115"/>
      <c r="V1351" s="115"/>
      <c r="W1351" s="115"/>
      <c r="X1351" s="115"/>
      <c r="Y1351" s="115"/>
      <c r="Z1351" s="115"/>
      <c r="AA1351" s="115"/>
      <c r="AB1351" s="115"/>
      <c r="AC1351" s="115"/>
      <c r="AD1351" s="115"/>
      <c r="AE1351" s="115"/>
      <c r="AF1351" s="115"/>
      <c r="AG1351" s="115"/>
      <c r="AH1351" s="115"/>
      <c r="AI1351" s="122"/>
      <c r="AJ1351" s="122"/>
      <c r="AK1351" s="122"/>
      <c r="AL1351" s="115"/>
      <c r="AM1351" s="115"/>
      <c r="AN1351" s="115"/>
      <c r="AO1351" s="115"/>
      <c r="AP1351" s="115"/>
      <c r="AQ1351" s="115"/>
      <c r="AR1351" s="115"/>
      <c r="AS1351" s="115"/>
      <c r="AT1351" s="115"/>
      <c r="AU1351" s="115"/>
      <c r="AV1351" s="115"/>
      <c r="AW1351" s="115"/>
      <c r="AX1351" s="115"/>
      <c r="AY1351" s="115"/>
      <c r="AZ1351" s="26"/>
      <c r="BA1351" s="15"/>
    </row>
    <row r="1352" spans="1:53" x14ac:dyDescent="0.4">
      <c r="AZ1352" s="26"/>
      <c r="BA1352" s="15"/>
    </row>
    <row r="1353" spans="1:53" x14ac:dyDescent="0.4">
      <c r="AZ1353" s="26"/>
      <c r="BA1353" s="15"/>
    </row>
    <row r="1354" spans="1:53" x14ac:dyDescent="0.4">
      <c r="AB1354" s="115"/>
      <c r="AC1354" s="115"/>
      <c r="AD1354" s="115"/>
      <c r="AE1354" s="115"/>
      <c r="AF1354" s="115"/>
      <c r="AG1354" s="115"/>
      <c r="AH1354" s="115"/>
      <c r="AI1354" s="122"/>
      <c r="AJ1354" s="122"/>
      <c r="AK1354" s="122"/>
      <c r="AL1354" s="115"/>
      <c r="AM1354" s="115"/>
      <c r="AN1354" s="115"/>
      <c r="AO1354" s="115"/>
      <c r="AP1354" s="115"/>
      <c r="AQ1354" s="115"/>
      <c r="AR1354" s="115"/>
      <c r="AS1354" s="115"/>
      <c r="AT1354" s="115"/>
      <c r="AU1354" s="115"/>
      <c r="AV1354" s="115"/>
      <c r="AW1354" s="115"/>
      <c r="AX1354" s="115"/>
      <c r="AY1354" s="115"/>
      <c r="AZ1354" s="26"/>
      <c r="BA1354" s="15"/>
    </row>
    <row r="1355" spans="1:53" x14ac:dyDescent="0.4">
      <c r="AZ1355" s="26"/>
      <c r="BA1355" s="15"/>
    </row>
    <row r="1356" spans="1:53" x14ac:dyDescent="0.4">
      <c r="AC1356" s="115"/>
      <c r="AD1356" s="115"/>
      <c r="AE1356" s="115"/>
      <c r="AF1356" s="115"/>
      <c r="AG1356" s="115"/>
      <c r="AH1356" s="115"/>
      <c r="AI1356" s="122"/>
      <c r="AJ1356" s="122"/>
      <c r="AK1356" s="122"/>
      <c r="AL1356" s="115"/>
      <c r="AM1356" s="115"/>
      <c r="AN1356" s="115"/>
      <c r="AO1356" s="115"/>
      <c r="AP1356" s="115"/>
      <c r="AQ1356" s="115"/>
      <c r="AR1356" s="115"/>
      <c r="AS1356" s="115"/>
      <c r="AT1356" s="115"/>
      <c r="AU1356" s="115"/>
      <c r="AV1356" s="115"/>
      <c r="AW1356" s="115"/>
      <c r="AX1356" s="115"/>
      <c r="AY1356" s="115"/>
      <c r="AZ1356" s="17"/>
      <c r="BA1356" s="15"/>
    </row>
    <row r="1357" spans="1:53" x14ac:dyDescent="0.4">
      <c r="A1357" s="115"/>
      <c r="B1357" s="115"/>
      <c r="C1357" s="115"/>
      <c r="D1357" s="115"/>
      <c r="E1357" s="115"/>
      <c r="F1357" s="115"/>
      <c r="G1357" s="115"/>
      <c r="H1357" s="115"/>
      <c r="I1357" s="115"/>
      <c r="J1357" s="115"/>
      <c r="K1357" s="115"/>
      <c r="L1357" s="115"/>
      <c r="M1357" s="115"/>
      <c r="N1357" s="115"/>
      <c r="O1357" s="115"/>
      <c r="P1357" s="115"/>
      <c r="Q1357" s="115"/>
      <c r="R1357" s="115"/>
      <c r="S1357" s="115"/>
      <c r="T1357" s="115"/>
      <c r="U1357" s="115"/>
      <c r="V1357" s="115"/>
      <c r="W1357" s="115"/>
      <c r="X1357" s="115"/>
      <c r="Y1357" s="115"/>
      <c r="Z1357" s="115"/>
      <c r="AA1357" s="115"/>
      <c r="AB1357" s="115"/>
      <c r="AC1357" s="115"/>
      <c r="AD1357" s="115"/>
      <c r="AE1357" s="115"/>
      <c r="AF1357" s="115"/>
      <c r="AG1357" s="115"/>
      <c r="AH1357" s="115"/>
      <c r="AI1357" s="122"/>
      <c r="AJ1357" s="122"/>
      <c r="AK1357" s="122"/>
      <c r="AL1357" s="115"/>
      <c r="AM1357" s="115"/>
      <c r="AN1357" s="115"/>
      <c r="AO1357" s="115"/>
      <c r="AP1357" s="115"/>
      <c r="AQ1357" s="115"/>
      <c r="AR1357" s="115"/>
      <c r="AS1357" s="115"/>
      <c r="AT1357" s="115"/>
      <c r="AU1357" s="115"/>
      <c r="AV1357" s="115"/>
      <c r="AW1357" s="115"/>
      <c r="AX1357" s="115"/>
      <c r="AY1357" s="115"/>
      <c r="AZ1357" s="26"/>
      <c r="BA1357" s="15"/>
    </row>
    <row r="1358" spans="1:53" x14ac:dyDescent="0.4">
      <c r="A1358" s="115"/>
      <c r="B1358" s="115"/>
      <c r="C1358" s="115"/>
      <c r="D1358" s="115"/>
      <c r="E1358" s="115"/>
      <c r="F1358" s="115"/>
      <c r="G1358" s="115"/>
      <c r="H1358" s="115"/>
      <c r="I1358" s="115"/>
      <c r="J1358" s="115"/>
      <c r="K1358" s="115"/>
      <c r="L1358" s="115"/>
      <c r="M1358" s="115"/>
      <c r="N1358" s="115"/>
      <c r="O1358" s="115"/>
      <c r="P1358" s="115"/>
      <c r="Q1358" s="115"/>
      <c r="R1358" s="115"/>
      <c r="S1358" s="115"/>
      <c r="T1358" s="115"/>
      <c r="U1358" s="115"/>
      <c r="V1358" s="115"/>
      <c r="W1358" s="115"/>
      <c r="X1358" s="115"/>
      <c r="Y1358" s="115"/>
      <c r="Z1358" s="115"/>
      <c r="AA1358" s="115"/>
      <c r="AB1358" s="115"/>
      <c r="AC1358" s="115"/>
      <c r="AD1358" s="115"/>
      <c r="AE1358" s="115"/>
      <c r="AF1358" s="115"/>
      <c r="AG1358" s="115"/>
      <c r="AH1358" s="115"/>
      <c r="AI1358" s="122"/>
      <c r="AJ1358" s="122"/>
      <c r="AK1358" s="122"/>
      <c r="AL1358" s="115"/>
      <c r="AM1358" s="115"/>
      <c r="AN1358" s="115"/>
      <c r="AO1358" s="115"/>
      <c r="AP1358" s="115"/>
      <c r="AQ1358" s="115"/>
      <c r="AR1358" s="115"/>
      <c r="AS1358" s="115"/>
      <c r="AT1358" s="115"/>
      <c r="AU1358" s="115"/>
      <c r="AV1358" s="115"/>
      <c r="AW1358" s="115"/>
      <c r="AX1358" s="115"/>
      <c r="AY1358" s="115"/>
      <c r="AZ1358" s="17"/>
      <c r="BA1358" s="13"/>
    </row>
    <row r="1359" spans="1:53" x14ac:dyDescent="0.4">
      <c r="A1359" s="115"/>
      <c r="B1359" s="115"/>
      <c r="C1359" s="115"/>
      <c r="D1359" s="115"/>
      <c r="E1359" s="115"/>
      <c r="F1359" s="115"/>
      <c r="G1359" s="115"/>
      <c r="H1359" s="115"/>
      <c r="I1359" s="115"/>
      <c r="J1359" s="115"/>
      <c r="K1359" s="115"/>
      <c r="L1359" s="115"/>
      <c r="M1359" s="115"/>
      <c r="N1359" s="115"/>
      <c r="O1359" s="115"/>
      <c r="P1359" s="115"/>
      <c r="Q1359" s="115"/>
      <c r="R1359" s="115"/>
      <c r="S1359" s="115"/>
      <c r="T1359" s="115"/>
      <c r="U1359" s="115"/>
      <c r="V1359" s="115"/>
      <c r="W1359" s="115"/>
      <c r="X1359" s="115"/>
      <c r="Y1359" s="115"/>
      <c r="Z1359" s="115"/>
      <c r="AA1359" s="115"/>
      <c r="AB1359" s="115"/>
      <c r="AC1359" s="115"/>
      <c r="AD1359" s="115"/>
      <c r="AE1359" s="115"/>
      <c r="AF1359" s="115"/>
      <c r="AG1359" s="115"/>
      <c r="AH1359" s="115"/>
      <c r="AI1359" s="122"/>
      <c r="AJ1359" s="122"/>
      <c r="AK1359" s="122"/>
      <c r="AL1359" s="115"/>
      <c r="AM1359" s="115"/>
      <c r="AN1359" s="115"/>
      <c r="AO1359" s="115"/>
      <c r="AP1359" s="115"/>
      <c r="AQ1359" s="115"/>
      <c r="AR1359" s="115"/>
      <c r="AS1359" s="115"/>
      <c r="AT1359" s="115"/>
      <c r="AU1359" s="115"/>
      <c r="AV1359" s="115"/>
      <c r="AW1359" s="115"/>
      <c r="AX1359" s="115"/>
      <c r="AY1359" s="115"/>
      <c r="AZ1359" s="17"/>
      <c r="BA1359" s="13"/>
    </row>
    <row r="1360" spans="1:53" x14ac:dyDescent="0.4">
      <c r="AZ1360" s="26"/>
      <c r="BA1360" s="13"/>
    </row>
    <row r="1361" spans="1:53" x14ac:dyDescent="0.4">
      <c r="C1361" s="115"/>
      <c r="D1361" s="115"/>
      <c r="E1361" s="115"/>
      <c r="F1361" s="115"/>
      <c r="G1361" s="115"/>
      <c r="H1361" s="115"/>
      <c r="I1361" s="115"/>
      <c r="J1361" s="115"/>
      <c r="K1361" s="115"/>
      <c r="L1361" s="115"/>
      <c r="M1361" s="115"/>
      <c r="N1361" s="115"/>
      <c r="O1361" s="115"/>
      <c r="P1361" s="115"/>
      <c r="Q1361" s="115"/>
      <c r="R1361" s="115"/>
      <c r="S1361" s="115"/>
      <c r="T1361" s="115"/>
      <c r="U1361" s="115"/>
      <c r="V1361" s="115"/>
      <c r="W1361" s="115"/>
      <c r="X1361" s="115"/>
      <c r="Y1361" s="115"/>
      <c r="Z1361" s="115"/>
      <c r="AA1361" s="115"/>
      <c r="AB1361" s="115"/>
      <c r="AC1361" s="115"/>
      <c r="AD1361" s="115"/>
      <c r="AE1361" s="115"/>
      <c r="AF1361" s="115"/>
      <c r="AG1361" s="115"/>
      <c r="AH1361" s="115"/>
      <c r="AI1361" s="122"/>
      <c r="AJ1361" s="122"/>
      <c r="AK1361" s="122"/>
      <c r="AL1361" s="115"/>
      <c r="AM1361" s="115"/>
      <c r="AN1361" s="115"/>
      <c r="AO1361" s="115"/>
      <c r="AP1361" s="115"/>
      <c r="AQ1361" s="115"/>
      <c r="AR1361" s="115"/>
      <c r="AS1361" s="115"/>
      <c r="AT1361" s="115"/>
      <c r="AU1361" s="115"/>
      <c r="AV1361" s="115"/>
      <c r="AW1361" s="115"/>
      <c r="AX1361" s="115"/>
      <c r="AY1361" s="115"/>
      <c r="AZ1361" s="26"/>
      <c r="BA1361" s="15"/>
    </row>
    <row r="1362" spans="1:53" x14ac:dyDescent="0.4">
      <c r="C1362" s="115"/>
      <c r="D1362" s="115"/>
      <c r="E1362" s="115"/>
      <c r="F1362" s="115"/>
      <c r="G1362" s="115"/>
      <c r="H1362" s="115"/>
      <c r="I1362" s="115"/>
      <c r="J1362" s="115"/>
      <c r="K1362" s="115"/>
      <c r="L1362" s="115"/>
      <c r="M1362" s="115"/>
      <c r="N1362" s="115"/>
      <c r="O1362" s="115"/>
      <c r="P1362" s="115"/>
      <c r="Q1362" s="115"/>
      <c r="R1362" s="115"/>
      <c r="S1362" s="115"/>
      <c r="T1362" s="115"/>
      <c r="U1362" s="115"/>
      <c r="V1362" s="115"/>
      <c r="W1362" s="115"/>
      <c r="X1362" s="115"/>
      <c r="Y1362" s="115"/>
      <c r="Z1362" s="115"/>
      <c r="AA1362" s="115"/>
      <c r="AB1362" s="115"/>
      <c r="AC1362" s="115"/>
      <c r="AD1362" s="115"/>
      <c r="AE1362" s="115"/>
      <c r="AF1362" s="115"/>
      <c r="AG1362" s="115"/>
      <c r="AH1362" s="115"/>
      <c r="AI1362" s="122"/>
      <c r="AJ1362" s="122"/>
      <c r="AK1362" s="122"/>
      <c r="AL1362" s="115"/>
      <c r="AM1362" s="115"/>
      <c r="AN1362" s="115"/>
      <c r="AO1362" s="115"/>
      <c r="AP1362" s="115"/>
      <c r="AQ1362" s="115"/>
      <c r="AR1362" s="115"/>
      <c r="AS1362" s="115"/>
      <c r="AT1362" s="115"/>
      <c r="AU1362" s="115"/>
      <c r="AV1362" s="115"/>
      <c r="AW1362" s="115"/>
      <c r="AX1362" s="115"/>
      <c r="AY1362" s="115"/>
      <c r="AZ1362" s="26"/>
      <c r="BA1362" s="15"/>
    </row>
    <row r="1363" spans="1:53" x14ac:dyDescent="0.4">
      <c r="AZ1363" s="26"/>
      <c r="BA1363" s="15"/>
    </row>
    <row r="1364" spans="1:53" x14ac:dyDescent="0.4">
      <c r="D1364" s="115"/>
      <c r="E1364" s="115"/>
      <c r="F1364" s="115"/>
      <c r="G1364" s="115"/>
      <c r="H1364" s="115"/>
      <c r="I1364" s="115"/>
      <c r="J1364" s="115"/>
      <c r="K1364" s="115"/>
      <c r="L1364" s="115"/>
      <c r="M1364" s="115"/>
      <c r="N1364" s="115"/>
      <c r="O1364" s="115"/>
      <c r="P1364" s="115"/>
      <c r="Q1364" s="115"/>
      <c r="R1364" s="115"/>
      <c r="S1364" s="115"/>
      <c r="T1364" s="115"/>
      <c r="U1364" s="115"/>
      <c r="V1364" s="115"/>
      <c r="W1364" s="115"/>
      <c r="X1364" s="115"/>
      <c r="Y1364" s="115"/>
      <c r="Z1364" s="115"/>
      <c r="AA1364" s="115"/>
      <c r="AB1364" s="115"/>
      <c r="AC1364" s="115"/>
      <c r="AD1364" s="115"/>
      <c r="AE1364" s="115"/>
      <c r="AF1364" s="115"/>
      <c r="AG1364" s="115"/>
      <c r="AH1364" s="115"/>
      <c r="AI1364" s="122"/>
      <c r="AJ1364" s="122"/>
      <c r="AK1364" s="122"/>
      <c r="AL1364" s="115"/>
      <c r="AM1364" s="115"/>
      <c r="AN1364" s="115"/>
      <c r="AO1364" s="115"/>
      <c r="AP1364" s="115"/>
      <c r="AQ1364" s="115"/>
      <c r="AR1364" s="115"/>
      <c r="AS1364" s="115"/>
      <c r="AT1364" s="115"/>
      <c r="AU1364" s="115"/>
      <c r="AV1364" s="115"/>
      <c r="AW1364" s="115"/>
      <c r="AX1364" s="115"/>
      <c r="AY1364" s="115"/>
      <c r="AZ1364" s="26"/>
      <c r="BA1364" s="15"/>
    </row>
    <row r="1365" spans="1:53" x14ac:dyDescent="0.4">
      <c r="C1365" s="115"/>
      <c r="D1365" s="115"/>
      <c r="E1365" s="115"/>
      <c r="F1365" s="115"/>
      <c r="G1365" s="115"/>
      <c r="H1365" s="115"/>
      <c r="I1365" s="115"/>
      <c r="J1365" s="115"/>
      <c r="K1365" s="115"/>
      <c r="L1365" s="115"/>
      <c r="M1365" s="115"/>
      <c r="N1365" s="115"/>
      <c r="O1365" s="115"/>
      <c r="P1365" s="115"/>
      <c r="Q1365" s="115"/>
      <c r="R1365" s="115"/>
      <c r="S1365" s="115"/>
      <c r="T1365" s="115"/>
      <c r="U1365" s="115"/>
      <c r="V1365" s="115"/>
      <c r="W1365" s="115"/>
      <c r="X1365" s="115"/>
      <c r="Y1365" s="115"/>
      <c r="Z1365" s="115"/>
      <c r="AA1365" s="115"/>
      <c r="AB1365" s="115"/>
      <c r="AC1365" s="115"/>
      <c r="AD1365" s="115"/>
      <c r="AE1365" s="115"/>
      <c r="AF1365" s="115"/>
      <c r="AG1365" s="115"/>
      <c r="AH1365" s="115"/>
      <c r="AI1365" s="122"/>
      <c r="AJ1365" s="122"/>
      <c r="AK1365" s="122"/>
      <c r="AL1365" s="115"/>
      <c r="AM1365" s="115"/>
      <c r="AN1365" s="115"/>
      <c r="AO1365" s="115"/>
      <c r="AP1365" s="115"/>
      <c r="AQ1365" s="115"/>
      <c r="AR1365" s="115"/>
      <c r="AS1365" s="115"/>
      <c r="AT1365" s="115"/>
      <c r="AU1365" s="115"/>
      <c r="AV1365" s="115"/>
      <c r="AW1365" s="115"/>
      <c r="AX1365" s="115"/>
      <c r="AY1365" s="115"/>
      <c r="AZ1365" s="26"/>
      <c r="BA1365" s="15"/>
    </row>
    <row r="1366" spans="1:53" x14ac:dyDescent="0.4">
      <c r="C1366" s="115"/>
      <c r="D1366" s="115"/>
      <c r="E1366" s="115"/>
      <c r="F1366" s="115"/>
      <c r="G1366" s="115"/>
      <c r="H1366" s="115"/>
      <c r="I1366" s="115"/>
      <c r="J1366" s="115"/>
      <c r="K1366" s="115"/>
      <c r="L1366" s="115"/>
      <c r="M1366" s="115"/>
      <c r="N1366" s="115"/>
      <c r="O1366" s="115"/>
      <c r="P1366" s="115"/>
      <c r="Q1366" s="115"/>
      <c r="R1366" s="115"/>
      <c r="S1366" s="115"/>
      <c r="T1366" s="115"/>
      <c r="U1366" s="115"/>
      <c r="V1366" s="115"/>
      <c r="W1366" s="115"/>
      <c r="X1366" s="115"/>
      <c r="Y1366" s="115"/>
      <c r="Z1366" s="115"/>
      <c r="AA1366" s="115"/>
      <c r="AB1366" s="115"/>
      <c r="AC1366" s="115"/>
      <c r="AD1366" s="115"/>
      <c r="AE1366" s="115"/>
      <c r="AF1366" s="115"/>
      <c r="AG1366" s="115"/>
      <c r="AH1366" s="115"/>
      <c r="AI1366" s="122"/>
      <c r="AJ1366" s="122"/>
      <c r="AK1366" s="122"/>
      <c r="AL1366" s="115"/>
      <c r="AM1366" s="115"/>
      <c r="AN1366" s="115"/>
      <c r="AO1366" s="115"/>
      <c r="AP1366" s="115"/>
      <c r="AQ1366" s="115"/>
      <c r="AR1366" s="115"/>
      <c r="AS1366" s="115"/>
      <c r="AT1366" s="115"/>
      <c r="AU1366" s="115"/>
      <c r="AV1366" s="115"/>
      <c r="AW1366" s="115"/>
      <c r="AX1366" s="115"/>
      <c r="AY1366" s="115"/>
      <c r="AZ1366" s="26"/>
      <c r="BA1366" s="15"/>
    </row>
    <row r="1367" spans="1:53" x14ac:dyDescent="0.4">
      <c r="C1367" s="115"/>
      <c r="D1367" s="115"/>
      <c r="E1367" s="115"/>
      <c r="F1367" s="115"/>
      <c r="G1367" s="115"/>
      <c r="H1367" s="115"/>
      <c r="I1367" s="115"/>
      <c r="J1367" s="115"/>
      <c r="K1367" s="115"/>
      <c r="L1367" s="115"/>
      <c r="M1367" s="115"/>
      <c r="N1367" s="115"/>
      <c r="O1367" s="115"/>
      <c r="P1367" s="115"/>
      <c r="Q1367" s="115"/>
      <c r="R1367" s="115"/>
      <c r="S1367" s="115"/>
      <c r="T1367" s="115"/>
      <c r="U1367" s="115"/>
      <c r="V1367" s="115"/>
      <c r="W1367" s="115"/>
      <c r="X1367" s="115"/>
      <c r="Y1367" s="115"/>
      <c r="Z1367" s="115"/>
      <c r="AA1367" s="115"/>
      <c r="AB1367" s="115"/>
      <c r="AC1367" s="115"/>
      <c r="AD1367" s="115"/>
      <c r="AE1367" s="115"/>
      <c r="AF1367" s="115"/>
      <c r="AG1367" s="115"/>
      <c r="AH1367" s="115"/>
      <c r="AI1367" s="122"/>
      <c r="AJ1367" s="122"/>
      <c r="AK1367" s="122"/>
      <c r="AL1367" s="115"/>
      <c r="AM1367" s="115"/>
      <c r="AN1367" s="115"/>
      <c r="AO1367" s="115"/>
      <c r="AP1367" s="115"/>
      <c r="AQ1367" s="115"/>
      <c r="AR1367" s="115"/>
      <c r="AS1367" s="115"/>
      <c r="AT1367" s="115"/>
      <c r="AU1367" s="115"/>
      <c r="AV1367" s="115"/>
      <c r="AW1367" s="115"/>
      <c r="AX1367" s="115"/>
      <c r="AY1367" s="115"/>
      <c r="AZ1367" s="26"/>
      <c r="BA1367" s="15"/>
    </row>
    <row r="1368" spans="1:53" x14ac:dyDescent="0.4">
      <c r="AZ1368" s="26"/>
      <c r="BA1368" s="15"/>
    </row>
    <row r="1369" spans="1:53" x14ac:dyDescent="0.4">
      <c r="D1369" s="115"/>
      <c r="E1369" s="115"/>
      <c r="F1369" s="115"/>
      <c r="G1369" s="115"/>
      <c r="H1369" s="115"/>
      <c r="I1369" s="115"/>
      <c r="J1369" s="115"/>
      <c r="K1369" s="115"/>
      <c r="L1369" s="115"/>
      <c r="M1369" s="115"/>
      <c r="N1369" s="115"/>
      <c r="O1369" s="115"/>
      <c r="P1369" s="115"/>
      <c r="Q1369" s="115"/>
      <c r="R1369" s="115"/>
      <c r="S1369" s="115"/>
      <c r="T1369" s="115"/>
      <c r="U1369" s="115"/>
      <c r="V1369" s="115"/>
      <c r="W1369" s="115"/>
      <c r="X1369" s="115"/>
      <c r="Y1369" s="115"/>
      <c r="Z1369" s="115"/>
      <c r="AA1369" s="115"/>
      <c r="AB1369" s="115"/>
      <c r="AC1369" s="115"/>
      <c r="AD1369" s="115"/>
      <c r="AE1369" s="115"/>
      <c r="AF1369" s="115"/>
      <c r="AG1369" s="115"/>
      <c r="AH1369" s="115"/>
      <c r="AI1369" s="122"/>
      <c r="AJ1369" s="122"/>
      <c r="AK1369" s="122"/>
      <c r="AL1369" s="115"/>
      <c r="AM1369" s="115"/>
      <c r="AN1369" s="115"/>
      <c r="AO1369" s="115"/>
      <c r="AP1369" s="115"/>
      <c r="AQ1369" s="115"/>
      <c r="AR1369" s="115"/>
      <c r="AS1369" s="115"/>
      <c r="AT1369" s="115"/>
      <c r="AU1369" s="115"/>
      <c r="AV1369" s="115"/>
      <c r="AW1369" s="115"/>
      <c r="AX1369" s="115"/>
      <c r="AY1369" s="115"/>
      <c r="AZ1369" s="26"/>
      <c r="BA1369" s="15"/>
    </row>
    <row r="1370" spans="1:53" x14ac:dyDescent="0.4">
      <c r="AZ1370" s="26"/>
      <c r="BA1370" s="15"/>
    </row>
    <row r="1371" spans="1:53" x14ac:dyDescent="0.4">
      <c r="D1371" s="115"/>
      <c r="E1371" s="115"/>
      <c r="F1371" s="115"/>
      <c r="G1371" s="115"/>
      <c r="H1371" s="115"/>
      <c r="I1371" s="115"/>
      <c r="J1371" s="115"/>
      <c r="K1371" s="115"/>
      <c r="L1371" s="115"/>
      <c r="M1371" s="115"/>
      <c r="N1371" s="115"/>
      <c r="O1371" s="115"/>
      <c r="P1371" s="115"/>
      <c r="Q1371" s="115"/>
      <c r="R1371" s="115"/>
      <c r="S1371" s="115"/>
      <c r="T1371" s="115"/>
      <c r="U1371" s="115"/>
      <c r="V1371" s="115"/>
      <c r="W1371" s="115"/>
      <c r="X1371" s="115"/>
      <c r="Y1371" s="115"/>
      <c r="Z1371" s="115"/>
      <c r="AA1371" s="115"/>
      <c r="AB1371" s="115"/>
      <c r="AC1371" s="115"/>
      <c r="AD1371" s="115"/>
      <c r="AE1371" s="115"/>
      <c r="AF1371" s="115"/>
      <c r="AG1371" s="115"/>
      <c r="AH1371" s="115"/>
      <c r="AI1371" s="122"/>
      <c r="AJ1371" s="122"/>
      <c r="AK1371" s="122"/>
      <c r="AL1371" s="115"/>
      <c r="AM1371" s="115"/>
      <c r="AN1371" s="115"/>
      <c r="AO1371" s="115"/>
      <c r="AP1371" s="115"/>
      <c r="AQ1371" s="115"/>
      <c r="AR1371" s="115"/>
      <c r="AS1371" s="115"/>
      <c r="AT1371" s="115"/>
      <c r="AU1371" s="115"/>
      <c r="AV1371" s="115"/>
      <c r="AW1371" s="115"/>
      <c r="AX1371" s="115"/>
      <c r="AY1371" s="115"/>
      <c r="AZ1371" s="26"/>
      <c r="BA1371" s="15"/>
    </row>
    <row r="1372" spans="1:53" x14ac:dyDescent="0.4">
      <c r="D1372" s="115"/>
      <c r="E1372" s="115"/>
      <c r="F1372" s="115"/>
      <c r="G1372" s="115"/>
      <c r="H1372" s="115"/>
      <c r="I1372" s="115"/>
      <c r="J1372" s="115"/>
      <c r="K1372" s="115"/>
      <c r="L1372" s="115"/>
      <c r="M1372" s="115"/>
      <c r="N1372" s="115"/>
      <c r="O1372" s="115"/>
      <c r="P1372" s="115"/>
      <c r="Q1372" s="115"/>
      <c r="R1372" s="115"/>
      <c r="S1372" s="115"/>
      <c r="T1372" s="115"/>
      <c r="U1372" s="115"/>
      <c r="V1372" s="115"/>
      <c r="W1372" s="115"/>
      <c r="X1372" s="115"/>
      <c r="Y1372" s="115"/>
      <c r="Z1372" s="115"/>
      <c r="AA1372" s="115"/>
      <c r="AB1372" s="115"/>
      <c r="AC1372" s="115"/>
      <c r="AD1372" s="115"/>
      <c r="AE1372" s="115"/>
      <c r="AF1372" s="115"/>
      <c r="AG1372" s="115"/>
      <c r="AH1372" s="115"/>
      <c r="AI1372" s="122"/>
      <c r="AJ1372" s="122"/>
      <c r="AK1372" s="122"/>
      <c r="AL1372" s="115"/>
      <c r="AM1372" s="115"/>
      <c r="AN1372" s="115"/>
      <c r="AO1372" s="115"/>
      <c r="AP1372" s="115"/>
      <c r="AQ1372" s="115"/>
      <c r="AR1372" s="115"/>
      <c r="AS1372" s="115"/>
      <c r="AT1372" s="115"/>
      <c r="AU1372" s="115"/>
      <c r="AV1372" s="115"/>
      <c r="AW1372" s="115"/>
      <c r="AX1372" s="115"/>
      <c r="AY1372" s="115"/>
      <c r="AZ1372" s="26"/>
      <c r="BA1372" s="15"/>
    </row>
    <row r="1373" spans="1:53" x14ac:dyDescent="0.4">
      <c r="D1373" s="115"/>
      <c r="E1373" s="115"/>
      <c r="F1373" s="115"/>
      <c r="G1373" s="115"/>
      <c r="H1373" s="115"/>
      <c r="I1373" s="115"/>
      <c r="J1373" s="115"/>
      <c r="K1373" s="115"/>
      <c r="L1373" s="115"/>
      <c r="M1373" s="115"/>
      <c r="N1373" s="115"/>
      <c r="O1373" s="115"/>
      <c r="P1373" s="115"/>
      <c r="Q1373" s="115"/>
      <c r="R1373" s="115"/>
      <c r="S1373" s="115"/>
      <c r="T1373" s="115"/>
      <c r="U1373" s="115"/>
      <c r="V1373" s="115"/>
      <c r="W1373" s="115"/>
      <c r="X1373" s="115"/>
      <c r="Y1373" s="115"/>
      <c r="Z1373" s="115"/>
      <c r="AA1373" s="115"/>
      <c r="AB1373" s="115"/>
      <c r="AC1373" s="115"/>
      <c r="AD1373" s="115"/>
      <c r="AE1373" s="115"/>
      <c r="AF1373" s="115"/>
      <c r="AG1373" s="115"/>
      <c r="AH1373" s="115"/>
      <c r="AI1373" s="122"/>
      <c r="AJ1373" s="122"/>
      <c r="AK1373" s="122"/>
      <c r="AL1373" s="115"/>
      <c r="AM1373" s="115"/>
      <c r="AN1373" s="115"/>
      <c r="AO1373" s="115"/>
      <c r="AP1373" s="115"/>
      <c r="AQ1373" s="115"/>
      <c r="AR1373" s="115"/>
      <c r="AS1373" s="115"/>
      <c r="AT1373" s="115"/>
      <c r="AU1373" s="115"/>
      <c r="AV1373" s="115"/>
      <c r="AW1373" s="115"/>
      <c r="AX1373" s="115"/>
      <c r="AY1373" s="115"/>
      <c r="AZ1373" s="17"/>
      <c r="BA1373" s="15"/>
    </row>
    <row r="1374" spans="1:53" x14ac:dyDescent="0.4">
      <c r="AZ1374" s="26"/>
      <c r="BA1374" s="15"/>
    </row>
    <row r="1375" spans="1:53" x14ac:dyDescent="0.4">
      <c r="AZ1375" s="26"/>
      <c r="BA1375" s="15"/>
    </row>
    <row r="1376" spans="1:53" x14ac:dyDescent="0.4">
      <c r="A1376" s="115"/>
      <c r="B1376" s="115"/>
      <c r="C1376" s="115"/>
      <c r="D1376" s="115"/>
      <c r="E1376" s="115"/>
      <c r="F1376" s="115"/>
      <c r="G1376" s="115"/>
      <c r="H1376" s="115"/>
      <c r="I1376" s="115"/>
      <c r="J1376" s="115"/>
      <c r="K1376" s="115"/>
      <c r="L1376" s="115"/>
      <c r="M1376" s="115"/>
      <c r="N1376" s="115"/>
      <c r="O1376" s="115"/>
      <c r="P1376" s="115"/>
      <c r="Q1376" s="115"/>
      <c r="R1376" s="115"/>
      <c r="S1376" s="115"/>
      <c r="T1376" s="115"/>
      <c r="U1376" s="115"/>
      <c r="V1376" s="115"/>
      <c r="W1376" s="115"/>
      <c r="X1376" s="115"/>
      <c r="Y1376" s="115"/>
      <c r="Z1376" s="115"/>
      <c r="AA1376" s="115"/>
      <c r="AB1376" s="115"/>
      <c r="AC1376" s="115"/>
      <c r="AD1376" s="115"/>
      <c r="AE1376" s="115"/>
      <c r="AF1376" s="115"/>
      <c r="AG1376" s="115"/>
      <c r="AH1376" s="115"/>
      <c r="AI1376" s="122"/>
      <c r="AJ1376" s="122"/>
      <c r="AK1376" s="122"/>
      <c r="AL1376" s="115"/>
      <c r="AM1376" s="115"/>
      <c r="AN1376" s="115"/>
      <c r="AO1376" s="115"/>
      <c r="AP1376" s="115"/>
      <c r="AQ1376" s="115"/>
      <c r="AR1376" s="115"/>
      <c r="AS1376" s="115"/>
      <c r="AT1376" s="115"/>
      <c r="AU1376" s="115"/>
      <c r="AV1376" s="115"/>
      <c r="AW1376" s="115"/>
      <c r="AX1376" s="115"/>
      <c r="AY1376" s="115"/>
      <c r="AZ1376" s="26"/>
      <c r="BA1376" s="15"/>
    </row>
    <row r="1377" spans="1:53" x14ac:dyDescent="0.4">
      <c r="A1377" s="115"/>
      <c r="B1377" s="115"/>
      <c r="C1377" s="115"/>
      <c r="D1377" s="115"/>
      <c r="E1377" s="115"/>
      <c r="F1377" s="115"/>
      <c r="G1377" s="115"/>
      <c r="H1377" s="115"/>
      <c r="I1377" s="115"/>
      <c r="J1377" s="115"/>
      <c r="K1377" s="115"/>
      <c r="L1377" s="115"/>
      <c r="M1377" s="115"/>
      <c r="N1377" s="115"/>
      <c r="O1377" s="115"/>
      <c r="P1377" s="115"/>
      <c r="Q1377" s="115"/>
      <c r="R1377" s="115"/>
      <c r="S1377" s="115"/>
      <c r="T1377" s="115"/>
      <c r="U1377" s="115"/>
      <c r="V1377" s="115"/>
      <c r="W1377" s="115"/>
      <c r="X1377" s="115"/>
      <c r="Y1377" s="115"/>
      <c r="Z1377" s="115"/>
      <c r="AA1377" s="115"/>
      <c r="AB1377" s="115"/>
      <c r="AC1377" s="115"/>
      <c r="AD1377" s="115"/>
      <c r="AE1377" s="115"/>
      <c r="AF1377" s="115"/>
      <c r="AG1377" s="115"/>
      <c r="AH1377" s="115"/>
      <c r="AI1377" s="122"/>
      <c r="AJ1377" s="122"/>
      <c r="AK1377" s="122"/>
      <c r="AL1377" s="115"/>
      <c r="AM1377" s="115"/>
      <c r="AN1377" s="115"/>
      <c r="AO1377" s="115"/>
      <c r="AP1377" s="115"/>
      <c r="AQ1377" s="115"/>
      <c r="AR1377" s="115"/>
      <c r="AS1377" s="115"/>
      <c r="AT1377" s="115"/>
      <c r="AU1377" s="115"/>
      <c r="AV1377" s="115"/>
      <c r="AW1377" s="115"/>
      <c r="AX1377" s="115"/>
      <c r="AY1377" s="115"/>
      <c r="AZ1377" s="17"/>
      <c r="BA1377" s="15"/>
    </row>
    <row r="1378" spans="1:53" x14ac:dyDescent="0.4">
      <c r="AZ1378" s="26"/>
      <c r="BA1378" s="15"/>
    </row>
    <row r="1379" spans="1:53" ht="17.25" customHeight="1" x14ac:dyDescent="0.4">
      <c r="B1379" s="115"/>
      <c r="C1379" s="115"/>
      <c r="D1379" s="115"/>
      <c r="E1379" s="115"/>
      <c r="F1379" s="115"/>
      <c r="G1379" s="115"/>
      <c r="H1379" s="115"/>
      <c r="I1379" s="115"/>
      <c r="J1379" s="115"/>
      <c r="K1379" s="115"/>
      <c r="L1379" s="115"/>
      <c r="M1379" s="115"/>
      <c r="N1379" s="115"/>
      <c r="O1379" s="115"/>
      <c r="P1379" s="115"/>
      <c r="Q1379" s="115"/>
      <c r="R1379" s="115"/>
      <c r="S1379" s="115"/>
      <c r="T1379" s="115"/>
      <c r="U1379" s="115"/>
      <c r="V1379" s="115"/>
      <c r="W1379" s="115"/>
      <c r="X1379" s="115"/>
      <c r="Y1379" s="115"/>
      <c r="Z1379" s="115"/>
      <c r="AA1379" s="115"/>
      <c r="AB1379" s="115"/>
      <c r="AC1379" s="115"/>
      <c r="AD1379" s="115"/>
      <c r="AE1379" s="115"/>
      <c r="AF1379" s="115"/>
      <c r="AG1379" s="115"/>
      <c r="AH1379" s="115"/>
      <c r="AI1379" s="122"/>
      <c r="AJ1379" s="122"/>
      <c r="AK1379" s="122"/>
      <c r="AL1379" s="115"/>
      <c r="AM1379" s="115"/>
      <c r="AN1379" s="115"/>
      <c r="AO1379" s="115"/>
      <c r="AP1379" s="115"/>
      <c r="AQ1379" s="115"/>
      <c r="AR1379" s="115"/>
      <c r="AS1379" s="115"/>
      <c r="AT1379" s="115"/>
      <c r="AU1379" s="115"/>
      <c r="AV1379" s="115"/>
      <c r="AW1379" s="115"/>
      <c r="AX1379" s="115"/>
      <c r="AY1379" s="115"/>
      <c r="AZ1379" s="26"/>
      <c r="BA1379" s="15"/>
    </row>
    <row r="1380" spans="1:53" x14ac:dyDescent="0.4">
      <c r="AZ1380" s="26"/>
      <c r="BA1380" s="15"/>
    </row>
    <row r="1381" spans="1:53" x14ac:dyDescent="0.4">
      <c r="AB1381" s="115"/>
      <c r="AC1381" s="115"/>
      <c r="AD1381" s="115"/>
      <c r="AE1381" s="115"/>
      <c r="AF1381" s="115"/>
      <c r="AG1381" s="115"/>
      <c r="AH1381" s="115"/>
      <c r="AI1381" s="122"/>
      <c r="AJ1381" s="122"/>
      <c r="AK1381" s="122"/>
      <c r="AL1381" s="115"/>
      <c r="AM1381" s="115"/>
      <c r="AN1381" s="115"/>
      <c r="AO1381" s="115"/>
      <c r="AP1381" s="115"/>
      <c r="AQ1381" s="115"/>
      <c r="AR1381" s="115"/>
      <c r="AS1381" s="115"/>
      <c r="AT1381" s="115"/>
      <c r="AU1381" s="115"/>
      <c r="AV1381" s="115"/>
      <c r="AW1381" s="115"/>
      <c r="AX1381" s="115"/>
      <c r="AY1381" s="115"/>
      <c r="AZ1381" s="17"/>
      <c r="BA1381" s="15"/>
    </row>
    <row r="1382" spans="1:53" ht="16.5" customHeight="1" x14ac:dyDescent="0.4">
      <c r="A1382" s="115"/>
      <c r="B1382" s="115"/>
      <c r="C1382" s="115"/>
      <c r="D1382" s="115"/>
      <c r="E1382" s="115"/>
      <c r="F1382" s="115"/>
      <c r="G1382" s="115"/>
      <c r="H1382" s="115"/>
      <c r="I1382" s="115"/>
      <c r="J1382" s="115"/>
      <c r="K1382" s="115"/>
      <c r="L1382" s="115"/>
      <c r="M1382" s="115"/>
      <c r="N1382" s="115"/>
      <c r="O1382" s="115"/>
      <c r="P1382" s="115"/>
      <c r="Q1382" s="115"/>
      <c r="R1382" s="115"/>
      <c r="S1382" s="115"/>
      <c r="T1382" s="115"/>
      <c r="U1382" s="115"/>
      <c r="V1382" s="115"/>
      <c r="W1382" s="115"/>
      <c r="X1382" s="115"/>
      <c r="Y1382" s="115"/>
      <c r="Z1382" s="115"/>
      <c r="AA1382" s="115"/>
      <c r="AB1382" s="115"/>
      <c r="AC1382" s="115"/>
      <c r="AD1382" s="115"/>
      <c r="AE1382" s="115"/>
      <c r="AF1382" s="115"/>
      <c r="AG1382" s="115"/>
      <c r="AH1382" s="115"/>
      <c r="AI1382" s="122"/>
      <c r="AJ1382" s="122"/>
      <c r="AK1382" s="122"/>
      <c r="AL1382" s="115"/>
      <c r="AM1382" s="115"/>
      <c r="AN1382" s="115"/>
      <c r="AO1382" s="115"/>
      <c r="AP1382" s="115"/>
      <c r="AQ1382" s="115"/>
      <c r="AR1382" s="115"/>
      <c r="AS1382" s="115"/>
      <c r="AT1382" s="115"/>
      <c r="AU1382" s="115"/>
      <c r="AV1382" s="115"/>
      <c r="AW1382" s="115"/>
      <c r="AX1382" s="115"/>
      <c r="AY1382" s="115"/>
      <c r="AZ1382" s="26"/>
      <c r="BA1382" s="15"/>
    </row>
    <row r="1383" spans="1:53" ht="22.5" customHeight="1" x14ac:dyDescent="0.4">
      <c r="A1383" s="115"/>
      <c r="B1383" s="115"/>
      <c r="C1383" s="115"/>
      <c r="D1383" s="115"/>
      <c r="E1383" s="115"/>
      <c r="F1383" s="115"/>
      <c r="G1383" s="115"/>
      <c r="H1383" s="115"/>
      <c r="I1383" s="115"/>
      <c r="J1383" s="115"/>
      <c r="K1383" s="115"/>
      <c r="L1383" s="115"/>
      <c r="M1383" s="115"/>
      <c r="N1383" s="115"/>
      <c r="O1383" s="115"/>
      <c r="P1383" s="115"/>
      <c r="Q1383" s="115"/>
      <c r="R1383" s="115"/>
      <c r="S1383" s="115"/>
      <c r="T1383" s="115"/>
      <c r="U1383" s="115"/>
      <c r="V1383" s="115"/>
      <c r="W1383" s="115"/>
      <c r="X1383" s="115"/>
      <c r="Y1383" s="115"/>
      <c r="Z1383" s="115"/>
      <c r="AA1383" s="115"/>
      <c r="AB1383" s="115"/>
      <c r="AC1383" s="115"/>
      <c r="AD1383" s="115"/>
      <c r="AE1383" s="115"/>
      <c r="AF1383" s="115"/>
      <c r="AG1383" s="115"/>
      <c r="AH1383" s="115"/>
      <c r="AI1383" s="122"/>
      <c r="AJ1383" s="122"/>
      <c r="AK1383" s="122"/>
      <c r="AL1383" s="115"/>
      <c r="AM1383" s="115"/>
      <c r="AN1383" s="115"/>
      <c r="AO1383" s="115"/>
      <c r="AP1383" s="115"/>
      <c r="AQ1383" s="115"/>
      <c r="AR1383" s="115"/>
      <c r="AS1383" s="115"/>
      <c r="AT1383" s="115"/>
      <c r="AU1383" s="115"/>
      <c r="AV1383" s="115"/>
      <c r="AW1383" s="115"/>
      <c r="AX1383" s="115"/>
      <c r="AY1383" s="115"/>
      <c r="AZ1383" s="26"/>
      <c r="BA1383" s="15"/>
    </row>
    <row r="1384" spans="1:53" x14ac:dyDescent="0.4">
      <c r="AZ1384" s="26"/>
      <c r="BA1384" s="15"/>
    </row>
    <row r="1385" spans="1:53" x14ac:dyDescent="0.4">
      <c r="AZ1385" s="26"/>
      <c r="BA1385" s="105"/>
    </row>
    <row r="1386" spans="1:53" x14ac:dyDescent="0.4">
      <c r="A1386" s="115"/>
      <c r="B1386" s="115"/>
      <c r="C1386" s="115"/>
      <c r="D1386" s="115"/>
      <c r="E1386" s="115"/>
      <c r="F1386" s="115"/>
      <c r="G1386" s="115"/>
      <c r="H1386" s="115"/>
      <c r="I1386" s="115"/>
      <c r="J1386" s="115"/>
      <c r="K1386" s="115"/>
      <c r="L1386" s="115"/>
      <c r="M1386" s="115"/>
      <c r="N1386" s="115"/>
      <c r="O1386" s="115"/>
      <c r="P1386" s="115"/>
      <c r="Q1386" s="115"/>
      <c r="R1386" s="115"/>
      <c r="S1386" s="115"/>
      <c r="T1386" s="115"/>
      <c r="U1386" s="115"/>
      <c r="V1386" s="115"/>
      <c r="W1386" s="115"/>
      <c r="X1386" s="115"/>
      <c r="Y1386" s="115"/>
      <c r="Z1386" s="115"/>
      <c r="AA1386" s="115"/>
      <c r="AB1386" s="115"/>
      <c r="AC1386" s="115"/>
      <c r="AD1386" s="115"/>
      <c r="AE1386" s="115"/>
      <c r="AF1386" s="115"/>
      <c r="AG1386" s="115"/>
      <c r="AH1386" s="115"/>
      <c r="AI1386" s="122"/>
      <c r="AJ1386" s="122"/>
      <c r="AK1386" s="122"/>
      <c r="AL1386" s="115"/>
      <c r="AM1386" s="115"/>
      <c r="AN1386" s="115"/>
      <c r="AO1386" s="115"/>
      <c r="AP1386" s="115"/>
      <c r="AQ1386" s="115"/>
      <c r="AR1386" s="115"/>
      <c r="AS1386" s="115"/>
      <c r="AT1386" s="115"/>
      <c r="AU1386" s="115"/>
      <c r="AV1386" s="115"/>
      <c r="AW1386" s="115"/>
      <c r="AX1386" s="115"/>
      <c r="AY1386" s="115"/>
      <c r="AZ1386" s="26"/>
      <c r="BA1386" s="15"/>
    </row>
    <row r="1387" spans="1:53" x14ac:dyDescent="0.4">
      <c r="AZ1387" s="26"/>
      <c r="BA1387" s="15"/>
    </row>
    <row r="1388" spans="1:53" x14ac:dyDescent="0.4">
      <c r="AZ1388" s="26"/>
      <c r="BA1388" s="15"/>
    </row>
    <row r="1389" spans="1:53" x14ac:dyDescent="0.4">
      <c r="AZ1389" s="26"/>
      <c r="BA1389" s="15"/>
    </row>
    <row r="1390" spans="1:53" x14ac:dyDescent="0.4">
      <c r="AZ1390" s="26"/>
      <c r="BA1390" s="15"/>
    </row>
    <row r="1391" spans="1:53" x14ac:dyDescent="0.4">
      <c r="A1391" s="115"/>
      <c r="B1391" s="115"/>
      <c r="C1391" s="115"/>
      <c r="D1391" s="115"/>
      <c r="E1391" s="115"/>
      <c r="F1391" s="115"/>
      <c r="G1391" s="115"/>
      <c r="H1391" s="115"/>
      <c r="I1391" s="115"/>
      <c r="J1391" s="115"/>
      <c r="K1391" s="115"/>
      <c r="L1391" s="115"/>
      <c r="M1391" s="115"/>
      <c r="N1391" s="115"/>
      <c r="O1391" s="115"/>
      <c r="P1391" s="115"/>
      <c r="Q1391" s="115"/>
      <c r="R1391" s="115"/>
      <c r="S1391" s="115"/>
      <c r="T1391" s="115"/>
      <c r="U1391" s="115"/>
      <c r="V1391" s="115"/>
      <c r="W1391" s="115"/>
      <c r="X1391" s="115"/>
      <c r="Y1391" s="115"/>
      <c r="Z1391" s="115"/>
      <c r="AA1391" s="115"/>
      <c r="AB1391" s="115"/>
      <c r="AC1391" s="115"/>
      <c r="AD1391" s="115"/>
      <c r="AE1391" s="115"/>
      <c r="AF1391" s="115"/>
      <c r="AG1391" s="115"/>
      <c r="AH1391" s="115"/>
      <c r="AI1391" s="122"/>
      <c r="AJ1391" s="122"/>
      <c r="AK1391" s="122"/>
      <c r="AL1391" s="115"/>
      <c r="AM1391" s="115"/>
      <c r="AN1391" s="115"/>
      <c r="AO1391" s="115"/>
      <c r="AP1391" s="115"/>
      <c r="AQ1391" s="115"/>
      <c r="AR1391" s="115"/>
      <c r="AS1391" s="115"/>
      <c r="AT1391" s="115"/>
      <c r="AU1391" s="115"/>
      <c r="AV1391" s="115"/>
      <c r="AW1391" s="115"/>
      <c r="AX1391" s="115"/>
      <c r="AY1391" s="115"/>
      <c r="AZ1391" s="26"/>
      <c r="BA1391" s="15"/>
    </row>
    <row r="1392" spans="1:53" x14ac:dyDescent="0.4">
      <c r="AZ1392" s="26"/>
      <c r="BA1392" s="15"/>
    </row>
    <row r="1393" spans="1:53" x14ac:dyDescent="0.4">
      <c r="AZ1393" s="26"/>
      <c r="BA1393" s="15"/>
    </row>
    <row r="1394" spans="1:53" x14ac:dyDescent="0.4">
      <c r="AZ1394" s="26"/>
      <c r="BA1394" s="15"/>
    </row>
    <row r="1395" spans="1:53" x14ac:dyDescent="0.4">
      <c r="AZ1395" s="26"/>
      <c r="BA1395" s="15"/>
    </row>
    <row r="1396" spans="1:53" ht="18.75" customHeight="1" x14ac:dyDescent="0.4">
      <c r="B1396" s="115"/>
      <c r="C1396" s="115"/>
      <c r="D1396" s="115"/>
      <c r="E1396" s="115"/>
      <c r="F1396" s="115"/>
      <c r="G1396" s="115"/>
      <c r="H1396" s="115"/>
      <c r="I1396" s="115"/>
      <c r="J1396" s="115"/>
      <c r="K1396" s="115"/>
      <c r="L1396" s="115"/>
      <c r="M1396" s="115"/>
      <c r="N1396" s="115"/>
      <c r="O1396" s="115"/>
      <c r="P1396" s="115"/>
      <c r="Q1396" s="115"/>
      <c r="R1396" s="115"/>
      <c r="S1396" s="115"/>
      <c r="T1396" s="115"/>
      <c r="U1396" s="115"/>
      <c r="V1396" s="115"/>
      <c r="W1396" s="115"/>
      <c r="X1396" s="115"/>
      <c r="Y1396" s="115"/>
      <c r="Z1396" s="115"/>
      <c r="AA1396" s="115"/>
      <c r="AB1396" s="115"/>
      <c r="AC1396" s="115"/>
      <c r="AD1396" s="115"/>
      <c r="AE1396" s="115"/>
      <c r="AF1396" s="115"/>
      <c r="AG1396" s="115"/>
      <c r="AH1396" s="115"/>
      <c r="AI1396" s="122"/>
      <c r="AJ1396" s="122"/>
      <c r="AK1396" s="122"/>
      <c r="AL1396" s="115"/>
      <c r="AM1396" s="115"/>
      <c r="AN1396" s="115"/>
      <c r="AO1396" s="115"/>
      <c r="AP1396" s="115"/>
      <c r="AQ1396" s="115"/>
      <c r="AR1396" s="115"/>
      <c r="AS1396" s="115"/>
      <c r="AT1396" s="115"/>
      <c r="AU1396" s="115"/>
      <c r="AV1396" s="115"/>
      <c r="AW1396" s="115"/>
      <c r="AX1396" s="115"/>
      <c r="AY1396" s="115"/>
      <c r="AZ1396" s="26"/>
      <c r="BA1396" s="15"/>
    </row>
    <row r="1397" spans="1:53" x14ac:dyDescent="0.4">
      <c r="AZ1397" s="26"/>
      <c r="BA1397" s="15"/>
    </row>
    <row r="1398" spans="1:53" x14ac:dyDescent="0.4">
      <c r="AZ1398" s="26"/>
      <c r="BA1398" s="15"/>
    </row>
    <row r="1399" spans="1:53" x14ac:dyDescent="0.4">
      <c r="B1399" s="115"/>
      <c r="C1399" s="115"/>
      <c r="D1399" s="115"/>
      <c r="E1399" s="115"/>
      <c r="F1399" s="115"/>
      <c r="G1399" s="115"/>
      <c r="H1399" s="115"/>
      <c r="I1399" s="115"/>
      <c r="J1399" s="115"/>
      <c r="K1399" s="115"/>
      <c r="L1399" s="115"/>
      <c r="M1399" s="115"/>
      <c r="N1399" s="115"/>
      <c r="O1399" s="115"/>
      <c r="P1399" s="115"/>
      <c r="Q1399" s="115"/>
      <c r="R1399" s="115"/>
      <c r="S1399" s="115"/>
      <c r="T1399" s="115"/>
      <c r="U1399" s="115"/>
      <c r="V1399" s="115"/>
      <c r="W1399" s="115"/>
      <c r="X1399" s="115"/>
      <c r="Y1399" s="115"/>
      <c r="Z1399" s="115"/>
      <c r="AA1399" s="115"/>
      <c r="AB1399" s="115"/>
      <c r="AC1399" s="115"/>
      <c r="AD1399" s="115"/>
      <c r="AE1399" s="115"/>
      <c r="AF1399" s="115"/>
      <c r="AG1399" s="115"/>
      <c r="AH1399" s="115"/>
      <c r="AI1399" s="122"/>
      <c r="AJ1399" s="122"/>
      <c r="AK1399" s="122"/>
      <c r="AL1399" s="115"/>
      <c r="AM1399" s="115"/>
      <c r="AN1399" s="115"/>
      <c r="AO1399" s="115"/>
      <c r="AP1399" s="115"/>
      <c r="AQ1399" s="115"/>
      <c r="AR1399" s="115"/>
      <c r="AS1399" s="115"/>
      <c r="AT1399" s="115"/>
      <c r="AU1399" s="115"/>
      <c r="AV1399" s="115"/>
      <c r="AW1399" s="115"/>
      <c r="AX1399" s="115"/>
      <c r="AY1399" s="115"/>
      <c r="AZ1399" s="26"/>
      <c r="BA1399" s="15"/>
    </row>
    <row r="1400" spans="1:53" x14ac:dyDescent="0.4">
      <c r="A1400" s="115"/>
      <c r="B1400" s="115"/>
      <c r="C1400" s="115"/>
      <c r="D1400" s="115"/>
      <c r="E1400" s="115"/>
      <c r="F1400" s="115"/>
      <c r="G1400" s="115"/>
      <c r="H1400" s="115"/>
      <c r="I1400" s="115"/>
      <c r="J1400" s="115"/>
      <c r="K1400" s="115"/>
      <c r="L1400" s="115"/>
      <c r="M1400" s="115"/>
      <c r="N1400" s="115"/>
      <c r="O1400" s="115"/>
      <c r="P1400" s="115"/>
      <c r="Q1400" s="115"/>
      <c r="R1400" s="115"/>
      <c r="S1400" s="115"/>
      <c r="T1400" s="115"/>
      <c r="U1400" s="115"/>
      <c r="V1400" s="115"/>
      <c r="W1400" s="115"/>
      <c r="X1400" s="115"/>
      <c r="Y1400" s="115"/>
      <c r="Z1400" s="115"/>
      <c r="AA1400" s="115"/>
      <c r="AB1400" s="115"/>
      <c r="AC1400" s="115"/>
      <c r="AD1400" s="115"/>
      <c r="AE1400" s="115"/>
      <c r="AF1400" s="115"/>
      <c r="AG1400" s="115"/>
      <c r="AH1400" s="115"/>
      <c r="AI1400" s="122"/>
      <c r="AJ1400" s="122"/>
      <c r="AK1400" s="122"/>
      <c r="AL1400" s="115"/>
      <c r="AM1400" s="115"/>
      <c r="AN1400" s="115"/>
      <c r="AO1400" s="115"/>
      <c r="AP1400" s="115"/>
      <c r="AQ1400" s="115"/>
      <c r="AR1400" s="115"/>
      <c r="AS1400" s="115"/>
      <c r="AT1400" s="115"/>
      <c r="AU1400" s="115"/>
      <c r="AV1400" s="115"/>
      <c r="AW1400" s="115"/>
      <c r="AX1400" s="115"/>
      <c r="AY1400" s="115"/>
      <c r="AZ1400" s="26"/>
      <c r="BA1400" s="15"/>
    </row>
    <row r="1401" spans="1:53" x14ac:dyDescent="0.4">
      <c r="AZ1401" s="26"/>
      <c r="BA1401" s="15"/>
    </row>
    <row r="1402" spans="1:53" x14ac:dyDescent="0.4">
      <c r="AB1402" s="115"/>
      <c r="AC1402" s="115"/>
      <c r="AD1402" s="115"/>
      <c r="AE1402" s="115"/>
      <c r="AF1402" s="115"/>
      <c r="AG1402" s="115"/>
      <c r="AH1402" s="115"/>
      <c r="AI1402" s="122"/>
      <c r="AJ1402" s="122"/>
      <c r="AK1402" s="122"/>
      <c r="AL1402" s="115"/>
      <c r="AM1402" s="115"/>
      <c r="AN1402" s="115"/>
      <c r="AO1402" s="115"/>
      <c r="AP1402" s="115"/>
      <c r="AQ1402" s="115"/>
      <c r="AR1402" s="115"/>
      <c r="AS1402" s="115"/>
      <c r="AT1402" s="115"/>
      <c r="AU1402" s="115"/>
      <c r="AV1402" s="115"/>
      <c r="AW1402" s="115"/>
      <c r="AX1402" s="115"/>
      <c r="AY1402" s="115"/>
      <c r="AZ1402" s="17"/>
      <c r="BA1402" s="15"/>
    </row>
    <row r="1403" spans="1:53" x14ac:dyDescent="0.4">
      <c r="A1403" s="115"/>
      <c r="B1403" s="115"/>
      <c r="C1403" s="115"/>
      <c r="D1403" s="115"/>
      <c r="E1403" s="115"/>
      <c r="F1403" s="115"/>
      <c r="G1403" s="115"/>
      <c r="H1403" s="115"/>
      <c r="I1403" s="115"/>
      <c r="J1403" s="115"/>
      <c r="K1403" s="115"/>
      <c r="L1403" s="115"/>
      <c r="M1403" s="115"/>
      <c r="N1403" s="115"/>
      <c r="O1403" s="115"/>
      <c r="P1403" s="115"/>
      <c r="Q1403" s="115"/>
      <c r="R1403" s="115"/>
      <c r="S1403" s="115"/>
      <c r="T1403" s="115"/>
      <c r="U1403" s="115"/>
      <c r="V1403" s="115"/>
      <c r="W1403" s="115"/>
      <c r="X1403" s="115"/>
      <c r="Y1403" s="115"/>
      <c r="Z1403" s="115"/>
      <c r="AA1403" s="115"/>
      <c r="AB1403" s="115"/>
      <c r="AC1403" s="115"/>
      <c r="AD1403" s="115"/>
      <c r="AE1403" s="115"/>
      <c r="AF1403" s="115"/>
      <c r="AG1403" s="115"/>
      <c r="AH1403" s="115"/>
      <c r="AI1403" s="122"/>
      <c r="AJ1403" s="122"/>
      <c r="AK1403" s="122"/>
      <c r="AL1403" s="115"/>
      <c r="AM1403" s="115"/>
      <c r="AN1403" s="115"/>
      <c r="AO1403" s="115"/>
      <c r="AP1403" s="115"/>
      <c r="AQ1403" s="115"/>
      <c r="AR1403" s="115"/>
      <c r="AS1403" s="115"/>
      <c r="AT1403" s="115"/>
      <c r="AU1403" s="115"/>
      <c r="AV1403" s="115"/>
      <c r="AW1403" s="115"/>
      <c r="AX1403" s="115"/>
      <c r="AY1403" s="115"/>
      <c r="AZ1403" s="26"/>
      <c r="BA1403" s="15"/>
    </row>
    <row r="1404" spans="1:53" x14ac:dyDescent="0.4">
      <c r="AZ1404" s="26"/>
      <c r="BA1404" s="15"/>
    </row>
    <row r="1405" spans="1:53" x14ac:dyDescent="0.4">
      <c r="AB1405" s="115"/>
      <c r="AC1405" s="115"/>
      <c r="AD1405" s="115"/>
      <c r="AE1405" s="115"/>
      <c r="AF1405" s="115"/>
      <c r="AG1405" s="115"/>
      <c r="AH1405" s="115"/>
      <c r="AI1405" s="122"/>
      <c r="AJ1405" s="122"/>
      <c r="AK1405" s="122"/>
      <c r="AL1405" s="115"/>
      <c r="AM1405" s="115"/>
      <c r="AN1405" s="115"/>
      <c r="AO1405" s="115"/>
      <c r="AP1405" s="115"/>
      <c r="AQ1405" s="115"/>
      <c r="AR1405" s="115"/>
      <c r="AS1405" s="115"/>
      <c r="AT1405" s="115"/>
      <c r="AU1405" s="115"/>
      <c r="AV1405" s="115"/>
      <c r="AW1405" s="115"/>
      <c r="AX1405" s="115"/>
      <c r="AY1405" s="115"/>
      <c r="AZ1405" s="17"/>
      <c r="BA1405" s="15"/>
    </row>
    <row r="1406" spans="1:53" x14ac:dyDescent="0.4">
      <c r="AZ1406" s="26"/>
      <c r="BA1406" s="15"/>
    </row>
    <row r="1407" spans="1:53" x14ac:dyDescent="0.4">
      <c r="B1407" s="115"/>
      <c r="C1407" s="115"/>
      <c r="D1407" s="115"/>
      <c r="E1407" s="115"/>
      <c r="F1407" s="115"/>
      <c r="G1407" s="115"/>
      <c r="H1407" s="115"/>
      <c r="I1407" s="115"/>
      <c r="J1407" s="115"/>
      <c r="K1407" s="115"/>
      <c r="L1407" s="115"/>
      <c r="M1407" s="115"/>
      <c r="N1407" s="115"/>
      <c r="O1407" s="115"/>
      <c r="P1407" s="115"/>
      <c r="Q1407" s="115"/>
      <c r="R1407" s="115"/>
      <c r="S1407" s="115"/>
      <c r="T1407" s="115"/>
      <c r="U1407" s="115"/>
      <c r="V1407" s="115"/>
      <c r="W1407" s="115"/>
      <c r="X1407" s="115"/>
      <c r="Y1407" s="115"/>
      <c r="Z1407" s="115"/>
      <c r="AA1407" s="115"/>
      <c r="AB1407" s="115"/>
      <c r="AC1407" s="115"/>
      <c r="AD1407" s="115"/>
      <c r="AE1407" s="115"/>
      <c r="AF1407" s="115"/>
      <c r="AG1407" s="115"/>
      <c r="AH1407" s="115"/>
      <c r="AI1407" s="122"/>
      <c r="AJ1407" s="122"/>
      <c r="AK1407" s="122"/>
      <c r="AL1407" s="115"/>
      <c r="AM1407" s="115"/>
      <c r="AN1407" s="115"/>
      <c r="AO1407" s="115"/>
      <c r="AP1407" s="115"/>
      <c r="AQ1407" s="115"/>
      <c r="AR1407" s="115"/>
      <c r="AS1407" s="115"/>
      <c r="AT1407" s="115"/>
      <c r="AU1407" s="115"/>
      <c r="AV1407" s="115"/>
      <c r="AW1407" s="115"/>
      <c r="AX1407" s="115"/>
      <c r="AY1407" s="115"/>
      <c r="AZ1407" s="26"/>
      <c r="BA1407" s="15"/>
    </row>
    <row r="1408" spans="1:53" x14ac:dyDescent="0.4">
      <c r="A1408" s="115"/>
      <c r="B1408" s="115"/>
      <c r="C1408" s="115"/>
      <c r="D1408" s="115"/>
      <c r="E1408" s="115"/>
      <c r="F1408" s="115"/>
      <c r="G1408" s="115"/>
      <c r="H1408" s="115"/>
      <c r="I1408" s="115"/>
      <c r="J1408" s="115"/>
      <c r="K1408" s="115"/>
      <c r="L1408" s="115"/>
      <c r="M1408" s="115"/>
      <c r="N1408" s="115"/>
      <c r="O1408" s="115"/>
      <c r="P1408" s="115"/>
      <c r="Q1408" s="115"/>
      <c r="R1408" s="115"/>
      <c r="S1408" s="115"/>
      <c r="T1408" s="115"/>
      <c r="U1408" s="115"/>
      <c r="V1408" s="115"/>
      <c r="W1408" s="115"/>
      <c r="X1408" s="115"/>
      <c r="Y1408" s="115"/>
      <c r="Z1408" s="115"/>
      <c r="AA1408" s="115"/>
      <c r="AB1408" s="115"/>
      <c r="AC1408" s="115"/>
      <c r="AD1408" s="115"/>
      <c r="AE1408" s="115"/>
      <c r="AF1408" s="115"/>
      <c r="AG1408" s="115"/>
      <c r="AH1408" s="115"/>
      <c r="AI1408" s="122"/>
      <c r="AJ1408" s="122"/>
      <c r="AK1408" s="122"/>
      <c r="AL1408" s="115"/>
      <c r="AM1408" s="115"/>
      <c r="AN1408" s="115"/>
      <c r="AO1408" s="115"/>
      <c r="AP1408" s="115"/>
      <c r="AQ1408" s="115"/>
      <c r="AR1408" s="115"/>
      <c r="AS1408" s="115"/>
      <c r="AT1408" s="115"/>
      <c r="AU1408" s="115"/>
      <c r="AV1408" s="115"/>
      <c r="AW1408" s="115"/>
      <c r="AX1408" s="115"/>
      <c r="AY1408" s="115"/>
      <c r="AZ1408" s="26"/>
      <c r="BA1408" s="15"/>
    </row>
    <row r="1409" spans="1:53" x14ac:dyDescent="0.4">
      <c r="A1409" s="115"/>
      <c r="B1409" s="115"/>
      <c r="C1409" s="115"/>
      <c r="D1409" s="115"/>
      <c r="E1409" s="115"/>
      <c r="F1409" s="115"/>
      <c r="G1409" s="115"/>
      <c r="H1409" s="115"/>
      <c r="I1409" s="115"/>
      <c r="J1409" s="115"/>
      <c r="K1409" s="115"/>
      <c r="L1409" s="115"/>
      <c r="M1409" s="115"/>
      <c r="N1409" s="115"/>
      <c r="O1409" s="115"/>
      <c r="P1409" s="115"/>
      <c r="Q1409" s="115"/>
      <c r="R1409" s="115"/>
      <c r="S1409" s="115"/>
      <c r="T1409" s="115"/>
      <c r="U1409" s="115"/>
      <c r="V1409" s="115"/>
      <c r="W1409" s="115"/>
      <c r="X1409" s="115"/>
      <c r="Y1409" s="115"/>
      <c r="Z1409" s="115"/>
      <c r="AA1409" s="115"/>
      <c r="AB1409" s="115"/>
      <c r="AC1409" s="115"/>
      <c r="AD1409" s="115"/>
      <c r="AE1409" s="115"/>
      <c r="AF1409" s="115"/>
      <c r="AG1409" s="115"/>
      <c r="AH1409" s="115"/>
      <c r="AI1409" s="122"/>
      <c r="AJ1409" s="122"/>
      <c r="AK1409" s="122"/>
      <c r="AL1409" s="115"/>
      <c r="AM1409" s="115"/>
      <c r="AN1409" s="115"/>
      <c r="AO1409" s="115"/>
      <c r="AP1409" s="115"/>
      <c r="AQ1409" s="115"/>
      <c r="AR1409" s="115"/>
      <c r="AS1409" s="115"/>
      <c r="AT1409" s="115"/>
      <c r="AU1409" s="115"/>
      <c r="AV1409" s="115"/>
      <c r="AW1409" s="115"/>
      <c r="AX1409" s="115"/>
      <c r="AY1409" s="115"/>
      <c r="AZ1409" s="26"/>
      <c r="BA1409" s="15"/>
    </row>
    <row r="1410" spans="1:53" x14ac:dyDescent="0.4">
      <c r="AZ1410" s="26"/>
      <c r="BA1410" s="15"/>
    </row>
    <row r="1411" spans="1:53" x14ac:dyDescent="0.4">
      <c r="B1411" s="115"/>
      <c r="C1411" s="115"/>
      <c r="D1411" s="115"/>
      <c r="E1411" s="115"/>
      <c r="F1411" s="115"/>
      <c r="G1411" s="115"/>
      <c r="H1411" s="115"/>
      <c r="I1411" s="115"/>
      <c r="J1411" s="115"/>
      <c r="K1411" s="115"/>
      <c r="L1411" s="115"/>
      <c r="M1411" s="115"/>
      <c r="N1411" s="115"/>
      <c r="O1411" s="115"/>
      <c r="P1411" s="115"/>
      <c r="Q1411" s="115"/>
      <c r="R1411" s="115"/>
      <c r="S1411" s="115"/>
      <c r="T1411" s="115"/>
      <c r="U1411" s="115"/>
      <c r="V1411" s="115"/>
      <c r="W1411" s="115"/>
      <c r="X1411" s="115"/>
      <c r="Y1411" s="115"/>
      <c r="Z1411" s="115"/>
      <c r="AA1411" s="115"/>
      <c r="AB1411" s="115"/>
      <c r="AC1411" s="115"/>
      <c r="AD1411" s="115"/>
      <c r="AE1411" s="115"/>
      <c r="AF1411" s="115"/>
      <c r="AG1411" s="115"/>
      <c r="AH1411" s="115"/>
      <c r="AI1411" s="122"/>
      <c r="AJ1411" s="122"/>
      <c r="AK1411" s="122"/>
      <c r="AL1411" s="115"/>
      <c r="AM1411" s="115"/>
      <c r="AN1411" s="115"/>
      <c r="AO1411" s="115"/>
      <c r="AP1411" s="115"/>
      <c r="AQ1411" s="115"/>
      <c r="AR1411" s="115"/>
      <c r="AS1411" s="115"/>
      <c r="AT1411" s="115"/>
      <c r="AU1411" s="115"/>
      <c r="AV1411" s="115"/>
      <c r="AW1411" s="115"/>
      <c r="AX1411" s="115"/>
      <c r="AY1411" s="115"/>
      <c r="AZ1411" s="26"/>
      <c r="BA1411" s="15"/>
    </row>
    <row r="1412" spans="1:53" x14ac:dyDescent="0.4">
      <c r="AZ1412" s="26"/>
      <c r="BA1412" s="15"/>
    </row>
    <row r="1413" spans="1:53" x14ac:dyDescent="0.4">
      <c r="B1413" s="115"/>
      <c r="C1413" s="115"/>
      <c r="D1413" s="115"/>
      <c r="E1413" s="115"/>
      <c r="F1413" s="115"/>
      <c r="G1413" s="115"/>
      <c r="H1413" s="115"/>
      <c r="I1413" s="115"/>
      <c r="J1413" s="115"/>
      <c r="K1413" s="115"/>
      <c r="L1413" s="115"/>
      <c r="M1413" s="115"/>
      <c r="N1413" s="115"/>
      <c r="O1413" s="115"/>
      <c r="P1413" s="115"/>
      <c r="Q1413" s="115"/>
      <c r="R1413" s="115"/>
      <c r="S1413" s="115"/>
      <c r="T1413" s="115"/>
      <c r="U1413" s="115"/>
      <c r="V1413" s="115"/>
      <c r="W1413" s="115"/>
      <c r="X1413" s="115"/>
      <c r="Y1413" s="115"/>
      <c r="Z1413" s="115"/>
      <c r="AA1413" s="115"/>
      <c r="AB1413" s="115"/>
      <c r="AC1413" s="115"/>
      <c r="AD1413" s="115"/>
      <c r="AE1413" s="115"/>
      <c r="AF1413" s="115"/>
      <c r="AG1413" s="115"/>
      <c r="AH1413" s="115"/>
      <c r="AI1413" s="122"/>
      <c r="AJ1413" s="122"/>
      <c r="AK1413" s="122"/>
      <c r="AL1413" s="115"/>
      <c r="AM1413" s="115"/>
      <c r="AN1413" s="115"/>
      <c r="AO1413" s="115"/>
      <c r="AP1413" s="115"/>
      <c r="AQ1413" s="115"/>
      <c r="AR1413" s="115"/>
      <c r="AS1413" s="115"/>
      <c r="AT1413" s="115"/>
      <c r="AU1413" s="115"/>
      <c r="AV1413" s="115"/>
      <c r="AW1413" s="115"/>
      <c r="AX1413" s="115"/>
      <c r="AY1413" s="115"/>
      <c r="AZ1413" s="26"/>
      <c r="BA1413" s="15"/>
    </row>
    <row r="1414" spans="1:53" x14ac:dyDescent="0.4">
      <c r="AZ1414" s="26"/>
      <c r="BA1414" s="15"/>
    </row>
    <row r="1415" spans="1:53" x14ac:dyDescent="0.4">
      <c r="AZ1415" s="26"/>
      <c r="BA1415" s="15"/>
    </row>
    <row r="1416" spans="1:53" x14ac:dyDescent="0.4">
      <c r="AZ1416" s="26"/>
      <c r="BA1416" s="15"/>
    </row>
    <row r="1417" spans="1:53" x14ac:dyDescent="0.4">
      <c r="AZ1417" s="26"/>
      <c r="BA1417" s="15"/>
    </row>
    <row r="1418" spans="1:53" x14ac:dyDescent="0.4">
      <c r="AZ1418" s="26"/>
      <c r="BA1418" s="15"/>
    </row>
    <row r="1419" spans="1:53" x14ac:dyDescent="0.4">
      <c r="AZ1419" s="26"/>
      <c r="BA1419" s="15"/>
    </row>
    <row r="1420" spans="1:53" x14ac:dyDescent="0.4">
      <c r="A1420" s="115"/>
      <c r="B1420" s="115"/>
      <c r="C1420" s="115"/>
      <c r="D1420" s="115"/>
      <c r="E1420" s="115"/>
      <c r="F1420" s="115"/>
      <c r="G1420" s="115"/>
      <c r="H1420" s="115"/>
      <c r="I1420" s="115"/>
      <c r="J1420" s="115"/>
      <c r="K1420" s="115"/>
      <c r="L1420" s="115"/>
      <c r="M1420" s="115"/>
      <c r="N1420" s="115"/>
      <c r="O1420" s="115"/>
      <c r="P1420" s="115"/>
      <c r="Q1420" s="115"/>
      <c r="R1420" s="115"/>
      <c r="S1420" s="115"/>
      <c r="T1420" s="115"/>
      <c r="U1420" s="115"/>
      <c r="V1420" s="115"/>
      <c r="W1420" s="115"/>
      <c r="X1420" s="115"/>
      <c r="Y1420" s="115"/>
      <c r="Z1420" s="115"/>
      <c r="AA1420" s="115"/>
      <c r="AB1420" s="115"/>
      <c r="AC1420" s="115"/>
      <c r="AD1420" s="115"/>
      <c r="AE1420" s="115"/>
      <c r="AF1420" s="115"/>
      <c r="AG1420" s="115"/>
      <c r="AH1420" s="115"/>
      <c r="AI1420" s="122"/>
      <c r="AJ1420" s="122"/>
      <c r="AK1420" s="122"/>
      <c r="AL1420" s="115"/>
      <c r="AM1420" s="115"/>
      <c r="AN1420" s="115"/>
      <c r="AO1420" s="115"/>
      <c r="AP1420" s="115"/>
      <c r="AQ1420" s="115"/>
      <c r="AR1420" s="115"/>
      <c r="AS1420" s="115"/>
      <c r="AT1420" s="115"/>
      <c r="AU1420" s="115"/>
      <c r="AV1420" s="115"/>
      <c r="AW1420" s="115"/>
      <c r="AX1420" s="115"/>
      <c r="AY1420" s="115"/>
      <c r="AZ1420" s="26"/>
      <c r="BA1420" s="15"/>
    </row>
    <row r="1421" spans="1:53" x14ac:dyDescent="0.4">
      <c r="AZ1421" s="26"/>
      <c r="BA1421" s="15"/>
    </row>
    <row r="1422" spans="1:53" x14ac:dyDescent="0.4">
      <c r="AZ1422" s="26"/>
      <c r="BA1422" s="15"/>
    </row>
    <row r="1423" spans="1:53" x14ac:dyDescent="0.4">
      <c r="AZ1423" s="26"/>
      <c r="BA1423" s="15"/>
    </row>
    <row r="1424" spans="1:53" x14ac:dyDescent="0.4">
      <c r="AZ1424" s="26"/>
      <c r="BA1424" s="15"/>
    </row>
    <row r="1425" spans="1:53" x14ac:dyDescent="0.4">
      <c r="AZ1425" s="26"/>
      <c r="BA1425" s="15"/>
    </row>
    <row r="1426" spans="1:53" x14ac:dyDescent="0.4">
      <c r="AB1426" s="115"/>
      <c r="AC1426" s="115"/>
      <c r="AD1426" s="115"/>
      <c r="AE1426" s="115"/>
      <c r="AF1426" s="115"/>
      <c r="AG1426" s="115"/>
      <c r="AH1426" s="115"/>
      <c r="AI1426" s="122"/>
      <c r="AJ1426" s="122"/>
      <c r="AK1426" s="122"/>
      <c r="AL1426" s="115"/>
      <c r="AM1426" s="115"/>
      <c r="AN1426" s="115"/>
      <c r="AO1426" s="115"/>
      <c r="AP1426" s="115"/>
      <c r="AQ1426" s="115"/>
      <c r="AR1426" s="115"/>
      <c r="AS1426" s="115"/>
      <c r="AT1426" s="115"/>
      <c r="AU1426" s="115"/>
      <c r="AV1426" s="115"/>
      <c r="AW1426" s="115"/>
      <c r="AX1426" s="115"/>
      <c r="AY1426" s="115"/>
      <c r="AZ1426" s="17"/>
      <c r="BA1426" s="15"/>
    </row>
    <row r="1427" spans="1:53" x14ac:dyDescent="0.4">
      <c r="AB1427" s="115"/>
      <c r="AC1427" s="115"/>
      <c r="AD1427" s="115"/>
      <c r="AE1427" s="115"/>
      <c r="AF1427" s="115"/>
      <c r="AG1427" s="115"/>
      <c r="AH1427" s="115"/>
      <c r="AI1427" s="122"/>
      <c r="AJ1427" s="122"/>
      <c r="AK1427" s="122"/>
      <c r="AL1427" s="115"/>
      <c r="AM1427" s="115"/>
      <c r="AN1427" s="115"/>
      <c r="AO1427" s="115"/>
      <c r="AP1427" s="115"/>
      <c r="AQ1427" s="115"/>
      <c r="AR1427" s="115"/>
      <c r="AS1427" s="115"/>
      <c r="AT1427" s="115"/>
      <c r="AU1427" s="115"/>
      <c r="AV1427" s="115"/>
      <c r="AW1427" s="115"/>
      <c r="AX1427" s="115"/>
      <c r="AY1427" s="115"/>
      <c r="AZ1427" s="17"/>
      <c r="BA1427" s="15"/>
    </row>
    <row r="1428" spans="1:53" x14ac:dyDescent="0.4">
      <c r="AZ1428" s="26"/>
      <c r="BA1428" s="15"/>
    </row>
    <row r="1429" spans="1:53" x14ac:dyDescent="0.4">
      <c r="AZ1429" s="26"/>
      <c r="BA1429" s="15"/>
    </row>
    <row r="1430" spans="1:53" x14ac:dyDescent="0.4">
      <c r="A1430" s="115"/>
      <c r="B1430" s="115"/>
      <c r="C1430" s="115"/>
      <c r="D1430" s="115"/>
      <c r="E1430" s="115"/>
      <c r="F1430" s="115"/>
      <c r="G1430" s="115"/>
      <c r="H1430" s="115"/>
      <c r="I1430" s="115"/>
      <c r="J1430" s="115"/>
      <c r="K1430" s="115"/>
      <c r="L1430" s="115"/>
      <c r="M1430" s="115"/>
      <c r="N1430" s="115"/>
      <c r="O1430" s="115"/>
      <c r="P1430" s="115"/>
      <c r="Q1430" s="115"/>
      <c r="R1430" s="115"/>
      <c r="S1430" s="115"/>
      <c r="T1430" s="115"/>
      <c r="U1430" s="115"/>
      <c r="V1430" s="115"/>
      <c r="W1430" s="115"/>
      <c r="X1430" s="115"/>
      <c r="Y1430" s="115"/>
      <c r="Z1430" s="115"/>
      <c r="AA1430" s="115"/>
      <c r="AB1430" s="115"/>
      <c r="AC1430" s="115"/>
      <c r="AD1430" s="115"/>
      <c r="AE1430" s="115"/>
      <c r="AF1430" s="115"/>
      <c r="AG1430" s="115"/>
      <c r="AH1430" s="115"/>
      <c r="AI1430" s="122"/>
      <c r="AJ1430" s="122"/>
      <c r="AK1430" s="122"/>
      <c r="AL1430" s="115"/>
      <c r="AM1430" s="115"/>
      <c r="AN1430" s="115"/>
      <c r="AO1430" s="115"/>
      <c r="AP1430" s="115"/>
      <c r="AQ1430" s="115"/>
      <c r="AR1430" s="115"/>
      <c r="AS1430" s="115"/>
      <c r="AT1430" s="115"/>
      <c r="AU1430" s="115"/>
      <c r="AV1430" s="115"/>
      <c r="AW1430" s="115"/>
      <c r="AX1430" s="115"/>
      <c r="AY1430" s="115"/>
      <c r="AZ1430" s="26"/>
      <c r="BA1430" s="15"/>
    </row>
    <row r="1431" spans="1:53" x14ac:dyDescent="0.4">
      <c r="A1431" s="115"/>
      <c r="B1431" s="115"/>
      <c r="C1431" s="115"/>
      <c r="D1431" s="115"/>
      <c r="E1431" s="115"/>
      <c r="F1431" s="115"/>
      <c r="G1431" s="115"/>
      <c r="H1431" s="115"/>
      <c r="I1431" s="115"/>
      <c r="J1431" s="115"/>
      <c r="K1431" s="115"/>
      <c r="L1431" s="115"/>
      <c r="M1431" s="115"/>
      <c r="N1431" s="115"/>
      <c r="O1431" s="115"/>
      <c r="P1431" s="115"/>
      <c r="Q1431" s="115"/>
      <c r="R1431" s="115"/>
      <c r="S1431" s="115"/>
      <c r="T1431" s="115"/>
      <c r="U1431" s="115"/>
      <c r="V1431" s="115"/>
      <c r="W1431" s="115"/>
      <c r="X1431" s="115"/>
      <c r="Y1431" s="115"/>
      <c r="Z1431" s="115"/>
      <c r="AA1431" s="115"/>
      <c r="AB1431" s="115"/>
      <c r="AC1431" s="115"/>
      <c r="AD1431" s="115"/>
      <c r="AE1431" s="115"/>
      <c r="AF1431" s="115"/>
      <c r="AG1431" s="115"/>
      <c r="AH1431" s="115"/>
      <c r="AI1431" s="122"/>
      <c r="AJ1431" s="122"/>
      <c r="AK1431" s="122"/>
      <c r="AL1431" s="115"/>
      <c r="AM1431" s="115"/>
      <c r="AN1431" s="115"/>
      <c r="AO1431" s="115"/>
      <c r="AP1431" s="115"/>
      <c r="AQ1431" s="115"/>
      <c r="AR1431" s="115"/>
      <c r="AS1431" s="115"/>
      <c r="AT1431" s="115"/>
      <c r="AU1431" s="115"/>
      <c r="AV1431" s="115"/>
      <c r="AW1431" s="115"/>
      <c r="AX1431" s="115"/>
      <c r="AY1431" s="115"/>
      <c r="AZ1431" s="26"/>
      <c r="BA1431" s="13"/>
    </row>
    <row r="1432" spans="1:53" x14ac:dyDescent="0.4">
      <c r="AZ1432" s="26"/>
      <c r="BA1432" s="15"/>
    </row>
    <row r="1433" spans="1:53" x14ac:dyDescent="0.4">
      <c r="B1433" s="115"/>
      <c r="C1433" s="115"/>
      <c r="D1433" s="115"/>
      <c r="E1433" s="115"/>
      <c r="F1433" s="115"/>
      <c r="G1433" s="115"/>
      <c r="H1433" s="115"/>
      <c r="I1433" s="115"/>
      <c r="J1433" s="115"/>
      <c r="K1433" s="115"/>
      <c r="L1433" s="115"/>
      <c r="M1433" s="115"/>
      <c r="N1433" s="115"/>
      <c r="O1433" s="115"/>
      <c r="P1433" s="115"/>
      <c r="Q1433" s="115"/>
      <c r="R1433" s="115"/>
      <c r="S1433" s="115"/>
      <c r="T1433" s="115"/>
      <c r="U1433" s="115"/>
      <c r="V1433" s="115"/>
      <c r="W1433" s="115"/>
      <c r="X1433" s="115"/>
      <c r="Y1433" s="115"/>
      <c r="Z1433" s="115"/>
      <c r="AA1433" s="115"/>
      <c r="AB1433" s="115"/>
      <c r="AC1433" s="115"/>
      <c r="AD1433" s="115"/>
      <c r="AE1433" s="115"/>
      <c r="AF1433" s="115"/>
      <c r="AG1433" s="115"/>
      <c r="AH1433" s="115"/>
      <c r="AI1433" s="122"/>
      <c r="AJ1433" s="122"/>
      <c r="AK1433" s="122"/>
      <c r="AL1433" s="115"/>
      <c r="AM1433" s="115"/>
      <c r="AN1433" s="115"/>
      <c r="AO1433" s="115"/>
      <c r="AP1433" s="115"/>
      <c r="AQ1433" s="115"/>
      <c r="AR1433" s="115"/>
      <c r="AS1433" s="115"/>
      <c r="AT1433" s="115"/>
      <c r="AU1433" s="115"/>
      <c r="AV1433" s="115"/>
      <c r="AW1433" s="115"/>
      <c r="AX1433" s="115"/>
      <c r="AY1433" s="115"/>
      <c r="AZ1433" s="26"/>
      <c r="BA1433" s="15"/>
    </row>
    <row r="1434" spans="1:53" x14ac:dyDescent="0.4">
      <c r="AZ1434" s="26"/>
      <c r="BA1434" s="15"/>
    </row>
    <row r="1435" spans="1:53" x14ac:dyDescent="0.4">
      <c r="AZ1435" s="26"/>
      <c r="BA1435" s="15"/>
    </row>
    <row r="1436" spans="1:53" x14ac:dyDescent="0.4">
      <c r="A1436" s="115"/>
      <c r="B1436" s="115"/>
      <c r="C1436" s="115"/>
      <c r="D1436" s="115"/>
      <c r="E1436" s="115"/>
      <c r="F1436" s="115"/>
      <c r="G1436" s="115"/>
      <c r="H1436" s="115"/>
      <c r="I1436" s="115"/>
      <c r="J1436" s="115"/>
      <c r="K1436" s="115"/>
      <c r="L1436" s="115"/>
      <c r="M1436" s="115"/>
      <c r="N1436" s="115"/>
      <c r="O1436" s="115"/>
      <c r="P1436" s="115"/>
      <c r="Q1436" s="115"/>
      <c r="R1436" s="115"/>
      <c r="S1436" s="115"/>
      <c r="T1436" s="115"/>
      <c r="U1436" s="115"/>
      <c r="V1436" s="115"/>
      <c r="W1436" s="115"/>
      <c r="X1436" s="115"/>
      <c r="Y1436" s="115"/>
      <c r="Z1436" s="115"/>
      <c r="AA1436" s="115"/>
      <c r="AB1436" s="115"/>
      <c r="AC1436" s="115"/>
      <c r="AD1436" s="115"/>
      <c r="AE1436" s="115"/>
      <c r="AF1436" s="115"/>
      <c r="AG1436" s="115"/>
      <c r="AH1436" s="115"/>
      <c r="AI1436" s="122"/>
      <c r="AJ1436" s="122"/>
      <c r="AK1436" s="122"/>
      <c r="AL1436" s="115"/>
      <c r="AM1436" s="115"/>
      <c r="AN1436" s="115"/>
      <c r="AO1436" s="115"/>
      <c r="AP1436" s="115"/>
      <c r="AQ1436" s="115"/>
      <c r="AR1436" s="115"/>
      <c r="AS1436" s="115"/>
      <c r="AT1436" s="115"/>
      <c r="AU1436" s="115"/>
      <c r="AV1436" s="115"/>
      <c r="AW1436" s="115"/>
      <c r="AX1436" s="115"/>
      <c r="AY1436" s="115"/>
      <c r="AZ1436" s="26"/>
      <c r="BA1436" s="15"/>
    </row>
    <row r="1437" spans="1:53" x14ac:dyDescent="0.4">
      <c r="AZ1437" s="26"/>
      <c r="BA1437" s="13"/>
    </row>
    <row r="1438" spans="1:53" x14ac:dyDescent="0.4">
      <c r="AZ1438" s="26"/>
      <c r="BA1438" s="13"/>
    </row>
    <row r="1439" spans="1:53" x14ac:dyDescent="0.4">
      <c r="A1439" s="115"/>
      <c r="B1439" s="115"/>
      <c r="C1439" s="115"/>
      <c r="D1439" s="115"/>
      <c r="E1439" s="115"/>
      <c r="F1439" s="115"/>
      <c r="G1439" s="115"/>
      <c r="H1439" s="115"/>
      <c r="I1439" s="115"/>
      <c r="J1439" s="115"/>
      <c r="K1439" s="115"/>
      <c r="L1439" s="115"/>
      <c r="M1439" s="115"/>
      <c r="N1439" s="115"/>
      <c r="O1439" s="115"/>
      <c r="P1439" s="115"/>
      <c r="Q1439" s="115"/>
      <c r="R1439" s="115"/>
      <c r="S1439" s="115"/>
      <c r="T1439" s="115"/>
      <c r="U1439" s="115"/>
      <c r="V1439" s="115"/>
      <c r="W1439" s="115"/>
      <c r="X1439" s="115"/>
      <c r="Y1439" s="115"/>
      <c r="Z1439" s="115"/>
      <c r="AA1439" s="115"/>
      <c r="AB1439" s="115"/>
      <c r="AC1439" s="115"/>
      <c r="AD1439" s="115"/>
      <c r="AE1439" s="115"/>
      <c r="AF1439" s="115"/>
      <c r="AG1439" s="115"/>
      <c r="AH1439" s="115"/>
      <c r="AI1439" s="122"/>
      <c r="AJ1439" s="122"/>
      <c r="AK1439" s="122"/>
      <c r="AL1439" s="115"/>
      <c r="AM1439" s="115"/>
      <c r="AN1439" s="115"/>
      <c r="AO1439" s="115"/>
      <c r="AP1439" s="115"/>
      <c r="AQ1439" s="115"/>
      <c r="AR1439" s="115"/>
      <c r="AS1439" s="115"/>
      <c r="AT1439" s="115"/>
      <c r="AU1439" s="115"/>
      <c r="AV1439" s="115"/>
      <c r="AW1439" s="115"/>
      <c r="AX1439" s="115"/>
      <c r="AY1439" s="115"/>
      <c r="AZ1439" s="26"/>
      <c r="BA1439" s="13"/>
    </row>
    <row r="1440" spans="1:53" x14ac:dyDescent="0.4">
      <c r="AZ1440" s="26"/>
      <c r="BA1440" s="13"/>
    </row>
    <row r="1441" spans="1:53" x14ac:dyDescent="0.4">
      <c r="AZ1441" s="26"/>
      <c r="BA1441" s="13"/>
    </row>
    <row r="1442" spans="1:53" x14ac:dyDescent="0.4">
      <c r="AZ1442" s="26"/>
      <c r="BA1442" s="13"/>
    </row>
    <row r="1443" spans="1:53" x14ac:dyDescent="0.4">
      <c r="AZ1443" s="26"/>
      <c r="BA1443" s="13"/>
    </row>
    <row r="1444" spans="1:53" x14ac:dyDescent="0.4">
      <c r="AZ1444" s="26"/>
      <c r="BA1444" s="13"/>
    </row>
    <row r="1445" spans="1:53" x14ac:dyDescent="0.4">
      <c r="A1445" s="115"/>
      <c r="B1445" s="115"/>
      <c r="C1445" s="115"/>
      <c r="D1445" s="115"/>
      <c r="E1445" s="115"/>
      <c r="F1445" s="115"/>
      <c r="G1445" s="115"/>
      <c r="H1445" s="115"/>
      <c r="I1445" s="115"/>
      <c r="J1445" s="115"/>
      <c r="K1445" s="115"/>
      <c r="L1445" s="115"/>
      <c r="M1445" s="115"/>
      <c r="N1445" s="115"/>
      <c r="O1445" s="115"/>
      <c r="P1445" s="115"/>
      <c r="Q1445" s="115"/>
      <c r="R1445" s="115"/>
      <c r="S1445" s="115"/>
      <c r="T1445" s="115"/>
      <c r="U1445" s="115"/>
      <c r="V1445" s="115"/>
      <c r="W1445" s="115"/>
      <c r="X1445" s="115"/>
      <c r="Y1445" s="115"/>
      <c r="Z1445" s="115"/>
      <c r="AA1445" s="115"/>
      <c r="AB1445" s="115"/>
      <c r="AC1445" s="115"/>
      <c r="AD1445" s="115"/>
      <c r="AE1445" s="115"/>
      <c r="AF1445" s="115"/>
      <c r="AG1445" s="115"/>
      <c r="AH1445" s="115"/>
      <c r="AI1445" s="122"/>
      <c r="AJ1445" s="122"/>
      <c r="AK1445" s="122"/>
      <c r="AL1445" s="115"/>
      <c r="AM1445" s="115"/>
      <c r="AN1445" s="115"/>
      <c r="AO1445" s="115"/>
      <c r="AP1445" s="115"/>
      <c r="AQ1445" s="115"/>
      <c r="AR1445" s="115"/>
      <c r="AS1445" s="115"/>
      <c r="AT1445" s="115"/>
      <c r="AU1445" s="115"/>
      <c r="AV1445" s="115"/>
      <c r="AW1445" s="115"/>
      <c r="AX1445" s="115"/>
      <c r="AY1445" s="115"/>
      <c r="AZ1445" s="26"/>
      <c r="BA1445" s="25"/>
    </row>
    <row r="1446" spans="1:53" x14ac:dyDescent="0.4">
      <c r="AZ1446" s="26"/>
      <c r="BA1446" s="13"/>
    </row>
    <row r="1447" spans="1:53" x14ac:dyDescent="0.4">
      <c r="A1447" s="115"/>
      <c r="B1447" s="115"/>
      <c r="C1447" s="115"/>
      <c r="D1447" s="115"/>
      <c r="E1447" s="115"/>
      <c r="F1447" s="115"/>
      <c r="G1447" s="115"/>
      <c r="H1447" s="115"/>
      <c r="I1447" s="115"/>
      <c r="J1447" s="115"/>
      <c r="K1447" s="115"/>
      <c r="L1447" s="115"/>
      <c r="M1447" s="115"/>
      <c r="N1447" s="115"/>
      <c r="O1447" s="115"/>
      <c r="P1447" s="115"/>
      <c r="Q1447" s="115"/>
      <c r="R1447" s="115"/>
      <c r="S1447" s="115"/>
      <c r="T1447" s="115"/>
      <c r="U1447" s="115"/>
      <c r="V1447" s="115"/>
      <c r="W1447" s="115"/>
      <c r="X1447" s="115"/>
      <c r="Y1447" s="115"/>
      <c r="Z1447" s="115"/>
      <c r="AA1447" s="115"/>
      <c r="AB1447" s="115"/>
      <c r="AC1447" s="115"/>
      <c r="AD1447" s="115"/>
      <c r="AE1447" s="115"/>
      <c r="AF1447" s="115"/>
      <c r="AG1447" s="115"/>
      <c r="AH1447" s="115"/>
      <c r="AI1447" s="122"/>
      <c r="AJ1447" s="122"/>
      <c r="AK1447" s="122"/>
      <c r="AL1447" s="115"/>
      <c r="AM1447" s="115"/>
      <c r="AN1447" s="115"/>
      <c r="AO1447" s="115"/>
      <c r="AP1447" s="115"/>
      <c r="AQ1447" s="115"/>
      <c r="AR1447" s="115"/>
      <c r="AS1447" s="115"/>
      <c r="AT1447" s="115"/>
      <c r="AU1447" s="115"/>
      <c r="AV1447" s="115"/>
      <c r="AW1447" s="115"/>
      <c r="AX1447" s="115"/>
      <c r="AY1447" s="115"/>
      <c r="AZ1447" s="26"/>
      <c r="BA1447" s="13"/>
    </row>
    <row r="1448" spans="1:53" x14ac:dyDescent="0.4">
      <c r="A1448" s="115"/>
      <c r="B1448" s="115"/>
      <c r="C1448" s="115"/>
      <c r="D1448" s="115"/>
      <c r="E1448" s="115"/>
      <c r="F1448" s="115"/>
      <c r="G1448" s="115"/>
      <c r="H1448" s="115"/>
      <c r="I1448" s="115"/>
      <c r="J1448" s="115"/>
      <c r="K1448" s="115"/>
      <c r="L1448" s="115"/>
      <c r="M1448" s="115"/>
      <c r="N1448" s="115"/>
      <c r="O1448" s="115"/>
      <c r="P1448" s="115"/>
      <c r="Q1448" s="115"/>
      <c r="R1448" s="115"/>
      <c r="S1448" s="115"/>
      <c r="T1448" s="115"/>
      <c r="U1448" s="115"/>
      <c r="V1448" s="115"/>
      <c r="W1448" s="115"/>
      <c r="X1448" s="115"/>
      <c r="Y1448" s="115"/>
      <c r="Z1448" s="115"/>
      <c r="AA1448" s="115"/>
      <c r="AB1448" s="115"/>
      <c r="AC1448" s="115"/>
      <c r="AD1448" s="115"/>
      <c r="AE1448" s="115"/>
      <c r="AF1448" s="115"/>
      <c r="AG1448" s="115"/>
      <c r="AH1448" s="115"/>
      <c r="AI1448" s="122"/>
      <c r="AJ1448" s="122"/>
      <c r="AK1448" s="122"/>
      <c r="AL1448" s="115"/>
      <c r="AM1448" s="115"/>
      <c r="AN1448" s="115"/>
      <c r="AO1448" s="115"/>
      <c r="AP1448" s="115"/>
      <c r="AQ1448" s="115"/>
      <c r="AR1448" s="115"/>
      <c r="AS1448" s="115"/>
      <c r="AT1448" s="115"/>
      <c r="AU1448" s="115"/>
      <c r="AV1448" s="115"/>
      <c r="AW1448" s="115"/>
      <c r="AX1448" s="115"/>
      <c r="AY1448" s="115"/>
      <c r="AZ1448" s="26"/>
      <c r="BA1448" s="13"/>
    </row>
    <row r="1449" spans="1:53" x14ac:dyDescent="0.4">
      <c r="AZ1449" s="26"/>
      <c r="BA1449" s="15"/>
    </row>
    <row r="1450" spans="1:53" x14ac:dyDescent="0.4">
      <c r="AZ1450" s="26"/>
      <c r="BA1450" s="15"/>
    </row>
    <row r="1451" spans="1:53" x14ac:dyDescent="0.4">
      <c r="AZ1451" s="26"/>
      <c r="BA1451" s="15"/>
    </row>
    <row r="1452" spans="1:53" x14ac:dyDescent="0.4">
      <c r="AZ1452" s="26"/>
      <c r="BA1452" s="13"/>
    </row>
    <row r="1453" spans="1:53" x14ac:dyDescent="0.4">
      <c r="AZ1453" s="26"/>
      <c r="BA1453" s="15"/>
    </row>
    <row r="1454" spans="1:53" x14ac:dyDescent="0.4">
      <c r="B1454" s="115"/>
      <c r="C1454" s="115"/>
      <c r="D1454" s="115"/>
      <c r="E1454" s="115"/>
      <c r="F1454" s="115"/>
      <c r="G1454" s="115"/>
      <c r="H1454" s="115"/>
      <c r="I1454" s="115"/>
      <c r="J1454" s="115"/>
      <c r="K1454" s="115"/>
      <c r="L1454" s="115"/>
      <c r="M1454" s="115"/>
      <c r="N1454" s="115"/>
      <c r="O1454" s="115"/>
      <c r="P1454" s="115"/>
      <c r="Q1454" s="115"/>
      <c r="R1454" s="115"/>
      <c r="S1454" s="115"/>
      <c r="T1454" s="115"/>
      <c r="U1454" s="115"/>
      <c r="V1454" s="115"/>
      <c r="W1454" s="115"/>
      <c r="X1454" s="115"/>
      <c r="Y1454" s="115"/>
      <c r="Z1454" s="115"/>
      <c r="AA1454" s="115"/>
      <c r="AB1454" s="115"/>
      <c r="AC1454" s="115"/>
      <c r="AD1454" s="115"/>
      <c r="AE1454" s="115"/>
      <c r="AF1454" s="115"/>
      <c r="AG1454" s="115"/>
      <c r="AH1454" s="115"/>
      <c r="AI1454" s="122"/>
      <c r="AJ1454" s="122"/>
      <c r="AK1454" s="122"/>
      <c r="AL1454" s="115"/>
      <c r="AM1454" s="115"/>
      <c r="AN1454" s="115"/>
      <c r="AO1454" s="115"/>
      <c r="AP1454" s="115"/>
      <c r="AQ1454" s="115"/>
      <c r="AR1454" s="115"/>
      <c r="AS1454" s="115"/>
      <c r="AT1454" s="115"/>
      <c r="AU1454" s="115"/>
      <c r="AV1454" s="115"/>
      <c r="AW1454" s="115"/>
      <c r="AX1454" s="115"/>
      <c r="AY1454" s="115"/>
      <c r="AZ1454" s="17"/>
      <c r="BA1454" s="15"/>
    </row>
    <row r="1455" spans="1:53" x14ac:dyDescent="0.4">
      <c r="AZ1455" s="26"/>
      <c r="BA1455" s="15"/>
    </row>
    <row r="1456" spans="1:53" x14ac:dyDescent="0.4">
      <c r="B1456" s="115"/>
      <c r="C1456" s="115"/>
      <c r="D1456" s="115"/>
      <c r="E1456" s="115"/>
      <c r="F1456" s="115"/>
      <c r="G1456" s="115"/>
      <c r="H1456" s="115"/>
      <c r="I1456" s="115"/>
      <c r="J1456" s="115"/>
      <c r="K1456" s="115"/>
      <c r="L1456" s="115"/>
      <c r="M1456" s="115"/>
      <c r="N1456" s="115"/>
      <c r="O1456" s="115"/>
      <c r="P1456" s="115"/>
      <c r="Q1456" s="115"/>
      <c r="R1456" s="115"/>
      <c r="S1456" s="115"/>
      <c r="T1456" s="115"/>
      <c r="U1456" s="115"/>
      <c r="V1456" s="115"/>
      <c r="W1456" s="115"/>
      <c r="X1456" s="115"/>
      <c r="Y1456" s="115"/>
      <c r="Z1456" s="115"/>
      <c r="AA1456" s="115"/>
      <c r="AB1456" s="115"/>
      <c r="AC1456" s="115"/>
      <c r="AD1456" s="115"/>
      <c r="AE1456" s="115"/>
      <c r="AF1456" s="115"/>
      <c r="AG1456" s="115"/>
      <c r="AH1456" s="115"/>
      <c r="AI1456" s="122"/>
      <c r="AJ1456" s="122"/>
      <c r="AK1456" s="122"/>
      <c r="AL1456" s="115"/>
      <c r="AM1456" s="115"/>
      <c r="AN1456" s="115"/>
      <c r="AO1456" s="115"/>
      <c r="AP1456" s="115"/>
      <c r="AQ1456" s="115"/>
      <c r="AR1456" s="115"/>
      <c r="AS1456" s="115"/>
      <c r="AT1456" s="115"/>
      <c r="AU1456" s="115"/>
      <c r="AV1456" s="115"/>
      <c r="AW1456" s="115"/>
      <c r="AX1456" s="115"/>
      <c r="AY1456" s="115"/>
      <c r="AZ1456" s="17"/>
      <c r="BA1456" s="15"/>
    </row>
    <row r="1457" spans="2:53" x14ac:dyDescent="0.4">
      <c r="AZ1457" s="26"/>
      <c r="BA1457" s="15"/>
    </row>
    <row r="1458" spans="2:53" x14ac:dyDescent="0.4">
      <c r="AZ1458" s="26"/>
      <c r="BA1458" s="15"/>
    </row>
    <row r="1459" spans="2:53" x14ac:dyDescent="0.4">
      <c r="B1459" s="115"/>
      <c r="C1459" s="115"/>
      <c r="D1459" s="115"/>
      <c r="E1459" s="115"/>
      <c r="F1459" s="115"/>
      <c r="G1459" s="115"/>
      <c r="H1459" s="115"/>
      <c r="I1459" s="115"/>
      <c r="J1459" s="115"/>
      <c r="K1459" s="115"/>
      <c r="L1459" s="115"/>
      <c r="M1459" s="115"/>
      <c r="N1459" s="115"/>
      <c r="O1459" s="115"/>
      <c r="P1459" s="115"/>
      <c r="Q1459" s="115"/>
      <c r="R1459" s="115"/>
      <c r="S1459" s="115"/>
      <c r="T1459" s="115"/>
      <c r="U1459" s="115"/>
      <c r="V1459" s="115"/>
      <c r="W1459" s="115"/>
      <c r="X1459" s="115"/>
      <c r="Y1459" s="115"/>
      <c r="Z1459" s="115"/>
      <c r="AA1459" s="115"/>
      <c r="AB1459" s="115"/>
      <c r="AC1459" s="115"/>
      <c r="AD1459" s="115"/>
      <c r="AE1459" s="115"/>
      <c r="AF1459" s="115"/>
      <c r="AG1459" s="115"/>
      <c r="AH1459" s="115"/>
      <c r="AI1459" s="122"/>
      <c r="AJ1459" s="122"/>
      <c r="AK1459" s="122"/>
      <c r="AL1459" s="115"/>
      <c r="AM1459" s="115"/>
      <c r="AN1459" s="115"/>
      <c r="AO1459" s="115"/>
      <c r="AP1459" s="115"/>
      <c r="AQ1459" s="115"/>
      <c r="AR1459" s="115"/>
      <c r="AS1459" s="115"/>
      <c r="AT1459" s="115"/>
      <c r="AU1459" s="115"/>
      <c r="AV1459" s="115"/>
      <c r="AW1459" s="115"/>
      <c r="AX1459" s="115"/>
      <c r="AY1459" s="115"/>
      <c r="AZ1459" s="17"/>
      <c r="BA1459" s="15"/>
    </row>
    <row r="1460" spans="2:53" x14ac:dyDescent="0.4">
      <c r="AZ1460" s="26"/>
      <c r="BA1460" s="15"/>
    </row>
    <row r="1461" spans="2:53" x14ac:dyDescent="0.4">
      <c r="AZ1461" s="26"/>
      <c r="BA1461" s="15"/>
    </row>
    <row r="1462" spans="2:53" x14ac:dyDescent="0.4">
      <c r="AZ1462" s="26"/>
      <c r="BA1462" s="105"/>
    </row>
    <row r="1463" spans="2:53" x14ac:dyDescent="0.4">
      <c r="AZ1463" s="26"/>
      <c r="BA1463" s="15"/>
    </row>
    <row r="1464" spans="2:53" x14ac:dyDescent="0.4">
      <c r="AZ1464" s="26"/>
      <c r="BA1464" s="15"/>
    </row>
    <row r="1465" spans="2:53" x14ac:dyDescent="0.4">
      <c r="AZ1465" s="26"/>
      <c r="BA1465" s="15"/>
    </row>
    <row r="1466" spans="2:53" x14ac:dyDescent="0.4">
      <c r="AZ1466" s="26"/>
      <c r="BA1466" s="15"/>
    </row>
    <row r="1467" spans="2:53" x14ac:dyDescent="0.4">
      <c r="AZ1467" s="26"/>
      <c r="BA1467" s="15"/>
    </row>
    <row r="1468" spans="2:53" x14ac:dyDescent="0.4">
      <c r="B1468" s="115"/>
      <c r="C1468" s="115"/>
      <c r="D1468" s="115"/>
      <c r="E1468" s="115"/>
      <c r="F1468" s="115"/>
      <c r="G1468" s="115"/>
      <c r="H1468" s="115"/>
      <c r="I1468" s="115"/>
      <c r="J1468" s="115"/>
      <c r="K1468" s="115"/>
      <c r="L1468" s="115"/>
      <c r="M1468" s="115"/>
      <c r="N1468" s="115"/>
      <c r="O1468" s="115"/>
      <c r="P1468" s="115"/>
      <c r="Q1468" s="115"/>
      <c r="R1468" s="115"/>
      <c r="S1468" s="115"/>
      <c r="T1468" s="115"/>
      <c r="U1468" s="115"/>
      <c r="V1468" s="115"/>
      <c r="W1468" s="115"/>
      <c r="X1468" s="115"/>
      <c r="Y1468" s="115"/>
      <c r="Z1468" s="115"/>
      <c r="AA1468" s="115"/>
      <c r="AB1468" s="115"/>
      <c r="AC1468" s="115"/>
      <c r="AD1468" s="115"/>
      <c r="AE1468" s="115"/>
      <c r="AF1468" s="115"/>
      <c r="AG1468" s="115"/>
      <c r="AH1468" s="115"/>
      <c r="AI1468" s="122"/>
      <c r="AJ1468" s="122"/>
      <c r="AK1468" s="122"/>
      <c r="AL1468" s="115"/>
      <c r="AM1468" s="115"/>
      <c r="AN1468" s="115"/>
      <c r="AO1468" s="115"/>
      <c r="AP1468" s="115"/>
      <c r="AQ1468" s="115"/>
      <c r="AR1468" s="115"/>
      <c r="AS1468" s="115"/>
      <c r="AT1468" s="115"/>
      <c r="AU1468" s="115"/>
      <c r="AV1468" s="115"/>
      <c r="AW1468" s="115"/>
      <c r="AX1468" s="115"/>
      <c r="AY1468" s="115"/>
      <c r="AZ1468" s="119"/>
      <c r="BA1468" s="119"/>
    </row>
    <row r="1469" spans="2:53" x14ac:dyDescent="0.4">
      <c r="B1469" s="115"/>
      <c r="C1469" s="115"/>
      <c r="D1469" s="115"/>
      <c r="E1469" s="115"/>
      <c r="F1469" s="115"/>
      <c r="G1469" s="115"/>
      <c r="H1469" s="115"/>
      <c r="I1469" s="115"/>
      <c r="J1469" s="115"/>
      <c r="K1469" s="115"/>
      <c r="L1469" s="115"/>
      <c r="M1469" s="115"/>
      <c r="N1469" s="115"/>
      <c r="O1469" s="115"/>
      <c r="P1469" s="115"/>
      <c r="Q1469" s="115"/>
      <c r="R1469" s="115"/>
      <c r="S1469" s="115"/>
      <c r="T1469" s="115"/>
      <c r="U1469" s="115"/>
      <c r="V1469" s="115"/>
      <c r="W1469" s="115"/>
      <c r="X1469" s="115"/>
      <c r="Y1469" s="115"/>
      <c r="Z1469" s="115"/>
      <c r="AA1469" s="115"/>
      <c r="AB1469" s="115"/>
      <c r="AC1469" s="115"/>
      <c r="AD1469" s="115"/>
      <c r="AE1469" s="115"/>
      <c r="AF1469" s="115"/>
      <c r="AG1469" s="115"/>
      <c r="AH1469" s="115"/>
      <c r="AI1469" s="122"/>
      <c r="AJ1469" s="122"/>
      <c r="AK1469" s="122"/>
      <c r="AL1469" s="115"/>
      <c r="AM1469" s="115"/>
      <c r="AN1469" s="115"/>
      <c r="AO1469" s="115"/>
      <c r="AP1469" s="115"/>
      <c r="AQ1469" s="115"/>
      <c r="AR1469" s="115"/>
      <c r="AS1469" s="115"/>
      <c r="AT1469" s="115"/>
      <c r="AU1469" s="115"/>
      <c r="AV1469" s="115"/>
      <c r="AW1469" s="115"/>
      <c r="AX1469" s="115"/>
      <c r="AY1469" s="115"/>
      <c r="AZ1469" s="119"/>
      <c r="BA1469" s="119"/>
    </row>
  </sheetData>
  <sortState xmlns:xlrd2="http://schemas.microsoft.com/office/spreadsheetml/2017/richdata2" ref="Q2:R144">
    <sortCondition ref="Q2:Q144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C1" zoomScaleNormal="100" workbookViewId="0">
      <selection activeCell="G1" sqref="G1:J28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120" t="s">
        <v>175</v>
      </c>
      <c r="B1" s="121" t="s">
        <v>146</v>
      </c>
      <c r="C1" s="121" t="s">
        <v>147</v>
      </c>
      <c r="D1" s="121" t="s">
        <v>148</v>
      </c>
      <c r="G1" s="120" t="s">
        <v>176</v>
      </c>
      <c r="H1" s="121"/>
      <c r="I1" s="121"/>
      <c r="J1" s="121"/>
      <c r="N1" t="s">
        <v>143</v>
      </c>
      <c r="O1" t="s">
        <v>144</v>
      </c>
    </row>
    <row r="2" spans="1:32" ht="19.5" x14ac:dyDescent="0.4">
      <c r="A2" s="117"/>
      <c r="B2" s="123"/>
      <c r="C2" s="123"/>
      <c r="D2" s="123"/>
      <c r="G2" s="116"/>
      <c r="H2" s="123" t="s">
        <v>146</v>
      </c>
      <c r="I2" s="123" t="s">
        <v>147</v>
      </c>
      <c r="J2" s="123" t="s">
        <v>148</v>
      </c>
      <c r="N2" s="25">
        <v>45557</v>
      </c>
      <c r="O2" s="13" t="s">
        <v>147</v>
      </c>
      <c r="AE2" s="127"/>
      <c r="AF2" s="29"/>
    </row>
    <row r="3" spans="1:32" ht="19.5" x14ac:dyDescent="0.4">
      <c r="A3" s="117"/>
      <c r="B3" s="123"/>
      <c r="C3" s="123"/>
      <c r="D3" s="123"/>
      <c r="G3" s="117">
        <v>45543</v>
      </c>
      <c r="H3" s="123">
        <v>1</v>
      </c>
      <c r="I3" s="123"/>
      <c r="J3" s="123"/>
      <c r="M3" s="115"/>
      <c r="N3" s="25">
        <v>45546</v>
      </c>
      <c r="O3" s="13" t="s">
        <v>146</v>
      </c>
      <c r="AE3" s="127"/>
      <c r="AF3" s="29"/>
    </row>
    <row r="4" spans="1:32" ht="19.5" x14ac:dyDescent="0.4">
      <c r="A4" s="117"/>
      <c r="B4" s="123"/>
      <c r="C4" s="123"/>
      <c r="D4" s="123"/>
      <c r="G4" s="117">
        <v>45544</v>
      </c>
      <c r="H4" s="123">
        <v>1</v>
      </c>
      <c r="I4" s="123"/>
      <c r="J4" s="123"/>
      <c r="L4" s="115"/>
      <c r="M4" s="115"/>
      <c r="N4" s="25">
        <v>45544</v>
      </c>
      <c r="O4" s="13" t="s">
        <v>146</v>
      </c>
      <c r="AE4" s="127"/>
      <c r="AF4" s="29"/>
    </row>
    <row r="5" spans="1:32" ht="19.5" x14ac:dyDescent="0.4">
      <c r="A5" s="117"/>
      <c r="B5" s="123"/>
      <c r="C5" s="123"/>
      <c r="D5" s="123"/>
      <c r="G5" s="117">
        <v>45545</v>
      </c>
      <c r="H5" s="123"/>
      <c r="I5" s="123"/>
      <c r="J5" s="123">
        <v>1</v>
      </c>
      <c r="L5" s="115"/>
      <c r="M5" s="115"/>
      <c r="N5" s="25">
        <v>45546</v>
      </c>
      <c r="O5" s="13" t="s">
        <v>146</v>
      </c>
      <c r="AE5" s="127"/>
      <c r="AF5" s="29"/>
    </row>
    <row r="6" spans="1:32" ht="19.5" x14ac:dyDescent="0.4">
      <c r="A6" s="117"/>
      <c r="B6" s="123"/>
      <c r="C6" s="123"/>
      <c r="D6" s="123"/>
      <c r="G6" s="117">
        <v>45546</v>
      </c>
      <c r="H6" s="123">
        <v>7</v>
      </c>
      <c r="I6" s="123">
        <v>2</v>
      </c>
      <c r="J6" s="123">
        <v>2</v>
      </c>
      <c r="K6" s="115"/>
      <c r="L6" s="115"/>
      <c r="M6" s="115"/>
      <c r="N6" s="25">
        <v>45550</v>
      </c>
      <c r="O6" s="13" t="s">
        <v>147</v>
      </c>
      <c r="AE6" s="127"/>
      <c r="AF6" s="29"/>
    </row>
    <row r="7" spans="1:32" ht="19.5" x14ac:dyDescent="0.4">
      <c r="A7" s="117"/>
      <c r="B7" s="123"/>
      <c r="C7" s="123"/>
      <c r="D7" s="123"/>
      <c r="G7" s="117">
        <v>45550</v>
      </c>
      <c r="H7" s="123">
        <v>7</v>
      </c>
      <c r="I7" s="123">
        <v>5</v>
      </c>
      <c r="J7" s="123">
        <v>2</v>
      </c>
      <c r="K7" s="115"/>
      <c r="L7" s="115"/>
      <c r="M7" s="115"/>
      <c r="N7" s="25">
        <v>45553</v>
      </c>
      <c r="O7" s="13" t="s">
        <v>147</v>
      </c>
      <c r="AE7" s="127"/>
      <c r="AF7" s="29"/>
    </row>
    <row r="8" spans="1:32" ht="19.5" x14ac:dyDescent="0.4">
      <c r="A8" s="117"/>
      <c r="B8" s="123"/>
      <c r="C8" s="123"/>
      <c r="D8" s="123"/>
      <c r="G8" s="117">
        <v>45551</v>
      </c>
      <c r="H8" s="123">
        <v>1</v>
      </c>
      <c r="I8" s="123">
        <v>1</v>
      </c>
      <c r="J8" s="123">
        <v>2</v>
      </c>
      <c r="K8" s="115"/>
      <c r="L8" s="115"/>
      <c r="M8" s="115"/>
      <c r="N8" s="25">
        <v>45555</v>
      </c>
      <c r="O8" s="13" t="s">
        <v>147</v>
      </c>
      <c r="AE8" s="127"/>
      <c r="AF8" s="29"/>
    </row>
    <row r="9" spans="1:32" ht="19.5" x14ac:dyDescent="0.4">
      <c r="A9" s="117"/>
      <c r="B9" s="123"/>
      <c r="C9" s="123"/>
      <c r="D9" s="123"/>
      <c r="G9" s="117">
        <v>45552</v>
      </c>
      <c r="H9" s="123">
        <v>12</v>
      </c>
      <c r="I9" s="123"/>
      <c r="J9" s="123"/>
      <c r="K9" s="115"/>
      <c r="L9" s="115"/>
      <c r="M9" s="115"/>
      <c r="N9" s="25">
        <v>45573</v>
      </c>
      <c r="O9" s="13" t="s">
        <v>146</v>
      </c>
      <c r="AE9" s="127"/>
      <c r="AF9" s="29"/>
    </row>
    <row r="10" spans="1:32" ht="19.5" x14ac:dyDescent="0.4">
      <c r="A10" s="117"/>
      <c r="B10" s="123"/>
      <c r="C10" s="123"/>
      <c r="D10" s="123"/>
      <c r="G10" s="117">
        <v>45553</v>
      </c>
      <c r="H10" s="123">
        <v>2</v>
      </c>
      <c r="I10" s="123">
        <v>2</v>
      </c>
      <c r="J10" s="123">
        <v>1</v>
      </c>
      <c r="K10" s="115"/>
      <c r="L10" s="115"/>
      <c r="M10" s="115"/>
      <c r="N10" s="25">
        <v>45546</v>
      </c>
      <c r="O10" s="13" t="s">
        <v>148</v>
      </c>
      <c r="AE10" s="127"/>
      <c r="AF10" s="29"/>
    </row>
    <row r="11" spans="1:32" ht="19.5" x14ac:dyDescent="0.4">
      <c r="A11" s="117"/>
      <c r="B11" s="123"/>
      <c r="C11" s="123"/>
      <c r="D11" s="123"/>
      <c r="G11" s="117">
        <v>45554</v>
      </c>
      <c r="H11" s="123">
        <v>1</v>
      </c>
      <c r="I11" s="123">
        <v>2</v>
      </c>
      <c r="J11" s="123">
        <v>1</v>
      </c>
      <c r="K11" s="115"/>
      <c r="L11" s="115"/>
      <c r="M11" s="115"/>
      <c r="N11" s="25">
        <v>45550</v>
      </c>
      <c r="O11" s="13" t="s">
        <v>146</v>
      </c>
      <c r="AE11" s="127"/>
      <c r="AF11" s="29"/>
    </row>
    <row r="12" spans="1:32" ht="19.5" x14ac:dyDescent="0.4">
      <c r="A12" s="117"/>
      <c r="B12" s="123"/>
      <c r="C12" s="123"/>
      <c r="D12" s="123"/>
      <c r="G12" s="117">
        <v>45555</v>
      </c>
      <c r="H12" s="123"/>
      <c r="I12" s="123">
        <v>1</v>
      </c>
      <c r="J12" s="123"/>
      <c r="N12" s="25">
        <v>45551</v>
      </c>
      <c r="O12" s="13" t="s">
        <v>148</v>
      </c>
      <c r="AE12" s="127"/>
      <c r="AF12" s="29"/>
    </row>
    <row r="13" spans="1:32" ht="19.5" x14ac:dyDescent="0.4">
      <c r="A13" s="117"/>
      <c r="B13" s="123"/>
      <c r="C13" s="123"/>
      <c r="D13" s="123"/>
      <c r="G13" s="117">
        <v>45556</v>
      </c>
      <c r="H13" s="123"/>
      <c r="I13" s="123">
        <v>1</v>
      </c>
      <c r="J13" s="123"/>
      <c r="L13" s="115"/>
      <c r="M13" s="115"/>
      <c r="N13" s="25">
        <v>45550</v>
      </c>
      <c r="O13" s="13" t="s">
        <v>147</v>
      </c>
      <c r="AE13" s="127"/>
      <c r="AF13" s="29"/>
    </row>
    <row r="14" spans="1:32" ht="19.5" x14ac:dyDescent="0.4">
      <c r="A14" s="117"/>
      <c r="B14" s="123"/>
      <c r="C14" s="123"/>
      <c r="D14" s="123"/>
      <c r="G14" s="117">
        <v>45557</v>
      </c>
      <c r="H14" s="123">
        <v>4</v>
      </c>
      <c r="I14" s="123">
        <v>13</v>
      </c>
      <c r="J14" s="123">
        <v>8</v>
      </c>
      <c r="K14" s="115"/>
      <c r="L14" s="115"/>
      <c r="M14" s="115"/>
      <c r="N14" s="25">
        <v>45557</v>
      </c>
      <c r="O14" s="13" t="s">
        <v>147</v>
      </c>
      <c r="AE14" s="127"/>
      <c r="AF14" s="29"/>
    </row>
    <row r="15" spans="1:32" ht="19.5" x14ac:dyDescent="0.4">
      <c r="A15" s="117"/>
      <c r="B15" s="123"/>
      <c r="C15" s="123"/>
      <c r="D15" s="123"/>
      <c r="G15" s="117">
        <v>45558</v>
      </c>
      <c r="H15" s="123">
        <v>4</v>
      </c>
      <c r="I15" s="123">
        <v>2</v>
      </c>
      <c r="J15" s="123">
        <v>2</v>
      </c>
      <c r="K15" s="115"/>
      <c r="L15" s="115"/>
      <c r="M15" s="115"/>
      <c r="N15" s="25">
        <v>45557</v>
      </c>
      <c r="O15" s="13" t="s">
        <v>147</v>
      </c>
      <c r="AD15" s="115"/>
      <c r="AE15" s="29"/>
      <c r="AF15" s="29"/>
    </row>
    <row r="16" spans="1:32" ht="19.5" x14ac:dyDescent="0.4">
      <c r="A16" s="117"/>
      <c r="B16" s="123"/>
      <c r="C16" s="123"/>
      <c r="D16" s="123"/>
      <c r="G16" s="117">
        <v>45559</v>
      </c>
      <c r="H16" s="123">
        <v>4</v>
      </c>
      <c r="I16" s="123">
        <v>5</v>
      </c>
      <c r="J16" s="123">
        <v>2</v>
      </c>
      <c r="K16" s="115"/>
      <c r="L16" s="115"/>
      <c r="M16" s="115"/>
      <c r="N16" s="25">
        <v>45550</v>
      </c>
      <c r="O16" s="13" t="s">
        <v>147</v>
      </c>
      <c r="AD16" s="115"/>
      <c r="AE16" s="29"/>
      <c r="AF16" s="29"/>
    </row>
    <row r="17" spans="1:32" ht="19.5" x14ac:dyDescent="0.4">
      <c r="A17" s="117"/>
      <c r="B17" s="123"/>
      <c r="C17" s="123"/>
      <c r="D17" s="123"/>
      <c r="G17" s="117">
        <v>45560</v>
      </c>
      <c r="H17" s="123">
        <v>1</v>
      </c>
      <c r="I17" s="123">
        <v>1</v>
      </c>
      <c r="J17" s="123">
        <v>1</v>
      </c>
      <c r="K17" s="115"/>
      <c r="L17" s="115"/>
      <c r="M17" s="115"/>
      <c r="N17" s="25">
        <v>45557</v>
      </c>
      <c r="O17" s="13" t="s">
        <v>147</v>
      </c>
      <c r="AD17" s="115"/>
      <c r="AE17" s="29"/>
      <c r="AF17" s="29"/>
    </row>
    <row r="18" spans="1:32" ht="19.5" x14ac:dyDescent="0.4">
      <c r="A18" s="117"/>
      <c r="B18" s="123"/>
      <c r="C18" s="123"/>
      <c r="D18" s="123"/>
      <c r="G18" s="117">
        <v>45561</v>
      </c>
      <c r="H18" s="123">
        <v>2</v>
      </c>
      <c r="I18" s="123">
        <v>3</v>
      </c>
      <c r="J18" s="123">
        <v>1</v>
      </c>
      <c r="K18" s="115"/>
      <c r="L18" s="115"/>
      <c r="M18" s="115"/>
      <c r="N18" s="25">
        <v>45558</v>
      </c>
      <c r="O18" s="13" t="s">
        <v>148</v>
      </c>
      <c r="AD18" s="115"/>
      <c r="AE18" s="29"/>
      <c r="AF18" s="29"/>
    </row>
    <row r="19" spans="1:32" ht="19.5" x14ac:dyDescent="0.4">
      <c r="A19" s="117"/>
      <c r="B19" s="123"/>
      <c r="C19" s="123"/>
      <c r="D19" s="123"/>
      <c r="G19" s="117">
        <v>45563</v>
      </c>
      <c r="H19" s="123">
        <v>10</v>
      </c>
      <c r="I19" s="123">
        <v>7</v>
      </c>
      <c r="J19" s="123">
        <v>1</v>
      </c>
      <c r="K19" s="115"/>
      <c r="L19" s="115"/>
      <c r="M19" s="115"/>
      <c r="N19" s="25">
        <v>45557</v>
      </c>
      <c r="O19" s="13" t="s">
        <v>148</v>
      </c>
      <c r="AD19" s="115"/>
      <c r="AE19" s="29"/>
      <c r="AF19" s="29"/>
    </row>
    <row r="20" spans="1:32" ht="19.5" x14ac:dyDescent="0.4">
      <c r="A20" s="117"/>
      <c r="B20" s="123"/>
      <c r="C20" s="123"/>
      <c r="D20" s="123"/>
      <c r="G20" s="117">
        <v>45565</v>
      </c>
      <c r="H20" s="123">
        <v>4</v>
      </c>
      <c r="I20" s="123">
        <v>1</v>
      </c>
      <c r="J20" s="123"/>
      <c r="K20" s="115"/>
      <c r="L20" s="115"/>
      <c r="M20" s="115"/>
      <c r="N20" s="25">
        <v>45557</v>
      </c>
      <c r="O20" s="13" t="s">
        <v>148</v>
      </c>
      <c r="AD20" s="115"/>
      <c r="AE20" s="29"/>
      <c r="AF20" s="29"/>
    </row>
    <row r="21" spans="1:32" ht="19.5" x14ac:dyDescent="0.4">
      <c r="A21" s="117"/>
      <c r="B21" s="123"/>
      <c r="C21" s="123"/>
      <c r="D21" s="123"/>
      <c r="G21" s="117">
        <v>45566</v>
      </c>
      <c r="H21" s="123"/>
      <c r="I21" s="123">
        <v>2</v>
      </c>
      <c r="J21" s="123"/>
      <c r="K21" s="115"/>
      <c r="L21" s="115"/>
      <c r="M21" s="115"/>
      <c r="N21" s="25">
        <v>45556</v>
      </c>
      <c r="O21" s="13" t="s">
        <v>147</v>
      </c>
      <c r="AD21" s="115"/>
      <c r="AE21" s="29"/>
      <c r="AF21" s="29"/>
    </row>
    <row r="22" spans="1:32" ht="19.5" x14ac:dyDescent="0.4">
      <c r="A22" s="117"/>
      <c r="B22" s="123"/>
      <c r="C22" s="123"/>
      <c r="D22" s="123"/>
      <c r="G22" s="117">
        <v>45567</v>
      </c>
      <c r="H22" s="123">
        <v>6</v>
      </c>
      <c r="I22" s="123"/>
      <c r="J22" s="123"/>
      <c r="K22" s="115"/>
      <c r="L22" s="115"/>
      <c r="M22" s="115"/>
      <c r="N22" s="25">
        <v>45558</v>
      </c>
      <c r="O22" s="13" t="s">
        <v>142</v>
      </c>
      <c r="AD22" s="115"/>
      <c r="AE22" s="29"/>
      <c r="AF22" s="29"/>
    </row>
    <row r="23" spans="1:32" ht="19.5" x14ac:dyDescent="0.4">
      <c r="A23" s="117"/>
      <c r="B23" s="123"/>
      <c r="C23" s="123"/>
      <c r="D23" s="123"/>
      <c r="G23" s="117">
        <v>45568</v>
      </c>
      <c r="H23" s="123">
        <v>1</v>
      </c>
      <c r="I23" s="123">
        <v>2</v>
      </c>
      <c r="J23" s="123"/>
      <c r="K23" s="115"/>
      <c r="L23" s="115"/>
      <c r="M23" s="115"/>
      <c r="N23" s="25">
        <v>45558</v>
      </c>
      <c r="O23" s="13" t="s">
        <v>146</v>
      </c>
      <c r="AD23" s="115"/>
      <c r="AE23" s="29"/>
      <c r="AF23" s="29"/>
    </row>
    <row r="24" spans="1:32" ht="19.5" x14ac:dyDescent="0.4">
      <c r="A24" s="117"/>
      <c r="B24" s="123"/>
      <c r="C24" s="123"/>
      <c r="D24" s="123"/>
      <c r="G24" s="117">
        <v>45573</v>
      </c>
      <c r="H24" s="123">
        <v>4</v>
      </c>
      <c r="I24" s="123"/>
      <c r="J24" s="123"/>
      <c r="K24" s="115"/>
      <c r="L24" s="115"/>
      <c r="M24" s="115"/>
      <c r="N24" s="25">
        <v>45558</v>
      </c>
      <c r="O24" s="13" t="s">
        <v>146</v>
      </c>
      <c r="AD24" s="115"/>
      <c r="AE24" s="29"/>
      <c r="AF24" s="29"/>
    </row>
    <row r="25" spans="1:32" ht="19.5" x14ac:dyDescent="0.4">
      <c r="A25" s="117"/>
      <c r="B25" s="123"/>
      <c r="C25" s="123"/>
      <c r="D25" s="123"/>
      <c r="G25" s="117">
        <v>45583</v>
      </c>
      <c r="H25" s="123"/>
      <c r="I25" s="123"/>
      <c r="J25" s="123">
        <v>1</v>
      </c>
      <c r="K25" s="115"/>
      <c r="L25" s="115"/>
      <c r="M25" s="115"/>
      <c r="N25" s="25">
        <v>45563</v>
      </c>
      <c r="O25" s="13" t="s">
        <v>146</v>
      </c>
      <c r="AC25" s="115"/>
      <c r="AD25" s="115"/>
      <c r="AE25" s="127"/>
      <c r="AF25" s="29"/>
    </row>
    <row r="26" spans="1:32" ht="19.5" x14ac:dyDescent="0.4">
      <c r="A26" s="117"/>
      <c r="B26" s="123"/>
      <c r="C26" s="123"/>
      <c r="D26" s="123"/>
      <c r="G26" s="117"/>
      <c r="H26" s="123">
        <f>SUM(H3:H25)</f>
        <v>72</v>
      </c>
      <c r="I26" s="123">
        <f>SUM(I3:I25)</f>
        <v>50</v>
      </c>
      <c r="J26" s="123">
        <f>SUM(J3:J25)</f>
        <v>25</v>
      </c>
      <c r="K26" s="115"/>
      <c r="L26" s="115"/>
      <c r="M26" s="115"/>
      <c r="N26" s="25">
        <v>45567</v>
      </c>
      <c r="O26" s="13" t="s">
        <v>146</v>
      </c>
      <c r="AC26" s="115"/>
      <c r="AD26" s="115"/>
      <c r="AE26" s="127"/>
      <c r="AF26" s="29"/>
    </row>
    <row r="27" spans="1:32" ht="19.5" x14ac:dyDescent="0.4">
      <c r="A27" s="117"/>
      <c r="B27" s="123"/>
      <c r="C27" s="123"/>
      <c r="D27" s="123"/>
      <c r="G27" s="117"/>
      <c r="H27" s="123"/>
      <c r="I27" s="123"/>
      <c r="J27" s="123">
        <f>SUM(H26:J26)</f>
        <v>147</v>
      </c>
      <c r="K27" s="115"/>
      <c r="L27" s="115"/>
      <c r="M27" s="115"/>
      <c r="N27" s="25">
        <v>45563</v>
      </c>
      <c r="O27" s="13" t="s">
        <v>146</v>
      </c>
      <c r="AC27" s="115"/>
      <c r="AD27" s="115"/>
      <c r="AE27" s="127"/>
      <c r="AF27" s="29"/>
    </row>
    <row r="28" spans="1:32" ht="19.5" x14ac:dyDescent="0.4">
      <c r="A28" s="117"/>
      <c r="B28" s="123"/>
      <c r="C28" s="123"/>
      <c r="D28" s="123"/>
      <c r="H28" s="115"/>
      <c r="I28" s="115"/>
      <c r="J28" s="115"/>
      <c r="K28" s="115"/>
      <c r="L28" s="115"/>
      <c r="M28" s="115"/>
      <c r="N28" s="25">
        <v>45559</v>
      </c>
      <c r="O28" s="13" t="s">
        <v>146</v>
      </c>
      <c r="AC28" s="115"/>
      <c r="AD28" s="115"/>
      <c r="AE28" s="127"/>
      <c r="AF28" s="29"/>
    </row>
    <row r="29" spans="1:32" ht="19.5" x14ac:dyDescent="0.4">
      <c r="A29" s="117"/>
      <c r="B29" s="123"/>
      <c r="C29" s="123"/>
      <c r="D29" s="123"/>
      <c r="H29" s="115"/>
      <c r="I29" s="115"/>
      <c r="J29" s="115"/>
      <c r="K29" s="115"/>
      <c r="L29" s="115"/>
      <c r="M29" s="115"/>
      <c r="N29" s="25">
        <v>45563</v>
      </c>
      <c r="O29" s="13" t="s">
        <v>146</v>
      </c>
      <c r="AC29" s="115"/>
      <c r="AD29" s="115"/>
      <c r="AE29" s="127"/>
      <c r="AF29" s="29"/>
    </row>
    <row r="30" spans="1:32" ht="19.5" x14ac:dyDescent="0.4">
      <c r="A30" s="117"/>
      <c r="B30" s="123"/>
      <c r="C30" s="123"/>
      <c r="D30" s="123"/>
      <c r="H30" s="115"/>
      <c r="I30" s="115"/>
      <c r="J30" s="115"/>
      <c r="K30" s="115"/>
      <c r="L30" s="115"/>
      <c r="M30" s="115"/>
      <c r="N30" s="25">
        <v>45563</v>
      </c>
      <c r="O30" s="13" t="s">
        <v>146</v>
      </c>
      <c r="AC30" s="115"/>
      <c r="AD30" s="115"/>
      <c r="AE30" s="127"/>
      <c r="AF30" s="29"/>
    </row>
    <row r="31" spans="1:32" ht="19.5" x14ac:dyDescent="0.4">
      <c r="A31" s="117"/>
      <c r="B31" s="123"/>
      <c r="C31" s="123"/>
      <c r="D31" s="123"/>
      <c r="H31" s="115"/>
      <c r="I31" s="115"/>
      <c r="J31" s="115"/>
      <c r="K31" s="115"/>
      <c r="L31" s="115"/>
      <c r="M31" s="115"/>
      <c r="N31" s="25">
        <v>45553</v>
      </c>
      <c r="O31" s="13" t="s">
        <v>146</v>
      </c>
      <c r="AC31" s="115"/>
      <c r="AD31" s="115"/>
      <c r="AE31" s="29"/>
      <c r="AF31" s="29"/>
    </row>
    <row r="32" spans="1:32" ht="19.5" x14ac:dyDescent="0.4">
      <c r="A32" s="117"/>
      <c r="B32" s="123"/>
      <c r="C32" s="123"/>
      <c r="D32" s="123"/>
      <c r="H32" s="115"/>
      <c r="I32" s="115"/>
      <c r="J32" s="115"/>
      <c r="K32" s="115"/>
      <c r="L32" s="115"/>
      <c r="M32" s="115"/>
      <c r="N32" s="25">
        <v>45561</v>
      </c>
      <c r="O32" s="15" t="s">
        <v>147</v>
      </c>
      <c r="AC32" s="115"/>
      <c r="AD32" s="115"/>
      <c r="AE32" s="29"/>
      <c r="AF32" s="29"/>
    </row>
    <row r="33" spans="1:32" ht="19.5" x14ac:dyDescent="0.4">
      <c r="A33" s="117"/>
      <c r="B33" s="123"/>
      <c r="C33" s="123"/>
      <c r="D33" s="123"/>
      <c r="H33" s="115"/>
      <c r="I33" s="115"/>
      <c r="J33" s="115"/>
      <c r="K33" s="115"/>
      <c r="L33" s="115"/>
      <c r="M33" s="115"/>
      <c r="N33" s="25">
        <v>45561</v>
      </c>
      <c r="O33" s="15" t="s">
        <v>147</v>
      </c>
      <c r="AC33" s="115"/>
      <c r="AD33" s="115"/>
      <c r="AE33" s="29"/>
      <c r="AF33" s="29"/>
    </row>
    <row r="34" spans="1:32" ht="19.5" x14ac:dyDescent="0.4">
      <c r="A34" s="117"/>
      <c r="B34" s="123"/>
      <c r="C34" s="123"/>
      <c r="D34" s="123"/>
      <c r="H34" s="115"/>
      <c r="I34" s="115"/>
      <c r="J34" s="115"/>
      <c r="K34" s="115"/>
      <c r="L34" s="115"/>
      <c r="M34" s="115"/>
      <c r="N34" s="25">
        <v>45546</v>
      </c>
      <c r="O34" s="15" t="s">
        <v>146</v>
      </c>
      <c r="AC34" s="115"/>
      <c r="AD34" s="115"/>
      <c r="AE34" s="29"/>
      <c r="AF34" s="29"/>
    </row>
    <row r="35" spans="1:32" ht="19.5" x14ac:dyDescent="0.4">
      <c r="A35" s="117"/>
      <c r="B35" s="123"/>
      <c r="C35" s="123"/>
      <c r="D35" s="123"/>
      <c r="H35" s="115"/>
      <c r="I35" s="115"/>
      <c r="J35" s="115"/>
      <c r="K35" s="115"/>
      <c r="L35" s="115"/>
      <c r="M35" s="115"/>
      <c r="N35" s="25">
        <v>45546</v>
      </c>
      <c r="O35" s="15" t="s">
        <v>148</v>
      </c>
      <c r="AC35" s="115"/>
      <c r="AD35" s="115"/>
      <c r="AE35" s="29"/>
      <c r="AF35" s="29"/>
    </row>
    <row r="36" spans="1:32" ht="19.5" x14ac:dyDescent="0.4">
      <c r="A36" s="117"/>
      <c r="B36" s="123"/>
      <c r="C36" s="123"/>
      <c r="D36" s="123"/>
      <c r="H36" s="115"/>
      <c r="I36" s="115"/>
      <c r="J36" s="115"/>
      <c r="K36" s="115"/>
      <c r="L36" s="115"/>
      <c r="M36" s="115"/>
      <c r="N36" s="25">
        <v>45546</v>
      </c>
      <c r="O36" s="15" t="s">
        <v>146</v>
      </c>
      <c r="AC36" s="115"/>
      <c r="AD36" s="115"/>
      <c r="AE36" s="29"/>
      <c r="AF36" s="29"/>
    </row>
    <row r="37" spans="1:32" ht="19.5" x14ac:dyDescent="0.4">
      <c r="A37" s="117"/>
      <c r="B37" s="123"/>
      <c r="C37" s="123"/>
      <c r="D37" s="123"/>
      <c r="H37" s="115"/>
      <c r="I37" s="115"/>
      <c r="J37" s="115"/>
      <c r="K37" s="115"/>
      <c r="L37" s="115"/>
      <c r="M37" s="115"/>
      <c r="N37" s="25">
        <v>45546</v>
      </c>
      <c r="O37" s="15" t="s">
        <v>146</v>
      </c>
      <c r="AC37" s="115"/>
      <c r="AD37" s="115"/>
      <c r="AE37" s="29"/>
      <c r="AF37" s="29"/>
    </row>
    <row r="38" spans="1:32" ht="19.5" x14ac:dyDescent="0.4">
      <c r="A38" s="117"/>
      <c r="B38" s="123"/>
      <c r="C38" s="123"/>
      <c r="D38" s="123"/>
      <c r="H38" s="115"/>
      <c r="I38" s="115"/>
      <c r="J38" s="115"/>
      <c r="K38" s="115"/>
      <c r="L38" s="115"/>
      <c r="M38" s="115"/>
      <c r="N38" s="25">
        <v>45553</v>
      </c>
      <c r="O38" s="15" t="s">
        <v>147</v>
      </c>
      <c r="AC38" s="115"/>
      <c r="AD38" s="115"/>
      <c r="AE38" s="29"/>
      <c r="AF38" s="29"/>
    </row>
    <row r="39" spans="1:32" ht="19.5" x14ac:dyDescent="0.4">
      <c r="A39" s="117"/>
      <c r="B39" s="123"/>
      <c r="C39" s="123"/>
      <c r="D39" s="123"/>
      <c r="H39" s="115"/>
      <c r="I39" s="115"/>
      <c r="J39" s="115"/>
      <c r="K39" s="115"/>
      <c r="L39" s="115"/>
      <c r="M39" s="115"/>
      <c r="N39" s="25">
        <v>45557</v>
      </c>
      <c r="O39" s="15" t="s">
        <v>147</v>
      </c>
      <c r="AC39" s="115"/>
      <c r="AD39" s="115"/>
      <c r="AE39" s="29"/>
      <c r="AF39" s="29"/>
    </row>
    <row r="40" spans="1:32" ht="19.5" x14ac:dyDescent="0.4">
      <c r="A40" s="117"/>
      <c r="B40" s="123"/>
      <c r="C40" s="123"/>
      <c r="D40" s="123"/>
      <c r="H40" s="115"/>
      <c r="I40" s="115"/>
      <c r="J40" s="115"/>
      <c r="K40" s="115"/>
      <c r="L40" s="115"/>
      <c r="M40" s="115"/>
      <c r="N40" s="25">
        <v>45563</v>
      </c>
      <c r="O40" s="15" t="s">
        <v>146</v>
      </c>
      <c r="AC40" s="115"/>
      <c r="AD40" s="115"/>
      <c r="AE40" s="29"/>
      <c r="AF40" s="29"/>
    </row>
    <row r="41" spans="1:32" ht="19.5" x14ac:dyDescent="0.4">
      <c r="A41" s="117"/>
      <c r="B41" s="123"/>
      <c r="C41" s="123"/>
      <c r="D41" s="123"/>
      <c r="H41" s="115"/>
      <c r="I41" s="115"/>
      <c r="J41" s="115"/>
      <c r="K41" s="115"/>
      <c r="L41" s="115"/>
      <c r="M41" s="115"/>
      <c r="N41" s="25">
        <v>45557</v>
      </c>
      <c r="O41" s="15" t="s">
        <v>147</v>
      </c>
      <c r="AB41" s="115"/>
      <c r="AC41" s="115"/>
      <c r="AD41" s="115"/>
      <c r="AE41" s="127"/>
      <c r="AF41" s="29"/>
    </row>
    <row r="42" spans="1:32" ht="19.5" x14ac:dyDescent="0.4">
      <c r="A42" s="117"/>
      <c r="B42" s="123"/>
      <c r="C42" s="123"/>
      <c r="D42" s="123"/>
      <c r="H42" s="115"/>
      <c r="I42" s="115"/>
      <c r="J42" s="115"/>
      <c r="K42" s="115"/>
      <c r="L42" s="115"/>
      <c r="M42" s="115"/>
      <c r="N42" s="25">
        <v>45550</v>
      </c>
      <c r="O42" s="15" t="s">
        <v>148</v>
      </c>
      <c r="AB42" s="115"/>
      <c r="AC42" s="115"/>
      <c r="AD42" s="115"/>
      <c r="AE42" s="127"/>
      <c r="AF42" s="29"/>
    </row>
    <row r="43" spans="1:32" ht="19.5" x14ac:dyDescent="0.4">
      <c r="A43" s="117"/>
      <c r="B43" s="123"/>
      <c r="C43" s="123"/>
      <c r="D43" s="123"/>
      <c r="H43" s="115"/>
      <c r="I43" s="115"/>
      <c r="J43" s="115"/>
      <c r="K43" s="115"/>
      <c r="L43" s="115"/>
      <c r="M43" s="115"/>
      <c r="N43" s="25">
        <v>45558</v>
      </c>
      <c r="O43" s="15" t="s">
        <v>147</v>
      </c>
      <c r="AB43" s="115"/>
      <c r="AC43" s="115"/>
      <c r="AD43" s="115"/>
      <c r="AE43" s="127"/>
      <c r="AF43" s="29"/>
    </row>
    <row r="44" spans="1:32" ht="19.5" x14ac:dyDescent="0.4">
      <c r="A44" s="117"/>
      <c r="B44" s="123"/>
      <c r="C44" s="123"/>
      <c r="D44" s="123"/>
      <c r="H44" s="115"/>
      <c r="I44" s="115"/>
      <c r="J44" s="115"/>
      <c r="K44" s="115"/>
      <c r="L44" s="115"/>
      <c r="M44" s="115"/>
      <c r="N44" s="25">
        <v>45558</v>
      </c>
      <c r="O44" s="15" t="s">
        <v>147</v>
      </c>
      <c r="AB44" s="115"/>
      <c r="AC44" s="115"/>
      <c r="AD44" s="115"/>
      <c r="AE44" s="127"/>
      <c r="AF44" s="29"/>
    </row>
    <row r="45" spans="1:32" ht="19.5" x14ac:dyDescent="0.4">
      <c r="A45" s="117"/>
      <c r="B45" s="123"/>
      <c r="C45" s="123"/>
      <c r="D45" s="123"/>
      <c r="H45" s="115"/>
      <c r="I45" s="115"/>
      <c r="J45" s="115"/>
      <c r="K45" s="115"/>
      <c r="L45" s="115"/>
      <c r="M45" s="115"/>
      <c r="N45" s="25">
        <v>45560</v>
      </c>
      <c r="O45" s="15" t="s">
        <v>148</v>
      </c>
      <c r="AB45" s="115"/>
      <c r="AC45" s="115"/>
      <c r="AD45" s="115"/>
      <c r="AE45" s="127"/>
      <c r="AF45" s="29"/>
    </row>
    <row r="46" spans="1:32" ht="19.5" x14ac:dyDescent="0.4">
      <c r="A46" s="117"/>
      <c r="B46" s="123"/>
      <c r="C46" s="123"/>
      <c r="D46" s="123"/>
      <c r="H46" s="115"/>
      <c r="I46" s="115"/>
      <c r="J46" s="115"/>
      <c r="K46" s="115"/>
      <c r="L46" s="115"/>
      <c r="M46" s="115"/>
      <c r="N46" s="25">
        <v>45552</v>
      </c>
      <c r="O46" s="13" t="s">
        <v>146</v>
      </c>
      <c r="AB46" s="115"/>
      <c r="AC46" s="115"/>
      <c r="AD46" s="115"/>
      <c r="AE46" s="127"/>
      <c r="AF46" s="29"/>
    </row>
    <row r="47" spans="1:32" ht="19.5" x14ac:dyDescent="0.4">
      <c r="A47" s="117"/>
      <c r="B47" s="123"/>
      <c r="C47" s="123"/>
      <c r="D47" s="123"/>
      <c r="H47" s="115"/>
      <c r="I47" s="115"/>
      <c r="J47" s="115"/>
      <c r="K47" s="115"/>
      <c r="L47" s="115"/>
      <c r="M47" s="115"/>
      <c r="N47" s="25">
        <v>45552</v>
      </c>
      <c r="O47" s="13" t="s">
        <v>146</v>
      </c>
      <c r="AA47" s="115"/>
      <c r="AB47" s="115"/>
      <c r="AC47" s="115"/>
      <c r="AD47" s="115"/>
      <c r="AE47" s="127"/>
      <c r="AF47" s="29"/>
    </row>
    <row r="48" spans="1:32" ht="19.5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115"/>
      <c r="N48" s="25">
        <v>45557</v>
      </c>
      <c r="O48" s="13" t="s">
        <v>147</v>
      </c>
      <c r="AA48" s="115"/>
      <c r="AB48" s="115"/>
      <c r="AC48" s="115"/>
      <c r="AD48" s="115"/>
      <c r="AE48" s="127"/>
      <c r="AF48" s="29"/>
    </row>
    <row r="49" spans="1:32" ht="19.5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115"/>
      <c r="N49" s="25">
        <v>45557</v>
      </c>
      <c r="O49" s="13" t="s">
        <v>147</v>
      </c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117"/>
      <c r="B50" s="123"/>
      <c r="C50" s="123"/>
      <c r="D50" s="123"/>
      <c r="H50" s="115"/>
      <c r="I50" s="115"/>
      <c r="J50" s="115"/>
      <c r="K50" s="115"/>
      <c r="L50" s="115"/>
      <c r="M50" s="115"/>
      <c r="N50" s="25">
        <v>45557</v>
      </c>
      <c r="O50" s="13" t="s">
        <v>147</v>
      </c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117"/>
      <c r="B51" s="123"/>
      <c r="C51" s="123"/>
      <c r="D51" s="123"/>
      <c r="H51" s="115"/>
      <c r="I51" s="115"/>
      <c r="J51" s="115"/>
      <c r="K51" s="115"/>
      <c r="L51" s="115"/>
      <c r="M51" s="115"/>
      <c r="N51" s="25">
        <v>45557</v>
      </c>
      <c r="O51" s="13" t="s">
        <v>148</v>
      </c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117"/>
      <c r="B52" s="123"/>
      <c r="C52" s="123"/>
      <c r="D52" s="123"/>
      <c r="H52" s="115"/>
      <c r="I52" s="115"/>
      <c r="J52" s="115"/>
      <c r="K52" s="115"/>
      <c r="L52" s="115"/>
      <c r="M52" s="115"/>
      <c r="N52" s="25">
        <v>45552</v>
      </c>
      <c r="O52" s="13" t="s">
        <v>146</v>
      </c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115"/>
      <c r="N53" s="25">
        <v>45552</v>
      </c>
      <c r="O53" s="13" t="s">
        <v>146</v>
      </c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117"/>
      <c r="B54" s="123"/>
      <c r="C54" s="123"/>
      <c r="D54" s="123"/>
      <c r="H54" s="115"/>
      <c r="I54" s="115"/>
      <c r="J54" s="115"/>
      <c r="K54" s="115"/>
      <c r="L54" s="115"/>
      <c r="M54" s="115"/>
      <c r="N54" s="25">
        <v>45552</v>
      </c>
      <c r="O54" s="13" t="s">
        <v>146</v>
      </c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117"/>
      <c r="B55" s="123"/>
      <c r="C55" s="123"/>
      <c r="D55" s="123"/>
      <c r="H55" s="115"/>
      <c r="I55" s="115"/>
      <c r="J55" s="115"/>
      <c r="K55" s="115"/>
      <c r="L55" s="115"/>
      <c r="M55" s="115"/>
      <c r="N55" s="25">
        <v>45557</v>
      </c>
      <c r="O55" s="13" t="s">
        <v>148</v>
      </c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115"/>
      <c r="N56" s="25">
        <v>45557</v>
      </c>
      <c r="O56" s="13" t="s">
        <v>148</v>
      </c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117"/>
      <c r="B57" s="123"/>
      <c r="C57" s="123"/>
      <c r="D57" s="123"/>
      <c r="H57" s="115"/>
      <c r="I57" s="115"/>
      <c r="J57" s="115"/>
      <c r="K57" s="115"/>
      <c r="L57" s="115"/>
      <c r="M57" s="115"/>
      <c r="N57" s="25">
        <v>45559</v>
      </c>
      <c r="O57" s="13" t="s">
        <v>146</v>
      </c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117"/>
      <c r="B58" s="123"/>
      <c r="C58" s="123"/>
      <c r="D58" s="123"/>
      <c r="H58" s="115"/>
      <c r="I58" s="115"/>
      <c r="J58" s="115"/>
      <c r="K58" s="115"/>
      <c r="L58" s="115"/>
      <c r="M58" s="115"/>
      <c r="N58" s="25">
        <v>45559</v>
      </c>
      <c r="O58" s="13" t="s">
        <v>146</v>
      </c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117"/>
      <c r="B59" s="123"/>
      <c r="C59" s="123"/>
      <c r="D59" s="123"/>
      <c r="H59" s="115"/>
      <c r="I59" s="115"/>
      <c r="J59" s="115"/>
      <c r="K59" s="115"/>
      <c r="L59" s="115"/>
      <c r="M59" s="115"/>
      <c r="N59" s="25">
        <v>45559</v>
      </c>
      <c r="O59" s="13" t="s">
        <v>148</v>
      </c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117"/>
      <c r="B60" s="123"/>
      <c r="C60" s="123"/>
      <c r="D60" s="123"/>
      <c r="H60" s="115"/>
      <c r="I60" s="115"/>
      <c r="J60" s="115"/>
      <c r="K60" s="115"/>
      <c r="L60" s="115"/>
      <c r="M60" s="115"/>
      <c r="N60" s="25">
        <v>45557</v>
      </c>
      <c r="O60" s="13" t="s">
        <v>146</v>
      </c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117"/>
      <c r="B61" s="123"/>
      <c r="C61" s="123"/>
      <c r="D61" s="123"/>
      <c r="H61" s="115"/>
      <c r="I61" s="115"/>
      <c r="J61" s="115"/>
      <c r="K61" s="115"/>
      <c r="L61" s="115"/>
      <c r="M61" s="115"/>
      <c r="N61" s="25">
        <v>45546</v>
      </c>
      <c r="O61" s="13" t="s">
        <v>142</v>
      </c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117"/>
      <c r="B62" s="123"/>
      <c r="C62" s="123"/>
      <c r="D62" s="123"/>
      <c r="H62" s="115"/>
      <c r="I62" s="115"/>
      <c r="J62" s="115"/>
      <c r="K62" s="115"/>
      <c r="L62" s="115"/>
      <c r="M62" s="115"/>
      <c r="N62" s="25">
        <v>45546</v>
      </c>
      <c r="O62" s="15" t="s">
        <v>146</v>
      </c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117"/>
      <c r="B63" s="123"/>
      <c r="C63" s="123"/>
      <c r="D63" s="123"/>
      <c r="H63" s="115"/>
      <c r="I63" s="115"/>
      <c r="J63" s="115"/>
      <c r="K63" s="115"/>
      <c r="L63" s="115"/>
      <c r="M63" s="115"/>
      <c r="N63" s="25">
        <v>45561</v>
      </c>
      <c r="O63" s="15" t="s">
        <v>146</v>
      </c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117"/>
      <c r="B64" s="123"/>
      <c r="C64" s="123"/>
      <c r="D64" s="123"/>
      <c r="H64" s="115"/>
      <c r="I64" s="115"/>
      <c r="J64" s="115"/>
      <c r="K64" s="115"/>
      <c r="L64" s="115"/>
      <c r="M64" s="115"/>
      <c r="N64" s="25">
        <v>45546</v>
      </c>
      <c r="O64" s="15" t="s">
        <v>147</v>
      </c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117"/>
      <c r="B65" s="123"/>
      <c r="C65" s="123"/>
      <c r="D65" s="123"/>
      <c r="H65" s="115"/>
      <c r="I65" s="115"/>
      <c r="J65" s="115"/>
      <c r="K65" s="115"/>
      <c r="L65" s="115"/>
      <c r="M65" s="115"/>
      <c r="N65" s="25">
        <v>45550</v>
      </c>
      <c r="O65" s="15" t="s">
        <v>147</v>
      </c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117"/>
      <c r="B66" s="123"/>
      <c r="C66" s="123"/>
      <c r="D66" s="123"/>
      <c r="H66" s="115"/>
      <c r="I66" s="115"/>
      <c r="J66" s="115"/>
      <c r="K66" s="115"/>
      <c r="L66" s="115"/>
      <c r="M66" s="115"/>
      <c r="N66" s="25">
        <v>45559</v>
      </c>
      <c r="O66" s="15" t="s">
        <v>147</v>
      </c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117"/>
      <c r="B67" s="123"/>
      <c r="C67" s="123"/>
      <c r="D67" s="123"/>
      <c r="H67" s="115"/>
      <c r="I67" s="115"/>
      <c r="J67" s="115"/>
      <c r="K67" s="115"/>
      <c r="L67" s="115"/>
      <c r="M67" s="115"/>
      <c r="N67" s="25">
        <v>45553</v>
      </c>
      <c r="O67" s="15" t="s">
        <v>146</v>
      </c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117"/>
      <c r="B68" s="123"/>
      <c r="C68" s="123"/>
      <c r="D68" s="123"/>
      <c r="H68" s="115"/>
      <c r="I68" s="115"/>
      <c r="J68" s="115"/>
      <c r="K68" s="115"/>
      <c r="L68" s="115"/>
      <c r="M68" s="115"/>
      <c r="N68" s="25">
        <v>45553</v>
      </c>
      <c r="O68" s="15" t="s">
        <v>148</v>
      </c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117"/>
      <c r="B69" s="123"/>
      <c r="C69" s="123"/>
      <c r="D69" s="123"/>
      <c r="H69" s="115"/>
      <c r="I69" s="115"/>
      <c r="J69" s="115"/>
      <c r="K69" s="115"/>
      <c r="L69" s="115"/>
      <c r="M69" s="115"/>
      <c r="N69" s="25">
        <v>45563</v>
      </c>
      <c r="O69" s="15" t="s">
        <v>147</v>
      </c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117"/>
      <c r="B70" s="123"/>
      <c r="C70" s="123"/>
      <c r="D70" s="123"/>
      <c r="H70" s="115"/>
      <c r="I70" s="115"/>
      <c r="J70" s="115"/>
      <c r="K70" s="115"/>
      <c r="L70" s="115"/>
      <c r="M70" s="115"/>
      <c r="N70" s="25">
        <v>45551</v>
      </c>
      <c r="O70" s="15" t="s">
        <v>147</v>
      </c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115"/>
      <c r="N71" s="25">
        <v>45559</v>
      </c>
      <c r="O71" s="15" t="s">
        <v>147</v>
      </c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117"/>
      <c r="B72" s="123"/>
      <c r="C72" s="123"/>
      <c r="D72" s="123"/>
      <c r="H72" s="115"/>
      <c r="I72" s="115"/>
      <c r="J72" s="115"/>
      <c r="K72" s="115"/>
      <c r="L72" s="115"/>
      <c r="M72" s="115"/>
      <c r="N72" s="25">
        <v>45550</v>
      </c>
      <c r="O72" s="15" t="s">
        <v>146</v>
      </c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117"/>
      <c r="B73" s="123"/>
      <c r="C73" s="123"/>
      <c r="D73" s="123"/>
      <c r="H73" s="115"/>
      <c r="I73" s="115"/>
      <c r="J73" s="115"/>
      <c r="K73" s="115"/>
      <c r="L73" s="115"/>
      <c r="M73" s="115"/>
      <c r="N73" s="25">
        <v>45550</v>
      </c>
      <c r="O73" s="105" t="s">
        <v>146</v>
      </c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117"/>
      <c r="B74" s="123"/>
      <c r="C74" s="123"/>
      <c r="D74" s="123"/>
      <c r="H74" s="115"/>
      <c r="I74" s="115"/>
      <c r="J74" s="115"/>
      <c r="K74" s="115"/>
      <c r="L74" s="115"/>
      <c r="M74" s="115"/>
      <c r="N74" s="25">
        <v>45550</v>
      </c>
      <c r="O74" s="15" t="s">
        <v>146</v>
      </c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117"/>
      <c r="B75" s="123"/>
      <c r="C75" s="123"/>
      <c r="D75" s="123"/>
      <c r="H75" s="115"/>
      <c r="I75" s="115"/>
      <c r="J75" s="115"/>
      <c r="K75" s="115"/>
      <c r="L75" s="115"/>
      <c r="M75" s="115"/>
      <c r="N75" s="25">
        <v>45552</v>
      </c>
      <c r="O75" s="15" t="s">
        <v>146</v>
      </c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117"/>
      <c r="B76" s="123"/>
      <c r="C76" s="123"/>
      <c r="D76" s="123"/>
      <c r="H76" s="115"/>
      <c r="I76" s="115"/>
      <c r="J76" s="115"/>
      <c r="K76" s="115"/>
      <c r="L76" s="115"/>
      <c r="M76" s="115"/>
      <c r="N76" s="25">
        <v>45552</v>
      </c>
      <c r="O76" s="15" t="s">
        <v>146</v>
      </c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117"/>
      <c r="B77" s="123"/>
      <c r="C77" s="123"/>
      <c r="D77" s="123"/>
      <c r="H77" s="115"/>
      <c r="I77" s="115"/>
      <c r="J77" s="115"/>
      <c r="K77" s="115"/>
      <c r="L77" s="115"/>
      <c r="M77" s="115"/>
      <c r="N77" s="25">
        <v>45552</v>
      </c>
      <c r="O77" s="15" t="s">
        <v>146</v>
      </c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117"/>
      <c r="B78" s="123"/>
      <c r="C78" s="123"/>
      <c r="D78" s="123"/>
      <c r="H78" s="115"/>
      <c r="I78" s="115"/>
      <c r="J78" s="115"/>
      <c r="K78" s="115"/>
      <c r="L78" s="115"/>
      <c r="M78" s="115"/>
      <c r="N78" s="25">
        <v>45552</v>
      </c>
      <c r="O78" s="25" t="s">
        <v>146</v>
      </c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117"/>
      <c r="B79" s="123"/>
      <c r="C79" s="123"/>
      <c r="D79" s="123"/>
      <c r="H79" s="115"/>
      <c r="I79" s="115"/>
      <c r="J79" s="115"/>
      <c r="K79" s="115"/>
      <c r="L79" s="115"/>
      <c r="M79" s="115"/>
      <c r="N79" s="25">
        <v>45552</v>
      </c>
      <c r="O79" s="25" t="s">
        <v>146</v>
      </c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117"/>
      <c r="B80" s="123"/>
      <c r="C80" s="123"/>
      <c r="D80" s="123"/>
      <c r="H80" s="115"/>
      <c r="I80" s="115"/>
      <c r="J80" s="115"/>
      <c r="K80" s="115"/>
      <c r="L80" s="115"/>
      <c r="M80" s="115"/>
      <c r="N80" s="25">
        <v>45559</v>
      </c>
      <c r="O80" s="25" t="s">
        <v>146</v>
      </c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117"/>
      <c r="B81" s="123"/>
      <c r="C81" s="123"/>
      <c r="D81" s="123"/>
      <c r="H81" s="115"/>
      <c r="I81" s="115"/>
      <c r="J81" s="115"/>
      <c r="K81" s="115"/>
      <c r="L81" s="115"/>
      <c r="M81" s="115"/>
      <c r="N81" s="25">
        <v>45559</v>
      </c>
      <c r="O81" s="25" t="s">
        <v>148</v>
      </c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117"/>
      <c r="B82" s="123"/>
      <c r="C82" s="123"/>
      <c r="D82" s="123"/>
      <c r="H82" s="115"/>
      <c r="I82" s="115"/>
      <c r="J82" s="115"/>
      <c r="K82" s="115"/>
      <c r="L82" s="115"/>
      <c r="M82" s="115"/>
      <c r="N82" s="25">
        <v>45557</v>
      </c>
      <c r="O82" s="25" t="s">
        <v>147</v>
      </c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117"/>
      <c r="B83" s="123"/>
      <c r="C83" s="123"/>
      <c r="D83" s="123"/>
      <c r="H83" s="115"/>
      <c r="I83" s="115"/>
      <c r="J83" s="115"/>
      <c r="K83" s="115"/>
      <c r="L83" s="115"/>
      <c r="M83" s="115"/>
      <c r="N83" s="25">
        <v>45559</v>
      </c>
      <c r="O83" s="25" t="s">
        <v>147</v>
      </c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117"/>
      <c r="B84" s="123"/>
      <c r="C84" s="123"/>
      <c r="D84" s="123"/>
      <c r="H84" s="115"/>
      <c r="I84" s="115"/>
      <c r="J84" s="115"/>
      <c r="K84" s="115"/>
      <c r="L84" s="115"/>
      <c r="M84" s="115"/>
      <c r="N84" s="25">
        <v>45557</v>
      </c>
      <c r="O84" s="15" t="s">
        <v>147</v>
      </c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117"/>
      <c r="B85" s="123"/>
      <c r="C85" s="123"/>
      <c r="D85" s="123"/>
      <c r="H85" s="115"/>
      <c r="I85" s="115"/>
      <c r="J85" s="115"/>
      <c r="K85" s="115"/>
      <c r="L85" s="115"/>
      <c r="M85" s="115"/>
      <c r="N85" s="25">
        <v>45557</v>
      </c>
      <c r="O85" s="15" t="s">
        <v>147</v>
      </c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115"/>
      <c r="N86" s="25">
        <v>45557</v>
      </c>
      <c r="O86" s="15" t="s">
        <v>147</v>
      </c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117"/>
      <c r="B87" s="123"/>
      <c r="C87" s="123"/>
      <c r="D87" s="123"/>
      <c r="H87" s="115"/>
      <c r="I87" s="115"/>
      <c r="J87" s="115"/>
      <c r="K87" s="115"/>
      <c r="L87" s="115"/>
      <c r="M87" s="115"/>
      <c r="N87" s="25">
        <v>45557</v>
      </c>
      <c r="O87" s="15" t="s">
        <v>148</v>
      </c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117"/>
      <c r="B88" s="123"/>
      <c r="C88" s="123"/>
      <c r="D88" s="123"/>
      <c r="H88" s="115"/>
      <c r="I88" s="115"/>
      <c r="J88" s="115"/>
      <c r="K88" s="115"/>
      <c r="L88" s="115"/>
      <c r="M88" s="115"/>
      <c r="N88" s="25">
        <v>45557</v>
      </c>
      <c r="O88" s="15" t="s">
        <v>146</v>
      </c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117"/>
      <c r="B89" s="123"/>
      <c r="C89" s="123"/>
      <c r="D89" s="123"/>
      <c r="H89" s="115"/>
      <c r="I89" s="115"/>
      <c r="J89" s="115"/>
      <c r="K89" s="115"/>
      <c r="L89" s="115"/>
      <c r="M89" s="115"/>
      <c r="N89" s="25">
        <v>45552</v>
      </c>
      <c r="O89" s="15" t="s">
        <v>146</v>
      </c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117"/>
      <c r="B90" s="123"/>
      <c r="C90" s="123"/>
      <c r="D90" s="123"/>
      <c r="H90" s="115"/>
      <c r="I90" s="115"/>
      <c r="J90" s="115"/>
      <c r="K90" s="115"/>
      <c r="L90" s="115"/>
      <c r="M90" s="115"/>
      <c r="N90" s="25">
        <v>45557</v>
      </c>
      <c r="O90" s="15" t="s">
        <v>148</v>
      </c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25">
        <v>45557</v>
      </c>
      <c r="O91" s="15" t="s">
        <v>148</v>
      </c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115"/>
      <c r="N92" s="25">
        <v>45536</v>
      </c>
      <c r="O92" s="15" t="s">
        <v>146</v>
      </c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117"/>
      <c r="B93" s="123"/>
      <c r="C93" s="123"/>
      <c r="D93" s="123"/>
      <c r="H93" s="115"/>
      <c r="I93" s="115"/>
      <c r="J93" s="115"/>
      <c r="K93" s="115"/>
      <c r="L93" s="115"/>
      <c r="M93" s="115"/>
      <c r="N93" s="25">
        <v>45566</v>
      </c>
      <c r="O93" s="15" t="s">
        <v>147</v>
      </c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117"/>
      <c r="B94" s="123"/>
      <c r="C94" s="123"/>
      <c r="D94" s="123"/>
      <c r="H94" s="115"/>
      <c r="I94" s="115"/>
      <c r="J94" s="115"/>
      <c r="K94" s="115"/>
      <c r="L94" s="115"/>
      <c r="M94" s="115"/>
      <c r="N94" s="25">
        <v>45566</v>
      </c>
      <c r="O94" s="15" t="s">
        <v>147</v>
      </c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117"/>
      <c r="B95" s="123"/>
      <c r="C95" s="123"/>
      <c r="D95" s="123"/>
      <c r="H95" s="115"/>
      <c r="I95" s="115"/>
      <c r="J95" s="115"/>
      <c r="K95" s="115"/>
      <c r="L95" s="115"/>
      <c r="M95" s="115"/>
      <c r="N95" s="25">
        <v>45550</v>
      </c>
      <c r="O95" s="15" t="s">
        <v>142</v>
      </c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117"/>
      <c r="B96" s="123"/>
      <c r="C96" s="123"/>
      <c r="D96" s="123"/>
      <c r="H96" s="115"/>
      <c r="I96" s="115"/>
      <c r="J96" s="115"/>
      <c r="K96" s="115"/>
      <c r="L96" s="115"/>
      <c r="M96" s="115"/>
      <c r="N96" s="25">
        <v>45559</v>
      </c>
      <c r="O96" s="15" t="s">
        <v>147</v>
      </c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117"/>
      <c r="B97" s="123"/>
      <c r="C97" s="123"/>
      <c r="D97" s="123"/>
      <c r="H97" s="115"/>
      <c r="I97" s="115"/>
      <c r="J97" s="115"/>
      <c r="K97" s="115"/>
      <c r="L97" s="115"/>
      <c r="M97" s="115"/>
      <c r="N97" s="25">
        <v>45560</v>
      </c>
      <c r="O97" s="15" t="s">
        <v>147</v>
      </c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117"/>
      <c r="B98" s="123"/>
      <c r="C98" s="123"/>
      <c r="D98" s="123"/>
      <c r="H98" s="115"/>
      <c r="I98" s="115"/>
      <c r="J98" s="115"/>
      <c r="K98" s="115"/>
      <c r="L98" s="115"/>
      <c r="M98" s="115"/>
      <c r="N98" s="25">
        <v>45563</v>
      </c>
      <c r="O98" s="15" t="s">
        <v>147</v>
      </c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117"/>
      <c r="B99" s="123"/>
      <c r="C99" s="123"/>
      <c r="D99" s="123"/>
      <c r="H99" s="115"/>
      <c r="I99" s="115"/>
      <c r="J99" s="115"/>
      <c r="K99" s="115"/>
      <c r="L99" s="115"/>
      <c r="M99" s="115"/>
      <c r="N99" s="25">
        <v>45559</v>
      </c>
      <c r="O99" s="15" t="s">
        <v>147</v>
      </c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117"/>
      <c r="B100" s="123"/>
      <c r="C100" s="123"/>
      <c r="D100" s="123"/>
      <c r="H100" s="115"/>
      <c r="I100" s="115"/>
      <c r="J100" s="115"/>
      <c r="K100" s="115"/>
      <c r="L100" s="115"/>
      <c r="M100" s="115"/>
      <c r="N100" s="25">
        <v>45563</v>
      </c>
      <c r="O100" s="15" t="s">
        <v>148</v>
      </c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117"/>
      <c r="B101" s="123"/>
      <c r="C101" s="123"/>
      <c r="D101" s="123"/>
      <c r="H101" s="115"/>
      <c r="I101" s="115"/>
      <c r="J101" s="115"/>
      <c r="K101" s="115"/>
      <c r="L101" s="115"/>
      <c r="M101" s="115"/>
      <c r="N101" s="25">
        <v>45563</v>
      </c>
      <c r="O101" s="15" t="s">
        <v>146</v>
      </c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115"/>
      <c r="N102" s="25">
        <v>45563</v>
      </c>
      <c r="O102" s="15" t="s">
        <v>147</v>
      </c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115"/>
      <c r="N103" s="25">
        <v>45563</v>
      </c>
      <c r="O103" s="15" t="s">
        <v>147</v>
      </c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25">
        <v>45563</v>
      </c>
      <c r="O104" s="15" t="s">
        <v>146</v>
      </c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25">
        <v>45550</v>
      </c>
      <c r="O105" s="15" t="s">
        <v>146</v>
      </c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25">
        <v>45550</v>
      </c>
      <c r="O106" s="15" t="s">
        <v>146</v>
      </c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117"/>
      <c r="B107" s="123"/>
      <c r="C107" s="123"/>
      <c r="D107" s="123"/>
      <c r="H107" s="115"/>
      <c r="I107" s="115"/>
      <c r="J107" s="115"/>
      <c r="K107" s="115"/>
      <c r="L107" s="115"/>
      <c r="M107" s="115"/>
      <c r="N107" s="26">
        <v>45567</v>
      </c>
      <c r="O107" s="13" t="s">
        <v>146</v>
      </c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117"/>
      <c r="B108" s="123"/>
      <c r="C108" s="123"/>
      <c r="D108" s="123"/>
      <c r="H108" s="115"/>
      <c r="I108" s="115"/>
      <c r="J108" s="115"/>
      <c r="K108" s="115"/>
      <c r="L108" s="115"/>
      <c r="M108" s="115"/>
      <c r="N108" s="26">
        <v>45567</v>
      </c>
      <c r="O108" s="13" t="s">
        <v>146</v>
      </c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117"/>
      <c r="B109" s="123"/>
      <c r="C109" s="123"/>
      <c r="D109" s="123"/>
      <c r="H109" s="115"/>
      <c r="I109" s="115"/>
      <c r="J109" s="115"/>
      <c r="K109" s="115"/>
      <c r="L109" s="115"/>
      <c r="M109" s="115"/>
      <c r="N109" s="26">
        <v>45567</v>
      </c>
      <c r="O109" s="13" t="s">
        <v>146</v>
      </c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117"/>
      <c r="B110" s="123"/>
      <c r="C110" s="123"/>
      <c r="D110" s="123"/>
      <c r="H110" s="115"/>
      <c r="I110" s="115"/>
      <c r="J110" s="115"/>
      <c r="K110" s="115"/>
      <c r="L110" s="115"/>
      <c r="M110" s="115"/>
      <c r="N110" s="26">
        <v>45567</v>
      </c>
      <c r="O110" s="13" t="s">
        <v>146</v>
      </c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117"/>
      <c r="B111" s="123"/>
      <c r="C111" s="123"/>
      <c r="D111" s="123"/>
      <c r="H111" s="115"/>
      <c r="I111" s="115"/>
      <c r="J111" s="115"/>
      <c r="K111" s="115"/>
      <c r="L111" s="115"/>
      <c r="M111" s="115"/>
      <c r="N111" s="26">
        <v>45567</v>
      </c>
      <c r="O111" s="13" t="s">
        <v>146</v>
      </c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117"/>
      <c r="B112" s="123"/>
      <c r="C112" s="123"/>
      <c r="D112" s="123"/>
      <c r="H112" s="115"/>
      <c r="I112" s="115"/>
      <c r="J112" s="115"/>
      <c r="K112" s="115"/>
      <c r="L112" s="115"/>
      <c r="M112" s="115"/>
      <c r="N112" s="26">
        <v>45573</v>
      </c>
      <c r="O112" s="13" t="s">
        <v>146</v>
      </c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117"/>
      <c r="B113" s="123"/>
      <c r="C113" s="123"/>
      <c r="D113" s="123"/>
      <c r="H113" s="115"/>
      <c r="I113" s="115"/>
      <c r="J113" s="115"/>
      <c r="K113" s="115"/>
      <c r="L113" s="115"/>
      <c r="M113" s="115"/>
      <c r="N113" s="26">
        <v>45573</v>
      </c>
      <c r="O113" s="13" t="s">
        <v>146</v>
      </c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117"/>
      <c r="B114" s="123"/>
      <c r="C114" s="123"/>
      <c r="D114" s="123"/>
      <c r="H114" s="115"/>
      <c r="I114" s="115"/>
      <c r="J114" s="115"/>
      <c r="K114" s="115"/>
      <c r="L114" s="115"/>
      <c r="M114" s="115"/>
      <c r="N114" s="26">
        <v>45573</v>
      </c>
      <c r="O114" s="13" t="s">
        <v>146</v>
      </c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117"/>
      <c r="B115" s="123"/>
      <c r="C115" s="123"/>
      <c r="D115" s="123"/>
      <c r="H115" s="115"/>
      <c r="I115" s="115"/>
      <c r="J115" s="115"/>
      <c r="K115" s="115"/>
      <c r="L115" s="115"/>
      <c r="M115" s="115"/>
      <c r="N115" s="25"/>
      <c r="O115" s="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26"/>
      <c r="O116" s="13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117"/>
      <c r="B117" s="123"/>
      <c r="C117" s="123"/>
      <c r="D117" s="123"/>
      <c r="H117" s="115"/>
      <c r="I117" s="115"/>
      <c r="J117" s="115"/>
      <c r="K117" s="115"/>
      <c r="L117" s="115"/>
      <c r="M117" s="115"/>
      <c r="N117" s="26"/>
      <c r="O117" s="13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117"/>
      <c r="B118" s="123"/>
      <c r="C118" s="123"/>
      <c r="D118" s="123"/>
      <c r="H118" s="115"/>
      <c r="I118" s="115"/>
      <c r="J118" s="115"/>
      <c r="K118" s="115"/>
      <c r="L118" s="115"/>
      <c r="M118" s="115"/>
      <c r="N118" s="26"/>
      <c r="O118" s="13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117"/>
      <c r="B119" s="123"/>
      <c r="C119" s="123"/>
      <c r="D119" s="123"/>
      <c r="H119" s="115"/>
      <c r="I119" s="115"/>
      <c r="J119" s="115"/>
      <c r="K119" s="115"/>
      <c r="L119" s="115"/>
      <c r="M119" s="115"/>
      <c r="N119" s="26"/>
      <c r="O119" s="13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115"/>
      <c r="N120" s="26"/>
      <c r="O120" s="13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117"/>
      <c r="B121" s="123"/>
      <c r="C121" s="123"/>
      <c r="D121" s="123"/>
      <c r="H121" s="115"/>
      <c r="I121" s="115"/>
      <c r="J121" s="115"/>
      <c r="K121" s="115"/>
      <c r="L121" s="115"/>
      <c r="M121" s="115"/>
      <c r="N121" s="26"/>
      <c r="O121" s="13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117"/>
      <c r="B122" s="123"/>
      <c r="C122" s="123"/>
      <c r="D122" s="123"/>
      <c r="H122" s="115"/>
      <c r="I122" s="115"/>
      <c r="J122" s="115"/>
      <c r="K122" s="115"/>
      <c r="L122" s="115"/>
      <c r="M122" s="115"/>
      <c r="N122" s="26"/>
      <c r="O122" s="13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117"/>
      <c r="B123" s="123"/>
      <c r="C123" s="123"/>
      <c r="D123" s="123"/>
      <c r="H123" s="115"/>
      <c r="I123" s="115"/>
      <c r="J123" s="115"/>
      <c r="K123" s="115"/>
      <c r="L123" s="115"/>
      <c r="M123" s="115"/>
      <c r="N123" s="17"/>
      <c r="O123" s="13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117"/>
      <c r="B124" s="123"/>
      <c r="C124" s="123"/>
      <c r="D124" s="123"/>
      <c r="H124" s="115"/>
      <c r="I124" s="115"/>
      <c r="J124" s="115"/>
      <c r="K124" s="115"/>
      <c r="L124" s="115"/>
      <c r="M124" s="115"/>
      <c r="N124" s="26"/>
      <c r="O124" s="13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117"/>
      <c r="B125" s="123"/>
      <c r="C125" s="123"/>
      <c r="D125" s="123"/>
      <c r="H125" s="115"/>
      <c r="I125" s="115"/>
      <c r="J125" s="115"/>
      <c r="K125" s="115"/>
      <c r="L125" s="115"/>
      <c r="M125" s="115"/>
      <c r="N125" s="26"/>
      <c r="O125" s="13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117"/>
      <c r="B126" s="123"/>
      <c r="C126" s="123"/>
      <c r="D126" s="123"/>
      <c r="H126" s="115"/>
      <c r="I126" s="115"/>
      <c r="J126" s="115"/>
      <c r="K126" s="115"/>
      <c r="L126" s="115"/>
      <c r="M126" s="115"/>
      <c r="N126" s="26"/>
      <c r="O126" s="13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117"/>
      <c r="B127" s="123"/>
      <c r="C127" s="123"/>
      <c r="D127" s="123"/>
      <c r="H127" s="115"/>
      <c r="I127" s="115"/>
      <c r="J127" s="115"/>
      <c r="K127" s="115"/>
      <c r="L127" s="115"/>
      <c r="M127" s="115"/>
      <c r="N127" s="26"/>
      <c r="O127" s="13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117"/>
      <c r="B128" s="123"/>
      <c r="C128" s="123"/>
      <c r="D128" s="123"/>
      <c r="H128" s="115"/>
      <c r="I128" s="115"/>
      <c r="J128" s="115"/>
      <c r="K128" s="115"/>
      <c r="L128" s="115"/>
      <c r="M128" s="115"/>
      <c r="N128" s="26"/>
      <c r="O128" s="13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117"/>
      <c r="B129" s="123"/>
      <c r="C129" s="123"/>
      <c r="D129" s="123"/>
      <c r="H129" s="115"/>
      <c r="I129" s="115"/>
      <c r="J129" s="115"/>
      <c r="K129" s="115"/>
      <c r="L129" s="115"/>
      <c r="M129" s="115"/>
      <c r="N129" s="26"/>
      <c r="O129" s="13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117"/>
      <c r="B130" s="123"/>
      <c r="C130" s="123"/>
      <c r="D130" s="123"/>
      <c r="H130" s="115"/>
      <c r="I130" s="115"/>
      <c r="J130" s="115"/>
      <c r="K130" s="115"/>
      <c r="L130" s="115"/>
      <c r="M130" s="115"/>
      <c r="N130" s="17"/>
      <c r="O130" s="13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117"/>
      <c r="B131" s="123"/>
      <c r="C131" s="123"/>
      <c r="D131" s="123"/>
      <c r="H131" s="115"/>
      <c r="I131" s="115"/>
      <c r="J131" s="115"/>
      <c r="K131" s="115"/>
      <c r="L131" s="115"/>
      <c r="M131" s="115"/>
      <c r="N131" s="26"/>
      <c r="O131" s="13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117"/>
      <c r="B132" s="123"/>
      <c r="C132" s="123"/>
      <c r="D132" s="123"/>
      <c r="H132" s="115"/>
      <c r="I132" s="115"/>
      <c r="J132" s="115"/>
      <c r="K132" s="115"/>
      <c r="L132" s="115"/>
      <c r="M132" s="115"/>
      <c r="N132" s="26"/>
      <c r="O132" s="13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117"/>
      <c r="B133" s="123"/>
      <c r="C133" s="123"/>
      <c r="D133" s="123"/>
      <c r="H133" s="115"/>
      <c r="I133" s="115"/>
      <c r="J133" s="115"/>
      <c r="K133" s="115"/>
      <c r="L133" s="115"/>
      <c r="M133" s="115"/>
      <c r="N133" s="26"/>
      <c r="O133" s="13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117"/>
      <c r="B134" s="123"/>
      <c r="C134" s="123"/>
      <c r="D134" s="123"/>
      <c r="H134" s="115"/>
      <c r="I134" s="115"/>
      <c r="J134" s="115"/>
      <c r="K134" s="115"/>
      <c r="L134" s="115"/>
      <c r="M134" s="115"/>
      <c r="N134" s="26"/>
      <c r="O134" s="13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117"/>
      <c r="B135" s="123"/>
      <c r="C135" s="123"/>
      <c r="D135" s="123"/>
      <c r="H135" s="115"/>
      <c r="I135" s="115"/>
      <c r="J135" s="115"/>
      <c r="K135" s="115"/>
      <c r="L135" s="115"/>
      <c r="M135" s="115"/>
      <c r="N135" s="26"/>
      <c r="O135" s="13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26"/>
      <c r="O136" s="13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115"/>
      <c r="N137" s="26"/>
      <c r="O137" s="13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117"/>
      <c r="B138" s="123"/>
      <c r="C138" s="123"/>
      <c r="D138" s="123"/>
      <c r="H138" s="115"/>
      <c r="I138" s="115"/>
      <c r="J138" s="115"/>
      <c r="K138" s="115"/>
      <c r="L138" s="115"/>
      <c r="M138" s="115"/>
      <c r="N138" s="26"/>
      <c r="O138" s="13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117"/>
      <c r="B139" s="123"/>
      <c r="C139" s="123"/>
      <c r="D139" s="123"/>
      <c r="H139" s="115"/>
      <c r="I139" s="115"/>
      <c r="J139" s="115"/>
      <c r="K139" s="115"/>
      <c r="L139" s="115"/>
      <c r="M139" s="115"/>
      <c r="N139" s="26"/>
      <c r="O139" s="13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117"/>
      <c r="B140" s="123"/>
      <c r="C140" s="123"/>
      <c r="D140" s="123"/>
      <c r="H140" s="115"/>
      <c r="I140" s="115"/>
      <c r="J140" s="115"/>
      <c r="K140" s="115"/>
      <c r="L140" s="115"/>
      <c r="M140" s="115"/>
      <c r="N140" s="26"/>
      <c r="O140" s="13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117"/>
      <c r="B141" s="123"/>
      <c r="C141" s="123"/>
      <c r="D141" s="123"/>
      <c r="H141" s="115"/>
      <c r="I141" s="115"/>
      <c r="J141" s="115"/>
      <c r="K141" s="115"/>
      <c r="L141" s="115"/>
      <c r="M141" s="115"/>
      <c r="N141" s="17"/>
      <c r="O141" s="13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117"/>
      <c r="B142" s="123"/>
      <c r="C142" s="123"/>
      <c r="D142" s="123"/>
      <c r="H142" s="115"/>
      <c r="I142" s="115"/>
      <c r="J142" s="115"/>
      <c r="K142" s="115"/>
      <c r="L142" s="115"/>
      <c r="M142" s="115"/>
      <c r="N142" s="26"/>
      <c r="O142" s="13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117"/>
      <c r="B143" s="123"/>
      <c r="C143" s="123"/>
      <c r="D143" s="123"/>
      <c r="H143" s="115"/>
      <c r="I143" s="115"/>
      <c r="J143" s="115"/>
      <c r="K143" s="115"/>
      <c r="L143" s="115"/>
      <c r="M143" s="115"/>
      <c r="N143" s="26"/>
      <c r="O143" s="13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117"/>
      <c r="B144" s="123"/>
      <c r="C144" s="123"/>
      <c r="D144" s="123"/>
      <c r="H144" s="115"/>
      <c r="I144" s="115"/>
      <c r="J144" s="115"/>
      <c r="K144" s="115"/>
      <c r="L144" s="115"/>
      <c r="M144" s="115"/>
      <c r="N144" s="26"/>
      <c r="O144" s="13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117"/>
      <c r="B145" s="123"/>
      <c r="C145" s="123"/>
      <c r="D145" s="123"/>
      <c r="H145" s="115"/>
      <c r="I145" s="115"/>
      <c r="J145" s="115"/>
      <c r="K145" s="115"/>
      <c r="L145" s="115"/>
      <c r="M145" s="115"/>
      <c r="N145" s="26"/>
      <c r="O145" s="13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115"/>
      <c r="N146" s="17"/>
      <c r="O146" s="13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117"/>
      <c r="B147" s="123"/>
      <c r="C147" s="123"/>
      <c r="D147" s="123"/>
      <c r="H147" s="115"/>
      <c r="I147" s="115"/>
      <c r="J147" s="115"/>
      <c r="K147" s="115"/>
      <c r="L147" s="115"/>
      <c r="M147" s="115"/>
      <c r="N147" s="26"/>
      <c r="O147" s="13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117"/>
      <c r="B148" s="123"/>
      <c r="C148" s="123"/>
      <c r="D148" s="123"/>
      <c r="H148" s="115"/>
      <c r="I148" s="115"/>
      <c r="J148" s="115"/>
      <c r="K148" s="115"/>
      <c r="L148" s="115"/>
      <c r="M148" s="115"/>
      <c r="N148" s="17"/>
      <c r="O148" s="13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117"/>
      <c r="B149" s="123"/>
      <c r="C149" s="123"/>
      <c r="D149" s="123"/>
      <c r="H149" s="115"/>
      <c r="I149" s="115"/>
      <c r="J149" s="115"/>
      <c r="K149" s="115"/>
      <c r="L149" s="115"/>
      <c r="M149" s="115"/>
      <c r="N149" s="26"/>
      <c r="O149" s="13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117"/>
      <c r="B150" s="123"/>
      <c r="C150" s="123"/>
      <c r="D150" s="123"/>
      <c r="H150" s="115"/>
      <c r="I150" s="115"/>
      <c r="J150" s="115"/>
      <c r="K150" s="115"/>
      <c r="L150" s="115"/>
      <c r="M150" s="115"/>
      <c r="N150" s="26"/>
      <c r="O150" s="13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117"/>
      <c r="B151" s="123"/>
      <c r="C151" s="123"/>
      <c r="D151" s="123"/>
      <c r="H151" s="115"/>
      <c r="I151" s="115"/>
      <c r="J151" s="115"/>
      <c r="K151" s="115"/>
      <c r="L151" s="115"/>
      <c r="M151" s="115"/>
      <c r="N151" s="17"/>
      <c r="O151" s="13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117"/>
      <c r="B152" s="123"/>
      <c r="C152" s="123"/>
      <c r="D152" s="123"/>
      <c r="H152" s="115"/>
      <c r="I152" s="115"/>
      <c r="J152" s="115"/>
      <c r="K152" s="115"/>
      <c r="L152" s="115"/>
      <c r="M152" s="115"/>
      <c r="N152" s="26"/>
      <c r="O152" s="13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117"/>
      <c r="B153" s="123"/>
      <c r="C153" s="123"/>
      <c r="D153" s="123"/>
      <c r="H153" s="115"/>
      <c r="I153" s="115"/>
      <c r="J153" s="115"/>
      <c r="K153" s="115"/>
      <c r="L153" s="115"/>
      <c r="M153" s="115"/>
      <c r="N153" s="26"/>
      <c r="O153" s="13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117"/>
      <c r="B154" s="123"/>
      <c r="C154" s="123"/>
      <c r="D154" s="123"/>
      <c r="H154" s="115"/>
      <c r="I154" s="115"/>
      <c r="J154" s="115"/>
      <c r="K154" s="115"/>
      <c r="L154" s="115"/>
      <c r="M154" s="115"/>
      <c r="N154" s="26"/>
      <c r="O154" s="13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117"/>
      <c r="B155" s="123"/>
      <c r="C155" s="123"/>
      <c r="D155" s="123"/>
      <c r="H155" s="115"/>
      <c r="I155" s="115"/>
      <c r="J155" s="115"/>
      <c r="K155" s="115"/>
      <c r="L155" s="115"/>
      <c r="M155" s="115"/>
      <c r="N155" s="26"/>
      <c r="O155" s="13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117"/>
      <c r="B156" s="123"/>
      <c r="C156" s="123"/>
      <c r="D156" s="123"/>
      <c r="H156" s="115"/>
      <c r="I156" s="115"/>
      <c r="J156" s="115"/>
      <c r="K156" s="115"/>
      <c r="L156" s="115"/>
      <c r="M156" s="115"/>
      <c r="N156" s="26"/>
      <c r="O156" s="13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117"/>
      <c r="B157" s="123"/>
      <c r="C157" s="123"/>
      <c r="D157" s="123"/>
      <c r="H157" s="115"/>
      <c r="I157" s="115"/>
      <c r="J157" s="115"/>
      <c r="K157" s="115"/>
      <c r="L157" s="115"/>
      <c r="M157" s="115"/>
      <c r="N157" s="26"/>
      <c r="O157" s="13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115"/>
      <c r="N158" s="26"/>
      <c r="O158" s="13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115"/>
      <c r="N159" s="26"/>
      <c r="O159" s="13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117"/>
      <c r="B160" s="123"/>
      <c r="C160" s="123"/>
      <c r="D160" s="123"/>
      <c r="H160" s="115"/>
      <c r="I160" s="115"/>
      <c r="J160" s="115"/>
      <c r="K160" s="115"/>
      <c r="L160" s="115"/>
      <c r="M160" s="115"/>
      <c r="N160" s="17"/>
      <c r="O160" s="13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117"/>
      <c r="B161" s="123"/>
      <c r="C161" s="123"/>
      <c r="D161" s="123"/>
      <c r="H161" s="115"/>
      <c r="I161" s="115"/>
      <c r="J161" s="115"/>
      <c r="K161" s="115"/>
      <c r="L161" s="115"/>
      <c r="M161" s="115"/>
      <c r="N161" s="26"/>
      <c r="O161" s="13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117"/>
      <c r="B162" s="123"/>
      <c r="C162" s="123"/>
      <c r="D162" s="123"/>
      <c r="H162" s="115"/>
      <c r="I162" s="115"/>
      <c r="J162" s="115"/>
      <c r="K162" s="115"/>
      <c r="L162" s="115"/>
      <c r="M162" s="115"/>
      <c r="N162" s="26"/>
      <c r="O162" s="13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117"/>
      <c r="B163" s="123"/>
      <c r="C163" s="123"/>
      <c r="D163" s="123"/>
      <c r="H163" s="115"/>
      <c r="I163" s="115"/>
      <c r="J163" s="115"/>
      <c r="K163" s="115"/>
      <c r="L163" s="115"/>
      <c r="M163" s="115"/>
      <c r="N163" s="26"/>
      <c r="O163" s="13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117"/>
      <c r="B164" s="123"/>
      <c r="C164" s="123"/>
      <c r="D164" s="123"/>
      <c r="H164" s="115"/>
      <c r="I164" s="115"/>
      <c r="J164" s="115"/>
      <c r="K164" s="115"/>
      <c r="L164" s="115"/>
      <c r="M164" s="115"/>
      <c r="N164" s="17"/>
      <c r="O164" s="13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117"/>
      <c r="B165" s="123"/>
      <c r="C165" s="123"/>
      <c r="D165" s="123"/>
      <c r="H165" s="115"/>
      <c r="I165" s="115"/>
      <c r="J165" s="115"/>
      <c r="K165" s="115"/>
      <c r="L165" s="115"/>
      <c r="M165" s="115"/>
      <c r="N165" s="26"/>
      <c r="O165" s="13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117"/>
      <c r="B166" s="123"/>
      <c r="C166" s="123"/>
      <c r="D166" s="123"/>
      <c r="H166" s="115"/>
      <c r="I166" s="115"/>
      <c r="J166" s="115"/>
      <c r="K166" s="115"/>
      <c r="L166" s="115"/>
      <c r="M166" s="115"/>
      <c r="N166" s="17"/>
      <c r="O166" s="13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117"/>
      <c r="B167" s="123"/>
      <c r="C167" s="123"/>
      <c r="D167" s="123"/>
      <c r="H167" s="115"/>
      <c r="I167" s="115"/>
      <c r="J167" s="115"/>
      <c r="K167" s="115"/>
      <c r="L167" s="115"/>
      <c r="M167" s="115"/>
      <c r="N167" s="26"/>
      <c r="O167" s="13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117"/>
      <c r="B168" s="123"/>
      <c r="C168" s="123"/>
      <c r="D168" s="123"/>
      <c r="H168" s="115"/>
      <c r="I168" s="115"/>
      <c r="J168" s="115"/>
      <c r="K168" s="115"/>
      <c r="L168" s="115"/>
      <c r="M168" s="115"/>
      <c r="N168" s="26"/>
      <c r="O168" s="2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115"/>
      <c r="N169" s="26"/>
      <c r="O169" s="2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117"/>
      <c r="B170" s="123"/>
      <c r="C170" s="123"/>
      <c r="D170" s="123"/>
      <c r="H170" s="115"/>
      <c r="I170" s="115"/>
      <c r="J170" s="115"/>
      <c r="K170" s="115"/>
      <c r="L170" s="115"/>
      <c r="M170" s="115"/>
      <c r="N170" s="26"/>
      <c r="O170" s="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117"/>
      <c r="B171" s="123"/>
      <c r="C171" s="123"/>
      <c r="D171" s="123"/>
      <c r="H171" s="115"/>
      <c r="I171" s="115"/>
      <c r="J171" s="115"/>
      <c r="K171" s="115"/>
      <c r="L171" s="115"/>
      <c r="M171" s="115"/>
      <c r="N171" s="26"/>
      <c r="O171" s="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117"/>
      <c r="B172" s="123"/>
      <c r="C172" s="123"/>
      <c r="D172" s="123"/>
      <c r="H172" s="115"/>
      <c r="I172" s="115"/>
      <c r="J172" s="115"/>
      <c r="K172" s="115"/>
      <c r="L172" s="115"/>
      <c r="M172" s="115"/>
      <c r="N172" s="26"/>
      <c r="O172" s="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117"/>
      <c r="B173" s="123"/>
      <c r="C173" s="123"/>
      <c r="D173" s="123"/>
      <c r="H173" s="115"/>
      <c r="I173" s="115"/>
      <c r="J173" s="115"/>
      <c r="K173" s="115"/>
      <c r="L173" s="115"/>
      <c r="M173" s="115"/>
      <c r="N173" s="26"/>
      <c r="O173" s="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117"/>
      <c r="B174" s="123"/>
      <c r="C174" s="123"/>
      <c r="D174" s="123"/>
      <c r="H174" s="115"/>
      <c r="I174" s="115"/>
      <c r="J174" s="115"/>
      <c r="K174" s="115"/>
      <c r="L174" s="115"/>
      <c r="M174" s="115"/>
      <c r="N174" s="26"/>
      <c r="O174" s="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117"/>
      <c r="B175" s="123"/>
      <c r="C175" s="123"/>
      <c r="D175" s="123"/>
      <c r="H175" s="115"/>
      <c r="I175" s="115"/>
      <c r="J175" s="115"/>
      <c r="K175" s="115"/>
      <c r="L175" s="115"/>
      <c r="M175" s="115"/>
      <c r="N175" s="26"/>
      <c r="O175" s="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117"/>
      <c r="B176" s="123"/>
      <c r="C176" s="123"/>
      <c r="D176" s="123"/>
      <c r="H176" s="115"/>
      <c r="I176" s="115"/>
      <c r="J176" s="115"/>
      <c r="K176" s="115"/>
      <c r="L176" s="115"/>
      <c r="M176" s="115"/>
      <c r="N176" s="26"/>
      <c r="O176" s="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115"/>
      <c r="N177" s="26"/>
      <c r="O177" s="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117"/>
      <c r="B178" s="123"/>
      <c r="C178" s="123"/>
      <c r="D178" s="123"/>
      <c r="H178" s="115"/>
      <c r="I178" s="115"/>
      <c r="J178" s="115"/>
      <c r="K178" s="115"/>
      <c r="L178" s="115"/>
      <c r="M178" s="115"/>
      <c r="N178" s="26"/>
      <c r="O178" s="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117"/>
      <c r="B179" s="123"/>
      <c r="C179" s="123"/>
      <c r="D179" s="123"/>
      <c r="H179" s="115"/>
      <c r="I179" s="115"/>
      <c r="J179" s="115"/>
      <c r="K179" s="115"/>
      <c r="L179" s="115"/>
      <c r="M179" s="115"/>
      <c r="N179" s="17"/>
      <c r="O179" s="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117"/>
      <c r="B180" s="123"/>
      <c r="C180" s="123"/>
      <c r="D180" s="123"/>
      <c r="H180" s="115"/>
      <c r="I180" s="115"/>
      <c r="J180" s="115"/>
      <c r="K180" s="115"/>
      <c r="L180" s="115"/>
      <c r="M180" s="115"/>
      <c r="N180" s="26"/>
      <c r="O180" s="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117"/>
      <c r="B181" s="123"/>
      <c r="C181" s="123"/>
      <c r="D181" s="123"/>
      <c r="H181" s="115"/>
      <c r="I181" s="115"/>
      <c r="J181" s="115"/>
      <c r="K181" s="115"/>
      <c r="L181" s="115"/>
      <c r="M181" s="115"/>
      <c r="N181" s="17"/>
      <c r="O181" s="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117"/>
      <c r="B182" s="123"/>
      <c r="C182" s="123"/>
      <c r="D182" s="123"/>
      <c r="H182" s="115"/>
      <c r="I182" s="115"/>
      <c r="J182" s="115"/>
      <c r="K182" s="115"/>
      <c r="L182" s="115"/>
      <c r="M182" s="115"/>
      <c r="N182" s="26"/>
      <c r="O182" s="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117"/>
      <c r="B183" s="123"/>
      <c r="C183" s="123"/>
      <c r="D183" s="123"/>
      <c r="H183" s="115"/>
      <c r="I183" s="115"/>
      <c r="J183" s="115"/>
      <c r="K183" s="115"/>
      <c r="L183" s="115"/>
      <c r="M183" s="115"/>
      <c r="N183" s="26"/>
      <c r="O183" s="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17"/>
      <c r="B184" s="123"/>
      <c r="C184" s="123"/>
      <c r="D184" s="123"/>
      <c r="H184" s="115"/>
      <c r="I184" s="115"/>
      <c r="J184" s="115"/>
      <c r="K184" s="115"/>
      <c r="L184" s="115"/>
      <c r="M184" s="115"/>
      <c r="N184" s="26"/>
      <c r="O184" s="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17"/>
      <c r="B185" s="123"/>
      <c r="C185" s="123"/>
      <c r="D185" s="123"/>
      <c r="H185" s="115"/>
      <c r="I185" s="115"/>
      <c r="J185" s="115"/>
      <c r="K185" s="115"/>
      <c r="L185" s="115"/>
      <c r="M185" s="115"/>
      <c r="N185" s="26"/>
      <c r="O185" s="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17"/>
      <c r="B186" s="123"/>
      <c r="C186" s="123"/>
      <c r="D186" s="123"/>
      <c r="H186" s="115"/>
      <c r="I186" s="115"/>
      <c r="J186" s="115"/>
      <c r="K186" s="115"/>
      <c r="L186" s="115"/>
      <c r="M186" s="115"/>
      <c r="N186" s="17"/>
      <c r="O186" s="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17"/>
      <c r="B187" s="123"/>
      <c r="C187" s="123"/>
      <c r="D187" s="123"/>
      <c r="H187" s="115"/>
      <c r="I187" s="115"/>
      <c r="J187" s="115"/>
      <c r="K187" s="115"/>
      <c r="L187" s="115"/>
      <c r="M187" s="115"/>
      <c r="N187" s="26"/>
      <c r="O187" s="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17"/>
      <c r="B188" s="123"/>
      <c r="C188" s="123"/>
      <c r="D188" s="123"/>
      <c r="H188" s="115"/>
      <c r="I188" s="115"/>
      <c r="J188" s="115"/>
      <c r="K188" s="115"/>
      <c r="L188" s="115"/>
      <c r="M188" s="115"/>
      <c r="N188" s="17"/>
      <c r="O188" s="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115"/>
      <c r="N189" s="26"/>
      <c r="O189" s="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17"/>
      <c r="B190" s="123"/>
      <c r="C190" s="123"/>
      <c r="D190" s="123"/>
      <c r="H190" s="115"/>
      <c r="I190" s="115"/>
      <c r="J190" s="115"/>
      <c r="K190" s="115"/>
      <c r="L190" s="115"/>
      <c r="M190" s="115"/>
      <c r="N190" s="17"/>
      <c r="O190" s="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17"/>
      <c r="B191" s="123"/>
      <c r="C191" s="123"/>
      <c r="D191" s="123"/>
      <c r="H191" s="115"/>
      <c r="I191" s="115"/>
      <c r="J191" s="115"/>
      <c r="K191" s="115"/>
      <c r="L191" s="115"/>
      <c r="M191" s="115"/>
      <c r="N191" s="26"/>
      <c r="O191" s="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17"/>
      <c r="B192" s="123"/>
      <c r="C192" s="123"/>
      <c r="D192" s="123"/>
      <c r="H192" s="115"/>
      <c r="I192" s="115"/>
      <c r="J192" s="115"/>
      <c r="K192" s="115"/>
      <c r="L192" s="115"/>
      <c r="M192" s="115"/>
      <c r="N192" s="26"/>
      <c r="O192" s="10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17"/>
      <c r="B193" s="123"/>
      <c r="C193" s="123"/>
      <c r="D193" s="123"/>
      <c r="H193" s="115"/>
      <c r="I193" s="115"/>
      <c r="J193" s="115"/>
      <c r="K193" s="115"/>
      <c r="L193" s="115"/>
      <c r="M193" s="115"/>
      <c r="N193" s="26"/>
      <c r="O193" s="10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17"/>
      <c r="B194" s="123"/>
      <c r="C194" s="123"/>
      <c r="D194" s="123"/>
      <c r="H194" s="115"/>
      <c r="I194" s="115"/>
      <c r="J194" s="115"/>
      <c r="K194" s="115"/>
      <c r="L194" s="115"/>
      <c r="M194" s="115"/>
      <c r="N194" s="26"/>
      <c r="O194" s="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17"/>
      <c r="B195" s="123"/>
      <c r="C195" s="123"/>
      <c r="D195" s="123"/>
      <c r="H195" s="115"/>
      <c r="I195" s="115"/>
      <c r="J195" s="115"/>
      <c r="K195" s="115"/>
      <c r="L195" s="115"/>
      <c r="M195" s="115"/>
      <c r="N195" s="17"/>
      <c r="O195" s="13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115"/>
      <c r="N196" s="17"/>
      <c r="O196" s="13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17"/>
      <c r="B197" s="123"/>
      <c r="C197" s="123"/>
      <c r="D197" s="123"/>
      <c r="H197" s="115"/>
      <c r="I197" s="115"/>
      <c r="J197" s="115"/>
      <c r="K197" s="115"/>
      <c r="L197" s="115"/>
      <c r="M197" s="115"/>
      <c r="N197" s="26"/>
      <c r="O197" s="13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17"/>
      <c r="B198" s="123"/>
      <c r="C198" s="123"/>
      <c r="D198" s="123"/>
      <c r="H198" s="115"/>
      <c r="I198" s="115"/>
      <c r="J198" s="115"/>
      <c r="K198" s="115"/>
      <c r="L198" s="115"/>
      <c r="M198" s="115"/>
      <c r="N198" s="17"/>
      <c r="O198" s="13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17"/>
      <c r="B199" s="123"/>
      <c r="C199" s="123"/>
      <c r="D199" s="123"/>
      <c r="H199" s="115"/>
      <c r="I199" s="115"/>
      <c r="J199" s="115"/>
      <c r="K199" s="115"/>
      <c r="L199" s="115"/>
      <c r="M199" s="115"/>
      <c r="N199" s="26"/>
      <c r="O199" s="13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15"/>
      <c r="N200" s="26"/>
      <c r="O200" s="13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17"/>
      <c r="B201" s="123"/>
      <c r="C201" s="123"/>
      <c r="D201" s="123"/>
      <c r="H201" s="115"/>
      <c r="I201" s="115"/>
      <c r="J201" s="115"/>
      <c r="K201" s="115"/>
      <c r="L201" s="115"/>
      <c r="M201" s="115"/>
      <c r="N201" s="26"/>
      <c r="O201" s="13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17"/>
      <c r="B202" s="123"/>
      <c r="C202" s="123"/>
      <c r="D202" s="123"/>
      <c r="H202" s="115"/>
      <c r="I202" s="115"/>
      <c r="J202" s="115"/>
      <c r="K202" s="115"/>
      <c r="L202" s="115"/>
      <c r="M202" s="115"/>
      <c r="N202" s="26"/>
      <c r="O202" s="13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17"/>
      <c r="B203" s="123"/>
      <c r="C203" s="123"/>
      <c r="D203" s="123"/>
      <c r="H203" s="115"/>
      <c r="I203" s="115"/>
      <c r="J203" s="115"/>
      <c r="K203" s="115"/>
      <c r="L203" s="115"/>
      <c r="M203" s="115"/>
      <c r="N203" s="17"/>
      <c r="O203" s="13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17"/>
      <c r="B204" s="123"/>
      <c r="C204" s="123"/>
      <c r="D204" s="123"/>
      <c r="H204" s="115"/>
      <c r="I204" s="115"/>
      <c r="J204" s="115"/>
      <c r="K204" s="115"/>
      <c r="L204" s="115"/>
      <c r="M204" s="115"/>
      <c r="N204" s="26"/>
      <c r="O204" s="13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17"/>
      <c r="B205" s="123"/>
      <c r="C205" s="123"/>
      <c r="D205" s="123"/>
      <c r="H205" s="115"/>
      <c r="I205" s="115"/>
      <c r="J205" s="115"/>
      <c r="K205" s="115"/>
      <c r="L205" s="115"/>
      <c r="M205" s="115"/>
      <c r="N205" s="26"/>
      <c r="O205" s="13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17"/>
      <c r="B206" s="123"/>
      <c r="C206" s="123"/>
      <c r="D206" s="123"/>
      <c r="H206" s="115"/>
      <c r="I206" s="115"/>
      <c r="J206" s="115"/>
      <c r="K206" s="115"/>
      <c r="L206" s="115"/>
      <c r="M206" s="115"/>
      <c r="N206" s="26"/>
      <c r="O206" s="13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17"/>
      <c r="B207" s="123"/>
      <c r="C207" s="123"/>
      <c r="D207" s="123"/>
      <c r="H207" s="115"/>
      <c r="I207" s="115"/>
      <c r="J207" s="115"/>
      <c r="K207" s="115"/>
      <c r="L207" s="115"/>
      <c r="M207" s="115"/>
      <c r="N207" s="26"/>
      <c r="O207" s="13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17"/>
      <c r="B208" s="123"/>
      <c r="C208" s="123"/>
      <c r="D208" s="123"/>
      <c r="H208" s="115"/>
      <c r="I208" s="115"/>
      <c r="J208" s="115"/>
      <c r="K208" s="115"/>
      <c r="L208" s="115"/>
      <c r="M208" s="115"/>
      <c r="N208" s="26"/>
      <c r="O208" s="13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17"/>
      <c r="B209" s="123"/>
      <c r="C209" s="123"/>
      <c r="D209" s="123"/>
      <c r="H209" s="115"/>
      <c r="I209" s="115"/>
      <c r="J209" s="115"/>
      <c r="K209" s="115"/>
      <c r="L209" s="115"/>
      <c r="M209" s="115"/>
      <c r="N209" s="17"/>
      <c r="O209" s="13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17"/>
      <c r="B210" s="123"/>
      <c r="C210" s="123"/>
      <c r="D210" s="123"/>
      <c r="H210" s="115"/>
      <c r="I210" s="115"/>
      <c r="J210" s="115"/>
      <c r="K210" s="115"/>
      <c r="L210" s="115"/>
      <c r="M210" s="115"/>
      <c r="N210" s="26"/>
      <c r="O210" s="13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17"/>
      <c r="B211" s="123"/>
      <c r="C211" s="123"/>
      <c r="D211" s="123"/>
      <c r="H211" s="115"/>
      <c r="I211" s="115"/>
      <c r="J211" s="115"/>
      <c r="K211" s="115"/>
      <c r="L211" s="115"/>
      <c r="M211" s="115"/>
      <c r="N211" s="17"/>
      <c r="O211" s="13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17"/>
      <c r="B212" s="123"/>
      <c r="C212" s="123"/>
      <c r="D212" s="123"/>
      <c r="H212" s="115"/>
      <c r="I212" s="115"/>
      <c r="J212" s="115"/>
      <c r="K212" s="115"/>
      <c r="L212" s="115"/>
      <c r="M212" s="115"/>
      <c r="N212" s="17"/>
      <c r="O212" s="13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17"/>
      <c r="B213" s="123"/>
      <c r="C213" s="123"/>
      <c r="D213" s="123"/>
      <c r="H213" s="115"/>
      <c r="I213" s="115"/>
      <c r="J213" s="115"/>
      <c r="K213" s="115"/>
      <c r="L213" s="115"/>
      <c r="M213" s="115"/>
      <c r="N213" s="26"/>
      <c r="O213" s="13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115"/>
      <c r="N214" s="26"/>
      <c r="O214" s="13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17"/>
      <c r="B215" s="123"/>
      <c r="C215" s="123"/>
      <c r="D215" s="123"/>
      <c r="H215" s="115"/>
      <c r="I215" s="115"/>
      <c r="J215" s="115"/>
      <c r="K215" s="115"/>
      <c r="L215" s="115"/>
      <c r="M215" s="115"/>
      <c r="N215" s="26"/>
      <c r="O215" s="13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17"/>
      <c r="B216" s="123"/>
      <c r="C216" s="123"/>
      <c r="D216" s="123"/>
      <c r="H216" s="115"/>
      <c r="I216" s="115"/>
      <c r="J216" s="115"/>
      <c r="K216" s="115"/>
      <c r="L216" s="115"/>
      <c r="M216" s="115"/>
      <c r="N216" s="26"/>
      <c r="O216" s="13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115"/>
      <c r="N217" s="26"/>
      <c r="O217" s="13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17"/>
      <c r="B218" s="123"/>
      <c r="C218" s="123"/>
      <c r="D218" s="123"/>
      <c r="H218" s="115"/>
      <c r="I218" s="115"/>
      <c r="J218" s="115"/>
      <c r="K218" s="115"/>
      <c r="L218" s="115"/>
      <c r="M218" s="115"/>
      <c r="N218" s="26"/>
      <c r="O218" s="13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17"/>
      <c r="B219" s="123"/>
      <c r="C219" s="123"/>
      <c r="D219" s="123"/>
      <c r="H219" s="115"/>
      <c r="I219" s="115"/>
      <c r="J219" s="115"/>
      <c r="K219" s="115"/>
      <c r="L219" s="115"/>
      <c r="M219" s="115"/>
      <c r="N219" s="26"/>
      <c r="O219" s="13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17"/>
      <c r="B220" s="123"/>
      <c r="C220" s="123"/>
      <c r="D220" s="123"/>
      <c r="H220" s="115"/>
      <c r="I220" s="115"/>
      <c r="J220" s="115"/>
      <c r="K220" s="115"/>
      <c r="L220" s="115"/>
      <c r="M220" s="115"/>
      <c r="N220" s="26"/>
      <c r="O220" s="13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17"/>
      <c r="B221" s="123"/>
      <c r="C221" s="123"/>
      <c r="D221" s="123"/>
      <c r="H221" s="115"/>
      <c r="I221" s="115"/>
      <c r="J221" s="115"/>
      <c r="K221" s="115"/>
      <c r="L221" s="115"/>
      <c r="M221" s="115"/>
      <c r="N221" s="26"/>
      <c r="O221" s="13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17"/>
      <c r="B222" s="123"/>
      <c r="C222" s="123"/>
      <c r="D222" s="123"/>
      <c r="H222" s="115"/>
      <c r="I222" s="115"/>
      <c r="J222" s="115"/>
      <c r="K222" s="115"/>
      <c r="L222" s="115"/>
      <c r="M222" s="115"/>
      <c r="N222" s="17"/>
      <c r="O222" s="13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17"/>
      <c r="B223" s="123"/>
      <c r="C223" s="123"/>
      <c r="D223" s="123"/>
      <c r="H223" s="115"/>
      <c r="I223" s="115"/>
      <c r="J223" s="115"/>
      <c r="K223" s="115"/>
      <c r="L223" s="115"/>
      <c r="M223" s="115"/>
      <c r="N223" s="26"/>
      <c r="O223" s="13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17"/>
      <c r="B224" s="123"/>
      <c r="C224" s="123"/>
      <c r="D224" s="123"/>
      <c r="H224" s="115"/>
      <c r="I224" s="115"/>
      <c r="J224" s="115"/>
      <c r="K224" s="115"/>
      <c r="L224" s="115"/>
      <c r="M224" s="115"/>
      <c r="N224" s="17"/>
      <c r="O224" s="13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17"/>
      <c r="B225" s="123"/>
      <c r="C225" s="123"/>
      <c r="D225" s="123"/>
      <c r="H225" s="115"/>
      <c r="I225" s="115"/>
      <c r="J225" s="115"/>
      <c r="K225" s="115"/>
      <c r="L225" s="115"/>
      <c r="M225" s="115"/>
      <c r="N225" s="26"/>
      <c r="O225" s="13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17"/>
      <c r="B226" s="123"/>
      <c r="C226" s="123"/>
      <c r="D226" s="123"/>
      <c r="H226" s="115"/>
      <c r="I226" s="115"/>
      <c r="J226" s="115"/>
      <c r="K226" s="115"/>
      <c r="L226" s="115"/>
      <c r="M226" s="115"/>
      <c r="N226" s="26"/>
      <c r="O226" s="13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17"/>
      <c r="B227" s="123"/>
      <c r="C227" s="123"/>
      <c r="D227" s="123"/>
      <c r="H227" s="115"/>
      <c r="I227" s="115"/>
      <c r="J227" s="115"/>
      <c r="K227" s="115"/>
      <c r="L227" s="115"/>
      <c r="M227" s="115"/>
      <c r="N227" s="26"/>
      <c r="O227" s="13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17"/>
      <c r="B228" s="123"/>
      <c r="C228" s="123"/>
      <c r="D228" s="123"/>
      <c r="H228" s="115"/>
      <c r="I228" s="115"/>
      <c r="J228" s="115"/>
      <c r="K228" s="115"/>
      <c r="L228" s="115"/>
      <c r="M228" s="115"/>
      <c r="N228" s="26"/>
      <c r="O228" s="13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17"/>
      <c r="B229" s="123"/>
      <c r="C229" s="123"/>
      <c r="D229" s="123"/>
      <c r="H229" s="115"/>
      <c r="I229" s="115"/>
      <c r="J229" s="115"/>
      <c r="K229" s="115"/>
      <c r="L229" s="115"/>
      <c r="M229" s="115"/>
      <c r="N229" s="26"/>
      <c r="O229" s="13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17"/>
      <c r="B230" s="123"/>
      <c r="C230" s="123"/>
      <c r="D230" s="123"/>
      <c r="H230" s="115"/>
      <c r="I230" s="115"/>
      <c r="J230" s="115"/>
      <c r="K230" s="115"/>
      <c r="L230" s="115"/>
      <c r="M230" s="115"/>
      <c r="N230" s="26"/>
      <c r="O230" s="13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17"/>
      <c r="B231" s="123"/>
      <c r="C231" s="123"/>
      <c r="D231" s="123"/>
      <c r="H231" s="115"/>
      <c r="I231" s="115"/>
      <c r="J231" s="115"/>
      <c r="K231" s="115"/>
      <c r="L231" s="115"/>
      <c r="M231" s="115"/>
      <c r="N231" s="17"/>
      <c r="O231" s="13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17"/>
      <c r="B232" s="123"/>
      <c r="C232" s="123"/>
      <c r="D232" s="123"/>
      <c r="H232" s="115"/>
      <c r="I232" s="115"/>
      <c r="J232" s="115"/>
      <c r="K232" s="115"/>
      <c r="L232" s="115"/>
      <c r="M232" s="115"/>
      <c r="N232" s="26"/>
      <c r="O232" s="13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17"/>
      <c r="B233" s="123"/>
      <c r="C233" s="123"/>
      <c r="D233" s="123"/>
      <c r="H233" s="115"/>
      <c r="I233" s="115"/>
      <c r="J233" s="115"/>
      <c r="K233" s="115"/>
      <c r="L233" s="115"/>
      <c r="M233" s="115"/>
      <c r="N233" s="17"/>
      <c r="O233" s="13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115"/>
      <c r="N234" s="26"/>
      <c r="O234" s="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7"/>
      <c r="O235" s="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26"/>
      <c r="O236" s="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7"/>
      <c r="O237" s="13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7"/>
      <c r="O238" s="13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17"/>
      <c r="B239" s="123"/>
      <c r="C239" s="123"/>
      <c r="D239" s="123"/>
      <c r="H239" s="115"/>
      <c r="I239" s="115"/>
      <c r="J239" s="115"/>
      <c r="K239" s="115"/>
      <c r="L239" s="115"/>
      <c r="M239" s="115"/>
      <c r="N239" s="26"/>
      <c r="O239" s="13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17"/>
      <c r="B240" s="123"/>
      <c r="C240" s="123"/>
      <c r="D240" s="123"/>
      <c r="H240" s="115"/>
      <c r="I240" s="115"/>
      <c r="J240" s="115"/>
      <c r="K240" s="115"/>
      <c r="L240" s="115"/>
      <c r="M240" s="115"/>
      <c r="N240" s="26"/>
      <c r="O240" s="13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17"/>
      <c r="B241" s="123"/>
      <c r="C241" s="123"/>
      <c r="D241" s="123"/>
      <c r="H241" s="115"/>
      <c r="I241" s="115"/>
      <c r="J241" s="115"/>
      <c r="K241" s="115"/>
      <c r="L241" s="115"/>
      <c r="M241" s="115"/>
      <c r="N241" s="26"/>
      <c r="O241" s="13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17"/>
      <c r="B242" s="123"/>
      <c r="C242" s="123"/>
      <c r="D242" s="123"/>
      <c r="H242" s="115"/>
      <c r="I242" s="115"/>
      <c r="J242" s="115"/>
      <c r="K242" s="115"/>
      <c r="L242" s="115"/>
      <c r="M242" s="115"/>
      <c r="N242" s="26"/>
      <c r="O242" s="13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17"/>
      <c r="B243" s="123"/>
      <c r="C243" s="123"/>
      <c r="D243" s="123"/>
      <c r="H243" s="115"/>
      <c r="I243" s="115"/>
      <c r="J243" s="115"/>
      <c r="K243" s="115"/>
      <c r="L243" s="115"/>
      <c r="M243" s="115"/>
      <c r="N243" s="129"/>
      <c r="O243" s="13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17"/>
      <c r="B244" s="123"/>
      <c r="C244" s="123"/>
      <c r="D244" s="123"/>
      <c r="H244" s="115"/>
      <c r="I244" s="115"/>
      <c r="J244" s="115"/>
      <c r="K244" s="115"/>
      <c r="L244" s="115"/>
      <c r="M244" s="115"/>
      <c r="N244" s="26"/>
      <c r="O244" s="13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17"/>
      <c r="B245" s="123"/>
      <c r="C245" s="123"/>
      <c r="D245" s="123"/>
      <c r="H245" s="115"/>
      <c r="I245" s="115"/>
      <c r="J245" s="115"/>
      <c r="K245" s="115"/>
      <c r="L245" s="115"/>
      <c r="M245" s="115"/>
      <c r="N245" s="26"/>
      <c r="O245" s="13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17"/>
      <c r="B246" s="123"/>
      <c r="C246" s="123"/>
      <c r="D246" s="123"/>
      <c r="H246" s="115"/>
      <c r="I246" s="115"/>
      <c r="J246" s="115"/>
      <c r="K246" s="115"/>
      <c r="L246" s="115"/>
      <c r="M246" s="115"/>
      <c r="N246" s="129"/>
      <c r="O246" s="13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17"/>
      <c r="B247" s="123"/>
      <c r="C247" s="123"/>
      <c r="D247" s="123"/>
      <c r="H247" s="115"/>
      <c r="I247" s="115"/>
      <c r="J247" s="115"/>
      <c r="K247" s="115"/>
      <c r="L247" s="115"/>
      <c r="M247" s="115"/>
      <c r="N247" s="26"/>
      <c r="O247" s="13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17"/>
      <c r="B248" s="123"/>
      <c r="C248" s="123"/>
      <c r="D248" s="123"/>
      <c r="H248" s="115"/>
      <c r="I248" s="115"/>
      <c r="J248" s="115"/>
      <c r="K248" s="115"/>
      <c r="L248" s="115"/>
      <c r="M248" s="115"/>
      <c r="N248" s="26"/>
      <c r="O248" s="13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17"/>
      <c r="B249" s="123"/>
      <c r="C249" s="123"/>
      <c r="D249" s="123"/>
      <c r="H249" s="115"/>
      <c r="I249" s="115"/>
      <c r="J249" s="115"/>
      <c r="K249" s="115"/>
      <c r="L249" s="115"/>
      <c r="M249" s="115"/>
      <c r="N249" s="26"/>
      <c r="O249" s="13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17"/>
      <c r="B250" s="123"/>
      <c r="C250" s="123"/>
      <c r="D250" s="123"/>
      <c r="H250" s="115"/>
      <c r="I250" s="115"/>
      <c r="J250" s="115"/>
      <c r="K250" s="115"/>
      <c r="L250" s="115"/>
      <c r="M250" s="115"/>
      <c r="N250" s="129"/>
      <c r="O250" s="13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17"/>
      <c r="B251" s="123"/>
      <c r="C251" s="123"/>
      <c r="D251" s="123"/>
      <c r="H251" s="115"/>
      <c r="I251" s="115"/>
      <c r="J251" s="115"/>
      <c r="K251" s="115"/>
      <c r="L251" s="115"/>
      <c r="M251" s="115"/>
      <c r="N251" s="26"/>
      <c r="O251" s="13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115"/>
      <c r="N252" s="26"/>
      <c r="O252" s="13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15"/>
      <c r="N253" s="129"/>
      <c r="O253" s="13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17"/>
      <c r="B254" s="123"/>
      <c r="C254" s="123"/>
      <c r="D254" s="123"/>
      <c r="H254" s="115"/>
      <c r="I254" s="115"/>
      <c r="J254" s="115"/>
      <c r="K254" s="115"/>
      <c r="L254" s="115"/>
      <c r="M254" s="115"/>
      <c r="N254" s="26"/>
      <c r="O254" s="13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17"/>
      <c r="B255" s="123"/>
      <c r="C255" s="123"/>
      <c r="D255" s="123"/>
      <c r="N255" s="26"/>
      <c r="O255" s="13"/>
      <c r="AE255" s="127"/>
      <c r="AF255" s="29"/>
    </row>
    <row r="256" spans="1:32" ht="19.5" x14ac:dyDescent="0.4">
      <c r="A256" s="117"/>
      <c r="B256" s="123"/>
      <c r="C256" s="123"/>
      <c r="D256" s="123"/>
      <c r="H256" s="115"/>
      <c r="I256" s="115"/>
      <c r="J256" s="115"/>
      <c r="K256" s="115"/>
      <c r="L256" s="115"/>
      <c r="M256" s="115"/>
      <c r="N256" s="26"/>
      <c r="O256" s="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115"/>
      <c r="N257" s="26"/>
      <c r="O257" s="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17"/>
      <c r="B258" s="123"/>
      <c r="C258" s="123"/>
      <c r="D258" s="123"/>
      <c r="H258" s="115"/>
      <c r="I258" s="115"/>
      <c r="J258" s="115"/>
      <c r="K258" s="115"/>
      <c r="L258" s="115"/>
      <c r="M258" s="115"/>
      <c r="N258" s="26"/>
      <c r="O258" s="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17"/>
      <c r="B259" s="123"/>
      <c r="C259" s="123"/>
      <c r="D259" s="123"/>
      <c r="H259" s="115"/>
      <c r="I259" s="115"/>
      <c r="J259" s="115"/>
      <c r="K259" s="115"/>
      <c r="L259" s="115"/>
      <c r="M259" s="115"/>
      <c r="N259" s="26"/>
      <c r="O259" s="10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26"/>
      <c r="O260" s="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17"/>
      <c r="B261" s="123"/>
      <c r="C261" s="123"/>
      <c r="D261" s="123"/>
      <c r="H261" s="115"/>
      <c r="I261" s="115"/>
      <c r="J261" s="115"/>
      <c r="K261" s="115"/>
      <c r="L261" s="115"/>
      <c r="M261" s="115"/>
      <c r="N261" s="26"/>
      <c r="O261" s="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17"/>
      <c r="B262" s="123"/>
      <c r="C262" s="123"/>
      <c r="D262" s="123"/>
      <c r="H262" s="115"/>
      <c r="I262" s="115"/>
      <c r="J262" s="115"/>
      <c r="K262" s="115"/>
      <c r="L262" s="115"/>
      <c r="M262" s="115"/>
      <c r="N262" s="26"/>
      <c r="O262" s="13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17"/>
      <c r="B263" s="123"/>
      <c r="C263" s="123"/>
      <c r="D263" s="123"/>
      <c r="H263" s="115"/>
      <c r="I263" s="115"/>
      <c r="J263" s="115"/>
      <c r="K263" s="115"/>
      <c r="L263" s="115"/>
      <c r="M263" s="115"/>
      <c r="N263" s="26"/>
      <c r="O263" s="13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17"/>
      <c r="B264" s="123"/>
      <c r="C264" s="123"/>
      <c r="D264" s="123"/>
      <c r="H264" s="115"/>
      <c r="I264" s="115"/>
      <c r="J264" s="115"/>
      <c r="K264" s="115"/>
      <c r="L264" s="115"/>
      <c r="M264" s="115"/>
      <c r="N264" s="129"/>
      <c r="O264" s="13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17"/>
      <c r="B265" s="123"/>
      <c r="C265" s="123"/>
      <c r="D265" s="123"/>
      <c r="H265" s="115"/>
      <c r="I265" s="115"/>
      <c r="J265" s="115"/>
      <c r="K265" s="115"/>
      <c r="L265" s="115"/>
      <c r="M265" s="115"/>
      <c r="N265" s="26"/>
      <c r="O265" s="13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17"/>
      <c r="B266" s="123"/>
      <c r="C266" s="123"/>
      <c r="D266" s="123"/>
      <c r="N266" s="26"/>
      <c r="O266" s="13"/>
      <c r="AE266" s="127"/>
      <c r="AF266" s="29"/>
    </row>
    <row r="267" spans="1:32" ht="19.5" x14ac:dyDescent="0.4">
      <c r="A267" s="117"/>
      <c r="B267" s="123"/>
      <c r="C267" s="123"/>
      <c r="D267" s="123"/>
      <c r="H267" s="115"/>
      <c r="I267" s="115"/>
      <c r="J267" s="115"/>
      <c r="K267" s="115"/>
      <c r="L267" s="115"/>
      <c r="M267" s="115"/>
      <c r="N267" s="26"/>
      <c r="O267" s="13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17"/>
      <c r="B268" s="123"/>
      <c r="C268" s="123"/>
      <c r="D268" s="123"/>
      <c r="H268" s="115"/>
      <c r="I268" s="115"/>
      <c r="J268" s="115"/>
      <c r="K268" s="115"/>
      <c r="L268" s="115"/>
      <c r="M268" s="115"/>
      <c r="N268" s="26"/>
      <c r="O268" s="13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17"/>
      <c r="B269" s="123"/>
      <c r="C269" s="123"/>
      <c r="D269" s="123"/>
      <c r="H269" s="115"/>
      <c r="I269" s="115"/>
      <c r="J269" s="115"/>
      <c r="K269" s="115"/>
      <c r="L269" s="115"/>
      <c r="M269" s="115"/>
      <c r="N269" s="26"/>
      <c r="O269" s="13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17"/>
      <c r="B270" s="123"/>
      <c r="C270" s="123"/>
      <c r="D270" s="123"/>
      <c r="H270" s="115"/>
      <c r="I270" s="115"/>
      <c r="J270" s="115"/>
      <c r="K270" s="115"/>
      <c r="L270" s="115"/>
      <c r="M270" s="115"/>
      <c r="N270" s="26"/>
      <c r="O270" s="13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17"/>
      <c r="B271" s="123"/>
      <c r="C271" s="123"/>
      <c r="D271" s="123"/>
      <c r="H271" s="115"/>
      <c r="I271" s="115"/>
      <c r="J271" s="115"/>
      <c r="K271" s="115"/>
      <c r="L271" s="115"/>
      <c r="M271" s="115"/>
      <c r="N271" s="26"/>
      <c r="O271" s="13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17"/>
      <c r="B272" s="123"/>
      <c r="C272" s="123"/>
      <c r="D272" s="123"/>
      <c r="H272" s="115"/>
      <c r="I272" s="115"/>
      <c r="J272" s="115"/>
      <c r="K272" s="115"/>
      <c r="L272" s="115"/>
      <c r="M272" s="115"/>
      <c r="N272" s="129"/>
      <c r="O272" s="13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17"/>
      <c r="B273" s="123"/>
      <c r="C273" s="123"/>
      <c r="D273" s="123"/>
      <c r="H273" s="115"/>
      <c r="I273" s="115"/>
      <c r="J273" s="115"/>
      <c r="K273" s="115"/>
      <c r="L273" s="115"/>
      <c r="M273" s="115"/>
      <c r="N273" s="26"/>
      <c r="O273" s="13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17"/>
      <c r="B274" s="123"/>
      <c r="C274" s="123"/>
      <c r="D274" s="123"/>
      <c r="H274" s="115"/>
      <c r="I274" s="115"/>
      <c r="J274" s="115"/>
      <c r="K274" s="115"/>
      <c r="L274" s="115"/>
      <c r="M274" s="115"/>
      <c r="N274" s="26"/>
      <c r="O274" s="13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17"/>
      <c r="B275" s="123"/>
      <c r="C275" s="123"/>
      <c r="D275" s="123"/>
      <c r="H275" s="115"/>
      <c r="I275" s="115"/>
      <c r="J275" s="115"/>
      <c r="K275" s="115"/>
      <c r="L275" s="115"/>
      <c r="M275" s="115"/>
      <c r="N275" s="129"/>
      <c r="O275" s="13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17"/>
      <c r="B276" s="123"/>
      <c r="C276" s="123"/>
      <c r="D276" s="123"/>
      <c r="H276" s="115"/>
      <c r="I276" s="115"/>
      <c r="J276" s="115"/>
      <c r="K276" s="115"/>
      <c r="L276" s="115"/>
      <c r="M276" s="115"/>
      <c r="N276" s="26"/>
      <c r="O276" s="13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17"/>
      <c r="B277" s="123"/>
      <c r="C277" s="123"/>
      <c r="D277" s="123"/>
      <c r="H277" s="115"/>
      <c r="I277" s="115"/>
      <c r="J277" s="115"/>
      <c r="K277" s="115"/>
      <c r="L277" s="115"/>
      <c r="M277" s="115"/>
      <c r="N277" s="26"/>
      <c r="O277" s="13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17"/>
      <c r="B278" s="123"/>
      <c r="C278" s="123"/>
      <c r="D278" s="123"/>
      <c r="H278" s="115"/>
      <c r="I278" s="115"/>
      <c r="J278" s="115"/>
      <c r="K278" s="115"/>
      <c r="L278" s="115"/>
      <c r="M278" s="115"/>
      <c r="N278" s="26"/>
      <c r="O278" s="13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26"/>
      <c r="O279" s="13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17"/>
      <c r="B280" s="123"/>
      <c r="C280" s="123"/>
      <c r="D280" s="123"/>
      <c r="H280" s="115"/>
      <c r="I280" s="115"/>
      <c r="J280" s="115"/>
      <c r="K280" s="115"/>
      <c r="L280" s="115"/>
      <c r="M280" s="115"/>
      <c r="N280" s="129"/>
      <c r="O280" s="13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17"/>
      <c r="B281" s="123"/>
      <c r="C281" s="123"/>
      <c r="D281" s="123"/>
      <c r="H281" s="115"/>
      <c r="I281" s="115"/>
      <c r="J281" s="115"/>
      <c r="K281" s="115"/>
      <c r="L281" s="115"/>
      <c r="M281" s="115"/>
      <c r="N281" s="26"/>
      <c r="O281" s="13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29"/>
      <c r="O282" s="13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17"/>
      <c r="B283" s="123"/>
      <c r="C283" s="123"/>
      <c r="D283" s="123"/>
      <c r="H283" s="115"/>
      <c r="I283" s="115"/>
      <c r="J283" s="115"/>
      <c r="K283" s="115"/>
      <c r="L283" s="115"/>
      <c r="M283" s="115"/>
      <c r="N283" s="26"/>
      <c r="O283" s="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17"/>
      <c r="B284" s="123"/>
      <c r="C284" s="123"/>
      <c r="D284" s="123"/>
      <c r="H284" s="115"/>
      <c r="I284" s="115"/>
      <c r="J284" s="115"/>
      <c r="K284" s="115"/>
      <c r="L284" s="115"/>
      <c r="M284" s="115"/>
      <c r="N284" s="129"/>
      <c r="O284" s="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17"/>
      <c r="B285" s="123"/>
      <c r="C285" s="123"/>
      <c r="D285" s="123"/>
      <c r="H285" s="115"/>
      <c r="I285" s="115"/>
      <c r="J285" s="115"/>
      <c r="K285" s="115"/>
      <c r="L285" s="115"/>
      <c r="M285" s="115"/>
      <c r="N285" s="26"/>
      <c r="O285" s="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17"/>
      <c r="B286" s="123"/>
      <c r="C286" s="123"/>
      <c r="D286" s="123"/>
      <c r="H286" s="115"/>
      <c r="I286" s="115"/>
      <c r="J286" s="115"/>
      <c r="K286" s="115"/>
      <c r="L286" s="115"/>
      <c r="M286" s="115"/>
      <c r="N286" s="129"/>
      <c r="O286" s="13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17"/>
      <c r="B287" s="123"/>
      <c r="C287" s="123"/>
      <c r="D287" s="123"/>
      <c r="H287" s="115"/>
      <c r="I287" s="115"/>
      <c r="J287" s="115"/>
      <c r="K287" s="115"/>
      <c r="L287" s="115"/>
      <c r="M287" s="115"/>
      <c r="N287" s="129"/>
      <c r="O287" s="13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17"/>
      <c r="B288" s="123"/>
      <c r="C288" s="123"/>
      <c r="D288" s="123"/>
      <c r="H288" s="115"/>
      <c r="I288" s="115"/>
      <c r="J288" s="115"/>
      <c r="K288" s="115"/>
      <c r="L288" s="115"/>
      <c r="M288" s="115"/>
      <c r="N288" s="26"/>
      <c r="O288" s="13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17"/>
      <c r="B289" s="123"/>
      <c r="C289" s="123"/>
      <c r="D289" s="123"/>
      <c r="H289" s="115"/>
      <c r="I289" s="115"/>
      <c r="J289" s="115"/>
      <c r="K289" s="115"/>
      <c r="L289" s="115"/>
      <c r="M289" s="115"/>
      <c r="N289" s="26"/>
      <c r="O289" s="13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17"/>
      <c r="B290" s="123"/>
      <c r="C290" s="123"/>
      <c r="D290" s="123"/>
      <c r="H290" s="115"/>
      <c r="I290" s="115"/>
      <c r="J290" s="115"/>
      <c r="K290" s="115"/>
      <c r="L290" s="115"/>
      <c r="M290" s="115"/>
      <c r="N290" s="26"/>
      <c r="O290" s="13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17"/>
      <c r="B291" s="123"/>
      <c r="C291" s="123"/>
      <c r="D291" s="123"/>
      <c r="H291" s="115"/>
      <c r="I291" s="115"/>
      <c r="J291" s="115"/>
      <c r="K291" s="115"/>
      <c r="L291" s="115"/>
      <c r="M291" s="115"/>
      <c r="N291" s="26"/>
      <c r="O291" s="13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26"/>
      <c r="O292" s="13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115"/>
      <c r="N293" s="26"/>
      <c r="O293" s="13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115"/>
      <c r="N294" s="26"/>
      <c r="O294" s="13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17"/>
      <c r="B295" s="123"/>
      <c r="C295" s="123"/>
      <c r="D295" s="123"/>
      <c r="H295" s="115"/>
      <c r="I295" s="115"/>
      <c r="J295" s="115"/>
      <c r="K295" s="115"/>
      <c r="L295" s="115"/>
      <c r="M295" s="115"/>
      <c r="N295" s="26"/>
      <c r="O295" s="13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26"/>
      <c r="O296" s="13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26"/>
      <c r="O297" s="13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17"/>
      <c r="B298" s="123"/>
      <c r="C298" s="123"/>
      <c r="D298" s="123"/>
      <c r="N298" s="26"/>
      <c r="O298" s="13"/>
      <c r="AE298" s="127"/>
      <c r="AF298" s="29"/>
    </row>
    <row r="299" spans="1:32" ht="19.5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15"/>
      <c r="N299" s="26"/>
      <c r="O299" s="13"/>
      <c r="AD299" s="115"/>
      <c r="AE299" s="29"/>
      <c r="AF299" s="29"/>
    </row>
    <row r="300" spans="1:32" ht="19.5" x14ac:dyDescent="0.4">
      <c r="A300" s="117"/>
      <c r="B300" s="123"/>
      <c r="C300" s="123"/>
      <c r="D300" s="123"/>
      <c r="H300" s="115"/>
      <c r="I300" s="115"/>
      <c r="J300" s="115"/>
      <c r="K300" s="115"/>
      <c r="L300" s="115"/>
      <c r="M300" s="115"/>
      <c r="N300" s="26"/>
      <c r="O300" s="13"/>
      <c r="AD300" s="115"/>
      <c r="AE300" s="29"/>
      <c r="AF300" s="29"/>
    </row>
    <row r="301" spans="1:32" ht="19.5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115"/>
      <c r="N301" s="26"/>
      <c r="O301" s="13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17"/>
      <c r="B302" s="123"/>
      <c r="C302" s="123"/>
      <c r="D302" s="123"/>
      <c r="N302" s="26"/>
      <c r="O302" s="13"/>
      <c r="AE302" s="127"/>
      <c r="AF302" s="29"/>
    </row>
    <row r="303" spans="1:32" ht="19.5" x14ac:dyDescent="0.4">
      <c r="A303" s="117"/>
      <c r="B303" s="123"/>
      <c r="C303" s="123"/>
      <c r="D303" s="123"/>
      <c r="I303" s="115"/>
      <c r="J303" s="115"/>
      <c r="K303" s="115"/>
      <c r="L303" s="115"/>
      <c r="M303" s="115"/>
      <c r="N303" s="17"/>
      <c r="O303" s="13"/>
      <c r="AE303" s="127"/>
      <c r="AF303" s="29"/>
    </row>
    <row r="304" spans="1:32" ht="19.5" x14ac:dyDescent="0.4">
      <c r="A304" s="117"/>
      <c r="B304" s="123"/>
      <c r="C304" s="123"/>
      <c r="D304" s="123"/>
      <c r="H304" s="115"/>
      <c r="I304" s="115"/>
      <c r="J304" s="115"/>
      <c r="K304" s="115"/>
      <c r="L304" s="115"/>
      <c r="M304" s="115"/>
      <c r="N304" s="26"/>
      <c r="O304" s="13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17"/>
      <c r="B305" s="123"/>
      <c r="C305" s="123"/>
      <c r="D305" s="123"/>
      <c r="H305" s="115"/>
      <c r="I305" s="115"/>
      <c r="J305" s="115"/>
      <c r="K305" s="115"/>
      <c r="L305" s="115"/>
      <c r="M305" s="115"/>
      <c r="N305" s="17"/>
      <c r="O305" s="13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17"/>
      <c r="B306" s="123"/>
      <c r="C306" s="123"/>
      <c r="D306" s="123"/>
      <c r="H306" s="115"/>
      <c r="I306" s="115"/>
      <c r="J306" s="115"/>
      <c r="K306" s="115"/>
      <c r="L306" s="115"/>
      <c r="M306" s="115"/>
      <c r="N306" s="26"/>
      <c r="O306" s="13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17"/>
      <c r="B307" s="123"/>
      <c r="C307" s="123"/>
      <c r="D307" s="123"/>
      <c r="H307" s="115"/>
      <c r="I307" s="115"/>
      <c r="J307" s="115"/>
      <c r="K307" s="115"/>
      <c r="L307" s="115"/>
      <c r="M307" s="115"/>
      <c r="N307" s="26"/>
      <c r="O307" s="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17"/>
      <c r="B308" s="123"/>
      <c r="C308" s="123"/>
      <c r="D308" s="123"/>
      <c r="H308" s="115"/>
      <c r="I308" s="115"/>
      <c r="J308" s="115"/>
      <c r="K308" s="115"/>
      <c r="L308" s="115"/>
      <c r="M308" s="115"/>
      <c r="N308" s="17"/>
      <c r="O308" s="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17"/>
      <c r="B309" s="123"/>
      <c r="C309" s="123"/>
      <c r="D309" s="123"/>
      <c r="H309" s="115"/>
      <c r="I309" s="115"/>
      <c r="J309" s="115"/>
      <c r="K309" s="115"/>
      <c r="L309" s="115"/>
      <c r="M309" s="115"/>
      <c r="N309" s="26"/>
      <c r="O309" s="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17"/>
      <c r="B310" s="123"/>
      <c r="C310" s="123"/>
      <c r="D310" s="123"/>
      <c r="H310" s="115"/>
      <c r="I310" s="115"/>
      <c r="J310" s="115"/>
      <c r="K310" s="115"/>
      <c r="L310" s="115"/>
      <c r="M310" s="115"/>
      <c r="N310" s="26"/>
      <c r="O310" s="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17"/>
      <c r="B311" s="123"/>
      <c r="C311" s="123"/>
      <c r="D311" s="123"/>
      <c r="H311" s="115"/>
      <c r="I311" s="115"/>
      <c r="J311" s="115"/>
      <c r="K311" s="115"/>
      <c r="L311" s="115"/>
      <c r="M311" s="115"/>
      <c r="N311" s="17"/>
      <c r="O311" s="13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17"/>
      <c r="B312" s="123"/>
      <c r="C312" s="123"/>
      <c r="D312" s="123"/>
      <c r="H312" s="115"/>
      <c r="I312" s="115"/>
      <c r="J312" s="115"/>
      <c r="K312" s="115"/>
      <c r="L312" s="115"/>
      <c r="M312" s="115"/>
      <c r="N312" s="17"/>
      <c r="O312" s="13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17"/>
      <c r="B313" s="123"/>
      <c r="C313" s="123"/>
      <c r="D313" s="123"/>
      <c r="H313" s="115"/>
      <c r="I313" s="115"/>
      <c r="J313" s="115"/>
      <c r="K313" s="115"/>
      <c r="L313" s="115"/>
      <c r="M313" s="115"/>
      <c r="N313" s="17"/>
      <c r="O313" s="13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17"/>
      <c r="B314" s="123"/>
      <c r="C314" s="123"/>
      <c r="D314" s="123"/>
      <c r="H314" s="115"/>
      <c r="I314" s="115"/>
      <c r="J314" s="115"/>
      <c r="K314" s="115"/>
      <c r="L314" s="115"/>
      <c r="M314" s="115"/>
      <c r="N314" s="26"/>
      <c r="O314" s="13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17"/>
      <c r="B315" s="123"/>
      <c r="C315" s="123"/>
      <c r="D315" s="123"/>
      <c r="H315" s="115"/>
      <c r="I315" s="115"/>
      <c r="J315" s="115"/>
      <c r="K315" s="115"/>
      <c r="L315" s="115"/>
      <c r="M315" s="115"/>
      <c r="N315" s="26"/>
      <c r="O315" s="13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26"/>
      <c r="O316" s="2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26"/>
      <c r="O317" s="13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17"/>
      <c r="B318" s="123"/>
      <c r="C318" s="123"/>
      <c r="D318" s="123"/>
      <c r="N318" s="26"/>
      <c r="O318" s="13"/>
      <c r="AE318" s="127"/>
      <c r="AF318" s="29"/>
    </row>
    <row r="319" spans="1:32" ht="19.5" x14ac:dyDescent="0.4">
      <c r="A319" s="117"/>
      <c r="B319" s="123"/>
      <c r="C319" s="123"/>
      <c r="D319" s="123"/>
      <c r="H319" s="115"/>
      <c r="I319" s="115"/>
      <c r="J319" s="115"/>
      <c r="K319" s="115"/>
      <c r="L319" s="115"/>
      <c r="M319" s="115"/>
      <c r="N319" s="26"/>
      <c r="O319" s="13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17"/>
      <c r="B320" s="123"/>
      <c r="C320" s="123"/>
      <c r="D320" s="123"/>
      <c r="H320" s="115"/>
      <c r="I320" s="115"/>
      <c r="J320" s="115"/>
      <c r="K320" s="115"/>
      <c r="L320" s="115"/>
      <c r="M320" s="115"/>
      <c r="N320" s="26"/>
      <c r="O320" s="13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17"/>
      <c r="B321" s="123"/>
      <c r="C321" s="123"/>
      <c r="D321" s="123"/>
      <c r="H321" s="115"/>
      <c r="I321" s="115"/>
      <c r="J321" s="115"/>
      <c r="K321" s="115"/>
      <c r="L321" s="115"/>
      <c r="M321" s="115"/>
      <c r="N321" s="26"/>
      <c r="O321" s="13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17"/>
      <c r="B322" s="123"/>
      <c r="C322" s="123"/>
      <c r="D322" s="123"/>
      <c r="H322" s="115"/>
      <c r="I322" s="115"/>
      <c r="J322" s="115"/>
      <c r="K322" s="115"/>
      <c r="L322" s="115"/>
      <c r="M322" s="115"/>
      <c r="N322" s="26"/>
      <c r="O322" s="13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115"/>
      <c r="N323" s="26"/>
      <c r="O323" s="13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17"/>
      <c r="B324" s="123"/>
      <c r="C324" s="123"/>
      <c r="D324" s="123"/>
      <c r="H324" s="115"/>
      <c r="I324" s="115"/>
      <c r="J324" s="115"/>
      <c r="K324" s="115"/>
      <c r="L324" s="115"/>
      <c r="M324" s="115"/>
      <c r="N324" s="26"/>
      <c r="O324" s="13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115"/>
      <c r="N325" s="26"/>
      <c r="O325" s="13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17"/>
      <c r="B326" s="123"/>
      <c r="C326" s="123"/>
      <c r="D326" s="123"/>
      <c r="H326" s="115"/>
      <c r="I326" s="115"/>
      <c r="J326" s="115"/>
      <c r="K326" s="115"/>
      <c r="L326" s="115"/>
      <c r="M326" s="115"/>
      <c r="N326" s="26"/>
      <c r="O326" s="13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17"/>
      <c r="B327" s="123"/>
      <c r="C327" s="123"/>
      <c r="D327" s="123"/>
      <c r="H327" s="115"/>
      <c r="I327" s="115"/>
      <c r="J327" s="115"/>
      <c r="K327" s="115"/>
      <c r="L327" s="115"/>
      <c r="M327" s="115"/>
      <c r="N327" s="26"/>
      <c r="O327" s="13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15"/>
      <c r="N328" s="26"/>
      <c r="O328" s="13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17"/>
      <c r="B329" s="123"/>
      <c r="C329" s="123"/>
      <c r="D329" s="123"/>
      <c r="N329" s="26"/>
      <c r="O329" s="13"/>
      <c r="AE329" s="127"/>
      <c r="AF329" s="29"/>
    </row>
    <row r="330" spans="1:32" ht="19.5" x14ac:dyDescent="0.4">
      <c r="A330" s="117"/>
      <c r="B330" s="123"/>
      <c r="C330" s="123"/>
      <c r="D330" s="123"/>
      <c r="H330" s="115"/>
      <c r="I330" s="115"/>
      <c r="J330" s="115"/>
      <c r="K330" s="115"/>
      <c r="L330" s="115"/>
      <c r="M330" s="115"/>
      <c r="N330" s="17"/>
      <c r="O330" s="13"/>
      <c r="AC330" s="115"/>
      <c r="AD330" s="115"/>
      <c r="AE330" s="29"/>
      <c r="AF330" s="29"/>
    </row>
    <row r="331" spans="1:32" ht="19.5" x14ac:dyDescent="0.4">
      <c r="A331" s="117"/>
      <c r="B331" s="123"/>
      <c r="C331" s="123"/>
      <c r="D331" s="123"/>
      <c r="H331" s="115"/>
      <c r="I331" s="115"/>
      <c r="J331" s="115"/>
      <c r="K331" s="115"/>
      <c r="L331" s="115"/>
      <c r="M331" s="115"/>
      <c r="N331" s="26"/>
      <c r="O331" s="13"/>
      <c r="AA331" s="115"/>
      <c r="AB331" s="115"/>
      <c r="AC331" s="115"/>
      <c r="AD331" s="115"/>
      <c r="AE331" s="127"/>
      <c r="AF331" s="29"/>
    </row>
    <row r="332" spans="1:32" ht="19.5" x14ac:dyDescent="0.4">
      <c r="A332" s="117"/>
      <c r="B332" s="123"/>
      <c r="C332" s="123"/>
      <c r="D332" s="123"/>
      <c r="H332" s="115"/>
      <c r="I332" s="115"/>
      <c r="J332" s="115"/>
      <c r="K332" s="115"/>
      <c r="L332" s="115"/>
      <c r="M332" s="115"/>
      <c r="N332" s="26"/>
      <c r="O332" s="13"/>
      <c r="AA332" s="115"/>
      <c r="AB332" s="115"/>
      <c r="AC332" s="115"/>
      <c r="AD332" s="115"/>
      <c r="AE332" s="127"/>
      <c r="AF332" s="29"/>
    </row>
    <row r="333" spans="1:32" ht="19.5" x14ac:dyDescent="0.4">
      <c r="A333" s="117"/>
      <c r="B333" s="123"/>
      <c r="C333" s="123"/>
      <c r="D333" s="123"/>
      <c r="H333" s="115"/>
      <c r="I333" s="115"/>
      <c r="J333" s="115"/>
      <c r="K333" s="115"/>
      <c r="L333" s="115"/>
      <c r="M333" s="115"/>
      <c r="N333" s="26"/>
      <c r="O333" s="13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17"/>
      <c r="B334" s="123"/>
      <c r="C334" s="123"/>
      <c r="D334" s="123"/>
      <c r="N334" s="26"/>
      <c r="O334" s="13"/>
      <c r="AE334" s="127"/>
      <c r="AF334" s="29"/>
    </row>
    <row r="335" spans="1:32" ht="19.5" x14ac:dyDescent="0.4">
      <c r="A335" s="117"/>
      <c r="B335" s="123"/>
      <c r="C335" s="123"/>
      <c r="D335" s="123"/>
      <c r="H335" s="115"/>
      <c r="I335" s="115"/>
      <c r="J335" s="115"/>
      <c r="K335" s="115"/>
      <c r="L335" s="115"/>
      <c r="M335" s="115"/>
      <c r="N335" s="26"/>
      <c r="O335" s="13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17"/>
      <c r="B336" s="123"/>
      <c r="C336" s="123"/>
      <c r="D336" s="123"/>
      <c r="H336" s="115"/>
      <c r="I336" s="115"/>
      <c r="J336" s="115"/>
      <c r="K336" s="115"/>
      <c r="L336" s="115"/>
      <c r="M336" s="115"/>
      <c r="N336" s="17"/>
      <c r="O336" s="13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17"/>
      <c r="B337" s="123"/>
      <c r="C337" s="123"/>
      <c r="D337" s="123"/>
      <c r="H337" s="115"/>
      <c r="I337" s="115"/>
      <c r="J337" s="115"/>
      <c r="K337" s="115"/>
      <c r="L337" s="115"/>
      <c r="M337" s="115"/>
      <c r="N337" s="26"/>
      <c r="O337" s="13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17"/>
      <c r="B338" s="123"/>
      <c r="C338" s="123"/>
      <c r="D338" s="123"/>
      <c r="H338" s="115"/>
      <c r="I338" s="115"/>
      <c r="J338" s="115"/>
      <c r="K338" s="115"/>
      <c r="L338" s="115"/>
      <c r="M338" s="115"/>
      <c r="N338" s="26"/>
      <c r="O338" s="13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17"/>
      <c r="B339" s="123"/>
      <c r="C339" s="123"/>
      <c r="D339" s="123"/>
      <c r="H339" s="115"/>
      <c r="I339" s="115"/>
      <c r="J339" s="115"/>
      <c r="K339" s="115"/>
      <c r="L339" s="115"/>
      <c r="M339" s="115"/>
      <c r="N339" s="26"/>
      <c r="O339" s="13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17"/>
      <c r="B340" s="123"/>
      <c r="C340" s="123"/>
      <c r="D340" s="123"/>
      <c r="H340" s="115"/>
      <c r="I340" s="115"/>
      <c r="J340" s="115"/>
      <c r="K340" s="115"/>
      <c r="L340" s="115"/>
      <c r="M340" s="115"/>
      <c r="N340" s="26"/>
      <c r="O340" s="13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17"/>
      <c r="B341" s="123"/>
      <c r="C341" s="123"/>
      <c r="D341" s="123"/>
      <c r="H341" s="115"/>
      <c r="I341" s="115"/>
      <c r="J341" s="115"/>
      <c r="K341" s="115"/>
      <c r="L341" s="115"/>
      <c r="M341" s="115"/>
      <c r="N341" s="17"/>
      <c r="O341" s="13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17"/>
      <c r="B342" s="123"/>
      <c r="C342" s="123"/>
      <c r="D342" s="123"/>
      <c r="H342" s="115"/>
      <c r="I342" s="115"/>
      <c r="J342" s="115"/>
      <c r="K342" s="115"/>
      <c r="L342" s="115"/>
      <c r="M342" s="115"/>
      <c r="N342" s="26"/>
      <c r="O342" s="13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17"/>
      <c r="B343" s="123"/>
      <c r="C343" s="123"/>
      <c r="D343" s="123"/>
      <c r="H343" s="115"/>
      <c r="I343" s="115"/>
      <c r="J343" s="115"/>
      <c r="K343" s="115"/>
      <c r="L343" s="115"/>
      <c r="M343" s="115"/>
      <c r="N343" s="26"/>
      <c r="O343" s="13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17"/>
      <c r="B344" s="123"/>
      <c r="C344" s="123"/>
      <c r="D344" s="123"/>
      <c r="H344" s="115"/>
      <c r="I344" s="115"/>
      <c r="J344" s="115"/>
      <c r="K344" s="115"/>
      <c r="L344" s="115"/>
      <c r="M344" s="115"/>
      <c r="N344" s="17"/>
      <c r="O344" s="13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17"/>
      <c r="B345" s="123"/>
      <c r="C345" s="123"/>
      <c r="D345" s="123"/>
      <c r="H345" s="115"/>
      <c r="I345" s="115"/>
      <c r="J345" s="115"/>
      <c r="K345" s="115"/>
      <c r="L345" s="115"/>
      <c r="M345" s="115"/>
      <c r="N345" s="26"/>
      <c r="O345" s="13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17"/>
      <c r="B346" s="123"/>
      <c r="C346" s="123"/>
      <c r="D346" s="123"/>
      <c r="H346" s="115"/>
      <c r="I346" s="115"/>
      <c r="J346" s="115"/>
      <c r="K346" s="115"/>
      <c r="L346" s="115"/>
      <c r="M346" s="115"/>
      <c r="N346" s="17"/>
      <c r="O346" s="13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17"/>
      <c r="B347" s="123"/>
      <c r="C347" s="123"/>
      <c r="D347" s="123"/>
      <c r="N347" s="26"/>
      <c r="O347" s="13"/>
      <c r="AE347" s="127"/>
      <c r="AF347" s="29"/>
    </row>
    <row r="348" spans="1:32" ht="19.5" x14ac:dyDescent="0.4">
      <c r="A348" s="117"/>
      <c r="B348" s="123"/>
      <c r="C348" s="123"/>
      <c r="D348" s="123"/>
      <c r="H348" s="115"/>
      <c r="I348" s="115"/>
      <c r="J348" s="115"/>
      <c r="K348" s="115"/>
      <c r="L348" s="115"/>
      <c r="M348" s="115"/>
      <c r="N348" s="17"/>
      <c r="O348" s="13"/>
      <c r="AC348" s="115"/>
      <c r="AD348" s="115"/>
      <c r="AE348" s="29"/>
      <c r="AF348" s="29"/>
    </row>
    <row r="349" spans="1:32" ht="19.5" x14ac:dyDescent="0.4">
      <c r="A349" s="117"/>
      <c r="B349" s="123"/>
      <c r="C349" s="123"/>
      <c r="D349" s="123"/>
      <c r="H349" s="115"/>
      <c r="I349" s="115"/>
      <c r="J349" s="115"/>
      <c r="K349" s="115"/>
      <c r="L349" s="115"/>
      <c r="M349" s="115"/>
      <c r="N349" s="17"/>
      <c r="O349" s="13"/>
      <c r="AC349" s="115"/>
      <c r="AD349" s="115"/>
      <c r="AE349" s="29"/>
      <c r="AF349" s="29"/>
    </row>
    <row r="350" spans="1:32" ht="19.5" x14ac:dyDescent="0.4">
      <c r="A350" s="117"/>
      <c r="B350" s="123"/>
      <c r="C350" s="123"/>
      <c r="D350" s="123"/>
      <c r="H350" s="115"/>
      <c r="I350" s="115"/>
      <c r="J350" s="115"/>
      <c r="K350" s="115"/>
      <c r="L350" s="115"/>
      <c r="M350" s="115"/>
      <c r="N350" s="17"/>
      <c r="O350" s="13"/>
      <c r="AB350" s="115"/>
      <c r="AC350" s="115"/>
      <c r="AD350" s="115"/>
      <c r="AE350" s="29"/>
      <c r="AF350" s="29"/>
    </row>
    <row r="351" spans="1:32" ht="19.5" x14ac:dyDescent="0.4">
      <c r="A351" s="117"/>
      <c r="B351" s="123"/>
      <c r="C351" s="123"/>
      <c r="D351" s="123"/>
      <c r="H351" s="115"/>
      <c r="I351" s="115"/>
      <c r="J351" s="115"/>
      <c r="K351" s="115"/>
      <c r="L351" s="115"/>
      <c r="M351" s="115"/>
      <c r="N351" s="26"/>
      <c r="O351" s="13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17"/>
      <c r="B352" s="123"/>
      <c r="C352" s="123"/>
      <c r="D352" s="123"/>
      <c r="H352" s="115"/>
      <c r="I352" s="115"/>
      <c r="J352" s="115"/>
      <c r="K352" s="115"/>
      <c r="L352" s="115"/>
      <c r="M352" s="115"/>
      <c r="N352" s="26"/>
      <c r="O352" s="13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17"/>
      <c r="B353" s="123"/>
      <c r="C353" s="123"/>
      <c r="D353" s="123"/>
      <c r="N353" s="26"/>
      <c r="O353" s="13"/>
      <c r="AE353" s="127"/>
      <c r="AF353" s="29"/>
    </row>
    <row r="354" spans="1:32" ht="19.5" x14ac:dyDescent="0.4">
      <c r="A354" s="117"/>
      <c r="B354" s="123"/>
      <c r="C354" s="123"/>
      <c r="D354" s="123"/>
      <c r="H354" s="115"/>
      <c r="I354" s="115"/>
      <c r="J354" s="115"/>
      <c r="K354" s="115"/>
      <c r="L354" s="115"/>
      <c r="M354" s="115"/>
      <c r="N354" s="26"/>
      <c r="O354" s="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17"/>
      <c r="B355" s="123"/>
      <c r="C355" s="123"/>
      <c r="D355" s="123"/>
      <c r="H355" s="115"/>
      <c r="I355" s="115"/>
      <c r="J355" s="115"/>
      <c r="K355" s="115"/>
      <c r="L355" s="115"/>
      <c r="M355" s="115"/>
      <c r="N355" s="26"/>
      <c r="O355" s="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17"/>
      <c r="B356" s="123"/>
      <c r="C356" s="123"/>
      <c r="D356" s="123"/>
      <c r="H356" s="115"/>
      <c r="I356" s="115"/>
      <c r="J356" s="115"/>
      <c r="K356" s="115"/>
      <c r="L356" s="115"/>
      <c r="M356" s="115"/>
      <c r="N356" s="26"/>
      <c r="O356" s="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17"/>
      <c r="B357" s="123"/>
      <c r="C357" s="123"/>
      <c r="D357" s="123"/>
      <c r="N357" s="26"/>
      <c r="O357" s="13"/>
      <c r="AE357" s="127"/>
      <c r="AF357" s="29"/>
    </row>
    <row r="358" spans="1:32" ht="19.5" x14ac:dyDescent="0.4">
      <c r="A358" s="117"/>
      <c r="B358" s="123"/>
      <c r="C358" s="123"/>
      <c r="D358" s="123"/>
      <c r="H358" s="115"/>
      <c r="I358" s="115"/>
      <c r="J358" s="115"/>
      <c r="K358" s="115"/>
      <c r="L358" s="115"/>
      <c r="M358" s="115"/>
      <c r="N358" s="26"/>
      <c r="O358" s="13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15"/>
      <c r="N359" s="17"/>
      <c r="O359" s="13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26"/>
      <c r="O360" s="13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115"/>
      <c r="N361" s="26"/>
      <c r="O361" s="13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17"/>
      <c r="B362" s="123"/>
      <c r="C362" s="123"/>
      <c r="D362" s="123"/>
      <c r="H362" s="115"/>
      <c r="I362" s="115"/>
      <c r="J362" s="115"/>
      <c r="K362" s="115"/>
      <c r="L362" s="115"/>
      <c r="M362" s="115"/>
      <c r="N362" s="26"/>
      <c r="O362" s="13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17"/>
      <c r="B363" s="123"/>
      <c r="C363" s="123"/>
      <c r="D363" s="123"/>
      <c r="H363" s="115"/>
      <c r="I363" s="115"/>
      <c r="J363" s="115"/>
      <c r="K363" s="115"/>
      <c r="L363" s="115"/>
      <c r="M363" s="115"/>
      <c r="N363" s="26"/>
      <c r="O363" s="13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17"/>
      <c r="B364" s="123"/>
      <c r="C364" s="123"/>
      <c r="D364" s="123"/>
      <c r="N364" s="26"/>
      <c r="O364" s="13"/>
      <c r="AE364" s="127"/>
      <c r="AF364" s="29"/>
    </row>
    <row r="365" spans="1:32" ht="19.5" x14ac:dyDescent="0.4">
      <c r="A365" s="117"/>
      <c r="B365" s="123"/>
      <c r="C365" s="123"/>
      <c r="D365" s="123"/>
      <c r="H365" s="115"/>
      <c r="I365" s="115"/>
      <c r="J365" s="115"/>
      <c r="K365" s="115"/>
      <c r="L365" s="115"/>
      <c r="M365" s="115"/>
      <c r="N365" s="26"/>
      <c r="O365" s="13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17"/>
      <c r="B366" s="123"/>
      <c r="C366" s="123"/>
      <c r="D366" s="123"/>
      <c r="H366" s="115"/>
      <c r="I366" s="115"/>
      <c r="J366" s="115"/>
      <c r="K366" s="115"/>
      <c r="L366" s="115"/>
      <c r="M366" s="115"/>
      <c r="N366" s="26"/>
      <c r="O366" s="13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17"/>
      <c r="B367" s="123"/>
      <c r="C367" s="123"/>
      <c r="D367" s="123"/>
      <c r="H367" s="115"/>
      <c r="I367" s="115"/>
      <c r="J367" s="115"/>
      <c r="K367" s="115"/>
      <c r="L367" s="115"/>
      <c r="M367" s="115"/>
      <c r="N367" s="26"/>
      <c r="O367" s="13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17"/>
      <c r="B368" s="123"/>
      <c r="C368" s="123"/>
      <c r="D368" s="123"/>
      <c r="H368" s="115"/>
      <c r="I368" s="115"/>
      <c r="J368" s="115"/>
      <c r="K368" s="115"/>
      <c r="L368" s="115"/>
      <c r="M368" s="115"/>
      <c r="N368" s="26"/>
      <c r="O368" s="13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17"/>
      <c r="B369" s="123"/>
      <c r="C369" s="123"/>
      <c r="D369" s="123"/>
      <c r="H369" s="115"/>
      <c r="I369" s="115"/>
      <c r="J369" s="115"/>
      <c r="K369" s="115"/>
      <c r="L369" s="115"/>
      <c r="M369" s="115"/>
      <c r="N369" s="26"/>
      <c r="O369" s="13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17"/>
      <c r="B370" s="123"/>
      <c r="C370" s="123"/>
      <c r="D370" s="123"/>
      <c r="H370" s="115"/>
      <c r="I370" s="115"/>
      <c r="J370" s="115"/>
      <c r="K370" s="115"/>
      <c r="L370" s="115"/>
      <c r="M370" s="115"/>
      <c r="N370" s="26"/>
      <c r="O370" s="13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115"/>
      <c r="N371" s="26"/>
      <c r="O371" s="13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17"/>
      <c r="B372" s="123"/>
      <c r="C372" s="123"/>
      <c r="D372" s="123"/>
      <c r="H372" s="115"/>
      <c r="I372" s="115"/>
      <c r="J372" s="115"/>
      <c r="K372" s="115"/>
      <c r="L372" s="115"/>
      <c r="M372" s="115"/>
      <c r="N372" s="17"/>
      <c r="O372" s="13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17"/>
      <c r="B373" s="123"/>
      <c r="C373" s="123"/>
      <c r="D373" s="123"/>
      <c r="H373" s="115"/>
      <c r="I373" s="115"/>
      <c r="J373" s="115"/>
      <c r="K373" s="115"/>
      <c r="L373" s="115"/>
      <c r="M373" s="115"/>
      <c r="N373" s="26"/>
      <c r="O373" s="13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17"/>
      <c r="B374" s="123"/>
      <c r="C374" s="123"/>
      <c r="D374" s="123"/>
      <c r="H374" s="115"/>
      <c r="I374" s="115"/>
      <c r="J374" s="115"/>
      <c r="K374" s="115"/>
      <c r="L374" s="115"/>
      <c r="M374" s="115"/>
      <c r="N374" s="26"/>
      <c r="O374" s="13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17"/>
      <c r="B375" s="123"/>
      <c r="C375" s="123"/>
      <c r="D375" s="123"/>
      <c r="H375" s="115"/>
      <c r="I375" s="115"/>
      <c r="J375" s="115"/>
      <c r="K375" s="115"/>
      <c r="L375" s="115"/>
      <c r="M375" s="115"/>
      <c r="N375" s="17"/>
      <c r="O375" s="13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17"/>
      <c r="B376" s="123"/>
      <c r="C376" s="123"/>
      <c r="D376" s="123"/>
      <c r="N376" s="26"/>
      <c r="O376" s="13"/>
      <c r="AE376" s="127"/>
      <c r="AF376" s="29"/>
    </row>
    <row r="377" spans="1:32" ht="19.5" x14ac:dyDescent="0.4">
      <c r="A377" s="117"/>
      <c r="B377" s="123"/>
      <c r="C377" s="123"/>
      <c r="D377" s="123"/>
      <c r="N377" s="26"/>
      <c r="O377" s="13"/>
      <c r="AE377" s="127"/>
      <c r="AF377" s="29"/>
    </row>
    <row r="378" spans="1:32" ht="19.5" x14ac:dyDescent="0.4">
      <c r="A378" s="117"/>
      <c r="B378" s="123"/>
      <c r="C378" s="123"/>
      <c r="D378" s="123"/>
      <c r="H378" s="115"/>
      <c r="I378" s="115"/>
      <c r="J378" s="115"/>
      <c r="K378" s="115"/>
      <c r="L378" s="115"/>
      <c r="M378" s="115"/>
      <c r="N378" s="26"/>
      <c r="O378" s="13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17"/>
      <c r="B379" s="123"/>
      <c r="C379" s="123"/>
      <c r="D379" s="123"/>
      <c r="N379" s="26"/>
      <c r="O379" s="13"/>
      <c r="AE379" s="127"/>
      <c r="AF379" s="29"/>
    </row>
    <row r="380" spans="1:32" ht="19.5" x14ac:dyDescent="0.4">
      <c r="A380" s="117"/>
      <c r="B380" s="123"/>
      <c r="C380" s="123"/>
      <c r="D380" s="123"/>
      <c r="H380" s="115"/>
      <c r="I380" s="115"/>
      <c r="J380" s="115"/>
      <c r="K380" s="115"/>
      <c r="L380" s="115"/>
      <c r="M380" s="115"/>
      <c r="N380" s="26"/>
      <c r="O380" s="13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17"/>
      <c r="B381" s="123"/>
      <c r="C381" s="123"/>
      <c r="D381" s="123"/>
      <c r="H381" s="115"/>
      <c r="I381" s="115"/>
      <c r="J381" s="115"/>
      <c r="K381" s="115"/>
      <c r="L381" s="115"/>
      <c r="M381" s="115"/>
      <c r="N381" s="17"/>
      <c r="O381" s="13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17"/>
      <c r="B382" s="123"/>
      <c r="C382" s="123"/>
      <c r="D382" s="123"/>
      <c r="H382" s="115"/>
      <c r="I382" s="115"/>
      <c r="J382" s="115"/>
      <c r="K382" s="115"/>
      <c r="L382" s="115"/>
      <c r="M382" s="115"/>
      <c r="N382" s="26"/>
      <c r="O382" s="13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17"/>
      <c r="B383" s="123"/>
      <c r="C383" s="123"/>
      <c r="D383" s="123"/>
      <c r="H383" s="115"/>
      <c r="I383" s="115"/>
      <c r="J383" s="115"/>
      <c r="K383" s="115"/>
      <c r="L383" s="115"/>
      <c r="M383" s="115"/>
      <c r="N383" s="26"/>
      <c r="O383" s="13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17"/>
      <c r="B384" s="123"/>
      <c r="C384" s="123"/>
      <c r="D384" s="123"/>
      <c r="H384" s="115"/>
      <c r="I384" s="115"/>
      <c r="J384" s="115"/>
      <c r="K384" s="115"/>
      <c r="L384" s="115"/>
      <c r="M384" s="115"/>
      <c r="N384" s="26"/>
      <c r="O384" s="13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17"/>
      <c r="B385" s="123"/>
      <c r="C385" s="123"/>
      <c r="D385" s="123"/>
      <c r="H385" s="115"/>
      <c r="I385" s="115"/>
      <c r="J385" s="115"/>
      <c r="K385" s="115"/>
      <c r="L385" s="115"/>
      <c r="M385" s="115"/>
      <c r="N385" s="26"/>
      <c r="O385" s="13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17"/>
      <c r="B386" s="123"/>
      <c r="C386" s="123"/>
      <c r="D386" s="123"/>
      <c r="H386" s="115"/>
      <c r="I386" s="115"/>
      <c r="J386" s="115"/>
      <c r="K386" s="115"/>
      <c r="L386" s="115"/>
      <c r="M386" s="115"/>
      <c r="N386" s="26"/>
      <c r="O386" s="13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17"/>
      <c r="B387" s="123"/>
      <c r="C387" s="123"/>
      <c r="D387" s="123"/>
      <c r="H387" s="115"/>
      <c r="I387" s="115"/>
      <c r="J387" s="115"/>
      <c r="K387" s="115"/>
      <c r="L387" s="115"/>
      <c r="M387" s="115"/>
      <c r="N387" s="17"/>
      <c r="O387" s="13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17"/>
      <c r="B388" s="123"/>
      <c r="C388" s="123"/>
      <c r="D388" s="123"/>
      <c r="H388" s="115"/>
      <c r="I388" s="115"/>
      <c r="J388" s="115"/>
      <c r="K388" s="115"/>
      <c r="L388" s="115"/>
      <c r="M388" s="115"/>
      <c r="N388" s="26"/>
      <c r="O388" s="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17"/>
      <c r="B389" s="123"/>
      <c r="C389" s="123"/>
      <c r="D389" s="123"/>
      <c r="H389" s="115"/>
      <c r="I389" s="115"/>
      <c r="J389" s="115"/>
      <c r="K389" s="115"/>
      <c r="L389" s="115"/>
      <c r="M389" s="115"/>
      <c r="N389" s="17"/>
      <c r="O389" s="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17"/>
      <c r="B390" s="123"/>
      <c r="C390" s="123"/>
      <c r="D390" s="123"/>
      <c r="H390" s="115"/>
      <c r="I390" s="115"/>
      <c r="J390" s="115"/>
      <c r="K390" s="115"/>
      <c r="L390" s="115"/>
      <c r="M390" s="115"/>
      <c r="N390" s="17"/>
      <c r="O390" s="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17"/>
      <c r="B391" s="123"/>
      <c r="C391" s="123"/>
      <c r="D391" s="123"/>
      <c r="H391" s="115"/>
      <c r="I391" s="115"/>
      <c r="J391" s="115"/>
      <c r="K391" s="115"/>
      <c r="L391" s="115"/>
      <c r="M391" s="115"/>
      <c r="N391" s="26"/>
      <c r="O391" s="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17"/>
      <c r="B392" s="123"/>
      <c r="C392" s="123"/>
      <c r="D392" s="123"/>
      <c r="H392" s="115"/>
      <c r="I392" s="115"/>
      <c r="J392" s="115"/>
      <c r="K392" s="115"/>
      <c r="L392" s="115"/>
      <c r="M392" s="115"/>
      <c r="N392" s="26"/>
      <c r="O392" s="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17"/>
      <c r="B393" s="123"/>
      <c r="C393" s="123"/>
      <c r="D393" s="123"/>
      <c r="H393" s="115"/>
      <c r="I393" s="115"/>
      <c r="J393" s="115"/>
      <c r="K393" s="115"/>
      <c r="L393" s="115"/>
      <c r="M393" s="115"/>
      <c r="N393" s="17"/>
      <c r="O393" s="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17"/>
      <c r="B394" s="123"/>
      <c r="C394" s="123"/>
      <c r="D394" s="123"/>
      <c r="H394" s="115"/>
      <c r="I394" s="115"/>
      <c r="J394" s="115"/>
      <c r="K394" s="115"/>
      <c r="L394" s="115"/>
      <c r="M394" s="115"/>
      <c r="N394" s="26"/>
      <c r="O394" s="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17"/>
      <c r="B395" s="123"/>
      <c r="C395" s="123"/>
      <c r="D395" s="123"/>
      <c r="H395" s="115"/>
      <c r="I395" s="115"/>
      <c r="J395" s="115"/>
      <c r="K395" s="115"/>
      <c r="L395" s="115"/>
      <c r="M395" s="115"/>
      <c r="N395" s="26"/>
      <c r="O395" s="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17"/>
      <c r="B396" s="123"/>
      <c r="C396" s="123"/>
      <c r="D396" s="123"/>
      <c r="N396" s="26"/>
      <c r="O396" s="15"/>
      <c r="AE396" s="127"/>
      <c r="AF396" s="29"/>
    </row>
    <row r="397" spans="1:32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115"/>
      <c r="N397" s="26"/>
      <c r="O397" s="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17"/>
      <c r="B398" s="123"/>
      <c r="C398" s="123"/>
      <c r="D398" s="123"/>
      <c r="H398" s="115"/>
      <c r="I398" s="115"/>
      <c r="J398" s="115"/>
      <c r="K398" s="115"/>
      <c r="L398" s="115"/>
      <c r="M398" s="115"/>
      <c r="N398" s="26"/>
      <c r="O398" s="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17"/>
      <c r="B399" s="123"/>
      <c r="C399" s="123"/>
      <c r="D399" s="123"/>
      <c r="H399" s="115"/>
      <c r="I399" s="115"/>
      <c r="J399" s="115"/>
      <c r="K399" s="115"/>
      <c r="L399" s="115"/>
      <c r="M399" s="115"/>
      <c r="N399" s="26"/>
      <c r="O399" s="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17"/>
      <c r="B400" s="123"/>
      <c r="C400" s="123"/>
      <c r="D400" s="123"/>
      <c r="H400" s="115"/>
      <c r="I400" s="115"/>
      <c r="J400" s="115"/>
      <c r="K400" s="115"/>
      <c r="L400" s="115"/>
      <c r="M400" s="115"/>
      <c r="N400" s="26"/>
      <c r="O400" s="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17"/>
      <c r="B401" s="123"/>
      <c r="C401" s="123"/>
      <c r="D401" s="123"/>
      <c r="N401" s="26"/>
      <c r="O401" s="15"/>
      <c r="AE401" s="127"/>
      <c r="AF401" s="29"/>
    </row>
    <row r="402" spans="1:32" ht="19.5" x14ac:dyDescent="0.4">
      <c r="A402" s="117"/>
      <c r="B402" s="123"/>
      <c r="C402" s="123"/>
      <c r="D402" s="123"/>
      <c r="H402" s="115"/>
      <c r="I402" s="115"/>
      <c r="J402" s="115"/>
      <c r="K402" s="115"/>
      <c r="L402" s="115"/>
      <c r="M402" s="115"/>
      <c r="N402" s="26"/>
      <c r="O402" s="15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17"/>
      <c r="B403" s="123"/>
      <c r="C403" s="123"/>
      <c r="D403" s="123"/>
      <c r="H403" s="115"/>
      <c r="I403" s="115"/>
      <c r="J403" s="115"/>
      <c r="K403" s="115"/>
      <c r="L403" s="115"/>
      <c r="M403" s="115"/>
      <c r="N403" s="26"/>
      <c r="O403" s="15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17"/>
      <c r="B404" s="123"/>
      <c r="C404" s="123"/>
      <c r="D404" s="123"/>
      <c r="H404" s="115"/>
      <c r="I404" s="115"/>
      <c r="J404" s="115"/>
      <c r="K404" s="115"/>
      <c r="L404" s="115"/>
      <c r="M404" s="115"/>
      <c r="N404" s="17"/>
      <c r="O404" s="15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17"/>
      <c r="B405" s="123"/>
      <c r="C405" s="123"/>
      <c r="D405" s="123"/>
      <c r="N405" s="26"/>
      <c r="O405" s="15"/>
      <c r="AE405" s="127"/>
      <c r="AF405" s="29"/>
    </row>
    <row r="406" spans="1:32" ht="19.5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115"/>
      <c r="N406" s="26"/>
      <c r="O406" s="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17"/>
      <c r="B407" s="123"/>
      <c r="C407" s="123"/>
      <c r="D407" s="123"/>
      <c r="H407" s="115"/>
      <c r="I407" s="115"/>
      <c r="J407" s="115"/>
      <c r="K407" s="115"/>
      <c r="L407" s="115"/>
      <c r="M407" s="115"/>
      <c r="N407" s="26"/>
      <c r="O407" s="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17"/>
      <c r="B408" s="123"/>
      <c r="C408" s="123"/>
      <c r="D408" s="123"/>
      <c r="H408" s="115"/>
      <c r="I408" s="115"/>
      <c r="J408" s="115"/>
      <c r="K408" s="115"/>
      <c r="L408" s="115"/>
      <c r="M408" s="115"/>
      <c r="N408" s="17"/>
      <c r="O408" s="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17"/>
      <c r="B409" s="123"/>
      <c r="C409" s="123"/>
      <c r="D409" s="123"/>
      <c r="N409" s="26"/>
      <c r="O409" s="15"/>
      <c r="AE409" s="127"/>
      <c r="AF409" s="29"/>
    </row>
    <row r="410" spans="1:32" ht="19.5" x14ac:dyDescent="0.4">
      <c r="A410" s="117"/>
      <c r="B410" s="123"/>
      <c r="C410" s="123"/>
      <c r="D410" s="123"/>
      <c r="H410" s="115"/>
      <c r="I410" s="115"/>
      <c r="J410" s="115"/>
      <c r="K410" s="115"/>
      <c r="L410" s="115"/>
      <c r="M410" s="115"/>
      <c r="N410" s="17"/>
      <c r="O410" s="15"/>
      <c r="AA410" s="115"/>
      <c r="AB410" s="115"/>
      <c r="AC410" s="115"/>
      <c r="AD410" s="115"/>
      <c r="AE410" s="29"/>
      <c r="AF410" s="29"/>
    </row>
    <row r="411" spans="1:32" ht="19.5" x14ac:dyDescent="0.4">
      <c r="A411" s="117"/>
      <c r="B411" s="123"/>
      <c r="C411" s="123"/>
      <c r="D411" s="123"/>
      <c r="N411" s="26"/>
      <c r="O411" s="15"/>
      <c r="AE411" s="127"/>
      <c r="AF411" s="29"/>
    </row>
    <row r="412" spans="1:32" ht="19.5" x14ac:dyDescent="0.4">
      <c r="A412" s="117"/>
      <c r="B412" s="123"/>
      <c r="C412" s="123"/>
      <c r="D412" s="123"/>
      <c r="H412" s="115"/>
      <c r="I412" s="115"/>
      <c r="J412" s="115"/>
      <c r="K412" s="115"/>
      <c r="L412" s="115"/>
      <c r="M412" s="115"/>
      <c r="N412" s="26"/>
      <c r="O412" s="15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17"/>
      <c r="B413" s="123"/>
      <c r="C413" s="123"/>
      <c r="D413" s="123"/>
      <c r="N413" s="26"/>
      <c r="O413" s="15"/>
      <c r="AE413" s="127"/>
      <c r="AF413" s="29"/>
    </row>
    <row r="414" spans="1:32" ht="19.5" x14ac:dyDescent="0.4">
      <c r="A414" s="117"/>
      <c r="B414" s="123"/>
      <c r="C414" s="123"/>
      <c r="D414" s="123"/>
      <c r="H414" s="115"/>
      <c r="I414" s="115"/>
      <c r="J414" s="115"/>
      <c r="K414" s="115"/>
      <c r="L414" s="115"/>
      <c r="M414" s="115"/>
      <c r="N414" s="26"/>
      <c r="O414" s="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17"/>
      <c r="B415" s="123"/>
      <c r="C415" s="123"/>
      <c r="D415" s="123"/>
      <c r="N415" s="26"/>
      <c r="O415" s="15"/>
      <c r="AE415" s="127"/>
      <c r="AF415" s="29"/>
    </row>
    <row r="416" spans="1:32" ht="19.5" x14ac:dyDescent="0.4">
      <c r="A416" s="117"/>
      <c r="B416" s="123"/>
      <c r="C416" s="123"/>
      <c r="D416" s="123"/>
      <c r="H416" s="115"/>
      <c r="I416" s="115"/>
      <c r="J416" s="115"/>
      <c r="K416" s="115"/>
      <c r="L416" s="115"/>
      <c r="M416" s="115"/>
      <c r="N416" s="26"/>
      <c r="O416" s="15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17"/>
      <c r="B417" s="123"/>
      <c r="C417" s="123"/>
      <c r="D417" s="123"/>
      <c r="H417" s="115"/>
      <c r="I417" s="115"/>
      <c r="J417" s="115"/>
      <c r="K417" s="115"/>
      <c r="L417" s="115"/>
      <c r="M417" s="115"/>
      <c r="N417" s="17"/>
      <c r="O417" s="15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17"/>
      <c r="B418" s="123"/>
      <c r="C418" s="123"/>
      <c r="D418" s="123"/>
      <c r="H418" s="115"/>
      <c r="I418" s="115"/>
      <c r="J418" s="115"/>
      <c r="K418" s="115"/>
      <c r="L418" s="115"/>
      <c r="M418" s="115"/>
      <c r="N418" s="26"/>
      <c r="O418" s="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17"/>
      <c r="B419" s="123"/>
      <c r="C419" s="123"/>
      <c r="D419" s="123"/>
      <c r="H419" s="115"/>
      <c r="I419" s="115"/>
      <c r="J419" s="115"/>
      <c r="K419" s="115"/>
      <c r="L419" s="115"/>
      <c r="M419" s="115"/>
      <c r="N419" s="17"/>
      <c r="O419" s="13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17"/>
      <c r="B420" s="123"/>
      <c r="C420" s="123"/>
      <c r="D420" s="123"/>
      <c r="H420" s="115"/>
      <c r="I420" s="115"/>
      <c r="J420" s="115"/>
      <c r="K420" s="115"/>
      <c r="L420" s="115"/>
      <c r="M420" s="115"/>
      <c r="N420" s="17"/>
      <c r="O420" s="13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17"/>
      <c r="B421" s="123"/>
      <c r="C421" s="123"/>
      <c r="D421" s="123"/>
      <c r="H421" s="115"/>
      <c r="I421" s="115"/>
      <c r="J421" s="115"/>
      <c r="K421" s="115"/>
      <c r="L421" s="115"/>
      <c r="M421" s="115"/>
      <c r="N421" s="17"/>
      <c r="O421" s="13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17"/>
      <c r="B422" s="123"/>
      <c r="C422" s="123"/>
      <c r="D422" s="123"/>
      <c r="H422" s="115"/>
      <c r="I422" s="115"/>
      <c r="J422" s="115"/>
      <c r="K422" s="115"/>
      <c r="L422" s="115"/>
      <c r="M422" s="115"/>
      <c r="N422" s="26"/>
      <c r="O422" s="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17"/>
      <c r="B423" s="123"/>
      <c r="C423" s="123"/>
      <c r="D423" s="123"/>
      <c r="H423" s="115"/>
      <c r="I423" s="115"/>
      <c r="J423" s="115"/>
      <c r="K423" s="115"/>
      <c r="L423" s="115"/>
      <c r="M423" s="115"/>
      <c r="N423" s="26"/>
      <c r="O423" s="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17"/>
      <c r="B424" s="123"/>
      <c r="C424" s="123"/>
      <c r="D424" s="123"/>
      <c r="N424" s="26"/>
      <c r="O424" s="13"/>
      <c r="AE424" s="127"/>
      <c r="AF424" s="29"/>
    </row>
    <row r="425" spans="1:32" ht="19.5" x14ac:dyDescent="0.4">
      <c r="A425" s="117"/>
      <c r="B425" s="123"/>
      <c r="C425" s="123"/>
      <c r="D425" s="123"/>
      <c r="H425" s="115"/>
      <c r="I425" s="115"/>
      <c r="J425" s="115"/>
      <c r="K425" s="115"/>
      <c r="L425" s="115"/>
      <c r="M425" s="115"/>
      <c r="N425" s="17"/>
      <c r="O425" s="13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17"/>
      <c r="B426" s="123"/>
      <c r="C426" s="123"/>
      <c r="D426" s="123"/>
      <c r="H426" s="115"/>
      <c r="I426" s="115"/>
      <c r="J426" s="115"/>
      <c r="K426" s="115"/>
      <c r="L426" s="115"/>
      <c r="M426" s="115"/>
      <c r="N426" s="26"/>
      <c r="O426" s="13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17"/>
      <c r="B427" s="123"/>
      <c r="C427" s="123"/>
      <c r="D427" s="123"/>
      <c r="N427" s="26"/>
      <c r="O427" s="13"/>
      <c r="AE427" s="127"/>
      <c r="AF427" s="29"/>
    </row>
    <row r="428" spans="1:32" ht="19.5" x14ac:dyDescent="0.4">
      <c r="A428" s="117"/>
      <c r="B428" s="123"/>
      <c r="C428" s="123"/>
      <c r="D428" s="123"/>
      <c r="H428" s="115"/>
      <c r="I428" s="115"/>
      <c r="J428" s="115"/>
      <c r="K428" s="115"/>
      <c r="L428" s="115"/>
      <c r="M428" s="115"/>
      <c r="N428" s="26"/>
      <c r="O428" s="13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17"/>
      <c r="B429" s="123"/>
      <c r="C429" s="123"/>
      <c r="D429" s="123"/>
      <c r="H429" s="115"/>
      <c r="I429" s="115"/>
      <c r="J429" s="115"/>
      <c r="K429" s="115"/>
      <c r="L429" s="115"/>
      <c r="M429" s="115"/>
      <c r="N429" s="26"/>
      <c r="O429" s="13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17"/>
      <c r="B430" s="123"/>
      <c r="C430" s="123"/>
      <c r="D430" s="123"/>
      <c r="H430" s="115"/>
      <c r="I430" s="115"/>
      <c r="J430" s="115"/>
      <c r="K430" s="115"/>
      <c r="L430" s="115"/>
      <c r="M430" s="115"/>
      <c r="N430" s="26"/>
      <c r="O430" s="13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17"/>
      <c r="B431" s="123"/>
      <c r="C431" s="123"/>
      <c r="D431" s="123"/>
      <c r="H431" s="115"/>
      <c r="I431" s="115"/>
      <c r="J431" s="115"/>
      <c r="K431" s="115"/>
      <c r="L431" s="115"/>
      <c r="M431" s="115"/>
      <c r="N431" s="26"/>
      <c r="O431" s="13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17"/>
      <c r="B432" s="123"/>
      <c r="C432" s="123"/>
      <c r="D432" s="123"/>
      <c r="H432" s="115"/>
      <c r="I432" s="115"/>
      <c r="J432" s="115"/>
      <c r="K432" s="115"/>
      <c r="L432" s="115"/>
      <c r="M432" s="115"/>
      <c r="N432" s="17"/>
      <c r="O432" s="13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17"/>
      <c r="B433" s="123"/>
      <c r="C433" s="123"/>
      <c r="D433" s="123"/>
      <c r="H433" s="115"/>
      <c r="I433" s="115"/>
      <c r="J433" s="115"/>
      <c r="K433" s="115"/>
      <c r="L433" s="115"/>
      <c r="M433" s="115"/>
      <c r="N433" s="26"/>
      <c r="O433" s="13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115"/>
      <c r="N434" s="26"/>
      <c r="O434" s="13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17"/>
      <c r="B435" s="123"/>
      <c r="C435" s="123"/>
      <c r="D435" s="123"/>
      <c r="H435" s="115"/>
      <c r="I435" s="115"/>
      <c r="J435" s="115"/>
      <c r="K435" s="115"/>
      <c r="L435" s="115"/>
      <c r="M435" s="115"/>
      <c r="N435" s="26"/>
      <c r="O435" s="13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17"/>
      <c r="B436" s="123"/>
      <c r="C436" s="123"/>
      <c r="D436" s="123"/>
      <c r="H436" s="115"/>
      <c r="I436" s="115"/>
      <c r="J436" s="115"/>
      <c r="K436" s="115"/>
      <c r="L436" s="115"/>
      <c r="M436" s="115"/>
      <c r="N436" s="26"/>
      <c r="O436" s="13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17"/>
      <c r="B437" s="123"/>
      <c r="C437" s="123"/>
      <c r="D437" s="123"/>
      <c r="H437" s="115"/>
      <c r="I437" s="115"/>
      <c r="J437" s="115"/>
      <c r="K437" s="115"/>
      <c r="L437" s="115"/>
      <c r="M437" s="115"/>
      <c r="N437" s="26"/>
      <c r="O437" s="13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17"/>
      <c r="B438" s="123"/>
      <c r="C438" s="123"/>
      <c r="D438" s="123"/>
      <c r="H438" s="115"/>
      <c r="I438" s="115"/>
      <c r="J438" s="115"/>
      <c r="K438" s="115"/>
      <c r="L438" s="115"/>
      <c r="M438" s="115"/>
      <c r="N438" s="26"/>
      <c r="O438" s="13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17"/>
      <c r="B439" s="123"/>
      <c r="C439" s="123"/>
      <c r="D439" s="123"/>
      <c r="H439" s="115"/>
      <c r="I439" s="115"/>
      <c r="J439" s="115"/>
      <c r="K439" s="115"/>
      <c r="L439" s="115"/>
      <c r="M439" s="115"/>
      <c r="N439" s="26"/>
      <c r="O439" s="1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17"/>
      <c r="B440" s="123"/>
      <c r="C440" s="123"/>
      <c r="D440" s="123"/>
      <c r="H440" s="115"/>
      <c r="I440" s="115"/>
      <c r="J440" s="115"/>
      <c r="K440" s="115"/>
      <c r="L440" s="115"/>
      <c r="M440" s="115"/>
      <c r="N440" s="26"/>
      <c r="O440" s="1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17"/>
      <c r="B441" s="123"/>
      <c r="C441" s="123"/>
      <c r="D441" s="123"/>
      <c r="H441" s="115"/>
      <c r="I441" s="115"/>
      <c r="J441" s="115"/>
      <c r="K441" s="115"/>
      <c r="L441" s="115"/>
      <c r="M441" s="115"/>
      <c r="N441" s="17"/>
      <c r="O441" s="13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17"/>
      <c r="B442" s="123"/>
      <c r="C442" s="123"/>
      <c r="D442" s="123"/>
      <c r="N442" s="26"/>
      <c r="O442" s="13"/>
      <c r="AE442" s="127"/>
      <c r="AF442" s="29"/>
    </row>
    <row r="443" spans="1:32" ht="19.5" x14ac:dyDescent="0.4">
      <c r="A443" s="117"/>
      <c r="B443" s="123"/>
      <c r="C443" s="123"/>
      <c r="D443" s="123"/>
      <c r="H443" s="115"/>
      <c r="I443" s="115"/>
      <c r="J443" s="115"/>
      <c r="K443" s="115"/>
      <c r="L443" s="115"/>
      <c r="M443" s="115"/>
      <c r="N443" s="17"/>
      <c r="O443" s="13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17"/>
      <c r="B444" s="123"/>
      <c r="C444" s="123"/>
      <c r="D444" s="123"/>
      <c r="N444" s="26"/>
      <c r="O444" s="13"/>
      <c r="AE444" s="127"/>
      <c r="AF444" s="29"/>
    </row>
    <row r="445" spans="1:32" ht="19.5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115"/>
      <c r="N445" s="17"/>
      <c r="O445" s="13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115"/>
      <c r="N446" s="26"/>
      <c r="O446" s="13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17"/>
      <c r="B447" s="123"/>
      <c r="C447" s="123"/>
      <c r="D447" s="123"/>
      <c r="H447" s="115"/>
      <c r="I447" s="115"/>
      <c r="J447" s="115"/>
      <c r="K447" s="115"/>
      <c r="L447" s="115"/>
      <c r="M447" s="115"/>
      <c r="N447" s="17"/>
      <c r="O447" s="13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17"/>
      <c r="B448" s="123"/>
      <c r="C448" s="123"/>
      <c r="D448" s="123"/>
      <c r="H448" s="115"/>
      <c r="I448" s="115"/>
      <c r="J448" s="115"/>
      <c r="K448" s="115"/>
      <c r="L448" s="115"/>
      <c r="M448" s="115"/>
      <c r="N448" s="26"/>
      <c r="O448" s="13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17"/>
      <c r="B449" s="123"/>
      <c r="C449" s="123"/>
      <c r="D449" s="123"/>
      <c r="H449" s="115"/>
      <c r="I449" s="115"/>
      <c r="J449" s="115"/>
      <c r="K449" s="115"/>
      <c r="L449" s="115"/>
      <c r="M449" s="115"/>
      <c r="N449" s="17"/>
      <c r="O449" s="13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17"/>
      <c r="B450" s="123"/>
      <c r="C450" s="123"/>
      <c r="D450" s="123"/>
      <c r="H450" s="115"/>
      <c r="I450" s="115"/>
      <c r="J450" s="115"/>
      <c r="K450" s="115"/>
      <c r="L450" s="115"/>
      <c r="M450" s="115"/>
      <c r="N450" s="26"/>
      <c r="O450" s="13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17"/>
      <c r="B451" s="123"/>
      <c r="C451" s="123"/>
      <c r="D451" s="123"/>
      <c r="H451" s="115"/>
      <c r="I451" s="115"/>
      <c r="J451" s="115"/>
      <c r="K451" s="115"/>
      <c r="L451" s="115"/>
      <c r="M451" s="115"/>
      <c r="N451" s="17"/>
      <c r="O451" s="13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17"/>
      <c r="B452" s="123"/>
      <c r="C452" s="123"/>
      <c r="D452" s="123"/>
      <c r="H452" s="115"/>
      <c r="I452" s="115"/>
      <c r="J452" s="115"/>
      <c r="K452" s="115"/>
      <c r="L452" s="115"/>
      <c r="M452" s="115"/>
      <c r="N452" s="17"/>
      <c r="O452" s="13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17"/>
      <c r="B453" s="123"/>
      <c r="C453" s="123"/>
      <c r="D453" s="123"/>
      <c r="H453" s="115"/>
      <c r="I453" s="115"/>
      <c r="J453" s="115"/>
      <c r="K453" s="115"/>
      <c r="L453" s="115"/>
      <c r="M453" s="115"/>
      <c r="N453" s="17"/>
      <c r="O453" s="13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17"/>
      <c r="B454" s="123"/>
      <c r="C454" s="123"/>
      <c r="D454" s="123"/>
      <c r="H454" s="115"/>
      <c r="I454" s="115"/>
      <c r="J454" s="115"/>
      <c r="K454" s="115"/>
      <c r="L454" s="115"/>
      <c r="M454" s="115"/>
      <c r="N454" s="26"/>
      <c r="O454" s="13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17"/>
      <c r="B455" s="123"/>
      <c r="C455" s="123"/>
      <c r="D455" s="123"/>
      <c r="N455" s="26"/>
      <c r="O455" s="13"/>
      <c r="AE455" s="127"/>
      <c r="AF455" s="29"/>
    </row>
    <row r="456" spans="1:32" ht="19.5" x14ac:dyDescent="0.4">
      <c r="A456" s="117"/>
      <c r="B456" s="123"/>
      <c r="C456" s="123"/>
      <c r="D456" s="123"/>
      <c r="H456" s="115"/>
      <c r="I456" s="115"/>
      <c r="J456" s="115"/>
      <c r="K456" s="115"/>
      <c r="L456" s="115"/>
      <c r="M456" s="115"/>
      <c r="N456" s="26"/>
      <c r="O456" s="13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17"/>
      <c r="B457" s="123"/>
      <c r="C457" s="123"/>
      <c r="D457" s="123"/>
      <c r="H457" s="115"/>
      <c r="I457" s="115"/>
      <c r="J457" s="115"/>
      <c r="K457" s="115"/>
      <c r="L457" s="115"/>
      <c r="M457" s="115"/>
      <c r="N457" s="26"/>
      <c r="O457" s="13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17"/>
      <c r="B458" s="123"/>
      <c r="C458" s="123"/>
      <c r="D458" s="123"/>
      <c r="H458" s="115"/>
      <c r="I458" s="115"/>
      <c r="J458" s="115"/>
      <c r="K458" s="115"/>
      <c r="L458" s="115"/>
      <c r="M458" s="115"/>
      <c r="N458" s="17"/>
      <c r="O458" s="13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17"/>
      <c r="B459" s="123"/>
      <c r="C459" s="123"/>
      <c r="D459" s="123"/>
      <c r="H459" s="115"/>
      <c r="I459" s="115"/>
      <c r="J459" s="115"/>
      <c r="K459" s="115"/>
      <c r="L459" s="115"/>
      <c r="M459" s="115"/>
      <c r="N459" s="26"/>
      <c r="O459" s="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17"/>
      <c r="B460" s="123"/>
      <c r="C460" s="123"/>
      <c r="D460" s="123"/>
      <c r="H460" s="115"/>
      <c r="I460" s="115"/>
      <c r="J460" s="115"/>
      <c r="K460" s="115"/>
      <c r="L460" s="115"/>
      <c r="M460" s="115"/>
      <c r="N460" s="17"/>
      <c r="O460" s="1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17"/>
      <c r="B461" s="123"/>
      <c r="C461" s="123"/>
      <c r="D461" s="123"/>
      <c r="H461" s="115"/>
      <c r="I461" s="115"/>
      <c r="J461" s="115"/>
      <c r="K461" s="115"/>
      <c r="L461" s="115"/>
      <c r="M461" s="115"/>
      <c r="N461" s="26"/>
      <c r="O461" s="13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17"/>
      <c r="B462" s="123"/>
      <c r="C462" s="123"/>
      <c r="D462" s="123"/>
      <c r="N462" s="26"/>
      <c r="O462" s="13"/>
      <c r="AE462" s="127"/>
      <c r="AF462" s="29"/>
    </row>
    <row r="463" spans="1:32" ht="19.5" x14ac:dyDescent="0.4">
      <c r="A463" s="117"/>
      <c r="B463" s="123"/>
      <c r="C463" s="123"/>
      <c r="D463" s="123"/>
      <c r="N463" s="26"/>
      <c r="O463" s="13"/>
      <c r="AE463" s="127"/>
      <c r="AF463" s="29"/>
    </row>
    <row r="464" spans="1:32" ht="19.5" x14ac:dyDescent="0.4">
      <c r="A464" s="117"/>
      <c r="B464" s="123"/>
      <c r="C464" s="123"/>
      <c r="D464" s="123"/>
      <c r="H464" s="115"/>
      <c r="I464" s="115"/>
      <c r="J464" s="115"/>
      <c r="K464" s="115"/>
      <c r="L464" s="115"/>
      <c r="M464" s="115"/>
      <c r="N464" s="26"/>
      <c r="O464" s="13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17"/>
      <c r="B465" s="123"/>
      <c r="C465" s="123"/>
      <c r="D465" s="123"/>
      <c r="H465" s="115"/>
      <c r="I465" s="115"/>
      <c r="J465" s="115"/>
      <c r="K465" s="115"/>
      <c r="L465" s="115"/>
      <c r="M465" s="115"/>
      <c r="N465" s="26"/>
      <c r="O465" s="13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17"/>
      <c r="B466" s="123"/>
      <c r="C466" s="123"/>
      <c r="D466" s="123"/>
      <c r="H466" s="115"/>
      <c r="I466" s="115"/>
      <c r="J466" s="115"/>
      <c r="K466" s="115"/>
      <c r="L466" s="115"/>
      <c r="M466" s="115"/>
      <c r="N466" s="17"/>
      <c r="O466" s="13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17"/>
      <c r="B467" s="123"/>
      <c r="C467" s="123"/>
      <c r="D467" s="123"/>
      <c r="N467" s="26"/>
      <c r="O467" s="13"/>
      <c r="AE467" s="127"/>
      <c r="AF467" s="29"/>
    </row>
    <row r="468" spans="1:32" ht="19.5" x14ac:dyDescent="0.4">
      <c r="A468" s="117"/>
      <c r="B468" s="123"/>
      <c r="C468" s="123"/>
      <c r="D468" s="123"/>
      <c r="H468" s="115"/>
      <c r="I468" s="115"/>
      <c r="J468" s="115"/>
      <c r="K468" s="115"/>
      <c r="L468" s="115"/>
      <c r="M468" s="115"/>
      <c r="N468" s="26"/>
      <c r="O468" s="13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17"/>
      <c r="B469" s="123"/>
      <c r="C469" s="123"/>
      <c r="D469" s="123"/>
      <c r="H469" s="115"/>
      <c r="I469" s="115"/>
      <c r="J469" s="115"/>
      <c r="K469" s="115"/>
      <c r="L469" s="115"/>
      <c r="M469" s="115"/>
      <c r="N469" s="26"/>
      <c r="O469" s="13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17"/>
      <c r="B470" s="123"/>
      <c r="C470" s="123"/>
      <c r="D470" s="123"/>
      <c r="N470" s="26"/>
      <c r="O470" s="13"/>
      <c r="AE470" s="127"/>
      <c r="AF470" s="29"/>
    </row>
    <row r="471" spans="1:32" ht="19.5" x14ac:dyDescent="0.4">
      <c r="A471" s="117"/>
      <c r="B471" s="123"/>
      <c r="C471" s="123"/>
      <c r="D471" s="123"/>
      <c r="H471" s="115"/>
      <c r="I471" s="115"/>
      <c r="J471" s="115"/>
      <c r="K471" s="115"/>
      <c r="L471" s="115"/>
      <c r="M471" s="115"/>
      <c r="N471" s="26"/>
      <c r="O471" s="13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17"/>
      <c r="B472" s="123"/>
      <c r="C472" s="123"/>
      <c r="D472" s="123"/>
      <c r="N472" s="26"/>
      <c r="O472" s="13"/>
      <c r="AE472" s="127"/>
      <c r="AF472" s="29"/>
    </row>
    <row r="473" spans="1:32" ht="19.5" x14ac:dyDescent="0.4">
      <c r="A473" s="117"/>
      <c r="B473" s="123"/>
      <c r="C473" s="123"/>
      <c r="D473" s="123"/>
      <c r="H473" s="115"/>
      <c r="I473" s="115"/>
      <c r="J473" s="115"/>
      <c r="K473" s="115"/>
      <c r="L473" s="115"/>
      <c r="M473" s="115"/>
      <c r="N473" s="17"/>
      <c r="O473" s="13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17"/>
      <c r="B474" s="123"/>
      <c r="C474" s="123"/>
      <c r="D474" s="123"/>
      <c r="H474" s="115"/>
      <c r="I474" s="115"/>
      <c r="J474" s="115"/>
      <c r="K474" s="115"/>
      <c r="L474" s="115"/>
      <c r="M474" s="115"/>
      <c r="N474" s="26"/>
      <c r="O474" s="13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17"/>
      <c r="B475" s="123"/>
      <c r="C475" s="123"/>
      <c r="D475" s="123"/>
      <c r="H475" s="115"/>
      <c r="I475" s="115"/>
      <c r="J475" s="115"/>
      <c r="K475" s="115"/>
      <c r="L475" s="115"/>
      <c r="M475" s="115"/>
      <c r="N475" s="26"/>
      <c r="O475" s="13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17"/>
      <c r="B476" s="123"/>
      <c r="C476" s="123"/>
      <c r="D476" s="123"/>
      <c r="H476" s="115"/>
      <c r="I476" s="115"/>
      <c r="J476" s="115"/>
      <c r="K476" s="115"/>
      <c r="L476" s="115"/>
      <c r="M476" s="115"/>
      <c r="N476" s="26"/>
      <c r="O476" s="13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17"/>
      <c r="B477" s="123"/>
      <c r="C477" s="123"/>
      <c r="D477" s="123"/>
      <c r="H477" s="115"/>
      <c r="I477" s="115"/>
      <c r="J477" s="115"/>
      <c r="K477" s="115"/>
      <c r="L477" s="115"/>
      <c r="M477" s="115"/>
      <c r="N477" s="26"/>
      <c r="O477" s="13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17"/>
      <c r="B478" s="123"/>
      <c r="C478" s="123"/>
      <c r="D478" s="123"/>
      <c r="H478" s="115"/>
      <c r="I478" s="115"/>
      <c r="J478" s="115"/>
      <c r="K478" s="115"/>
      <c r="L478" s="115"/>
      <c r="M478" s="115"/>
      <c r="N478" s="26"/>
      <c r="O478" s="13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17"/>
      <c r="B479" s="123"/>
      <c r="C479" s="123"/>
      <c r="D479" s="123"/>
      <c r="N479" s="26"/>
      <c r="O479" s="13"/>
      <c r="AE479" s="127"/>
      <c r="AF479" s="29"/>
    </row>
    <row r="480" spans="1:32" ht="19.5" x14ac:dyDescent="0.4">
      <c r="A480" s="117"/>
      <c r="B480" s="123"/>
      <c r="C480" s="123"/>
      <c r="D480" s="123"/>
      <c r="H480" s="115"/>
      <c r="I480" s="115"/>
      <c r="J480" s="115"/>
      <c r="K480" s="115"/>
      <c r="L480" s="115"/>
      <c r="M480" s="115"/>
      <c r="N480" s="26"/>
      <c r="O480" s="13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17"/>
      <c r="B481" s="123"/>
      <c r="C481" s="123"/>
      <c r="D481" s="123"/>
      <c r="N481" s="26"/>
      <c r="O481" s="13"/>
      <c r="AE481" s="127"/>
      <c r="AF481" s="29"/>
    </row>
    <row r="482" spans="1:32" ht="19.5" x14ac:dyDescent="0.4">
      <c r="A482" s="117"/>
      <c r="B482" s="123"/>
      <c r="C482" s="123"/>
      <c r="D482" s="123"/>
      <c r="N482" s="26"/>
      <c r="O482" s="13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26"/>
      <c r="O483" s="13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26"/>
      <c r="O484" s="13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26"/>
      <c r="O485" s="13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26"/>
      <c r="O486" s="13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26"/>
      <c r="O487" s="13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26"/>
      <c r="O488" s="13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26"/>
      <c r="O489" s="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26"/>
      <c r="O490" s="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26"/>
      <c r="O491" s="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26"/>
      <c r="O492" s="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26"/>
      <c r="O493" s="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26"/>
      <c r="O494" s="15"/>
      <c r="AE494" s="127"/>
      <c r="AF494" s="29"/>
    </row>
    <row r="495" spans="1:32" x14ac:dyDescent="0.4">
      <c r="N495" s="26"/>
      <c r="O495" s="15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26"/>
      <c r="O496" s="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26"/>
      <c r="O497" s="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26"/>
      <c r="O498" s="15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26"/>
      <c r="O499" s="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26"/>
      <c r="O500" s="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17"/>
      <c r="O501" s="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26"/>
      <c r="O502" s="15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26"/>
      <c r="O503" s="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17"/>
      <c r="O504" s="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26"/>
      <c r="O505" s="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26"/>
      <c r="O506" s="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26"/>
      <c r="O507" s="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26"/>
      <c r="O508" s="15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26"/>
      <c r="O509" s="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N2:O194">
    <sortCondition ref="N2:N194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2025-05-22T06:28:04Z</cp:lastPrinted>
  <dcterms:created xsi:type="dcterms:W3CDTF">2020-05-08T06:29:04Z</dcterms:created>
  <dcterms:modified xsi:type="dcterms:W3CDTF">2025-05-23T01:54:59Z</dcterms:modified>
</cp:coreProperties>
</file>