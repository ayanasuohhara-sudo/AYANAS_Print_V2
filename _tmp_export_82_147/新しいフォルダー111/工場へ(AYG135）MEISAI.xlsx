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D6BBC8C3-DF8C-47BA-883C-2EAF00B8D6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3" l="1"/>
  <c r="D26" i="3"/>
  <c r="C26" i="3"/>
  <c r="B26" i="3"/>
  <c r="AA200" i="3"/>
  <c r="AA199" i="3"/>
  <c r="Z199" i="3"/>
  <c r="AA192" i="3"/>
  <c r="Z192" i="3"/>
  <c r="AA187" i="3"/>
  <c r="Z187" i="3"/>
  <c r="AA173" i="3"/>
  <c r="Z173" i="3"/>
  <c r="AA171" i="3"/>
  <c r="Z171" i="3"/>
  <c r="AA169" i="3"/>
  <c r="Z169" i="3"/>
  <c r="AA146" i="3"/>
  <c r="Z146" i="3"/>
  <c r="AA129" i="3"/>
  <c r="Z129" i="3"/>
  <c r="AA126" i="3"/>
  <c r="Z126" i="3"/>
  <c r="AA113" i="3"/>
  <c r="Z113" i="3"/>
  <c r="AA107" i="3"/>
  <c r="Z107" i="3"/>
  <c r="AA71" i="3"/>
  <c r="Z71" i="3"/>
  <c r="AA55" i="3"/>
  <c r="Z55" i="3"/>
  <c r="AA44" i="3"/>
  <c r="Z44" i="3"/>
  <c r="AA41" i="3"/>
  <c r="Z41" i="3"/>
  <c r="AA37" i="3"/>
  <c r="Z37" i="3"/>
  <c r="AA27" i="3"/>
  <c r="Z27" i="3"/>
  <c r="AA21" i="3"/>
  <c r="Z21" i="3"/>
  <c r="AA17" i="3"/>
  <c r="Z17" i="3"/>
  <c r="AA13" i="3"/>
  <c r="Z13" i="3"/>
  <c r="AA8" i="3"/>
  <c r="Z8" i="3"/>
  <c r="AA6" i="3"/>
  <c r="Z6" i="3"/>
  <c r="AA4" i="3"/>
  <c r="Z4" i="3"/>
  <c r="Z200" i="3" s="1"/>
  <c r="U118" i="1"/>
  <c r="A241" i="1" l="1"/>
  <c r="BB1081" i="3"/>
  <c r="AZ1081" i="3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BZ1363" i="3"/>
  <c r="BY1363" i="3"/>
  <c r="BZ1358" i="3"/>
  <c r="BY1358" i="3"/>
  <c r="BZ1356" i="3"/>
  <c r="BY1356" i="3"/>
  <c r="BZ1342" i="3"/>
  <c r="BY1342" i="3"/>
  <c r="BZ1324" i="3"/>
  <c r="BY1324" i="3"/>
  <c r="BZ1313" i="3"/>
  <c r="BY1313" i="3"/>
  <c r="BZ1279" i="3"/>
  <c r="BY1279" i="3"/>
  <c r="BZ1266" i="3"/>
  <c r="BY1266" i="3"/>
  <c r="BZ1228" i="3"/>
  <c r="BY1228" i="3"/>
  <c r="BZ1219" i="3"/>
  <c r="BY1219" i="3"/>
  <c r="BZ1205" i="3"/>
  <c r="BY1205" i="3"/>
  <c r="BZ1172" i="3"/>
  <c r="BY1172" i="3"/>
  <c r="BZ1119" i="3"/>
  <c r="BY1119" i="3"/>
  <c r="BZ1107" i="3"/>
  <c r="BY1107" i="3"/>
  <c r="BZ1084" i="3"/>
  <c r="BY1084" i="3"/>
  <c r="BZ1069" i="3"/>
  <c r="BY1069" i="3"/>
  <c r="BZ1045" i="3"/>
  <c r="BY1045" i="3"/>
  <c r="BZ1027" i="3"/>
  <c r="BY1027" i="3"/>
  <c r="BZ1007" i="3"/>
  <c r="BY1007" i="3"/>
  <c r="BZ993" i="3"/>
  <c r="BY993" i="3"/>
  <c r="BZ984" i="3"/>
  <c r="BY984" i="3"/>
  <c r="BZ910" i="3"/>
  <c r="BY910" i="3"/>
  <c r="B61" i="1"/>
  <c r="A151" i="1"/>
  <c r="AB43" i="1"/>
  <c r="BY1364" i="3" l="1"/>
  <c r="BZ1364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<sst xmlns="http://schemas.openxmlformats.org/spreadsheetml/2006/main" count="2873" uniqueCount="400">
  <si>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</si>
  <si>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</si>
  <si>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</si>
  <si>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</si>
  <si>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</si>
  <si>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</si>
  <si>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</si>
  <si>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</si>
  <si>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</si>
  <si>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</si>
  <si>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</si>
  <si>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</si>
  <si>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</si>
  <si>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</si>
  <si>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</si>
  <si>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</si>
  <si>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</si>
  <si>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</si>
  <si>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</si>
  <si>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</si>
  <si>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</si>
  <si>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</si>
  <si>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</si>
  <si>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</si>
  <si>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</si>
  <si>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</si>
  <si>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</si>
  <si>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</si>
  <si>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</si>
  <si>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</si>
  <si>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</si>
  <si>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</si>
  <si>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</si>
  <si>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</si>
  <si>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</si>
  <si>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</si>
  <si>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</si>
  <si>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</si>
  <si>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</si>
  <si>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</si>
  <si>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</si>
  <si>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</si>
  <si>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</si>
  <si>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</si>
  <si>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</si>
  <si>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</si>
  <si>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</si>
  <si>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</si>
  <si>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</si>
  <si>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</si>
  <si>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</si>
  <si>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</si>
  <si>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</si>
  <si>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</si>
  <si>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</si>
  <si>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</si>
  <si>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</si>
  <si>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</si>
  <si>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</si>
  <si>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</si>
  <si>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</si>
  <si>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</si>
  <si>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</si>
  <si>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</si>
  <si>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</si>
  <si>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</si>
  <si>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</si>
  <si>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</si>
  <si>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</si>
  <si>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</si>
  <si>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</si>
  <si>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</si>
  <si>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</si>
  <si>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</si>
  <si>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</si>
  <si>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</si>
  <si>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</si>
  <si>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</si>
  <si>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</si>
  <si>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</si>
  <si>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</si>
  <si>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</si>
  <si>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</si>
  <si>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</si>
  <si>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</si>
  <si>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</si>
  <si>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</si>
  <si>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</si>
  <si>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</si>
  <si>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</si>
  <si>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</si>
  <si>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</si>
  <si>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</si>
  <si>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</si>
  <si>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</si>
  <si>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</si>
  <si>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</si>
  <si>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</si>
  <si>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</si>
  <si>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</si>
  <si>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</si>
  <si>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</si>
  <si>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</si>
  <si>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</si>
  <si>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</si>
  <si>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</si>
  <si>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</si>
  <si>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</si>
  <si>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</si>
  <si>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</si>
  <si>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</si>
  <si>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</si>
  <si>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</si>
  <si>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</si>
  <si>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</si>
  <si>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</si>
  <si>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</si>
  <si>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</si>
  <si>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</si>
  <si>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</si>
  <si>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</si>
  <si>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</si>
  <si>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</si>
  <si>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</si>
  <si>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</si>
  <si>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</si>
  <si>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</si>
  <si>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</si>
  <si>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</si>
  <si>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</si>
  <si>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</si>
  <si>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</si>
  <si>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</si>
  <si>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</si>
  <si>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</si>
  <si>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</si>
  <si>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</si>
  <si>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</si>
  <si>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</si>
  <si>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</si>
  <si>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</si>
  <si>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</si>
  <si>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</si>
  <si>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</si>
  <si>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</si>
  <si>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</si>
  <si>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</si>
  <si>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</si>
  <si>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</si>
  <si>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</si>
  <si>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</si>
  <si>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</si>
  <si>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</si>
  <si>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</si>
  <si>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</si>
  <si>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</si>
  <si>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</si>
  <si>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</si>
  <si>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</si>
  <si>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</si>
  <si>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</si>
  <si>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</si>
  <si>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</si>
  <si>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</si>
  <si>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</si>
  <si>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</si>
  <si>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</si>
  <si>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</si>
  <si>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</si>
  <si>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</si>
  <si>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</si>
  <si>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</si>
  <si>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</si>
  <si>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</si>
  <si>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</si>
  <si>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重量</t>
    <rPh sb="0" eb="2">
      <t>ジュウリョウ</t>
    </rPh>
    <phoneticPr fontId="1"/>
  </si>
  <si>
    <t>AYG108</t>
    <phoneticPr fontId="1"/>
  </si>
  <si>
    <t>AYG119</t>
    <phoneticPr fontId="1"/>
  </si>
  <si>
    <t>S</t>
    <phoneticPr fontId="1"/>
  </si>
  <si>
    <t>M032</t>
    <phoneticPr fontId="1"/>
  </si>
  <si>
    <t>A913</t>
    <phoneticPr fontId="1"/>
  </si>
  <si>
    <t>A335</t>
    <phoneticPr fontId="1"/>
  </si>
  <si>
    <t>A700</t>
    <phoneticPr fontId="1"/>
  </si>
  <si>
    <t>A545</t>
    <phoneticPr fontId="1"/>
  </si>
  <si>
    <t>A328</t>
    <phoneticPr fontId="1"/>
  </si>
  <si>
    <t>M037</t>
    <phoneticPr fontId="1"/>
  </si>
  <si>
    <t>A680</t>
    <phoneticPr fontId="1"/>
  </si>
  <si>
    <t>A655</t>
    <phoneticPr fontId="1"/>
  </si>
  <si>
    <t>M078</t>
    <phoneticPr fontId="1"/>
  </si>
  <si>
    <t>M079</t>
    <phoneticPr fontId="1"/>
  </si>
  <si>
    <t>A505</t>
    <phoneticPr fontId="1"/>
  </si>
  <si>
    <t>A732</t>
    <phoneticPr fontId="1"/>
  </si>
  <si>
    <t>A330</t>
    <phoneticPr fontId="1"/>
  </si>
  <si>
    <t>2026/3/25 個数</t>
  </si>
  <si>
    <t>2026/4/8 個数</t>
  </si>
  <si>
    <t>2026/4/11 個数</t>
  </si>
  <si>
    <t>AYG134</t>
    <phoneticPr fontId="1"/>
  </si>
  <si>
    <t>A645</t>
    <phoneticPr fontId="1"/>
  </si>
  <si>
    <t>E</t>
    <phoneticPr fontId="1"/>
  </si>
  <si>
    <t>M070</t>
    <phoneticPr fontId="1"/>
  </si>
  <si>
    <t>2026/3/30 個数</t>
  </si>
  <si>
    <t>2026/4/1 個数</t>
  </si>
  <si>
    <t>2026/4/3 個数</t>
  </si>
  <si>
    <t>2026/4/5 個数</t>
  </si>
  <si>
    <t>2026/4/6 個数</t>
  </si>
  <si>
    <t>2026/4/7 個数</t>
  </si>
  <si>
    <t>2026/4/13 個数</t>
  </si>
  <si>
    <t>2026/4/21 個数</t>
  </si>
  <si>
    <t>08030089</t>
    <phoneticPr fontId="1"/>
  </si>
  <si>
    <t>P</t>
    <phoneticPr fontId="1"/>
  </si>
  <si>
    <t>08030114</t>
    <phoneticPr fontId="1"/>
  </si>
  <si>
    <t>08030117</t>
    <phoneticPr fontId="1"/>
  </si>
  <si>
    <t>08030154</t>
    <phoneticPr fontId="1"/>
  </si>
  <si>
    <t>08030150</t>
    <phoneticPr fontId="1"/>
  </si>
  <si>
    <t>M100</t>
    <phoneticPr fontId="1"/>
  </si>
  <si>
    <t>08030151</t>
    <phoneticPr fontId="1"/>
  </si>
  <si>
    <t>08030152</t>
    <phoneticPr fontId="1"/>
  </si>
  <si>
    <t>08030153</t>
    <phoneticPr fontId="1"/>
  </si>
  <si>
    <t>08030167</t>
    <phoneticPr fontId="1"/>
  </si>
  <si>
    <t>A523</t>
    <phoneticPr fontId="1"/>
  </si>
  <si>
    <t>08030182</t>
    <phoneticPr fontId="1"/>
  </si>
  <si>
    <t>08030183</t>
    <phoneticPr fontId="1"/>
  </si>
  <si>
    <t>08030185</t>
    <phoneticPr fontId="1"/>
  </si>
  <si>
    <t>08030186</t>
    <phoneticPr fontId="1"/>
  </si>
  <si>
    <t>08030165</t>
  </si>
  <si>
    <t>08030166</t>
  </si>
  <si>
    <t>08030155</t>
    <phoneticPr fontId="1"/>
  </si>
  <si>
    <t>08030156</t>
  </si>
  <si>
    <t>08030157</t>
  </si>
  <si>
    <t>08030158</t>
  </si>
  <si>
    <t>08030159</t>
  </si>
  <si>
    <t>08030160</t>
  </si>
  <si>
    <t>08030161</t>
  </si>
  <si>
    <t>08030162</t>
  </si>
  <si>
    <t>08030163</t>
  </si>
  <si>
    <t>08030164</t>
  </si>
  <si>
    <t>08030087</t>
    <phoneticPr fontId="1"/>
  </si>
  <si>
    <t>08030103</t>
    <phoneticPr fontId="1"/>
  </si>
  <si>
    <t>08030194</t>
    <phoneticPr fontId="1"/>
  </si>
  <si>
    <t>A622</t>
    <phoneticPr fontId="1"/>
  </si>
  <si>
    <t>08030118</t>
    <phoneticPr fontId="1"/>
  </si>
  <si>
    <t>08030119</t>
    <phoneticPr fontId="1"/>
  </si>
  <si>
    <t>08030120</t>
    <phoneticPr fontId="1"/>
  </si>
  <si>
    <t>08030121</t>
    <phoneticPr fontId="1"/>
  </si>
  <si>
    <t>08030122</t>
    <phoneticPr fontId="1"/>
  </si>
  <si>
    <t>08030123</t>
  </si>
  <si>
    <t>08030124</t>
  </si>
  <si>
    <t>08030125</t>
  </si>
  <si>
    <t>08030126</t>
  </si>
  <si>
    <t>08030127</t>
  </si>
  <si>
    <t>08030128</t>
  </si>
  <si>
    <t>08030129</t>
  </si>
  <si>
    <t>08030193</t>
    <phoneticPr fontId="1"/>
  </si>
  <si>
    <t>A623</t>
    <phoneticPr fontId="1"/>
  </si>
  <si>
    <t>08030195</t>
    <phoneticPr fontId="1"/>
  </si>
  <si>
    <t>08030196</t>
    <phoneticPr fontId="1"/>
  </si>
  <si>
    <t>08030130</t>
    <phoneticPr fontId="1"/>
  </si>
  <si>
    <t>08030131</t>
  </si>
  <si>
    <t>08030132</t>
  </si>
  <si>
    <t>08030133</t>
  </si>
  <si>
    <t>08030134</t>
  </si>
  <si>
    <t>08030135</t>
  </si>
  <si>
    <t>08030136</t>
  </si>
  <si>
    <t>08030137</t>
  </si>
  <si>
    <t>08030138</t>
  </si>
  <si>
    <t>08030139</t>
  </si>
  <si>
    <t>08030140</t>
  </si>
  <si>
    <t>08030141</t>
  </si>
  <si>
    <t>08030201</t>
    <phoneticPr fontId="1"/>
  </si>
  <si>
    <t>08030200</t>
    <phoneticPr fontId="1"/>
  </si>
  <si>
    <t>08010573</t>
    <phoneticPr fontId="1"/>
  </si>
  <si>
    <t>08020272</t>
    <phoneticPr fontId="1"/>
  </si>
  <si>
    <t>08020432</t>
    <phoneticPr fontId="1"/>
  </si>
  <si>
    <t>08020434</t>
    <phoneticPr fontId="1"/>
  </si>
  <si>
    <t>08020439</t>
    <phoneticPr fontId="1"/>
  </si>
  <si>
    <t>08020440</t>
    <phoneticPr fontId="1"/>
  </si>
  <si>
    <t>08020563</t>
    <phoneticPr fontId="1"/>
  </si>
  <si>
    <t>08020564</t>
    <phoneticPr fontId="1"/>
  </si>
  <si>
    <t>08020567</t>
    <phoneticPr fontId="1"/>
  </si>
  <si>
    <t>08020568</t>
    <phoneticPr fontId="1"/>
  </si>
  <si>
    <t>08020571</t>
    <phoneticPr fontId="1"/>
  </si>
  <si>
    <t>08020628</t>
    <phoneticPr fontId="1"/>
  </si>
  <si>
    <t>08020629</t>
    <phoneticPr fontId="1"/>
  </si>
  <si>
    <t>08020630</t>
    <phoneticPr fontId="1"/>
  </si>
  <si>
    <t>08030002</t>
    <phoneticPr fontId="1"/>
  </si>
  <si>
    <t>08030003</t>
    <phoneticPr fontId="1"/>
  </si>
  <si>
    <t>08030004</t>
    <phoneticPr fontId="1"/>
  </si>
  <si>
    <t>08030020</t>
    <phoneticPr fontId="1"/>
  </si>
  <si>
    <t>08030021</t>
    <phoneticPr fontId="1"/>
  </si>
  <si>
    <t>08030029</t>
    <phoneticPr fontId="1"/>
  </si>
  <si>
    <t>08030184</t>
    <phoneticPr fontId="1"/>
  </si>
  <si>
    <t>08030226</t>
    <phoneticPr fontId="1"/>
  </si>
  <si>
    <t>08030227</t>
    <phoneticPr fontId="1"/>
  </si>
  <si>
    <t>08030228</t>
    <phoneticPr fontId="1"/>
  </si>
  <si>
    <t>08030229</t>
    <phoneticPr fontId="1"/>
  </si>
  <si>
    <t>08030230</t>
    <phoneticPr fontId="1"/>
  </si>
  <si>
    <t>08030231</t>
    <phoneticPr fontId="1"/>
  </si>
  <si>
    <t>08030232</t>
    <phoneticPr fontId="1"/>
  </si>
  <si>
    <t>08030233</t>
    <phoneticPr fontId="1"/>
  </si>
  <si>
    <t>08030234</t>
    <phoneticPr fontId="1"/>
  </si>
  <si>
    <t>08030235</t>
    <phoneticPr fontId="1"/>
  </si>
  <si>
    <t>08020478</t>
    <phoneticPr fontId="1"/>
  </si>
  <si>
    <t>08020632</t>
    <phoneticPr fontId="1"/>
  </si>
  <si>
    <t>08030081</t>
    <phoneticPr fontId="1"/>
  </si>
  <si>
    <t>08030198</t>
    <phoneticPr fontId="1"/>
  </si>
  <si>
    <t>08030199</t>
    <phoneticPr fontId="1"/>
  </si>
  <si>
    <t>08030224</t>
    <phoneticPr fontId="1"/>
  </si>
  <si>
    <t>08030225</t>
    <phoneticPr fontId="1"/>
  </si>
  <si>
    <t>08030236</t>
    <phoneticPr fontId="1"/>
  </si>
  <si>
    <t>08030237</t>
  </si>
  <si>
    <t>08030238</t>
  </si>
  <si>
    <t>08030239</t>
  </si>
  <si>
    <t>08030240</t>
  </si>
  <si>
    <t>08030241</t>
  </si>
  <si>
    <t>08030242</t>
  </si>
  <si>
    <t>08030243</t>
  </si>
  <si>
    <t>08030244</t>
  </si>
  <si>
    <t>08030245</t>
  </si>
  <si>
    <t>08030246</t>
  </si>
  <si>
    <t>08030247</t>
  </si>
  <si>
    <t>08030248</t>
  </si>
  <si>
    <t>08030249</t>
  </si>
  <si>
    <t>08030250</t>
  </si>
  <si>
    <t>08030251</t>
  </si>
  <si>
    <t>08020317</t>
    <phoneticPr fontId="1"/>
  </si>
  <si>
    <t>08030063</t>
    <phoneticPr fontId="1"/>
  </si>
  <si>
    <t>08030065</t>
    <phoneticPr fontId="1"/>
  </si>
  <si>
    <t>08030066</t>
    <phoneticPr fontId="1"/>
  </si>
  <si>
    <t>08030067</t>
    <phoneticPr fontId="1"/>
  </si>
  <si>
    <t>08030068</t>
    <phoneticPr fontId="1"/>
  </si>
  <si>
    <t>08030069</t>
    <phoneticPr fontId="1"/>
  </si>
  <si>
    <t>08030085</t>
    <phoneticPr fontId="1"/>
  </si>
  <si>
    <t>08030088</t>
    <phoneticPr fontId="1"/>
  </si>
  <si>
    <t>08030090</t>
    <phoneticPr fontId="1"/>
  </si>
  <si>
    <t>08030092</t>
    <phoneticPr fontId="1"/>
  </si>
  <si>
    <t>08030099</t>
    <phoneticPr fontId="1"/>
  </si>
  <si>
    <t>08030102</t>
    <phoneticPr fontId="1"/>
  </si>
  <si>
    <t>08030215</t>
    <phoneticPr fontId="1"/>
  </si>
  <si>
    <t>08030258</t>
    <phoneticPr fontId="1"/>
  </si>
  <si>
    <t>08030259</t>
    <phoneticPr fontId="1"/>
  </si>
  <si>
    <t>08030260</t>
    <phoneticPr fontId="1"/>
  </si>
  <si>
    <t>08030261</t>
    <phoneticPr fontId="1"/>
  </si>
  <si>
    <t>08030252</t>
    <phoneticPr fontId="1"/>
  </si>
  <si>
    <t>08030253</t>
  </si>
  <si>
    <t>08030254</t>
  </si>
  <si>
    <t>08030255</t>
  </si>
  <si>
    <t>08030265</t>
    <phoneticPr fontId="1"/>
  </si>
  <si>
    <t>08030266</t>
  </si>
  <si>
    <t>08030267</t>
  </si>
  <si>
    <t>08030268</t>
  </si>
  <si>
    <t>08030269</t>
  </si>
  <si>
    <t>08030270</t>
  </si>
  <si>
    <t>08030271</t>
  </si>
  <si>
    <t>08030272</t>
  </si>
  <si>
    <t>08030273</t>
  </si>
  <si>
    <t>08030274</t>
  </si>
  <si>
    <t>08030022</t>
    <phoneticPr fontId="1"/>
  </si>
  <si>
    <t>08030024</t>
    <phoneticPr fontId="1"/>
  </si>
  <si>
    <t>08030025</t>
    <phoneticPr fontId="1"/>
  </si>
  <si>
    <t>08030027</t>
    <phoneticPr fontId="1"/>
  </si>
  <si>
    <t>08030028</t>
    <phoneticPr fontId="1"/>
  </si>
  <si>
    <t>08030030</t>
    <phoneticPr fontId="1"/>
  </si>
  <si>
    <t>08030113</t>
    <phoneticPr fontId="1"/>
  </si>
  <si>
    <t>08030112</t>
    <phoneticPr fontId="1"/>
  </si>
  <si>
    <t>08030115</t>
    <phoneticPr fontId="1"/>
  </si>
  <si>
    <t>08030116</t>
    <phoneticPr fontId="1"/>
  </si>
  <si>
    <t>08030179</t>
    <phoneticPr fontId="1"/>
  </si>
  <si>
    <t>08030180</t>
    <phoneticPr fontId="1"/>
  </si>
  <si>
    <t>08030181</t>
    <phoneticPr fontId="1"/>
  </si>
  <si>
    <t>08030190</t>
    <phoneticPr fontId="1"/>
  </si>
  <si>
    <t>08030191</t>
    <phoneticPr fontId="1"/>
  </si>
  <si>
    <t>08030262</t>
    <phoneticPr fontId="1"/>
  </si>
  <si>
    <t>08030263</t>
    <phoneticPr fontId="1"/>
  </si>
  <si>
    <t>08030264</t>
    <phoneticPr fontId="1"/>
  </si>
  <si>
    <t>08030280</t>
    <phoneticPr fontId="1"/>
  </si>
  <si>
    <t>08030148</t>
    <phoneticPr fontId="1"/>
  </si>
  <si>
    <t>08030187</t>
    <phoneticPr fontId="1"/>
  </si>
  <si>
    <t>08030188</t>
    <phoneticPr fontId="1"/>
  </si>
  <si>
    <t>08030284</t>
    <phoneticPr fontId="1"/>
  </si>
  <si>
    <t>08030285</t>
    <phoneticPr fontId="1"/>
  </si>
  <si>
    <t>08030286</t>
    <phoneticPr fontId="1"/>
  </si>
  <si>
    <t>08030287</t>
    <phoneticPr fontId="1"/>
  </si>
  <si>
    <t>08030288</t>
    <phoneticPr fontId="1"/>
  </si>
  <si>
    <t>08030289</t>
    <phoneticPr fontId="1"/>
  </si>
  <si>
    <t>08030290</t>
    <phoneticPr fontId="1"/>
  </si>
  <si>
    <t>08030291</t>
    <phoneticPr fontId="1"/>
  </si>
  <si>
    <t>08030292</t>
    <phoneticPr fontId="1"/>
  </si>
  <si>
    <t>08030293</t>
    <phoneticPr fontId="1"/>
  </si>
  <si>
    <t>2026/4/9 個数</t>
  </si>
  <si>
    <t>2026/4/10 個数</t>
  </si>
  <si>
    <t>2026/4/12 個数</t>
  </si>
  <si>
    <t>2026/4/14 個数</t>
  </si>
  <si>
    <t>2026/4/15 個数</t>
  </si>
  <si>
    <t>2026/4/16 個数</t>
  </si>
  <si>
    <t>2026/4/18 個数</t>
  </si>
  <si>
    <t>2026/4/19 個数</t>
  </si>
  <si>
    <t>2026/4/22 個数</t>
  </si>
  <si>
    <t>2026/4/23 個数</t>
  </si>
  <si>
    <t>2026/4/26 個数</t>
  </si>
  <si>
    <t>2026/4/28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</si>
</sst>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9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0" borderId="0" xfId="0" applyNumberFormat="1" applyFont="1" applyAlignment="1" applyProtection="1">
      <alignment horizontal="center" vertical="center" shrinkToFit="1"/>
      <protection locked="0" hidden="1"/>
    </xf>
    <xf numFmtId="56" fontId="9" fillId="0" borderId="7" xfId="0" applyNumberFormat="1" applyFont="1" applyBorder="1">
      <alignment vertical="center"/>
    </xf>
    <xf numFmtId="56" fontId="9" fillId="0" borderId="16" xfId="0" applyNumberFormat="1" applyFont="1" applyBorder="1">
      <alignment vertical="center"/>
    </xf>
    <xf numFmtId="178" fontId="7" fillId="3" borderId="93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179" fontId="9" fillId="0" borderId="11" xfId="0" applyNumberFormat="1" applyFont="1" applyBorder="1" applyAlignment="1">
      <alignment horizontal="center" vertical="center"/>
    </xf>
    <xf numFmtId="56" fontId="9" fillId="0" borderId="94" xfId="0" applyNumberFormat="1" applyFont="1" applyBorder="1">
      <alignment vertical="center"/>
    </xf>
    <xf numFmtId="0" fontId="7" fillId="3" borderId="94" xfId="0" applyFont="1" applyFill="1" applyBorder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zoomScale="106" zoomScaleNormal="106" workbookViewId="0">
      <selection activeCell="I12" sqref="I12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196</v>
      </c>
      <c r="B1" s="24">
        <v>46084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45" t="s">
        <v>105</v>
      </c>
      <c r="Y2" s="151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52">
        <v>1</v>
      </c>
      <c r="B3" s="142">
        <v>18.600000000000001</v>
      </c>
      <c r="C3" s="85" t="s">
        <v>208</v>
      </c>
      <c r="D3" s="109" t="s">
        <v>180</v>
      </c>
      <c r="E3" s="15" t="s">
        <v>40</v>
      </c>
      <c r="F3" s="14"/>
      <c r="G3" s="12" t="s">
        <v>209</v>
      </c>
      <c r="H3" s="13"/>
      <c r="I3" s="13"/>
      <c r="J3" s="13"/>
      <c r="K3" s="13"/>
      <c r="L3" s="13"/>
      <c r="M3" s="13"/>
      <c r="N3" s="13"/>
      <c r="O3" s="13">
        <v>1</v>
      </c>
      <c r="P3" s="13">
        <v>1</v>
      </c>
      <c r="Q3" s="13"/>
      <c r="R3" s="13">
        <v>1</v>
      </c>
      <c r="S3" s="13"/>
      <c r="T3" s="25">
        <v>46123</v>
      </c>
      <c r="U3" s="13" t="s">
        <v>148</v>
      </c>
      <c r="V3">
        <v>1</v>
      </c>
      <c r="X3" s="51" t="s">
        <v>106</v>
      </c>
      <c r="Y3" s="52">
        <f>COUNTIF(U3:U27,"K")</f>
        <v>7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53"/>
      <c r="B4" s="143"/>
      <c r="C4" s="85" t="s">
        <v>210</v>
      </c>
      <c r="D4" s="109" t="s">
        <v>179</v>
      </c>
      <c r="E4" s="15" t="s">
        <v>44</v>
      </c>
      <c r="F4" s="16"/>
      <c r="G4" s="12" t="s">
        <v>178</v>
      </c>
      <c r="H4" s="15"/>
      <c r="I4" s="13"/>
      <c r="J4" s="13"/>
      <c r="K4" s="15"/>
      <c r="L4" s="17"/>
      <c r="M4" s="17">
        <v>1</v>
      </c>
      <c r="N4" s="13">
        <v>1</v>
      </c>
      <c r="O4" s="17"/>
      <c r="P4" s="17"/>
      <c r="Q4" s="17"/>
      <c r="R4" s="17"/>
      <c r="S4" s="15"/>
      <c r="T4" s="25">
        <v>46119</v>
      </c>
      <c r="U4" s="13" t="s">
        <v>147</v>
      </c>
      <c r="V4">
        <v>2</v>
      </c>
      <c r="X4" s="51" t="s">
        <v>107</v>
      </c>
      <c r="Y4" s="52">
        <f>COUNTIF(U3:U27,"R")</f>
        <v>3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53"/>
      <c r="B5" s="143"/>
      <c r="C5" s="85" t="s">
        <v>211</v>
      </c>
      <c r="D5" s="109" t="s">
        <v>191</v>
      </c>
      <c r="E5" s="15" t="s">
        <v>37</v>
      </c>
      <c r="F5" s="16"/>
      <c r="G5" s="12" t="s">
        <v>178</v>
      </c>
      <c r="H5" s="13"/>
      <c r="I5" s="13"/>
      <c r="J5" s="13"/>
      <c r="K5" s="15"/>
      <c r="L5" s="17"/>
      <c r="M5" s="17"/>
      <c r="N5" s="13"/>
      <c r="O5" s="17"/>
      <c r="P5" s="17"/>
      <c r="Q5" s="17"/>
      <c r="R5" s="17"/>
      <c r="S5" s="15"/>
      <c r="T5" s="25">
        <v>46123</v>
      </c>
      <c r="U5" s="13" t="s">
        <v>147</v>
      </c>
      <c r="V5">
        <v>3</v>
      </c>
      <c r="X5" s="53" t="s">
        <v>108</v>
      </c>
      <c r="Y5" s="54">
        <f>COUNTIF(U3:U27,"J")</f>
        <v>3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53"/>
      <c r="B6" s="143"/>
      <c r="C6" s="85" t="s">
        <v>212</v>
      </c>
      <c r="D6" s="109" t="s">
        <v>182</v>
      </c>
      <c r="E6" s="15" t="s">
        <v>60</v>
      </c>
      <c r="F6" s="16"/>
      <c r="G6" s="12" t="s">
        <v>178</v>
      </c>
      <c r="H6" s="15"/>
      <c r="I6" s="13"/>
      <c r="J6" s="13">
        <v>1</v>
      </c>
      <c r="K6" s="15"/>
      <c r="L6" s="17">
        <v>1</v>
      </c>
      <c r="M6" s="17"/>
      <c r="N6" s="13"/>
      <c r="O6" s="17"/>
      <c r="P6" s="17"/>
      <c r="Q6" s="17"/>
      <c r="R6" s="17"/>
      <c r="S6" s="15"/>
      <c r="T6" s="25">
        <v>46125</v>
      </c>
      <c r="U6" s="13" t="s">
        <v>146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53"/>
      <c r="B7" s="143"/>
      <c r="C7" s="85" t="s">
        <v>213</v>
      </c>
      <c r="D7" s="109" t="s">
        <v>214</v>
      </c>
      <c r="E7" s="15" t="s">
        <v>40</v>
      </c>
      <c r="F7" s="16"/>
      <c r="G7" s="12" t="s">
        <v>178</v>
      </c>
      <c r="H7" s="15"/>
      <c r="I7" s="13"/>
      <c r="J7" s="13"/>
      <c r="K7" s="15"/>
      <c r="L7" s="17"/>
      <c r="M7" s="17"/>
      <c r="N7" s="13"/>
      <c r="O7" s="17">
        <v>1</v>
      </c>
      <c r="P7" s="17">
        <v>1</v>
      </c>
      <c r="Q7" s="17">
        <v>1</v>
      </c>
      <c r="R7" s="17"/>
      <c r="S7" s="15"/>
      <c r="T7" s="25">
        <v>46124</v>
      </c>
      <c r="U7" s="13" t="s">
        <v>148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53"/>
      <c r="B8" s="143"/>
      <c r="C8" s="85" t="s">
        <v>215</v>
      </c>
      <c r="D8" s="109" t="s">
        <v>214</v>
      </c>
      <c r="E8" s="15" t="s">
        <v>40</v>
      </c>
      <c r="F8" s="16"/>
      <c r="G8" s="12" t="s">
        <v>178</v>
      </c>
      <c r="H8" s="13"/>
      <c r="I8" s="13"/>
      <c r="J8" s="13"/>
      <c r="K8" s="15"/>
      <c r="L8" s="17"/>
      <c r="M8" s="17"/>
      <c r="N8" s="13"/>
      <c r="O8" s="17">
        <v>1</v>
      </c>
      <c r="P8" s="17"/>
      <c r="Q8" s="17">
        <v>1</v>
      </c>
      <c r="R8" s="17"/>
      <c r="S8" s="15"/>
      <c r="T8" s="25">
        <v>46124</v>
      </c>
      <c r="U8" s="13" t="s">
        <v>148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53"/>
      <c r="B9" s="143"/>
      <c r="C9" s="85" t="s">
        <v>216</v>
      </c>
      <c r="D9" s="109" t="s">
        <v>182</v>
      </c>
      <c r="E9" s="15" t="s">
        <v>42</v>
      </c>
      <c r="F9" s="16"/>
      <c r="G9" s="12" t="s">
        <v>178</v>
      </c>
      <c r="H9" s="15"/>
      <c r="I9" s="13"/>
      <c r="J9" s="13"/>
      <c r="K9" s="15"/>
      <c r="L9" s="17"/>
      <c r="M9" s="17"/>
      <c r="N9" s="13"/>
      <c r="O9" s="17"/>
      <c r="P9" s="17"/>
      <c r="Q9" s="17"/>
      <c r="R9" s="17"/>
      <c r="S9" s="15">
        <v>1</v>
      </c>
      <c r="T9" s="25">
        <v>46130</v>
      </c>
      <c r="U9" s="13" t="s">
        <v>146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53"/>
      <c r="B10" s="143"/>
      <c r="C10" s="85" t="s">
        <v>217</v>
      </c>
      <c r="D10" s="109" t="s">
        <v>182</v>
      </c>
      <c r="E10" s="15" t="s">
        <v>42</v>
      </c>
      <c r="F10" s="16"/>
      <c r="G10" s="12" t="s">
        <v>178</v>
      </c>
      <c r="H10" s="15"/>
      <c r="I10" s="13"/>
      <c r="J10" s="13">
        <v>1</v>
      </c>
      <c r="K10" s="15"/>
      <c r="L10" s="17"/>
      <c r="M10" s="17"/>
      <c r="N10" s="13"/>
      <c r="O10" s="17"/>
      <c r="P10" s="17"/>
      <c r="Q10" s="17"/>
      <c r="R10" s="17"/>
      <c r="S10" s="15"/>
      <c r="T10" s="25">
        <v>46130</v>
      </c>
      <c r="U10" s="13" t="s">
        <v>146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53"/>
      <c r="B11" s="143"/>
      <c r="C11" s="85" t="s">
        <v>218</v>
      </c>
      <c r="D11" s="109" t="s">
        <v>219</v>
      </c>
      <c r="E11" s="15" t="s">
        <v>38</v>
      </c>
      <c r="F11" s="16"/>
      <c r="G11" s="12" t="s">
        <v>178</v>
      </c>
      <c r="H11" s="15"/>
      <c r="I11" s="13"/>
      <c r="J11" s="13">
        <v>1</v>
      </c>
      <c r="K11" s="15">
        <v>1</v>
      </c>
      <c r="L11" s="17"/>
      <c r="M11" s="17"/>
      <c r="N11" s="13"/>
      <c r="O11" s="17"/>
      <c r="P11" s="17"/>
      <c r="Q11" s="17"/>
      <c r="R11" s="17"/>
      <c r="S11" s="15"/>
      <c r="T11" s="25">
        <v>46130</v>
      </c>
      <c r="U11" s="13" t="s">
        <v>146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53"/>
      <c r="B12" s="143"/>
      <c r="C12" s="85" t="s">
        <v>220</v>
      </c>
      <c r="D12" s="109" t="s">
        <v>186</v>
      </c>
      <c r="E12" s="15" t="s">
        <v>39</v>
      </c>
      <c r="F12" s="16"/>
      <c r="G12" s="12" t="s">
        <v>178</v>
      </c>
      <c r="H12" s="15"/>
      <c r="I12" s="15"/>
      <c r="J12" s="13">
        <v>1</v>
      </c>
      <c r="K12" s="15">
        <v>1</v>
      </c>
      <c r="L12" s="17"/>
      <c r="M12" s="17"/>
      <c r="N12" s="17"/>
      <c r="O12" s="17"/>
      <c r="P12" s="17"/>
      <c r="Q12" s="17"/>
      <c r="R12" s="17"/>
      <c r="S12" s="15"/>
      <c r="T12" s="25">
        <v>46126</v>
      </c>
      <c r="U12" s="13" t="s">
        <v>146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53"/>
      <c r="B13" s="143"/>
      <c r="C13" s="85" t="s">
        <v>221</v>
      </c>
      <c r="D13" s="109" t="s">
        <v>186</v>
      </c>
      <c r="E13" s="15" t="s">
        <v>39</v>
      </c>
      <c r="F13" s="16"/>
      <c r="G13" s="12" t="s">
        <v>178</v>
      </c>
      <c r="H13" s="15"/>
      <c r="I13" s="15"/>
      <c r="J13" s="13">
        <v>1</v>
      </c>
      <c r="K13" s="15">
        <v>1</v>
      </c>
      <c r="L13" s="17"/>
      <c r="M13" s="17"/>
      <c r="N13" s="17"/>
      <c r="O13" s="17"/>
      <c r="P13" s="17"/>
      <c r="Q13" s="17"/>
      <c r="R13" s="17"/>
      <c r="S13" s="15"/>
      <c r="T13" s="25">
        <v>46126</v>
      </c>
      <c r="U13" s="13" t="s">
        <v>146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53"/>
      <c r="B14" s="143"/>
      <c r="C14" s="85" t="s">
        <v>222</v>
      </c>
      <c r="D14" s="109" t="s">
        <v>182</v>
      </c>
      <c r="E14" s="15" t="s">
        <v>59</v>
      </c>
      <c r="F14" s="16"/>
      <c r="G14" s="12" t="s">
        <v>178</v>
      </c>
      <c r="H14" s="15"/>
      <c r="I14" s="15"/>
      <c r="J14" s="13">
        <v>1</v>
      </c>
      <c r="K14" s="15"/>
      <c r="L14" s="17"/>
      <c r="M14" s="17"/>
      <c r="N14" s="17"/>
      <c r="O14" s="17"/>
      <c r="P14" s="17"/>
      <c r="Q14" s="17"/>
      <c r="R14" s="17"/>
      <c r="S14" s="15"/>
      <c r="T14" s="25">
        <v>46125</v>
      </c>
      <c r="U14" s="13" t="s">
        <v>146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53"/>
      <c r="B15" s="143"/>
      <c r="C15" s="85" t="s">
        <v>223</v>
      </c>
      <c r="D15" s="109" t="s">
        <v>184</v>
      </c>
      <c r="E15" s="15" t="s">
        <v>75</v>
      </c>
      <c r="F15" s="16"/>
      <c r="G15" s="12" t="s">
        <v>178</v>
      </c>
      <c r="H15" s="15"/>
      <c r="I15" s="15"/>
      <c r="J15" s="13"/>
      <c r="K15" s="15"/>
      <c r="L15" s="17"/>
      <c r="M15" s="17"/>
      <c r="N15" s="17"/>
      <c r="O15" s="17"/>
      <c r="P15" s="17"/>
      <c r="Q15" s="17"/>
      <c r="R15" s="17"/>
      <c r="S15" s="15"/>
      <c r="T15" s="25">
        <v>46123</v>
      </c>
      <c r="U15" s="13" t="s">
        <v>147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53"/>
      <c r="B16" s="143"/>
      <c r="C16" s="85"/>
      <c r="D16" s="109"/>
      <c r="E16" s="15"/>
      <c r="F16" s="16"/>
      <c r="G16" s="12"/>
      <c r="H16" s="15"/>
      <c r="I16" s="15"/>
      <c r="J16" s="13"/>
      <c r="K16" s="15"/>
      <c r="L16" s="17"/>
      <c r="M16" s="17"/>
      <c r="N16" s="17"/>
      <c r="O16" s="17"/>
      <c r="P16" s="17"/>
      <c r="Q16" s="17"/>
      <c r="R16" s="17"/>
      <c r="S16" s="15"/>
      <c r="T16" s="25"/>
      <c r="U16" s="13"/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53"/>
      <c r="B17" s="143"/>
      <c r="C17" s="85"/>
      <c r="D17" s="109"/>
      <c r="E17" s="15"/>
      <c r="F17" s="16"/>
      <c r="G17" s="12"/>
      <c r="H17" s="15"/>
      <c r="I17" s="15"/>
      <c r="J17" s="13"/>
      <c r="K17" s="15"/>
      <c r="L17" s="17"/>
      <c r="M17" s="17"/>
      <c r="N17" s="17"/>
      <c r="O17" s="17"/>
      <c r="P17" s="17"/>
      <c r="Q17" s="17"/>
      <c r="R17" s="17"/>
      <c r="S17" s="15"/>
      <c r="T17" s="25"/>
      <c r="U17" s="13"/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53"/>
      <c r="B18" s="143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53"/>
      <c r="B19" s="143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53"/>
      <c r="B20" s="143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53"/>
      <c r="B21" s="143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53"/>
      <c r="B22" s="143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53"/>
      <c r="B23" s="143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53"/>
      <c r="B24" s="143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53"/>
      <c r="B25" s="143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261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53"/>
      <c r="B26" s="143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54"/>
      <c r="B27" s="144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175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13</v>
      </c>
      <c r="D28" s="112"/>
      <c r="E28" s="29"/>
      <c r="F28" s="29" t="s">
        <v>34</v>
      </c>
      <c r="G28" s="29">
        <f>COUNTIF(G3:G27,"S")</f>
        <v>12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6</v>
      </c>
      <c r="K28" s="29">
        <f t="shared" si="0"/>
        <v>3</v>
      </c>
      <c r="L28" s="29">
        <f t="shared" si="0"/>
        <v>1</v>
      </c>
      <c r="M28" s="29">
        <f t="shared" si="0"/>
        <v>1</v>
      </c>
      <c r="N28" s="29">
        <f t="shared" si="0"/>
        <v>1</v>
      </c>
      <c r="O28" s="29">
        <f t="shared" si="0"/>
        <v>3</v>
      </c>
      <c r="P28" s="29">
        <f t="shared" si="0"/>
        <v>2</v>
      </c>
      <c r="Q28" s="29">
        <f t="shared" si="0"/>
        <v>2</v>
      </c>
      <c r="R28" s="29">
        <f t="shared" si="0"/>
        <v>1</v>
      </c>
      <c r="S28" s="29">
        <f t="shared" si="0"/>
        <v>1</v>
      </c>
      <c r="T28" s="29" t="s">
        <v>64</v>
      </c>
      <c r="U28" s="29">
        <f>COUNTIF(H3:H27,"M")</f>
        <v>0</v>
      </c>
      <c r="AA28" s="147" t="s">
        <v>104</v>
      </c>
      <c r="AB28" s="148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1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21</v>
      </c>
      <c r="T29" s="29"/>
      <c r="U29" s="29"/>
      <c r="X29" t="s">
        <v>136</v>
      </c>
      <c r="AA29" s="149"/>
      <c r="AB29" s="150"/>
      <c r="AC29" s="163">
        <f>SUM(AC28:AE28)</f>
        <v>0</v>
      </c>
      <c r="AD29" s="164"/>
      <c r="AE29" s="165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AYG134</v>
      </c>
      <c r="B31" s="24">
        <f>B1</f>
        <v>46084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45" t="s">
        <v>119</v>
      </c>
      <c r="Y32" s="151"/>
      <c r="AA32" s="158" t="s">
        <v>47</v>
      </c>
      <c r="AB32" s="159"/>
    </row>
    <row r="33" spans="1:29" ht="19.5" thickTop="1" x14ac:dyDescent="0.4">
      <c r="A33" s="152">
        <v>2</v>
      </c>
      <c r="B33" s="142">
        <v>22.4</v>
      </c>
      <c r="C33" s="85" t="s">
        <v>226</v>
      </c>
      <c r="D33" s="109" t="s">
        <v>182</v>
      </c>
      <c r="E33" s="15" t="s">
        <v>42</v>
      </c>
      <c r="F33" s="14"/>
      <c r="G33" s="12" t="s">
        <v>178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>
        <v>1</v>
      </c>
      <c r="T33" s="25">
        <v>46130</v>
      </c>
      <c r="U33" s="13" t="s">
        <v>146</v>
      </c>
      <c r="V33">
        <v>1</v>
      </c>
      <c r="X33" s="51" t="s">
        <v>106</v>
      </c>
      <c r="Y33" s="52">
        <f>COUNTIF(U33:U57,"K")</f>
        <v>12</v>
      </c>
      <c r="AA33" s="31" t="s">
        <v>46</v>
      </c>
      <c r="AB33" s="32">
        <f>J28+J178+J148+J118+J208+J238+J268+J298+J328+J358</f>
        <v>72</v>
      </c>
    </row>
    <row r="34" spans="1:29" x14ac:dyDescent="0.4">
      <c r="A34" s="153"/>
      <c r="B34" s="143"/>
      <c r="C34" s="85" t="s">
        <v>227</v>
      </c>
      <c r="D34" s="109" t="s">
        <v>182</v>
      </c>
      <c r="E34" s="15" t="s">
        <v>41</v>
      </c>
      <c r="F34" s="16"/>
      <c r="G34" s="12" t="s">
        <v>178</v>
      </c>
      <c r="H34" s="15"/>
      <c r="I34" s="13"/>
      <c r="J34" s="15">
        <v>1</v>
      </c>
      <c r="K34" s="15"/>
      <c r="L34" s="17"/>
      <c r="M34" s="17"/>
      <c r="N34" s="13"/>
      <c r="O34" s="17"/>
      <c r="P34" s="17"/>
      <c r="Q34" s="17"/>
      <c r="R34" s="17"/>
      <c r="S34" s="15"/>
      <c r="T34" s="25">
        <v>46130</v>
      </c>
      <c r="U34" s="13" t="s">
        <v>146</v>
      </c>
      <c r="V34">
        <v>2</v>
      </c>
      <c r="X34" s="51" t="s">
        <v>107</v>
      </c>
      <c r="Y34" s="52">
        <f>COUNTIF(U33:U57,"R")</f>
        <v>1</v>
      </c>
      <c r="AA34" s="31" t="s">
        <v>48</v>
      </c>
      <c r="AB34" s="32">
        <f>K28+K178+K148+K118+K208+K238+K268+K298+K328+K358</f>
        <v>35</v>
      </c>
    </row>
    <row r="35" spans="1:29" ht="19.5" thickBot="1" x14ac:dyDescent="0.45">
      <c r="A35" s="153"/>
      <c r="B35" s="143"/>
      <c r="C35" s="85" t="s">
        <v>228</v>
      </c>
      <c r="D35" s="109" t="s">
        <v>182</v>
      </c>
      <c r="E35" s="15" t="s">
        <v>42</v>
      </c>
      <c r="F35" s="16"/>
      <c r="G35" s="12" t="s">
        <v>178</v>
      </c>
      <c r="H35" s="13"/>
      <c r="I35" s="13"/>
      <c r="J35" s="13"/>
      <c r="K35" s="15"/>
      <c r="L35" s="13"/>
      <c r="M35" s="17"/>
      <c r="N35" s="13"/>
      <c r="O35" s="17"/>
      <c r="P35" s="17"/>
      <c r="Q35" s="17"/>
      <c r="R35" s="17"/>
      <c r="S35" s="15">
        <v>1</v>
      </c>
      <c r="T35" s="25">
        <v>46130</v>
      </c>
      <c r="U35" s="13" t="s">
        <v>146</v>
      </c>
      <c r="X35" s="53" t="s">
        <v>108</v>
      </c>
      <c r="Y35" s="54">
        <f>COUNTIF(U33:U57,"J")</f>
        <v>2</v>
      </c>
      <c r="AA35" s="31" t="s">
        <v>49</v>
      </c>
      <c r="AB35" s="32">
        <f>L28+L178+L148+L118+L208+L238+L268+L298+L328+L358</f>
        <v>4</v>
      </c>
    </row>
    <row r="36" spans="1:29" x14ac:dyDescent="0.4">
      <c r="A36" s="153"/>
      <c r="B36" s="143"/>
      <c r="C36" s="85" t="s">
        <v>229</v>
      </c>
      <c r="D36" s="109" t="s">
        <v>182</v>
      </c>
      <c r="E36" s="15" t="s">
        <v>41</v>
      </c>
      <c r="F36" s="16"/>
      <c r="G36" s="12" t="s">
        <v>178</v>
      </c>
      <c r="H36" s="15"/>
      <c r="I36" s="13"/>
      <c r="J36" s="13">
        <v>1</v>
      </c>
      <c r="K36" s="15"/>
      <c r="L36" s="13"/>
      <c r="M36" s="17"/>
      <c r="N36" s="13"/>
      <c r="O36" s="17"/>
      <c r="P36" s="17"/>
      <c r="Q36" s="17"/>
      <c r="R36" s="17"/>
      <c r="S36" s="15"/>
      <c r="T36" s="25">
        <v>46130</v>
      </c>
      <c r="U36" s="13" t="s">
        <v>146</v>
      </c>
      <c r="V36">
        <v>4</v>
      </c>
      <c r="AA36" s="31" t="s">
        <v>50</v>
      </c>
      <c r="AB36" s="32">
        <f>M28+M178+M148+M118+M208+M238+M268+M298+M328+M358</f>
        <v>24</v>
      </c>
    </row>
    <row r="37" spans="1:29" x14ac:dyDescent="0.4">
      <c r="A37" s="153"/>
      <c r="B37" s="143"/>
      <c r="C37" s="85" t="s">
        <v>230</v>
      </c>
      <c r="D37" s="109" t="s">
        <v>182</v>
      </c>
      <c r="E37" s="15" t="s">
        <v>42</v>
      </c>
      <c r="F37" s="16"/>
      <c r="G37" s="12" t="s">
        <v>178</v>
      </c>
      <c r="H37" s="15"/>
      <c r="I37" s="13"/>
      <c r="J37" s="13"/>
      <c r="K37" s="15"/>
      <c r="L37" s="13"/>
      <c r="M37" s="17"/>
      <c r="N37" s="13"/>
      <c r="O37" s="17"/>
      <c r="P37" s="17"/>
      <c r="Q37" s="17"/>
      <c r="R37" s="17"/>
      <c r="S37" s="15">
        <v>1</v>
      </c>
      <c r="T37" s="25">
        <v>46130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25</v>
      </c>
    </row>
    <row r="38" spans="1:29" x14ac:dyDescent="0.4">
      <c r="A38" s="153"/>
      <c r="B38" s="143"/>
      <c r="C38" s="85" t="s">
        <v>231</v>
      </c>
      <c r="D38" s="109" t="s">
        <v>182</v>
      </c>
      <c r="E38" s="15" t="s">
        <v>41</v>
      </c>
      <c r="F38" s="16"/>
      <c r="G38" s="12" t="s">
        <v>178</v>
      </c>
      <c r="H38" s="13"/>
      <c r="I38" s="13"/>
      <c r="J38" s="13">
        <v>1</v>
      </c>
      <c r="K38" s="15"/>
      <c r="L38" s="13"/>
      <c r="M38" s="17"/>
      <c r="N38" s="13"/>
      <c r="O38" s="17"/>
      <c r="P38" s="17"/>
      <c r="Q38" s="17"/>
      <c r="R38" s="17"/>
      <c r="S38" s="15"/>
      <c r="T38" s="25">
        <v>46130</v>
      </c>
      <c r="U38" s="13" t="s">
        <v>146</v>
      </c>
      <c r="V38">
        <v>6</v>
      </c>
      <c r="AA38" s="31" t="s">
        <v>52</v>
      </c>
      <c r="AB38" s="32">
        <f>O28+O178+O148+O118+O208+O238+O268+O298+O328+O358</f>
        <v>10</v>
      </c>
    </row>
    <row r="39" spans="1:29" x14ac:dyDescent="0.4">
      <c r="A39" s="153"/>
      <c r="B39" s="143"/>
      <c r="C39" s="85" t="s">
        <v>232</v>
      </c>
      <c r="D39" s="109" t="s">
        <v>182</v>
      </c>
      <c r="E39" s="15" t="s">
        <v>42</v>
      </c>
      <c r="F39" s="16"/>
      <c r="G39" s="12" t="s">
        <v>178</v>
      </c>
      <c r="H39" s="15"/>
      <c r="I39" s="13"/>
      <c r="J39" s="15"/>
      <c r="K39" s="15"/>
      <c r="L39" s="17"/>
      <c r="M39" s="17"/>
      <c r="N39" s="13"/>
      <c r="O39" s="17"/>
      <c r="P39" s="17"/>
      <c r="Q39" s="17"/>
      <c r="R39" s="17"/>
      <c r="S39" s="15">
        <v>1</v>
      </c>
      <c r="T39" s="25">
        <v>46130</v>
      </c>
      <c r="U39" s="13" t="s">
        <v>146</v>
      </c>
      <c r="V39">
        <v>7</v>
      </c>
      <c r="AA39" s="31" t="s">
        <v>53</v>
      </c>
      <c r="AB39" s="32">
        <f>P28+P178+P148+P118+P208+P238+P268+P298+P328+P358</f>
        <v>9</v>
      </c>
    </row>
    <row r="40" spans="1:29" x14ac:dyDescent="0.4">
      <c r="A40" s="153"/>
      <c r="B40" s="143"/>
      <c r="C40" s="85" t="s">
        <v>233</v>
      </c>
      <c r="D40" s="109" t="s">
        <v>182</v>
      </c>
      <c r="E40" s="15" t="s">
        <v>41</v>
      </c>
      <c r="F40" s="16"/>
      <c r="G40" s="12" t="s">
        <v>178</v>
      </c>
      <c r="H40" s="15"/>
      <c r="I40" s="13"/>
      <c r="J40" s="15">
        <v>1</v>
      </c>
      <c r="K40" s="15"/>
      <c r="L40" s="17"/>
      <c r="M40" s="17"/>
      <c r="N40" s="13"/>
      <c r="O40" s="17"/>
      <c r="P40" s="17"/>
      <c r="Q40" s="17"/>
      <c r="R40" s="17"/>
      <c r="S40" s="15"/>
      <c r="T40" s="25">
        <v>46130</v>
      </c>
      <c r="U40" s="13" t="s">
        <v>146</v>
      </c>
      <c r="V40">
        <v>8</v>
      </c>
      <c r="AA40" s="31" t="s">
        <v>54</v>
      </c>
      <c r="AB40" s="32">
        <f>Q28+Q178+Q148+Q118+Q208+Q238+Q268+Q298+Q328+Q358</f>
        <v>23</v>
      </c>
    </row>
    <row r="41" spans="1:29" x14ac:dyDescent="0.4">
      <c r="A41" s="153"/>
      <c r="B41" s="143"/>
      <c r="C41" s="85" t="s">
        <v>234</v>
      </c>
      <c r="D41" s="109" t="s">
        <v>182</v>
      </c>
      <c r="E41" s="15" t="s">
        <v>42</v>
      </c>
      <c r="F41" s="16"/>
      <c r="G41" s="12" t="s">
        <v>178</v>
      </c>
      <c r="H41" s="15"/>
      <c r="I41" s="13"/>
      <c r="J41" s="15"/>
      <c r="K41" s="15"/>
      <c r="L41" s="17"/>
      <c r="M41" s="17"/>
      <c r="N41" s="13"/>
      <c r="O41" s="17"/>
      <c r="P41" s="17"/>
      <c r="Q41" s="17"/>
      <c r="R41" s="17"/>
      <c r="S41" s="15">
        <v>1</v>
      </c>
      <c r="T41" s="25">
        <v>46130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2</v>
      </c>
      <c r="AC41" t="s">
        <v>123</v>
      </c>
    </row>
    <row r="42" spans="1:29" ht="19.5" thickBot="1" x14ac:dyDescent="0.45">
      <c r="A42" s="153"/>
      <c r="B42" s="143"/>
      <c r="C42" s="85" t="s">
        <v>235</v>
      </c>
      <c r="D42" s="109" t="s">
        <v>182</v>
      </c>
      <c r="E42" s="15" t="s">
        <v>41</v>
      </c>
      <c r="F42" s="16"/>
      <c r="G42" s="12" t="s">
        <v>178</v>
      </c>
      <c r="H42" s="15"/>
      <c r="I42" s="15"/>
      <c r="J42" s="15">
        <v>1</v>
      </c>
      <c r="K42" s="15"/>
      <c r="L42" s="17"/>
      <c r="M42" s="17"/>
      <c r="N42" s="17"/>
      <c r="O42" s="17"/>
      <c r="P42" s="17"/>
      <c r="Q42" s="17"/>
      <c r="R42" s="17"/>
      <c r="S42" s="15"/>
      <c r="T42" s="25">
        <v>46130</v>
      </c>
      <c r="U42" s="13" t="s">
        <v>146</v>
      </c>
      <c r="V42">
        <v>10</v>
      </c>
      <c r="AA42" s="33" t="s">
        <v>56</v>
      </c>
      <c r="AB42" s="34">
        <f>S28+S178+S148+S118+S208+S238+S268+S298+S328+S358</f>
        <v>26</v>
      </c>
      <c r="AC42" s="73">
        <f>SUM(AB33:AB42)</f>
        <v>230</v>
      </c>
    </row>
    <row r="43" spans="1:29" ht="19.5" thickBot="1" x14ac:dyDescent="0.45">
      <c r="A43" s="153"/>
      <c r="B43" s="143"/>
      <c r="C43" s="85" t="s">
        <v>224</v>
      </c>
      <c r="D43" s="109" t="s">
        <v>182</v>
      </c>
      <c r="E43" s="15" t="s">
        <v>42</v>
      </c>
      <c r="F43" s="16"/>
      <c r="G43" s="12" t="s">
        <v>178</v>
      </c>
      <c r="H43" s="15"/>
      <c r="I43" s="15"/>
      <c r="J43" s="15"/>
      <c r="K43" s="15"/>
      <c r="L43" s="17"/>
      <c r="M43" s="17"/>
      <c r="N43" s="17"/>
      <c r="O43" s="17"/>
      <c r="P43" s="17"/>
      <c r="Q43" s="17"/>
      <c r="R43" s="17"/>
      <c r="S43" s="15">
        <v>1</v>
      </c>
      <c r="T43" s="25">
        <v>46130</v>
      </c>
      <c r="U43" s="13" t="s">
        <v>146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53"/>
      <c r="B44" s="143"/>
      <c r="C44" s="85" t="s">
        <v>225</v>
      </c>
      <c r="D44" s="109" t="s">
        <v>182</v>
      </c>
      <c r="E44" s="15" t="s">
        <v>41</v>
      </c>
      <c r="F44" s="16"/>
      <c r="G44" s="12" t="s">
        <v>178</v>
      </c>
      <c r="H44" s="15"/>
      <c r="I44" s="15"/>
      <c r="J44" s="15">
        <v>1</v>
      </c>
      <c r="K44" s="15"/>
      <c r="L44" s="17"/>
      <c r="M44" s="17"/>
      <c r="N44" s="17"/>
      <c r="O44" s="17"/>
      <c r="P44" s="17"/>
      <c r="Q44" s="17"/>
      <c r="R44" s="17"/>
      <c r="S44" s="15"/>
      <c r="T44" s="25">
        <v>46130</v>
      </c>
      <c r="U44" s="13" t="s">
        <v>146</v>
      </c>
      <c r="V44">
        <v>12</v>
      </c>
      <c r="AA44" s="103" t="s">
        <v>66</v>
      </c>
      <c r="AB44" s="104">
        <f>H28+H58+H88+H118+H148+H178+H208+H238+H268+H298+H328+H358</f>
        <v>4</v>
      </c>
    </row>
    <row r="45" spans="1:29" x14ac:dyDescent="0.4">
      <c r="A45" s="153"/>
      <c r="B45" s="143"/>
      <c r="C45" s="85" t="s">
        <v>236</v>
      </c>
      <c r="D45" s="109" t="s">
        <v>189</v>
      </c>
      <c r="E45" s="15" t="s">
        <v>40</v>
      </c>
      <c r="F45" s="16"/>
      <c r="G45" s="12" t="s">
        <v>178</v>
      </c>
      <c r="H45" s="15"/>
      <c r="I45" s="15"/>
      <c r="J45" s="15"/>
      <c r="K45" s="15"/>
      <c r="L45" s="17"/>
      <c r="M45" s="17"/>
      <c r="N45" s="17"/>
      <c r="O45" s="17">
        <v>1</v>
      </c>
      <c r="P45" s="17">
        <v>1</v>
      </c>
      <c r="Q45" s="17">
        <v>1</v>
      </c>
      <c r="R45" s="17"/>
      <c r="S45" s="15"/>
      <c r="T45" s="25">
        <v>46122</v>
      </c>
      <c r="U45" s="13" t="s">
        <v>148</v>
      </c>
      <c r="V45">
        <v>13</v>
      </c>
      <c r="AA45" s="35" t="s">
        <v>65</v>
      </c>
      <c r="AB45" s="36">
        <f>H29+H59+H89+H119+H149+H179+H209+H239+H269+H299+H329+H359</f>
        <v>0</v>
      </c>
    </row>
    <row r="46" spans="1:29" x14ac:dyDescent="0.4">
      <c r="A46" s="153"/>
      <c r="B46" s="143"/>
      <c r="C46" s="85" t="s">
        <v>237</v>
      </c>
      <c r="D46" s="109" t="s">
        <v>188</v>
      </c>
      <c r="E46" s="15" t="s">
        <v>40</v>
      </c>
      <c r="F46" s="16"/>
      <c r="G46" s="12" t="s">
        <v>178</v>
      </c>
      <c r="H46" s="15"/>
      <c r="I46" s="15"/>
      <c r="J46" s="15"/>
      <c r="K46" s="15"/>
      <c r="L46" s="17"/>
      <c r="M46" s="17"/>
      <c r="N46" s="17"/>
      <c r="O46" s="17">
        <v>1</v>
      </c>
      <c r="P46" s="17">
        <v>1</v>
      </c>
      <c r="Q46" s="17">
        <v>1</v>
      </c>
      <c r="R46" s="17"/>
      <c r="S46" s="15"/>
      <c r="T46" s="25">
        <v>46128</v>
      </c>
      <c r="U46" s="13" t="s">
        <v>148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53"/>
      <c r="B47" s="143"/>
      <c r="C47" s="85" t="s">
        <v>238</v>
      </c>
      <c r="D47" s="109" t="s">
        <v>239</v>
      </c>
      <c r="E47" s="15" t="s">
        <v>36</v>
      </c>
      <c r="F47" s="16"/>
      <c r="G47" s="12" t="s">
        <v>178</v>
      </c>
      <c r="H47" s="15"/>
      <c r="I47" s="15"/>
      <c r="J47" s="15"/>
      <c r="K47" s="15"/>
      <c r="L47" s="17"/>
      <c r="M47" s="17">
        <v>1</v>
      </c>
      <c r="N47" s="17"/>
      <c r="O47" s="17"/>
      <c r="P47" s="17"/>
      <c r="Q47" s="17">
        <v>1</v>
      </c>
      <c r="R47" s="17"/>
      <c r="S47" s="15"/>
      <c r="T47" s="25">
        <v>46121</v>
      </c>
      <c r="U47" s="15" t="s">
        <v>147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53"/>
      <c r="B48" s="143"/>
      <c r="C48" s="85"/>
      <c r="D48" s="110"/>
      <c r="E48" s="18"/>
      <c r="F48" s="16"/>
      <c r="G48" s="18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5"/>
      <c r="V48" s="73">
        <v>16</v>
      </c>
    </row>
    <row r="49" spans="1:28" x14ac:dyDescent="0.4">
      <c r="A49" s="153"/>
      <c r="B49" s="143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173</v>
      </c>
    </row>
    <row r="50" spans="1:28" ht="19.5" thickBot="1" x14ac:dyDescent="0.45">
      <c r="A50" s="153"/>
      <c r="B50" s="143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2</v>
      </c>
    </row>
    <row r="51" spans="1:28" ht="19.5" thickBot="1" x14ac:dyDescent="0.45">
      <c r="A51" s="153"/>
      <c r="B51" s="143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53"/>
      <c r="B52" s="143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60">
        <v>76</v>
      </c>
    </row>
    <row r="53" spans="1:28" ht="19.5" thickBot="1" x14ac:dyDescent="0.45">
      <c r="A53" s="153"/>
      <c r="B53" s="143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61"/>
    </row>
    <row r="54" spans="1:28" ht="19.5" thickBot="1" x14ac:dyDescent="0.45">
      <c r="A54" s="153"/>
      <c r="B54" s="143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53"/>
      <c r="B55" s="143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45" t="s">
        <v>73</v>
      </c>
      <c r="AB55" s="45"/>
    </row>
    <row r="56" spans="1:28" ht="19.5" thickBot="1" x14ac:dyDescent="0.45">
      <c r="A56" s="153"/>
      <c r="B56" s="143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46"/>
      <c r="AB56" s="46"/>
    </row>
    <row r="57" spans="1:28" ht="19.5" thickBot="1" x14ac:dyDescent="0.45">
      <c r="A57" s="154"/>
      <c r="B57" s="144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45"/>
      <c r="AB57" s="45">
        <v>7</v>
      </c>
    </row>
    <row r="58" spans="1:28" ht="19.5" thickBot="1" x14ac:dyDescent="0.45">
      <c r="A58" s="27"/>
      <c r="B58" s="28"/>
      <c r="C58" s="88">
        <f>COUNTA(C33:C57)</f>
        <v>15</v>
      </c>
      <c r="D58" s="112"/>
      <c r="E58" s="29"/>
      <c r="F58" s="29" t="s">
        <v>34</v>
      </c>
      <c r="G58" s="29">
        <f>COUNTIF(G33:G57,"S")</f>
        <v>15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6</v>
      </c>
      <c r="K58" s="29">
        <f t="shared" si="1"/>
        <v>0</v>
      </c>
      <c r="L58" s="29">
        <f t="shared" si="1"/>
        <v>0</v>
      </c>
      <c r="M58" s="29">
        <f t="shared" si="1"/>
        <v>1</v>
      </c>
      <c r="N58" s="29">
        <f t="shared" si="1"/>
        <v>0</v>
      </c>
      <c r="O58" s="29">
        <f t="shared" si="1"/>
        <v>2</v>
      </c>
      <c r="P58" s="29">
        <f t="shared" si="1"/>
        <v>2</v>
      </c>
      <c r="Q58" s="29">
        <f t="shared" si="1"/>
        <v>3</v>
      </c>
      <c r="R58" s="29">
        <f t="shared" si="1"/>
        <v>0</v>
      </c>
      <c r="S58" s="29">
        <f t="shared" si="1"/>
        <v>6</v>
      </c>
      <c r="T58" s="29" t="s">
        <v>64</v>
      </c>
      <c r="U58" s="29">
        <f>COUNTIF(H33:H57,"M")</f>
        <v>0</v>
      </c>
      <c r="AA58" s="146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20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AYG134</v>
      </c>
      <c r="B61" s="24">
        <f>B1</f>
        <v>46084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45" t="s">
        <v>118</v>
      </c>
      <c r="Y62" s="151"/>
    </row>
    <row r="63" spans="1:28" ht="20.25" thickTop="1" thickBot="1" x14ac:dyDescent="0.45">
      <c r="A63" s="152">
        <v>3</v>
      </c>
      <c r="B63" s="155">
        <v>22.4</v>
      </c>
      <c r="C63" s="85" t="s">
        <v>240</v>
      </c>
      <c r="D63" s="109" t="s">
        <v>182</v>
      </c>
      <c r="E63" s="15" t="s">
        <v>42</v>
      </c>
      <c r="F63" s="16"/>
      <c r="G63" s="12" t="s">
        <v>178</v>
      </c>
      <c r="H63" s="15"/>
      <c r="I63" s="13"/>
      <c r="J63" s="15"/>
      <c r="K63" s="15"/>
      <c r="L63" s="17"/>
      <c r="M63" s="17"/>
      <c r="N63" s="13"/>
      <c r="O63" s="17"/>
      <c r="P63" s="17"/>
      <c r="Q63" s="17"/>
      <c r="R63" s="17"/>
      <c r="S63" s="15">
        <v>1</v>
      </c>
      <c r="T63" s="25">
        <v>46125</v>
      </c>
      <c r="U63" s="13" t="s">
        <v>146</v>
      </c>
      <c r="V63">
        <v>1</v>
      </c>
      <c r="X63" s="51" t="s">
        <v>106</v>
      </c>
      <c r="Y63" s="52">
        <f>COUNTIF(U63:U87,"K")</f>
        <v>13</v>
      </c>
      <c r="AA63" s="59" t="s">
        <v>120</v>
      </c>
      <c r="AB63" s="60" t="s">
        <v>121</v>
      </c>
    </row>
    <row r="64" spans="1:28" x14ac:dyDescent="0.4">
      <c r="A64" s="153"/>
      <c r="B64" s="156"/>
      <c r="C64" s="85" t="s">
        <v>241</v>
      </c>
      <c r="D64" s="109" t="s">
        <v>182</v>
      </c>
      <c r="E64" s="15" t="s">
        <v>41</v>
      </c>
      <c r="F64" s="16"/>
      <c r="G64" s="12" t="s">
        <v>178</v>
      </c>
      <c r="H64" s="15"/>
      <c r="I64" s="13"/>
      <c r="J64" s="15">
        <v>1</v>
      </c>
      <c r="K64" s="15"/>
      <c r="L64" s="17"/>
      <c r="M64" s="17"/>
      <c r="N64" s="13"/>
      <c r="O64" s="17"/>
      <c r="P64" s="17"/>
      <c r="Q64" s="17"/>
      <c r="R64" s="17"/>
      <c r="S64" s="15"/>
      <c r="T64" s="25">
        <v>46125</v>
      </c>
      <c r="U64" s="13" t="s">
        <v>146</v>
      </c>
      <c r="V64">
        <v>2</v>
      </c>
      <c r="X64" s="51" t="s">
        <v>107</v>
      </c>
      <c r="Y64" s="52">
        <f>COUNTIF(U63:U87,"R")</f>
        <v>2</v>
      </c>
      <c r="AA64" s="47" t="s">
        <v>81</v>
      </c>
      <c r="AB64" s="48" t="s">
        <v>60</v>
      </c>
    </row>
    <row r="65" spans="1:28" ht="19.5" thickBot="1" x14ac:dyDescent="0.45">
      <c r="A65" s="153"/>
      <c r="B65" s="156"/>
      <c r="C65" s="85" t="s">
        <v>242</v>
      </c>
      <c r="D65" s="109" t="s">
        <v>182</v>
      </c>
      <c r="E65" s="15" t="s">
        <v>42</v>
      </c>
      <c r="F65" s="16"/>
      <c r="G65" s="12" t="s">
        <v>178</v>
      </c>
      <c r="H65" s="15"/>
      <c r="I65" s="13"/>
      <c r="J65" s="15"/>
      <c r="K65" s="15"/>
      <c r="L65" s="17"/>
      <c r="M65" s="17"/>
      <c r="N65" s="13"/>
      <c r="O65" s="17"/>
      <c r="P65" s="17"/>
      <c r="Q65" s="17"/>
      <c r="R65" s="17"/>
      <c r="S65" s="15">
        <v>1</v>
      </c>
      <c r="T65" s="25">
        <v>46125</v>
      </c>
      <c r="U65" s="13" t="s">
        <v>146</v>
      </c>
      <c r="V65">
        <v>3</v>
      </c>
      <c r="X65" s="53" t="s">
        <v>108</v>
      </c>
      <c r="Y65" s="54">
        <f>COUNTIF(U63:U87,"J")</f>
        <v>0</v>
      </c>
      <c r="AA65" s="49" t="s">
        <v>82</v>
      </c>
      <c r="AB65" s="50" t="s">
        <v>39</v>
      </c>
    </row>
    <row r="66" spans="1:28" x14ac:dyDescent="0.4">
      <c r="A66" s="153"/>
      <c r="B66" s="156"/>
      <c r="C66" s="85" t="s">
        <v>243</v>
      </c>
      <c r="D66" s="109" t="s">
        <v>182</v>
      </c>
      <c r="E66" s="15" t="s">
        <v>41</v>
      </c>
      <c r="F66" s="16"/>
      <c r="G66" s="12" t="s">
        <v>178</v>
      </c>
      <c r="H66" s="15"/>
      <c r="I66" s="15"/>
      <c r="J66" s="15">
        <v>1</v>
      </c>
      <c r="K66" s="15"/>
      <c r="L66" s="17"/>
      <c r="M66" s="17"/>
      <c r="N66" s="17"/>
      <c r="O66" s="17"/>
      <c r="P66" s="17"/>
      <c r="Q66" s="17"/>
      <c r="R66" s="17"/>
      <c r="S66" s="15"/>
      <c r="T66" s="25">
        <v>46125</v>
      </c>
      <c r="U66" s="13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53"/>
      <c r="B67" s="156"/>
      <c r="C67" s="85" t="s">
        <v>244</v>
      </c>
      <c r="D67" s="109" t="s">
        <v>182</v>
      </c>
      <c r="E67" s="15" t="s">
        <v>42</v>
      </c>
      <c r="F67" s="16"/>
      <c r="G67" s="12" t="s">
        <v>178</v>
      </c>
      <c r="H67" s="15"/>
      <c r="I67" s="15"/>
      <c r="J67" s="15"/>
      <c r="K67" s="15"/>
      <c r="L67" s="17"/>
      <c r="M67" s="17"/>
      <c r="N67" s="17"/>
      <c r="O67" s="17"/>
      <c r="P67" s="17"/>
      <c r="Q67" s="17"/>
      <c r="R67" s="17"/>
      <c r="S67" s="15">
        <v>1</v>
      </c>
      <c r="T67" s="25">
        <v>46125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53"/>
      <c r="B68" s="156"/>
      <c r="C68" s="85" t="s">
        <v>245</v>
      </c>
      <c r="D68" s="109" t="s">
        <v>182</v>
      </c>
      <c r="E68" s="15" t="s">
        <v>41</v>
      </c>
      <c r="F68" s="16"/>
      <c r="G68" s="12" t="s">
        <v>178</v>
      </c>
      <c r="H68" s="15"/>
      <c r="I68" s="15"/>
      <c r="J68" s="15">
        <v>1</v>
      </c>
      <c r="K68" s="15"/>
      <c r="L68" s="17"/>
      <c r="M68" s="17"/>
      <c r="N68" s="17"/>
      <c r="O68" s="17"/>
      <c r="P68" s="17"/>
      <c r="Q68" s="17"/>
      <c r="R68" s="17"/>
      <c r="S68" s="15"/>
      <c r="T68" s="25">
        <v>46125</v>
      </c>
      <c r="U68" s="13" t="s">
        <v>146</v>
      </c>
      <c r="V68">
        <v>6</v>
      </c>
      <c r="AA68" s="49" t="s">
        <v>85</v>
      </c>
      <c r="AB68" s="50" t="s">
        <v>43</v>
      </c>
    </row>
    <row r="69" spans="1:28" x14ac:dyDescent="0.4">
      <c r="A69" s="153"/>
      <c r="B69" s="156"/>
      <c r="C69" s="85" t="s">
        <v>246</v>
      </c>
      <c r="D69" s="109" t="s">
        <v>182</v>
      </c>
      <c r="E69" s="15" t="s">
        <v>42</v>
      </c>
      <c r="F69" s="16"/>
      <c r="G69" s="12" t="s">
        <v>178</v>
      </c>
      <c r="H69" s="15"/>
      <c r="I69" s="15"/>
      <c r="J69" s="15"/>
      <c r="K69" s="15"/>
      <c r="L69" s="17"/>
      <c r="M69" s="17"/>
      <c r="N69" s="17"/>
      <c r="O69" s="17"/>
      <c r="P69" s="17"/>
      <c r="Q69" s="17"/>
      <c r="R69" s="17"/>
      <c r="S69" s="15">
        <v>1</v>
      </c>
      <c r="T69" s="25">
        <v>46125</v>
      </c>
      <c r="U69" s="13" t="s">
        <v>146</v>
      </c>
      <c r="V69">
        <v>7</v>
      </c>
      <c r="AA69" s="49" t="s">
        <v>86</v>
      </c>
      <c r="AB69" s="50" t="s">
        <v>45</v>
      </c>
    </row>
    <row r="70" spans="1:28" x14ac:dyDescent="0.4">
      <c r="A70" s="153"/>
      <c r="B70" s="156"/>
      <c r="C70" s="85" t="s">
        <v>247</v>
      </c>
      <c r="D70" s="109" t="s">
        <v>182</v>
      </c>
      <c r="E70" s="15" t="s">
        <v>41</v>
      </c>
      <c r="F70" s="16"/>
      <c r="G70" s="12" t="s">
        <v>178</v>
      </c>
      <c r="H70" s="15"/>
      <c r="I70" s="15"/>
      <c r="J70" s="15">
        <v>1</v>
      </c>
      <c r="K70" s="15"/>
      <c r="L70" s="17"/>
      <c r="M70" s="17"/>
      <c r="N70" s="17"/>
      <c r="O70" s="17"/>
      <c r="P70" s="17"/>
      <c r="Q70" s="17"/>
      <c r="R70" s="17"/>
      <c r="S70" s="15"/>
      <c r="T70" s="25">
        <v>46125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53"/>
      <c r="B71" s="156"/>
      <c r="C71" s="85" t="s">
        <v>248</v>
      </c>
      <c r="D71" s="109" t="s">
        <v>182</v>
      </c>
      <c r="E71" s="15" t="s">
        <v>42</v>
      </c>
      <c r="F71" s="16"/>
      <c r="G71" s="12" t="s">
        <v>178</v>
      </c>
      <c r="H71" s="15"/>
      <c r="I71" s="15"/>
      <c r="J71" s="15"/>
      <c r="K71" s="15"/>
      <c r="L71" s="17"/>
      <c r="M71" s="17"/>
      <c r="N71" s="17"/>
      <c r="O71" s="17"/>
      <c r="P71" s="17"/>
      <c r="Q71" s="17"/>
      <c r="R71" s="17"/>
      <c r="S71" s="15">
        <v>1</v>
      </c>
      <c r="T71" s="25">
        <v>46125</v>
      </c>
      <c r="U71" s="15" t="s">
        <v>146</v>
      </c>
      <c r="V71">
        <v>9</v>
      </c>
      <c r="AA71" s="49" t="s">
        <v>88</v>
      </c>
      <c r="AB71" s="50" t="s">
        <v>74</v>
      </c>
    </row>
    <row r="72" spans="1:28" x14ac:dyDescent="0.4">
      <c r="A72" s="153"/>
      <c r="B72" s="156"/>
      <c r="C72" s="85" t="s">
        <v>249</v>
      </c>
      <c r="D72" s="109" t="s">
        <v>182</v>
      </c>
      <c r="E72" s="18" t="s">
        <v>41</v>
      </c>
      <c r="F72" s="16"/>
      <c r="G72" s="12" t="s">
        <v>178</v>
      </c>
      <c r="H72" s="15"/>
      <c r="I72" s="15"/>
      <c r="J72" s="18">
        <v>1</v>
      </c>
      <c r="K72" s="15"/>
      <c r="L72" s="19"/>
      <c r="M72" s="19"/>
      <c r="N72" s="19"/>
      <c r="O72" s="19"/>
      <c r="P72" s="19"/>
      <c r="Q72" s="19"/>
      <c r="R72" s="19"/>
      <c r="S72" s="15"/>
      <c r="T72" s="25">
        <v>46125</v>
      </c>
      <c r="U72" s="15" t="s">
        <v>146</v>
      </c>
      <c r="V72">
        <v>10</v>
      </c>
      <c r="AA72" s="49" t="s">
        <v>89</v>
      </c>
      <c r="AB72" s="50" t="s">
        <v>36</v>
      </c>
    </row>
    <row r="73" spans="1:28" x14ac:dyDescent="0.4">
      <c r="A73" s="153"/>
      <c r="B73" s="156"/>
      <c r="C73" s="85" t="s">
        <v>250</v>
      </c>
      <c r="D73" s="109" t="s">
        <v>182</v>
      </c>
      <c r="E73" s="18" t="s">
        <v>42</v>
      </c>
      <c r="F73" s="16"/>
      <c r="G73" s="12" t="s">
        <v>178</v>
      </c>
      <c r="H73" s="15"/>
      <c r="I73" s="15"/>
      <c r="J73" s="18"/>
      <c r="K73" s="15"/>
      <c r="L73" s="19"/>
      <c r="M73" s="19"/>
      <c r="N73" s="19"/>
      <c r="O73" s="19"/>
      <c r="P73" s="19"/>
      <c r="Q73" s="19"/>
      <c r="R73" s="19"/>
      <c r="S73" s="15">
        <v>1</v>
      </c>
      <c r="T73" s="25">
        <v>46125</v>
      </c>
      <c r="U73" s="15" t="s">
        <v>146</v>
      </c>
      <c r="V73">
        <v>11</v>
      </c>
      <c r="AA73" s="49" t="s">
        <v>90</v>
      </c>
      <c r="AB73" s="50" t="s">
        <v>58</v>
      </c>
    </row>
    <row r="74" spans="1:28" x14ac:dyDescent="0.4">
      <c r="A74" s="153"/>
      <c r="B74" s="156"/>
      <c r="C74" s="85" t="s">
        <v>251</v>
      </c>
      <c r="D74" s="109" t="s">
        <v>182</v>
      </c>
      <c r="E74" s="18" t="s">
        <v>41</v>
      </c>
      <c r="F74" s="16"/>
      <c r="G74" s="12" t="s">
        <v>178</v>
      </c>
      <c r="H74" s="15"/>
      <c r="I74" s="15"/>
      <c r="J74" s="18">
        <v>1</v>
      </c>
      <c r="K74" s="15"/>
      <c r="L74" s="19"/>
      <c r="M74" s="19"/>
      <c r="N74" s="19"/>
      <c r="O74" s="19"/>
      <c r="P74" s="19"/>
      <c r="Q74" s="19"/>
      <c r="R74" s="19"/>
      <c r="S74" s="15"/>
      <c r="T74" s="25">
        <v>46125</v>
      </c>
      <c r="U74" s="15" t="s">
        <v>146</v>
      </c>
      <c r="V74">
        <v>12</v>
      </c>
      <c r="AA74" s="49" t="s">
        <v>91</v>
      </c>
      <c r="AB74" s="50" t="s">
        <v>75</v>
      </c>
    </row>
    <row r="75" spans="1:28" x14ac:dyDescent="0.4">
      <c r="A75" s="153"/>
      <c r="B75" s="156"/>
      <c r="C75" s="85" t="s">
        <v>252</v>
      </c>
      <c r="D75" s="109" t="s">
        <v>253</v>
      </c>
      <c r="E75" s="18" t="s">
        <v>37</v>
      </c>
      <c r="F75" s="16"/>
      <c r="G75" s="12" t="s">
        <v>178</v>
      </c>
      <c r="H75" s="15"/>
      <c r="I75" s="15"/>
      <c r="J75" s="18"/>
      <c r="K75" s="15"/>
      <c r="L75" s="19"/>
      <c r="M75" s="19">
        <v>1</v>
      </c>
      <c r="N75" s="19"/>
      <c r="O75" s="19"/>
      <c r="P75" s="19"/>
      <c r="Q75" s="19">
        <v>1</v>
      </c>
      <c r="R75" s="19"/>
      <c r="S75" s="15"/>
      <c r="T75" s="26">
        <v>46121</v>
      </c>
      <c r="U75" s="15" t="s">
        <v>147</v>
      </c>
      <c r="V75">
        <v>13</v>
      </c>
      <c r="AA75" s="49" t="s">
        <v>92</v>
      </c>
      <c r="AB75" s="50" t="s">
        <v>40</v>
      </c>
    </row>
    <row r="76" spans="1:28" x14ac:dyDescent="0.4">
      <c r="A76" s="153"/>
      <c r="B76" s="156"/>
      <c r="C76" s="86" t="s">
        <v>254</v>
      </c>
      <c r="D76" s="109" t="s">
        <v>253</v>
      </c>
      <c r="E76" s="18" t="s">
        <v>37</v>
      </c>
      <c r="F76" s="16"/>
      <c r="G76" s="12" t="s">
        <v>178</v>
      </c>
      <c r="H76" s="15"/>
      <c r="I76" s="15"/>
      <c r="J76" s="18"/>
      <c r="K76" s="15"/>
      <c r="L76" s="19"/>
      <c r="M76" s="19">
        <v>1</v>
      </c>
      <c r="N76" s="19"/>
      <c r="O76" s="19"/>
      <c r="P76" s="19"/>
      <c r="Q76" s="19">
        <v>1</v>
      </c>
      <c r="R76" s="19"/>
      <c r="S76" s="15"/>
      <c r="T76" s="26">
        <v>46121</v>
      </c>
      <c r="U76" s="15" t="s">
        <v>147</v>
      </c>
      <c r="V76">
        <v>14</v>
      </c>
      <c r="AA76" s="49" t="s">
        <v>93</v>
      </c>
      <c r="AB76" s="50" t="s">
        <v>57</v>
      </c>
    </row>
    <row r="77" spans="1:28" x14ac:dyDescent="0.4">
      <c r="A77" s="153"/>
      <c r="B77" s="156"/>
      <c r="C77" s="86" t="s">
        <v>255</v>
      </c>
      <c r="D77" s="110" t="s">
        <v>239</v>
      </c>
      <c r="E77" s="18" t="s">
        <v>36</v>
      </c>
      <c r="F77" s="16"/>
      <c r="G77" s="18" t="s">
        <v>178</v>
      </c>
      <c r="H77" s="15"/>
      <c r="I77" s="15"/>
      <c r="J77" s="18">
        <v>1</v>
      </c>
      <c r="K77" s="15">
        <v>1</v>
      </c>
      <c r="L77" s="19"/>
      <c r="M77" s="19"/>
      <c r="N77" s="19"/>
      <c r="O77" s="19"/>
      <c r="P77" s="19"/>
      <c r="Q77" s="19"/>
      <c r="R77" s="19"/>
      <c r="S77" s="15"/>
      <c r="T77" s="26">
        <v>46126</v>
      </c>
      <c r="U77" s="15" t="s">
        <v>146</v>
      </c>
      <c r="V77">
        <v>15</v>
      </c>
      <c r="AA77" s="49" t="s">
        <v>94</v>
      </c>
      <c r="AB77" s="50" t="s">
        <v>41</v>
      </c>
    </row>
    <row r="78" spans="1:28" x14ac:dyDescent="0.4">
      <c r="A78" s="153"/>
      <c r="B78" s="156"/>
      <c r="C78" s="86"/>
      <c r="D78" s="106"/>
      <c r="E78" s="15"/>
      <c r="F78" s="16"/>
      <c r="G78" s="15"/>
      <c r="H78" s="15"/>
      <c r="I78" s="15"/>
      <c r="J78" s="15"/>
      <c r="K78" s="15"/>
      <c r="L78" s="17"/>
      <c r="M78" s="17"/>
      <c r="N78" s="17"/>
      <c r="O78" s="17"/>
      <c r="P78" s="17"/>
      <c r="Q78" s="17"/>
      <c r="R78" s="17"/>
      <c r="S78" s="15"/>
      <c r="T78" s="26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53"/>
      <c r="B79" s="156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53"/>
      <c r="B80" s="156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53"/>
      <c r="B81" s="156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53"/>
      <c r="B82" s="156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53"/>
      <c r="B83" s="156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53"/>
      <c r="B84" s="156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53"/>
      <c r="B85" s="156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53"/>
      <c r="B86" s="156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54"/>
      <c r="B87" s="157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15</v>
      </c>
      <c r="D88" s="112"/>
      <c r="E88" s="29"/>
      <c r="F88" s="29" t="s">
        <v>34</v>
      </c>
      <c r="G88" s="29">
        <f>COUNTIF(G63:G87,"S")</f>
        <v>15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1</v>
      </c>
      <c r="L88" s="29">
        <f t="shared" si="2"/>
        <v>0</v>
      </c>
      <c r="M88" s="29">
        <f t="shared" si="2"/>
        <v>2</v>
      </c>
      <c r="N88" s="29">
        <f t="shared" si="2"/>
        <v>0</v>
      </c>
      <c r="O88" s="29">
        <f t="shared" si="2"/>
        <v>0</v>
      </c>
      <c r="P88" s="29">
        <f t="shared" si="2"/>
        <v>0</v>
      </c>
      <c r="Q88" s="29">
        <f t="shared" si="2"/>
        <v>2</v>
      </c>
      <c r="R88" s="29">
        <f t="shared" si="2"/>
        <v>0</v>
      </c>
      <c r="S88" s="29">
        <f t="shared" si="2"/>
        <v>6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11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AYG134</v>
      </c>
      <c r="B91" s="24">
        <f>B1</f>
        <v>46084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45" t="s">
        <v>117</v>
      </c>
      <c r="Y92" s="151"/>
    </row>
    <row r="93" spans="1:28" ht="20.25" thickTop="1" thickBot="1" x14ac:dyDescent="0.45">
      <c r="A93" s="152">
        <v>4</v>
      </c>
      <c r="B93" s="142">
        <v>20.8</v>
      </c>
      <c r="C93" s="85" t="s">
        <v>256</v>
      </c>
      <c r="D93" s="109" t="s">
        <v>182</v>
      </c>
      <c r="E93" s="15" t="s">
        <v>42</v>
      </c>
      <c r="F93" s="14"/>
      <c r="G93" s="12" t="s">
        <v>178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>
        <v>1</v>
      </c>
      <c r="T93" s="25">
        <v>46125</v>
      </c>
      <c r="U93" s="13" t="s">
        <v>146</v>
      </c>
      <c r="V93">
        <v>1</v>
      </c>
      <c r="X93" s="51" t="s">
        <v>106</v>
      </c>
      <c r="Y93" s="52">
        <f>COUNTIF(U93:U117,"K")</f>
        <v>14</v>
      </c>
      <c r="AA93" s="59" t="s">
        <v>120</v>
      </c>
      <c r="AB93" s="60" t="s">
        <v>121</v>
      </c>
    </row>
    <row r="94" spans="1:28" x14ac:dyDescent="0.4">
      <c r="A94" s="153"/>
      <c r="B94" s="143"/>
      <c r="C94" s="85" t="s">
        <v>257</v>
      </c>
      <c r="D94" s="109" t="s">
        <v>182</v>
      </c>
      <c r="E94" s="15" t="s">
        <v>41</v>
      </c>
      <c r="F94" s="16"/>
      <c r="G94" s="12" t="s">
        <v>178</v>
      </c>
      <c r="H94" s="15"/>
      <c r="I94" s="15"/>
      <c r="J94" s="13">
        <v>1</v>
      </c>
      <c r="K94" s="15"/>
      <c r="L94" s="13"/>
      <c r="M94" s="17"/>
      <c r="N94" s="17"/>
      <c r="O94" s="17"/>
      <c r="P94" s="17"/>
      <c r="Q94" s="17"/>
      <c r="R94" s="17"/>
      <c r="S94" s="15"/>
      <c r="T94" s="25">
        <v>46125</v>
      </c>
      <c r="U94" s="13" t="s">
        <v>146</v>
      </c>
      <c r="V94">
        <v>2</v>
      </c>
      <c r="X94" s="51" t="s">
        <v>107</v>
      </c>
      <c r="Y94" s="52">
        <f>COUNTIF(U93:U117,"R")</f>
        <v>0</v>
      </c>
      <c r="AA94" s="47" t="s">
        <v>81</v>
      </c>
      <c r="AB94" s="48" t="s">
        <v>60</v>
      </c>
    </row>
    <row r="95" spans="1:28" ht="19.5" thickBot="1" x14ac:dyDescent="0.45">
      <c r="A95" s="153"/>
      <c r="B95" s="143"/>
      <c r="C95" s="85" t="s">
        <v>258</v>
      </c>
      <c r="D95" s="109" t="s">
        <v>182</v>
      </c>
      <c r="E95" s="15" t="s">
        <v>42</v>
      </c>
      <c r="F95" s="16"/>
      <c r="G95" s="12" t="s">
        <v>178</v>
      </c>
      <c r="H95" s="15"/>
      <c r="I95" s="15"/>
      <c r="J95" s="13"/>
      <c r="K95" s="15"/>
      <c r="L95" s="13"/>
      <c r="M95" s="17"/>
      <c r="N95" s="17"/>
      <c r="O95" s="17"/>
      <c r="P95" s="17"/>
      <c r="Q95" s="17"/>
      <c r="R95" s="17"/>
      <c r="S95" s="15">
        <v>1</v>
      </c>
      <c r="T95" s="25">
        <v>46125</v>
      </c>
      <c r="U95" s="13" t="s">
        <v>146</v>
      </c>
      <c r="V95">
        <v>3</v>
      </c>
      <c r="X95" s="53" t="s">
        <v>108</v>
      </c>
      <c r="Y95" s="54">
        <f>COUNTIF(U93:U117,"J")</f>
        <v>0</v>
      </c>
      <c r="AA95" s="49" t="s">
        <v>122</v>
      </c>
      <c r="AB95" s="50" t="s">
        <v>39</v>
      </c>
    </row>
    <row r="96" spans="1:28" x14ac:dyDescent="0.4">
      <c r="A96" s="153"/>
      <c r="B96" s="143"/>
      <c r="C96" s="85" t="s">
        <v>259</v>
      </c>
      <c r="D96" s="109" t="s">
        <v>182</v>
      </c>
      <c r="E96" s="15" t="s">
        <v>41</v>
      </c>
      <c r="F96" s="16"/>
      <c r="G96" s="12" t="s">
        <v>178</v>
      </c>
      <c r="H96" s="15"/>
      <c r="I96" s="15"/>
      <c r="J96" s="13">
        <v>1</v>
      </c>
      <c r="K96" s="15"/>
      <c r="L96" s="13"/>
      <c r="M96" s="17"/>
      <c r="N96" s="17"/>
      <c r="O96" s="17"/>
      <c r="P96" s="17"/>
      <c r="Q96" s="17"/>
      <c r="R96" s="17"/>
      <c r="S96" s="15"/>
      <c r="T96" s="25">
        <v>46125</v>
      </c>
      <c r="U96" s="13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53"/>
      <c r="B97" s="143"/>
      <c r="C97" s="85" t="s">
        <v>260</v>
      </c>
      <c r="D97" s="109" t="s">
        <v>182</v>
      </c>
      <c r="E97" s="15" t="s">
        <v>42</v>
      </c>
      <c r="F97" s="16"/>
      <c r="G97" s="12" t="s">
        <v>178</v>
      </c>
      <c r="H97" s="15"/>
      <c r="I97" s="15"/>
      <c r="J97" s="13"/>
      <c r="K97" s="15"/>
      <c r="L97" s="13"/>
      <c r="M97" s="17"/>
      <c r="N97" s="17"/>
      <c r="O97" s="17"/>
      <c r="P97" s="17"/>
      <c r="Q97" s="17"/>
      <c r="R97" s="17"/>
      <c r="S97" s="15">
        <v>1</v>
      </c>
      <c r="T97" s="25">
        <v>46125</v>
      </c>
      <c r="U97" s="13" t="s">
        <v>146</v>
      </c>
      <c r="V97">
        <v>5</v>
      </c>
      <c r="AA97" s="49" t="s">
        <v>84</v>
      </c>
      <c r="AB97" s="50" t="s">
        <v>44</v>
      </c>
    </row>
    <row r="98" spans="1:28" x14ac:dyDescent="0.4">
      <c r="A98" s="153"/>
      <c r="B98" s="143"/>
      <c r="C98" s="85" t="s">
        <v>261</v>
      </c>
      <c r="D98" s="109" t="s">
        <v>182</v>
      </c>
      <c r="E98" s="15" t="s">
        <v>41</v>
      </c>
      <c r="F98" s="16"/>
      <c r="G98" s="12" t="s">
        <v>178</v>
      </c>
      <c r="H98" s="13"/>
      <c r="I98" s="15"/>
      <c r="J98" s="13">
        <v>1</v>
      </c>
      <c r="K98" s="15"/>
      <c r="L98" s="13"/>
      <c r="M98" s="17"/>
      <c r="N98" s="17"/>
      <c r="O98" s="17"/>
      <c r="P98" s="17"/>
      <c r="Q98" s="17"/>
      <c r="R98" s="17"/>
      <c r="S98" s="15"/>
      <c r="T98" s="25">
        <v>46125</v>
      </c>
      <c r="U98" s="13" t="s">
        <v>146</v>
      </c>
      <c r="V98">
        <v>6</v>
      </c>
      <c r="AA98" s="49" t="s">
        <v>85</v>
      </c>
      <c r="AB98" s="50" t="s">
        <v>43</v>
      </c>
    </row>
    <row r="99" spans="1:28" x14ac:dyDescent="0.4">
      <c r="A99" s="153"/>
      <c r="B99" s="143"/>
      <c r="C99" s="85" t="s">
        <v>262</v>
      </c>
      <c r="D99" s="109" t="s">
        <v>182</v>
      </c>
      <c r="E99" s="15" t="s">
        <v>42</v>
      </c>
      <c r="F99" s="16"/>
      <c r="G99" s="12" t="s">
        <v>178</v>
      </c>
      <c r="H99" s="15"/>
      <c r="I99" s="15"/>
      <c r="J99" s="13"/>
      <c r="K99" s="15"/>
      <c r="L99" s="13"/>
      <c r="M99" s="17"/>
      <c r="N99" s="17"/>
      <c r="O99" s="17"/>
      <c r="P99" s="17"/>
      <c r="Q99" s="17"/>
      <c r="R99" s="17"/>
      <c r="S99" s="15">
        <v>1</v>
      </c>
      <c r="T99" s="25">
        <v>46125</v>
      </c>
      <c r="U99" s="13" t="s">
        <v>146</v>
      </c>
      <c r="V99">
        <v>7</v>
      </c>
      <c r="AA99" s="49" t="s">
        <v>86</v>
      </c>
      <c r="AB99" s="50" t="s">
        <v>45</v>
      </c>
    </row>
    <row r="100" spans="1:28" x14ac:dyDescent="0.4">
      <c r="A100" s="153"/>
      <c r="B100" s="143"/>
      <c r="C100" s="85" t="s">
        <v>263</v>
      </c>
      <c r="D100" s="109" t="s">
        <v>182</v>
      </c>
      <c r="E100" s="15" t="s">
        <v>41</v>
      </c>
      <c r="F100" s="16"/>
      <c r="G100" s="12" t="s">
        <v>178</v>
      </c>
      <c r="H100" s="15"/>
      <c r="I100" s="15"/>
      <c r="J100" s="13">
        <v>1</v>
      </c>
      <c r="K100" s="15"/>
      <c r="L100" s="13"/>
      <c r="M100" s="17"/>
      <c r="N100" s="17"/>
      <c r="O100" s="17"/>
      <c r="P100" s="17"/>
      <c r="Q100" s="17"/>
      <c r="R100" s="17"/>
      <c r="S100" s="15"/>
      <c r="T100" s="25">
        <v>46125</v>
      </c>
      <c r="U100" s="13" t="s">
        <v>146</v>
      </c>
      <c r="V100">
        <v>8</v>
      </c>
      <c r="AA100" s="49" t="s">
        <v>87</v>
      </c>
      <c r="AB100" s="50" t="s">
        <v>37</v>
      </c>
    </row>
    <row r="101" spans="1:28" x14ac:dyDescent="0.4">
      <c r="A101" s="153"/>
      <c r="B101" s="143"/>
      <c r="C101" s="85" t="s">
        <v>264</v>
      </c>
      <c r="D101" s="109" t="s">
        <v>182</v>
      </c>
      <c r="E101" s="15" t="s">
        <v>42</v>
      </c>
      <c r="F101" s="16"/>
      <c r="G101" s="12" t="s">
        <v>178</v>
      </c>
      <c r="H101" s="15"/>
      <c r="I101" s="15"/>
      <c r="J101" s="13"/>
      <c r="K101" s="15"/>
      <c r="L101" s="13"/>
      <c r="M101" s="17"/>
      <c r="N101" s="17"/>
      <c r="O101" s="17"/>
      <c r="P101" s="17"/>
      <c r="Q101" s="17"/>
      <c r="R101" s="17"/>
      <c r="S101" s="15">
        <v>1</v>
      </c>
      <c r="T101" s="25">
        <v>46125</v>
      </c>
      <c r="U101" s="13" t="s">
        <v>146</v>
      </c>
      <c r="V101">
        <v>9</v>
      </c>
      <c r="AA101" s="49" t="s">
        <v>88</v>
      </c>
      <c r="AB101" s="50" t="s">
        <v>74</v>
      </c>
    </row>
    <row r="102" spans="1:28" x14ac:dyDescent="0.4">
      <c r="A102" s="153"/>
      <c r="B102" s="143"/>
      <c r="C102" s="85" t="s">
        <v>265</v>
      </c>
      <c r="D102" s="109" t="s">
        <v>182</v>
      </c>
      <c r="E102" s="15" t="s">
        <v>41</v>
      </c>
      <c r="F102" s="16"/>
      <c r="G102" s="12" t="s">
        <v>178</v>
      </c>
      <c r="H102" s="15"/>
      <c r="I102" s="15"/>
      <c r="J102" s="13">
        <v>1</v>
      </c>
      <c r="K102" s="15"/>
      <c r="L102" s="13"/>
      <c r="M102" s="17"/>
      <c r="N102" s="17"/>
      <c r="O102" s="17"/>
      <c r="P102" s="17"/>
      <c r="Q102" s="17"/>
      <c r="R102" s="17"/>
      <c r="S102" s="15"/>
      <c r="T102" s="25">
        <v>46125</v>
      </c>
      <c r="U102" s="13" t="s">
        <v>146</v>
      </c>
      <c r="V102">
        <v>10</v>
      </c>
      <c r="AA102" s="49" t="s">
        <v>89</v>
      </c>
      <c r="AB102" s="50" t="s">
        <v>36</v>
      </c>
    </row>
    <row r="103" spans="1:28" x14ac:dyDescent="0.4">
      <c r="A103" s="153"/>
      <c r="B103" s="143"/>
      <c r="C103" s="85" t="s">
        <v>266</v>
      </c>
      <c r="D103" s="109" t="s">
        <v>182</v>
      </c>
      <c r="E103" s="15" t="s">
        <v>42</v>
      </c>
      <c r="F103" s="16"/>
      <c r="G103" s="12" t="s">
        <v>178</v>
      </c>
      <c r="H103" s="15"/>
      <c r="I103" s="15"/>
      <c r="J103" s="13"/>
      <c r="K103" s="15"/>
      <c r="L103" s="13"/>
      <c r="M103" s="17"/>
      <c r="N103" s="17"/>
      <c r="O103" s="17"/>
      <c r="P103" s="17"/>
      <c r="Q103" s="17"/>
      <c r="R103" s="17"/>
      <c r="S103" s="15">
        <v>1</v>
      </c>
      <c r="T103" s="25">
        <v>46125</v>
      </c>
      <c r="U103" s="13" t="s">
        <v>146</v>
      </c>
      <c r="V103">
        <v>11</v>
      </c>
      <c r="AA103" s="49" t="s">
        <v>90</v>
      </c>
      <c r="AB103" s="50" t="s">
        <v>58</v>
      </c>
    </row>
    <row r="104" spans="1:28" x14ac:dyDescent="0.4">
      <c r="A104" s="153"/>
      <c r="B104" s="143"/>
      <c r="C104" s="85" t="s">
        <v>267</v>
      </c>
      <c r="D104" s="109" t="s">
        <v>182</v>
      </c>
      <c r="E104" s="15" t="s">
        <v>41</v>
      </c>
      <c r="F104" s="16"/>
      <c r="G104" s="12" t="s">
        <v>178</v>
      </c>
      <c r="H104" s="15"/>
      <c r="I104" s="15"/>
      <c r="J104" s="13">
        <v>1</v>
      </c>
      <c r="K104" s="15"/>
      <c r="L104" s="13"/>
      <c r="M104" s="17"/>
      <c r="N104" s="17"/>
      <c r="O104" s="17"/>
      <c r="P104" s="17"/>
      <c r="Q104" s="17"/>
      <c r="R104" s="17"/>
      <c r="S104" s="15"/>
      <c r="T104" s="25">
        <v>46125</v>
      </c>
      <c r="U104" s="13" t="s">
        <v>146</v>
      </c>
      <c r="V104">
        <v>12</v>
      </c>
      <c r="AA104" s="49" t="s">
        <v>91</v>
      </c>
      <c r="AB104" s="50" t="s">
        <v>75</v>
      </c>
    </row>
    <row r="105" spans="1:28" x14ac:dyDescent="0.4">
      <c r="A105" s="153"/>
      <c r="B105" s="143"/>
      <c r="C105" s="85" t="s">
        <v>268</v>
      </c>
      <c r="D105" s="109" t="s">
        <v>181</v>
      </c>
      <c r="E105" s="15" t="s">
        <v>36</v>
      </c>
      <c r="F105" s="16"/>
      <c r="G105" s="12" t="s">
        <v>178</v>
      </c>
      <c r="H105" s="15"/>
      <c r="I105" s="15"/>
      <c r="J105" s="13">
        <v>1</v>
      </c>
      <c r="K105" s="15">
        <v>1</v>
      </c>
      <c r="L105" s="13"/>
      <c r="M105" s="17"/>
      <c r="N105" s="17"/>
      <c r="O105" s="17"/>
      <c r="P105" s="17"/>
      <c r="Q105" s="17"/>
      <c r="R105" s="17"/>
      <c r="S105" s="15"/>
      <c r="T105" s="25">
        <v>46117</v>
      </c>
      <c r="U105" s="13" t="s">
        <v>146</v>
      </c>
      <c r="V105">
        <v>13</v>
      </c>
      <c r="AA105" s="49" t="s">
        <v>92</v>
      </c>
      <c r="AB105" s="50" t="s">
        <v>40</v>
      </c>
    </row>
    <row r="106" spans="1:28" x14ac:dyDescent="0.4">
      <c r="A106" s="153"/>
      <c r="B106" s="143"/>
      <c r="C106" s="85" t="s">
        <v>269</v>
      </c>
      <c r="D106" s="109" t="s">
        <v>184</v>
      </c>
      <c r="E106" s="15" t="s">
        <v>38</v>
      </c>
      <c r="F106" s="16"/>
      <c r="G106" s="12" t="s">
        <v>178</v>
      </c>
      <c r="H106" s="15"/>
      <c r="I106" s="15"/>
      <c r="J106" s="13">
        <v>1</v>
      </c>
      <c r="K106" s="15">
        <v>1</v>
      </c>
      <c r="L106" s="13"/>
      <c r="M106" s="17"/>
      <c r="N106" s="17"/>
      <c r="O106" s="17"/>
      <c r="P106" s="17"/>
      <c r="Q106" s="17"/>
      <c r="R106" s="17"/>
      <c r="S106" s="15"/>
      <c r="T106" s="25">
        <v>46111</v>
      </c>
      <c r="U106" s="13" t="s">
        <v>146</v>
      </c>
      <c r="V106">
        <v>14</v>
      </c>
      <c r="AA106" s="49" t="s">
        <v>93</v>
      </c>
      <c r="AB106" s="50" t="s">
        <v>57</v>
      </c>
    </row>
    <row r="107" spans="1:28" x14ac:dyDescent="0.4">
      <c r="A107" s="153"/>
      <c r="B107" s="143"/>
      <c r="C107" s="85"/>
      <c r="D107" s="109"/>
      <c r="E107" s="15"/>
      <c r="F107" s="16"/>
      <c r="G107" s="12"/>
      <c r="H107" s="15"/>
      <c r="I107" s="15"/>
      <c r="J107" s="13"/>
      <c r="K107" s="15"/>
      <c r="L107" s="13"/>
      <c r="M107" s="17"/>
      <c r="N107" s="17"/>
      <c r="O107" s="17"/>
      <c r="P107" s="17"/>
      <c r="Q107" s="17"/>
      <c r="R107" s="17"/>
      <c r="S107" s="15"/>
      <c r="T107" s="25"/>
      <c r="U107" s="13"/>
      <c r="V107">
        <v>15</v>
      </c>
      <c r="AA107" s="49" t="s">
        <v>94</v>
      </c>
      <c r="AB107" s="50" t="s">
        <v>41</v>
      </c>
    </row>
    <row r="108" spans="1:28" x14ac:dyDescent="0.4">
      <c r="A108" s="153"/>
      <c r="B108" s="143"/>
      <c r="C108" s="85"/>
      <c r="D108" s="109"/>
      <c r="E108" s="15"/>
      <c r="F108" s="16"/>
      <c r="G108" s="12"/>
      <c r="H108" s="15"/>
      <c r="I108" s="15"/>
      <c r="J108" s="13"/>
      <c r="K108" s="15"/>
      <c r="L108" s="13"/>
      <c r="M108" s="19"/>
      <c r="N108" s="19"/>
      <c r="O108" s="19"/>
      <c r="P108" s="19"/>
      <c r="Q108" s="19"/>
      <c r="R108" s="19"/>
      <c r="S108" s="15"/>
      <c r="T108" s="25"/>
      <c r="U108" s="13"/>
      <c r="V108">
        <v>16</v>
      </c>
      <c r="AA108" s="49" t="s">
        <v>95</v>
      </c>
      <c r="AB108" s="50" t="s">
        <v>42</v>
      </c>
    </row>
    <row r="109" spans="1:28" x14ac:dyDescent="0.4">
      <c r="A109" s="153"/>
      <c r="B109" s="143"/>
      <c r="C109" s="85"/>
      <c r="D109" s="109"/>
      <c r="E109" s="15"/>
      <c r="F109" s="16"/>
      <c r="G109" s="12"/>
      <c r="H109" s="15"/>
      <c r="I109" s="15"/>
      <c r="J109" s="13"/>
      <c r="K109" s="15"/>
      <c r="L109" s="13"/>
      <c r="M109" s="19"/>
      <c r="N109" s="19"/>
      <c r="O109" s="19"/>
      <c r="P109" s="19"/>
      <c r="Q109" s="19"/>
      <c r="R109" s="19"/>
      <c r="S109" s="15"/>
      <c r="T109" s="25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53"/>
      <c r="B110" s="143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53"/>
      <c r="B111" s="143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53"/>
      <c r="B112" s="143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53"/>
      <c r="B113" s="143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53"/>
      <c r="B114" s="143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53"/>
      <c r="B115" s="143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53"/>
      <c r="B116" s="143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54"/>
      <c r="B117" s="144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14</v>
      </c>
      <c r="D118" s="112"/>
      <c r="E118" s="29"/>
      <c r="F118" s="29" t="s">
        <v>34</v>
      </c>
      <c r="G118" s="29">
        <f>COUNTIF(G93:G117,"S")</f>
        <v>14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8</v>
      </c>
      <c r="K118" s="29">
        <f t="shared" ref="K118" si="4">SUM(K93:K117)</f>
        <v>2</v>
      </c>
      <c r="L118" s="29">
        <f t="shared" ref="L118" si="5">SUM(L93:L117)</f>
        <v>0</v>
      </c>
      <c r="M118" s="29">
        <f t="shared" ref="M118" si="6">SUM(M93:M117)</f>
        <v>0</v>
      </c>
      <c r="N118" s="29">
        <f t="shared" ref="N118" si="7">SUM(N93:N117)</f>
        <v>0</v>
      </c>
      <c r="O118" s="29">
        <f t="shared" ref="O118" si="8">SUM(O93:O117)</f>
        <v>0</v>
      </c>
      <c r="P118" s="29">
        <f t="shared" ref="P118" si="9">SUM(P93:P117)</f>
        <v>0</v>
      </c>
      <c r="Q118" s="29">
        <f t="shared" ref="Q118" si="10">SUM(Q93:Q117)</f>
        <v>0</v>
      </c>
      <c r="R118" s="29">
        <f t="shared" ref="R118" si="11">SUM(R93:R117)</f>
        <v>0</v>
      </c>
      <c r="S118" s="29">
        <f t="shared" ref="S118" si="12">SUM(S93:S117)</f>
        <v>6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16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AYG134</v>
      </c>
      <c r="B121" s="24">
        <f>B1</f>
        <v>46084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45" t="s">
        <v>116</v>
      </c>
      <c r="Y122" s="151"/>
    </row>
    <row r="123" spans="1:28" ht="20.25" thickTop="1" thickBot="1" x14ac:dyDescent="0.45">
      <c r="A123" s="152">
        <v>5</v>
      </c>
      <c r="B123" s="142">
        <v>24</v>
      </c>
      <c r="C123" s="85" t="s">
        <v>270</v>
      </c>
      <c r="D123" s="109" t="s">
        <v>189</v>
      </c>
      <c r="E123" s="15" t="s">
        <v>38</v>
      </c>
      <c r="F123" s="14"/>
      <c r="G123" s="12" t="s">
        <v>178</v>
      </c>
      <c r="H123" s="13"/>
      <c r="I123" s="13"/>
      <c r="J123" s="13">
        <v>1</v>
      </c>
      <c r="K123" s="13">
        <v>1</v>
      </c>
      <c r="L123" s="13"/>
      <c r="M123" s="13"/>
      <c r="N123" s="13"/>
      <c r="O123" s="13"/>
      <c r="P123" s="13"/>
      <c r="Q123" s="13"/>
      <c r="R123" s="13"/>
      <c r="S123" s="13"/>
      <c r="T123" s="25">
        <v>46106</v>
      </c>
      <c r="U123" s="13" t="s">
        <v>146</v>
      </c>
      <c r="V123">
        <v>1</v>
      </c>
      <c r="X123" s="51" t="s">
        <v>106</v>
      </c>
      <c r="Y123" s="52">
        <f>COUNTIF(U123:U147,"K")</f>
        <v>10</v>
      </c>
      <c r="AA123" s="59" t="s">
        <v>120</v>
      </c>
      <c r="AB123" s="60" t="s">
        <v>121</v>
      </c>
    </row>
    <row r="124" spans="1:28" x14ac:dyDescent="0.4">
      <c r="A124" s="153"/>
      <c r="B124" s="143"/>
      <c r="C124" s="85" t="s">
        <v>271</v>
      </c>
      <c r="D124" s="109" t="s">
        <v>179</v>
      </c>
      <c r="E124" s="15" t="s">
        <v>38</v>
      </c>
      <c r="F124" s="16"/>
      <c r="G124" s="12" t="s">
        <v>178</v>
      </c>
      <c r="H124" s="15"/>
      <c r="I124" s="15"/>
      <c r="J124" s="15">
        <v>1</v>
      </c>
      <c r="K124" s="15"/>
      <c r="L124" s="17"/>
      <c r="M124" s="17"/>
      <c r="N124" s="17"/>
      <c r="O124" s="17"/>
      <c r="P124" s="17"/>
      <c r="Q124" s="17"/>
      <c r="R124" s="17"/>
      <c r="S124" s="15"/>
      <c r="T124" s="25">
        <v>46106</v>
      </c>
      <c r="U124" s="13" t="s">
        <v>146</v>
      </c>
      <c r="V124">
        <v>2</v>
      </c>
      <c r="X124" s="51" t="s">
        <v>107</v>
      </c>
      <c r="Y124" s="52">
        <f>COUNTIF(U123:U147,"R")</f>
        <v>5</v>
      </c>
      <c r="AA124" s="47" t="s">
        <v>81</v>
      </c>
      <c r="AB124" s="48" t="s">
        <v>60</v>
      </c>
    </row>
    <row r="125" spans="1:28" ht="19.5" thickBot="1" x14ac:dyDescent="0.45">
      <c r="A125" s="153"/>
      <c r="B125" s="143"/>
      <c r="C125" s="85" t="s">
        <v>272</v>
      </c>
      <c r="D125" s="109" t="s">
        <v>189</v>
      </c>
      <c r="E125" s="15" t="s">
        <v>36</v>
      </c>
      <c r="F125" s="16"/>
      <c r="G125" s="12" t="s">
        <v>178</v>
      </c>
      <c r="H125" s="15"/>
      <c r="I125" s="15"/>
      <c r="J125" s="13">
        <v>1</v>
      </c>
      <c r="K125" s="13">
        <v>1</v>
      </c>
      <c r="L125" s="13"/>
      <c r="M125" s="17"/>
      <c r="N125" s="17"/>
      <c r="O125" s="17"/>
      <c r="P125" s="17"/>
      <c r="Q125" s="17"/>
      <c r="R125" s="17"/>
      <c r="S125" s="15"/>
      <c r="T125" s="25">
        <v>46134</v>
      </c>
      <c r="U125" s="13" t="s">
        <v>146</v>
      </c>
      <c r="V125">
        <v>3</v>
      </c>
      <c r="X125" s="53" t="s">
        <v>108</v>
      </c>
      <c r="Y125" s="54">
        <f>COUNTIF(U123:U147,"J")</f>
        <v>2</v>
      </c>
      <c r="AA125" s="49" t="s">
        <v>82</v>
      </c>
      <c r="AB125" s="50" t="s">
        <v>39</v>
      </c>
    </row>
    <row r="126" spans="1:28" x14ac:dyDescent="0.4">
      <c r="A126" s="153"/>
      <c r="B126" s="143"/>
      <c r="C126" s="85" t="s">
        <v>273</v>
      </c>
      <c r="D126" s="109" t="s">
        <v>188</v>
      </c>
      <c r="E126" s="15" t="s">
        <v>37</v>
      </c>
      <c r="F126" s="16"/>
      <c r="G126" s="12" t="s">
        <v>178</v>
      </c>
      <c r="H126" s="15"/>
      <c r="I126" s="15"/>
      <c r="J126" s="15">
        <v>1</v>
      </c>
      <c r="K126" s="15">
        <v>1</v>
      </c>
      <c r="L126" s="17"/>
      <c r="M126" s="17"/>
      <c r="N126" s="17"/>
      <c r="O126" s="17"/>
      <c r="P126" s="17"/>
      <c r="Q126" s="17"/>
      <c r="R126" s="17"/>
      <c r="S126" s="15"/>
      <c r="T126" s="25">
        <v>46123</v>
      </c>
      <c r="U126" s="13" t="s">
        <v>146</v>
      </c>
      <c r="V126">
        <v>4</v>
      </c>
      <c r="AA126" s="49" t="s">
        <v>83</v>
      </c>
      <c r="AB126" s="50" t="s">
        <v>38</v>
      </c>
    </row>
    <row r="127" spans="1:28" x14ac:dyDescent="0.4">
      <c r="A127" s="153"/>
      <c r="B127" s="143"/>
      <c r="C127" s="85" t="s">
        <v>274</v>
      </c>
      <c r="D127" s="109" t="s">
        <v>188</v>
      </c>
      <c r="E127" s="15" t="s">
        <v>37</v>
      </c>
      <c r="F127" s="16"/>
      <c r="G127" s="12" t="s">
        <v>178</v>
      </c>
      <c r="H127" s="15"/>
      <c r="I127" s="15"/>
      <c r="J127" s="13">
        <v>1</v>
      </c>
      <c r="K127" s="13">
        <v>1</v>
      </c>
      <c r="L127" s="13"/>
      <c r="M127" s="17"/>
      <c r="N127" s="17"/>
      <c r="O127" s="17"/>
      <c r="P127" s="17"/>
      <c r="Q127" s="17"/>
      <c r="R127" s="17"/>
      <c r="S127" s="15"/>
      <c r="T127" s="25">
        <v>46117</v>
      </c>
      <c r="U127" s="13" t="s">
        <v>146</v>
      </c>
      <c r="V127">
        <v>5</v>
      </c>
      <c r="AA127" s="49" t="s">
        <v>84</v>
      </c>
      <c r="AB127" s="50" t="s">
        <v>44</v>
      </c>
    </row>
    <row r="128" spans="1:28" x14ac:dyDescent="0.4">
      <c r="A128" s="153"/>
      <c r="B128" s="143"/>
      <c r="C128" s="85" t="s">
        <v>275</v>
      </c>
      <c r="D128" s="109" t="s">
        <v>188</v>
      </c>
      <c r="E128" s="15" t="s">
        <v>40</v>
      </c>
      <c r="F128" s="16"/>
      <c r="G128" s="12" t="s">
        <v>178</v>
      </c>
      <c r="H128" s="13"/>
      <c r="I128" s="15"/>
      <c r="J128" s="15"/>
      <c r="K128" s="15"/>
      <c r="L128" s="17"/>
      <c r="M128" s="17"/>
      <c r="N128" s="17"/>
      <c r="O128" s="17">
        <v>1</v>
      </c>
      <c r="P128" s="17">
        <v>1</v>
      </c>
      <c r="Q128" s="17"/>
      <c r="R128" s="17">
        <v>1</v>
      </c>
      <c r="S128" s="15"/>
      <c r="T128" s="25">
        <v>46117</v>
      </c>
      <c r="U128" s="13" t="s">
        <v>148</v>
      </c>
      <c r="V128">
        <v>6</v>
      </c>
      <c r="AA128" s="49" t="s">
        <v>85</v>
      </c>
      <c r="AB128" s="50" t="s">
        <v>43</v>
      </c>
    </row>
    <row r="129" spans="1:28" x14ac:dyDescent="0.4">
      <c r="A129" s="153"/>
      <c r="B129" s="143"/>
      <c r="C129" s="85" t="s">
        <v>276</v>
      </c>
      <c r="D129" s="109" t="s">
        <v>190</v>
      </c>
      <c r="E129" s="15" t="s">
        <v>38</v>
      </c>
      <c r="F129" s="16"/>
      <c r="G129" s="12" t="s">
        <v>178</v>
      </c>
      <c r="H129" s="15"/>
      <c r="I129" s="15"/>
      <c r="J129" s="13"/>
      <c r="K129" s="13"/>
      <c r="L129" s="13"/>
      <c r="M129" s="17"/>
      <c r="N129" s="17">
        <v>1</v>
      </c>
      <c r="O129" s="17"/>
      <c r="P129" s="17"/>
      <c r="Q129" s="17">
        <v>1</v>
      </c>
      <c r="R129" s="17"/>
      <c r="S129" s="15"/>
      <c r="T129" s="25">
        <v>46115</v>
      </c>
      <c r="U129" s="13" t="s">
        <v>147</v>
      </c>
      <c r="V129">
        <v>7</v>
      </c>
      <c r="AA129" s="49" t="s">
        <v>86</v>
      </c>
      <c r="AB129" s="50" t="s">
        <v>45</v>
      </c>
    </row>
    <row r="130" spans="1:28" x14ac:dyDescent="0.4">
      <c r="A130" s="153"/>
      <c r="B130" s="143"/>
      <c r="C130" s="85" t="s">
        <v>277</v>
      </c>
      <c r="D130" s="109" t="s">
        <v>190</v>
      </c>
      <c r="E130" s="15" t="s">
        <v>38</v>
      </c>
      <c r="F130" s="16"/>
      <c r="G130" s="12" t="s">
        <v>178</v>
      </c>
      <c r="H130" s="15"/>
      <c r="I130" s="15"/>
      <c r="J130" s="15"/>
      <c r="K130" s="15"/>
      <c r="L130" s="17"/>
      <c r="M130" s="17"/>
      <c r="N130" s="17"/>
      <c r="O130" s="17"/>
      <c r="P130" s="17"/>
      <c r="Q130" s="17"/>
      <c r="R130" s="17"/>
      <c r="S130" s="15"/>
      <c r="T130" s="25">
        <v>46115</v>
      </c>
      <c r="U130" s="13" t="s">
        <v>146</v>
      </c>
      <c r="V130">
        <v>8</v>
      </c>
      <c r="AA130" s="49" t="s">
        <v>87</v>
      </c>
      <c r="AB130" s="50" t="s">
        <v>37</v>
      </c>
    </row>
    <row r="131" spans="1:28" x14ac:dyDescent="0.4">
      <c r="A131" s="153"/>
      <c r="B131" s="143"/>
      <c r="C131" s="85" t="s">
        <v>278</v>
      </c>
      <c r="D131" s="109" t="s">
        <v>190</v>
      </c>
      <c r="E131" s="15" t="s">
        <v>39</v>
      </c>
      <c r="F131" s="16"/>
      <c r="G131" s="12" t="s">
        <v>178</v>
      </c>
      <c r="H131" s="15"/>
      <c r="I131" s="15"/>
      <c r="J131" s="13">
        <v>1</v>
      </c>
      <c r="K131" s="13"/>
      <c r="L131" s="13"/>
      <c r="M131" s="17"/>
      <c r="N131" s="17"/>
      <c r="O131" s="17"/>
      <c r="P131" s="17"/>
      <c r="Q131" s="17"/>
      <c r="R131" s="17"/>
      <c r="S131" s="15"/>
      <c r="T131" s="25">
        <v>46115</v>
      </c>
      <c r="U131" s="13" t="s">
        <v>146</v>
      </c>
      <c r="V131">
        <v>9</v>
      </c>
      <c r="AA131" s="49" t="s">
        <v>88</v>
      </c>
      <c r="AB131" s="50" t="s">
        <v>74</v>
      </c>
    </row>
    <row r="132" spans="1:28" x14ac:dyDescent="0.4">
      <c r="A132" s="153"/>
      <c r="B132" s="143"/>
      <c r="C132" s="85" t="s">
        <v>279</v>
      </c>
      <c r="D132" s="109" t="s">
        <v>190</v>
      </c>
      <c r="E132" s="15" t="s">
        <v>133</v>
      </c>
      <c r="F132" s="16"/>
      <c r="G132" s="12" t="s">
        <v>178</v>
      </c>
      <c r="H132" s="15"/>
      <c r="I132" s="15"/>
      <c r="J132" s="15"/>
      <c r="K132" s="15"/>
      <c r="L132" s="17"/>
      <c r="M132" s="17"/>
      <c r="N132" s="17"/>
      <c r="O132" s="17">
        <v>1</v>
      </c>
      <c r="P132" s="17">
        <v>1</v>
      </c>
      <c r="Q132" s="17"/>
      <c r="R132" s="17"/>
      <c r="S132" s="15"/>
      <c r="T132" s="25">
        <v>46115</v>
      </c>
      <c r="U132" s="13" t="s">
        <v>148</v>
      </c>
      <c r="V132">
        <v>10</v>
      </c>
      <c r="AA132" s="49" t="s">
        <v>89</v>
      </c>
      <c r="AB132" s="50" t="s">
        <v>36</v>
      </c>
    </row>
    <row r="133" spans="1:28" x14ac:dyDescent="0.4">
      <c r="A133" s="153"/>
      <c r="B133" s="143"/>
      <c r="C133" s="85" t="s">
        <v>280</v>
      </c>
      <c r="D133" s="109" t="s">
        <v>180</v>
      </c>
      <c r="E133" s="15" t="s">
        <v>36</v>
      </c>
      <c r="F133" s="16"/>
      <c r="G133" s="12" t="s">
        <v>178</v>
      </c>
      <c r="H133" s="15"/>
      <c r="I133" s="15"/>
      <c r="J133" s="13"/>
      <c r="K133" s="13">
        <v>1</v>
      </c>
      <c r="L133" s="13"/>
      <c r="M133" s="17">
        <v>1</v>
      </c>
      <c r="N133" s="17">
        <v>1</v>
      </c>
      <c r="O133" s="17"/>
      <c r="P133" s="17"/>
      <c r="Q133" s="17"/>
      <c r="R133" s="17"/>
      <c r="S133" s="15"/>
      <c r="T133" s="25">
        <v>46118</v>
      </c>
      <c r="U133" s="13" t="s">
        <v>147</v>
      </c>
      <c r="V133">
        <v>11</v>
      </c>
      <c r="AA133" s="49" t="s">
        <v>90</v>
      </c>
      <c r="AB133" s="50" t="s">
        <v>58</v>
      </c>
    </row>
    <row r="134" spans="1:28" x14ac:dyDescent="0.4">
      <c r="A134" s="153"/>
      <c r="B134" s="143"/>
      <c r="C134" s="85" t="s">
        <v>281</v>
      </c>
      <c r="D134" s="109" t="s">
        <v>185</v>
      </c>
      <c r="E134" s="15" t="s">
        <v>75</v>
      </c>
      <c r="F134" s="16"/>
      <c r="G134" s="12" t="s">
        <v>178</v>
      </c>
      <c r="H134" s="15"/>
      <c r="I134" s="15"/>
      <c r="J134" s="15"/>
      <c r="K134" s="15"/>
      <c r="L134" s="17"/>
      <c r="M134" s="17"/>
      <c r="N134" s="17"/>
      <c r="O134" s="17"/>
      <c r="P134" s="17"/>
      <c r="Q134" s="17"/>
      <c r="R134" s="17"/>
      <c r="S134" s="15"/>
      <c r="T134" s="25">
        <v>46120</v>
      </c>
      <c r="U134" s="13" t="s">
        <v>147</v>
      </c>
      <c r="V134">
        <v>12</v>
      </c>
      <c r="AA134" s="49" t="s">
        <v>91</v>
      </c>
      <c r="AB134" s="50" t="s">
        <v>75</v>
      </c>
    </row>
    <row r="135" spans="1:28" x14ac:dyDescent="0.4">
      <c r="A135" s="153"/>
      <c r="B135" s="143"/>
      <c r="C135" s="85" t="s">
        <v>282</v>
      </c>
      <c r="D135" s="109" t="s">
        <v>179</v>
      </c>
      <c r="E135" s="15" t="s">
        <v>36</v>
      </c>
      <c r="F135" s="16"/>
      <c r="G135" s="12" t="s">
        <v>178</v>
      </c>
      <c r="H135" s="15"/>
      <c r="I135" s="15"/>
      <c r="J135" s="15"/>
      <c r="K135" s="15"/>
      <c r="L135" s="17"/>
      <c r="M135" s="17">
        <v>1</v>
      </c>
      <c r="N135" s="17">
        <v>1</v>
      </c>
      <c r="O135" s="17"/>
      <c r="P135" s="17"/>
      <c r="Q135" s="17"/>
      <c r="R135" s="17"/>
      <c r="S135" s="15"/>
      <c r="T135" s="25">
        <v>46113</v>
      </c>
      <c r="U135" s="132" t="s">
        <v>147</v>
      </c>
      <c r="V135">
        <v>13</v>
      </c>
      <c r="AA135" s="49" t="s">
        <v>92</v>
      </c>
      <c r="AB135" s="50" t="s">
        <v>40</v>
      </c>
    </row>
    <row r="136" spans="1:28" x14ac:dyDescent="0.4">
      <c r="A136" s="153"/>
      <c r="B136" s="143"/>
      <c r="C136" s="85" t="s">
        <v>283</v>
      </c>
      <c r="D136" s="109" t="s">
        <v>185</v>
      </c>
      <c r="E136" s="15" t="s">
        <v>37</v>
      </c>
      <c r="F136" s="16"/>
      <c r="G136" s="12" t="s">
        <v>178</v>
      </c>
      <c r="H136" s="15"/>
      <c r="I136" s="15"/>
      <c r="J136" s="15"/>
      <c r="K136" s="15"/>
      <c r="L136" s="17"/>
      <c r="M136" s="17">
        <v>1</v>
      </c>
      <c r="N136" s="17">
        <v>1</v>
      </c>
      <c r="O136" s="17"/>
      <c r="P136" s="17"/>
      <c r="Q136" s="17">
        <v>1</v>
      </c>
      <c r="R136" s="17"/>
      <c r="S136" s="15"/>
      <c r="T136" s="25">
        <v>46120</v>
      </c>
      <c r="U136" s="15" t="s">
        <v>147</v>
      </c>
      <c r="V136">
        <v>14</v>
      </c>
      <c r="AA136" s="49" t="s">
        <v>93</v>
      </c>
      <c r="AB136" s="50" t="s">
        <v>57</v>
      </c>
    </row>
    <row r="137" spans="1:28" x14ac:dyDescent="0.4">
      <c r="A137" s="153"/>
      <c r="B137" s="143"/>
      <c r="C137" s="85" t="s">
        <v>284</v>
      </c>
      <c r="D137" s="109" t="s">
        <v>183</v>
      </c>
      <c r="E137" s="15" t="s">
        <v>39</v>
      </c>
      <c r="F137" s="16"/>
      <c r="G137" s="15" t="s">
        <v>178</v>
      </c>
      <c r="H137" s="15"/>
      <c r="I137" s="15"/>
      <c r="J137" s="15">
        <v>1</v>
      </c>
      <c r="K137" s="15"/>
      <c r="L137" s="17"/>
      <c r="M137" s="17"/>
      <c r="N137" s="17"/>
      <c r="O137" s="17"/>
      <c r="P137" s="17"/>
      <c r="Q137" s="17"/>
      <c r="R137" s="17"/>
      <c r="S137" s="15"/>
      <c r="T137" s="25">
        <v>46125</v>
      </c>
      <c r="U137" s="15" t="s">
        <v>146</v>
      </c>
      <c r="V137">
        <v>15</v>
      </c>
      <c r="AA137" s="49" t="s">
        <v>94</v>
      </c>
      <c r="AB137" s="50" t="s">
        <v>41</v>
      </c>
    </row>
    <row r="138" spans="1:28" x14ac:dyDescent="0.4">
      <c r="A138" s="153"/>
      <c r="B138" s="143"/>
      <c r="C138" s="85" t="s">
        <v>285</v>
      </c>
      <c r="D138" s="106" t="s">
        <v>183</v>
      </c>
      <c r="E138" s="15" t="s">
        <v>38</v>
      </c>
      <c r="F138" s="16"/>
      <c r="G138" s="12" t="s">
        <v>178</v>
      </c>
      <c r="H138" s="15"/>
      <c r="I138" s="15"/>
      <c r="J138" s="18">
        <v>1</v>
      </c>
      <c r="K138" s="15">
        <v>1</v>
      </c>
      <c r="L138" s="19"/>
      <c r="M138" s="19"/>
      <c r="N138" s="13"/>
      <c r="O138" s="19"/>
      <c r="P138" s="19"/>
      <c r="Q138" s="19"/>
      <c r="R138" s="19"/>
      <c r="S138" s="15"/>
      <c r="T138" s="25">
        <v>46125</v>
      </c>
      <c r="U138" s="13" t="s">
        <v>146</v>
      </c>
      <c r="V138" s="73">
        <v>16</v>
      </c>
      <c r="AA138" s="49" t="s">
        <v>95</v>
      </c>
      <c r="AB138" s="50" t="s">
        <v>42</v>
      </c>
    </row>
    <row r="139" spans="1:28" x14ac:dyDescent="0.4">
      <c r="A139" s="153"/>
      <c r="B139" s="143"/>
      <c r="C139" s="85" t="s">
        <v>286</v>
      </c>
      <c r="D139" s="106" t="s">
        <v>183</v>
      </c>
      <c r="E139" s="15" t="s">
        <v>38</v>
      </c>
      <c r="F139" s="16"/>
      <c r="G139" s="12" t="s">
        <v>178</v>
      </c>
      <c r="H139" s="15"/>
      <c r="I139" s="15"/>
      <c r="J139" s="18">
        <v>1</v>
      </c>
      <c r="K139" s="15">
        <v>1</v>
      </c>
      <c r="L139" s="19"/>
      <c r="M139" s="19"/>
      <c r="N139" s="13"/>
      <c r="O139" s="19"/>
      <c r="P139" s="19"/>
      <c r="Q139" s="19"/>
      <c r="R139" s="19"/>
      <c r="S139" s="15"/>
      <c r="T139" s="26">
        <v>46120</v>
      </c>
      <c r="U139" s="13" t="s">
        <v>146</v>
      </c>
      <c r="V139">
        <v>17</v>
      </c>
      <c r="AA139" s="49" t="s">
        <v>96</v>
      </c>
      <c r="AB139" s="50" t="s">
        <v>61</v>
      </c>
    </row>
    <row r="140" spans="1:28" x14ac:dyDescent="0.4">
      <c r="A140" s="153"/>
      <c r="B140" s="143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53"/>
      <c r="B141" s="143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53"/>
      <c r="B142" s="143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53"/>
      <c r="B143" s="143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53"/>
      <c r="B144" s="143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53"/>
      <c r="B145" s="143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53"/>
      <c r="B146" s="143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54"/>
      <c r="B147" s="144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17</v>
      </c>
      <c r="D148" s="112"/>
      <c r="E148" s="29"/>
      <c r="F148" s="29" t="s">
        <v>34</v>
      </c>
      <c r="G148" s="29">
        <f>COUNTIF(G123:G147,"S")</f>
        <v>17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9</v>
      </c>
      <c r="K148" s="29">
        <f t="shared" ref="K148" si="14">SUM(K123:K147)</f>
        <v>7</v>
      </c>
      <c r="L148" s="29">
        <f t="shared" ref="L148" si="15">SUM(L123:L147)</f>
        <v>0</v>
      </c>
      <c r="M148" s="29">
        <f t="shared" ref="M148" si="16">SUM(M123:M147)</f>
        <v>3</v>
      </c>
      <c r="N148" s="29">
        <f t="shared" ref="N148" si="17">SUM(N123:N147)</f>
        <v>4</v>
      </c>
      <c r="O148" s="29">
        <f t="shared" ref="O148" si="18">SUM(O123:O147)</f>
        <v>2</v>
      </c>
      <c r="P148" s="29">
        <f t="shared" ref="P148" si="19">SUM(P123:P147)</f>
        <v>2</v>
      </c>
      <c r="Q148" s="29">
        <f t="shared" ref="Q148" si="20">SUM(Q123:Q147)</f>
        <v>2</v>
      </c>
      <c r="R148" s="29">
        <f t="shared" ref="R148" si="21">SUM(R123:R147)</f>
        <v>1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30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AYG134</v>
      </c>
      <c r="B151" s="24">
        <f>B1</f>
        <v>46084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175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45" t="s">
        <v>115</v>
      </c>
      <c r="Y152" s="151"/>
    </row>
    <row r="153" spans="1:28" ht="20.25" thickTop="1" thickBot="1" x14ac:dyDescent="0.45">
      <c r="A153" s="152">
        <v>6</v>
      </c>
      <c r="B153" s="155">
        <v>20.9</v>
      </c>
      <c r="C153" s="85" t="s">
        <v>287</v>
      </c>
      <c r="D153" s="109" t="s">
        <v>197</v>
      </c>
      <c r="E153" s="13" t="s">
        <v>39</v>
      </c>
      <c r="F153" s="14"/>
      <c r="G153" s="12" t="s">
        <v>178</v>
      </c>
      <c r="H153" s="13"/>
      <c r="I153" s="13"/>
      <c r="J153" s="13">
        <v>1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26">
        <v>46125</v>
      </c>
      <c r="U153" s="13" t="s">
        <v>146</v>
      </c>
      <c r="V153">
        <v>1</v>
      </c>
      <c r="X153" s="51" t="s">
        <v>106</v>
      </c>
      <c r="Y153" s="52">
        <f>COUNTIF(U153:U177,"K")</f>
        <v>10</v>
      </c>
      <c r="AA153" s="59" t="s">
        <v>120</v>
      </c>
      <c r="AB153" s="60" t="s">
        <v>121</v>
      </c>
    </row>
    <row r="154" spans="1:28" x14ac:dyDescent="0.4">
      <c r="A154" s="153"/>
      <c r="B154" s="156"/>
      <c r="C154" s="85" t="s">
        <v>288</v>
      </c>
      <c r="D154" s="109" t="s">
        <v>197</v>
      </c>
      <c r="E154" s="13" t="s">
        <v>39</v>
      </c>
      <c r="F154" s="16"/>
      <c r="G154" s="12" t="s">
        <v>178</v>
      </c>
      <c r="H154" s="15"/>
      <c r="I154" s="15"/>
      <c r="J154" s="15">
        <v>1</v>
      </c>
      <c r="K154" s="15"/>
      <c r="L154" s="17"/>
      <c r="M154" s="17"/>
      <c r="N154" s="17"/>
      <c r="O154" s="17"/>
      <c r="P154" s="17"/>
      <c r="Q154" s="17"/>
      <c r="R154" s="17"/>
      <c r="S154" s="15"/>
      <c r="T154" s="26">
        <v>46125</v>
      </c>
      <c r="U154" s="13" t="s">
        <v>146</v>
      </c>
      <c r="V154">
        <v>2</v>
      </c>
      <c r="X154" s="51" t="s">
        <v>107</v>
      </c>
      <c r="Y154" s="52">
        <f>COUNTIF(U153:U177,"R")</f>
        <v>2</v>
      </c>
      <c r="AA154" s="47" t="s">
        <v>81</v>
      </c>
      <c r="AB154" s="48" t="s">
        <v>60</v>
      </c>
    </row>
    <row r="155" spans="1:28" ht="19.5" thickBot="1" x14ac:dyDescent="0.45">
      <c r="A155" s="153"/>
      <c r="B155" s="156"/>
      <c r="C155" s="85" t="s">
        <v>289</v>
      </c>
      <c r="D155" s="109" t="s">
        <v>197</v>
      </c>
      <c r="E155" s="13" t="s">
        <v>39</v>
      </c>
      <c r="F155" s="16"/>
      <c r="G155" s="12" t="s">
        <v>178</v>
      </c>
      <c r="H155" s="13"/>
      <c r="I155" s="15"/>
      <c r="J155" s="13">
        <v>1</v>
      </c>
      <c r="K155" s="13"/>
      <c r="L155" s="13"/>
      <c r="M155" s="17"/>
      <c r="N155" s="17"/>
      <c r="O155" s="17"/>
      <c r="P155" s="17"/>
      <c r="Q155" s="17"/>
      <c r="R155" s="17"/>
      <c r="S155" s="15"/>
      <c r="T155" s="26">
        <v>46125</v>
      </c>
      <c r="U155" s="13" t="s">
        <v>146</v>
      </c>
      <c r="V155">
        <v>3</v>
      </c>
      <c r="X155" s="53" t="s">
        <v>108</v>
      </c>
      <c r="Y155" s="54">
        <f>COUNTIF(U153:U177,"J")</f>
        <v>2</v>
      </c>
      <c r="AA155" s="49" t="s">
        <v>82</v>
      </c>
      <c r="AB155" s="50" t="s">
        <v>39</v>
      </c>
    </row>
    <row r="156" spans="1:28" x14ac:dyDescent="0.4">
      <c r="A156" s="153"/>
      <c r="B156" s="156"/>
      <c r="C156" s="85" t="s">
        <v>290</v>
      </c>
      <c r="D156" s="109" t="s">
        <v>182</v>
      </c>
      <c r="E156" s="13" t="s">
        <v>59</v>
      </c>
      <c r="F156" s="16"/>
      <c r="G156" s="12" t="s">
        <v>178</v>
      </c>
      <c r="H156" s="15"/>
      <c r="I156" s="15"/>
      <c r="J156" s="15">
        <v>2</v>
      </c>
      <c r="K156" s="15"/>
      <c r="L156" s="17"/>
      <c r="M156" s="17"/>
      <c r="N156" s="17"/>
      <c r="O156" s="17"/>
      <c r="P156" s="17"/>
      <c r="Q156" s="17"/>
      <c r="R156" s="17"/>
      <c r="S156" s="15"/>
      <c r="T156" s="26">
        <v>46125</v>
      </c>
      <c r="U156" s="13" t="s">
        <v>146</v>
      </c>
      <c r="V156">
        <v>4</v>
      </c>
      <c r="AA156" s="49" t="s">
        <v>83</v>
      </c>
      <c r="AB156" s="50" t="s">
        <v>38</v>
      </c>
    </row>
    <row r="157" spans="1:28" x14ac:dyDescent="0.4">
      <c r="A157" s="153"/>
      <c r="B157" s="156"/>
      <c r="C157" s="85" t="s">
        <v>291</v>
      </c>
      <c r="D157" s="109" t="s">
        <v>183</v>
      </c>
      <c r="E157" s="13" t="s">
        <v>44</v>
      </c>
      <c r="F157" s="16"/>
      <c r="G157" s="12" t="s">
        <v>178</v>
      </c>
      <c r="H157" s="15"/>
      <c r="I157" s="15"/>
      <c r="J157" s="13">
        <v>1</v>
      </c>
      <c r="K157" s="15">
        <v>1</v>
      </c>
      <c r="L157" s="13"/>
      <c r="M157" s="17"/>
      <c r="N157" s="17"/>
      <c r="O157" s="17"/>
      <c r="P157" s="17"/>
      <c r="Q157" s="17"/>
      <c r="R157" s="17"/>
      <c r="S157" s="15"/>
      <c r="T157" s="26">
        <v>46125</v>
      </c>
      <c r="U157" s="13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53"/>
      <c r="B158" s="156"/>
      <c r="C158" s="85" t="s">
        <v>292</v>
      </c>
      <c r="D158" s="109" t="s">
        <v>181</v>
      </c>
      <c r="E158" s="13" t="s">
        <v>36</v>
      </c>
      <c r="F158" s="16"/>
      <c r="G158" s="12" t="s">
        <v>178</v>
      </c>
      <c r="H158" s="13"/>
      <c r="I158" s="15"/>
      <c r="J158" s="13">
        <v>1</v>
      </c>
      <c r="K158" s="15">
        <v>1</v>
      </c>
      <c r="L158" s="13"/>
      <c r="M158" s="17"/>
      <c r="N158" s="17"/>
      <c r="O158" s="17"/>
      <c r="P158" s="17"/>
      <c r="Q158" s="17"/>
      <c r="R158" s="17"/>
      <c r="S158" s="15"/>
      <c r="T158" s="26">
        <v>46124</v>
      </c>
      <c r="U158" s="13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53"/>
      <c r="B159" s="156"/>
      <c r="C159" s="85" t="s">
        <v>293</v>
      </c>
      <c r="D159" s="109" t="s">
        <v>181</v>
      </c>
      <c r="E159" s="13" t="s">
        <v>36</v>
      </c>
      <c r="F159" s="16"/>
      <c r="G159" s="12" t="s">
        <v>178</v>
      </c>
      <c r="H159" s="15"/>
      <c r="I159" s="15"/>
      <c r="J159" s="13">
        <v>1</v>
      </c>
      <c r="K159" s="15"/>
      <c r="L159" s="13"/>
      <c r="M159" s="17"/>
      <c r="N159" s="17"/>
      <c r="O159" s="17"/>
      <c r="P159" s="17"/>
      <c r="Q159" s="17"/>
      <c r="R159" s="17"/>
      <c r="S159" s="15"/>
      <c r="T159" s="26">
        <v>46124</v>
      </c>
      <c r="U159" s="13" t="s">
        <v>146</v>
      </c>
      <c r="V159">
        <v>7</v>
      </c>
      <c r="AA159" s="49" t="s">
        <v>86</v>
      </c>
      <c r="AB159" s="50" t="s">
        <v>45</v>
      </c>
    </row>
    <row r="160" spans="1:28" x14ac:dyDescent="0.4">
      <c r="A160" s="153"/>
      <c r="B160" s="156"/>
      <c r="C160" s="85" t="s">
        <v>294</v>
      </c>
      <c r="D160" s="109" t="s">
        <v>181</v>
      </c>
      <c r="E160" s="13" t="s">
        <v>60</v>
      </c>
      <c r="F160" s="16"/>
      <c r="G160" s="12" t="s">
        <v>178</v>
      </c>
      <c r="H160" s="15"/>
      <c r="I160" s="15"/>
      <c r="J160" s="13">
        <v>1</v>
      </c>
      <c r="K160" s="15"/>
      <c r="L160" s="13">
        <v>1</v>
      </c>
      <c r="M160" s="17"/>
      <c r="N160" s="17"/>
      <c r="O160" s="17"/>
      <c r="P160" s="17"/>
      <c r="Q160" s="17"/>
      <c r="R160" s="17"/>
      <c r="S160" s="15"/>
      <c r="T160" s="26">
        <v>46124</v>
      </c>
      <c r="U160" s="13" t="s">
        <v>146</v>
      </c>
      <c r="V160">
        <v>8</v>
      </c>
      <c r="AA160" s="49" t="s">
        <v>87</v>
      </c>
      <c r="AB160" s="50" t="s">
        <v>37</v>
      </c>
    </row>
    <row r="161" spans="1:28" x14ac:dyDescent="0.4">
      <c r="A161" s="153"/>
      <c r="B161" s="156"/>
      <c r="C161" s="85" t="s">
        <v>295</v>
      </c>
      <c r="D161" s="109" t="s">
        <v>181</v>
      </c>
      <c r="E161" s="13" t="s">
        <v>36</v>
      </c>
      <c r="F161" s="16"/>
      <c r="G161" s="12" t="s">
        <v>178</v>
      </c>
      <c r="H161" s="15"/>
      <c r="I161" s="15"/>
      <c r="J161" s="13">
        <v>1</v>
      </c>
      <c r="K161" s="15">
        <v>1</v>
      </c>
      <c r="L161" s="13"/>
      <c r="M161" s="17"/>
      <c r="N161" s="17"/>
      <c r="O161" s="17"/>
      <c r="P161" s="17"/>
      <c r="Q161" s="17"/>
      <c r="R161" s="17"/>
      <c r="S161" s="15"/>
      <c r="T161" s="26">
        <v>46124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53"/>
      <c r="B162" s="156"/>
      <c r="C162" s="85" t="s">
        <v>296</v>
      </c>
      <c r="D162" s="109" t="s">
        <v>181</v>
      </c>
      <c r="E162" s="13" t="s">
        <v>38</v>
      </c>
      <c r="F162" s="138"/>
      <c r="G162" s="12" t="s">
        <v>178</v>
      </c>
      <c r="H162" s="15"/>
      <c r="I162" s="15"/>
      <c r="J162" s="13">
        <v>1</v>
      </c>
      <c r="K162" s="15">
        <v>1</v>
      </c>
      <c r="L162" s="13"/>
      <c r="M162" s="17"/>
      <c r="N162" s="17"/>
      <c r="O162" s="17"/>
      <c r="P162" s="17"/>
      <c r="Q162" s="17"/>
      <c r="R162" s="17"/>
      <c r="S162" s="15"/>
      <c r="T162" s="26">
        <v>46124</v>
      </c>
      <c r="U162" s="13" t="s">
        <v>146</v>
      </c>
      <c r="V162">
        <v>10</v>
      </c>
      <c r="AA162" s="49" t="s">
        <v>89</v>
      </c>
      <c r="AB162" s="50" t="s">
        <v>36</v>
      </c>
    </row>
    <row r="163" spans="1:28" x14ac:dyDescent="0.4">
      <c r="A163" s="153"/>
      <c r="B163" s="156"/>
      <c r="C163" s="85" t="s">
        <v>297</v>
      </c>
      <c r="D163" s="109" t="s">
        <v>181</v>
      </c>
      <c r="E163" s="13" t="s">
        <v>40</v>
      </c>
      <c r="F163" s="16"/>
      <c r="G163" s="12" t="s">
        <v>178</v>
      </c>
      <c r="H163" s="15"/>
      <c r="I163" s="15"/>
      <c r="J163" s="15"/>
      <c r="K163" s="15"/>
      <c r="L163" s="17"/>
      <c r="M163" s="17"/>
      <c r="N163" s="17"/>
      <c r="O163" s="17">
        <v>1</v>
      </c>
      <c r="P163" s="17">
        <v>1</v>
      </c>
      <c r="Q163" s="17">
        <v>1</v>
      </c>
      <c r="R163" s="17"/>
      <c r="S163" s="15"/>
      <c r="T163" s="26">
        <v>46124</v>
      </c>
      <c r="U163" s="13" t="s">
        <v>148</v>
      </c>
      <c r="V163">
        <v>11</v>
      </c>
      <c r="AA163" s="49" t="s">
        <v>90</v>
      </c>
      <c r="AB163" s="50" t="s">
        <v>58</v>
      </c>
    </row>
    <row r="164" spans="1:28" x14ac:dyDescent="0.4">
      <c r="A164" s="153"/>
      <c r="B164" s="156"/>
      <c r="C164" s="85" t="s">
        <v>298</v>
      </c>
      <c r="D164" s="109" t="s">
        <v>181</v>
      </c>
      <c r="E164" s="13" t="s">
        <v>40</v>
      </c>
      <c r="F164" s="16"/>
      <c r="G164" s="12" t="s">
        <v>178</v>
      </c>
      <c r="H164" s="15"/>
      <c r="I164" s="15"/>
      <c r="J164" s="15"/>
      <c r="K164" s="15"/>
      <c r="L164" s="17"/>
      <c r="M164" s="17"/>
      <c r="N164" s="17"/>
      <c r="O164" s="17">
        <v>1</v>
      </c>
      <c r="P164" s="17">
        <v>1</v>
      </c>
      <c r="Q164" s="17">
        <v>1</v>
      </c>
      <c r="R164" s="17"/>
      <c r="S164" s="15"/>
      <c r="T164" s="26">
        <v>46124</v>
      </c>
      <c r="U164" s="13" t="s">
        <v>148</v>
      </c>
      <c r="V164">
        <v>12</v>
      </c>
      <c r="AA164" s="49" t="s">
        <v>91</v>
      </c>
      <c r="AB164" s="50" t="s">
        <v>75</v>
      </c>
    </row>
    <row r="165" spans="1:28" x14ac:dyDescent="0.4">
      <c r="A165" s="153"/>
      <c r="B165" s="156"/>
      <c r="C165" s="85" t="s">
        <v>299</v>
      </c>
      <c r="D165" s="109" t="s">
        <v>181</v>
      </c>
      <c r="E165" s="13" t="s">
        <v>36</v>
      </c>
      <c r="F165" s="16"/>
      <c r="G165" s="12" t="s">
        <v>178</v>
      </c>
      <c r="H165" s="15"/>
      <c r="I165" s="15"/>
      <c r="J165" s="15"/>
      <c r="K165" s="15"/>
      <c r="L165" s="17"/>
      <c r="M165" s="17">
        <v>1</v>
      </c>
      <c r="N165" s="17"/>
      <c r="O165" s="17"/>
      <c r="P165" s="17"/>
      <c r="Q165" s="17">
        <v>1</v>
      </c>
      <c r="R165" s="17"/>
      <c r="S165" s="15"/>
      <c r="T165" s="26">
        <v>46124</v>
      </c>
      <c r="U165" s="13" t="s">
        <v>147</v>
      </c>
      <c r="V165">
        <v>13</v>
      </c>
      <c r="AA165" s="49" t="s">
        <v>92</v>
      </c>
      <c r="AB165" s="50" t="s">
        <v>40</v>
      </c>
    </row>
    <row r="166" spans="1:28" x14ac:dyDescent="0.4">
      <c r="A166" s="153"/>
      <c r="B166" s="156"/>
      <c r="C166" s="85" t="s">
        <v>300</v>
      </c>
      <c r="D166" s="109" t="s">
        <v>181</v>
      </c>
      <c r="E166" s="13" t="s">
        <v>38</v>
      </c>
      <c r="F166" s="16"/>
      <c r="G166" s="12" t="s">
        <v>178</v>
      </c>
      <c r="H166" s="15"/>
      <c r="I166" s="15"/>
      <c r="J166" s="15">
        <v>1</v>
      </c>
      <c r="K166" s="15">
        <v>1</v>
      </c>
      <c r="L166" s="17"/>
      <c r="M166" s="17"/>
      <c r="N166" s="17"/>
      <c r="O166" s="17"/>
      <c r="P166" s="17"/>
      <c r="Q166" s="17"/>
      <c r="R166" s="17"/>
      <c r="S166" s="15"/>
      <c r="T166" s="26">
        <v>46124</v>
      </c>
      <c r="U166" s="13" t="s">
        <v>147</v>
      </c>
      <c r="V166">
        <v>14</v>
      </c>
      <c r="AA166" s="49" t="s">
        <v>93</v>
      </c>
      <c r="AB166" s="50" t="s">
        <v>57</v>
      </c>
    </row>
    <row r="167" spans="1:28" x14ac:dyDescent="0.4">
      <c r="A167" s="153"/>
      <c r="B167" s="156"/>
      <c r="C167" s="85"/>
      <c r="D167" s="109"/>
      <c r="E167" s="13"/>
      <c r="F167" s="16"/>
      <c r="G167" s="12"/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6"/>
      <c r="U167" s="13"/>
      <c r="V167">
        <v>15</v>
      </c>
      <c r="AA167" s="49" t="s">
        <v>94</v>
      </c>
      <c r="AB167" s="50" t="s">
        <v>41</v>
      </c>
    </row>
    <row r="168" spans="1:28" x14ac:dyDescent="0.4">
      <c r="A168" s="153"/>
      <c r="B168" s="156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53"/>
      <c r="B169" s="156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53"/>
      <c r="B170" s="156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53"/>
      <c r="B171" s="156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53"/>
      <c r="B172" s="156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53"/>
      <c r="B173" s="156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53"/>
      <c r="B174" s="156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53"/>
      <c r="B175" s="156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53"/>
      <c r="B176" s="156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54"/>
      <c r="B177" s="157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14</v>
      </c>
      <c r="D178" s="112"/>
      <c r="E178" s="29"/>
      <c r="F178" s="29" t="s">
        <v>34</v>
      </c>
      <c r="G178" s="29">
        <f>COUNTIF(G153:G177,"S")</f>
        <v>14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12</v>
      </c>
      <c r="K178" s="29">
        <f t="shared" ref="K178" si="24">SUM(K153:K177)</f>
        <v>5</v>
      </c>
      <c r="L178" s="29">
        <f t="shared" ref="L178" si="25">SUM(L153:L177)</f>
        <v>1</v>
      </c>
      <c r="M178" s="29">
        <f t="shared" ref="M178" si="26">SUM(M153:M177)</f>
        <v>1</v>
      </c>
      <c r="N178" s="29">
        <f t="shared" ref="N178" si="27">SUM(N153:N177)</f>
        <v>0</v>
      </c>
      <c r="O178" s="29">
        <f t="shared" ref="O178" si="28">SUM(O153:O177)</f>
        <v>2</v>
      </c>
      <c r="P178" s="29">
        <f t="shared" ref="P178" si="29">SUM(P153:P177)</f>
        <v>2</v>
      </c>
      <c r="Q178" s="29">
        <f t="shared" ref="Q178" si="30">SUM(Q153:Q177)</f>
        <v>3</v>
      </c>
      <c r="R178" s="29">
        <f t="shared" ref="R178" si="31">SUM(R153:R177)</f>
        <v>0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26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177</v>
      </c>
      <c r="B181" s="24">
        <v>45911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45" t="s">
        <v>114</v>
      </c>
      <c r="Y182" s="151"/>
    </row>
    <row r="183" spans="1:28" ht="20.25" thickTop="1" thickBot="1" x14ac:dyDescent="0.45">
      <c r="A183" s="152">
        <v>7</v>
      </c>
      <c r="B183" s="155">
        <v>18.2</v>
      </c>
      <c r="C183" s="85" t="s">
        <v>301</v>
      </c>
      <c r="D183" s="110" t="s">
        <v>190</v>
      </c>
      <c r="E183" s="18" t="s">
        <v>60</v>
      </c>
      <c r="F183" s="16"/>
      <c r="G183" s="18" t="s">
        <v>178</v>
      </c>
      <c r="H183" s="15"/>
      <c r="I183" s="15"/>
      <c r="J183" s="18">
        <v>1</v>
      </c>
      <c r="K183" s="15"/>
      <c r="L183" s="18">
        <v>1</v>
      </c>
      <c r="M183" s="19"/>
      <c r="N183" s="19"/>
      <c r="O183" s="19"/>
      <c r="P183" s="19"/>
      <c r="Q183" s="19"/>
      <c r="R183" s="19"/>
      <c r="S183" s="15"/>
      <c r="T183" s="25">
        <v>46120</v>
      </c>
      <c r="U183" s="15" t="s">
        <v>146</v>
      </c>
      <c r="V183">
        <v>1</v>
      </c>
      <c r="X183" s="51" t="s">
        <v>106</v>
      </c>
      <c r="Y183" s="52">
        <f>COUNTIF(U183:U207,"K")</f>
        <v>6</v>
      </c>
      <c r="AA183" s="59" t="s">
        <v>120</v>
      </c>
      <c r="AB183" s="60" t="s">
        <v>121</v>
      </c>
    </row>
    <row r="184" spans="1:28" x14ac:dyDescent="0.4">
      <c r="A184" s="153"/>
      <c r="B184" s="156"/>
      <c r="C184" s="85" t="s">
        <v>302</v>
      </c>
      <c r="D184" s="110" t="s">
        <v>183</v>
      </c>
      <c r="E184" s="18" t="s">
        <v>74</v>
      </c>
      <c r="F184" s="16"/>
      <c r="G184" s="18" t="s">
        <v>178</v>
      </c>
      <c r="H184" s="15"/>
      <c r="I184" s="15"/>
      <c r="J184" s="18">
        <v>1</v>
      </c>
      <c r="K184" s="15">
        <v>1</v>
      </c>
      <c r="L184" s="18"/>
      <c r="M184" s="19"/>
      <c r="N184" s="19"/>
      <c r="O184" s="19"/>
      <c r="P184" s="19"/>
      <c r="Q184" s="19"/>
      <c r="R184" s="19"/>
      <c r="S184" s="132"/>
      <c r="T184" s="25">
        <v>46120</v>
      </c>
      <c r="U184" s="15" t="s">
        <v>146</v>
      </c>
      <c r="V184">
        <v>2</v>
      </c>
      <c r="X184" s="51" t="s">
        <v>107</v>
      </c>
      <c r="Y184" s="52">
        <f>COUNTIF(U183:U207,"R")</f>
        <v>1</v>
      </c>
      <c r="AA184" s="47" t="s">
        <v>81</v>
      </c>
      <c r="AB184" s="48" t="s">
        <v>60</v>
      </c>
    </row>
    <row r="185" spans="1:28" ht="19.5" thickBot="1" x14ac:dyDescent="0.45">
      <c r="A185" s="153"/>
      <c r="B185" s="156"/>
      <c r="C185" s="85" t="s">
        <v>303</v>
      </c>
      <c r="D185" s="110" t="s">
        <v>189</v>
      </c>
      <c r="E185" s="18" t="s">
        <v>75</v>
      </c>
      <c r="F185" s="16"/>
      <c r="G185" s="18" t="s">
        <v>178</v>
      </c>
      <c r="H185" s="15"/>
      <c r="I185" s="15"/>
      <c r="J185" s="18"/>
      <c r="K185" s="15"/>
      <c r="L185" s="18"/>
      <c r="M185" s="17"/>
      <c r="N185" s="17"/>
      <c r="O185" s="17"/>
      <c r="P185" s="17"/>
      <c r="Q185" s="17"/>
      <c r="R185" s="17"/>
      <c r="S185" s="15"/>
      <c r="T185" s="25">
        <v>46133</v>
      </c>
      <c r="U185" s="15" t="s">
        <v>147</v>
      </c>
      <c r="V185">
        <v>3</v>
      </c>
      <c r="X185" s="53" t="s">
        <v>108</v>
      </c>
      <c r="Y185" s="54">
        <f>COUNTIF(U183:U207,"J")</f>
        <v>0</v>
      </c>
      <c r="AA185" s="49" t="s">
        <v>82</v>
      </c>
      <c r="AB185" s="50" t="s">
        <v>39</v>
      </c>
    </row>
    <row r="186" spans="1:28" x14ac:dyDescent="0.4">
      <c r="A186" s="153"/>
      <c r="B186" s="156"/>
      <c r="C186" s="85" t="s">
        <v>304</v>
      </c>
      <c r="D186" s="110" t="s">
        <v>182</v>
      </c>
      <c r="E186" s="18" t="s">
        <v>59</v>
      </c>
      <c r="F186" s="16"/>
      <c r="G186" s="18" t="s">
        <v>178</v>
      </c>
      <c r="H186" s="15" t="s">
        <v>198</v>
      </c>
      <c r="I186" s="15"/>
      <c r="J186" s="18">
        <v>2</v>
      </c>
      <c r="K186" s="15"/>
      <c r="L186" s="18"/>
      <c r="M186" s="17"/>
      <c r="N186" s="17"/>
      <c r="O186" s="17"/>
      <c r="P186" s="17"/>
      <c r="Q186" s="17"/>
      <c r="R186" s="17"/>
      <c r="S186" s="15"/>
      <c r="T186" s="25">
        <v>46131</v>
      </c>
      <c r="U186" s="15" t="s">
        <v>146</v>
      </c>
      <c r="V186">
        <v>4</v>
      </c>
      <c r="AA186" s="49" t="s">
        <v>83</v>
      </c>
      <c r="AB186" s="50" t="s">
        <v>38</v>
      </c>
    </row>
    <row r="187" spans="1:28" x14ac:dyDescent="0.4">
      <c r="A187" s="153"/>
      <c r="B187" s="156"/>
      <c r="C187" s="85" t="s">
        <v>305</v>
      </c>
      <c r="D187" s="110" t="s">
        <v>182</v>
      </c>
      <c r="E187" s="18" t="s">
        <v>59</v>
      </c>
      <c r="F187" s="16"/>
      <c r="G187" s="18" t="s">
        <v>178</v>
      </c>
      <c r="H187" s="15" t="s">
        <v>198</v>
      </c>
      <c r="I187" s="15"/>
      <c r="J187" s="18">
        <v>2</v>
      </c>
      <c r="K187" s="15"/>
      <c r="L187" s="18"/>
      <c r="M187" s="17"/>
      <c r="N187" s="17"/>
      <c r="O187" s="17"/>
      <c r="P187" s="17"/>
      <c r="Q187" s="17"/>
      <c r="R187" s="17"/>
      <c r="S187" s="15"/>
      <c r="T187" s="25">
        <v>46131</v>
      </c>
      <c r="U187" s="15" t="s">
        <v>146</v>
      </c>
      <c r="V187">
        <v>5</v>
      </c>
      <c r="AA187" s="49" t="s">
        <v>84</v>
      </c>
      <c r="AB187" s="50" t="s">
        <v>44</v>
      </c>
    </row>
    <row r="188" spans="1:28" x14ac:dyDescent="0.4">
      <c r="A188" s="153"/>
      <c r="B188" s="156"/>
      <c r="C188" s="85" t="s">
        <v>306</v>
      </c>
      <c r="D188" s="110" t="s">
        <v>182</v>
      </c>
      <c r="E188" s="18" t="s">
        <v>59</v>
      </c>
      <c r="F188" s="16"/>
      <c r="G188" s="18" t="s">
        <v>178</v>
      </c>
      <c r="H188" s="13" t="s">
        <v>198</v>
      </c>
      <c r="I188" s="15"/>
      <c r="J188" s="18">
        <v>2</v>
      </c>
      <c r="K188" s="15"/>
      <c r="L188" s="18"/>
      <c r="M188" s="17"/>
      <c r="N188" s="17"/>
      <c r="O188" s="17"/>
      <c r="P188" s="17"/>
      <c r="Q188" s="17"/>
      <c r="R188" s="17"/>
      <c r="S188" s="15"/>
      <c r="T188" s="25">
        <v>46138</v>
      </c>
      <c r="U188" s="15" t="s">
        <v>146</v>
      </c>
      <c r="V188">
        <v>6</v>
      </c>
      <c r="AA188" s="49" t="s">
        <v>85</v>
      </c>
      <c r="AB188" s="50" t="s">
        <v>43</v>
      </c>
    </row>
    <row r="189" spans="1:28" x14ac:dyDescent="0.4">
      <c r="A189" s="153"/>
      <c r="B189" s="156"/>
      <c r="C189" s="85" t="s">
        <v>307</v>
      </c>
      <c r="D189" s="110" t="s">
        <v>182</v>
      </c>
      <c r="E189" s="18" t="s">
        <v>59</v>
      </c>
      <c r="F189" s="16"/>
      <c r="G189" s="18" t="s">
        <v>178</v>
      </c>
      <c r="H189" s="15" t="s">
        <v>198</v>
      </c>
      <c r="I189" s="15"/>
      <c r="J189" s="18">
        <v>2</v>
      </c>
      <c r="K189" s="15"/>
      <c r="L189" s="18"/>
      <c r="M189" s="17"/>
      <c r="N189" s="17"/>
      <c r="O189" s="17"/>
      <c r="P189" s="17"/>
      <c r="Q189" s="17"/>
      <c r="R189" s="17"/>
      <c r="S189" s="15"/>
      <c r="T189" s="25">
        <v>46138</v>
      </c>
      <c r="U189" s="15" t="s">
        <v>146</v>
      </c>
      <c r="V189">
        <v>7</v>
      </c>
      <c r="AA189" s="49" t="s">
        <v>86</v>
      </c>
      <c r="AB189" s="50" t="s">
        <v>45</v>
      </c>
    </row>
    <row r="190" spans="1:28" x14ac:dyDescent="0.4">
      <c r="A190" s="153"/>
      <c r="B190" s="156"/>
      <c r="C190" s="85"/>
      <c r="D190" s="110"/>
      <c r="E190" s="18"/>
      <c r="F190" s="16"/>
      <c r="G190" s="18"/>
      <c r="H190" s="15"/>
      <c r="I190" s="15"/>
      <c r="J190" s="18"/>
      <c r="K190" s="15"/>
      <c r="L190" s="18"/>
      <c r="M190" s="17"/>
      <c r="N190" s="17"/>
      <c r="O190" s="17"/>
      <c r="P190" s="17"/>
      <c r="Q190" s="17"/>
      <c r="R190" s="17"/>
      <c r="S190" s="15"/>
      <c r="T190" s="25"/>
      <c r="U190" s="15"/>
      <c r="V190">
        <v>8</v>
      </c>
      <c r="AA190" s="49" t="s">
        <v>87</v>
      </c>
      <c r="AB190" s="50" t="s">
        <v>37</v>
      </c>
    </row>
    <row r="191" spans="1:28" x14ac:dyDescent="0.4">
      <c r="A191" s="153"/>
      <c r="B191" s="156"/>
      <c r="C191" s="85"/>
      <c r="D191" s="110"/>
      <c r="E191" s="18"/>
      <c r="F191" s="16"/>
      <c r="G191" s="18"/>
      <c r="H191" s="15"/>
      <c r="I191" s="15"/>
      <c r="J191" s="18"/>
      <c r="K191" s="15"/>
      <c r="L191" s="18"/>
      <c r="M191" s="17"/>
      <c r="N191" s="17"/>
      <c r="O191" s="17"/>
      <c r="P191" s="17"/>
      <c r="Q191" s="17"/>
      <c r="R191" s="17"/>
      <c r="S191" s="15"/>
      <c r="T191" s="25"/>
      <c r="U191" s="15"/>
      <c r="V191">
        <v>9</v>
      </c>
      <c r="AA191" s="49" t="s">
        <v>88</v>
      </c>
      <c r="AB191" s="50" t="s">
        <v>74</v>
      </c>
    </row>
    <row r="192" spans="1:28" x14ac:dyDescent="0.4">
      <c r="A192" s="153"/>
      <c r="B192" s="156"/>
      <c r="C192" s="85"/>
      <c r="D192" s="110"/>
      <c r="E192" s="18"/>
      <c r="F192" s="16"/>
      <c r="G192" s="18"/>
      <c r="H192" s="15"/>
      <c r="I192" s="15"/>
      <c r="J192" s="18"/>
      <c r="K192" s="15"/>
      <c r="L192" s="18"/>
      <c r="M192" s="17"/>
      <c r="N192" s="17"/>
      <c r="O192" s="17"/>
      <c r="P192" s="17"/>
      <c r="Q192" s="17"/>
      <c r="R192" s="17"/>
      <c r="S192" s="15"/>
      <c r="T192" s="25"/>
      <c r="U192" s="15"/>
      <c r="V192">
        <v>10</v>
      </c>
      <c r="AA192" s="49" t="s">
        <v>89</v>
      </c>
      <c r="AB192" s="50" t="s">
        <v>36</v>
      </c>
    </row>
    <row r="193" spans="1:28" x14ac:dyDescent="0.4">
      <c r="A193" s="153"/>
      <c r="B193" s="156"/>
      <c r="C193" s="85"/>
      <c r="D193" s="110"/>
      <c r="E193" s="18"/>
      <c r="F193" s="16"/>
      <c r="G193" s="18"/>
      <c r="H193" s="15"/>
      <c r="I193" s="15"/>
      <c r="J193" s="18"/>
      <c r="K193" s="15"/>
      <c r="L193" s="18"/>
      <c r="M193" s="17"/>
      <c r="N193" s="17"/>
      <c r="O193" s="17"/>
      <c r="P193" s="17"/>
      <c r="Q193" s="17"/>
      <c r="R193" s="17"/>
      <c r="S193" s="15"/>
      <c r="T193" s="25"/>
      <c r="U193" s="15"/>
      <c r="V193">
        <v>11</v>
      </c>
      <c r="AA193" s="49" t="s">
        <v>90</v>
      </c>
      <c r="AB193" s="50" t="s">
        <v>58</v>
      </c>
    </row>
    <row r="194" spans="1:28" x14ac:dyDescent="0.4">
      <c r="A194" s="153"/>
      <c r="B194" s="156"/>
      <c r="C194" s="85"/>
      <c r="D194" s="110"/>
      <c r="E194" s="18"/>
      <c r="F194" s="16"/>
      <c r="G194" s="18"/>
      <c r="H194" s="15"/>
      <c r="I194" s="15"/>
      <c r="J194" s="18"/>
      <c r="K194" s="15"/>
      <c r="L194" s="18"/>
      <c r="M194" s="17"/>
      <c r="N194" s="17"/>
      <c r="O194" s="17"/>
      <c r="P194" s="17"/>
      <c r="Q194" s="17"/>
      <c r="R194" s="17"/>
      <c r="S194" s="15"/>
      <c r="T194" s="25"/>
      <c r="U194" s="15"/>
      <c r="V194">
        <v>12</v>
      </c>
      <c r="AA194" s="49" t="s">
        <v>91</v>
      </c>
      <c r="AB194" s="50" t="s">
        <v>75</v>
      </c>
    </row>
    <row r="195" spans="1:28" x14ac:dyDescent="0.4">
      <c r="A195" s="153"/>
      <c r="B195" s="156"/>
      <c r="C195" s="85"/>
      <c r="D195" s="110"/>
      <c r="E195" s="18"/>
      <c r="F195" s="16"/>
      <c r="G195" s="18"/>
      <c r="H195" s="15"/>
      <c r="I195" s="15"/>
      <c r="J195" s="18"/>
      <c r="K195" s="15"/>
      <c r="L195" s="18"/>
      <c r="M195" s="17"/>
      <c r="N195" s="17"/>
      <c r="O195" s="17"/>
      <c r="P195" s="17"/>
      <c r="Q195" s="17"/>
      <c r="R195" s="17"/>
      <c r="S195" s="15"/>
      <c r="T195" s="25"/>
      <c r="U195" s="15"/>
      <c r="V195">
        <v>13</v>
      </c>
      <c r="AA195" s="49" t="s">
        <v>92</v>
      </c>
      <c r="AB195" s="50" t="s">
        <v>40</v>
      </c>
    </row>
    <row r="196" spans="1:28" x14ac:dyDescent="0.4">
      <c r="A196" s="153"/>
      <c r="B196" s="156"/>
      <c r="C196" s="85"/>
      <c r="D196" s="110"/>
      <c r="E196" s="18"/>
      <c r="F196" s="16"/>
      <c r="G196" s="18"/>
      <c r="H196" s="15"/>
      <c r="I196" s="15"/>
      <c r="J196" s="18"/>
      <c r="K196" s="15"/>
      <c r="L196" s="18"/>
      <c r="M196" s="17"/>
      <c r="N196" s="17"/>
      <c r="O196" s="17"/>
      <c r="P196" s="17"/>
      <c r="Q196" s="17"/>
      <c r="R196" s="17"/>
      <c r="S196" s="15"/>
      <c r="T196" s="25"/>
      <c r="U196" s="15"/>
      <c r="V196">
        <v>14</v>
      </c>
      <c r="AA196" s="49" t="s">
        <v>93</v>
      </c>
      <c r="AB196" s="50" t="s">
        <v>57</v>
      </c>
    </row>
    <row r="197" spans="1:28" x14ac:dyDescent="0.4">
      <c r="A197" s="153"/>
      <c r="B197" s="156"/>
      <c r="C197" s="85"/>
      <c r="D197" s="110"/>
      <c r="E197" s="18"/>
      <c r="F197" s="16"/>
      <c r="G197" s="18"/>
      <c r="H197" s="15"/>
      <c r="I197" s="15"/>
      <c r="J197" s="18"/>
      <c r="K197" s="15"/>
      <c r="L197" s="18"/>
      <c r="M197" s="17"/>
      <c r="N197" s="17"/>
      <c r="O197" s="17"/>
      <c r="P197" s="17"/>
      <c r="Q197" s="17"/>
      <c r="R197" s="17"/>
      <c r="S197" s="15"/>
      <c r="T197" s="25"/>
      <c r="U197" s="15"/>
      <c r="V197">
        <v>15</v>
      </c>
      <c r="AA197" s="49" t="s">
        <v>94</v>
      </c>
      <c r="AB197" s="50" t="s">
        <v>41</v>
      </c>
    </row>
    <row r="198" spans="1:28" x14ac:dyDescent="0.4">
      <c r="A198" s="153"/>
      <c r="B198" s="156"/>
      <c r="C198" s="85"/>
      <c r="D198" s="110"/>
      <c r="E198" s="18"/>
      <c r="F198" s="16"/>
      <c r="G198" s="18"/>
      <c r="H198" s="15"/>
      <c r="I198" s="15"/>
      <c r="J198" s="18"/>
      <c r="K198" s="15"/>
      <c r="L198" s="18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53"/>
      <c r="B199" s="156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53"/>
      <c r="B200" s="156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53"/>
      <c r="B201" s="156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53"/>
      <c r="B202" s="156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53"/>
      <c r="B203" s="156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53"/>
      <c r="B204" s="156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53"/>
      <c r="B205" s="156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53"/>
      <c r="B206" s="156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54"/>
      <c r="B207" s="157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7</v>
      </c>
      <c r="D208" s="112"/>
      <c r="E208" s="29"/>
      <c r="F208" s="29" t="s">
        <v>34</v>
      </c>
      <c r="G208" s="29">
        <f>COUNTIF(G183:G207,"S")</f>
        <v>7</v>
      </c>
      <c r="H208" s="29">
        <f>COUNTIF(H183:H207,"E")</f>
        <v>4</v>
      </c>
      <c r="I208" s="29">
        <f>SUM(I183:I207)</f>
        <v>0</v>
      </c>
      <c r="J208" s="29">
        <f t="shared" ref="J208" si="33">SUM(J183:J207)</f>
        <v>10</v>
      </c>
      <c r="K208" s="29">
        <f t="shared" ref="K208" si="34">SUM(K183:K207)</f>
        <v>1</v>
      </c>
      <c r="L208" s="29">
        <f t="shared" ref="L208" si="35">SUM(L183:L207)</f>
        <v>1</v>
      </c>
      <c r="M208" s="29">
        <f t="shared" ref="M208" si="36">SUM(M183:M207)</f>
        <v>0</v>
      </c>
      <c r="N208" s="29">
        <f t="shared" ref="N208" si="37">SUM(N183:N207)</f>
        <v>0</v>
      </c>
      <c r="O208" s="29">
        <f t="shared" ref="O208" si="38">SUM(O183:O207)</f>
        <v>0</v>
      </c>
      <c r="P208" s="29">
        <f t="shared" ref="P208" si="39">SUM(P183:P207)</f>
        <v>0</v>
      </c>
      <c r="Q208" s="29">
        <f t="shared" ref="Q208" si="40">SUM(Q183:Q207)</f>
        <v>0</v>
      </c>
      <c r="R208" s="29">
        <f t="shared" ref="R208" si="41">SUM(R183:R207)</f>
        <v>0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12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AYG134</v>
      </c>
      <c r="B211" s="24">
        <f>B1</f>
        <v>46084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45" t="s">
        <v>113</v>
      </c>
      <c r="Y212" s="151"/>
    </row>
    <row r="213" spans="1:28" ht="20.25" thickTop="1" thickBot="1" x14ac:dyDescent="0.45">
      <c r="A213" s="152">
        <v>8</v>
      </c>
      <c r="B213" s="155">
        <v>24.8</v>
      </c>
      <c r="C213" s="85" t="s">
        <v>308</v>
      </c>
      <c r="D213" s="106" t="s">
        <v>182</v>
      </c>
      <c r="E213" s="15" t="s">
        <v>42</v>
      </c>
      <c r="F213" s="16"/>
      <c r="G213" s="15" t="s">
        <v>178</v>
      </c>
      <c r="H213" s="15"/>
      <c r="I213" s="15"/>
      <c r="J213" s="15"/>
      <c r="K213" s="15"/>
      <c r="L213" s="17"/>
      <c r="M213" s="17"/>
      <c r="N213" s="17"/>
      <c r="O213" s="17"/>
      <c r="P213" s="17"/>
      <c r="Q213" s="17"/>
      <c r="R213" s="17"/>
      <c r="S213" s="15">
        <v>1</v>
      </c>
      <c r="T213" s="25">
        <v>46131</v>
      </c>
      <c r="U213" s="15" t="s">
        <v>146</v>
      </c>
      <c r="V213">
        <v>1</v>
      </c>
      <c r="X213" s="51" t="s">
        <v>106</v>
      </c>
      <c r="Y213" s="52">
        <f>COUNTIF(U213:U237,"K")</f>
        <v>16</v>
      </c>
      <c r="AA213" s="59" t="s">
        <v>120</v>
      </c>
      <c r="AB213" s="60" t="s">
        <v>121</v>
      </c>
    </row>
    <row r="214" spans="1:28" x14ac:dyDescent="0.4">
      <c r="A214" s="153"/>
      <c r="B214" s="156"/>
      <c r="C214" s="85" t="s">
        <v>309</v>
      </c>
      <c r="D214" s="106" t="s">
        <v>182</v>
      </c>
      <c r="E214" s="15" t="s">
        <v>41</v>
      </c>
      <c r="F214" s="16"/>
      <c r="G214" s="15" t="s">
        <v>178</v>
      </c>
      <c r="H214" s="15"/>
      <c r="I214" s="15"/>
      <c r="J214" s="15">
        <v>1</v>
      </c>
      <c r="K214" s="15"/>
      <c r="L214" s="15"/>
      <c r="M214" s="19"/>
      <c r="N214" s="19"/>
      <c r="O214" s="19"/>
      <c r="P214" s="19"/>
      <c r="Q214" s="19"/>
      <c r="R214" s="19"/>
      <c r="S214" s="15"/>
      <c r="T214" s="25">
        <v>46131</v>
      </c>
      <c r="U214" s="15" t="s">
        <v>146</v>
      </c>
      <c r="V214">
        <v>2</v>
      </c>
      <c r="X214" s="51" t="s">
        <v>107</v>
      </c>
      <c r="Y214" s="52">
        <f>COUNTIF(U213:U237,"R")</f>
        <v>0</v>
      </c>
      <c r="AA214" s="47" t="s">
        <v>81</v>
      </c>
      <c r="AB214" s="48" t="s">
        <v>60</v>
      </c>
    </row>
    <row r="215" spans="1:28" ht="19.5" thickBot="1" x14ac:dyDescent="0.45">
      <c r="A215" s="153"/>
      <c r="B215" s="156"/>
      <c r="C215" s="85" t="s">
        <v>310</v>
      </c>
      <c r="D215" s="106" t="s">
        <v>182</v>
      </c>
      <c r="E215" s="15" t="s">
        <v>42</v>
      </c>
      <c r="F215" s="16"/>
      <c r="G215" s="15" t="s">
        <v>178</v>
      </c>
      <c r="H215" s="15"/>
      <c r="I215" s="15"/>
      <c r="J215" s="15"/>
      <c r="K215" s="15"/>
      <c r="L215" s="15"/>
      <c r="M215" s="19"/>
      <c r="N215" s="19"/>
      <c r="O215" s="19"/>
      <c r="P215" s="19"/>
      <c r="Q215" s="19"/>
      <c r="R215" s="19"/>
      <c r="S215" s="15">
        <v>1</v>
      </c>
      <c r="T215" s="25">
        <v>46131</v>
      </c>
      <c r="U215" s="15" t="s">
        <v>146</v>
      </c>
      <c r="V215">
        <v>3</v>
      </c>
      <c r="X215" s="53" t="s">
        <v>108</v>
      </c>
      <c r="Y215" s="54">
        <f>COUNTIF(U213:U237,"J")</f>
        <v>0</v>
      </c>
      <c r="AA215" s="49" t="s">
        <v>82</v>
      </c>
      <c r="AB215" s="50" t="s">
        <v>39</v>
      </c>
    </row>
    <row r="216" spans="1:28" x14ac:dyDescent="0.4">
      <c r="A216" s="153"/>
      <c r="B216" s="156"/>
      <c r="C216" s="85" t="s">
        <v>311</v>
      </c>
      <c r="D216" s="106" t="s">
        <v>182</v>
      </c>
      <c r="E216" s="15" t="s">
        <v>41</v>
      </c>
      <c r="F216" s="16"/>
      <c r="G216" s="15" t="s">
        <v>178</v>
      </c>
      <c r="H216" s="15"/>
      <c r="I216" s="15"/>
      <c r="J216" s="15">
        <v>1</v>
      </c>
      <c r="K216" s="15"/>
      <c r="L216" s="15"/>
      <c r="M216" s="19"/>
      <c r="N216" s="19"/>
      <c r="O216" s="19"/>
      <c r="P216" s="19"/>
      <c r="Q216" s="19"/>
      <c r="R216" s="19"/>
      <c r="S216" s="15"/>
      <c r="T216" s="25">
        <v>46131</v>
      </c>
      <c r="U216" s="15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53"/>
      <c r="B217" s="156"/>
      <c r="C217" s="85" t="s">
        <v>312</v>
      </c>
      <c r="D217" s="106" t="s">
        <v>182</v>
      </c>
      <c r="E217" s="15" t="s">
        <v>42</v>
      </c>
      <c r="F217" s="16"/>
      <c r="G217" s="15" t="s">
        <v>178</v>
      </c>
      <c r="H217" s="15"/>
      <c r="I217" s="15"/>
      <c r="J217" s="15"/>
      <c r="K217" s="15"/>
      <c r="L217" s="15"/>
      <c r="M217" s="19"/>
      <c r="N217" s="19"/>
      <c r="O217" s="19"/>
      <c r="P217" s="19"/>
      <c r="Q217" s="19"/>
      <c r="R217" s="19"/>
      <c r="S217" s="15">
        <v>1</v>
      </c>
      <c r="T217" s="25">
        <v>46131</v>
      </c>
      <c r="U217" s="15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53"/>
      <c r="B218" s="156"/>
      <c r="C218" s="85" t="s">
        <v>313</v>
      </c>
      <c r="D218" s="106" t="s">
        <v>182</v>
      </c>
      <c r="E218" s="15" t="s">
        <v>41</v>
      </c>
      <c r="F218" s="16"/>
      <c r="G218" s="15" t="s">
        <v>178</v>
      </c>
      <c r="H218" s="15"/>
      <c r="I218" s="15"/>
      <c r="J218" s="15">
        <v>1</v>
      </c>
      <c r="K218" s="15"/>
      <c r="L218" s="15"/>
      <c r="M218" s="19"/>
      <c r="N218" s="19"/>
      <c r="O218" s="19"/>
      <c r="P218" s="19"/>
      <c r="Q218" s="19"/>
      <c r="R218" s="19"/>
      <c r="S218" s="15"/>
      <c r="T218" s="25">
        <v>46131</v>
      </c>
      <c r="U218" s="15" t="s">
        <v>146</v>
      </c>
      <c r="V218">
        <v>6</v>
      </c>
      <c r="AA218" s="49" t="s">
        <v>85</v>
      </c>
      <c r="AB218" s="50" t="s">
        <v>43</v>
      </c>
    </row>
    <row r="219" spans="1:28" x14ac:dyDescent="0.4">
      <c r="A219" s="153"/>
      <c r="B219" s="156"/>
      <c r="C219" s="85" t="s">
        <v>314</v>
      </c>
      <c r="D219" s="106" t="s">
        <v>182</v>
      </c>
      <c r="E219" s="15" t="s">
        <v>42</v>
      </c>
      <c r="F219" s="16"/>
      <c r="G219" s="15" t="s">
        <v>178</v>
      </c>
      <c r="H219" s="15"/>
      <c r="I219" s="15"/>
      <c r="J219" s="15"/>
      <c r="K219" s="15"/>
      <c r="L219" s="15"/>
      <c r="M219" s="19"/>
      <c r="N219" s="19"/>
      <c r="O219" s="19"/>
      <c r="P219" s="19"/>
      <c r="Q219" s="19"/>
      <c r="R219" s="19"/>
      <c r="S219" s="15">
        <v>1</v>
      </c>
      <c r="T219" s="25">
        <v>46131</v>
      </c>
      <c r="U219" s="15" t="s">
        <v>146</v>
      </c>
      <c r="V219">
        <v>7</v>
      </c>
      <c r="AA219" s="49" t="s">
        <v>86</v>
      </c>
      <c r="AB219" s="50" t="s">
        <v>45</v>
      </c>
    </row>
    <row r="220" spans="1:28" x14ac:dyDescent="0.4">
      <c r="A220" s="153"/>
      <c r="B220" s="156"/>
      <c r="C220" s="85" t="s">
        <v>315</v>
      </c>
      <c r="D220" s="106" t="s">
        <v>182</v>
      </c>
      <c r="E220" s="15" t="s">
        <v>41</v>
      </c>
      <c r="F220" s="16"/>
      <c r="G220" s="15" t="s">
        <v>178</v>
      </c>
      <c r="H220" s="15"/>
      <c r="I220" s="15"/>
      <c r="J220" s="15">
        <v>1</v>
      </c>
      <c r="K220" s="15"/>
      <c r="L220" s="15"/>
      <c r="M220" s="17"/>
      <c r="N220" s="17"/>
      <c r="O220" s="17"/>
      <c r="P220" s="17"/>
      <c r="Q220" s="17"/>
      <c r="R220" s="17"/>
      <c r="S220" s="15"/>
      <c r="T220" s="25">
        <v>46131</v>
      </c>
      <c r="U220" s="15" t="s">
        <v>146</v>
      </c>
      <c r="V220">
        <v>8</v>
      </c>
      <c r="AA220" s="49" t="s">
        <v>87</v>
      </c>
      <c r="AB220" s="50" t="s">
        <v>37</v>
      </c>
    </row>
    <row r="221" spans="1:28" x14ac:dyDescent="0.4">
      <c r="A221" s="153"/>
      <c r="B221" s="156"/>
      <c r="C221" s="85" t="s">
        <v>316</v>
      </c>
      <c r="D221" s="106" t="s">
        <v>182</v>
      </c>
      <c r="E221" s="15" t="s">
        <v>42</v>
      </c>
      <c r="F221" s="16"/>
      <c r="G221" s="15" t="s">
        <v>178</v>
      </c>
      <c r="H221" s="15"/>
      <c r="I221" s="15"/>
      <c r="J221" s="15"/>
      <c r="K221" s="15"/>
      <c r="L221" s="15"/>
      <c r="M221" s="17"/>
      <c r="N221" s="17"/>
      <c r="O221" s="17"/>
      <c r="P221" s="17"/>
      <c r="Q221" s="17"/>
      <c r="R221" s="17"/>
      <c r="S221" s="15">
        <v>1</v>
      </c>
      <c r="T221" s="25">
        <v>46131</v>
      </c>
      <c r="U221" s="15" t="s">
        <v>146</v>
      </c>
      <c r="V221">
        <v>9</v>
      </c>
      <c r="AA221" s="49" t="s">
        <v>88</v>
      </c>
      <c r="AB221" s="50" t="s">
        <v>74</v>
      </c>
    </row>
    <row r="222" spans="1:28" x14ac:dyDescent="0.4">
      <c r="A222" s="153"/>
      <c r="B222" s="156"/>
      <c r="C222" s="85" t="s">
        <v>317</v>
      </c>
      <c r="D222" s="106" t="s">
        <v>182</v>
      </c>
      <c r="E222" s="15" t="s">
        <v>41</v>
      </c>
      <c r="F222" s="138"/>
      <c r="G222" s="15" t="s">
        <v>178</v>
      </c>
      <c r="H222" s="15"/>
      <c r="I222" s="15"/>
      <c r="J222" s="15">
        <v>1</v>
      </c>
      <c r="K222" s="15"/>
      <c r="L222" s="15"/>
      <c r="M222" s="17"/>
      <c r="N222" s="17"/>
      <c r="O222" s="17"/>
      <c r="P222" s="17"/>
      <c r="Q222" s="17"/>
      <c r="R222" s="17"/>
      <c r="S222" s="15"/>
      <c r="T222" s="25">
        <v>46131</v>
      </c>
      <c r="U222" s="15" t="s">
        <v>146</v>
      </c>
      <c r="V222">
        <v>10</v>
      </c>
      <c r="AA222" s="49" t="s">
        <v>89</v>
      </c>
      <c r="AB222" s="50" t="s">
        <v>36</v>
      </c>
    </row>
    <row r="223" spans="1:28" x14ac:dyDescent="0.4">
      <c r="A223" s="153"/>
      <c r="B223" s="156"/>
      <c r="C223" s="85" t="s">
        <v>318</v>
      </c>
      <c r="D223" s="106" t="s">
        <v>182</v>
      </c>
      <c r="E223" s="15" t="s">
        <v>42</v>
      </c>
      <c r="F223" s="16"/>
      <c r="G223" s="15" t="s">
        <v>178</v>
      </c>
      <c r="H223" s="15"/>
      <c r="I223" s="15"/>
      <c r="J223" s="15"/>
      <c r="K223" s="15"/>
      <c r="L223" s="15"/>
      <c r="M223" s="17"/>
      <c r="N223" s="17"/>
      <c r="O223" s="17"/>
      <c r="P223" s="17"/>
      <c r="Q223" s="17"/>
      <c r="R223" s="17"/>
      <c r="S223" s="15">
        <v>1</v>
      </c>
      <c r="T223" s="25">
        <v>46131</v>
      </c>
      <c r="U223" s="15" t="s">
        <v>146</v>
      </c>
      <c r="V223">
        <v>11</v>
      </c>
      <c r="AA223" s="49" t="s">
        <v>90</v>
      </c>
      <c r="AB223" s="50" t="s">
        <v>58</v>
      </c>
    </row>
    <row r="224" spans="1:28" x14ac:dyDescent="0.4">
      <c r="A224" s="153"/>
      <c r="B224" s="156"/>
      <c r="C224" s="85" t="s">
        <v>319</v>
      </c>
      <c r="D224" s="106" t="s">
        <v>182</v>
      </c>
      <c r="E224" s="15" t="s">
        <v>41</v>
      </c>
      <c r="F224" s="16"/>
      <c r="G224" s="15" t="s">
        <v>178</v>
      </c>
      <c r="H224" s="15"/>
      <c r="I224" s="15"/>
      <c r="J224" s="15">
        <v>1</v>
      </c>
      <c r="K224" s="15"/>
      <c r="L224" s="15"/>
      <c r="M224" s="17"/>
      <c r="N224" s="17"/>
      <c r="O224" s="17"/>
      <c r="P224" s="17"/>
      <c r="Q224" s="17"/>
      <c r="R224" s="17"/>
      <c r="S224" s="15"/>
      <c r="T224" s="25">
        <v>46131</v>
      </c>
      <c r="U224" s="15" t="s">
        <v>146</v>
      </c>
      <c r="V224">
        <v>12</v>
      </c>
      <c r="AA224" s="49" t="s">
        <v>91</v>
      </c>
      <c r="AB224" s="50" t="s">
        <v>75</v>
      </c>
    </row>
    <row r="225" spans="1:28" x14ac:dyDescent="0.4">
      <c r="A225" s="153"/>
      <c r="B225" s="156"/>
      <c r="C225" s="85" t="s">
        <v>320</v>
      </c>
      <c r="D225" s="106" t="s">
        <v>182</v>
      </c>
      <c r="E225" s="15" t="s">
        <v>42</v>
      </c>
      <c r="F225" s="16"/>
      <c r="G225" s="15" t="s">
        <v>178</v>
      </c>
      <c r="H225" s="15"/>
      <c r="I225" s="15"/>
      <c r="J225" s="15"/>
      <c r="K225" s="15"/>
      <c r="L225" s="15"/>
      <c r="M225" s="17"/>
      <c r="N225" s="17"/>
      <c r="O225" s="17"/>
      <c r="P225" s="17"/>
      <c r="Q225" s="17"/>
      <c r="R225" s="17"/>
      <c r="S225" s="15">
        <v>1</v>
      </c>
      <c r="T225" s="25">
        <v>46131</v>
      </c>
      <c r="U225" s="15" t="s">
        <v>146</v>
      </c>
      <c r="V225">
        <v>13</v>
      </c>
      <c r="AA225" s="49" t="s">
        <v>92</v>
      </c>
      <c r="AB225" s="50" t="s">
        <v>40</v>
      </c>
    </row>
    <row r="226" spans="1:28" x14ac:dyDescent="0.4">
      <c r="A226" s="153"/>
      <c r="B226" s="156"/>
      <c r="C226" s="85" t="s">
        <v>321</v>
      </c>
      <c r="D226" s="106" t="s">
        <v>182</v>
      </c>
      <c r="E226" s="15" t="s">
        <v>41</v>
      </c>
      <c r="F226" s="16"/>
      <c r="G226" s="15" t="s">
        <v>178</v>
      </c>
      <c r="H226" s="15"/>
      <c r="I226" s="15"/>
      <c r="J226" s="15">
        <v>1</v>
      </c>
      <c r="K226" s="15"/>
      <c r="L226" s="15"/>
      <c r="M226" s="17"/>
      <c r="N226" s="17"/>
      <c r="O226" s="17"/>
      <c r="P226" s="17"/>
      <c r="Q226" s="17"/>
      <c r="R226" s="17"/>
      <c r="S226" s="15"/>
      <c r="T226" s="25">
        <v>46131</v>
      </c>
      <c r="U226" s="15" t="s">
        <v>146</v>
      </c>
      <c r="V226">
        <v>14</v>
      </c>
      <c r="AA226" s="49" t="s">
        <v>93</v>
      </c>
      <c r="AB226" s="50" t="s">
        <v>57</v>
      </c>
    </row>
    <row r="227" spans="1:28" x14ac:dyDescent="0.4">
      <c r="A227" s="153"/>
      <c r="B227" s="156"/>
      <c r="C227" s="85" t="s">
        <v>322</v>
      </c>
      <c r="D227" s="106" t="s">
        <v>182</v>
      </c>
      <c r="E227" s="15" t="s">
        <v>42</v>
      </c>
      <c r="F227" s="16"/>
      <c r="G227" s="15" t="s">
        <v>178</v>
      </c>
      <c r="H227" s="15"/>
      <c r="I227" s="15"/>
      <c r="J227" s="15"/>
      <c r="K227" s="15"/>
      <c r="L227" s="15"/>
      <c r="M227" s="17"/>
      <c r="N227" s="17"/>
      <c r="O227" s="17"/>
      <c r="P227" s="17"/>
      <c r="Q227" s="17"/>
      <c r="R227" s="17"/>
      <c r="S227" s="15">
        <v>1</v>
      </c>
      <c r="T227" s="25">
        <v>46131</v>
      </c>
      <c r="U227" s="15" t="s">
        <v>146</v>
      </c>
      <c r="V227">
        <v>15</v>
      </c>
      <c r="AA227" s="49" t="s">
        <v>94</v>
      </c>
      <c r="AB227" s="50" t="s">
        <v>41</v>
      </c>
    </row>
    <row r="228" spans="1:28" x14ac:dyDescent="0.4">
      <c r="A228" s="153"/>
      <c r="B228" s="156"/>
      <c r="C228" s="85" t="s">
        <v>323</v>
      </c>
      <c r="D228" s="106" t="s">
        <v>182</v>
      </c>
      <c r="E228" s="106" t="s">
        <v>41</v>
      </c>
      <c r="F228" s="16"/>
      <c r="G228" s="15" t="s">
        <v>178</v>
      </c>
      <c r="H228" s="15"/>
      <c r="I228" s="15"/>
      <c r="J228" s="18">
        <v>1</v>
      </c>
      <c r="K228" s="15"/>
      <c r="L228" s="19"/>
      <c r="M228" s="19"/>
      <c r="N228" s="19"/>
      <c r="O228" s="19"/>
      <c r="P228" s="19"/>
      <c r="Q228" s="19"/>
      <c r="R228" s="19"/>
      <c r="S228" s="15"/>
      <c r="T228" s="25">
        <v>46131</v>
      </c>
      <c r="U228" s="15" t="s">
        <v>146</v>
      </c>
      <c r="V228">
        <v>16</v>
      </c>
      <c r="AA228" s="49" t="s">
        <v>95</v>
      </c>
      <c r="AB228" s="50" t="s">
        <v>42</v>
      </c>
    </row>
    <row r="229" spans="1:28" x14ac:dyDescent="0.4">
      <c r="A229" s="153"/>
      <c r="B229" s="156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53"/>
      <c r="B230" s="156"/>
      <c r="C230" s="85"/>
      <c r="D230" s="106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53"/>
      <c r="B231" s="156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53"/>
      <c r="B232" s="156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53"/>
      <c r="B233" s="156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53"/>
      <c r="B234" s="156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53"/>
      <c r="B235" s="156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131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53"/>
      <c r="B236" s="156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26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54"/>
      <c r="B237" s="157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16</v>
      </c>
      <c r="D238" s="112"/>
      <c r="E238" s="29"/>
      <c r="F238" s="29" t="s">
        <v>34</v>
      </c>
      <c r="G238" s="29">
        <f>COUNTIF(G213:G237,"S")</f>
        <v>16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8</v>
      </c>
      <c r="K238" s="29">
        <f t="shared" ref="K238" si="44">SUM(K213:K237)</f>
        <v>0</v>
      </c>
      <c r="L238" s="29">
        <f t="shared" ref="L238" si="45">SUM(L213:L237)</f>
        <v>0</v>
      </c>
      <c r="M238" s="29">
        <f t="shared" ref="M238" si="46">SUM(M213:M237)</f>
        <v>0</v>
      </c>
      <c r="N238" s="29">
        <f t="shared" ref="N238" si="47">SUM(N213:N237)</f>
        <v>0</v>
      </c>
      <c r="O238" s="29">
        <f t="shared" ref="O238" si="48">SUM(O213:O237)</f>
        <v>0</v>
      </c>
      <c r="P238" s="29">
        <f t="shared" ref="P238" si="49">SUM(P213:P237)</f>
        <v>0</v>
      </c>
      <c r="Q238" s="29">
        <f t="shared" ref="Q238" si="50">SUM(Q213:Q237)</f>
        <v>0</v>
      </c>
      <c r="R238" s="29">
        <f t="shared" ref="R238" si="51">SUM(R213:R237)</f>
        <v>0</v>
      </c>
      <c r="S238" s="29">
        <f t="shared" ref="S238" si="52">SUM(S213:S237)</f>
        <v>8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16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AYG134</v>
      </c>
      <c r="B241" s="24">
        <f>B1</f>
        <v>46084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62" t="s">
        <v>112</v>
      </c>
      <c r="Y242" s="162"/>
    </row>
    <row r="243" spans="1:28" ht="20.25" thickTop="1" thickBot="1" x14ac:dyDescent="0.45">
      <c r="A243" s="152">
        <v>9</v>
      </c>
      <c r="B243" s="155">
        <v>23.6</v>
      </c>
      <c r="C243" s="85" t="s">
        <v>324</v>
      </c>
      <c r="D243" s="106" t="s">
        <v>180</v>
      </c>
      <c r="E243" s="106" t="s">
        <v>38</v>
      </c>
      <c r="F243" s="14"/>
      <c r="G243" s="12" t="s">
        <v>178</v>
      </c>
      <c r="H243" s="13"/>
      <c r="I243" s="13"/>
      <c r="J243" s="13">
        <v>1</v>
      </c>
      <c r="K243" s="13">
        <v>1</v>
      </c>
      <c r="L243" s="13"/>
      <c r="M243" s="13"/>
      <c r="N243" s="13"/>
      <c r="O243" s="13"/>
      <c r="P243" s="13"/>
      <c r="Q243" s="13"/>
      <c r="R243" s="13"/>
      <c r="S243" s="13"/>
      <c r="T243" s="25">
        <v>46120</v>
      </c>
      <c r="U243" s="13" t="s">
        <v>146</v>
      </c>
      <c r="V243">
        <v>1</v>
      </c>
      <c r="X243" t="s">
        <v>106</v>
      </c>
      <c r="Y243">
        <f>COUNTIF(U243:U267,"K")</f>
        <v>8</v>
      </c>
      <c r="AA243" s="59" t="s">
        <v>120</v>
      </c>
      <c r="AB243" s="60" t="s">
        <v>121</v>
      </c>
    </row>
    <row r="244" spans="1:28" x14ac:dyDescent="0.4">
      <c r="A244" s="153"/>
      <c r="B244" s="156"/>
      <c r="C244" s="85" t="s">
        <v>325</v>
      </c>
      <c r="D244" s="106" t="s">
        <v>179</v>
      </c>
      <c r="E244" s="106" t="s">
        <v>38</v>
      </c>
      <c r="F244" s="16"/>
      <c r="G244" s="12" t="s">
        <v>178</v>
      </c>
      <c r="H244" s="15"/>
      <c r="I244" s="15"/>
      <c r="J244" s="13">
        <v>1</v>
      </c>
      <c r="K244" s="15">
        <v>1</v>
      </c>
      <c r="L244" s="13"/>
      <c r="M244" s="17"/>
      <c r="N244" s="17"/>
      <c r="O244" s="17"/>
      <c r="P244" s="17"/>
      <c r="Q244" s="17"/>
      <c r="R244" s="17"/>
      <c r="S244" s="15"/>
      <c r="T244" s="25">
        <v>46118</v>
      </c>
      <c r="U244" s="13" t="s">
        <v>146</v>
      </c>
      <c r="V244">
        <v>2</v>
      </c>
      <c r="X244" t="s">
        <v>107</v>
      </c>
      <c r="Y244">
        <f>COUNTIF(U243:U267,"R")</f>
        <v>7</v>
      </c>
      <c r="AA244" s="47" t="s">
        <v>81</v>
      </c>
      <c r="AB244" s="48" t="s">
        <v>60</v>
      </c>
    </row>
    <row r="245" spans="1:28" x14ac:dyDescent="0.4">
      <c r="A245" s="153"/>
      <c r="B245" s="156"/>
      <c r="C245" s="85" t="s">
        <v>326</v>
      </c>
      <c r="D245" s="106" t="s">
        <v>179</v>
      </c>
      <c r="E245" s="106" t="s">
        <v>36</v>
      </c>
      <c r="F245" s="16"/>
      <c r="G245" s="12" t="s">
        <v>178</v>
      </c>
      <c r="H245" s="13"/>
      <c r="I245" s="15"/>
      <c r="J245" s="13"/>
      <c r="K245" s="15"/>
      <c r="L245" s="13"/>
      <c r="M245" s="17">
        <v>1</v>
      </c>
      <c r="N245" s="17">
        <v>1</v>
      </c>
      <c r="O245" s="17"/>
      <c r="P245" s="17"/>
      <c r="Q245" s="17">
        <v>1</v>
      </c>
      <c r="R245" s="17"/>
      <c r="S245" s="15"/>
      <c r="T245" s="25">
        <v>46124</v>
      </c>
      <c r="U245" s="13" t="s">
        <v>147</v>
      </c>
      <c r="V245">
        <v>3</v>
      </c>
      <c r="X245" t="s">
        <v>108</v>
      </c>
      <c r="Y245">
        <f>COUNTIF(U243:U267,"J")</f>
        <v>3</v>
      </c>
      <c r="AA245" s="49" t="s">
        <v>82</v>
      </c>
      <c r="AB245" s="50" t="s">
        <v>39</v>
      </c>
    </row>
    <row r="246" spans="1:28" x14ac:dyDescent="0.4">
      <c r="A246" s="153"/>
      <c r="B246" s="156"/>
      <c r="C246" s="85" t="s">
        <v>327</v>
      </c>
      <c r="D246" s="106" t="s">
        <v>180</v>
      </c>
      <c r="E246" s="106" t="s">
        <v>58</v>
      </c>
      <c r="F246" s="16"/>
      <c r="G246" s="12" t="s">
        <v>178</v>
      </c>
      <c r="H246" s="15"/>
      <c r="I246" s="15"/>
      <c r="J246" s="13"/>
      <c r="K246" s="15"/>
      <c r="L246" s="13"/>
      <c r="M246" s="17"/>
      <c r="N246" s="17"/>
      <c r="O246" s="17"/>
      <c r="P246" s="17"/>
      <c r="Q246" s="17"/>
      <c r="R246" s="17"/>
      <c r="S246" s="15"/>
      <c r="T246" s="25">
        <v>46119</v>
      </c>
      <c r="U246" s="13" t="s">
        <v>147</v>
      </c>
      <c r="V246">
        <v>4</v>
      </c>
      <c r="AA246" s="49" t="s">
        <v>83</v>
      </c>
      <c r="AB246" s="50" t="s">
        <v>38</v>
      </c>
    </row>
    <row r="247" spans="1:28" x14ac:dyDescent="0.4">
      <c r="A247" s="153"/>
      <c r="B247" s="156"/>
      <c r="C247" s="85" t="s">
        <v>328</v>
      </c>
      <c r="D247" s="106" t="s">
        <v>180</v>
      </c>
      <c r="E247" s="106" t="s">
        <v>58</v>
      </c>
      <c r="F247" s="16"/>
      <c r="G247" s="12" t="s">
        <v>178</v>
      </c>
      <c r="H247" s="15"/>
      <c r="I247" s="15"/>
      <c r="J247" s="13"/>
      <c r="K247" s="15"/>
      <c r="L247" s="13"/>
      <c r="M247" s="17"/>
      <c r="N247" s="17"/>
      <c r="O247" s="17"/>
      <c r="P247" s="17"/>
      <c r="Q247" s="17"/>
      <c r="R247" s="17"/>
      <c r="S247" s="15">
        <v>1</v>
      </c>
      <c r="T247" s="25">
        <v>46119</v>
      </c>
      <c r="U247" s="13" t="s">
        <v>146</v>
      </c>
      <c r="V247">
        <v>5</v>
      </c>
      <c r="AA247" s="49" t="s">
        <v>84</v>
      </c>
      <c r="AB247" s="50" t="s">
        <v>44</v>
      </c>
    </row>
    <row r="248" spans="1:28" x14ac:dyDescent="0.4">
      <c r="A248" s="153"/>
      <c r="B248" s="156"/>
      <c r="C248" s="85" t="s">
        <v>329</v>
      </c>
      <c r="D248" s="106" t="s">
        <v>180</v>
      </c>
      <c r="E248" s="106" t="s">
        <v>58</v>
      </c>
      <c r="F248" s="16"/>
      <c r="G248" s="12" t="s">
        <v>178</v>
      </c>
      <c r="H248" s="13"/>
      <c r="I248" s="15"/>
      <c r="J248" s="13"/>
      <c r="K248" s="15"/>
      <c r="L248" s="13"/>
      <c r="M248" s="17"/>
      <c r="N248" s="17"/>
      <c r="O248" s="17"/>
      <c r="P248" s="17"/>
      <c r="Q248" s="17"/>
      <c r="R248" s="17"/>
      <c r="S248" s="15">
        <v>1</v>
      </c>
      <c r="T248" s="25">
        <v>46119</v>
      </c>
      <c r="U248" s="133" t="s">
        <v>146</v>
      </c>
      <c r="V248">
        <v>6</v>
      </c>
      <c r="AA248" s="49" t="s">
        <v>85</v>
      </c>
      <c r="AB248" s="50" t="s">
        <v>43</v>
      </c>
    </row>
    <row r="249" spans="1:28" x14ac:dyDescent="0.4">
      <c r="A249" s="153"/>
      <c r="B249" s="156"/>
      <c r="C249" s="85" t="s">
        <v>330</v>
      </c>
      <c r="D249" s="106" t="s">
        <v>180</v>
      </c>
      <c r="E249" s="106" t="s">
        <v>75</v>
      </c>
      <c r="F249" s="16"/>
      <c r="G249" s="12" t="s">
        <v>178</v>
      </c>
      <c r="H249" s="15"/>
      <c r="I249" s="15"/>
      <c r="J249" s="13"/>
      <c r="K249" s="15"/>
      <c r="L249" s="13"/>
      <c r="M249" s="17"/>
      <c r="N249" s="17"/>
      <c r="O249" s="17"/>
      <c r="P249" s="17"/>
      <c r="Q249" s="17"/>
      <c r="R249" s="17"/>
      <c r="S249" s="15">
        <v>1</v>
      </c>
      <c r="T249" s="25">
        <v>46119</v>
      </c>
      <c r="U249" s="13" t="s">
        <v>146</v>
      </c>
      <c r="V249">
        <v>7</v>
      </c>
      <c r="AA249" s="49" t="s">
        <v>86</v>
      </c>
      <c r="AB249" s="50" t="s">
        <v>45</v>
      </c>
    </row>
    <row r="250" spans="1:28" x14ac:dyDescent="0.4">
      <c r="A250" s="153"/>
      <c r="B250" s="156"/>
      <c r="C250" s="85" t="s">
        <v>331</v>
      </c>
      <c r="D250" s="106" t="s">
        <v>189</v>
      </c>
      <c r="E250" s="106" t="s">
        <v>36</v>
      </c>
      <c r="F250" s="16"/>
      <c r="G250" s="12" t="s">
        <v>178</v>
      </c>
      <c r="H250" s="15"/>
      <c r="I250" s="15"/>
      <c r="J250" s="13"/>
      <c r="K250" s="15"/>
      <c r="L250" s="13"/>
      <c r="M250" s="17">
        <v>1</v>
      </c>
      <c r="N250" s="17">
        <v>1</v>
      </c>
      <c r="O250" s="17"/>
      <c r="P250" s="17"/>
      <c r="Q250" s="17"/>
      <c r="R250" s="17"/>
      <c r="S250" s="15"/>
      <c r="T250" s="25">
        <v>46122</v>
      </c>
      <c r="U250" s="13" t="s">
        <v>147</v>
      </c>
      <c r="V250">
        <v>8</v>
      </c>
      <c r="AA250" s="49" t="s">
        <v>87</v>
      </c>
      <c r="AB250" s="50" t="s">
        <v>37</v>
      </c>
    </row>
    <row r="251" spans="1:28" x14ac:dyDescent="0.4">
      <c r="A251" s="153"/>
      <c r="B251" s="156"/>
      <c r="C251" s="85" t="s">
        <v>332</v>
      </c>
      <c r="D251" s="106" t="s">
        <v>179</v>
      </c>
      <c r="E251" s="106" t="s">
        <v>37</v>
      </c>
      <c r="F251" s="16"/>
      <c r="G251" s="12" t="s">
        <v>178</v>
      </c>
      <c r="H251" s="15"/>
      <c r="I251" s="15"/>
      <c r="J251" s="13"/>
      <c r="K251" s="15"/>
      <c r="L251" s="13"/>
      <c r="M251" s="17">
        <v>1</v>
      </c>
      <c r="N251" s="17">
        <v>1</v>
      </c>
      <c r="O251" s="17"/>
      <c r="P251" s="17"/>
      <c r="Q251" s="17">
        <v>1</v>
      </c>
      <c r="R251" s="17"/>
      <c r="S251" s="15"/>
      <c r="T251" s="25">
        <v>46138</v>
      </c>
      <c r="U251" s="13" t="s">
        <v>147</v>
      </c>
      <c r="V251">
        <v>9</v>
      </c>
      <c r="AA251" s="49" t="s">
        <v>88</v>
      </c>
      <c r="AB251" s="50" t="s">
        <v>74</v>
      </c>
    </row>
    <row r="252" spans="1:28" x14ac:dyDescent="0.4">
      <c r="A252" s="153"/>
      <c r="B252" s="156"/>
      <c r="C252" s="85" t="s">
        <v>333</v>
      </c>
      <c r="D252" s="106" t="s">
        <v>188</v>
      </c>
      <c r="E252" s="106" t="s">
        <v>74</v>
      </c>
      <c r="F252" s="138"/>
      <c r="G252" s="137" t="s">
        <v>178</v>
      </c>
      <c r="H252" s="15"/>
      <c r="I252" s="15"/>
      <c r="J252" s="13"/>
      <c r="K252" s="15"/>
      <c r="L252" s="13"/>
      <c r="M252" s="17">
        <v>1</v>
      </c>
      <c r="N252" s="17">
        <v>1</v>
      </c>
      <c r="O252" s="17"/>
      <c r="P252" s="17"/>
      <c r="Q252" s="17">
        <v>1</v>
      </c>
      <c r="R252" s="17"/>
      <c r="S252" s="15"/>
      <c r="T252" s="25">
        <v>46135</v>
      </c>
      <c r="U252" s="13" t="s">
        <v>147</v>
      </c>
      <c r="V252">
        <v>10</v>
      </c>
      <c r="AA252" s="49" t="s">
        <v>89</v>
      </c>
      <c r="AB252" s="50" t="s">
        <v>36</v>
      </c>
    </row>
    <row r="253" spans="1:28" x14ac:dyDescent="0.4">
      <c r="A253" s="153"/>
      <c r="B253" s="156"/>
      <c r="C253" s="85" t="s">
        <v>334</v>
      </c>
      <c r="D253" s="106" t="s">
        <v>188</v>
      </c>
      <c r="E253" s="106" t="s">
        <v>37</v>
      </c>
      <c r="F253" s="16"/>
      <c r="G253" s="12" t="s">
        <v>178</v>
      </c>
      <c r="H253" s="15"/>
      <c r="I253" s="15"/>
      <c r="J253" s="15"/>
      <c r="K253" s="15"/>
      <c r="L253" s="17"/>
      <c r="M253" s="17"/>
      <c r="N253" s="17"/>
      <c r="O253" s="17"/>
      <c r="P253" s="17"/>
      <c r="Q253" s="17"/>
      <c r="R253" s="17"/>
      <c r="S253" s="15"/>
      <c r="T253" s="25">
        <v>46135</v>
      </c>
      <c r="U253" s="13" t="s">
        <v>147</v>
      </c>
      <c r="V253">
        <v>11</v>
      </c>
      <c r="AA253" s="49" t="s">
        <v>90</v>
      </c>
      <c r="AB253" s="50" t="s">
        <v>58</v>
      </c>
    </row>
    <row r="254" spans="1:28" x14ac:dyDescent="0.4">
      <c r="A254" s="153"/>
      <c r="B254" s="156"/>
      <c r="C254" s="85" t="s">
        <v>335</v>
      </c>
      <c r="D254" s="106" t="s">
        <v>188</v>
      </c>
      <c r="E254" s="106" t="s">
        <v>40</v>
      </c>
      <c r="F254" s="16"/>
      <c r="G254" s="12" t="s">
        <v>178</v>
      </c>
      <c r="H254" s="15"/>
      <c r="I254" s="15"/>
      <c r="J254" s="15"/>
      <c r="K254" s="15"/>
      <c r="L254" s="17"/>
      <c r="M254" s="17"/>
      <c r="N254" s="17"/>
      <c r="O254" s="17">
        <v>1</v>
      </c>
      <c r="P254" s="17">
        <v>1</v>
      </c>
      <c r="Q254" s="17"/>
      <c r="R254" s="17"/>
      <c r="S254" s="15"/>
      <c r="T254" s="25">
        <v>46135</v>
      </c>
      <c r="U254" s="13" t="s">
        <v>148</v>
      </c>
      <c r="V254">
        <v>12</v>
      </c>
      <c r="AA254" s="49" t="s">
        <v>91</v>
      </c>
      <c r="AB254" s="50" t="s">
        <v>75</v>
      </c>
    </row>
    <row r="255" spans="1:28" x14ac:dyDescent="0.4">
      <c r="A255" s="153"/>
      <c r="B255" s="156"/>
      <c r="C255" s="85" t="s">
        <v>336</v>
      </c>
      <c r="D255" s="106" t="s">
        <v>188</v>
      </c>
      <c r="E255" s="106" t="s">
        <v>75</v>
      </c>
      <c r="F255" s="16"/>
      <c r="G255" s="12" t="s">
        <v>178</v>
      </c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/>
      <c r="T255" s="25">
        <v>46128</v>
      </c>
      <c r="U255" s="13" t="s">
        <v>147</v>
      </c>
      <c r="V255">
        <v>13</v>
      </c>
      <c r="AA255" s="49" t="s">
        <v>92</v>
      </c>
      <c r="AB255" s="50" t="s">
        <v>40</v>
      </c>
    </row>
    <row r="256" spans="1:28" x14ac:dyDescent="0.4">
      <c r="A256" s="153"/>
      <c r="B256" s="156"/>
      <c r="C256" s="85" t="s">
        <v>337</v>
      </c>
      <c r="D256" s="106" t="s">
        <v>190</v>
      </c>
      <c r="E256" s="106" t="s">
        <v>40</v>
      </c>
      <c r="F256" s="16"/>
      <c r="G256" s="12" t="s">
        <v>178</v>
      </c>
      <c r="H256" s="15"/>
      <c r="I256" s="15"/>
      <c r="J256" s="15"/>
      <c r="K256" s="15"/>
      <c r="L256" s="17"/>
      <c r="M256" s="17"/>
      <c r="N256" s="17"/>
      <c r="O256" s="17">
        <v>1</v>
      </c>
      <c r="P256" s="17">
        <v>1</v>
      </c>
      <c r="Q256" s="17"/>
      <c r="R256" s="17"/>
      <c r="S256" s="15"/>
      <c r="T256" s="25">
        <v>46138</v>
      </c>
      <c r="U256" s="13" t="s">
        <v>148</v>
      </c>
      <c r="V256">
        <v>14</v>
      </c>
      <c r="AA256" s="49" t="s">
        <v>93</v>
      </c>
      <c r="AB256" s="50" t="s">
        <v>57</v>
      </c>
    </row>
    <row r="257" spans="1:28" x14ac:dyDescent="0.4">
      <c r="A257" s="153"/>
      <c r="B257" s="156"/>
      <c r="C257" s="85" t="s">
        <v>338</v>
      </c>
      <c r="D257" s="106" t="s">
        <v>199</v>
      </c>
      <c r="E257" s="106" t="s">
        <v>40</v>
      </c>
      <c r="F257" s="16"/>
      <c r="G257" s="12" t="s">
        <v>209</v>
      </c>
      <c r="H257" s="15"/>
      <c r="I257" s="15"/>
      <c r="J257" s="15"/>
      <c r="K257" s="15"/>
      <c r="L257" s="17"/>
      <c r="M257" s="17"/>
      <c r="N257" s="17"/>
      <c r="O257" s="17">
        <v>1</v>
      </c>
      <c r="P257" s="17">
        <v>1</v>
      </c>
      <c r="Q257" s="17"/>
      <c r="R257" s="17"/>
      <c r="S257" s="15"/>
      <c r="T257" s="25">
        <v>46127</v>
      </c>
      <c r="U257" s="13" t="s">
        <v>148</v>
      </c>
      <c r="V257">
        <v>15</v>
      </c>
      <c r="AA257" s="49" t="s">
        <v>94</v>
      </c>
      <c r="AB257" s="50" t="s">
        <v>41</v>
      </c>
    </row>
    <row r="258" spans="1:28" x14ac:dyDescent="0.4">
      <c r="A258" s="153"/>
      <c r="B258" s="156"/>
      <c r="C258" s="85" t="s">
        <v>339</v>
      </c>
      <c r="D258" s="106" t="s">
        <v>181</v>
      </c>
      <c r="E258" s="106" t="s">
        <v>37</v>
      </c>
      <c r="F258" s="16"/>
      <c r="G258" s="12" t="s">
        <v>178</v>
      </c>
      <c r="H258" s="15"/>
      <c r="I258" s="15"/>
      <c r="J258" s="18">
        <v>1</v>
      </c>
      <c r="K258" s="15">
        <v>1</v>
      </c>
      <c r="L258" s="19"/>
      <c r="M258" s="19"/>
      <c r="N258" s="19"/>
      <c r="O258" s="19"/>
      <c r="P258" s="19"/>
      <c r="Q258" s="19"/>
      <c r="R258" s="19"/>
      <c r="S258" s="15"/>
      <c r="T258" s="25">
        <v>46124</v>
      </c>
      <c r="U258" s="13" t="s">
        <v>146</v>
      </c>
      <c r="V258">
        <v>16</v>
      </c>
      <c r="AA258" s="49" t="s">
        <v>95</v>
      </c>
      <c r="AB258" s="50" t="s">
        <v>42</v>
      </c>
    </row>
    <row r="259" spans="1:28" x14ac:dyDescent="0.4">
      <c r="A259" s="153"/>
      <c r="B259" s="156"/>
      <c r="C259" s="85" t="s">
        <v>340</v>
      </c>
      <c r="D259" s="106" t="s">
        <v>181</v>
      </c>
      <c r="E259" s="106" t="s">
        <v>36</v>
      </c>
      <c r="F259" s="16"/>
      <c r="G259" s="12" t="s">
        <v>178</v>
      </c>
      <c r="H259" s="15"/>
      <c r="I259" s="15"/>
      <c r="J259" s="18">
        <v>1</v>
      </c>
      <c r="K259" s="15">
        <v>1</v>
      </c>
      <c r="L259" s="19"/>
      <c r="M259" s="19"/>
      <c r="N259" s="19"/>
      <c r="O259" s="19"/>
      <c r="P259" s="19"/>
      <c r="Q259" s="19"/>
      <c r="R259" s="19"/>
      <c r="S259" s="15"/>
      <c r="T259" s="25">
        <v>46124</v>
      </c>
      <c r="U259" s="13" t="s">
        <v>146</v>
      </c>
      <c r="V259">
        <v>17</v>
      </c>
      <c r="AA259" s="49" t="s">
        <v>96</v>
      </c>
      <c r="AB259" s="50" t="s">
        <v>61</v>
      </c>
    </row>
    <row r="260" spans="1:28" x14ac:dyDescent="0.4">
      <c r="A260" s="153"/>
      <c r="B260" s="156"/>
      <c r="C260" s="85" t="s">
        <v>341</v>
      </c>
      <c r="D260" s="110" t="s">
        <v>181</v>
      </c>
      <c r="E260" s="18" t="s">
        <v>36</v>
      </c>
      <c r="F260" s="16"/>
      <c r="G260" s="18" t="s">
        <v>178</v>
      </c>
      <c r="H260" s="15"/>
      <c r="I260" s="15"/>
      <c r="J260" s="18">
        <v>1</v>
      </c>
      <c r="K260" s="15">
        <v>1</v>
      </c>
      <c r="L260" s="19"/>
      <c r="M260" s="19"/>
      <c r="N260" s="19"/>
      <c r="O260" s="19"/>
      <c r="P260" s="19"/>
      <c r="Q260" s="19"/>
      <c r="R260" s="19"/>
      <c r="S260" s="15"/>
      <c r="T260" s="26">
        <v>46124</v>
      </c>
      <c r="U260" s="15" t="s">
        <v>146</v>
      </c>
      <c r="V260">
        <v>18</v>
      </c>
      <c r="AA260" s="49" t="s">
        <v>97</v>
      </c>
      <c r="AB260" s="50" t="s">
        <v>76</v>
      </c>
    </row>
    <row r="261" spans="1:28" x14ac:dyDescent="0.4">
      <c r="A261" s="153"/>
      <c r="B261" s="156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53"/>
      <c r="B262" s="156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53"/>
      <c r="B263" s="156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53"/>
      <c r="B264" s="156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53"/>
      <c r="B265" s="156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53"/>
      <c r="B266" s="156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54"/>
      <c r="B267" s="157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18</v>
      </c>
      <c r="D268" s="112"/>
      <c r="E268" s="29"/>
      <c r="F268" s="29" t="s">
        <v>34</v>
      </c>
      <c r="G268" s="29">
        <f>COUNTIF(G243:G267,"S")</f>
        <v>17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5</v>
      </c>
      <c r="K268" s="29">
        <f t="shared" ref="K268" si="54">SUM(K243:K267)</f>
        <v>5</v>
      </c>
      <c r="L268" s="29">
        <f t="shared" ref="L268" si="55">SUM(L243:L267)</f>
        <v>0</v>
      </c>
      <c r="M268" s="29">
        <f t="shared" ref="M268" si="56">SUM(M243:M267)</f>
        <v>4</v>
      </c>
      <c r="N268" s="29">
        <f t="shared" ref="N268" si="57">SUM(N243:N267)</f>
        <v>4</v>
      </c>
      <c r="O268" s="29">
        <f t="shared" ref="O268" si="58">SUM(O243:O267)</f>
        <v>3</v>
      </c>
      <c r="P268" s="29">
        <f t="shared" ref="P268" si="59">SUM(P243:P267)</f>
        <v>3</v>
      </c>
      <c r="Q268" s="29">
        <f t="shared" ref="Q268" si="60">SUM(Q243:Q267)</f>
        <v>3</v>
      </c>
      <c r="R268" s="29">
        <f t="shared" ref="R268" si="61">SUM(R243:R267)</f>
        <v>0</v>
      </c>
      <c r="S268" s="29">
        <f t="shared" ref="S268" si="62">SUM(S243:S267)</f>
        <v>3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1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30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AYG134</v>
      </c>
      <c r="B271" s="24">
        <f>B1</f>
        <v>46084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45" t="s">
        <v>111</v>
      </c>
      <c r="Y272" s="151"/>
    </row>
    <row r="273" spans="1:28" ht="20.25" thickTop="1" thickBot="1" x14ac:dyDescent="0.45">
      <c r="A273" s="152">
        <v>10</v>
      </c>
      <c r="B273" s="155">
        <v>22.8</v>
      </c>
      <c r="C273" s="85" t="s">
        <v>342</v>
      </c>
      <c r="D273" s="109" t="s">
        <v>182</v>
      </c>
      <c r="E273" s="13" t="s">
        <v>42</v>
      </c>
      <c r="F273" s="14"/>
      <c r="G273" s="12" t="s">
        <v>178</v>
      </c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>
        <v>1</v>
      </c>
      <c r="T273" s="26">
        <v>46131</v>
      </c>
      <c r="U273" s="13" t="s">
        <v>146</v>
      </c>
      <c r="V273">
        <v>1</v>
      </c>
      <c r="X273" s="51" t="s">
        <v>106</v>
      </c>
      <c r="Y273" s="52">
        <f>COUNTIF(U273:U297,"K")</f>
        <v>14</v>
      </c>
      <c r="AA273" s="59" t="s">
        <v>120</v>
      </c>
      <c r="AB273" s="60" t="s">
        <v>121</v>
      </c>
    </row>
    <row r="274" spans="1:28" x14ac:dyDescent="0.4">
      <c r="A274" s="153"/>
      <c r="B274" s="156"/>
      <c r="C274" s="85" t="s">
        <v>343</v>
      </c>
      <c r="D274" s="109" t="s">
        <v>182</v>
      </c>
      <c r="E274" s="13" t="s">
        <v>41</v>
      </c>
      <c r="F274" s="16"/>
      <c r="G274" s="12" t="s">
        <v>178</v>
      </c>
      <c r="H274" s="15"/>
      <c r="I274" s="15"/>
      <c r="J274" s="15">
        <v>1</v>
      </c>
      <c r="K274" s="15"/>
      <c r="L274" s="17"/>
      <c r="M274" s="17"/>
      <c r="N274" s="17"/>
      <c r="O274" s="17"/>
      <c r="P274" s="17"/>
      <c r="Q274" s="17"/>
      <c r="R274" s="17"/>
      <c r="S274" s="15"/>
      <c r="T274" s="26">
        <v>46131</v>
      </c>
      <c r="U274" s="13" t="s">
        <v>146</v>
      </c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53"/>
      <c r="B275" s="156"/>
      <c r="C275" s="85" t="s">
        <v>344</v>
      </c>
      <c r="D275" s="109" t="s">
        <v>182</v>
      </c>
      <c r="E275" s="13" t="s">
        <v>42</v>
      </c>
      <c r="F275" s="16"/>
      <c r="G275" s="12" t="s">
        <v>178</v>
      </c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>
        <v>1</v>
      </c>
      <c r="T275" s="26">
        <v>46131</v>
      </c>
      <c r="U275" s="13" t="s">
        <v>146</v>
      </c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53"/>
      <c r="B276" s="156"/>
      <c r="C276" s="85" t="s">
        <v>345</v>
      </c>
      <c r="D276" s="109" t="s">
        <v>182</v>
      </c>
      <c r="E276" s="13" t="s">
        <v>41</v>
      </c>
      <c r="F276" s="16"/>
      <c r="G276" s="12" t="s">
        <v>178</v>
      </c>
      <c r="H276" s="15"/>
      <c r="I276" s="15"/>
      <c r="J276" s="15">
        <v>1</v>
      </c>
      <c r="K276" s="15"/>
      <c r="L276" s="17"/>
      <c r="M276" s="17"/>
      <c r="N276" s="17"/>
      <c r="O276" s="17"/>
      <c r="P276" s="17"/>
      <c r="Q276" s="17"/>
      <c r="R276" s="17"/>
      <c r="S276" s="15"/>
      <c r="T276" s="26">
        <v>46131</v>
      </c>
      <c r="U276" s="13" t="s">
        <v>146</v>
      </c>
      <c r="V276">
        <v>4</v>
      </c>
      <c r="AA276" s="49" t="s">
        <v>83</v>
      </c>
      <c r="AB276" s="50" t="s">
        <v>38</v>
      </c>
    </row>
    <row r="277" spans="1:28" x14ac:dyDescent="0.4">
      <c r="A277" s="153"/>
      <c r="B277" s="156"/>
      <c r="C277" s="85" t="s">
        <v>346</v>
      </c>
      <c r="D277" s="109" t="s">
        <v>182</v>
      </c>
      <c r="E277" s="13" t="s">
        <v>42</v>
      </c>
      <c r="F277" s="16"/>
      <c r="G277" s="12" t="s">
        <v>178</v>
      </c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>
        <v>1</v>
      </c>
      <c r="T277" s="26">
        <v>46135</v>
      </c>
      <c r="U277" s="13" t="s">
        <v>146</v>
      </c>
      <c r="V277">
        <v>5</v>
      </c>
      <c r="AA277" s="49" t="s">
        <v>84</v>
      </c>
      <c r="AB277" s="50" t="s">
        <v>44</v>
      </c>
    </row>
    <row r="278" spans="1:28" x14ac:dyDescent="0.4">
      <c r="A278" s="153"/>
      <c r="B278" s="156"/>
      <c r="C278" s="85" t="s">
        <v>347</v>
      </c>
      <c r="D278" s="109" t="s">
        <v>182</v>
      </c>
      <c r="E278" s="13" t="s">
        <v>41</v>
      </c>
      <c r="F278" s="16"/>
      <c r="G278" s="12" t="s">
        <v>178</v>
      </c>
      <c r="H278" s="13"/>
      <c r="I278" s="15"/>
      <c r="J278" s="15">
        <v>1</v>
      </c>
      <c r="K278" s="15"/>
      <c r="L278" s="17"/>
      <c r="M278" s="17"/>
      <c r="N278" s="17"/>
      <c r="O278" s="17"/>
      <c r="P278" s="17"/>
      <c r="Q278" s="17"/>
      <c r="R278" s="17"/>
      <c r="S278" s="15"/>
      <c r="T278" s="26">
        <v>46135</v>
      </c>
      <c r="U278" s="13" t="s">
        <v>146</v>
      </c>
      <c r="V278">
        <v>6</v>
      </c>
      <c r="AA278" s="49" t="s">
        <v>85</v>
      </c>
      <c r="AB278" s="50" t="s">
        <v>43</v>
      </c>
    </row>
    <row r="279" spans="1:28" x14ac:dyDescent="0.4">
      <c r="A279" s="153"/>
      <c r="B279" s="156"/>
      <c r="C279" s="85" t="s">
        <v>348</v>
      </c>
      <c r="D279" s="109" t="s">
        <v>182</v>
      </c>
      <c r="E279" s="13" t="s">
        <v>42</v>
      </c>
      <c r="F279" s="16"/>
      <c r="G279" s="12" t="s">
        <v>178</v>
      </c>
      <c r="H279" s="15"/>
      <c r="I279" s="15"/>
      <c r="J279" s="15"/>
      <c r="K279" s="15"/>
      <c r="L279" s="15"/>
      <c r="M279" s="17"/>
      <c r="N279" s="17"/>
      <c r="O279" s="17"/>
      <c r="P279" s="17"/>
      <c r="Q279" s="17"/>
      <c r="R279" s="17"/>
      <c r="S279" s="15">
        <v>1</v>
      </c>
      <c r="T279" s="26">
        <v>46135</v>
      </c>
      <c r="U279" s="13" t="s">
        <v>146</v>
      </c>
      <c r="V279">
        <v>7</v>
      </c>
      <c r="AA279" s="49" t="s">
        <v>86</v>
      </c>
      <c r="AB279" s="50" t="s">
        <v>45</v>
      </c>
    </row>
    <row r="280" spans="1:28" x14ac:dyDescent="0.4">
      <c r="A280" s="153"/>
      <c r="B280" s="156"/>
      <c r="C280" s="85" t="s">
        <v>349</v>
      </c>
      <c r="D280" s="109" t="s">
        <v>182</v>
      </c>
      <c r="E280" s="13" t="s">
        <v>41</v>
      </c>
      <c r="F280" s="16"/>
      <c r="G280" s="12" t="s">
        <v>178</v>
      </c>
      <c r="H280" s="15"/>
      <c r="I280" s="15"/>
      <c r="J280" s="15">
        <v>1</v>
      </c>
      <c r="K280" s="15"/>
      <c r="L280" s="15"/>
      <c r="M280" s="17"/>
      <c r="N280" s="17"/>
      <c r="O280" s="17"/>
      <c r="P280" s="17"/>
      <c r="Q280" s="17"/>
      <c r="R280" s="17"/>
      <c r="S280" s="15"/>
      <c r="T280" s="26">
        <v>46135</v>
      </c>
      <c r="U280" s="13" t="s">
        <v>146</v>
      </c>
      <c r="V280">
        <v>8</v>
      </c>
      <c r="AA280" s="49" t="s">
        <v>87</v>
      </c>
      <c r="AB280" s="50" t="s">
        <v>37</v>
      </c>
    </row>
    <row r="281" spans="1:28" x14ac:dyDescent="0.4">
      <c r="A281" s="153"/>
      <c r="B281" s="156"/>
      <c r="C281" s="85" t="s">
        <v>350</v>
      </c>
      <c r="D281" s="109" t="s">
        <v>182</v>
      </c>
      <c r="E281" s="13" t="s">
        <v>42</v>
      </c>
      <c r="F281" s="16"/>
      <c r="G281" s="12" t="s">
        <v>178</v>
      </c>
      <c r="H281" s="15"/>
      <c r="I281" s="15"/>
      <c r="J281" s="15"/>
      <c r="K281" s="15"/>
      <c r="L281" s="15"/>
      <c r="M281" s="17"/>
      <c r="N281" s="17"/>
      <c r="O281" s="17"/>
      <c r="P281" s="17"/>
      <c r="Q281" s="17"/>
      <c r="R281" s="17"/>
      <c r="S281" s="15">
        <v>1</v>
      </c>
      <c r="T281" s="26">
        <v>46135</v>
      </c>
      <c r="U281" s="13" t="s">
        <v>146</v>
      </c>
      <c r="V281">
        <v>9</v>
      </c>
      <c r="AA281" s="49" t="s">
        <v>88</v>
      </c>
      <c r="AB281" s="50" t="s">
        <v>74</v>
      </c>
    </row>
    <row r="282" spans="1:28" x14ac:dyDescent="0.4">
      <c r="A282" s="153"/>
      <c r="B282" s="156"/>
      <c r="C282" s="85" t="s">
        <v>351</v>
      </c>
      <c r="D282" s="109" t="s">
        <v>182</v>
      </c>
      <c r="E282" s="13" t="s">
        <v>41</v>
      </c>
      <c r="F282" s="16"/>
      <c r="G282" s="12" t="s">
        <v>178</v>
      </c>
      <c r="H282" s="15"/>
      <c r="I282" s="15"/>
      <c r="J282" s="15">
        <v>1</v>
      </c>
      <c r="K282" s="15"/>
      <c r="L282" s="15"/>
      <c r="M282" s="17"/>
      <c r="N282" s="17"/>
      <c r="O282" s="17"/>
      <c r="P282" s="17"/>
      <c r="Q282" s="17"/>
      <c r="R282" s="17"/>
      <c r="S282" s="15"/>
      <c r="T282" s="26">
        <v>46135</v>
      </c>
      <c r="U282" s="13" t="s">
        <v>146</v>
      </c>
      <c r="V282">
        <v>10</v>
      </c>
      <c r="AA282" s="49" t="s">
        <v>89</v>
      </c>
      <c r="AB282" s="50" t="s">
        <v>36</v>
      </c>
    </row>
    <row r="283" spans="1:28" x14ac:dyDescent="0.4">
      <c r="A283" s="153"/>
      <c r="B283" s="156"/>
      <c r="C283" s="85" t="s">
        <v>352</v>
      </c>
      <c r="D283" s="109" t="s">
        <v>182</v>
      </c>
      <c r="E283" s="13" t="s">
        <v>42</v>
      </c>
      <c r="F283" s="16"/>
      <c r="G283" s="12" t="s">
        <v>178</v>
      </c>
      <c r="H283" s="15"/>
      <c r="I283" s="15"/>
      <c r="J283" s="15"/>
      <c r="K283" s="15"/>
      <c r="L283" s="15"/>
      <c r="M283" s="17"/>
      <c r="N283" s="17"/>
      <c r="O283" s="17"/>
      <c r="P283" s="17"/>
      <c r="Q283" s="17"/>
      <c r="R283" s="17"/>
      <c r="S283" s="15">
        <v>1</v>
      </c>
      <c r="T283" s="26">
        <v>46135</v>
      </c>
      <c r="U283" s="13" t="s">
        <v>146</v>
      </c>
      <c r="V283">
        <v>11</v>
      </c>
      <c r="AA283" s="49" t="s">
        <v>90</v>
      </c>
      <c r="AB283" s="50" t="s">
        <v>58</v>
      </c>
    </row>
    <row r="284" spans="1:28" x14ac:dyDescent="0.4">
      <c r="A284" s="153"/>
      <c r="B284" s="156"/>
      <c r="C284" s="85" t="s">
        <v>353</v>
      </c>
      <c r="D284" s="109" t="s">
        <v>182</v>
      </c>
      <c r="E284" s="13" t="s">
        <v>41</v>
      </c>
      <c r="F284" s="16"/>
      <c r="G284" s="12" t="s">
        <v>178</v>
      </c>
      <c r="H284" s="15"/>
      <c r="I284" s="15"/>
      <c r="J284" s="15">
        <v>1</v>
      </c>
      <c r="K284" s="15"/>
      <c r="L284" s="15"/>
      <c r="M284" s="17"/>
      <c r="N284" s="17"/>
      <c r="O284" s="17"/>
      <c r="P284" s="17"/>
      <c r="Q284" s="17"/>
      <c r="R284" s="17"/>
      <c r="S284" s="15"/>
      <c r="T284" s="26">
        <v>46135</v>
      </c>
      <c r="U284" s="13" t="s">
        <v>146</v>
      </c>
      <c r="V284">
        <v>12</v>
      </c>
      <c r="AA284" s="49" t="s">
        <v>91</v>
      </c>
      <c r="AB284" s="50" t="s">
        <v>75</v>
      </c>
    </row>
    <row r="285" spans="1:28" x14ac:dyDescent="0.4">
      <c r="A285" s="153"/>
      <c r="B285" s="156"/>
      <c r="C285" s="85" t="s">
        <v>354</v>
      </c>
      <c r="D285" s="109" t="s">
        <v>182</v>
      </c>
      <c r="E285" s="13" t="s">
        <v>42</v>
      </c>
      <c r="F285" s="16"/>
      <c r="G285" s="12" t="s">
        <v>178</v>
      </c>
      <c r="H285" s="15"/>
      <c r="I285" s="15"/>
      <c r="J285" s="15"/>
      <c r="K285" s="15"/>
      <c r="L285" s="15"/>
      <c r="M285" s="17"/>
      <c r="N285" s="17"/>
      <c r="O285" s="17"/>
      <c r="P285" s="17"/>
      <c r="Q285" s="17"/>
      <c r="R285" s="17"/>
      <c r="S285" s="15">
        <v>1</v>
      </c>
      <c r="T285" s="26">
        <v>46135</v>
      </c>
      <c r="U285" s="13" t="s">
        <v>146</v>
      </c>
      <c r="V285">
        <v>13</v>
      </c>
      <c r="AA285" s="49" t="s">
        <v>92</v>
      </c>
      <c r="AB285" s="50" t="s">
        <v>40</v>
      </c>
    </row>
    <row r="286" spans="1:28" x14ac:dyDescent="0.4">
      <c r="A286" s="153"/>
      <c r="B286" s="156"/>
      <c r="C286" s="85" t="s">
        <v>355</v>
      </c>
      <c r="D286" s="109" t="s">
        <v>182</v>
      </c>
      <c r="E286" s="13" t="s">
        <v>41</v>
      </c>
      <c r="F286" s="16"/>
      <c r="G286" s="12" t="s">
        <v>178</v>
      </c>
      <c r="H286" s="15"/>
      <c r="I286" s="15"/>
      <c r="J286" s="15">
        <v>1</v>
      </c>
      <c r="K286" s="15"/>
      <c r="L286" s="15"/>
      <c r="M286" s="17"/>
      <c r="N286" s="17"/>
      <c r="O286" s="17"/>
      <c r="P286" s="17"/>
      <c r="Q286" s="17"/>
      <c r="R286" s="17"/>
      <c r="S286" s="15"/>
      <c r="T286" s="26">
        <v>46135</v>
      </c>
      <c r="U286" s="13" t="s">
        <v>146</v>
      </c>
      <c r="V286">
        <v>14</v>
      </c>
      <c r="AA286" s="49" t="s">
        <v>93</v>
      </c>
      <c r="AB286" s="50" t="s">
        <v>57</v>
      </c>
    </row>
    <row r="287" spans="1:28" x14ac:dyDescent="0.4">
      <c r="A287" s="153"/>
      <c r="B287" s="156"/>
      <c r="C287" s="85"/>
      <c r="D287" s="109"/>
      <c r="E287" s="13"/>
      <c r="F287" s="16"/>
      <c r="G287" s="12"/>
      <c r="H287" s="15"/>
      <c r="I287" s="15"/>
      <c r="J287" s="15"/>
      <c r="K287" s="15"/>
      <c r="L287" s="15"/>
      <c r="M287" s="17"/>
      <c r="N287" s="17"/>
      <c r="O287" s="17"/>
      <c r="P287" s="17"/>
      <c r="Q287" s="17"/>
      <c r="R287" s="17"/>
      <c r="S287" s="15"/>
      <c r="T287" s="26"/>
      <c r="U287" s="13"/>
      <c r="V287">
        <v>15</v>
      </c>
      <c r="AA287" s="49" t="s">
        <v>94</v>
      </c>
      <c r="AB287" s="50" t="s">
        <v>41</v>
      </c>
    </row>
    <row r="288" spans="1:28" x14ac:dyDescent="0.4">
      <c r="A288" s="153"/>
      <c r="B288" s="156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53"/>
      <c r="B289" s="156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53"/>
      <c r="B290" s="156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53"/>
      <c r="B291" s="156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53"/>
      <c r="B292" s="156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53"/>
      <c r="B293" s="156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53"/>
      <c r="B294" s="156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53"/>
      <c r="B295" s="156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53"/>
      <c r="B296" s="156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54"/>
      <c r="B297" s="157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14</v>
      </c>
      <c r="D298" s="112"/>
      <c r="E298" s="29"/>
      <c r="F298" s="29" t="s">
        <v>34</v>
      </c>
      <c r="G298" s="29">
        <f>COUNTIF(G273:G297,"S")</f>
        <v>14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7</v>
      </c>
      <c r="K298" s="29">
        <f t="shared" ref="K298" si="64">SUM(K273:K297)</f>
        <v>0</v>
      </c>
      <c r="L298" s="29">
        <f t="shared" ref="L298" si="65">SUM(L273:L297)</f>
        <v>0</v>
      </c>
      <c r="M298" s="29">
        <f t="shared" ref="M298" si="66">SUM(M273:M297)</f>
        <v>0</v>
      </c>
      <c r="N298" s="29">
        <f t="shared" ref="N298" si="67">SUM(N273:N297)</f>
        <v>0</v>
      </c>
      <c r="O298" s="29">
        <f t="shared" ref="O298" si="68">SUM(O273:O297)</f>
        <v>0</v>
      </c>
      <c r="P298" s="29">
        <f t="shared" ref="P298" si="69">SUM(P273:P297)</f>
        <v>0</v>
      </c>
      <c r="Q298" s="29">
        <f t="shared" ref="Q298" si="70">SUM(Q273:Q297)</f>
        <v>0</v>
      </c>
      <c r="R298" s="29">
        <f t="shared" ref="R298" si="71">SUM(R273:R297)</f>
        <v>0</v>
      </c>
      <c r="S298" s="29">
        <f t="shared" ref="S298" si="72">SUM(S273:S297)</f>
        <v>7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14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AYG134</v>
      </c>
      <c r="B301" s="24">
        <f>B1</f>
        <v>46084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45" t="s">
        <v>110</v>
      </c>
      <c r="Y302" s="151"/>
    </row>
    <row r="303" spans="1:28" ht="20.25" thickTop="1" thickBot="1" x14ac:dyDescent="0.45">
      <c r="A303" s="152">
        <v>11</v>
      </c>
      <c r="B303" s="155">
        <v>21</v>
      </c>
      <c r="C303" s="85" t="s">
        <v>356</v>
      </c>
      <c r="D303" s="109" t="s">
        <v>197</v>
      </c>
      <c r="E303" s="13" t="s">
        <v>39</v>
      </c>
      <c r="F303" s="14"/>
      <c r="G303" s="12" t="s">
        <v>178</v>
      </c>
      <c r="H303" s="13"/>
      <c r="I303" s="13"/>
      <c r="J303" s="13"/>
      <c r="K303" s="13">
        <v>1</v>
      </c>
      <c r="L303" s="13"/>
      <c r="M303" s="13"/>
      <c r="N303" s="13"/>
      <c r="O303" s="13"/>
      <c r="P303" s="13"/>
      <c r="Q303" s="13"/>
      <c r="R303" s="13"/>
      <c r="S303" s="13"/>
      <c r="T303" s="26">
        <v>46140</v>
      </c>
      <c r="U303" s="13" t="s">
        <v>146</v>
      </c>
      <c r="V303">
        <v>1</v>
      </c>
      <c r="X303" s="51" t="s">
        <v>106</v>
      </c>
      <c r="Y303" s="52">
        <f>COUNTIF(U303:U327,"K")</f>
        <v>10</v>
      </c>
      <c r="AA303" s="59" t="s">
        <v>120</v>
      </c>
      <c r="AB303" s="60" t="s">
        <v>121</v>
      </c>
    </row>
    <row r="304" spans="1:28" x14ac:dyDescent="0.4">
      <c r="A304" s="153"/>
      <c r="B304" s="156"/>
      <c r="C304" s="85" t="s">
        <v>357</v>
      </c>
      <c r="D304" s="109" t="s">
        <v>197</v>
      </c>
      <c r="E304" s="13" t="s">
        <v>39</v>
      </c>
      <c r="F304" s="16"/>
      <c r="G304" s="12" t="s">
        <v>178</v>
      </c>
      <c r="H304" s="15"/>
      <c r="I304" s="15"/>
      <c r="J304" s="15"/>
      <c r="K304" s="15">
        <v>1</v>
      </c>
      <c r="L304" s="17"/>
      <c r="M304" s="13"/>
      <c r="N304" s="13"/>
      <c r="O304" s="17"/>
      <c r="P304" s="17"/>
      <c r="Q304" s="17"/>
      <c r="R304" s="17"/>
      <c r="S304" s="15"/>
      <c r="T304" s="26">
        <v>46140</v>
      </c>
      <c r="U304" s="13" t="s">
        <v>146</v>
      </c>
      <c r="V304">
        <v>2</v>
      </c>
      <c r="X304" s="51" t="s">
        <v>107</v>
      </c>
      <c r="Y304" s="52">
        <f>COUNTIF(U303:U327,"R")</f>
        <v>9</v>
      </c>
      <c r="AA304" s="47" t="s">
        <v>81</v>
      </c>
      <c r="AB304" s="48" t="s">
        <v>60</v>
      </c>
    </row>
    <row r="305" spans="1:28" ht="19.5" thickBot="1" x14ac:dyDescent="0.45">
      <c r="A305" s="153"/>
      <c r="B305" s="156"/>
      <c r="C305" s="85" t="s">
        <v>358</v>
      </c>
      <c r="D305" s="109" t="s">
        <v>197</v>
      </c>
      <c r="E305" s="13" t="s">
        <v>39</v>
      </c>
      <c r="F305" s="16"/>
      <c r="G305" s="12" t="s">
        <v>178</v>
      </c>
      <c r="H305" s="15"/>
      <c r="I305" s="15"/>
      <c r="J305" s="15"/>
      <c r="K305" s="15">
        <v>1</v>
      </c>
      <c r="L305" s="17"/>
      <c r="M305" s="13"/>
      <c r="N305" s="13"/>
      <c r="O305" s="17"/>
      <c r="P305" s="17"/>
      <c r="Q305" s="17"/>
      <c r="R305" s="17"/>
      <c r="S305" s="15"/>
      <c r="T305" s="26">
        <v>46140</v>
      </c>
      <c r="U305" s="13" t="s">
        <v>146</v>
      </c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53"/>
      <c r="B306" s="156"/>
      <c r="C306" s="85" t="s">
        <v>359</v>
      </c>
      <c r="D306" s="109" t="s">
        <v>197</v>
      </c>
      <c r="E306" s="13" t="s">
        <v>39</v>
      </c>
      <c r="F306" s="16"/>
      <c r="G306" s="12" t="s">
        <v>178</v>
      </c>
      <c r="H306" s="15"/>
      <c r="I306" s="15"/>
      <c r="J306" s="15"/>
      <c r="K306" s="15">
        <v>1</v>
      </c>
      <c r="L306" s="17"/>
      <c r="M306" s="13"/>
      <c r="N306" s="13"/>
      <c r="O306" s="17"/>
      <c r="P306" s="17"/>
      <c r="Q306" s="17"/>
      <c r="R306" s="17"/>
      <c r="S306" s="15"/>
      <c r="T306" s="26">
        <v>46140</v>
      </c>
      <c r="U306" s="13" t="s">
        <v>146</v>
      </c>
      <c r="V306">
        <v>4</v>
      </c>
      <c r="AA306" s="49" t="s">
        <v>83</v>
      </c>
      <c r="AB306" s="50" t="s">
        <v>38</v>
      </c>
    </row>
    <row r="307" spans="1:28" x14ac:dyDescent="0.4">
      <c r="A307" s="153"/>
      <c r="B307" s="156"/>
      <c r="C307" s="85" t="s">
        <v>360</v>
      </c>
      <c r="D307" s="109" t="s">
        <v>197</v>
      </c>
      <c r="E307" s="13" t="s">
        <v>39</v>
      </c>
      <c r="F307" s="16"/>
      <c r="G307" s="12" t="s">
        <v>178</v>
      </c>
      <c r="H307" s="15"/>
      <c r="I307" s="15"/>
      <c r="J307" s="15"/>
      <c r="K307" s="15">
        <v>1</v>
      </c>
      <c r="L307" s="17"/>
      <c r="M307" s="13"/>
      <c r="N307" s="13"/>
      <c r="O307" s="17"/>
      <c r="P307" s="17"/>
      <c r="Q307" s="17"/>
      <c r="R307" s="17"/>
      <c r="S307" s="15"/>
      <c r="T307" s="26">
        <v>46140</v>
      </c>
      <c r="U307" s="13" t="s">
        <v>146</v>
      </c>
      <c r="V307">
        <v>5</v>
      </c>
      <c r="AA307" s="49" t="s">
        <v>84</v>
      </c>
      <c r="AB307" s="50" t="s">
        <v>44</v>
      </c>
    </row>
    <row r="308" spans="1:28" x14ac:dyDescent="0.4">
      <c r="A308" s="153"/>
      <c r="B308" s="156"/>
      <c r="C308" s="85" t="s">
        <v>361</v>
      </c>
      <c r="D308" s="109" t="s">
        <v>197</v>
      </c>
      <c r="E308" s="13" t="s">
        <v>39</v>
      </c>
      <c r="F308" s="16"/>
      <c r="G308" s="12" t="s">
        <v>178</v>
      </c>
      <c r="H308" s="13"/>
      <c r="I308" s="15"/>
      <c r="J308" s="15"/>
      <c r="K308" s="15">
        <v>1</v>
      </c>
      <c r="L308" s="17"/>
      <c r="M308" s="13"/>
      <c r="N308" s="13"/>
      <c r="O308" s="17"/>
      <c r="P308" s="17"/>
      <c r="Q308" s="17"/>
      <c r="R308" s="17"/>
      <c r="S308" s="15"/>
      <c r="T308" s="26">
        <v>46140</v>
      </c>
      <c r="U308" s="13" t="s">
        <v>146</v>
      </c>
      <c r="V308">
        <v>6</v>
      </c>
      <c r="AA308" s="49" t="s">
        <v>85</v>
      </c>
      <c r="AB308" s="50" t="s">
        <v>43</v>
      </c>
    </row>
    <row r="309" spans="1:28" x14ac:dyDescent="0.4">
      <c r="A309" s="153"/>
      <c r="B309" s="156"/>
      <c r="C309" s="85" t="s">
        <v>362</v>
      </c>
      <c r="D309" s="109" t="s">
        <v>179</v>
      </c>
      <c r="E309" s="13" t="s">
        <v>36</v>
      </c>
      <c r="F309" s="16"/>
      <c r="G309" s="12" t="s">
        <v>178</v>
      </c>
      <c r="H309" s="15"/>
      <c r="I309" s="15"/>
      <c r="J309" s="15"/>
      <c r="K309" s="15"/>
      <c r="L309" s="17"/>
      <c r="M309" s="13">
        <v>1</v>
      </c>
      <c r="N309" s="13">
        <v>1</v>
      </c>
      <c r="O309" s="17"/>
      <c r="P309" s="17"/>
      <c r="Q309" s="17">
        <v>1</v>
      </c>
      <c r="R309" s="17"/>
      <c r="S309" s="15"/>
      <c r="T309" s="26">
        <v>46120</v>
      </c>
      <c r="U309" s="13" t="s">
        <v>147</v>
      </c>
      <c r="V309">
        <v>7</v>
      </c>
      <c r="AA309" s="49" t="s">
        <v>86</v>
      </c>
      <c r="AB309" s="50" t="s">
        <v>45</v>
      </c>
    </row>
    <row r="310" spans="1:28" x14ac:dyDescent="0.4">
      <c r="A310" s="153"/>
      <c r="B310" s="156"/>
      <c r="C310" s="85" t="s">
        <v>363</v>
      </c>
      <c r="D310" s="109" t="s">
        <v>179</v>
      </c>
      <c r="E310" s="13" t="s">
        <v>75</v>
      </c>
      <c r="F310" s="16"/>
      <c r="G310" s="12" t="s">
        <v>178</v>
      </c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>
        <v>46118</v>
      </c>
      <c r="U310" s="13" t="s">
        <v>147</v>
      </c>
      <c r="V310">
        <v>8</v>
      </c>
      <c r="AA310" s="49" t="s">
        <v>87</v>
      </c>
      <c r="AB310" s="50" t="s">
        <v>37</v>
      </c>
    </row>
    <row r="311" spans="1:28" x14ac:dyDescent="0.4">
      <c r="A311" s="153"/>
      <c r="B311" s="156"/>
      <c r="C311" s="85" t="s">
        <v>364</v>
      </c>
      <c r="D311" s="109" t="s">
        <v>185</v>
      </c>
      <c r="E311" s="13" t="s">
        <v>37</v>
      </c>
      <c r="F311" s="16"/>
      <c r="G311" s="12" t="s">
        <v>178</v>
      </c>
      <c r="H311" s="15"/>
      <c r="I311" s="15"/>
      <c r="J311" s="15"/>
      <c r="K311" s="15"/>
      <c r="L311" s="17"/>
      <c r="M311" s="13">
        <v>1</v>
      </c>
      <c r="N311" s="13">
        <v>1</v>
      </c>
      <c r="O311" s="17"/>
      <c r="P311" s="17"/>
      <c r="Q311" s="17">
        <v>1</v>
      </c>
      <c r="R311" s="17"/>
      <c r="S311" s="15"/>
      <c r="T311" s="26">
        <v>46123</v>
      </c>
      <c r="U311" s="13" t="s">
        <v>147</v>
      </c>
      <c r="V311">
        <v>9</v>
      </c>
      <c r="AA311" s="49" t="s">
        <v>88</v>
      </c>
      <c r="AB311" s="50" t="s">
        <v>74</v>
      </c>
    </row>
    <row r="312" spans="1:28" x14ac:dyDescent="0.4">
      <c r="A312" s="153"/>
      <c r="B312" s="156"/>
      <c r="C312" s="85" t="s">
        <v>365</v>
      </c>
      <c r="D312" s="109" t="s">
        <v>185</v>
      </c>
      <c r="E312" s="13" t="s">
        <v>75</v>
      </c>
      <c r="F312" s="16"/>
      <c r="G312" s="12" t="s">
        <v>178</v>
      </c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>
        <v>46123</v>
      </c>
      <c r="U312" s="13" t="s">
        <v>147</v>
      </c>
      <c r="V312">
        <v>10</v>
      </c>
      <c r="AA312" s="49" t="s">
        <v>89</v>
      </c>
      <c r="AB312" s="50" t="s">
        <v>36</v>
      </c>
    </row>
    <row r="313" spans="1:28" x14ac:dyDescent="0.4">
      <c r="A313" s="153"/>
      <c r="B313" s="156"/>
      <c r="C313" s="85" t="s">
        <v>366</v>
      </c>
      <c r="D313" s="109" t="s">
        <v>179</v>
      </c>
      <c r="E313" s="13" t="s">
        <v>36</v>
      </c>
      <c r="F313" s="16"/>
      <c r="G313" s="12" t="s">
        <v>178</v>
      </c>
      <c r="H313" s="15"/>
      <c r="I313" s="15"/>
      <c r="J313" s="15"/>
      <c r="K313" s="15"/>
      <c r="L313" s="17"/>
      <c r="M313" s="13">
        <v>1</v>
      </c>
      <c r="N313" s="13">
        <v>1</v>
      </c>
      <c r="O313" s="17"/>
      <c r="P313" s="17"/>
      <c r="Q313" s="17">
        <v>1</v>
      </c>
      <c r="R313" s="17"/>
      <c r="S313" s="15"/>
      <c r="T313" s="26">
        <v>46120</v>
      </c>
      <c r="U313" s="13" t="s">
        <v>147</v>
      </c>
      <c r="V313">
        <v>11</v>
      </c>
      <c r="AA313" s="49" t="s">
        <v>90</v>
      </c>
      <c r="AB313" s="50" t="s">
        <v>58</v>
      </c>
    </row>
    <row r="314" spans="1:28" x14ac:dyDescent="0.4">
      <c r="A314" s="153"/>
      <c r="B314" s="156"/>
      <c r="C314" s="85" t="s">
        <v>367</v>
      </c>
      <c r="D314" s="109" t="s">
        <v>179</v>
      </c>
      <c r="E314" s="13" t="s">
        <v>37</v>
      </c>
      <c r="F314" s="16"/>
      <c r="G314" s="12" t="s">
        <v>178</v>
      </c>
      <c r="H314" s="15"/>
      <c r="I314" s="15"/>
      <c r="J314" s="15"/>
      <c r="K314" s="15">
        <v>1</v>
      </c>
      <c r="L314" s="17"/>
      <c r="M314" s="13">
        <v>1</v>
      </c>
      <c r="N314" s="13">
        <v>1</v>
      </c>
      <c r="O314" s="17"/>
      <c r="P314" s="17"/>
      <c r="Q314" s="17"/>
      <c r="R314" s="17"/>
      <c r="S314" s="15"/>
      <c r="T314" s="26">
        <v>46123</v>
      </c>
      <c r="U314" s="13" t="s">
        <v>147</v>
      </c>
      <c r="V314">
        <v>12</v>
      </c>
      <c r="AA314" s="49" t="s">
        <v>91</v>
      </c>
      <c r="AB314" s="50" t="s">
        <v>75</v>
      </c>
    </row>
    <row r="315" spans="1:28" x14ac:dyDescent="0.4">
      <c r="A315" s="153"/>
      <c r="B315" s="156"/>
      <c r="C315" s="85" t="s">
        <v>368</v>
      </c>
      <c r="D315" s="109" t="s">
        <v>179</v>
      </c>
      <c r="E315" s="13" t="s">
        <v>37</v>
      </c>
      <c r="F315" s="16"/>
      <c r="G315" s="12" t="s">
        <v>178</v>
      </c>
      <c r="H315" s="15"/>
      <c r="I315" s="15"/>
      <c r="J315" s="15">
        <v>1</v>
      </c>
      <c r="K315" s="15">
        <v>1</v>
      </c>
      <c r="L315" s="17"/>
      <c r="M315" s="13"/>
      <c r="N315" s="13"/>
      <c r="O315" s="17"/>
      <c r="P315" s="17"/>
      <c r="Q315" s="17"/>
      <c r="R315" s="17"/>
      <c r="S315" s="15"/>
      <c r="T315" s="26">
        <v>46123</v>
      </c>
      <c r="U315" s="13" t="s">
        <v>146</v>
      </c>
      <c r="V315">
        <v>13</v>
      </c>
      <c r="AA315" s="49" t="s">
        <v>92</v>
      </c>
      <c r="AB315" s="50" t="s">
        <v>40</v>
      </c>
    </row>
    <row r="316" spans="1:28" x14ac:dyDescent="0.4">
      <c r="A316" s="153"/>
      <c r="B316" s="156"/>
      <c r="C316" s="85" t="s">
        <v>369</v>
      </c>
      <c r="D316" s="109" t="s">
        <v>179</v>
      </c>
      <c r="E316" s="13" t="s">
        <v>36</v>
      </c>
      <c r="F316" s="16"/>
      <c r="G316" s="12" t="s">
        <v>178</v>
      </c>
      <c r="H316" s="15"/>
      <c r="I316" s="15"/>
      <c r="J316" s="15"/>
      <c r="K316" s="15"/>
      <c r="L316" s="17"/>
      <c r="M316" s="13">
        <v>1</v>
      </c>
      <c r="N316" s="13">
        <v>1</v>
      </c>
      <c r="O316" s="17"/>
      <c r="P316" s="17"/>
      <c r="Q316" s="17">
        <v>1</v>
      </c>
      <c r="R316" s="17"/>
      <c r="S316" s="15"/>
      <c r="T316" s="26">
        <v>46127</v>
      </c>
      <c r="U316" s="13" t="s">
        <v>147</v>
      </c>
      <c r="V316">
        <v>14</v>
      </c>
      <c r="AA316" s="49" t="s">
        <v>93</v>
      </c>
      <c r="AB316" s="50" t="s">
        <v>57</v>
      </c>
    </row>
    <row r="317" spans="1:28" x14ac:dyDescent="0.4">
      <c r="A317" s="153"/>
      <c r="B317" s="156"/>
      <c r="C317" s="85" t="s">
        <v>370</v>
      </c>
      <c r="D317" s="109" t="s">
        <v>179</v>
      </c>
      <c r="E317" s="13" t="s">
        <v>37</v>
      </c>
      <c r="F317" s="16"/>
      <c r="G317" s="12" t="s">
        <v>178</v>
      </c>
      <c r="H317" s="15"/>
      <c r="I317" s="15"/>
      <c r="J317" s="15">
        <v>1</v>
      </c>
      <c r="K317" s="15">
        <v>1</v>
      </c>
      <c r="L317" s="17"/>
      <c r="M317" s="13"/>
      <c r="N317" s="13"/>
      <c r="O317" s="17"/>
      <c r="P317" s="17"/>
      <c r="Q317" s="17"/>
      <c r="R317" s="17"/>
      <c r="S317" s="15"/>
      <c r="T317" s="26">
        <v>46125</v>
      </c>
      <c r="U317" s="13" t="s">
        <v>147</v>
      </c>
      <c r="V317">
        <v>15</v>
      </c>
      <c r="AA317" s="49" t="s">
        <v>94</v>
      </c>
      <c r="AB317" s="50" t="s">
        <v>41</v>
      </c>
    </row>
    <row r="318" spans="1:28" x14ac:dyDescent="0.4">
      <c r="A318" s="153"/>
      <c r="B318" s="156"/>
      <c r="C318" s="85" t="s">
        <v>371</v>
      </c>
      <c r="D318" s="109" t="s">
        <v>187</v>
      </c>
      <c r="E318" s="13" t="s">
        <v>36</v>
      </c>
      <c r="F318" s="16"/>
      <c r="G318" s="12" t="s">
        <v>178</v>
      </c>
      <c r="H318" s="15"/>
      <c r="I318" s="15"/>
      <c r="J318" s="15"/>
      <c r="K318" s="15"/>
      <c r="L318" s="19"/>
      <c r="M318" s="13">
        <v>1</v>
      </c>
      <c r="N318" s="13">
        <v>1</v>
      </c>
      <c r="O318" s="19"/>
      <c r="P318" s="19"/>
      <c r="Q318" s="19"/>
      <c r="R318" s="19"/>
      <c r="S318" s="15"/>
      <c r="T318" s="26">
        <v>46123</v>
      </c>
      <c r="U318" s="13" t="s">
        <v>147</v>
      </c>
      <c r="V318">
        <v>16</v>
      </c>
      <c r="AA318" s="49" t="s">
        <v>95</v>
      </c>
      <c r="AB318" s="50" t="s">
        <v>42</v>
      </c>
    </row>
    <row r="319" spans="1:28" x14ac:dyDescent="0.4">
      <c r="A319" s="153"/>
      <c r="B319" s="156"/>
      <c r="C319" s="85" t="s">
        <v>372</v>
      </c>
      <c r="D319" s="110" t="s">
        <v>187</v>
      </c>
      <c r="E319" s="18" t="s">
        <v>36</v>
      </c>
      <c r="F319" s="16"/>
      <c r="G319" s="15" t="s">
        <v>178</v>
      </c>
      <c r="H319" s="15"/>
      <c r="I319" s="15"/>
      <c r="J319" s="18">
        <v>1</v>
      </c>
      <c r="K319" s="15">
        <v>1</v>
      </c>
      <c r="L319" s="19"/>
      <c r="M319" s="19"/>
      <c r="N319" s="19"/>
      <c r="O319" s="19"/>
      <c r="P319" s="19"/>
      <c r="Q319" s="19"/>
      <c r="R319" s="19"/>
      <c r="S319" s="15"/>
      <c r="T319" s="26">
        <v>46126</v>
      </c>
      <c r="U319" s="15" t="s">
        <v>146</v>
      </c>
      <c r="V319">
        <v>17</v>
      </c>
      <c r="AA319" s="49" t="s">
        <v>96</v>
      </c>
      <c r="AB319" s="50" t="s">
        <v>61</v>
      </c>
    </row>
    <row r="320" spans="1:28" x14ac:dyDescent="0.4">
      <c r="A320" s="153"/>
      <c r="B320" s="156"/>
      <c r="C320" s="85" t="s">
        <v>373</v>
      </c>
      <c r="D320" s="110" t="s">
        <v>187</v>
      </c>
      <c r="E320" s="18" t="s">
        <v>38</v>
      </c>
      <c r="F320" s="16"/>
      <c r="G320" s="18" t="s">
        <v>178</v>
      </c>
      <c r="H320" s="15"/>
      <c r="I320" s="15"/>
      <c r="J320" s="18">
        <v>1</v>
      </c>
      <c r="K320" s="15"/>
      <c r="L320" s="19"/>
      <c r="M320" s="19"/>
      <c r="N320" s="19"/>
      <c r="O320" s="19"/>
      <c r="P320" s="19"/>
      <c r="Q320" s="19"/>
      <c r="R320" s="19"/>
      <c r="S320" s="15"/>
      <c r="T320" s="26">
        <v>46126</v>
      </c>
      <c r="U320" s="15" t="s">
        <v>146</v>
      </c>
      <c r="V320">
        <v>18</v>
      </c>
      <c r="AA320" s="49" t="s">
        <v>97</v>
      </c>
      <c r="AB320" s="50" t="s">
        <v>76</v>
      </c>
    </row>
    <row r="321" spans="1:28" x14ac:dyDescent="0.4">
      <c r="A321" s="153"/>
      <c r="B321" s="156"/>
      <c r="C321" s="86" t="s">
        <v>374</v>
      </c>
      <c r="D321" s="110" t="s">
        <v>184</v>
      </c>
      <c r="E321" s="18" t="s">
        <v>37</v>
      </c>
      <c r="F321" s="16"/>
      <c r="G321" s="18" t="s">
        <v>178</v>
      </c>
      <c r="H321" s="15"/>
      <c r="I321" s="15"/>
      <c r="J321" s="18">
        <v>1</v>
      </c>
      <c r="K321" s="15">
        <v>1</v>
      </c>
      <c r="L321" s="19"/>
      <c r="M321" s="19"/>
      <c r="N321" s="19"/>
      <c r="O321" s="19"/>
      <c r="P321" s="19"/>
      <c r="Q321" s="19"/>
      <c r="R321" s="19"/>
      <c r="S321" s="15"/>
      <c r="T321" s="26">
        <v>46130</v>
      </c>
      <c r="U321" s="15" t="s">
        <v>146</v>
      </c>
      <c r="V321">
        <v>19</v>
      </c>
      <c r="AA321" s="49" t="s">
        <v>98</v>
      </c>
      <c r="AB321" s="50" t="s">
        <v>77</v>
      </c>
    </row>
    <row r="322" spans="1:28" x14ac:dyDescent="0.4">
      <c r="A322" s="153"/>
      <c r="B322" s="156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53"/>
      <c r="B323" s="156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53"/>
      <c r="B324" s="156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53"/>
      <c r="B325" s="156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53"/>
      <c r="B326" s="156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54"/>
      <c r="B327" s="157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19</v>
      </c>
      <c r="D328" s="112"/>
      <c r="E328" s="29"/>
      <c r="F328" s="29" t="s">
        <v>34</v>
      </c>
      <c r="G328" s="29">
        <f>COUNTIF(G303:G327,"S")</f>
        <v>19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5</v>
      </c>
      <c r="K328" s="29">
        <f t="shared" ref="K328" si="74">SUM(K303:K327)</f>
        <v>11</v>
      </c>
      <c r="L328" s="29">
        <f t="shared" ref="L328" si="75">SUM(L303:L327)</f>
        <v>0</v>
      </c>
      <c r="M328" s="29">
        <f t="shared" ref="M328" si="76">SUM(M303:M327)</f>
        <v>6</v>
      </c>
      <c r="N328" s="29">
        <f t="shared" ref="N328" si="77">SUM(N303:N327)</f>
        <v>6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4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32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AYG134</v>
      </c>
      <c r="B331" s="24">
        <f>B151</f>
        <v>46084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45" t="s">
        <v>109</v>
      </c>
      <c r="Y332" s="151"/>
    </row>
    <row r="333" spans="1:28" ht="20.25" thickTop="1" thickBot="1" x14ac:dyDescent="0.45">
      <c r="A333" s="152">
        <v>12</v>
      </c>
      <c r="B333" s="155">
        <v>16.399999999999999</v>
      </c>
      <c r="C333" s="86" t="s">
        <v>375</v>
      </c>
      <c r="D333" s="109" t="s">
        <v>183</v>
      </c>
      <c r="E333" s="109" t="s">
        <v>75</v>
      </c>
      <c r="F333" s="14"/>
      <c r="G333" s="12" t="s">
        <v>178</v>
      </c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>
        <v>46125</v>
      </c>
      <c r="U333" s="13" t="s">
        <v>147</v>
      </c>
      <c r="V333">
        <v>1</v>
      </c>
      <c r="X333" s="51" t="s">
        <v>106</v>
      </c>
      <c r="Y333" s="52">
        <f>COUNTIF(U333:U356,"K")</f>
        <v>1</v>
      </c>
      <c r="AA333" s="59" t="s">
        <v>120</v>
      </c>
      <c r="AB333" s="60" t="s">
        <v>121</v>
      </c>
    </row>
    <row r="334" spans="1:28" x14ac:dyDescent="0.4">
      <c r="A334" s="153"/>
      <c r="B334" s="156"/>
      <c r="C334" s="86" t="s">
        <v>376</v>
      </c>
      <c r="D334" s="109" t="s">
        <v>199</v>
      </c>
      <c r="E334" s="109" t="s">
        <v>37</v>
      </c>
      <c r="F334" s="16"/>
      <c r="G334" s="12" t="s">
        <v>178</v>
      </c>
      <c r="H334" s="15"/>
      <c r="I334" s="15"/>
      <c r="J334" s="15">
        <v>1</v>
      </c>
      <c r="K334" s="15">
        <v>1</v>
      </c>
      <c r="L334" s="17"/>
      <c r="M334" s="17"/>
      <c r="N334" s="17">
        <v>1</v>
      </c>
      <c r="O334" s="17"/>
      <c r="P334" s="17"/>
      <c r="Q334" s="17"/>
      <c r="R334" s="17"/>
      <c r="S334" s="15"/>
      <c r="T334" s="26">
        <v>46120</v>
      </c>
      <c r="U334" s="13" t="s">
        <v>147</v>
      </c>
      <c r="V334">
        <v>2</v>
      </c>
      <c r="X334" s="51" t="s">
        <v>107</v>
      </c>
      <c r="Y334" s="52">
        <f>COUNTIF(U333:U356,"R")</f>
        <v>12</v>
      </c>
      <c r="AA334" s="47" t="s">
        <v>81</v>
      </c>
      <c r="AB334" s="48" t="s">
        <v>60</v>
      </c>
    </row>
    <row r="335" spans="1:28" ht="19.5" thickBot="1" x14ac:dyDescent="0.45">
      <c r="A335" s="153"/>
      <c r="B335" s="156"/>
      <c r="C335" s="86" t="s">
        <v>377</v>
      </c>
      <c r="D335" s="109" t="s">
        <v>199</v>
      </c>
      <c r="E335" s="109" t="s">
        <v>75</v>
      </c>
      <c r="F335" s="16"/>
      <c r="G335" s="12" t="s">
        <v>178</v>
      </c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>
        <v>1</v>
      </c>
      <c r="T335" s="26">
        <v>46123</v>
      </c>
      <c r="U335" s="13" t="s">
        <v>147</v>
      </c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53"/>
      <c r="B336" s="156"/>
      <c r="C336" s="86" t="s">
        <v>378</v>
      </c>
      <c r="D336" s="109" t="s">
        <v>192</v>
      </c>
      <c r="E336" s="109" t="s">
        <v>60</v>
      </c>
      <c r="F336" s="16"/>
      <c r="G336" s="12" t="s">
        <v>178</v>
      </c>
      <c r="H336" s="15"/>
      <c r="I336" s="15"/>
      <c r="J336" s="15">
        <v>1</v>
      </c>
      <c r="K336" s="15"/>
      <c r="L336" s="17">
        <v>1</v>
      </c>
      <c r="M336" s="17"/>
      <c r="N336" s="17"/>
      <c r="O336" s="17"/>
      <c r="P336" s="17"/>
      <c r="Q336" s="17"/>
      <c r="R336" s="17"/>
      <c r="S336" s="15"/>
      <c r="T336" s="26">
        <v>46127</v>
      </c>
      <c r="U336" s="13" t="s">
        <v>142</v>
      </c>
      <c r="V336">
        <v>4</v>
      </c>
      <c r="AA336" s="49" t="s">
        <v>83</v>
      </c>
      <c r="AB336" s="50" t="s">
        <v>38</v>
      </c>
    </row>
    <row r="337" spans="1:28" x14ac:dyDescent="0.4">
      <c r="A337" s="153"/>
      <c r="B337" s="156"/>
      <c r="C337" s="86" t="s">
        <v>379</v>
      </c>
      <c r="D337" s="109" t="s">
        <v>192</v>
      </c>
      <c r="E337" s="109" t="s">
        <v>38</v>
      </c>
      <c r="F337" s="16"/>
      <c r="G337" s="12" t="s">
        <v>178</v>
      </c>
      <c r="H337" s="15"/>
      <c r="I337" s="15"/>
      <c r="J337" s="15"/>
      <c r="K337" s="15"/>
      <c r="L337" s="17"/>
      <c r="M337" s="17">
        <v>1</v>
      </c>
      <c r="N337" s="17">
        <v>1</v>
      </c>
      <c r="O337" s="17"/>
      <c r="P337" s="17"/>
      <c r="Q337" s="17">
        <v>1</v>
      </c>
      <c r="R337" s="17"/>
      <c r="S337" s="15"/>
      <c r="T337" s="26">
        <v>46127</v>
      </c>
      <c r="U337" s="13" t="s">
        <v>147</v>
      </c>
      <c r="V337">
        <v>5</v>
      </c>
      <c r="AA337" s="49" t="s">
        <v>84</v>
      </c>
      <c r="AB337" s="50" t="s">
        <v>44</v>
      </c>
    </row>
    <row r="338" spans="1:28" x14ac:dyDescent="0.4">
      <c r="A338" s="153"/>
      <c r="B338" s="156"/>
      <c r="C338" s="86" t="s">
        <v>380</v>
      </c>
      <c r="D338" s="109" t="s">
        <v>192</v>
      </c>
      <c r="E338" s="109" t="s">
        <v>44</v>
      </c>
      <c r="F338" s="16"/>
      <c r="G338" s="12" t="s">
        <v>178</v>
      </c>
      <c r="H338" s="13"/>
      <c r="I338" s="15"/>
      <c r="J338" s="15"/>
      <c r="K338" s="15"/>
      <c r="L338" s="17"/>
      <c r="M338" s="17">
        <v>1</v>
      </c>
      <c r="N338" s="17">
        <v>1</v>
      </c>
      <c r="O338" s="17"/>
      <c r="P338" s="17"/>
      <c r="Q338" s="17">
        <v>1</v>
      </c>
      <c r="R338" s="17"/>
      <c r="S338" s="15"/>
      <c r="T338" s="26">
        <v>46127</v>
      </c>
      <c r="U338" s="13" t="s">
        <v>147</v>
      </c>
      <c r="V338">
        <v>6</v>
      </c>
      <c r="AA338" s="49" t="s">
        <v>85</v>
      </c>
      <c r="AB338" s="50" t="s">
        <v>43</v>
      </c>
    </row>
    <row r="339" spans="1:28" x14ac:dyDescent="0.4">
      <c r="A339" s="153"/>
      <c r="B339" s="156"/>
      <c r="C339" s="86" t="s">
        <v>381</v>
      </c>
      <c r="D339" s="109" t="s">
        <v>192</v>
      </c>
      <c r="E339" s="109" t="s">
        <v>44</v>
      </c>
      <c r="F339" s="16"/>
      <c r="G339" s="12" t="s">
        <v>178</v>
      </c>
      <c r="H339" s="15"/>
      <c r="I339" s="15"/>
      <c r="J339" s="15"/>
      <c r="K339" s="15"/>
      <c r="L339" s="17"/>
      <c r="M339" s="17">
        <v>1</v>
      </c>
      <c r="N339" s="17">
        <v>1</v>
      </c>
      <c r="O339" s="17"/>
      <c r="P339" s="17"/>
      <c r="Q339" s="17">
        <v>1</v>
      </c>
      <c r="R339" s="17"/>
      <c r="S339" s="15"/>
      <c r="T339" s="26">
        <v>46127</v>
      </c>
      <c r="U339" s="13" t="s">
        <v>147</v>
      </c>
      <c r="V339">
        <v>7</v>
      </c>
      <c r="AA339" s="49" t="s">
        <v>86</v>
      </c>
      <c r="AB339" s="50" t="s">
        <v>45</v>
      </c>
    </row>
    <row r="340" spans="1:28" x14ac:dyDescent="0.4">
      <c r="A340" s="153"/>
      <c r="B340" s="156"/>
      <c r="C340" s="86" t="s">
        <v>382</v>
      </c>
      <c r="D340" s="109" t="s">
        <v>192</v>
      </c>
      <c r="E340" s="109" t="s">
        <v>44</v>
      </c>
      <c r="F340" s="16"/>
      <c r="G340" s="12" t="s">
        <v>178</v>
      </c>
      <c r="H340" s="15"/>
      <c r="I340" s="15"/>
      <c r="J340" s="15"/>
      <c r="K340" s="15"/>
      <c r="L340" s="17"/>
      <c r="M340" s="17">
        <v>1</v>
      </c>
      <c r="N340" s="17">
        <v>1</v>
      </c>
      <c r="O340" s="17"/>
      <c r="P340" s="17"/>
      <c r="Q340" s="17">
        <v>1</v>
      </c>
      <c r="R340" s="17"/>
      <c r="S340" s="15"/>
      <c r="T340" s="26">
        <v>46127</v>
      </c>
      <c r="U340" s="13" t="s">
        <v>147</v>
      </c>
      <c r="V340">
        <v>8</v>
      </c>
      <c r="AA340" s="49" t="s">
        <v>87</v>
      </c>
      <c r="AB340" s="50" t="s">
        <v>37</v>
      </c>
    </row>
    <row r="341" spans="1:28" x14ac:dyDescent="0.4">
      <c r="A341" s="153"/>
      <c r="B341" s="156"/>
      <c r="C341" s="86" t="s">
        <v>383</v>
      </c>
      <c r="D341" s="109" t="s">
        <v>192</v>
      </c>
      <c r="E341" s="15" t="s">
        <v>44</v>
      </c>
      <c r="F341" s="16"/>
      <c r="G341" s="15" t="s">
        <v>178</v>
      </c>
      <c r="H341" s="15"/>
      <c r="I341" s="15"/>
      <c r="J341" s="15"/>
      <c r="K341" s="15"/>
      <c r="L341" s="17"/>
      <c r="M341" s="17">
        <v>1</v>
      </c>
      <c r="N341" s="17">
        <v>1</v>
      </c>
      <c r="O341" s="17"/>
      <c r="P341" s="17"/>
      <c r="Q341" s="17">
        <v>1</v>
      </c>
      <c r="R341" s="17"/>
      <c r="S341" s="15"/>
      <c r="T341" s="26">
        <v>46127</v>
      </c>
      <c r="U341" s="13" t="s">
        <v>147</v>
      </c>
      <c r="V341">
        <v>9</v>
      </c>
      <c r="AA341" s="49" t="s">
        <v>88</v>
      </c>
      <c r="AB341" s="50" t="s">
        <v>74</v>
      </c>
    </row>
    <row r="342" spans="1:28" x14ac:dyDescent="0.4">
      <c r="A342" s="153"/>
      <c r="B342" s="156"/>
      <c r="C342" s="86" t="s">
        <v>384</v>
      </c>
      <c r="D342" s="109" t="s">
        <v>192</v>
      </c>
      <c r="E342" s="15" t="s">
        <v>38</v>
      </c>
      <c r="F342" s="16"/>
      <c r="G342" s="15" t="s">
        <v>178</v>
      </c>
      <c r="H342" s="15"/>
      <c r="I342" s="15"/>
      <c r="J342" s="15"/>
      <c r="K342" s="15"/>
      <c r="L342" s="17"/>
      <c r="M342" s="17">
        <v>1</v>
      </c>
      <c r="N342" s="17">
        <v>1</v>
      </c>
      <c r="O342" s="17"/>
      <c r="P342" s="17"/>
      <c r="Q342" s="17">
        <v>1</v>
      </c>
      <c r="R342" s="17"/>
      <c r="S342" s="15"/>
      <c r="T342" s="26">
        <v>46127</v>
      </c>
      <c r="U342" s="13" t="s">
        <v>147</v>
      </c>
      <c r="V342">
        <v>10</v>
      </c>
      <c r="AA342" s="49" t="s">
        <v>89</v>
      </c>
      <c r="AB342" s="50" t="s">
        <v>36</v>
      </c>
    </row>
    <row r="343" spans="1:28" x14ac:dyDescent="0.4">
      <c r="A343" s="153"/>
      <c r="B343" s="156"/>
      <c r="C343" s="86" t="s">
        <v>385</v>
      </c>
      <c r="D343" s="109" t="s">
        <v>192</v>
      </c>
      <c r="E343" s="15" t="s">
        <v>38</v>
      </c>
      <c r="F343" s="16"/>
      <c r="G343" s="15" t="s">
        <v>178</v>
      </c>
      <c r="H343" s="15"/>
      <c r="I343" s="15"/>
      <c r="J343" s="15"/>
      <c r="K343" s="15"/>
      <c r="L343" s="17"/>
      <c r="M343" s="17">
        <v>1</v>
      </c>
      <c r="N343" s="17">
        <v>1</v>
      </c>
      <c r="O343" s="17"/>
      <c r="P343" s="17"/>
      <c r="Q343" s="17">
        <v>1</v>
      </c>
      <c r="R343" s="17"/>
      <c r="S343" s="15"/>
      <c r="T343" s="26">
        <v>46127</v>
      </c>
      <c r="U343" s="15" t="s">
        <v>147</v>
      </c>
      <c r="V343">
        <v>11</v>
      </c>
      <c r="AA343" s="49" t="s">
        <v>90</v>
      </c>
      <c r="AB343" s="50" t="s">
        <v>58</v>
      </c>
    </row>
    <row r="344" spans="1:28" x14ac:dyDescent="0.4">
      <c r="A344" s="153"/>
      <c r="B344" s="156"/>
      <c r="C344" s="86" t="s">
        <v>386</v>
      </c>
      <c r="D344" s="109" t="s">
        <v>192</v>
      </c>
      <c r="E344" s="15" t="s">
        <v>38</v>
      </c>
      <c r="F344" s="16"/>
      <c r="G344" s="15" t="s">
        <v>178</v>
      </c>
      <c r="H344" s="15"/>
      <c r="I344" s="15"/>
      <c r="J344" s="15"/>
      <c r="K344" s="15"/>
      <c r="L344" s="17"/>
      <c r="M344" s="17">
        <v>1</v>
      </c>
      <c r="N344" s="17">
        <v>1</v>
      </c>
      <c r="O344" s="17"/>
      <c r="P344" s="17"/>
      <c r="Q344" s="17">
        <v>1</v>
      </c>
      <c r="R344" s="17"/>
      <c r="S344" s="15"/>
      <c r="T344" s="26">
        <v>46127</v>
      </c>
      <c r="U344" s="15" t="s">
        <v>147</v>
      </c>
      <c r="V344">
        <v>12</v>
      </c>
      <c r="AA344" s="49" t="s">
        <v>91</v>
      </c>
      <c r="AB344" s="50" t="s">
        <v>75</v>
      </c>
    </row>
    <row r="345" spans="1:28" x14ac:dyDescent="0.4">
      <c r="A345" s="153"/>
      <c r="B345" s="156"/>
      <c r="C345" s="86" t="s">
        <v>387</v>
      </c>
      <c r="D345" s="109" t="s">
        <v>192</v>
      </c>
      <c r="E345" s="15" t="s">
        <v>38</v>
      </c>
      <c r="F345" s="16"/>
      <c r="G345" s="15" t="s">
        <v>178</v>
      </c>
      <c r="H345" s="15"/>
      <c r="I345" s="15"/>
      <c r="J345" s="15"/>
      <c r="K345" s="15"/>
      <c r="L345" s="17"/>
      <c r="M345" s="17">
        <v>1</v>
      </c>
      <c r="N345" s="17">
        <v>1</v>
      </c>
      <c r="O345" s="17"/>
      <c r="P345" s="17"/>
      <c r="Q345" s="17">
        <v>1</v>
      </c>
      <c r="R345" s="17"/>
      <c r="S345" s="15"/>
      <c r="T345" s="26">
        <v>46127</v>
      </c>
      <c r="U345" s="15" t="s">
        <v>147</v>
      </c>
      <c r="V345">
        <v>13</v>
      </c>
      <c r="AA345" s="49" t="s">
        <v>92</v>
      </c>
      <c r="AB345" s="50" t="s">
        <v>40</v>
      </c>
    </row>
    <row r="346" spans="1:28" x14ac:dyDescent="0.4">
      <c r="A346" s="153"/>
      <c r="B346" s="156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53"/>
      <c r="B347" s="156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53"/>
      <c r="B348" s="156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53"/>
      <c r="B349" s="156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53"/>
      <c r="B350" s="156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53"/>
      <c r="B351" s="156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53"/>
      <c r="B352" s="156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53"/>
      <c r="B353" s="156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53"/>
      <c r="B354" s="156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53"/>
      <c r="B355" s="156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53"/>
      <c r="B356" s="156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54"/>
      <c r="B357" s="157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13</v>
      </c>
      <c r="D358" s="112"/>
      <c r="E358" s="29"/>
      <c r="F358" s="29" t="s">
        <v>34</v>
      </c>
      <c r="G358" s="29">
        <f>COUNTIF(G333:G357,"S")</f>
        <v>13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2</v>
      </c>
      <c r="K358" s="29">
        <f t="shared" si="83"/>
        <v>1</v>
      </c>
      <c r="L358" s="29">
        <f t="shared" si="83"/>
        <v>1</v>
      </c>
      <c r="M358" s="29">
        <f t="shared" si="83"/>
        <v>9</v>
      </c>
      <c r="N358" s="29">
        <f t="shared" si="83"/>
        <v>10</v>
      </c>
      <c r="O358" s="29">
        <f t="shared" si="83"/>
        <v>0</v>
      </c>
      <c r="P358" s="29">
        <f t="shared" si="83"/>
        <v>0</v>
      </c>
      <c r="Q358" s="29">
        <f t="shared" si="83"/>
        <v>9</v>
      </c>
      <c r="R358" s="29">
        <f t="shared" si="83"/>
        <v>0</v>
      </c>
      <c r="S358" s="29">
        <f t="shared" si="83"/>
        <v>1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33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176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45" t="s">
        <v>138</v>
      </c>
      <c r="Y362" s="151"/>
    </row>
    <row r="363" spans="1:28" ht="19.5" thickTop="1" x14ac:dyDescent="0.4">
      <c r="A363" s="152">
        <v>13</v>
      </c>
      <c r="B363" s="155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53"/>
      <c r="B364" s="156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53"/>
      <c r="B365" s="156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53"/>
      <c r="B366" s="156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53"/>
      <c r="B367" s="156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53"/>
      <c r="B368" s="156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53"/>
      <c r="B369" s="156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53"/>
      <c r="B370" s="156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53"/>
      <c r="B371" s="156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53"/>
      <c r="B372" s="156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53"/>
      <c r="B373" s="156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53"/>
      <c r="B374" s="156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53"/>
      <c r="B375" s="156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53"/>
      <c r="B376" s="156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53"/>
      <c r="B377" s="156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53"/>
      <c r="B378" s="156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53"/>
      <c r="B379" s="156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53"/>
      <c r="B380" s="156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53"/>
      <c r="B381" s="156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53"/>
      <c r="B382" s="156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53"/>
      <c r="B383" s="156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53"/>
      <c r="B384" s="156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53"/>
      <c r="B385" s="156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53"/>
      <c r="B386" s="156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54"/>
      <c r="B387" s="157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45" t="s">
        <v>139</v>
      </c>
      <c r="Y392" s="151"/>
    </row>
    <row r="393" spans="1:25" ht="19.5" thickTop="1" x14ac:dyDescent="0.4">
      <c r="A393" s="152">
        <v>14</v>
      </c>
      <c r="B393" s="155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53"/>
      <c r="B394" s="156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53"/>
      <c r="B395" s="156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53"/>
      <c r="B396" s="156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53"/>
      <c r="B397" s="156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53"/>
      <c r="B398" s="156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53"/>
      <c r="B399" s="156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53"/>
      <c r="B400" s="156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53"/>
      <c r="B401" s="156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53"/>
      <c r="B402" s="156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53"/>
      <c r="B403" s="156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53"/>
      <c r="B404" s="156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53"/>
      <c r="B405" s="156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53"/>
      <c r="B406" s="156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53"/>
      <c r="B407" s="156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53"/>
      <c r="B408" s="156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53"/>
      <c r="B409" s="156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53"/>
      <c r="B410" s="156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53"/>
      <c r="B411" s="156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53"/>
      <c r="B412" s="156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53"/>
      <c r="B413" s="156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53"/>
      <c r="B414" s="156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53"/>
      <c r="B415" s="156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53"/>
      <c r="B416" s="156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54"/>
      <c r="B417" s="157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45" t="s">
        <v>140</v>
      </c>
      <c r="Y422" s="151"/>
    </row>
    <row r="423" spans="1:25" ht="19.5" thickTop="1" x14ac:dyDescent="0.4">
      <c r="A423" s="152">
        <v>15</v>
      </c>
      <c r="B423" s="155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53"/>
      <c r="B424" s="156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53"/>
      <c r="B425" s="156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53"/>
      <c r="B426" s="156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53"/>
      <c r="B427" s="156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53"/>
      <c r="B428" s="156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53"/>
      <c r="B429" s="156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53"/>
      <c r="B430" s="156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53"/>
      <c r="B431" s="156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53"/>
      <c r="B432" s="156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53"/>
      <c r="B433" s="156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53"/>
      <c r="B434" s="156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53"/>
      <c r="B435" s="156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53"/>
      <c r="B436" s="156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53"/>
      <c r="B437" s="156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53"/>
      <c r="B438" s="156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53"/>
      <c r="B439" s="156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53"/>
      <c r="B440" s="156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53"/>
      <c r="B441" s="156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53"/>
      <c r="B442" s="156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53"/>
      <c r="B443" s="156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53"/>
      <c r="B444" s="156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53"/>
      <c r="B445" s="156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53"/>
      <c r="B446" s="156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54"/>
      <c r="B447" s="157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45" t="s">
        <v>105</v>
      </c>
      <c r="Y451" s="151"/>
    </row>
    <row r="452" spans="1:25" ht="19.5" thickTop="1" x14ac:dyDescent="0.4">
      <c r="A452" s="152">
        <v>16</v>
      </c>
      <c r="B452" s="142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53"/>
      <c r="B453" s="143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53"/>
      <c r="B454" s="143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53"/>
      <c r="B455" s="143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53"/>
      <c r="B456" s="143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53"/>
      <c r="B457" s="143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53"/>
      <c r="B458" s="143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53"/>
      <c r="B459" s="143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53"/>
      <c r="B460" s="143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53"/>
      <c r="B461" s="143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53"/>
      <c r="B462" s="143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53"/>
      <c r="B463" s="143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53"/>
      <c r="B464" s="143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53"/>
      <c r="B465" s="143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53"/>
      <c r="B466" s="143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53"/>
      <c r="B467" s="143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53"/>
      <c r="B468" s="143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53"/>
      <c r="B469" s="143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53"/>
      <c r="B470" s="143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53"/>
      <c r="B471" s="143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53"/>
      <c r="B472" s="143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53"/>
      <c r="B473" s="143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53"/>
      <c r="B474" s="143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53"/>
      <c r="B475" s="143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54"/>
      <c r="B476" s="144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66" t="s">
        <v>47</v>
      </c>
      <c r="C26" s="166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7"/>
      <c r="C27" s="167"/>
      <c r="D27" s="168">
        <f>SUM(D26:F26)</f>
        <v>116</v>
      </c>
      <c r="E27" s="168"/>
      <c r="F27" s="168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CG2046"/>
  <sheetViews>
    <sheetView topLeftCell="A3" zoomScaleNormal="100" workbookViewId="0">
      <selection sqref="A1:D29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58" width="16.625" customWidth="1"/>
    <col min="59" max="59" width="11" customWidth="1"/>
    <col min="60" max="60" width="10.5" style="121" customWidth="1"/>
    <col min="61" max="61" width="10.25" style="121" customWidth="1"/>
    <col min="62" max="62" width="10.875" style="121" customWidth="1"/>
    <col min="63" max="76" width="16.625" customWidth="1"/>
    <col min="77" max="77" width="20.5" customWidth="1"/>
    <col min="82" max="82" width="12.375" customWidth="1"/>
    <col min="83" max="83" width="11.25" customWidth="1"/>
    <col min="84" max="84" width="10.5" customWidth="1"/>
    <col min="85" max="85" width="10.25" customWidth="1"/>
  </cols>
  <sheetData>
    <row r="1" spans="1:81" x14ac:dyDescent="0.4">
      <c r="A1" s="120" t="s">
        <v>196</v>
      </c>
      <c r="B1" s="121"/>
      <c r="C1" s="121"/>
      <c r="D1" s="121"/>
      <c r="Z1" t="s">
        <v>143</v>
      </c>
      <c r="AA1" t="s">
        <v>144</v>
      </c>
      <c r="BA1" t="s">
        <v>143</v>
      </c>
      <c r="BB1" t="s">
        <v>144</v>
      </c>
      <c r="BG1" s="120"/>
      <c r="BY1" t="s">
        <v>143</v>
      </c>
      <c r="BZ1" t="s">
        <v>144</v>
      </c>
    </row>
    <row r="2" spans="1:81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Z2" s="25">
        <v>46106</v>
      </c>
      <c r="AA2" s="13" t="s">
        <v>146</v>
      </c>
      <c r="AP2" s="127"/>
      <c r="AQ2" s="29"/>
      <c r="BA2" s="25">
        <v>45669</v>
      </c>
      <c r="BB2" s="13" t="s">
        <v>147</v>
      </c>
      <c r="BG2" s="116"/>
      <c r="BH2" s="123"/>
      <c r="BI2" s="123"/>
      <c r="BJ2" s="123"/>
      <c r="BO2" s="115"/>
      <c r="BP2" s="115"/>
      <c r="BQ2" s="115"/>
      <c r="BR2" s="115"/>
      <c r="BS2" s="115"/>
      <c r="BT2" s="115"/>
      <c r="BU2" s="115"/>
      <c r="BV2" s="115"/>
      <c r="BW2" s="115"/>
      <c r="BX2" s="115"/>
      <c r="BY2" s="25">
        <v>45258</v>
      </c>
      <c r="BZ2" s="13" t="s">
        <v>162</v>
      </c>
      <c r="CC2" s="114"/>
    </row>
    <row r="3" spans="1:81" ht="20.100000000000001" customHeight="1" x14ac:dyDescent="0.4">
      <c r="A3" s="117">
        <v>46106</v>
      </c>
      <c r="B3" s="123">
        <v>2</v>
      </c>
      <c r="C3" s="123"/>
      <c r="D3" s="123"/>
      <c r="X3" s="115"/>
      <c r="Y3" s="115"/>
      <c r="Z3" s="25">
        <v>46106</v>
      </c>
      <c r="AA3" s="13" t="s">
        <v>146</v>
      </c>
      <c r="AP3" s="127"/>
      <c r="AQ3" s="29"/>
      <c r="BA3" s="25"/>
      <c r="BB3" s="13"/>
      <c r="BG3" s="116"/>
      <c r="BH3" s="123"/>
      <c r="BI3" s="123"/>
      <c r="BJ3" s="123"/>
      <c r="BO3" s="115"/>
      <c r="BP3" s="115"/>
      <c r="BQ3" s="115"/>
      <c r="BR3" s="115"/>
      <c r="BS3" s="115"/>
      <c r="BT3" s="115"/>
      <c r="BU3" s="115"/>
      <c r="BV3" s="115"/>
      <c r="BW3" s="115"/>
      <c r="BX3" s="115"/>
      <c r="BY3" s="25"/>
      <c r="BZ3" s="13"/>
      <c r="CC3" s="114"/>
    </row>
    <row r="4" spans="1:81" ht="20.100000000000001" customHeight="1" x14ac:dyDescent="0.4">
      <c r="A4" s="117">
        <v>46111</v>
      </c>
      <c r="B4" s="123">
        <v>1</v>
      </c>
      <c r="C4" s="123"/>
      <c r="D4" s="123"/>
      <c r="X4" s="115"/>
      <c r="Y4" s="115" t="s">
        <v>193</v>
      </c>
      <c r="Z4" s="13">
        <f>SUBTOTAL(3,Z2:Z3)</f>
        <v>2</v>
      </c>
      <c r="AA4" s="13">
        <f>SUBTOTAL(3,AA2:AA3)</f>
        <v>2</v>
      </c>
      <c r="AP4" s="127"/>
      <c r="AQ4" s="29"/>
      <c r="BA4" s="25"/>
      <c r="BB4" s="13"/>
      <c r="BG4" s="116"/>
      <c r="BH4" s="123"/>
      <c r="BI4" s="123"/>
      <c r="BJ4" s="123"/>
      <c r="BO4" s="115"/>
      <c r="BP4" s="115"/>
      <c r="BQ4" s="115"/>
      <c r="BR4" s="115"/>
      <c r="BS4" s="115"/>
      <c r="BT4" s="115"/>
      <c r="BU4" s="115"/>
      <c r="BV4" s="115"/>
      <c r="BW4" s="115"/>
      <c r="BX4" s="115"/>
      <c r="BY4" s="25"/>
      <c r="BZ4" s="13"/>
      <c r="CC4" s="114"/>
    </row>
    <row r="5" spans="1:81" ht="20.100000000000001" customHeight="1" x14ac:dyDescent="0.4">
      <c r="A5" s="117">
        <v>46113</v>
      </c>
      <c r="B5" s="123"/>
      <c r="C5" s="123">
        <v>1</v>
      </c>
      <c r="D5" s="123"/>
      <c r="W5" s="115"/>
      <c r="X5" s="115"/>
      <c r="Y5" s="115"/>
      <c r="Z5" s="25">
        <v>46111</v>
      </c>
      <c r="AA5" s="13" t="s">
        <v>146</v>
      </c>
      <c r="AP5" s="127"/>
      <c r="AQ5" s="29"/>
      <c r="BA5" s="25"/>
      <c r="BB5" s="13"/>
      <c r="BG5" s="116"/>
      <c r="BH5" s="123"/>
      <c r="BI5" s="123"/>
      <c r="BJ5" s="123"/>
      <c r="BO5" s="115"/>
      <c r="BP5" s="115"/>
      <c r="BQ5" s="115"/>
      <c r="BR5" s="115"/>
      <c r="BS5" s="115"/>
      <c r="BT5" s="115"/>
      <c r="BU5" s="115"/>
      <c r="BV5" s="115"/>
      <c r="BW5" s="115"/>
      <c r="BX5" s="115"/>
      <c r="BY5" s="25"/>
      <c r="BZ5" s="13"/>
      <c r="CC5" s="114"/>
    </row>
    <row r="6" spans="1:81" ht="20.100000000000001" customHeight="1" x14ac:dyDescent="0.4">
      <c r="A6" s="117">
        <v>46115</v>
      </c>
      <c r="B6" s="123">
        <v>2</v>
      </c>
      <c r="C6" s="123">
        <v>1</v>
      </c>
      <c r="D6" s="123">
        <v>1</v>
      </c>
      <c r="W6" s="115"/>
      <c r="X6" s="115"/>
      <c r="Y6" s="115" t="s">
        <v>200</v>
      </c>
      <c r="Z6" s="13">
        <f>SUBTOTAL(3,Z5:Z5)</f>
        <v>1</v>
      </c>
      <c r="AA6" s="13">
        <f>SUBTOTAL(3,AA5:AA5)</f>
        <v>1</v>
      </c>
      <c r="AP6" s="127"/>
      <c r="AQ6" s="29"/>
      <c r="BA6" s="25"/>
      <c r="BB6" s="13"/>
      <c r="BG6" s="116"/>
      <c r="BH6" s="123"/>
      <c r="BI6" s="123"/>
      <c r="BJ6" s="123"/>
      <c r="BO6" s="115"/>
      <c r="BP6" s="115"/>
      <c r="BQ6" s="115"/>
      <c r="BR6" s="115"/>
      <c r="BS6" s="115"/>
      <c r="BT6" s="115"/>
      <c r="BU6" s="115"/>
      <c r="BV6" s="115"/>
      <c r="BW6" s="115"/>
      <c r="BX6" s="115"/>
      <c r="BY6" s="25"/>
      <c r="BZ6" s="13"/>
      <c r="CC6" s="114"/>
    </row>
    <row r="7" spans="1:81" ht="20.100000000000001" customHeight="1" x14ac:dyDescent="0.4">
      <c r="A7" s="117">
        <v>46117</v>
      </c>
      <c r="B7" s="123">
        <v>2</v>
      </c>
      <c r="C7" s="123"/>
      <c r="D7" s="123">
        <v>1</v>
      </c>
      <c r="W7" s="115"/>
      <c r="X7" s="115"/>
      <c r="Y7" s="115"/>
      <c r="Z7" s="25">
        <v>46113</v>
      </c>
      <c r="AA7" s="133" t="s">
        <v>147</v>
      </c>
      <c r="AP7" s="127"/>
      <c r="AQ7" s="29"/>
      <c r="BA7" s="25"/>
      <c r="BB7" s="13"/>
      <c r="BG7" s="116"/>
      <c r="BH7" s="123"/>
      <c r="BI7" s="123"/>
      <c r="BJ7" s="123"/>
      <c r="BO7" s="115"/>
      <c r="BP7" s="115"/>
      <c r="BQ7" s="115"/>
      <c r="BR7" s="115"/>
      <c r="BS7" s="115"/>
      <c r="BT7" s="115"/>
      <c r="BU7" s="115"/>
      <c r="BV7" s="115"/>
      <c r="BW7" s="115"/>
      <c r="BX7" s="115"/>
      <c r="BY7" s="25"/>
      <c r="BZ7" s="13"/>
      <c r="CC7" s="114"/>
    </row>
    <row r="8" spans="1:81" ht="20.100000000000001" customHeight="1" x14ac:dyDescent="0.4">
      <c r="A8" s="117">
        <v>46118</v>
      </c>
      <c r="B8" s="123">
        <v>1</v>
      </c>
      <c r="C8" s="123">
        <v>2</v>
      </c>
      <c r="D8" s="123"/>
      <c r="W8" s="115"/>
      <c r="X8" s="115"/>
      <c r="Y8" s="115" t="s">
        <v>201</v>
      </c>
      <c r="Z8" s="13">
        <f>SUBTOTAL(3,Z7:Z7)</f>
        <v>1</v>
      </c>
      <c r="AA8" s="13">
        <f>SUBTOTAL(3,AA7:AA7)</f>
        <v>1</v>
      </c>
      <c r="AP8" s="127"/>
      <c r="AQ8" s="29"/>
      <c r="BA8" s="25"/>
      <c r="BB8" s="13"/>
      <c r="BG8" s="116"/>
      <c r="BH8" s="123"/>
      <c r="BI8" s="123"/>
      <c r="BJ8" s="123"/>
      <c r="BO8" s="115"/>
      <c r="BP8" s="115"/>
      <c r="BQ8" s="115"/>
      <c r="BR8" s="115"/>
      <c r="BS8" s="115"/>
      <c r="BT8" s="115"/>
      <c r="BU8" s="115"/>
      <c r="BV8" s="115"/>
      <c r="BW8" s="115"/>
      <c r="BX8" s="115"/>
      <c r="BY8" s="25"/>
      <c r="BZ8" s="13"/>
      <c r="CC8" s="114"/>
    </row>
    <row r="9" spans="1:81" ht="20.100000000000001" customHeight="1" x14ac:dyDescent="0.4">
      <c r="A9" s="117">
        <v>46119</v>
      </c>
      <c r="B9" s="123">
        <v>3</v>
      </c>
      <c r="C9" s="123">
        <v>2</v>
      </c>
      <c r="D9" s="123"/>
      <c r="V9" s="115"/>
      <c r="W9" s="115"/>
      <c r="X9" s="115"/>
      <c r="Y9" s="115"/>
      <c r="Z9" s="25">
        <v>46115</v>
      </c>
      <c r="AA9" s="13" t="s">
        <v>147</v>
      </c>
      <c r="AP9" s="127"/>
      <c r="AQ9" s="29"/>
      <c r="BA9" s="25"/>
      <c r="BB9" s="13"/>
      <c r="BG9" s="116"/>
      <c r="BH9" s="123"/>
      <c r="BI9" s="123"/>
      <c r="BJ9" s="123"/>
      <c r="BO9" s="115"/>
      <c r="BP9" s="115"/>
      <c r="BQ9" s="115"/>
      <c r="BR9" s="115"/>
      <c r="BS9" s="115"/>
      <c r="BT9" s="115"/>
      <c r="BU9" s="115"/>
      <c r="BV9" s="115"/>
      <c r="BW9" s="115"/>
      <c r="BX9" s="115"/>
      <c r="BY9" s="25"/>
      <c r="BZ9" s="13"/>
      <c r="CC9" s="114"/>
    </row>
    <row r="10" spans="1:81" ht="20.100000000000001" customHeight="1" x14ac:dyDescent="0.4">
      <c r="A10" s="117">
        <v>46120</v>
      </c>
      <c r="B10" s="123">
        <v>4</v>
      </c>
      <c r="C10" s="123">
        <v>5</v>
      </c>
      <c r="D10" s="123"/>
      <c r="U10" s="115"/>
      <c r="V10" s="115"/>
      <c r="W10" s="115"/>
      <c r="X10" s="115"/>
      <c r="Y10" s="115"/>
      <c r="Z10" s="25">
        <v>46115</v>
      </c>
      <c r="AA10" s="13" t="s">
        <v>146</v>
      </c>
      <c r="AP10" s="127"/>
      <c r="AQ10" s="29"/>
      <c r="BA10" s="25"/>
      <c r="BB10" s="13"/>
      <c r="BG10" s="116"/>
      <c r="BH10" s="123"/>
      <c r="BI10" s="123"/>
      <c r="BJ10" s="123"/>
      <c r="BO10" s="115"/>
      <c r="BP10" s="115"/>
      <c r="BQ10" s="115"/>
      <c r="BR10" s="115"/>
      <c r="BS10" s="115"/>
      <c r="BT10" s="115"/>
      <c r="BU10" s="115"/>
      <c r="BV10" s="115"/>
      <c r="BW10" s="115"/>
      <c r="BX10" s="115"/>
      <c r="BY10" s="25"/>
      <c r="BZ10" s="13"/>
      <c r="CC10" s="114"/>
    </row>
    <row r="11" spans="1:81" ht="20.100000000000001" customHeight="1" x14ac:dyDescent="0.4">
      <c r="A11" s="117">
        <v>46121</v>
      </c>
      <c r="B11" s="123"/>
      <c r="C11" s="123">
        <v>3</v>
      </c>
      <c r="D11" s="123"/>
      <c r="U11" s="115"/>
      <c r="V11" s="115"/>
      <c r="W11" s="115"/>
      <c r="X11" s="115"/>
      <c r="Y11" s="115"/>
      <c r="Z11" s="25">
        <v>46115</v>
      </c>
      <c r="AA11" s="13" t="s">
        <v>146</v>
      </c>
      <c r="AP11" s="127"/>
      <c r="AQ11" s="29"/>
      <c r="BA11" s="25"/>
      <c r="BB11" s="13"/>
      <c r="BG11" s="116"/>
      <c r="BH11" s="123"/>
      <c r="BI11" s="123"/>
      <c r="BJ11" s="123"/>
      <c r="BO11" s="115"/>
      <c r="BP11" s="115"/>
      <c r="BQ11" s="115"/>
      <c r="BR11" s="115"/>
      <c r="BS11" s="115"/>
      <c r="BT11" s="115"/>
      <c r="BU11" s="115"/>
      <c r="BV11" s="115"/>
      <c r="BW11" s="115"/>
      <c r="BX11" s="115"/>
      <c r="BY11" s="25"/>
      <c r="BZ11" s="13"/>
      <c r="CC11" s="114"/>
    </row>
    <row r="12" spans="1:81" ht="20.100000000000001" customHeight="1" x14ac:dyDescent="0.4">
      <c r="A12" s="117">
        <v>46122</v>
      </c>
      <c r="B12" s="123"/>
      <c r="C12" s="123">
        <v>1</v>
      </c>
      <c r="D12" s="123">
        <v>1</v>
      </c>
      <c r="T12" s="115"/>
      <c r="U12" s="115"/>
      <c r="V12" s="115"/>
      <c r="W12" s="115"/>
      <c r="X12" s="115"/>
      <c r="Y12" s="115"/>
      <c r="Z12" s="25">
        <v>46115</v>
      </c>
      <c r="AA12" s="13" t="s">
        <v>148</v>
      </c>
      <c r="AP12" s="127"/>
      <c r="AQ12" s="29"/>
      <c r="BA12" s="25"/>
      <c r="BB12" s="13"/>
      <c r="BG12" s="116"/>
      <c r="BH12" s="123"/>
      <c r="BI12" s="123"/>
      <c r="BJ12" s="123"/>
      <c r="BO12" s="115"/>
      <c r="BP12" s="115"/>
      <c r="BQ12" s="115"/>
      <c r="BR12" s="115"/>
      <c r="BS12" s="115"/>
      <c r="BT12" s="115"/>
      <c r="BU12" s="115"/>
      <c r="BV12" s="115"/>
      <c r="BW12" s="115"/>
      <c r="BX12" s="115"/>
      <c r="BY12" s="25"/>
      <c r="BZ12" s="13"/>
      <c r="CC12" s="114"/>
    </row>
    <row r="13" spans="1:81" ht="20.100000000000001" customHeight="1" x14ac:dyDescent="0.4">
      <c r="A13" s="117">
        <v>46123</v>
      </c>
      <c r="B13" s="123">
        <v>2</v>
      </c>
      <c r="C13" s="123">
        <v>7</v>
      </c>
      <c r="D13" s="123">
        <v>1</v>
      </c>
      <c r="T13" s="115"/>
      <c r="U13" s="115"/>
      <c r="V13" s="115"/>
      <c r="W13" s="115"/>
      <c r="X13" s="115"/>
      <c r="Y13" s="115" t="s">
        <v>202</v>
      </c>
      <c r="Z13" s="13">
        <f>SUBTOTAL(3,Z9:Z12)</f>
        <v>4</v>
      </c>
      <c r="AA13" s="13">
        <f>SUBTOTAL(3,AA9:AA12)</f>
        <v>4</v>
      </c>
      <c r="AP13" s="127"/>
      <c r="AQ13" s="29"/>
      <c r="BA13" s="25"/>
      <c r="BB13" s="13"/>
      <c r="BG13" s="116"/>
      <c r="BH13" s="123"/>
      <c r="BI13" s="123"/>
      <c r="BJ13" s="123"/>
      <c r="BO13" s="115"/>
      <c r="BP13" s="115"/>
      <c r="BQ13" s="115"/>
      <c r="BR13" s="115"/>
      <c r="BS13" s="115"/>
      <c r="BT13" s="115"/>
      <c r="BU13" s="115"/>
      <c r="BV13" s="115"/>
      <c r="BW13" s="115"/>
      <c r="BX13" s="115"/>
      <c r="BY13" s="25"/>
      <c r="BZ13" s="13"/>
      <c r="CC13" s="114"/>
    </row>
    <row r="14" spans="1:81" ht="20.100000000000001" customHeight="1" x14ac:dyDescent="0.4">
      <c r="A14" s="117">
        <v>46124</v>
      </c>
      <c r="B14" s="123">
        <v>8</v>
      </c>
      <c r="C14" s="123">
        <v>3</v>
      </c>
      <c r="D14" s="123">
        <v>4</v>
      </c>
      <c r="T14" s="115"/>
      <c r="U14" s="115"/>
      <c r="V14" s="115"/>
      <c r="W14" s="115"/>
      <c r="X14" s="115"/>
      <c r="Y14" s="115"/>
      <c r="Z14" s="25">
        <v>46117</v>
      </c>
      <c r="AA14" s="13" t="s">
        <v>146</v>
      </c>
      <c r="AP14" s="127"/>
      <c r="AQ14" s="29"/>
      <c r="BA14" s="25"/>
      <c r="BB14" s="13"/>
      <c r="BG14" s="116"/>
      <c r="BH14" s="123"/>
      <c r="BI14" s="123"/>
      <c r="BJ14" s="123"/>
      <c r="BO14" s="115"/>
      <c r="BP14" s="115"/>
      <c r="BQ14" s="115"/>
      <c r="BR14" s="115"/>
      <c r="BS14" s="115"/>
      <c r="BT14" s="115"/>
      <c r="BU14" s="115"/>
      <c r="BV14" s="115"/>
      <c r="BW14" s="115"/>
      <c r="BX14" s="115"/>
      <c r="BY14" s="25"/>
      <c r="BZ14" s="13"/>
      <c r="CC14" s="114"/>
    </row>
    <row r="15" spans="1:81" ht="20.100000000000001" customHeight="1" x14ac:dyDescent="0.4">
      <c r="A15" s="117">
        <v>46125</v>
      </c>
      <c r="B15" s="123">
        <v>33</v>
      </c>
      <c r="C15" s="123">
        <v>2</v>
      </c>
      <c r="D15" s="123"/>
      <c r="T15" s="115"/>
      <c r="U15" s="115"/>
      <c r="V15" s="115"/>
      <c r="W15" s="115"/>
      <c r="X15" s="115"/>
      <c r="Y15" s="115"/>
      <c r="Z15" s="25">
        <v>46117</v>
      </c>
      <c r="AA15" s="13" t="s">
        <v>146</v>
      </c>
      <c r="AP15" s="127"/>
      <c r="AQ15" s="29"/>
      <c r="BA15" s="25"/>
      <c r="BB15" s="13"/>
      <c r="BG15" s="116"/>
      <c r="BH15" s="123"/>
      <c r="BI15" s="123"/>
      <c r="BJ15" s="123"/>
      <c r="BO15" s="115"/>
      <c r="BP15" s="115"/>
      <c r="BQ15" s="115"/>
      <c r="BR15" s="115"/>
      <c r="BS15" s="115"/>
      <c r="BT15" s="115"/>
      <c r="BU15" s="115"/>
      <c r="BV15" s="115"/>
      <c r="BW15" s="115"/>
      <c r="BX15" s="115"/>
      <c r="BY15" s="25"/>
      <c r="BZ15" s="13"/>
      <c r="CC15" s="114"/>
    </row>
    <row r="16" spans="1:81" ht="20.100000000000001" customHeight="1" x14ac:dyDescent="0.4">
      <c r="A16" s="117">
        <v>46126</v>
      </c>
      <c r="B16" s="123">
        <v>5</v>
      </c>
      <c r="C16" s="123"/>
      <c r="D16" s="123"/>
      <c r="T16" s="115"/>
      <c r="U16" s="115"/>
      <c r="V16" s="115"/>
      <c r="W16" s="115"/>
      <c r="X16" s="115"/>
      <c r="Y16" s="115"/>
      <c r="Z16" s="25">
        <v>46117</v>
      </c>
      <c r="AA16" s="13" t="s">
        <v>148</v>
      </c>
      <c r="AP16" s="127"/>
      <c r="AQ16" s="29"/>
      <c r="BA16" s="25"/>
      <c r="BB16" s="13"/>
      <c r="BG16" s="116"/>
      <c r="BH16" s="123"/>
      <c r="BI16" s="123"/>
      <c r="BJ16" s="123"/>
      <c r="BO16" s="115"/>
      <c r="BP16" s="115"/>
      <c r="BQ16" s="115"/>
      <c r="BR16" s="115"/>
      <c r="BS16" s="115"/>
      <c r="BT16" s="115"/>
      <c r="BU16" s="115"/>
      <c r="BV16" s="115"/>
      <c r="BW16" s="115"/>
      <c r="BX16" s="115"/>
      <c r="BY16" s="25"/>
      <c r="BZ16" s="13"/>
      <c r="CC16" s="114"/>
    </row>
    <row r="17" spans="1:81" ht="20.100000000000001" customHeight="1" x14ac:dyDescent="0.4">
      <c r="A17" s="117">
        <v>46127</v>
      </c>
      <c r="B17" s="123">
        <v>1</v>
      </c>
      <c r="C17" s="123">
        <v>10</v>
      </c>
      <c r="D17" s="123">
        <v>1</v>
      </c>
      <c r="T17" s="115"/>
      <c r="U17" s="115"/>
      <c r="V17" s="115"/>
      <c r="W17" s="115"/>
      <c r="X17" s="115"/>
      <c r="Y17" s="115" t="s">
        <v>203</v>
      </c>
      <c r="Z17" s="13">
        <f>SUBTOTAL(3,Z14:Z16)</f>
        <v>3</v>
      </c>
      <c r="AA17" s="13">
        <f>SUBTOTAL(3,AA14:AA16)</f>
        <v>3</v>
      </c>
      <c r="AP17" s="127"/>
      <c r="AQ17" s="29"/>
      <c r="BA17" s="25"/>
      <c r="BB17" s="13"/>
      <c r="BG17" s="116"/>
      <c r="BH17" s="123"/>
      <c r="BI17" s="123"/>
      <c r="BJ17" s="123"/>
      <c r="BO17" s="115"/>
      <c r="BP17" s="115"/>
      <c r="BQ17" s="115"/>
      <c r="BR17" s="115"/>
      <c r="BS17" s="115"/>
      <c r="BT17" s="115"/>
      <c r="BU17" s="115"/>
      <c r="BV17" s="115"/>
      <c r="BW17" s="115"/>
      <c r="BX17" s="115"/>
      <c r="BY17" s="25"/>
      <c r="BZ17" s="13"/>
      <c r="CC17" s="114"/>
    </row>
    <row r="18" spans="1:81" ht="20.100000000000001" customHeight="1" x14ac:dyDescent="0.4">
      <c r="A18" s="117">
        <v>46128</v>
      </c>
      <c r="B18" s="139"/>
      <c r="C18" s="123">
        <v>1</v>
      </c>
      <c r="D18" s="123">
        <v>1</v>
      </c>
      <c r="S18" s="115"/>
      <c r="T18" s="115"/>
      <c r="U18" s="115"/>
      <c r="V18" s="115"/>
      <c r="W18" s="115"/>
      <c r="X18" s="115"/>
      <c r="Y18" s="115"/>
      <c r="Z18" s="25">
        <v>46118</v>
      </c>
      <c r="AA18" s="13" t="s">
        <v>147</v>
      </c>
      <c r="AP18" s="127"/>
      <c r="AQ18" s="29"/>
      <c r="BA18" s="25"/>
      <c r="BB18" s="13"/>
      <c r="BG18" s="116"/>
      <c r="BH18" s="123"/>
      <c r="BI18" s="123"/>
      <c r="BJ18" s="123"/>
      <c r="BO18" s="115"/>
      <c r="BP18" s="115"/>
      <c r="BQ18" s="115"/>
      <c r="BR18" s="115"/>
      <c r="BS18" s="115"/>
      <c r="BT18" s="115"/>
      <c r="BU18" s="115"/>
      <c r="BV18" s="115"/>
      <c r="BW18" s="115"/>
      <c r="BX18" s="115"/>
      <c r="BY18" s="25"/>
      <c r="BZ18" s="13"/>
      <c r="CC18" s="114"/>
    </row>
    <row r="19" spans="1:81" ht="20.100000000000001" customHeight="1" x14ac:dyDescent="0.4">
      <c r="A19" s="117">
        <v>46130</v>
      </c>
      <c r="B19" s="123">
        <v>16</v>
      </c>
      <c r="C19" s="123"/>
      <c r="D19" s="123"/>
      <c r="S19" s="115"/>
      <c r="T19" s="115"/>
      <c r="U19" s="115"/>
      <c r="V19" s="115"/>
      <c r="W19" s="115"/>
      <c r="X19" s="115"/>
      <c r="Y19" s="115"/>
      <c r="Z19" s="25">
        <v>46118</v>
      </c>
      <c r="AA19" s="13" t="s">
        <v>146</v>
      </c>
      <c r="AP19" s="127"/>
      <c r="AQ19" s="29"/>
      <c r="BA19" s="25"/>
      <c r="BB19" s="13"/>
      <c r="BG19" s="116"/>
      <c r="BH19" s="123"/>
      <c r="BI19" s="123"/>
      <c r="BJ19" s="123"/>
      <c r="BO19" s="115"/>
      <c r="BP19" s="115"/>
      <c r="BQ19" s="115"/>
      <c r="BR19" s="115"/>
      <c r="BS19" s="115"/>
      <c r="BT19" s="115"/>
      <c r="BU19" s="115"/>
      <c r="BV19" s="115"/>
      <c r="BW19" s="115"/>
      <c r="BX19" s="115"/>
      <c r="BY19" s="25"/>
      <c r="BZ19" s="13"/>
      <c r="CC19" s="114"/>
    </row>
    <row r="20" spans="1:81" ht="20.100000000000001" customHeight="1" x14ac:dyDescent="0.4">
      <c r="A20" s="117">
        <v>46131</v>
      </c>
      <c r="B20" s="123">
        <v>22</v>
      </c>
      <c r="C20" s="123"/>
      <c r="D20" s="123"/>
      <c r="S20" s="115"/>
      <c r="T20" s="115"/>
      <c r="U20" s="115"/>
      <c r="V20" s="115"/>
      <c r="W20" s="115"/>
      <c r="X20" s="115"/>
      <c r="Y20" s="115"/>
      <c r="Z20" s="25">
        <v>46118</v>
      </c>
      <c r="AA20" s="13" t="s">
        <v>147</v>
      </c>
      <c r="AP20" s="127"/>
      <c r="AQ20" s="29"/>
      <c r="BA20" s="25"/>
      <c r="BB20" s="13"/>
      <c r="BG20" s="116"/>
      <c r="BH20" s="123"/>
      <c r="BI20" s="123"/>
      <c r="BJ20" s="123"/>
      <c r="BO20" s="115"/>
      <c r="BP20" s="115"/>
      <c r="BQ20" s="115"/>
      <c r="BR20" s="115"/>
      <c r="BS20" s="115"/>
      <c r="BT20" s="115"/>
      <c r="BU20" s="115"/>
      <c r="BV20" s="115"/>
      <c r="BW20" s="115"/>
      <c r="BX20" s="115"/>
      <c r="BY20" s="25"/>
      <c r="BZ20" s="13"/>
      <c r="CC20" s="114"/>
    </row>
    <row r="21" spans="1:81" ht="20.100000000000001" customHeight="1" x14ac:dyDescent="0.4">
      <c r="A21" s="117">
        <v>46133</v>
      </c>
      <c r="B21" s="123"/>
      <c r="C21" s="123">
        <v>1</v>
      </c>
      <c r="D21" s="123"/>
      <c r="S21" s="115"/>
      <c r="T21" s="115"/>
      <c r="U21" s="115"/>
      <c r="V21" s="115"/>
      <c r="W21" s="115"/>
      <c r="X21" s="115"/>
      <c r="Y21" s="115" t="s">
        <v>204</v>
      </c>
      <c r="Z21" s="13">
        <f>SUBTOTAL(3,Z18:Z20)</f>
        <v>3</v>
      </c>
      <c r="AA21" s="13">
        <f>SUBTOTAL(3,AA18:AA20)</f>
        <v>3</v>
      </c>
      <c r="AP21" s="127"/>
      <c r="AQ21" s="29"/>
      <c r="BA21" s="25"/>
      <c r="BB21" s="13"/>
      <c r="BG21" s="116"/>
      <c r="BH21" s="123"/>
      <c r="BI21" s="123"/>
      <c r="BJ21" s="123"/>
      <c r="BO21" s="115"/>
      <c r="BP21" s="115"/>
      <c r="BQ21" s="115"/>
      <c r="BR21" s="115"/>
      <c r="BS21" s="115"/>
      <c r="BT21" s="115"/>
      <c r="BU21" s="115"/>
      <c r="BV21" s="115"/>
      <c r="BW21" s="115"/>
      <c r="BX21" s="115"/>
      <c r="BY21" s="25"/>
      <c r="BZ21" s="13"/>
      <c r="CC21" s="114"/>
    </row>
    <row r="22" spans="1:81" ht="20.100000000000001" customHeight="1" x14ac:dyDescent="0.4">
      <c r="A22" s="117">
        <v>46134</v>
      </c>
      <c r="B22" s="123">
        <v>1</v>
      </c>
      <c r="C22" s="123"/>
      <c r="D22" s="123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25">
        <v>46119</v>
      </c>
      <c r="AA22" s="13" t="s">
        <v>147</v>
      </c>
      <c r="AP22" s="127"/>
      <c r="AQ22" s="29"/>
      <c r="BA22" s="25"/>
      <c r="BB22" s="13"/>
      <c r="BG22" s="116"/>
      <c r="BH22" s="123"/>
      <c r="BI22" s="123"/>
      <c r="BJ22" s="123"/>
      <c r="BO22" s="115"/>
      <c r="BP22" s="115"/>
      <c r="BQ22" s="115"/>
      <c r="BR22" s="115"/>
      <c r="BS22" s="115"/>
      <c r="BT22" s="115"/>
      <c r="BU22" s="115"/>
      <c r="BV22" s="115"/>
      <c r="BW22" s="115"/>
      <c r="BX22" s="115"/>
      <c r="BY22" s="25"/>
      <c r="BZ22" s="13"/>
      <c r="CC22" s="114"/>
    </row>
    <row r="23" spans="1:81" ht="20.100000000000001" customHeight="1" x14ac:dyDescent="0.4">
      <c r="A23" s="117">
        <v>46135</v>
      </c>
      <c r="B23" s="123">
        <v>10</v>
      </c>
      <c r="C23" s="123">
        <v>2</v>
      </c>
      <c r="D23" s="123">
        <v>1</v>
      </c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25">
        <v>46119</v>
      </c>
      <c r="AA23" s="13" t="s">
        <v>147</v>
      </c>
      <c r="AP23" s="127"/>
      <c r="AQ23" s="29"/>
      <c r="BA23" s="25"/>
      <c r="BB23" s="13"/>
      <c r="BG23" s="116"/>
      <c r="BH23" s="123"/>
      <c r="BI23" s="123"/>
      <c r="BJ23" s="123"/>
      <c r="BO23" s="115"/>
      <c r="BP23" s="115"/>
      <c r="BQ23" s="115"/>
      <c r="BR23" s="115"/>
      <c r="BS23" s="115"/>
      <c r="BT23" s="115"/>
      <c r="BU23" s="115"/>
      <c r="BV23" s="115"/>
      <c r="BW23" s="115"/>
      <c r="BX23" s="115"/>
      <c r="BY23" s="25"/>
      <c r="BZ23" s="13"/>
      <c r="CC23" s="114"/>
    </row>
    <row r="24" spans="1:81" ht="20.100000000000001" customHeight="1" x14ac:dyDescent="0.4">
      <c r="A24" s="117">
        <v>46138</v>
      </c>
      <c r="B24" s="123">
        <v>2</v>
      </c>
      <c r="C24" s="123">
        <v>1</v>
      </c>
      <c r="D24" s="123">
        <v>1</v>
      </c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25">
        <v>46119</v>
      </c>
      <c r="AA24" s="13" t="s">
        <v>146</v>
      </c>
      <c r="AP24" s="127"/>
      <c r="AQ24" s="29"/>
      <c r="BA24" s="25"/>
      <c r="BB24" s="13"/>
      <c r="BG24" s="116"/>
      <c r="BH24" s="123"/>
      <c r="BI24" s="123"/>
      <c r="BJ24" s="123"/>
      <c r="BO24" s="115"/>
      <c r="BP24" s="115"/>
      <c r="BQ24" s="115"/>
      <c r="BR24" s="115"/>
      <c r="BS24" s="115"/>
      <c r="BT24" s="115"/>
      <c r="BU24" s="115"/>
      <c r="BV24" s="115"/>
      <c r="BW24" s="115"/>
      <c r="BX24" s="115"/>
      <c r="BY24" s="25"/>
      <c r="BZ24" s="13"/>
      <c r="CC24" s="114"/>
    </row>
    <row r="25" spans="1:81" ht="20.100000000000001" customHeight="1" x14ac:dyDescent="0.4">
      <c r="A25" s="117">
        <v>46140</v>
      </c>
      <c r="B25" s="123">
        <v>6</v>
      </c>
      <c r="C25" s="123"/>
      <c r="D25" s="123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25">
        <v>46119</v>
      </c>
      <c r="AA25" s="133" t="s">
        <v>146</v>
      </c>
      <c r="AP25" s="127"/>
      <c r="AQ25" s="29"/>
      <c r="BA25" s="25"/>
      <c r="BB25" s="13"/>
      <c r="BG25" s="116"/>
      <c r="BH25" s="123"/>
      <c r="BI25" s="123"/>
      <c r="BJ25" s="123"/>
      <c r="BO25" s="115"/>
      <c r="BP25" s="115"/>
      <c r="BQ25" s="115"/>
      <c r="BR25" s="115"/>
      <c r="BS25" s="115"/>
      <c r="BT25" s="115"/>
      <c r="BU25" s="115"/>
      <c r="BV25" s="115"/>
      <c r="BW25" s="115"/>
      <c r="BX25" s="115"/>
      <c r="BY25" s="25"/>
      <c r="BZ25" s="13"/>
      <c r="CC25" s="114"/>
    </row>
    <row r="26" spans="1:81" ht="20.100000000000001" customHeight="1" x14ac:dyDescent="0.4">
      <c r="A26" s="117"/>
      <c r="B26" s="123">
        <f>SUM(B3:B25)</f>
        <v>121</v>
      </c>
      <c r="C26" s="123">
        <f>SUM(C3:C25)</f>
        <v>42</v>
      </c>
      <c r="D26" s="123">
        <f>SUM(D3:D25)</f>
        <v>12</v>
      </c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25">
        <v>46119</v>
      </c>
      <c r="AA26" s="13" t="s">
        <v>146</v>
      </c>
      <c r="AP26" s="127"/>
      <c r="AQ26" s="29"/>
      <c r="BA26" s="25"/>
      <c r="BB26" s="13"/>
      <c r="BG26" s="116"/>
      <c r="BH26" s="123"/>
      <c r="BI26" s="123"/>
      <c r="BJ26" s="123"/>
      <c r="BO26" s="115"/>
      <c r="BP26" s="115"/>
      <c r="BQ26" s="115"/>
      <c r="BR26" s="115"/>
      <c r="BS26" s="115"/>
      <c r="BT26" s="115"/>
      <c r="BU26" s="115"/>
      <c r="BV26" s="115"/>
      <c r="BW26" s="115"/>
      <c r="BX26" s="115"/>
      <c r="BY26" s="25"/>
      <c r="BZ26" s="13"/>
      <c r="CC26" s="114"/>
    </row>
    <row r="27" spans="1:81" ht="20.100000000000001" customHeight="1" x14ac:dyDescent="0.4">
      <c r="A27" s="117"/>
      <c r="B27" s="123"/>
      <c r="C27" s="123"/>
      <c r="D27" s="123">
        <f>SUM(B26:D26)</f>
        <v>175</v>
      </c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 t="s">
        <v>205</v>
      </c>
      <c r="Z27" s="13">
        <f>SUBTOTAL(3,Z22:Z26)</f>
        <v>5</v>
      </c>
      <c r="AA27" s="13">
        <f>SUBTOTAL(3,AA22:AA26)</f>
        <v>5</v>
      </c>
      <c r="AP27" s="127"/>
      <c r="AQ27" s="29"/>
      <c r="BA27" s="25"/>
      <c r="BB27" s="13"/>
      <c r="BG27" s="116"/>
      <c r="BH27" s="123"/>
      <c r="BI27" s="123"/>
      <c r="BJ27" s="123"/>
      <c r="BO27" s="115"/>
      <c r="BP27" s="115"/>
      <c r="BQ27" s="115"/>
      <c r="BR27" s="115"/>
      <c r="BS27" s="115"/>
      <c r="BT27" s="115"/>
      <c r="BU27" s="115"/>
      <c r="BV27" s="115"/>
      <c r="BW27" s="115"/>
      <c r="BX27" s="115"/>
      <c r="BY27" s="25"/>
      <c r="BZ27" s="13"/>
      <c r="CC27" s="114"/>
    </row>
    <row r="28" spans="1:81" ht="20.100000000000001" customHeight="1" x14ac:dyDescent="0.4">
      <c r="A28" s="117"/>
      <c r="B28" s="123"/>
      <c r="C28" s="123"/>
      <c r="D28" s="123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25">
        <v>46120</v>
      </c>
      <c r="AA28" s="13" t="s">
        <v>147</v>
      </c>
      <c r="AP28" s="127"/>
      <c r="AQ28" s="29"/>
      <c r="BA28" s="25"/>
      <c r="BB28" s="13"/>
      <c r="BG28" s="116"/>
      <c r="BH28" s="123"/>
      <c r="BI28" s="123"/>
      <c r="BJ28" s="123"/>
      <c r="BO28" s="115"/>
      <c r="BP28" s="115"/>
      <c r="BQ28" s="115"/>
      <c r="BR28" s="115"/>
      <c r="BS28" s="115"/>
      <c r="BT28" s="115"/>
      <c r="BU28" s="115"/>
      <c r="BV28" s="115"/>
      <c r="BW28" s="115"/>
      <c r="BX28" s="115"/>
      <c r="BY28" s="25"/>
      <c r="BZ28" s="13"/>
      <c r="CC28" s="114"/>
    </row>
    <row r="29" spans="1:81" ht="20.100000000000001" customHeight="1" x14ac:dyDescent="0.4">
      <c r="A29" s="117"/>
      <c r="B29" s="123"/>
      <c r="C29" s="123"/>
      <c r="D29" s="123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25">
        <v>46120</v>
      </c>
      <c r="AA29" s="13" t="s">
        <v>147</v>
      </c>
      <c r="AP29" s="127"/>
      <c r="AQ29" s="29"/>
      <c r="BA29" s="25"/>
      <c r="BB29" s="13"/>
      <c r="BG29" s="116"/>
      <c r="BH29" s="123"/>
      <c r="BI29" s="123"/>
      <c r="BJ29" s="123"/>
      <c r="BO29" s="115"/>
      <c r="BP29" s="115"/>
      <c r="BQ29" s="115"/>
      <c r="BR29" s="115"/>
      <c r="BS29" s="115"/>
      <c r="BT29" s="115"/>
      <c r="BU29" s="115"/>
      <c r="BV29" s="115"/>
      <c r="BW29" s="115"/>
      <c r="BX29" s="115"/>
      <c r="BY29" s="25"/>
      <c r="BZ29" s="13"/>
      <c r="CC29" s="114"/>
    </row>
    <row r="30" spans="1:81" ht="20.100000000000001" customHeight="1" x14ac:dyDescent="0.4">
      <c r="A30" s="117"/>
      <c r="B30" s="123"/>
      <c r="C30" s="123"/>
      <c r="D30" s="123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25">
        <v>46120</v>
      </c>
      <c r="AA30" s="13" t="s">
        <v>146</v>
      </c>
      <c r="AP30" s="127"/>
      <c r="AQ30" s="29"/>
      <c r="BA30" s="25"/>
      <c r="BB30" s="13"/>
      <c r="BG30" s="116"/>
      <c r="BH30" s="123"/>
      <c r="BI30" s="123"/>
      <c r="BJ30" s="123"/>
      <c r="BO30" s="115"/>
      <c r="BP30" s="115"/>
      <c r="BQ30" s="115"/>
      <c r="BR30" s="115"/>
      <c r="BS30" s="115"/>
      <c r="BT30" s="115"/>
      <c r="BU30" s="115"/>
      <c r="BV30" s="115"/>
      <c r="BW30" s="115"/>
      <c r="BX30" s="115"/>
      <c r="BY30" s="25"/>
      <c r="BZ30" s="13"/>
      <c r="CC30" s="114"/>
    </row>
    <row r="31" spans="1:81" ht="20.100000000000001" customHeight="1" x14ac:dyDescent="0.4">
      <c r="A31" s="117"/>
      <c r="B31" s="123"/>
      <c r="C31" s="123"/>
      <c r="D31" s="123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25">
        <v>46120</v>
      </c>
      <c r="AA31" s="13" t="s">
        <v>146</v>
      </c>
      <c r="AP31" s="127"/>
      <c r="AQ31" s="29"/>
      <c r="BA31" s="25"/>
      <c r="BB31" s="13"/>
      <c r="BG31" s="116"/>
      <c r="BH31" s="123"/>
      <c r="BI31" s="123"/>
      <c r="BJ31" s="123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25"/>
      <c r="BZ31" s="13"/>
      <c r="CC31" s="114"/>
    </row>
    <row r="32" spans="1:81" ht="20.100000000000001" customHeight="1" x14ac:dyDescent="0.4">
      <c r="A32" s="117"/>
      <c r="B32" s="123"/>
      <c r="C32" s="123"/>
      <c r="D32" s="123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25">
        <v>46120</v>
      </c>
      <c r="AA32" s="13" t="s">
        <v>146</v>
      </c>
      <c r="AP32" s="127"/>
      <c r="AQ32" s="29"/>
      <c r="BA32" s="25"/>
      <c r="BB32" s="13"/>
      <c r="BG32" s="116"/>
      <c r="BH32" s="123"/>
      <c r="BI32" s="123"/>
      <c r="BJ32" s="123"/>
      <c r="BO32" s="115"/>
      <c r="BP32" s="115"/>
      <c r="BQ32" s="115"/>
      <c r="BR32" s="115"/>
      <c r="BS32" s="115"/>
      <c r="BT32" s="115"/>
      <c r="BU32" s="115"/>
      <c r="BV32" s="115"/>
      <c r="BW32" s="115"/>
      <c r="BX32" s="115"/>
      <c r="BY32" s="25"/>
      <c r="BZ32" s="13"/>
      <c r="CC32" s="114"/>
    </row>
    <row r="33" spans="1:81" ht="20.100000000000001" customHeight="1" x14ac:dyDescent="0.4">
      <c r="A33" s="117"/>
      <c r="B33" s="123"/>
      <c r="C33" s="123"/>
      <c r="D33" s="123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25">
        <v>46120</v>
      </c>
      <c r="AA33" s="13" t="s">
        <v>146</v>
      </c>
      <c r="AP33" s="127"/>
      <c r="AQ33" s="29"/>
      <c r="BA33" s="25"/>
      <c r="BB33" s="13"/>
      <c r="BG33" s="116"/>
      <c r="BH33" s="123"/>
      <c r="BI33" s="123"/>
      <c r="BJ33" s="123"/>
      <c r="BO33" s="115"/>
      <c r="BP33" s="115"/>
      <c r="BQ33" s="115"/>
      <c r="BR33" s="115"/>
      <c r="BS33" s="115"/>
      <c r="BT33" s="115"/>
      <c r="BU33" s="115"/>
      <c r="BV33" s="115"/>
      <c r="BW33" s="115"/>
      <c r="BX33" s="115"/>
      <c r="BY33" s="25"/>
      <c r="BZ33" s="13"/>
      <c r="CC33" s="114"/>
    </row>
    <row r="34" spans="1:81" ht="20.100000000000001" customHeight="1" x14ac:dyDescent="0.4">
      <c r="A34" s="117"/>
      <c r="B34" s="123"/>
      <c r="C34" s="123"/>
      <c r="D34" s="123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25">
        <v>46120</v>
      </c>
      <c r="AA34" s="13" t="s">
        <v>147</v>
      </c>
      <c r="AP34" s="127"/>
      <c r="AQ34" s="29"/>
      <c r="BA34" s="25"/>
      <c r="BB34" s="13"/>
      <c r="BG34" s="116"/>
      <c r="BH34" s="123"/>
      <c r="BI34" s="123"/>
      <c r="BJ34" s="123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25"/>
      <c r="BZ34" s="13"/>
      <c r="CC34" s="114"/>
    </row>
    <row r="35" spans="1:81" ht="20.100000000000001" customHeight="1" x14ac:dyDescent="0.4">
      <c r="A35" s="117"/>
      <c r="B35" s="123"/>
      <c r="C35" s="123"/>
      <c r="D35" s="123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25">
        <v>46120</v>
      </c>
      <c r="AA35" s="13" t="s">
        <v>147</v>
      </c>
      <c r="AP35" s="127"/>
      <c r="AQ35" s="29"/>
      <c r="BA35" s="25"/>
      <c r="BB35" s="13"/>
      <c r="BG35" s="116"/>
      <c r="BH35" s="123"/>
      <c r="BI35" s="123"/>
      <c r="BJ35" s="123"/>
      <c r="BO35" s="115"/>
      <c r="BP35" s="115"/>
      <c r="BQ35" s="115"/>
      <c r="BR35" s="115"/>
      <c r="BS35" s="115"/>
      <c r="BT35" s="115"/>
      <c r="BU35" s="115"/>
      <c r="BV35" s="115"/>
      <c r="BW35" s="115"/>
      <c r="BX35" s="115"/>
      <c r="BY35" s="25"/>
      <c r="BZ35" s="13"/>
      <c r="CC35" s="114"/>
    </row>
    <row r="36" spans="1:81" ht="20.100000000000001" customHeight="1" x14ac:dyDescent="0.4">
      <c r="A36" s="117"/>
      <c r="B36" s="123"/>
      <c r="C36" s="123"/>
      <c r="D36" s="123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25">
        <v>46120</v>
      </c>
      <c r="AA36" s="15" t="s">
        <v>147</v>
      </c>
      <c r="AP36" s="127"/>
      <c r="AQ36" s="29"/>
      <c r="BA36" s="25"/>
      <c r="BB36" s="13"/>
      <c r="BG36" s="116"/>
      <c r="BH36" s="123"/>
      <c r="BI36" s="123"/>
      <c r="BJ36" s="123"/>
      <c r="BO36" s="115"/>
      <c r="BP36" s="115"/>
      <c r="BQ36" s="115"/>
      <c r="BR36" s="115"/>
      <c r="BS36" s="115"/>
      <c r="BT36" s="115"/>
      <c r="BU36" s="115"/>
      <c r="BV36" s="115"/>
      <c r="BW36" s="115"/>
      <c r="BX36" s="115"/>
      <c r="BY36" s="25"/>
      <c r="BZ36" s="13"/>
      <c r="CC36" s="114"/>
    </row>
    <row r="37" spans="1:81" ht="20.100000000000001" customHeight="1" x14ac:dyDescent="0.4">
      <c r="A37" s="117"/>
      <c r="B37" s="123"/>
      <c r="C37" s="123"/>
      <c r="D37" s="123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 t="s">
        <v>194</v>
      </c>
      <c r="Z37" s="13">
        <f>SUBTOTAL(3,Z28:Z36)</f>
        <v>9</v>
      </c>
      <c r="AA37" s="13">
        <f>SUBTOTAL(3,AA28:AA36)</f>
        <v>9</v>
      </c>
      <c r="AP37" s="127"/>
      <c r="AQ37" s="29"/>
      <c r="BA37" s="25"/>
      <c r="BB37" s="13"/>
      <c r="BG37" s="116"/>
      <c r="BH37" s="123"/>
      <c r="BI37" s="123"/>
      <c r="BJ37" s="123"/>
      <c r="BO37" s="115"/>
      <c r="BP37" s="115"/>
      <c r="BQ37" s="115"/>
      <c r="BR37" s="115"/>
      <c r="BS37" s="115"/>
      <c r="BT37" s="115"/>
      <c r="BU37" s="115"/>
      <c r="BV37" s="115"/>
      <c r="BW37" s="115"/>
      <c r="BX37" s="115"/>
      <c r="BY37" s="25"/>
      <c r="BZ37" s="13"/>
      <c r="CC37" s="114"/>
    </row>
    <row r="38" spans="1:81" ht="20.100000000000001" customHeight="1" x14ac:dyDescent="0.4">
      <c r="A38" s="117"/>
      <c r="B38" s="123"/>
      <c r="C38" s="123"/>
      <c r="D38" s="123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25">
        <v>46121</v>
      </c>
      <c r="AA38" s="13" t="s">
        <v>147</v>
      </c>
      <c r="AP38" s="127"/>
      <c r="AQ38" s="29"/>
      <c r="BA38" s="25"/>
      <c r="BB38" s="13"/>
      <c r="BG38" s="116"/>
      <c r="BH38" s="123"/>
      <c r="BI38" s="123"/>
      <c r="BJ38" s="123"/>
      <c r="BO38" s="115"/>
      <c r="BP38" s="115"/>
      <c r="BQ38" s="115"/>
      <c r="BR38" s="115"/>
      <c r="BS38" s="115"/>
      <c r="BT38" s="115"/>
      <c r="BU38" s="115"/>
      <c r="BV38" s="115"/>
      <c r="BW38" s="115"/>
      <c r="BX38" s="115"/>
      <c r="BY38" s="25"/>
      <c r="BZ38" s="13"/>
      <c r="CC38" s="114"/>
    </row>
    <row r="39" spans="1:81" ht="20.100000000000001" customHeight="1" x14ac:dyDescent="0.4">
      <c r="A39" s="117"/>
      <c r="B39" s="123"/>
      <c r="C39" s="123"/>
      <c r="D39" s="123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25">
        <v>46121</v>
      </c>
      <c r="AA39" s="13" t="s">
        <v>147</v>
      </c>
      <c r="AP39" s="127"/>
      <c r="AQ39" s="29"/>
      <c r="BA39" s="25"/>
      <c r="BB39" s="13"/>
      <c r="BG39" s="116"/>
      <c r="BH39" s="123"/>
      <c r="BI39" s="123"/>
      <c r="BJ39" s="123"/>
      <c r="BO39" s="115"/>
      <c r="BP39" s="115"/>
      <c r="BQ39" s="115"/>
      <c r="BR39" s="115"/>
      <c r="BS39" s="115"/>
      <c r="BT39" s="115"/>
      <c r="BU39" s="115"/>
      <c r="BV39" s="115"/>
      <c r="BW39" s="115"/>
      <c r="BX39" s="115"/>
      <c r="BY39" s="25"/>
      <c r="BZ39" s="13"/>
      <c r="CC39" s="114"/>
    </row>
    <row r="40" spans="1:81" ht="20.100000000000001" customHeight="1" x14ac:dyDescent="0.4">
      <c r="A40" s="117"/>
      <c r="B40" s="123"/>
      <c r="C40" s="123"/>
      <c r="D40" s="123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25">
        <v>46121</v>
      </c>
      <c r="AA40" s="13" t="s">
        <v>147</v>
      </c>
      <c r="AP40" s="127"/>
      <c r="AQ40" s="29"/>
      <c r="BA40" s="25"/>
      <c r="BB40" s="13"/>
      <c r="BG40" s="116"/>
      <c r="BH40" s="123"/>
      <c r="BI40" s="123"/>
      <c r="BJ40" s="123"/>
      <c r="BO40" s="115"/>
      <c r="BP40" s="115"/>
      <c r="BQ40" s="115"/>
      <c r="BR40" s="115"/>
      <c r="BS40" s="115"/>
      <c r="BT40" s="115"/>
      <c r="BU40" s="115"/>
      <c r="BV40" s="115"/>
      <c r="BW40" s="115"/>
      <c r="BX40" s="115"/>
      <c r="BY40" s="25"/>
      <c r="BZ40" s="13"/>
      <c r="CC40" s="114"/>
    </row>
    <row r="41" spans="1:81" ht="20.100000000000001" customHeight="1" x14ac:dyDescent="0.4">
      <c r="A41" s="117"/>
      <c r="B41" s="123"/>
      <c r="C41" s="123"/>
      <c r="D41" s="123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 t="s">
        <v>388</v>
      </c>
      <c r="Z41" s="13">
        <f>SUBTOTAL(3,Z38:Z40)</f>
        <v>3</v>
      </c>
      <c r="AA41" s="13">
        <f>SUBTOTAL(3,AA38:AA40)</f>
        <v>3</v>
      </c>
      <c r="AP41" s="127"/>
      <c r="AQ41" s="29"/>
      <c r="BA41" s="25"/>
      <c r="BB41" s="13"/>
      <c r="BG41" s="116"/>
      <c r="BH41" s="123"/>
      <c r="BI41" s="123"/>
      <c r="BJ41" s="123"/>
      <c r="BO41" s="115"/>
      <c r="BP41" s="115"/>
      <c r="BQ41" s="115"/>
      <c r="BR41" s="115"/>
      <c r="BS41" s="115"/>
      <c r="BT41" s="115"/>
      <c r="BU41" s="115"/>
      <c r="BV41" s="115"/>
      <c r="BW41" s="115"/>
      <c r="BX41" s="115"/>
      <c r="BY41" s="25"/>
      <c r="BZ41" s="13"/>
      <c r="CC41" s="114"/>
    </row>
    <row r="42" spans="1:81" ht="20.100000000000001" customHeight="1" x14ac:dyDescent="0.4">
      <c r="A42" s="117"/>
      <c r="B42" s="123"/>
      <c r="C42" s="123"/>
      <c r="D42" s="123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25">
        <v>46122</v>
      </c>
      <c r="AA42" s="13" t="s">
        <v>148</v>
      </c>
      <c r="AP42" s="127"/>
      <c r="AQ42" s="29"/>
      <c r="BA42" s="25"/>
      <c r="BB42" s="13"/>
      <c r="BG42" s="116"/>
      <c r="BH42" s="123"/>
      <c r="BI42" s="123"/>
      <c r="BJ42" s="123"/>
      <c r="BO42" s="115"/>
      <c r="BP42" s="115"/>
      <c r="BQ42" s="115"/>
      <c r="BR42" s="115"/>
      <c r="BS42" s="115"/>
      <c r="BT42" s="115"/>
      <c r="BU42" s="115"/>
      <c r="BV42" s="115"/>
      <c r="BW42" s="115"/>
      <c r="BX42" s="115"/>
      <c r="BY42" s="25"/>
      <c r="BZ42" s="13"/>
      <c r="CC42" s="114"/>
    </row>
    <row r="43" spans="1:81" ht="20.100000000000001" customHeight="1" x14ac:dyDescent="0.4">
      <c r="A43" s="117"/>
      <c r="B43" s="123"/>
      <c r="C43" s="123"/>
      <c r="D43" s="123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25">
        <v>46122</v>
      </c>
      <c r="AA43" s="13" t="s">
        <v>147</v>
      </c>
      <c r="AP43" s="127"/>
      <c r="AQ43" s="29"/>
      <c r="BA43" s="25"/>
      <c r="BB43" s="13"/>
      <c r="BG43" s="116"/>
      <c r="BH43" s="123"/>
      <c r="BI43" s="123"/>
      <c r="BJ43" s="123"/>
      <c r="BO43" s="115"/>
      <c r="BP43" s="115"/>
      <c r="BQ43" s="115"/>
      <c r="BR43" s="115"/>
      <c r="BS43" s="115"/>
      <c r="BT43" s="115"/>
      <c r="BU43" s="115"/>
      <c r="BV43" s="115"/>
      <c r="BW43" s="115"/>
      <c r="BX43" s="115"/>
      <c r="BY43" s="25"/>
      <c r="BZ43" s="13"/>
      <c r="CC43" s="114"/>
    </row>
    <row r="44" spans="1:81" ht="20.100000000000001" customHeight="1" x14ac:dyDescent="0.4">
      <c r="A44" s="117"/>
      <c r="B44" s="123"/>
      <c r="C44" s="123"/>
      <c r="D44" s="123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 t="s">
        <v>389</v>
      </c>
      <c r="Z44" s="13">
        <f>SUBTOTAL(3,Z42:Z43)</f>
        <v>2</v>
      </c>
      <c r="AA44" s="13">
        <f>SUBTOTAL(3,AA42:AA43)</f>
        <v>2</v>
      </c>
      <c r="AP44" s="127"/>
      <c r="AQ44" s="29"/>
      <c r="BA44" s="25"/>
      <c r="BB44" s="13"/>
      <c r="BG44" s="116"/>
      <c r="BH44" s="123"/>
      <c r="BI44" s="123"/>
      <c r="BJ44" s="123"/>
      <c r="BO44" s="115"/>
      <c r="BP44" s="115"/>
      <c r="BQ44" s="115"/>
      <c r="BR44" s="115"/>
      <c r="BS44" s="115"/>
      <c r="BT44" s="115"/>
      <c r="BU44" s="115"/>
      <c r="BV44" s="115"/>
      <c r="BW44" s="115"/>
      <c r="BX44" s="115"/>
      <c r="BY44" s="25"/>
      <c r="BZ44" s="13"/>
      <c r="CC44" s="114"/>
    </row>
    <row r="45" spans="1:81" ht="20.100000000000001" customHeight="1" x14ac:dyDescent="0.4">
      <c r="A45" s="117"/>
      <c r="B45" s="123"/>
      <c r="C45" s="123"/>
      <c r="D45" s="123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25">
        <v>46123</v>
      </c>
      <c r="AA45" s="13" t="s">
        <v>148</v>
      </c>
      <c r="AP45" s="127"/>
      <c r="AQ45" s="29"/>
      <c r="BA45" s="25"/>
      <c r="BB45" s="13"/>
      <c r="BG45" s="116"/>
      <c r="BH45" s="123"/>
      <c r="BI45" s="123"/>
      <c r="BJ45" s="123"/>
      <c r="BO45" s="115"/>
      <c r="BP45" s="115"/>
      <c r="BQ45" s="115"/>
      <c r="BR45" s="115"/>
      <c r="BS45" s="115"/>
      <c r="BT45" s="115"/>
      <c r="BU45" s="115"/>
      <c r="BV45" s="115"/>
      <c r="BW45" s="115"/>
      <c r="BX45" s="115"/>
      <c r="BY45" s="25"/>
      <c r="BZ45" s="13"/>
      <c r="CC45" s="114"/>
    </row>
    <row r="46" spans="1:81" ht="20.100000000000001" customHeight="1" x14ac:dyDescent="0.4">
      <c r="A46" s="117"/>
      <c r="B46" s="123"/>
      <c r="C46" s="123"/>
      <c r="D46" s="123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25">
        <v>46123</v>
      </c>
      <c r="AA46" s="13" t="s">
        <v>147</v>
      </c>
      <c r="AP46" s="127"/>
      <c r="AQ46" s="29"/>
      <c r="BA46" s="25"/>
      <c r="BB46" s="13"/>
      <c r="BG46" s="116"/>
      <c r="BH46" s="123"/>
      <c r="BI46" s="123"/>
      <c r="BJ46" s="123"/>
      <c r="BO46" s="115"/>
      <c r="BP46" s="115"/>
      <c r="BQ46" s="115"/>
      <c r="BR46" s="115"/>
      <c r="BS46" s="115"/>
      <c r="BT46" s="115"/>
      <c r="BU46" s="115"/>
      <c r="BV46" s="115"/>
      <c r="BW46" s="115"/>
      <c r="BX46" s="115"/>
      <c r="BY46" s="25"/>
      <c r="BZ46" s="13"/>
      <c r="CC46" s="114"/>
    </row>
    <row r="47" spans="1:81" ht="20.100000000000001" customHeight="1" x14ac:dyDescent="0.4">
      <c r="A47" s="117"/>
      <c r="B47" s="123"/>
      <c r="C47" s="123"/>
      <c r="D47" s="123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25">
        <v>46123</v>
      </c>
      <c r="AA47" s="13" t="s">
        <v>147</v>
      </c>
      <c r="AP47" s="127"/>
      <c r="AQ47" s="29"/>
      <c r="BA47" s="25"/>
      <c r="BB47" s="13"/>
      <c r="BG47" s="116"/>
      <c r="BH47" s="123"/>
      <c r="BI47" s="123"/>
      <c r="BJ47" s="123"/>
      <c r="BO47" s="115"/>
      <c r="BP47" s="115"/>
      <c r="BQ47" s="115"/>
      <c r="BR47" s="115"/>
      <c r="BS47" s="115"/>
      <c r="BT47" s="115"/>
      <c r="BU47" s="115"/>
      <c r="BV47" s="115"/>
      <c r="BW47" s="115"/>
      <c r="BX47" s="115"/>
      <c r="BY47" s="25"/>
      <c r="BZ47" s="13"/>
      <c r="CC47" s="114"/>
    </row>
    <row r="48" spans="1:81" ht="20.100000000000001" customHeight="1" x14ac:dyDescent="0.4">
      <c r="A48" s="117"/>
      <c r="B48" s="123"/>
      <c r="C48" s="123"/>
      <c r="D48" s="123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25">
        <v>46123</v>
      </c>
      <c r="AA48" s="15" t="s">
        <v>146</v>
      </c>
      <c r="AP48" s="127"/>
      <c r="AQ48" s="29"/>
      <c r="BA48" s="25"/>
      <c r="BB48" s="13"/>
      <c r="BG48" s="116"/>
      <c r="BH48" s="123"/>
      <c r="BI48" s="123"/>
      <c r="BJ48" s="123"/>
      <c r="BO48" s="115"/>
      <c r="BP48" s="115"/>
      <c r="BQ48" s="115"/>
      <c r="BR48" s="115"/>
      <c r="BS48" s="115"/>
      <c r="BT48" s="115"/>
      <c r="BU48" s="115"/>
      <c r="BV48" s="115"/>
      <c r="BW48" s="115"/>
      <c r="BX48" s="115"/>
      <c r="BY48" s="25"/>
      <c r="BZ48" s="13"/>
      <c r="CC48" s="114"/>
    </row>
    <row r="49" spans="1:81" ht="20.100000000000001" customHeight="1" x14ac:dyDescent="0.4">
      <c r="A49" s="117"/>
      <c r="B49" s="123"/>
      <c r="C49" s="123"/>
      <c r="D49" s="123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25">
        <v>46123</v>
      </c>
      <c r="AA49" s="15" t="s">
        <v>147</v>
      </c>
      <c r="AP49" s="127"/>
      <c r="AQ49" s="29"/>
      <c r="BA49" s="25"/>
      <c r="BB49" s="13"/>
      <c r="BG49" s="116"/>
      <c r="BH49" s="123"/>
      <c r="BI49" s="123"/>
      <c r="BJ49" s="123"/>
      <c r="BO49" s="115"/>
      <c r="BP49" s="115"/>
      <c r="BQ49" s="115"/>
      <c r="BR49" s="115"/>
      <c r="BS49" s="115"/>
      <c r="BT49" s="115"/>
      <c r="BU49" s="115"/>
      <c r="BV49" s="115"/>
      <c r="BW49" s="115"/>
      <c r="BX49" s="115"/>
      <c r="BY49" s="25"/>
      <c r="BZ49" s="13"/>
      <c r="CC49" s="114"/>
    </row>
    <row r="50" spans="1:81" ht="20.100000000000001" customHeight="1" x14ac:dyDescent="0.4">
      <c r="A50" s="117"/>
      <c r="B50" s="123"/>
      <c r="C50" s="123"/>
      <c r="D50" s="123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25">
        <v>46123</v>
      </c>
      <c r="AA50" s="15" t="s">
        <v>147</v>
      </c>
      <c r="AP50" s="127"/>
      <c r="AQ50" s="29"/>
      <c r="BA50" s="25"/>
      <c r="BB50" s="13"/>
      <c r="BG50" s="116"/>
      <c r="BH50" s="123"/>
      <c r="BI50" s="123"/>
      <c r="BJ50" s="123"/>
      <c r="BO50" s="115"/>
      <c r="BP50" s="115"/>
      <c r="BQ50" s="115"/>
      <c r="BR50" s="115"/>
      <c r="BS50" s="115"/>
      <c r="BT50" s="115"/>
      <c r="BU50" s="115"/>
      <c r="BV50" s="115"/>
      <c r="BW50" s="115"/>
      <c r="BX50" s="115"/>
      <c r="BY50" s="25"/>
      <c r="BZ50" s="13"/>
      <c r="CC50" s="114"/>
    </row>
    <row r="51" spans="1:81" ht="20.100000000000001" customHeight="1" x14ac:dyDescent="0.4">
      <c r="A51" s="117"/>
      <c r="B51" s="123"/>
      <c r="C51" s="123"/>
      <c r="D51" s="123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25">
        <v>46123</v>
      </c>
      <c r="AA51" s="15" t="s">
        <v>147</v>
      </c>
      <c r="AP51" s="127"/>
      <c r="AQ51" s="29"/>
      <c r="BA51" s="25"/>
      <c r="BB51" s="13"/>
      <c r="BG51" s="116"/>
      <c r="BH51" s="123"/>
      <c r="BI51" s="123"/>
      <c r="BJ51" s="123"/>
      <c r="BO51" s="115"/>
      <c r="BP51" s="115"/>
      <c r="BQ51" s="115"/>
      <c r="BR51" s="115"/>
      <c r="BS51" s="115"/>
      <c r="BT51" s="115"/>
      <c r="BU51" s="115"/>
      <c r="BV51" s="115"/>
      <c r="BW51" s="115"/>
      <c r="BX51" s="115"/>
      <c r="BY51" s="25"/>
      <c r="BZ51" s="13"/>
      <c r="CC51" s="114"/>
    </row>
    <row r="52" spans="1:81" ht="20.100000000000001" customHeight="1" x14ac:dyDescent="0.4">
      <c r="A52" s="117"/>
      <c r="B52" s="123"/>
      <c r="C52" s="123"/>
      <c r="D52" s="123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26">
        <v>46123</v>
      </c>
      <c r="AA52" s="15" t="s">
        <v>146</v>
      </c>
      <c r="AP52" s="127"/>
      <c r="AQ52" s="29"/>
      <c r="BA52" s="25"/>
      <c r="BB52" s="13"/>
      <c r="BG52" s="116"/>
      <c r="BH52" s="123"/>
      <c r="BI52" s="123"/>
      <c r="BJ52" s="123"/>
      <c r="BO52" s="115"/>
      <c r="BP52" s="115"/>
      <c r="BQ52" s="115"/>
      <c r="BR52" s="115"/>
      <c r="BS52" s="115"/>
      <c r="BT52" s="115"/>
      <c r="BU52" s="115"/>
      <c r="BV52" s="115"/>
      <c r="BW52" s="115"/>
      <c r="BX52" s="115"/>
      <c r="BY52" s="25"/>
      <c r="BZ52" s="13"/>
      <c r="CC52" s="114"/>
    </row>
    <row r="53" spans="1:81" ht="20.100000000000001" customHeight="1" x14ac:dyDescent="0.4">
      <c r="A53" s="117"/>
      <c r="B53" s="123"/>
      <c r="C53" s="123"/>
      <c r="D53" s="123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26">
        <v>46123</v>
      </c>
      <c r="AA53" s="15" t="s">
        <v>147</v>
      </c>
      <c r="AP53" s="127"/>
      <c r="AQ53" s="29"/>
      <c r="BA53" s="25"/>
      <c r="BB53" s="13"/>
      <c r="BG53" s="116"/>
      <c r="BH53" s="123"/>
      <c r="BI53" s="123"/>
      <c r="BJ53" s="123"/>
      <c r="BO53" s="115"/>
      <c r="BP53" s="115"/>
      <c r="BQ53" s="115"/>
      <c r="BR53" s="115"/>
      <c r="BS53" s="115"/>
      <c r="BT53" s="115"/>
      <c r="BU53" s="115"/>
      <c r="BV53" s="115"/>
      <c r="BW53" s="115"/>
      <c r="BX53" s="115"/>
      <c r="BY53" s="25"/>
      <c r="BZ53" s="13"/>
      <c r="CC53" s="114"/>
    </row>
    <row r="54" spans="1:81" ht="20.100000000000001" customHeight="1" x14ac:dyDescent="0.4">
      <c r="A54" s="117"/>
      <c r="B54" s="123"/>
      <c r="C54" s="123"/>
      <c r="D54" s="123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26">
        <v>46123</v>
      </c>
      <c r="AA54" s="15" t="s">
        <v>147</v>
      </c>
      <c r="AP54" s="127"/>
      <c r="AQ54" s="29"/>
      <c r="BA54" s="25"/>
      <c r="BB54" s="13"/>
      <c r="BG54" s="116"/>
      <c r="BH54" s="123"/>
      <c r="BI54" s="123"/>
      <c r="BJ54" s="123"/>
      <c r="BO54" s="115"/>
      <c r="BP54" s="115"/>
      <c r="BQ54" s="115"/>
      <c r="BR54" s="115"/>
      <c r="BS54" s="115"/>
      <c r="BT54" s="115"/>
      <c r="BU54" s="115"/>
      <c r="BV54" s="115"/>
      <c r="BW54" s="115"/>
      <c r="BX54" s="115"/>
      <c r="BY54" s="25"/>
      <c r="BZ54" s="13"/>
      <c r="CC54" s="114"/>
    </row>
    <row r="55" spans="1:81" ht="20.100000000000001" customHeight="1" x14ac:dyDescent="0.4">
      <c r="A55" s="117"/>
      <c r="B55" s="123"/>
      <c r="C55" s="123"/>
      <c r="D55" s="123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 t="s">
        <v>195</v>
      </c>
      <c r="Z55" s="20">
        <f>SUBTOTAL(3,Z45:Z54)</f>
        <v>10</v>
      </c>
      <c r="AA55" s="13">
        <f>SUBTOTAL(3,AA45:AA54)</f>
        <v>10</v>
      </c>
      <c r="AP55" s="127"/>
      <c r="AQ55" s="29"/>
      <c r="BA55" s="25"/>
      <c r="BB55" s="13"/>
      <c r="BG55" s="116"/>
      <c r="BH55" s="123"/>
      <c r="BI55" s="123"/>
      <c r="BJ55" s="123"/>
      <c r="BO55" s="115"/>
      <c r="BP55" s="115"/>
      <c r="BQ55" s="115"/>
      <c r="BR55" s="115"/>
      <c r="BS55" s="115"/>
      <c r="BT55" s="115"/>
      <c r="BU55" s="115"/>
      <c r="BV55" s="115"/>
      <c r="BW55" s="115"/>
      <c r="BX55" s="115"/>
      <c r="BY55" s="25"/>
      <c r="BZ55" s="13"/>
      <c r="CC55" s="114"/>
    </row>
    <row r="56" spans="1:81" ht="20.100000000000001" customHeight="1" x14ac:dyDescent="0.4">
      <c r="A56" s="117"/>
      <c r="B56" s="123"/>
      <c r="C56" s="123"/>
      <c r="D56" s="123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25">
        <v>46124</v>
      </c>
      <c r="AA56" s="13" t="s">
        <v>148</v>
      </c>
      <c r="AP56" s="127"/>
      <c r="AQ56" s="29"/>
      <c r="BA56" s="25"/>
      <c r="BB56" s="13"/>
      <c r="BG56" s="116"/>
      <c r="BH56" s="123"/>
      <c r="BI56" s="123"/>
      <c r="BJ56" s="123"/>
      <c r="BO56" s="115"/>
      <c r="BP56" s="115"/>
      <c r="BQ56" s="115"/>
      <c r="BR56" s="115"/>
      <c r="BS56" s="115"/>
      <c r="BT56" s="115"/>
      <c r="BU56" s="115"/>
      <c r="BV56" s="115"/>
      <c r="BW56" s="115"/>
      <c r="BX56" s="115"/>
      <c r="BY56" s="25"/>
      <c r="BZ56" s="13"/>
      <c r="CC56" s="114"/>
    </row>
    <row r="57" spans="1:81" ht="20.100000000000001" customHeight="1" x14ac:dyDescent="0.4">
      <c r="A57" s="117"/>
      <c r="B57" s="123"/>
      <c r="C57" s="123"/>
      <c r="D57" s="123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25">
        <v>46124</v>
      </c>
      <c r="AA57" s="13" t="s">
        <v>148</v>
      </c>
      <c r="AP57" s="127"/>
      <c r="AQ57" s="29"/>
      <c r="BA57" s="25"/>
      <c r="BB57" s="13"/>
      <c r="BG57" s="116"/>
      <c r="BH57" s="123"/>
      <c r="BI57" s="123"/>
      <c r="BJ57" s="123"/>
      <c r="BO57" s="115"/>
      <c r="BP57" s="115"/>
      <c r="BQ57" s="115"/>
      <c r="BR57" s="115"/>
      <c r="BS57" s="115"/>
      <c r="BT57" s="115"/>
      <c r="BU57" s="115"/>
      <c r="BV57" s="115"/>
      <c r="BW57" s="115"/>
      <c r="BX57" s="115"/>
      <c r="BY57" s="25"/>
      <c r="BZ57" s="13"/>
      <c r="CC57" s="114"/>
    </row>
    <row r="58" spans="1:81" ht="20.100000000000001" customHeight="1" x14ac:dyDescent="0.4">
      <c r="A58" s="117"/>
      <c r="B58" s="123"/>
      <c r="C58" s="123"/>
      <c r="D58" s="123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25">
        <v>46124</v>
      </c>
      <c r="AA58" s="13" t="s">
        <v>146</v>
      </c>
      <c r="AP58" s="127"/>
      <c r="AQ58" s="29"/>
      <c r="BA58" s="25"/>
      <c r="BB58" s="13"/>
      <c r="BG58" s="116"/>
      <c r="BH58" s="123"/>
      <c r="BI58" s="123"/>
      <c r="BJ58" s="123"/>
      <c r="BO58" s="115"/>
      <c r="BP58" s="115"/>
      <c r="BQ58" s="115"/>
      <c r="BR58" s="115"/>
      <c r="BS58" s="115"/>
      <c r="BT58" s="115"/>
      <c r="BU58" s="115"/>
      <c r="BV58" s="115"/>
      <c r="BW58" s="115"/>
      <c r="BX58" s="115"/>
      <c r="BY58" s="25"/>
      <c r="BZ58" s="13"/>
      <c r="CC58" s="114"/>
    </row>
    <row r="59" spans="1:81" ht="20.100000000000001" customHeight="1" x14ac:dyDescent="0.4">
      <c r="A59" s="117"/>
      <c r="B59" s="123"/>
      <c r="C59" s="123"/>
      <c r="D59" s="123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25">
        <v>46124</v>
      </c>
      <c r="AA59" s="13" t="s">
        <v>146</v>
      </c>
      <c r="AP59" s="127"/>
      <c r="AQ59" s="29"/>
      <c r="BA59" s="25"/>
      <c r="BB59" s="13"/>
      <c r="BG59" s="116"/>
      <c r="BH59" s="123"/>
      <c r="BI59" s="123"/>
      <c r="BJ59" s="123"/>
      <c r="BO59" s="115"/>
      <c r="BP59" s="115"/>
      <c r="BQ59" s="115"/>
      <c r="BR59" s="115"/>
      <c r="BS59" s="115"/>
      <c r="BT59" s="115"/>
      <c r="BU59" s="115"/>
      <c r="BV59" s="115"/>
      <c r="BW59" s="115"/>
      <c r="BX59" s="115"/>
      <c r="BY59" s="25"/>
      <c r="BZ59" s="13"/>
      <c r="CC59" s="114"/>
    </row>
    <row r="60" spans="1:81" ht="20.100000000000001" customHeight="1" x14ac:dyDescent="0.4">
      <c r="A60" s="117"/>
      <c r="B60" s="123"/>
      <c r="C60" s="123"/>
      <c r="D60" s="123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25">
        <v>46124</v>
      </c>
      <c r="AA60" s="13" t="s">
        <v>146</v>
      </c>
      <c r="AP60" s="127"/>
      <c r="AQ60" s="29"/>
      <c r="BA60" s="25"/>
      <c r="BB60" s="13"/>
      <c r="BG60" s="116"/>
      <c r="BH60" s="123"/>
      <c r="BI60" s="123"/>
      <c r="BJ60" s="123"/>
      <c r="BO60" s="115"/>
      <c r="BP60" s="115"/>
      <c r="BQ60" s="115"/>
      <c r="BR60" s="115"/>
      <c r="BS60" s="115"/>
      <c r="BT60" s="115"/>
      <c r="BU60" s="115"/>
      <c r="BV60" s="115"/>
      <c r="BW60" s="115"/>
      <c r="BX60" s="115"/>
      <c r="BY60" s="25"/>
      <c r="BZ60" s="13"/>
      <c r="CC60" s="114"/>
    </row>
    <row r="61" spans="1:81" ht="20.100000000000001" customHeight="1" x14ac:dyDescent="0.4">
      <c r="A61" s="117"/>
      <c r="B61" s="123"/>
      <c r="C61" s="123"/>
      <c r="D61" s="123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25">
        <v>46124</v>
      </c>
      <c r="AA61" s="13" t="s">
        <v>146</v>
      </c>
      <c r="AP61" s="127"/>
      <c r="AQ61" s="29"/>
      <c r="BA61" s="25"/>
      <c r="BB61" s="13"/>
      <c r="BG61" s="116"/>
      <c r="BH61" s="123"/>
      <c r="BI61" s="123"/>
      <c r="BJ61" s="123"/>
      <c r="BO61" s="115"/>
      <c r="BP61" s="115"/>
      <c r="BQ61" s="115"/>
      <c r="BR61" s="115"/>
      <c r="BS61" s="115"/>
      <c r="BT61" s="115"/>
      <c r="BU61" s="115"/>
      <c r="BV61" s="115"/>
      <c r="BW61" s="115"/>
      <c r="BX61" s="115"/>
      <c r="BY61" s="25"/>
      <c r="BZ61" s="13"/>
      <c r="CC61" s="114"/>
    </row>
    <row r="62" spans="1:81" ht="20.100000000000001" customHeight="1" x14ac:dyDescent="0.4">
      <c r="A62" s="117"/>
      <c r="B62" s="123"/>
      <c r="C62" s="123"/>
      <c r="D62" s="123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25">
        <v>46124</v>
      </c>
      <c r="AA62" s="13" t="s">
        <v>146</v>
      </c>
      <c r="AP62" s="127"/>
      <c r="AQ62" s="29"/>
      <c r="BA62" s="25"/>
      <c r="BB62" s="13"/>
      <c r="BG62" s="116"/>
      <c r="BH62" s="123"/>
      <c r="BI62" s="123"/>
      <c r="BJ62" s="123"/>
      <c r="BO62" s="115"/>
      <c r="BP62" s="115"/>
      <c r="BQ62" s="115"/>
      <c r="BR62" s="115"/>
      <c r="BS62" s="115"/>
      <c r="BT62" s="115"/>
      <c r="BU62" s="115"/>
      <c r="BV62" s="115"/>
      <c r="BW62" s="115"/>
      <c r="BX62" s="115"/>
      <c r="BY62" s="25"/>
      <c r="BZ62" s="13"/>
      <c r="CC62" s="114"/>
    </row>
    <row r="63" spans="1:81" ht="20.100000000000001" customHeight="1" x14ac:dyDescent="0.4">
      <c r="A63" s="117"/>
      <c r="B63" s="123"/>
      <c r="C63" s="123"/>
      <c r="D63" s="123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25">
        <v>46124</v>
      </c>
      <c r="AA63" s="13" t="s">
        <v>148</v>
      </c>
      <c r="AP63" s="127"/>
      <c r="AQ63" s="29"/>
      <c r="BA63" s="25"/>
      <c r="BB63" s="13"/>
      <c r="BG63" s="116"/>
      <c r="BH63" s="123"/>
      <c r="BI63" s="123"/>
      <c r="BJ63" s="123"/>
      <c r="BO63" s="115"/>
      <c r="BP63" s="115"/>
      <c r="BQ63" s="115"/>
      <c r="BR63" s="115"/>
      <c r="BS63" s="115"/>
      <c r="BT63" s="115"/>
      <c r="BU63" s="115"/>
      <c r="BV63" s="115"/>
      <c r="BW63" s="115"/>
      <c r="BX63" s="115"/>
      <c r="BY63" s="25"/>
      <c r="BZ63" s="13"/>
      <c r="CC63" s="114"/>
    </row>
    <row r="64" spans="1:81" ht="20.100000000000001" customHeight="1" x14ac:dyDescent="0.4">
      <c r="A64" s="117"/>
      <c r="B64" s="123"/>
      <c r="C64" s="123"/>
      <c r="D64" s="123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25">
        <v>46124</v>
      </c>
      <c r="AA64" s="13" t="s">
        <v>148</v>
      </c>
      <c r="AP64" s="127"/>
      <c r="AQ64" s="29"/>
      <c r="BA64" s="25"/>
      <c r="BB64" s="13"/>
      <c r="BG64" s="116"/>
      <c r="BH64" s="123"/>
      <c r="BI64" s="123"/>
      <c r="BJ64" s="123"/>
      <c r="BO64" s="115"/>
      <c r="BP64" s="115"/>
      <c r="BQ64" s="115"/>
      <c r="BR64" s="115"/>
      <c r="BS64" s="115"/>
      <c r="BT64" s="115"/>
      <c r="BU64" s="115"/>
      <c r="BV64" s="115"/>
      <c r="BW64" s="115"/>
      <c r="BX64" s="115"/>
      <c r="BY64" s="25"/>
      <c r="BZ64" s="13"/>
      <c r="CC64" s="114"/>
    </row>
    <row r="65" spans="1:81" ht="20.100000000000001" customHeight="1" x14ac:dyDescent="0.4">
      <c r="A65" s="117"/>
      <c r="B65" s="123"/>
      <c r="C65" s="123"/>
      <c r="D65" s="123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25">
        <v>46124</v>
      </c>
      <c r="AA65" s="13" t="s">
        <v>147</v>
      </c>
      <c r="AP65" s="127"/>
      <c r="AQ65" s="29"/>
      <c r="BA65" s="25"/>
      <c r="BB65" s="13"/>
      <c r="BG65" s="116"/>
      <c r="BH65" s="123"/>
      <c r="BI65" s="123"/>
      <c r="BJ65" s="123"/>
      <c r="BO65" s="115"/>
      <c r="BP65" s="115"/>
      <c r="BQ65" s="115"/>
      <c r="BR65" s="115"/>
      <c r="BS65" s="115"/>
      <c r="BT65" s="115"/>
      <c r="BU65" s="115"/>
      <c r="BV65" s="115"/>
      <c r="BW65" s="115"/>
      <c r="BX65" s="115"/>
      <c r="BY65" s="25"/>
      <c r="BZ65" s="13"/>
      <c r="CC65" s="114"/>
    </row>
    <row r="66" spans="1:81" ht="20.100000000000001" customHeight="1" x14ac:dyDescent="0.4">
      <c r="A66" s="117"/>
      <c r="B66" s="123"/>
      <c r="C66" s="123"/>
      <c r="D66" s="123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25">
        <v>46124</v>
      </c>
      <c r="AA66" s="13" t="s">
        <v>147</v>
      </c>
      <c r="AP66" s="127"/>
      <c r="AQ66" s="29"/>
      <c r="BA66" s="25"/>
      <c r="BB66" s="13"/>
      <c r="BG66" s="116"/>
      <c r="BH66" s="123"/>
      <c r="BI66" s="123"/>
      <c r="BJ66" s="123"/>
      <c r="BO66" s="115"/>
      <c r="BP66" s="115"/>
      <c r="BQ66" s="115"/>
      <c r="BR66" s="115"/>
      <c r="BS66" s="115"/>
      <c r="BT66" s="115"/>
      <c r="BU66" s="115"/>
      <c r="BV66" s="115"/>
      <c r="BW66" s="115"/>
      <c r="BX66" s="115"/>
      <c r="BY66" s="25"/>
      <c r="BZ66" s="13"/>
      <c r="CC66" s="114"/>
    </row>
    <row r="67" spans="1:81" ht="20.100000000000001" customHeight="1" x14ac:dyDescent="0.4">
      <c r="A67" s="117"/>
      <c r="B67" s="123"/>
      <c r="C67" s="123"/>
      <c r="D67" s="123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25">
        <v>46124</v>
      </c>
      <c r="AA67" s="13" t="s">
        <v>147</v>
      </c>
      <c r="AP67" s="127"/>
      <c r="AQ67" s="29"/>
      <c r="BA67" s="25"/>
      <c r="BB67" s="13"/>
      <c r="BG67" s="116"/>
      <c r="BH67" s="123"/>
      <c r="BI67" s="123"/>
      <c r="BJ67" s="123"/>
      <c r="BO67" s="115"/>
      <c r="BP67" s="115"/>
      <c r="BQ67" s="115"/>
      <c r="BR67" s="115"/>
      <c r="BS67" s="115"/>
      <c r="BT67" s="115"/>
      <c r="BU67" s="115"/>
      <c r="BV67" s="115"/>
      <c r="BW67" s="115"/>
      <c r="BX67" s="115"/>
      <c r="BY67" s="25"/>
      <c r="BZ67" s="13"/>
      <c r="CC67" s="114"/>
    </row>
    <row r="68" spans="1:81" ht="20.100000000000001" customHeight="1" x14ac:dyDescent="0.4">
      <c r="A68" s="117"/>
      <c r="B68" s="123"/>
      <c r="C68" s="123"/>
      <c r="D68" s="123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25">
        <v>46124</v>
      </c>
      <c r="AA68" s="13" t="s">
        <v>146</v>
      </c>
      <c r="AP68" s="127"/>
      <c r="AQ68" s="29"/>
      <c r="BA68" s="25"/>
      <c r="BB68" s="13"/>
      <c r="BG68" s="116"/>
      <c r="BH68" s="123"/>
      <c r="BI68" s="123"/>
      <c r="BJ68" s="123"/>
      <c r="BO68" s="115"/>
      <c r="BP68" s="115"/>
      <c r="BQ68" s="115"/>
      <c r="BR68" s="115"/>
      <c r="BS68" s="115"/>
      <c r="BT68" s="115"/>
      <c r="BU68" s="115"/>
      <c r="BV68" s="115"/>
      <c r="BW68" s="115"/>
      <c r="BX68" s="115"/>
      <c r="BY68" s="25"/>
      <c r="BZ68" s="13"/>
      <c r="CC68" s="114"/>
    </row>
    <row r="69" spans="1:81" ht="20.100000000000001" customHeight="1" x14ac:dyDescent="0.4">
      <c r="A69" s="117"/>
      <c r="B69" s="123"/>
      <c r="C69" s="123"/>
      <c r="D69" s="123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25">
        <v>46124</v>
      </c>
      <c r="AA69" s="13" t="s">
        <v>146</v>
      </c>
      <c r="AP69" s="127"/>
      <c r="AQ69" s="29"/>
      <c r="BA69" s="25"/>
      <c r="BB69" s="13"/>
      <c r="BG69" s="116"/>
      <c r="BH69" s="123"/>
      <c r="BI69" s="123"/>
      <c r="BJ69" s="123"/>
      <c r="BO69" s="115"/>
      <c r="BP69" s="115"/>
      <c r="BQ69" s="115"/>
      <c r="BR69" s="115"/>
      <c r="BS69" s="115"/>
      <c r="BT69" s="115"/>
      <c r="BU69" s="115"/>
      <c r="BV69" s="115"/>
      <c r="BW69" s="115"/>
      <c r="BX69" s="115"/>
      <c r="BY69" s="25"/>
      <c r="BZ69" s="13"/>
      <c r="CC69" s="114"/>
    </row>
    <row r="70" spans="1:81" ht="20.100000000000001" customHeight="1" x14ac:dyDescent="0.4">
      <c r="A70" s="117"/>
      <c r="B70" s="123"/>
      <c r="C70" s="123"/>
      <c r="D70" s="123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25">
        <v>46124</v>
      </c>
      <c r="AA70" s="13" t="s">
        <v>146</v>
      </c>
      <c r="AP70" s="127"/>
      <c r="AQ70" s="29"/>
      <c r="BA70" s="25"/>
      <c r="BB70" s="13"/>
      <c r="BG70" s="116"/>
      <c r="BH70" s="123"/>
      <c r="BI70" s="123"/>
      <c r="BJ70" s="123"/>
      <c r="BO70" s="115"/>
      <c r="BP70" s="115"/>
      <c r="BQ70" s="115"/>
      <c r="BR70" s="115"/>
      <c r="BS70" s="115"/>
      <c r="BT70" s="115"/>
      <c r="BU70" s="115"/>
      <c r="BV70" s="115"/>
      <c r="BW70" s="115"/>
      <c r="BX70" s="115"/>
      <c r="BY70" s="25"/>
      <c r="BZ70" s="13"/>
      <c r="CC70" s="114"/>
    </row>
    <row r="71" spans="1:81" ht="20.100000000000001" customHeight="1" x14ac:dyDescent="0.4">
      <c r="A71" s="117"/>
      <c r="B71" s="123"/>
      <c r="C71" s="123"/>
      <c r="D71" s="123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 t="s">
        <v>390</v>
      </c>
      <c r="Z71" s="13">
        <f>SUBTOTAL(3,Z56:Z70)</f>
        <v>15</v>
      </c>
      <c r="AA71" s="13">
        <f>SUBTOTAL(3,AA56:AA70)</f>
        <v>15</v>
      </c>
      <c r="AP71" s="127"/>
      <c r="AQ71" s="29"/>
      <c r="BA71" s="25"/>
      <c r="BB71" s="13"/>
      <c r="BG71" s="116"/>
      <c r="BH71" s="123"/>
      <c r="BI71" s="123"/>
      <c r="BJ71" s="123"/>
      <c r="BO71" s="115"/>
      <c r="BP71" s="115"/>
      <c r="BQ71" s="115"/>
      <c r="BR71" s="115"/>
      <c r="BS71" s="115"/>
      <c r="BT71" s="115"/>
      <c r="BU71" s="115"/>
      <c r="BV71" s="115"/>
      <c r="BW71" s="115"/>
      <c r="BX71" s="115"/>
      <c r="BY71" s="25"/>
      <c r="BZ71" s="13"/>
      <c r="CC71" s="114"/>
    </row>
    <row r="72" spans="1:81" ht="20.100000000000001" customHeight="1" x14ac:dyDescent="0.4">
      <c r="A72" s="117"/>
      <c r="B72" s="123"/>
      <c r="C72" s="123"/>
      <c r="D72" s="123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25">
        <v>46125</v>
      </c>
      <c r="AA72" s="13" t="s">
        <v>146</v>
      </c>
      <c r="AP72" s="127"/>
      <c r="AQ72" s="29"/>
      <c r="BA72" s="25"/>
      <c r="BB72" s="13"/>
      <c r="BG72" s="116"/>
      <c r="BH72" s="123"/>
      <c r="BI72" s="123"/>
      <c r="BJ72" s="123"/>
      <c r="BO72" s="115"/>
      <c r="BP72" s="115"/>
      <c r="BQ72" s="115"/>
      <c r="BR72" s="115"/>
      <c r="BS72" s="115"/>
      <c r="BT72" s="115"/>
      <c r="BU72" s="115"/>
      <c r="BV72" s="115"/>
      <c r="BW72" s="115"/>
      <c r="BX72" s="115"/>
      <c r="BY72" s="25"/>
      <c r="BZ72" s="13"/>
      <c r="CC72" s="114"/>
    </row>
    <row r="73" spans="1:81" ht="20.100000000000001" customHeight="1" x14ac:dyDescent="0.4">
      <c r="A73" s="117"/>
      <c r="B73" s="123"/>
      <c r="C73" s="123"/>
      <c r="D73" s="123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25">
        <v>46125</v>
      </c>
      <c r="AA73" s="13" t="s">
        <v>146</v>
      </c>
      <c r="AP73" s="127"/>
      <c r="AQ73" s="29"/>
      <c r="BA73" s="25"/>
      <c r="BB73" s="13"/>
      <c r="BG73" s="116"/>
      <c r="BH73" s="123"/>
      <c r="BI73" s="123"/>
      <c r="BJ73" s="123"/>
      <c r="BO73" s="115"/>
      <c r="BP73" s="115"/>
      <c r="BQ73" s="115"/>
      <c r="BR73" s="115"/>
      <c r="BS73" s="115"/>
      <c r="BT73" s="115"/>
      <c r="BU73" s="115"/>
      <c r="BV73" s="115"/>
      <c r="BW73" s="115"/>
      <c r="BX73" s="115"/>
      <c r="BY73" s="25"/>
      <c r="BZ73" s="13"/>
      <c r="CC73" s="114"/>
    </row>
    <row r="74" spans="1:81" ht="20.100000000000001" customHeight="1" x14ac:dyDescent="0.4">
      <c r="A74" s="117"/>
      <c r="B74" s="123"/>
      <c r="C74" s="123"/>
      <c r="D74" s="123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25">
        <v>46125</v>
      </c>
      <c r="AA74" s="13" t="s">
        <v>146</v>
      </c>
      <c r="AP74" s="127"/>
      <c r="AQ74" s="29"/>
      <c r="BA74" s="25"/>
      <c r="BB74" s="13"/>
      <c r="BG74" s="116"/>
      <c r="BH74" s="123"/>
      <c r="BI74" s="123"/>
      <c r="BJ74" s="123"/>
      <c r="BO74" s="115"/>
      <c r="BP74" s="115"/>
      <c r="BQ74" s="115"/>
      <c r="BR74" s="115"/>
      <c r="BS74" s="115"/>
      <c r="BT74" s="115"/>
      <c r="BU74" s="115"/>
      <c r="BV74" s="115"/>
      <c r="BW74" s="115"/>
      <c r="BX74" s="115"/>
      <c r="BY74" s="25"/>
      <c r="BZ74" s="13"/>
      <c r="CC74" s="114"/>
    </row>
    <row r="75" spans="1:81" ht="20.100000000000001" customHeight="1" x14ac:dyDescent="0.4">
      <c r="A75" s="117"/>
      <c r="B75" s="123"/>
      <c r="C75" s="123"/>
      <c r="D75" s="123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25">
        <v>46125</v>
      </c>
      <c r="AA75" s="13" t="s">
        <v>146</v>
      </c>
      <c r="AP75" s="127"/>
      <c r="AQ75" s="29"/>
      <c r="BA75" s="25"/>
      <c r="BB75" s="13"/>
      <c r="BG75" s="116"/>
      <c r="BH75" s="123"/>
      <c r="BI75" s="123"/>
      <c r="BJ75" s="123"/>
      <c r="BO75" s="115"/>
      <c r="BP75" s="115"/>
      <c r="BQ75" s="115"/>
      <c r="BR75" s="115"/>
      <c r="BS75" s="115"/>
      <c r="BT75" s="115"/>
      <c r="BU75" s="115"/>
      <c r="BV75" s="115"/>
      <c r="BW75" s="115"/>
      <c r="BX75" s="115"/>
      <c r="BY75" s="25"/>
      <c r="BZ75" s="13"/>
      <c r="CC75" s="114"/>
    </row>
    <row r="76" spans="1:81" ht="20.100000000000001" customHeight="1" x14ac:dyDescent="0.4">
      <c r="A76" s="117"/>
      <c r="B76" s="123"/>
      <c r="C76" s="123"/>
      <c r="D76" s="123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25">
        <v>46125</v>
      </c>
      <c r="AA76" s="13" t="s">
        <v>146</v>
      </c>
      <c r="AP76" s="127"/>
      <c r="AQ76" s="29"/>
      <c r="BA76" s="25"/>
      <c r="BB76" s="13"/>
      <c r="BG76" s="116"/>
      <c r="BH76" s="123"/>
      <c r="BI76" s="123"/>
      <c r="BJ76" s="123"/>
      <c r="BO76" s="115"/>
      <c r="BP76" s="115"/>
      <c r="BQ76" s="115"/>
      <c r="BR76" s="115"/>
      <c r="BS76" s="115"/>
      <c r="BT76" s="115"/>
      <c r="BU76" s="115"/>
      <c r="BV76" s="115"/>
      <c r="BW76" s="115"/>
      <c r="BX76" s="115"/>
      <c r="BY76" s="25"/>
      <c r="BZ76" s="13"/>
      <c r="CC76" s="114"/>
    </row>
    <row r="77" spans="1:81" ht="20.100000000000001" customHeight="1" x14ac:dyDescent="0.4">
      <c r="A77" s="117"/>
      <c r="B77" s="123"/>
      <c r="C77" s="123"/>
      <c r="D77" s="123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25">
        <v>46125</v>
      </c>
      <c r="AA77" s="133" t="s">
        <v>146</v>
      </c>
      <c r="AP77" s="127"/>
      <c r="AQ77" s="29"/>
      <c r="BA77" s="25"/>
      <c r="BB77" s="13"/>
      <c r="BG77" s="116"/>
      <c r="BH77" s="123"/>
      <c r="BI77" s="123"/>
      <c r="BJ77" s="123"/>
      <c r="BO77" s="115"/>
      <c r="BP77" s="115"/>
      <c r="BQ77" s="115"/>
      <c r="BR77" s="115"/>
      <c r="BS77" s="115"/>
      <c r="BT77" s="115"/>
      <c r="BU77" s="115"/>
      <c r="BV77" s="115"/>
      <c r="BW77" s="115"/>
      <c r="BX77" s="115"/>
      <c r="BY77" s="25"/>
      <c r="BZ77" s="13"/>
      <c r="CC77" s="114"/>
    </row>
    <row r="78" spans="1:81" ht="20.100000000000001" customHeight="1" x14ac:dyDescent="0.4">
      <c r="A78" s="117"/>
      <c r="B78" s="123"/>
      <c r="C78" s="123"/>
      <c r="D78" s="123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25">
        <v>46125</v>
      </c>
      <c r="AA78" s="13" t="s">
        <v>146</v>
      </c>
      <c r="AP78" s="127"/>
      <c r="AQ78" s="29"/>
      <c r="BA78" s="25"/>
      <c r="BB78" s="13"/>
      <c r="BG78" s="116"/>
      <c r="BH78" s="123"/>
      <c r="BI78" s="123"/>
      <c r="BJ78" s="123"/>
      <c r="BO78" s="115"/>
      <c r="BP78" s="115"/>
      <c r="BQ78" s="115"/>
      <c r="BR78" s="115"/>
      <c r="BS78" s="115"/>
      <c r="BT78" s="115"/>
      <c r="BU78" s="115"/>
      <c r="BV78" s="115"/>
      <c r="BW78" s="115"/>
      <c r="BX78" s="115"/>
      <c r="BY78" s="25"/>
      <c r="BZ78" s="13"/>
      <c r="CC78" s="114"/>
    </row>
    <row r="79" spans="1:81" ht="20.100000000000001" customHeight="1" x14ac:dyDescent="0.4">
      <c r="A79" s="117"/>
      <c r="B79" s="123"/>
      <c r="C79" s="123"/>
      <c r="D79" s="123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25">
        <v>46125</v>
      </c>
      <c r="AA79" s="13" t="s">
        <v>146</v>
      </c>
      <c r="AP79" s="127"/>
      <c r="AQ79" s="29"/>
      <c r="BA79" s="25"/>
      <c r="BB79" s="13"/>
      <c r="BG79" s="116"/>
      <c r="BH79" s="123"/>
      <c r="BI79" s="123"/>
      <c r="BJ79" s="123"/>
      <c r="BO79" s="115"/>
      <c r="BP79" s="115"/>
      <c r="BQ79" s="115"/>
      <c r="BR79" s="115"/>
      <c r="BS79" s="115"/>
      <c r="BT79" s="115"/>
      <c r="BU79" s="115"/>
      <c r="BV79" s="115"/>
      <c r="BW79" s="115"/>
      <c r="BX79" s="115"/>
      <c r="BY79" s="25"/>
      <c r="BZ79" s="13"/>
      <c r="CC79" s="114"/>
    </row>
    <row r="80" spans="1:81" ht="20.100000000000001" customHeight="1" x14ac:dyDescent="0.4">
      <c r="A80" s="117"/>
      <c r="B80" s="123"/>
      <c r="C80" s="123"/>
      <c r="D80" s="123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25">
        <v>46125</v>
      </c>
      <c r="AA80" s="13" t="s">
        <v>146</v>
      </c>
      <c r="AP80" s="127"/>
      <c r="AQ80" s="29"/>
      <c r="BA80" s="25"/>
      <c r="BB80" s="13"/>
      <c r="BG80" s="116"/>
      <c r="BH80" s="123"/>
      <c r="BI80" s="123"/>
      <c r="BJ80" s="123"/>
      <c r="BO80" s="115"/>
      <c r="BP80" s="115"/>
      <c r="BQ80" s="115"/>
      <c r="BR80" s="115"/>
      <c r="BS80" s="115"/>
      <c r="BT80" s="115"/>
      <c r="BU80" s="115"/>
      <c r="BV80" s="115"/>
      <c r="BW80" s="115"/>
      <c r="BX80" s="115"/>
      <c r="BY80" s="25"/>
      <c r="BZ80" s="13"/>
      <c r="CC80" s="114"/>
    </row>
    <row r="81" spans="1:81" ht="20.100000000000001" customHeight="1" x14ac:dyDescent="0.4">
      <c r="A81" s="117"/>
      <c r="B81" s="123"/>
      <c r="C81" s="123"/>
      <c r="D81" s="123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25">
        <v>46125</v>
      </c>
      <c r="AA81" s="13" t="s">
        <v>146</v>
      </c>
      <c r="AP81" s="127"/>
      <c r="AQ81" s="29"/>
      <c r="BA81" s="25"/>
      <c r="BB81" s="13"/>
      <c r="BG81" s="116"/>
      <c r="BH81" s="123"/>
      <c r="BI81" s="123"/>
      <c r="BJ81" s="123"/>
      <c r="BO81" s="115"/>
      <c r="BP81" s="115"/>
      <c r="BQ81" s="115"/>
      <c r="BR81" s="115"/>
      <c r="BS81" s="115"/>
      <c r="BT81" s="115"/>
      <c r="BU81" s="115"/>
      <c r="BV81" s="115"/>
      <c r="BW81" s="115"/>
      <c r="BX81" s="115"/>
      <c r="BY81" s="25"/>
      <c r="BZ81" s="13"/>
      <c r="CC81" s="114"/>
    </row>
    <row r="82" spans="1:81" ht="20.100000000000001" customHeight="1" x14ac:dyDescent="0.4">
      <c r="A82" s="117"/>
      <c r="B82" s="123"/>
      <c r="C82" s="123"/>
      <c r="D82" s="123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25">
        <v>46125</v>
      </c>
      <c r="AA82" s="13" t="s">
        <v>146</v>
      </c>
      <c r="AP82" s="127"/>
      <c r="AQ82" s="29"/>
      <c r="BA82" s="25"/>
      <c r="BB82" s="13"/>
      <c r="BG82" s="116"/>
      <c r="BH82" s="123"/>
      <c r="BI82" s="123"/>
      <c r="BJ82" s="123"/>
      <c r="BO82" s="115"/>
      <c r="BP82" s="115"/>
      <c r="BQ82" s="115"/>
      <c r="BR82" s="115"/>
      <c r="BS82" s="115"/>
      <c r="BT82" s="115"/>
      <c r="BU82" s="115"/>
      <c r="BV82" s="115"/>
      <c r="BW82" s="115"/>
      <c r="BX82" s="115"/>
      <c r="BY82" s="25"/>
      <c r="BZ82" s="13"/>
      <c r="CC82" s="114"/>
    </row>
    <row r="83" spans="1:81" ht="20.100000000000001" customHeight="1" x14ac:dyDescent="0.4">
      <c r="A83" s="117"/>
      <c r="B83" s="123"/>
      <c r="C83" s="123"/>
      <c r="D83" s="123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25">
        <v>46125</v>
      </c>
      <c r="AA83" s="15" t="s">
        <v>146</v>
      </c>
      <c r="AP83" s="127"/>
      <c r="AQ83" s="29"/>
      <c r="BA83" s="25"/>
      <c r="BB83" s="13"/>
      <c r="BG83" s="116"/>
      <c r="BH83" s="123"/>
      <c r="BI83" s="123"/>
      <c r="BJ83" s="123"/>
      <c r="BO83" s="115"/>
      <c r="BP83" s="115"/>
      <c r="BQ83" s="115"/>
      <c r="BR83" s="115"/>
      <c r="BS83" s="115"/>
      <c r="BT83" s="115"/>
      <c r="BU83" s="115"/>
      <c r="BV83" s="115"/>
      <c r="BW83" s="115"/>
      <c r="BX83" s="115"/>
      <c r="BY83" s="25"/>
      <c r="BZ83" s="13"/>
      <c r="CC83" s="114"/>
    </row>
    <row r="84" spans="1:81" ht="20.100000000000001" customHeight="1" x14ac:dyDescent="0.4">
      <c r="A84" s="117"/>
      <c r="B84" s="123"/>
      <c r="C84" s="123"/>
      <c r="D84" s="123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25">
        <v>46125</v>
      </c>
      <c r="AA84" s="15" t="s">
        <v>146</v>
      </c>
      <c r="AP84" s="127"/>
      <c r="AQ84" s="29"/>
      <c r="BA84" s="25"/>
      <c r="BB84" s="13"/>
      <c r="BG84" s="116"/>
      <c r="BH84" s="123"/>
      <c r="BI84" s="123"/>
      <c r="BJ84" s="123"/>
      <c r="BO84" s="115"/>
      <c r="BP84" s="115"/>
      <c r="BQ84" s="115"/>
      <c r="BR84" s="115"/>
      <c r="BS84" s="115"/>
      <c r="BT84" s="115"/>
      <c r="BU84" s="115"/>
      <c r="BV84" s="115"/>
      <c r="BW84" s="115"/>
      <c r="BX84" s="115"/>
      <c r="BY84" s="25"/>
      <c r="BZ84" s="13"/>
      <c r="CC84" s="114"/>
    </row>
    <row r="85" spans="1:81" ht="20.100000000000001" customHeight="1" x14ac:dyDescent="0.4">
      <c r="A85" s="117"/>
      <c r="B85" s="123"/>
      <c r="C85" s="123"/>
      <c r="D85" s="123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25">
        <v>46125</v>
      </c>
      <c r="AA85" s="15" t="s">
        <v>146</v>
      </c>
      <c r="AP85" s="127"/>
      <c r="AQ85" s="29"/>
      <c r="BA85" s="25"/>
      <c r="BB85" s="13"/>
      <c r="BG85" s="116"/>
      <c r="BH85" s="123"/>
      <c r="BI85" s="123"/>
      <c r="BJ85" s="123"/>
      <c r="BO85" s="115"/>
      <c r="BP85" s="115"/>
      <c r="BQ85" s="115"/>
      <c r="BR85" s="115"/>
      <c r="BS85" s="115"/>
      <c r="BT85" s="115"/>
      <c r="BU85" s="115"/>
      <c r="BV85" s="115"/>
      <c r="BW85" s="115"/>
      <c r="BX85" s="115"/>
      <c r="BY85" s="25"/>
      <c r="BZ85" s="13"/>
      <c r="CC85" s="114"/>
    </row>
    <row r="86" spans="1:81" ht="20.100000000000001" customHeight="1" x14ac:dyDescent="0.4">
      <c r="A86" s="117"/>
      <c r="B86" s="123"/>
      <c r="C86" s="123"/>
      <c r="D86" s="123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25">
        <v>46125</v>
      </c>
      <c r="AA86" s="13" t="s">
        <v>146</v>
      </c>
      <c r="AP86" s="127"/>
      <c r="AQ86" s="29"/>
      <c r="BA86" s="25"/>
      <c r="BB86" s="13"/>
      <c r="BG86" s="116"/>
      <c r="BH86" s="123"/>
      <c r="BI86" s="123"/>
      <c r="BJ86" s="123"/>
      <c r="BO86" s="115"/>
      <c r="BP86" s="115"/>
      <c r="BQ86" s="115"/>
      <c r="BR86" s="115"/>
      <c r="BS86" s="115"/>
      <c r="BT86" s="115"/>
      <c r="BU86" s="115"/>
      <c r="BV86" s="115"/>
      <c r="BW86" s="115"/>
      <c r="BX86" s="115"/>
      <c r="BY86" s="25"/>
      <c r="BZ86" s="13"/>
      <c r="CC86" s="114"/>
    </row>
    <row r="87" spans="1:81" ht="20.100000000000001" customHeight="1" x14ac:dyDescent="0.4">
      <c r="A87" s="117"/>
      <c r="B87" s="123"/>
      <c r="C87" s="123"/>
      <c r="D87" s="123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26">
        <v>46125</v>
      </c>
      <c r="AA87" s="13" t="s">
        <v>146</v>
      </c>
      <c r="AP87" s="127"/>
      <c r="AQ87" s="29"/>
      <c r="BA87" s="25"/>
      <c r="BB87" s="13"/>
      <c r="BG87" s="116"/>
      <c r="BH87" s="123"/>
      <c r="BI87" s="123"/>
      <c r="BJ87" s="123"/>
      <c r="BO87" s="115"/>
      <c r="BP87" s="115"/>
      <c r="BQ87" s="115"/>
      <c r="BR87" s="115"/>
      <c r="BS87" s="115"/>
      <c r="BT87" s="115"/>
      <c r="BU87" s="115"/>
      <c r="BV87" s="115"/>
      <c r="BW87" s="115"/>
      <c r="BX87" s="115"/>
      <c r="BY87" s="25"/>
      <c r="BZ87" s="13"/>
      <c r="CC87" s="114"/>
    </row>
    <row r="88" spans="1:81" ht="20.100000000000001" customHeight="1" x14ac:dyDescent="0.4">
      <c r="A88" s="117"/>
      <c r="B88" s="123"/>
      <c r="C88" s="123"/>
      <c r="D88" s="123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26">
        <v>46125</v>
      </c>
      <c r="AA88" s="13" t="s">
        <v>146</v>
      </c>
      <c r="AP88" s="127"/>
      <c r="AQ88" s="29"/>
      <c r="BA88" s="25"/>
      <c r="BB88" s="13"/>
      <c r="BG88" s="116"/>
      <c r="BH88" s="123"/>
      <c r="BI88" s="123"/>
      <c r="BJ88" s="123"/>
      <c r="BO88" s="115"/>
      <c r="BP88" s="115"/>
      <c r="BQ88" s="115"/>
      <c r="BR88" s="115"/>
      <c r="BS88" s="115"/>
      <c r="BT88" s="115"/>
      <c r="BU88" s="115"/>
      <c r="BV88" s="115"/>
      <c r="BW88" s="115"/>
      <c r="BX88" s="115"/>
      <c r="BY88" s="25"/>
      <c r="BZ88" s="13"/>
      <c r="CC88" s="114"/>
    </row>
    <row r="89" spans="1:81" ht="20.100000000000001" customHeight="1" x14ac:dyDescent="0.4">
      <c r="A89" s="117"/>
      <c r="B89" s="123"/>
      <c r="C89" s="123"/>
      <c r="D89" s="123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26">
        <v>46125</v>
      </c>
      <c r="AA89" s="13" t="s">
        <v>146</v>
      </c>
      <c r="AP89" s="127"/>
      <c r="AQ89" s="29"/>
      <c r="BA89" s="25"/>
      <c r="BB89" s="13"/>
      <c r="BG89" s="116"/>
      <c r="BH89" s="123"/>
      <c r="BI89" s="123"/>
      <c r="BJ89" s="123"/>
      <c r="BO89" s="115"/>
      <c r="BP89" s="115"/>
      <c r="BQ89" s="115"/>
      <c r="BR89" s="115"/>
      <c r="BS89" s="115"/>
      <c r="BT89" s="115"/>
      <c r="BU89" s="115"/>
      <c r="BV89" s="115"/>
      <c r="BW89" s="115"/>
      <c r="BX89" s="115"/>
      <c r="BY89" s="25"/>
      <c r="BZ89" s="13"/>
      <c r="CC89" s="114"/>
    </row>
    <row r="90" spans="1:81" ht="20.100000000000001" customHeight="1" x14ac:dyDescent="0.4">
      <c r="A90" s="117"/>
      <c r="B90" s="123"/>
      <c r="C90" s="123"/>
      <c r="D90" s="123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26">
        <v>46125</v>
      </c>
      <c r="AA90" s="13" t="s">
        <v>146</v>
      </c>
      <c r="AP90" s="127"/>
      <c r="AQ90" s="29"/>
      <c r="BA90" s="25"/>
      <c r="BB90" s="13"/>
      <c r="BG90" s="116"/>
      <c r="BH90" s="123"/>
      <c r="BI90" s="123"/>
      <c r="BJ90" s="123"/>
      <c r="BO90" s="115"/>
      <c r="BP90" s="115"/>
      <c r="BQ90" s="115"/>
      <c r="BR90" s="115"/>
      <c r="BS90" s="115"/>
      <c r="BT90" s="115"/>
      <c r="BU90" s="115"/>
      <c r="BV90" s="115"/>
      <c r="BW90" s="115"/>
      <c r="BX90" s="115"/>
      <c r="BY90" s="25"/>
      <c r="BZ90" s="13"/>
      <c r="CC90" s="114"/>
    </row>
    <row r="91" spans="1:81" ht="20.100000000000001" customHeight="1" x14ac:dyDescent="0.4">
      <c r="A91" s="117"/>
      <c r="B91" s="123"/>
      <c r="C91" s="123"/>
      <c r="D91" s="123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26">
        <v>46125</v>
      </c>
      <c r="AA91" s="13" t="s">
        <v>146</v>
      </c>
      <c r="AP91" s="127"/>
      <c r="AQ91" s="29"/>
      <c r="BA91" s="25"/>
      <c r="BB91" s="13"/>
      <c r="BG91" s="116"/>
      <c r="BH91" s="123"/>
      <c r="BI91" s="123"/>
      <c r="BJ91" s="123"/>
      <c r="BO91" s="115"/>
      <c r="BP91" s="115"/>
      <c r="BQ91" s="115"/>
      <c r="BR91" s="115"/>
      <c r="BS91" s="115"/>
      <c r="BT91" s="115"/>
      <c r="BU91" s="115"/>
      <c r="BV91" s="115"/>
      <c r="BW91" s="115"/>
      <c r="BX91" s="115"/>
      <c r="BY91" s="25"/>
      <c r="BZ91" s="13"/>
      <c r="CC91" s="114"/>
    </row>
    <row r="92" spans="1:81" ht="20.100000000000001" customHeight="1" x14ac:dyDescent="0.4">
      <c r="A92" s="117"/>
      <c r="B92" s="123"/>
      <c r="C92" s="123"/>
      <c r="D92" s="123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26">
        <v>46125</v>
      </c>
      <c r="AA92" s="13" t="s">
        <v>146</v>
      </c>
      <c r="AP92" s="127"/>
      <c r="AQ92" s="29"/>
      <c r="BA92" s="25"/>
      <c r="BB92" s="13"/>
      <c r="BG92" s="116"/>
      <c r="BH92" s="123"/>
      <c r="BI92" s="123"/>
      <c r="BJ92" s="123"/>
      <c r="BO92" s="115"/>
      <c r="BP92" s="115"/>
      <c r="BQ92" s="115"/>
      <c r="BR92" s="115"/>
      <c r="BS92" s="115"/>
      <c r="BT92" s="115"/>
      <c r="BU92" s="115"/>
      <c r="BV92" s="115"/>
      <c r="BW92" s="115"/>
      <c r="BX92" s="115"/>
      <c r="BY92" s="25"/>
      <c r="BZ92" s="13"/>
      <c r="CC92" s="114"/>
    </row>
    <row r="93" spans="1:81" ht="20.100000000000001" customHeight="1" x14ac:dyDescent="0.4">
      <c r="A93" s="117"/>
      <c r="B93" s="123"/>
      <c r="C93" s="123"/>
      <c r="D93" s="123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26">
        <v>46125</v>
      </c>
      <c r="AA93" s="13" t="s">
        <v>146</v>
      </c>
      <c r="AP93" s="127"/>
      <c r="AQ93" s="29"/>
      <c r="BA93" s="25"/>
      <c r="BB93" s="13"/>
      <c r="BG93" s="116"/>
      <c r="BH93" s="123"/>
      <c r="BI93" s="123"/>
      <c r="BJ93" s="123"/>
      <c r="BO93" s="115"/>
      <c r="BP93" s="115"/>
      <c r="BQ93" s="115"/>
      <c r="BR93" s="115"/>
      <c r="BS93" s="115"/>
      <c r="BT93" s="115"/>
      <c r="BU93" s="115"/>
      <c r="BV93" s="115"/>
      <c r="BW93" s="115"/>
      <c r="BX93" s="115"/>
      <c r="BY93" s="25"/>
      <c r="BZ93" s="13"/>
      <c r="CC93" s="114"/>
    </row>
    <row r="94" spans="1:81" ht="20.100000000000001" customHeight="1" x14ac:dyDescent="0.4">
      <c r="A94" s="117"/>
      <c r="B94" s="123"/>
      <c r="C94" s="123"/>
      <c r="D94" s="123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26">
        <v>46125</v>
      </c>
      <c r="AA94" s="13" t="s">
        <v>146</v>
      </c>
      <c r="AP94" s="127"/>
      <c r="AQ94" s="29"/>
      <c r="BA94" s="25"/>
      <c r="BB94" s="13"/>
      <c r="BG94" s="116"/>
      <c r="BH94" s="123"/>
      <c r="BI94" s="123"/>
      <c r="BJ94" s="123"/>
      <c r="BO94" s="115"/>
      <c r="BP94" s="115"/>
      <c r="BQ94" s="115"/>
      <c r="BR94" s="115"/>
      <c r="BS94" s="115"/>
      <c r="BT94" s="115"/>
      <c r="BU94" s="115"/>
      <c r="BV94" s="115"/>
      <c r="BW94" s="115"/>
      <c r="BX94" s="115"/>
      <c r="BY94" s="25"/>
      <c r="BZ94" s="13"/>
      <c r="CC94" s="114"/>
    </row>
    <row r="95" spans="1:81" ht="20.100000000000001" customHeight="1" x14ac:dyDescent="0.4">
      <c r="A95" s="117"/>
      <c r="B95" s="123"/>
      <c r="C95" s="123"/>
      <c r="D95" s="123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26">
        <v>46125</v>
      </c>
      <c r="AA95" s="13" t="s">
        <v>146</v>
      </c>
      <c r="AP95" s="127"/>
      <c r="AQ95" s="29"/>
      <c r="BA95" s="25"/>
      <c r="BB95" s="13"/>
      <c r="BG95" s="116"/>
      <c r="BH95" s="123"/>
      <c r="BI95" s="123"/>
      <c r="BJ95" s="123"/>
      <c r="BO95" s="115"/>
      <c r="BP95" s="115"/>
      <c r="BQ95" s="115"/>
      <c r="BR95" s="115"/>
      <c r="BS95" s="115"/>
      <c r="BT95" s="115"/>
      <c r="BU95" s="115"/>
      <c r="BV95" s="115"/>
      <c r="BW95" s="115"/>
      <c r="BX95" s="115"/>
      <c r="BY95" s="25"/>
      <c r="BZ95" s="13"/>
      <c r="CC95" s="114"/>
    </row>
    <row r="96" spans="1:81" ht="20.100000000000001" customHeight="1" x14ac:dyDescent="0.4">
      <c r="A96" s="117"/>
      <c r="B96" s="123"/>
      <c r="C96" s="123"/>
      <c r="D96" s="123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26">
        <v>46125</v>
      </c>
      <c r="AA96" s="13" t="s">
        <v>146</v>
      </c>
      <c r="AP96" s="127"/>
      <c r="AQ96" s="29"/>
      <c r="BA96" s="25"/>
      <c r="BB96" s="13"/>
      <c r="BG96" s="116"/>
      <c r="BH96" s="123"/>
      <c r="BI96" s="123"/>
      <c r="BJ96" s="123"/>
      <c r="BO96" s="115"/>
      <c r="BP96" s="115"/>
      <c r="BQ96" s="115"/>
      <c r="BR96" s="115"/>
      <c r="BS96" s="115"/>
      <c r="BT96" s="115"/>
      <c r="BU96" s="115"/>
      <c r="BV96" s="115"/>
      <c r="BW96" s="115"/>
      <c r="BX96" s="115"/>
      <c r="BY96" s="25"/>
      <c r="BZ96" s="13"/>
      <c r="CC96" s="114"/>
    </row>
    <row r="97" spans="1:81" ht="20.100000000000001" customHeight="1" x14ac:dyDescent="0.4">
      <c r="A97" s="117"/>
      <c r="B97" s="123"/>
      <c r="C97" s="123"/>
      <c r="D97" s="123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26">
        <v>46125</v>
      </c>
      <c r="AA97" s="13" t="s">
        <v>146</v>
      </c>
      <c r="AP97" s="127"/>
      <c r="AQ97" s="29"/>
      <c r="BA97" s="25"/>
      <c r="BB97" s="13"/>
      <c r="BG97" s="116"/>
      <c r="BH97" s="123"/>
      <c r="BI97" s="123"/>
      <c r="BJ97" s="123"/>
      <c r="BO97" s="115"/>
      <c r="BP97" s="115"/>
      <c r="BQ97" s="115"/>
      <c r="BR97" s="115"/>
      <c r="BS97" s="115"/>
      <c r="BT97" s="115"/>
      <c r="BU97" s="115"/>
      <c r="BV97" s="115"/>
      <c r="BW97" s="115"/>
      <c r="BX97" s="115"/>
      <c r="BY97" s="25"/>
      <c r="BZ97" s="13"/>
      <c r="CC97" s="114"/>
    </row>
    <row r="98" spans="1:81" ht="20.100000000000001" customHeight="1" x14ac:dyDescent="0.4">
      <c r="A98" s="117"/>
      <c r="B98" s="123"/>
      <c r="C98" s="123"/>
      <c r="D98" s="123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26">
        <v>46125</v>
      </c>
      <c r="AA98" s="13" t="s">
        <v>146</v>
      </c>
      <c r="AP98" s="127"/>
      <c r="AQ98" s="29"/>
      <c r="BA98" s="25"/>
      <c r="BB98" s="13"/>
      <c r="BG98" s="116"/>
      <c r="BH98" s="123"/>
      <c r="BI98" s="123"/>
      <c r="BJ98" s="123"/>
      <c r="BO98" s="115"/>
      <c r="BP98" s="115"/>
      <c r="BQ98" s="115"/>
      <c r="BR98" s="115"/>
      <c r="BS98" s="115"/>
      <c r="BT98" s="115"/>
      <c r="BU98" s="115"/>
      <c r="BV98" s="115"/>
      <c r="BW98" s="115"/>
      <c r="BX98" s="115"/>
      <c r="BY98" s="25"/>
      <c r="BZ98" s="13"/>
      <c r="CC98" s="114"/>
    </row>
    <row r="99" spans="1:81" ht="20.100000000000001" customHeight="1" x14ac:dyDescent="0.4">
      <c r="A99" s="117"/>
      <c r="B99" s="123"/>
      <c r="C99" s="123"/>
      <c r="D99" s="123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26">
        <v>46125</v>
      </c>
      <c r="AA99" s="13" t="s">
        <v>146</v>
      </c>
      <c r="AP99" s="127"/>
      <c r="AQ99" s="29"/>
      <c r="BA99" s="25"/>
      <c r="BB99" s="13"/>
      <c r="BG99" s="116"/>
      <c r="BH99" s="123"/>
      <c r="BI99" s="123"/>
      <c r="BJ99" s="123"/>
      <c r="BO99" s="115"/>
      <c r="BP99" s="115"/>
      <c r="BQ99" s="115"/>
      <c r="BR99" s="115"/>
      <c r="BS99" s="115"/>
      <c r="BT99" s="115"/>
      <c r="BU99" s="115"/>
      <c r="BV99" s="115"/>
      <c r="BW99" s="115"/>
      <c r="BX99" s="115"/>
      <c r="BY99" s="25"/>
      <c r="BZ99" s="13"/>
      <c r="CC99" s="114"/>
    </row>
    <row r="100" spans="1:81" ht="20.100000000000001" customHeight="1" x14ac:dyDescent="0.4">
      <c r="A100" s="117"/>
      <c r="B100" s="123"/>
      <c r="C100" s="123"/>
      <c r="D100" s="123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26">
        <v>46125</v>
      </c>
      <c r="AA100" s="13" t="s">
        <v>146</v>
      </c>
      <c r="AP100" s="127"/>
      <c r="AQ100" s="29"/>
      <c r="BA100" s="25"/>
      <c r="BB100" s="13"/>
      <c r="BG100" s="116"/>
      <c r="BH100" s="123"/>
      <c r="BI100" s="123"/>
      <c r="BJ100" s="123"/>
      <c r="BO100" s="115"/>
      <c r="BP100" s="115"/>
      <c r="BQ100" s="115"/>
      <c r="BR100" s="115"/>
      <c r="BS100" s="115"/>
      <c r="BT100" s="115"/>
      <c r="BU100" s="115"/>
      <c r="BV100" s="115"/>
      <c r="BW100" s="115"/>
      <c r="BX100" s="115"/>
      <c r="BY100" s="25"/>
      <c r="BZ100" s="13"/>
      <c r="CC100" s="114"/>
    </row>
    <row r="101" spans="1:81" ht="20.100000000000001" customHeight="1" x14ac:dyDescent="0.4">
      <c r="A101" s="117"/>
      <c r="B101" s="123"/>
      <c r="C101" s="123"/>
      <c r="D101" s="123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26">
        <v>46125</v>
      </c>
      <c r="AA101" s="13" t="s">
        <v>146</v>
      </c>
      <c r="AP101" s="127"/>
      <c r="AQ101" s="29"/>
      <c r="BA101" s="25"/>
      <c r="BB101" s="13"/>
      <c r="BG101" s="116"/>
      <c r="BH101" s="123"/>
      <c r="BI101" s="123"/>
      <c r="BJ101" s="123"/>
      <c r="BO101" s="115"/>
      <c r="BP101" s="115"/>
      <c r="BQ101" s="115"/>
      <c r="BR101" s="115"/>
      <c r="BS101" s="115"/>
      <c r="BT101" s="115"/>
      <c r="BU101" s="115"/>
      <c r="BV101" s="115"/>
      <c r="BW101" s="115"/>
      <c r="BX101" s="115"/>
      <c r="BY101" s="25"/>
      <c r="BZ101" s="13"/>
      <c r="CC101" s="114"/>
    </row>
    <row r="102" spans="1:81" ht="20.100000000000001" customHeight="1" x14ac:dyDescent="0.4">
      <c r="A102" s="117"/>
      <c r="B102" s="123"/>
      <c r="C102" s="123"/>
      <c r="D102" s="123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25">
        <v>46125</v>
      </c>
      <c r="AA102" s="15" t="s">
        <v>146</v>
      </c>
      <c r="AP102" s="127"/>
      <c r="AQ102" s="29"/>
      <c r="BA102" s="25"/>
      <c r="BB102" s="13"/>
      <c r="BG102" s="116"/>
      <c r="BH102" s="123"/>
      <c r="BI102" s="123"/>
      <c r="BJ102" s="123"/>
      <c r="BO102" s="115"/>
      <c r="BP102" s="115"/>
      <c r="BQ102" s="115"/>
      <c r="BR102" s="115"/>
      <c r="BS102" s="115"/>
      <c r="BT102" s="115"/>
      <c r="BU102" s="115"/>
      <c r="BV102" s="115"/>
      <c r="BW102" s="115"/>
      <c r="BX102" s="115"/>
      <c r="BY102" s="25"/>
      <c r="BZ102" s="13"/>
      <c r="CC102" s="114"/>
    </row>
    <row r="103" spans="1:81" ht="20.100000000000001" customHeight="1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25">
        <v>46125</v>
      </c>
      <c r="AA103" s="15" t="s">
        <v>146</v>
      </c>
      <c r="AP103" s="127"/>
      <c r="AQ103" s="29"/>
      <c r="BA103" s="25"/>
      <c r="BB103" s="13"/>
      <c r="BG103" s="116"/>
      <c r="BH103" s="123"/>
      <c r="BI103" s="123"/>
      <c r="BJ103" s="123"/>
      <c r="BO103" s="115"/>
      <c r="BP103" s="115"/>
      <c r="BQ103" s="115"/>
      <c r="BR103" s="115"/>
      <c r="BS103" s="115"/>
      <c r="BT103" s="115"/>
      <c r="BU103" s="115"/>
      <c r="BV103" s="115"/>
      <c r="BW103" s="115"/>
      <c r="BX103" s="115"/>
      <c r="BY103" s="25"/>
      <c r="BZ103" s="13"/>
      <c r="CC103" s="114"/>
    </row>
    <row r="104" spans="1:81" ht="20.100000000000001" customHeight="1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25">
        <v>46125</v>
      </c>
      <c r="AA104" s="15" t="s">
        <v>146</v>
      </c>
      <c r="AP104" s="127"/>
      <c r="AQ104" s="29"/>
      <c r="BA104" s="25"/>
      <c r="BB104" s="13"/>
      <c r="BG104" s="116"/>
      <c r="BH104" s="123"/>
      <c r="BI104" s="123"/>
      <c r="BJ104" s="123"/>
      <c r="BO104" s="115"/>
      <c r="BP104" s="115"/>
      <c r="BQ104" s="115"/>
      <c r="BR104" s="115"/>
      <c r="BS104" s="115"/>
      <c r="BT104" s="115"/>
      <c r="BU104" s="115"/>
      <c r="BV104" s="115"/>
      <c r="BW104" s="115"/>
      <c r="BX104" s="115"/>
      <c r="BY104" s="25"/>
      <c r="BZ104" s="13"/>
      <c r="CC104" s="114"/>
    </row>
    <row r="105" spans="1:81" ht="20.100000000000001" customHeight="1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25">
        <v>46125</v>
      </c>
      <c r="AA105" s="15" t="s">
        <v>147</v>
      </c>
      <c r="AP105" s="127"/>
      <c r="AQ105" s="29"/>
      <c r="BA105" s="25"/>
      <c r="BB105" s="13"/>
      <c r="BG105" s="116"/>
      <c r="BH105" s="123"/>
      <c r="BI105" s="123"/>
      <c r="BJ105" s="123"/>
      <c r="BO105" s="115"/>
      <c r="BP105" s="115"/>
      <c r="BQ105" s="115"/>
      <c r="BR105" s="115"/>
      <c r="BS105" s="115"/>
      <c r="BT105" s="115"/>
      <c r="BU105" s="115"/>
      <c r="BV105" s="115"/>
      <c r="BW105" s="115"/>
      <c r="BX105" s="115"/>
      <c r="BY105" s="25"/>
      <c r="BZ105" s="13"/>
      <c r="CC105" s="114"/>
    </row>
    <row r="106" spans="1:81" ht="20.100000000000001" customHeight="1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25">
        <v>46125</v>
      </c>
      <c r="AA106" s="15" t="s">
        <v>147</v>
      </c>
      <c r="AP106" s="127"/>
      <c r="AQ106" s="29"/>
      <c r="BA106" s="25"/>
      <c r="BB106" s="13"/>
      <c r="BG106" s="116"/>
      <c r="BH106" s="123"/>
      <c r="BI106" s="123"/>
      <c r="BJ106" s="123"/>
      <c r="BO106" s="115"/>
      <c r="BP106" s="115"/>
      <c r="BQ106" s="115"/>
      <c r="BR106" s="115"/>
      <c r="BS106" s="115"/>
      <c r="BT106" s="115"/>
      <c r="BU106" s="115"/>
      <c r="BV106" s="115"/>
      <c r="BW106" s="115"/>
      <c r="BX106" s="115"/>
      <c r="BY106" s="25"/>
      <c r="BZ106" s="13"/>
      <c r="CC106" s="114"/>
    </row>
    <row r="107" spans="1:81" ht="20.100000000000001" customHeight="1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 t="s">
        <v>206</v>
      </c>
      <c r="Z107" s="13">
        <f>SUBTOTAL(3,Z72:Z106)</f>
        <v>35</v>
      </c>
      <c r="AA107" s="15">
        <f>SUBTOTAL(3,AA72:AA106)</f>
        <v>35</v>
      </c>
      <c r="AP107" s="127"/>
      <c r="AQ107" s="29"/>
      <c r="BA107" s="25"/>
      <c r="BB107" s="13"/>
      <c r="BG107" s="116"/>
      <c r="BH107" s="123"/>
      <c r="BI107" s="123"/>
      <c r="BJ107" s="123"/>
      <c r="BO107" s="115"/>
      <c r="BP107" s="115"/>
      <c r="BQ107" s="115"/>
      <c r="BR107" s="115"/>
      <c r="BS107" s="115"/>
      <c r="BT107" s="115"/>
      <c r="BU107" s="115"/>
      <c r="BV107" s="115"/>
      <c r="BW107" s="115"/>
      <c r="BX107" s="115"/>
      <c r="BY107" s="25"/>
      <c r="BZ107" s="13"/>
      <c r="CC107" s="114"/>
    </row>
    <row r="108" spans="1:81" ht="20.100000000000001" customHeight="1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25">
        <v>46126</v>
      </c>
      <c r="AA108" s="15" t="s">
        <v>146</v>
      </c>
      <c r="AP108" s="127"/>
      <c r="AQ108" s="29"/>
      <c r="BA108" s="25"/>
      <c r="BB108" s="13"/>
      <c r="BG108" s="116"/>
      <c r="BH108" s="123"/>
      <c r="BI108" s="123"/>
      <c r="BJ108" s="123"/>
      <c r="BO108" s="115"/>
      <c r="BP108" s="115"/>
      <c r="BQ108" s="115"/>
      <c r="BR108" s="115"/>
      <c r="BS108" s="115"/>
      <c r="BT108" s="115"/>
      <c r="BU108" s="115"/>
      <c r="BV108" s="115"/>
      <c r="BW108" s="115"/>
      <c r="BX108" s="115"/>
      <c r="BY108" s="25"/>
      <c r="BZ108" s="13"/>
      <c r="CC108" s="114"/>
    </row>
    <row r="109" spans="1:81" ht="20.100000000000001" customHeight="1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25">
        <v>46126</v>
      </c>
      <c r="AA109" s="15" t="s">
        <v>146</v>
      </c>
      <c r="AP109" s="127"/>
      <c r="AQ109" s="29"/>
      <c r="BA109" s="25"/>
      <c r="BB109" s="13"/>
      <c r="BG109" s="116"/>
      <c r="BH109" s="123"/>
      <c r="BI109" s="123"/>
      <c r="BJ109" s="123"/>
      <c r="BO109" s="115"/>
      <c r="BP109" s="115"/>
      <c r="BQ109" s="115"/>
      <c r="BR109" s="115"/>
      <c r="BS109" s="115"/>
      <c r="BT109" s="115"/>
      <c r="BU109" s="115"/>
      <c r="BV109" s="115"/>
      <c r="BW109" s="115"/>
      <c r="BX109" s="115"/>
      <c r="BY109" s="25"/>
      <c r="BZ109" s="13"/>
      <c r="CC109" s="114"/>
    </row>
    <row r="110" spans="1:81" ht="20.100000000000001" customHeight="1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25">
        <v>46126</v>
      </c>
      <c r="AA110" s="15" t="s">
        <v>146</v>
      </c>
      <c r="AP110" s="127"/>
      <c r="AQ110" s="29"/>
      <c r="BA110" s="25"/>
      <c r="BB110" s="13"/>
      <c r="BG110" s="116"/>
      <c r="BH110" s="123"/>
      <c r="BI110" s="123"/>
      <c r="BJ110" s="123"/>
      <c r="BO110" s="115"/>
      <c r="BP110" s="115"/>
      <c r="BQ110" s="115"/>
      <c r="BR110" s="115"/>
      <c r="BS110" s="115"/>
      <c r="BT110" s="115"/>
      <c r="BU110" s="115"/>
      <c r="BV110" s="115"/>
      <c r="BW110" s="115"/>
      <c r="BX110" s="115"/>
      <c r="BY110" s="25"/>
      <c r="BZ110" s="13"/>
      <c r="CC110" s="114"/>
    </row>
    <row r="111" spans="1:81" ht="20.100000000000001" customHeight="1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25">
        <v>46126</v>
      </c>
      <c r="AA111" s="15" t="s">
        <v>146</v>
      </c>
      <c r="AP111" s="127"/>
      <c r="AQ111" s="29"/>
      <c r="BA111" s="25"/>
      <c r="BB111" s="13"/>
      <c r="BG111" s="116"/>
      <c r="BH111" s="123"/>
      <c r="BI111" s="123"/>
      <c r="BJ111" s="123"/>
      <c r="BO111" s="115"/>
      <c r="BP111" s="115"/>
      <c r="BQ111" s="115"/>
      <c r="BR111" s="115"/>
      <c r="BS111" s="115"/>
      <c r="BT111" s="115"/>
      <c r="BU111" s="115"/>
      <c r="BV111" s="115"/>
      <c r="BW111" s="115"/>
      <c r="BX111" s="115"/>
      <c r="BY111" s="25"/>
      <c r="BZ111" s="13"/>
      <c r="CC111" s="114"/>
    </row>
    <row r="112" spans="1:81" ht="20.100000000000001" customHeight="1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25">
        <v>46126</v>
      </c>
      <c r="AA112" s="15" t="s">
        <v>146</v>
      </c>
      <c r="AP112" s="127"/>
      <c r="AQ112" s="29"/>
      <c r="BA112" s="25"/>
      <c r="BB112" s="13"/>
      <c r="BG112" s="116"/>
      <c r="BH112" s="123"/>
      <c r="BI112" s="123"/>
      <c r="BJ112" s="123"/>
      <c r="BO112" s="115"/>
      <c r="BP112" s="115"/>
      <c r="BQ112" s="115"/>
      <c r="BR112" s="115"/>
      <c r="BS112" s="115"/>
      <c r="BT112" s="115"/>
      <c r="BU112" s="115"/>
      <c r="BV112" s="115"/>
      <c r="BW112" s="115"/>
      <c r="BX112" s="115"/>
      <c r="BY112" s="25"/>
      <c r="BZ112" s="13"/>
      <c r="CC112" s="114"/>
    </row>
    <row r="113" spans="1:81" ht="20.100000000000001" customHeight="1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 t="s">
        <v>391</v>
      </c>
      <c r="Z113" s="13">
        <f>SUBTOTAL(3,Z108:Z112)</f>
        <v>5</v>
      </c>
      <c r="AA113" s="15">
        <f>SUBTOTAL(3,AA108:AA112)</f>
        <v>5</v>
      </c>
      <c r="AP113" s="127"/>
      <c r="AQ113" s="29"/>
      <c r="BA113" s="25"/>
      <c r="BB113" s="13"/>
      <c r="BG113" s="116"/>
      <c r="BH113" s="123"/>
      <c r="BI113" s="123"/>
      <c r="BJ113" s="123"/>
      <c r="BO113" s="115"/>
      <c r="BP113" s="115"/>
      <c r="BQ113" s="115"/>
      <c r="BR113" s="115"/>
      <c r="BS113" s="115"/>
      <c r="BT113" s="115"/>
      <c r="BU113" s="115"/>
      <c r="BV113" s="115"/>
      <c r="BW113" s="115"/>
      <c r="BX113" s="115"/>
      <c r="BY113" s="25"/>
      <c r="BZ113" s="13"/>
      <c r="CC113" s="114"/>
    </row>
    <row r="114" spans="1:81" ht="20.100000000000001" customHeight="1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25">
        <v>46127</v>
      </c>
      <c r="AA114" s="15" t="s">
        <v>148</v>
      </c>
      <c r="AP114" s="127"/>
      <c r="AQ114" s="29"/>
      <c r="BA114" s="25"/>
      <c r="BB114" s="13"/>
      <c r="BG114" s="116"/>
      <c r="BH114" s="123"/>
      <c r="BI114" s="123"/>
      <c r="BJ114" s="123"/>
      <c r="BO114" s="115"/>
      <c r="BP114" s="115"/>
      <c r="BQ114" s="115"/>
      <c r="BR114" s="115"/>
      <c r="BS114" s="115"/>
      <c r="BT114" s="115"/>
      <c r="BU114" s="115"/>
      <c r="BV114" s="115"/>
      <c r="BW114" s="115"/>
      <c r="BX114" s="115"/>
      <c r="BY114" s="25"/>
      <c r="BZ114" s="13"/>
      <c r="CC114" s="114"/>
    </row>
    <row r="115" spans="1:81" ht="20.100000000000001" customHeight="1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25">
        <v>46127</v>
      </c>
      <c r="AA115" s="15" t="s">
        <v>147</v>
      </c>
      <c r="AP115" s="127"/>
      <c r="AQ115" s="29"/>
      <c r="BA115" s="25"/>
      <c r="BB115" s="13"/>
      <c r="BG115" s="116"/>
      <c r="BH115" s="123"/>
      <c r="BI115" s="123"/>
      <c r="BJ115" s="123"/>
      <c r="BO115" s="115"/>
      <c r="BP115" s="115"/>
      <c r="BQ115" s="115"/>
      <c r="BR115" s="115"/>
      <c r="BS115" s="115"/>
      <c r="BT115" s="115"/>
      <c r="BU115" s="115"/>
      <c r="BV115" s="115"/>
      <c r="BW115" s="115"/>
      <c r="BX115" s="115"/>
      <c r="BY115" s="25"/>
      <c r="BZ115" s="13"/>
      <c r="CC115" s="114"/>
    </row>
    <row r="116" spans="1:81" ht="20.100000000000001" customHeight="1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25">
        <v>46127</v>
      </c>
      <c r="AA116" s="15" t="s">
        <v>142</v>
      </c>
      <c r="AP116" s="127"/>
      <c r="AQ116" s="29"/>
      <c r="BA116" s="25"/>
      <c r="BB116" s="13"/>
      <c r="BG116" s="116"/>
      <c r="BH116" s="123"/>
      <c r="BI116" s="123"/>
      <c r="BJ116" s="123"/>
      <c r="BO116" s="115"/>
      <c r="BP116" s="115"/>
      <c r="BQ116" s="115"/>
      <c r="BR116" s="115"/>
      <c r="BS116" s="115"/>
      <c r="BT116" s="115"/>
      <c r="BU116" s="115"/>
      <c r="BV116" s="115"/>
      <c r="BW116" s="115"/>
      <c r="BX116" s="115"/>
      <c r="BY116" s="25"/>
      <c r="BZ116" s="13"/>
      <c r="CC116" s="114"/>
    </row>
    <row r="117" spans="1:81" ht="20.100000000000001" customHeight="1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25">
        <v>46127</v>
      </c>
      <c r="AA117" s="15" t="s">
        <v>147</v>
      </c>
      <c r="AP117" s="127"/>
      <c r="AQ117" s="29"/>
      <c r="BA117" s="25"/>
      <c r="BB117" s="13"/>
      <c r="BG117" s="116"/>
      <c r="BH117" s="123"/>
      <c r="BI117" s="123"/>
      <c r="BJ117" s="123"/>
      <c r="BO117" s="115"/>
      <c r="BP117" s="115"/>
      <c r="BQ117" s="115"/>
      <c r="BR117" s="115"/>
      <c r="BS117" s="115"/>
      <c r="BT117" s="115"/>
      <c r="BU117" s="115"/>
      <c r="BV117" s="115"/>
      <c r="BW117" s="115"/>
      <c r="BX117" s="115"/>
      <c r="BY117" s="25"/>
      <c r="BZ117" s="13"/>
      <c r="CC117" s="114"/>
    </row>
    <row r="118" spans="1:81" ht="20.100000000000001" customHeight="1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25">
        <v>46127</v>
      </c>
      <c r="AA118" s="15" t="s">
        <v>147</v>
      </c>
      <c r="AP118" s="127"/>
      <c r="AQ118" s="29"/>
      <c r="BA118" s="25"/>
      <c r="BB118" s="13"/>
      <c r="BG118" s="116"/>
      <c r="BH118" s="123"/>
      <c r="BI118" s="123"/>
      <c r="BJ118" s="123"/>
      <c r="BO118" s="115"/>
      <c r="BP118" s="115"/>
      <c r="BQ118" s="115"/>
      <c r="BR118" s="115"/>
      <c r="BS118" s="115"/>
      <c r="BT118" s="115"/>
      <c r="BU118" s="115"/>
      <c r="BV118" s="115"/>
      <c r="BW118" s="115"/>
      <c r="BX118" s="115"/>
      <c r="BY118" s="25"/>
      <c r="BZ118" s="13"/>
      <c r="CC118" s="114"/>
    </row>
    <row r="119" spans="1:81" ht="20.100000000000001" customHeight="1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25">
        <v>46127</v>
      </c>
      <c r="AA119" s="15" t="s">
        <v>147</v>
      </c>
      <c r="AP119" s="127"/>
      <c r="AQ119" s="29"/>
      <c r="BA119" s="25"/>
      <c r="BB119" s="13"/>
      <c r="BG119" s="116"/>
      <c r="BH119" s="123"/>
      <c r="BI119" s="123"/>
      <c r="BJ119" s="123"/>
      <c r="BO119" s="115"/>
      <c r="BP119" s="115"/>
      <c r="BQ119" s="115"/>
      <c r="BR119" s="115"/>
      <c r="BS119" s="115"/>
      <c r="BT119" s="115"/>
      <c r="BU119" s="115"/>
      <c r="BV119" s="115"/>
      <c r="BW119" s="115"/>
      <c r="BX119" s="115"/>
      <c r="BY119" s="25"/>
      <c r="BZ119" s="13"/>
      <c r="CC119" s="114"/>
    </row>
    <row r="120" spans="1:81" ht="20.100000000000001" customHeight="1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25">
        <v>46127</v>
      </c>
      <c r="AA120" s="15" t="s">
        <v>147</v>
      </c>
      <c r="AP120" s="127"/>
      <c r="AQ120" s="29"/>
      <c r="BA120" s="25"/>
      <c r="BB120" s="13"/>
      <c r="BG120" s="116"/>
      <c r="BH120" s="123"/>
      <c r="BI120" s="123"/>
      <c r="BJ120" s="123"/>
      <c r="BO120" s="115"/>
      <c r="BP120" s="115"/>
      <c r="BQ120" s="115"/>
      <c r="BR120" s="115"/>
      <c r="BS120" s="115"/>
      <c r="BT120" s="115"/>
      <c r="BU120" s="115"/>
      <c r="BV120" s="115"/>
      <c r="BW120" s="115"/>
      <c r="BX120" s="115"/>
      <c r="BY120" s="25"/>
      <c r="BZ120" s="13"/>
      <c r="CC120" s="114"/>
    </row>
    <row r="121" spans="1:81" ht="20.100000000000001" customHeight="1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25">
        <v>46127</v>
      </c>
      <c r="AA121" s="15" t="s">
        <v>147</v>
      </c>
      <c r="AP121" s="127"/>
      <c r="AQ121" s="29"/>
      <c r="BA121" s="25"/>
      <c r="BB121" s="13"/>
      <c r="BG121" s="116"/>
      <c r="BH121" s="123"/>
      <c r="BI121" s="123"/>
      <c r="BJ121" s="123"/>
      <c r="BO121" s="115"/>
      <c r="BP121" s="115"/>
      <c r="BQ121" s="115"/>
      <c r="BR121" s="115"/>
      <c r="BS121" s="115"/>
      <c r="BT121" s="115"/>
      <c r="BU121" s="115"/>
      <c r="BV121" s="115"/>
      <c r="BW121" s="115"/>
      <c r="BX121" s="115"/>
      <c r="BY121" s="25"/>
      <c r="BZ121" s="13"/>
      <c r="CC121" s="114"/>
    </row>
    <row r="122" spans="1:81" ht="20.100000000000001" customHeight="1" x14ac:dyDescent="0.4">
      <c r="A122" s="117"/>
      <c r="B122" s="123"/>
      <c r="C122" s="123"/>
      <c r="D122" s="123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25">
        <v>46127</v>
      </c>
      <c r="AA122" s="15" t="s">
        <v>147</v>
      </c>
      <c r="AP122" s="127"/>
      <c r="AQ122" s="29"/>
      <c r="BA122" s="25"/>
      <c r="BB122" s="13"/>
      <c r="BG122" s="116"/>
      <c r="BH122" s="123"/>
      <c r="BI122" s="123"/>
      <c r="BJ122" s="123"/>
      <c r="BO122" s="115"/>
      <c r="BP122" s="115"/>
      <c r="BQ122" s="115"/>
      <c r="BR122" s="115"/>
      <c r="BS122" s="115"/>
      <c r="BT122" s="115"/>
      <c r="BU122" s="115"/>
      <c r="BV122" s="115"/>
      <c r="BW122" s="115"/>
      <c r="BX122" s="115"/>
      <c r="BY122" s="25"/>
      <c r="BZ122" s="13"/>
      <c r="CC122" s="114"/>
    </row>
    <row r="123" spans="1:81" ht="20.100000000000001" customHeight="1" x14ac:dyDescent="0.4">
      <c r="A123" s="117"/>
      <c r="B123" s="123"/>
      <c r="C123" s="123"/>
      <c r="D123" s="123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25">
        <v>46127</v>
      </c>
      <c r="AA123" s="15" t="s">
        <v>147</v>
      </c>
      <c r="AP123" s="127"/>
      <c r="AQ123" s="29"/>
      <c r="BA123" s="25"/>
      <c r="BB123" s="13"/>
      <c r="BG123" s="116"/>
      <c r="BH123" s="123"/>
      <c r="BI123" s="123"/>
      <c r="BJ123" s="123"/>
      <c r="BO123" s="115"/>
      <c r="BP123" s="115"/>
      <c r="BQ123" s="115"/>
      <c r="BR123" s="115"/>
      <c r="BS123" s="115"/>
      <c r="BT123" s="115"/>
      <c r="BU123" s="115"/>
      <c r="BV123" s="115"/>
      <c r="BW123" s="115"/>
      <c r="BX123" s="115"/>
      <c r="BY123" s="25"/>
      <c r="BZ123" s="13"/>
      <c r="CC123" s="114"/>
    </row>
    <row r="124" spans="1:81" ht="20.100000000000001" customHeight="1" x14ac:dyDescent="0.4">
      <c r="A124" s="117"/>
      <c r="B124" s="123"/>
      <c r="C124" s="123"/>
      <c r="D124" s="123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25">
        <v>46127</v>
      </c>
      <c r="AA124" s="15" t="s">
        <v>147</v>
      </c>
      <c r="AP124" s="127"/>
      <c r="AQ124" s="29"/>
      <c r="BA124" s="25"/>
      <c r="BB124" s="13"/>
      <c r="BG124" s="116"/>
      <c r="BH124" s="123"/>
      <c r="BI124" s="123"/>
      <c r="BJ124" s="123"/>
      <c r="BO124" s="115"/>
      <c r="BP124" s="115"/>
      <c r="BQ124" s="115"/>
      <c r="BR124" s="115"/>
      <c r="BS124" s="115"/>
      <c r="BT124" s="115"/>
      <c r="BU124" s="115"/>
      <c r="BV124" s="115"/>
      <c r="BW124" s="115"/>
      <c r="BX124" s="115"/>
      <c r="BY124" s="25"/>
      <c r="BZ124" s="13"/>
      <c r="CC124" s="114"/>
    </row>
    <row r="125" spans="1:81" ht="20.100000000000001" customHeight="1" x14ac:dyDescent="0.4">
      <c r="A125" s="117"/>
      <c r="B125" s="123"/>
      <c r="C125" s="123"/>
      <c r="D125" s="123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25">
        <v>46127</v>
      </c>
      <c r="AA125" s="15" t="s">
        <v>147</v>
      </c>
      <c r="AP125" s="127"/>
      <c r="AQ125" s="29"/>
      <c r="BA125" s="25"/>
      <c r="BB125" s="13"/>
      <c r="BG125" s="116"/>
      <c r="BH125" s="123"/>
      <c r="BI125" s="123"/>
      <c r="BJ125" s="123"/>
      <c r="BO125" s="115"/>
      <c r="BP125" s="115"/>
      <c r="BQ125" s="115"/>
      <c r="BR125" s="115"/>
      <c r="BS125" s="115"/>
      <c r="BT125" s="115"/>
      <c r="BU125" s="115"/>
      <c r="BV125" s="115"/>
      <c r="BW125" s="115"/>
      <c r="BX125" s="115"/>
      <c r="BY125" s="25"/>
      <c r="BZ125" s="13"/>
      <c r="CC125" s="114"/>
    </row>
    <row r="126" spans="1:81" ht="20.100000000000001" customHeight="1" x14ac:dyDescent="0.4">
      <c r="A126" s="117"/>
      <c r="B126" s="123"/>
      <c r="C126" s="123"/>
      <c r="D126" s="123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 t="s">
        <v>392</v>
      </c>
      <c r="Z126" s="13">
        <f>SUBTOTAL(3,Z114:Z125)</f>
        <v>12</v>
      </c>
      <c r="AA126" s="15">
        <f>SUBTOTAL(3,AA114:AA125)</f>
        <v>12</v>
      </c>
      <c r="AP126" s="127"/>
      <c r="AQ126" s="29"/>
      <c r="BA126" s="25"/>
      <c r="BB126" s="13"/>
      <c r="BG126" s="116"/>
      <c r="BH126" s="123"/>
      <c r="BI126" s="123"/>
      <c r="BJ126" s="123"/>
      <c r="BO126" s="115"/>
      <c r="BP126" s="115"/>
      <c r="BQ126" s="115"/>
      <c r="BR126" s="115"/>
      <c r="BS126" s="115"/>
      <c r="BT126" s="115"/>
      <c r="BU126" s="115"/>
      <c r="BV126" s="115"/>
      <c r="BW126" s="115"/>
      <c r="BX126" s="115"/>
      <c r="BY126" s="25"/>
      <c r="BZ126" s="13"/>
      <c r="CC126" s="114"/>
    </row>
    <row r="127" spans="1:81" ht="20.100000000000001" customHeight="1" x14ac:dyDescent="0.4">
      <c r="A127" s="117"/>
      <c r="B127" s="123"/>
      <c r="C127" s="123"/>
      <c r="D127" s="123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25">
        <v>46128</v>
      </c>
      <c r="AA127" s="15" t="s">
        <v>148</v>
      </c>
      <c r="AP127" s="127"/>
      <c r="AQ127" s="29"/>
      <c r="BA127" s="25"/>
      <c r="BB127" s="13"/>
      <c r="BG127" s="116"/>
      <c r="BH127" s="123"/>
      <c r="BI127" s="123"/>
      <c r="BJ127" s="123"/>
      <c r="BO127" s="115"/>
      <c r="BP127" s="115"/>
      <c r="BQ127" s="115"/>
      <c r="BR127" s="115"/>
      <c r="BS127" s="115"/>
      <c r="BT127" s="115"/>
      <c r="BU127" s="115"/>
      <c r="BV127" s="115"/>
      <c r="BW127" s="115"/>
      <c r="BX127" s="115"/>
      <c r="BY127" s="25"/>
      <c r="BZ127" s="13"/>
      <c r="CC127" s="114"/>
    </row>
    <row r="128" spans="1:81" ht="20.100000000000001" customHeight="1" x14ac:dyDescent="0.4">
      <c r="A128" s="117"/>
      <c r="B128" s="123"/>
      <c r="C128" s="123"/>
      <c r="D128" s="123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25">
        <v>46128</v>
      </c>
      <c r="AA128" s="13" t="s">
        <v>147</v>
      </c>
      <c r="AP128" s="127"/>
      <c r="AQ128" s="29"/>
      <c r="BA128" s="25"/>
      <c r="BB128" s="13"/>
      <c r="BG128" s="116"/>
      <c r="BH128" s="123"/>
      <c r="BI128" s="123"/>
      <c r="BJ128" s="123"/>
      <c r="BO128" s="115"/>
      <c r="BP128" s="115"/>
      <c r="BQ128" s="115"/>
      <c r="BR128" s="115"/>
      <c r="BS128" s="115"/>
      <c r="BT128" s="115"/>
      <c r="BU128" s="115"/>
      <c r="BV128" s="115"/>
      <c r="BW128" s="115"/>
      <c r="BX128" s="115"/>
      <c r="BY128" s="25"/>
      <c r="BZ128" s="13"/>
      <c r="CC128" s="114"/>
    </row>
    <row r="129" spans="1:81" ht="20.100000000000001" customHeight="1" x14ac:dyDescent="0.4">
      <c r="A129" s="117"/>
      <c r="B129" s="123"/>
      <c r="C129" s="123"/>
      <c r="D129" s="123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 t="s">
        <v>393</v>
      </c>
      <c r="Z129" s="13">
        <f>SUBTOTAL(3,Z127:Z128)</f>
        <v>2</v>
      </c>
      <c r="AA129" s="13">
        <f>SUBTOTAL(3,AA127:AA128)</f>
        <v>2</v>
      </c>
      <c r="AP129" s="127"/>
      <c r="AQ129" s="29"/>
      <c r="BA129" s="25"/>
      <c r="BB129" s="13"/>
      <c r="BG129" s="116"/>
      <c r="BH129" s="123"/>
      <c r="BI129" s="123"/>
      <c r="BJ129" s="123"/>
      <c r="BO129" s="115"/>
      <c r="BP129" s="115"/>
      <c r="BQ129" s="115"/>
      <c r="BR129" s="115"/>
      <c r="BS129" s="115"/>
      <c r="BT129" s="115"/>
      <c r="BU129" s="115"/>
      <c r="BV129" s="115"/>
      <c r="BW129" s="115"/>
      <c r="BX129" s="115"/>
      <c r="BY129" s="25"/>
      <c r="BZ129" s="13"/>
      <c r="CC129" s="114"/>
    </row>
    <row r="130" spans="1:81" ht="20.100000000000001" customHeight="1" x14ac:dyDescent="0.4">
      <c r="A130" s="117"/>
      <c r="B130" s="123"/>
      <c r="C130" s="123"/>
      <c r="D130" s="123"/>
      <c r="Z130" s="25">
        <v>46130</v>
      </c>
      <c r="AA130" s="13" t="s">
        <v>146</v>
      </c>
      <c r="AO130" s="115"/>
      <c r="AP130" s="29"/>
      <c r="AQ130" s="29"/>
      <c r="BA130" s="25"/>
      <c r="BB130" s="13"/>
      <c r="BG130" s="116"/>
      <c r="BH130" s="123"/>
      <c r="BI130" s="123"/>
      <c r="BJ130" s="123"/>
      <c r="BO130" s="115"/>
      <c r="BP130" s="115"/>
      <c r="BQ130" s="115"/>
      <c r="BR130" s="115"/>
      <c r="BS130" s="115"/>
      <c r="BT130" s="115"/>
      <c r="BU130" s="115"/>
      <c r="BV130" s="115"/>
      <c r="BW130" s="115"/>
      <c r="BX130" s="115"/>
      <c r="BY130" s="25"/>
      <c r="BZ130" s="13"/>
      <c r="CC130" s="114"/>
    </row>
    <row r="131" spans="1:81" ht="20.100000000000001" customHeight="1" x14ac:dyDescent="0.4">
      <c r="A131" s="117"/>
      <c r="B131" s="123"/>
      <c r="C131" s="123"/>
      <c r="D131" s="123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25">
        <v>46130</v>
      </c>
      <c r="AA131" s="13" t="s">
        <v>146</v>
      </c>
      <c r="AO131" s="115"/>
      <c r="AP131" s="29"/>
      <c r="AQ131" s="29"/>
      <c r="BA131" s="25"/>
      <c r="BB131" s="13"/>
      <c r="BG131" s="116"/>
      <c r="BH131" s="123"/>
      <c r="BI131" s="123"/>
      <c r="BJ131" s="123"/>
      <c r="BO131" s="115"/>
      <c r="BP131" s="115"/>
      <c r="BQ131" s="115"/>
      <c r="BR131" s="115"/>
      <c r="BS131" s="115"/>
      <c r="BT131" s="115"/>
      <c r="BU131" s="115"/>
      <c r="BV131" s="115"/>
      <c r="BW131" s="115"/>
      <c r="BX131" s="115"/>
      <c r="BY131" s="25"/>
      <c r="BZ131" s="13"/>
      <c r="CC131" s="114"/>
    </row>
    <row r="132" spans="1:81" ht="20.100000000000001" customHeight="1" x14ac:dyDescent="0.4">
      <c r="A132" s="117"/>
      <c r="B132" s="123"/>
      <c r="C132" s="123"/>
      <c r="D132" s="123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25">
        <v>46130</v>
      </c>
      <c r="AA132" s="13" t="s">
        <v>146</v>
      </c>
      <c r="AO132" s="115"/>
      <c r="AP132" s="29"/>
      <c r="AQ132" s="29"/>
      <c r="BA132" s="25"/>
      <c r="BB132" s="13"/>
      <c r="BG132" s="116"/>
      <c r="BH132" s="123"/>
      <c r="BI132" s="123"/>
      <c r="BJ132" s="123"/>
      <c r="BO132" s="115"/>
      <c r="BP132" s="115"/>
      <c r="BQ132" s="115"/>
      <c r="BR132" s="115"/>
      <c r="BS132" s="115"/>
      <c r="BT132" s="115"/>
      <c r="BU132" s="115"/>
      <c r="BV132" s="115"/>
      <c r="BW132" s="115"/>
      <c r="BX132" s="115"/>
      <c r="BY132" s="25"/>
      <c r="BZ132" s="13"/>
      <c r="CC132" s="114"/>
    </row>
    <row r="133" spans="1:81" ht="20.100000000000001" customHeight="1" x14ac:dyDescent="0.4">
      <c r="A133" s="117"/>
      <c r="B133" s="123"/>
      <c r="C133" s="123"/>
      <c r="D133" s="123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25">
        <v>46130</v>
      </c>
      <c r="AA133" s="13" t="s">
        <v>146</v>
      </c>
      <c r="AO133" s="115"/>
      <c r="AP133" s="29"/>
      <c r="AQ133" s="29"/>
      <c r="BA133" s="25"/>
      <c r="BB133" s="13"/>
      <c r="BG133" s="116"/>
      <c r="BH133" s="123"/>
      <c r="BI133" s="123"/>
      <c r="BJ133" s="123"/>
      <c r="BO133" s="115"/>
      <c r="BP133" s="115"/>
      <c r="BQ133" s="115"/>
      <c r="BR133" s="115"/>
      <c r="BS133" s="115"/>
      <c r="BT133" s="115"/>
      <c r="BU133" s="115"/>
      <c r="BV133" s="115"/>
      <c r="BW133" s="115"/>
      <c r="BX133" s="115"/>
      <c r="BY133" s="25"/>
      <c r="BZ133" s="13"/>
      <c r="CC133" s="114"/>
    </row>
    <row r="134" spans="1:81" ht="20.100000000000001" customHeight="1" x14ac:dyDescent="0.4">
      <c r="A134" s="117"/>
      <c r="B134" s="123"/>
      <c r="C134" s="123"/>
      <c r="D134" s="123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25">
        <v>46130</v>
      </c>
      <c r="AA134" s="13" t="s">
        <v>146</v>
      </c>
      <c r="AO134" s="115"/>
      <c r="AP134" s="29"/>
      <c r="AQ134" s="29"/>
      <c r="BA134" s="25"/>
      <c r="BB134" s="13"/>
      <c r="BG134" s="116"/>
      <c r="BH134" s="123"/>
      <c r="BI134" s="123"/>
      <c r="BJ134" s="123"/>
      <c r="BO134" s="115"/>
      <c r="BP134" s="115"/>
      <c r="BQ134" s="115"/>
      <c r="BR134" s="115"/>
      <c r="BS134" s="115"/>
      <c r="BT134" s="115"/>
      <c r="BU134" s="115"/>
      <c r="BV134" s="115"/>
      <c r="BW134" s="115"/>
      <c r="BX134" s="115"/>
      <c r="BY134" s="25"/>
      <c r="BZ134" s="13"/>
      <c r="CC134" s="114"/>
    </row>
    <row r="135" spans="1:81" ht="20.100000000000001" customHeight="1" x14ac:dyDescent="0.4">
      <c r="A135" s="117"/>
      <c r="B135" s="123"/>
      <c r="C135" s="123"/>
      <c r="D135" s="123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25">
        <v>46130</v>
      </c>
      <c r="AA135" s="13" t="s">
        <v>146</v>
      </c>
      <c r="AO135" s="115"/>
      <c r="AP135" s="29"/>
      <c r="AQ135" s="29"/>
      <c r="BA135" s="25"/>
      <c r="BB135" s="13"/>
      <c r="BG135" s="116"/>
      <c r="BH135" s="123"/>
      <c r="BI135" s="123"/>
      <c r="BJ135" s="123"/>
      <c r="BO135" s="115"/>
      <c r="BP135" s="115"/>
      <c r="BQ135" s="115"/>
      <c r="BR135" s="115"/>
      <c r="BS135" s="115"/>
      <c r="BT135" s="115"/>
      <c r="BU135" s="115"/>
      <c r="BV135" s="115"/>
      <c r="BW135" s="115"/>
      <c r="BX135" s="115"/>
      <c r="BY135" s="25"/>
      <c r="BZ135" s="13"/>
      <c r="CC135" s="114"/>
    </row>
    <row r="136" spans="1:81" ht="20.100000000000001" customHeight="1" x14ac:dyDescent="0.4">
      <c r="A136" s="117"/>
      <c r="B136" s="123"/>
      <c r="C136" s="123"/>
      <c r="D136" s="123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25">
        <v>46130</v>
      </c>
      <c r="AA136" s="13" t="s">
        <v>146</v>
      </c>
      <c r="AO136" s="115"/>
      <c r="AP136" s="29"/>
      <c r="AQ136" s="29"/>
      <c r="BA136" s="25"/>
      <c r="BB136" s="13"/>
      <c r="BG136" s="116"/>
      <c r="BH136" s="123"/>
      <c r="BI136" s="123"/>
      <c r="BJ136" s="123"/>
      <c r="BO136" s="115"/>
      <c r="BP136" s="115"/>
      <c r="BQ136" s="115"/>
      <c r="BR136" s="115"/>
      <c r="BS136" s="115"/>
      <c r="BT136" s="115"/>
      <c r="BU136" s="115"/>
      <c r="BV136" s="115"/>
      <c r="BW136" s="115"/>
      <c r="BX136" s="115"/>
      <c r="BY136" s="25"/>
      <c r="BZ136" s="13"/>
      <c r="CC136" s="114"/>
    </row>
    <row r="137" spans="1:81" ht="20.100000000000001" customHeight="1" x14ac:dyDescent="0.4">
      <c r="A137" s="117"/>
      <c r="B137" s="123"/>
      <c r="C137" s="123"/>
      <c r="D137" s="123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25">
        <v>46130</v>
      </c>
      <c r="AA137" s="13" t="s">
        <v>146</v>
      </c>
      <c r="AO137" s="115"/>
      <c r="AP137" s="29"/>
      <c r="AQ137" s="29"/>
      <c r="BA137" s="25"/>
      <c r="BB137" s="13"/>
      <c r="BG137" s="116"/>
      <c r="BH137" s="123"/>
      <c r="BI137" s="123"/>
      <c r="BJ137" s="123"/>
      <c r="BO137" s="115"/>
      <c r="BP137" s="115"/>
      <c r="BQ137" s="115"/>
      <c r="BR137" s="115"/>
      <c r="BS137" s="115"/>
      <c r="BT137" s="115"/>
      <c r="BU137" s="115"/>
      <c r="BV137" s="115"/>
      <c r="BW137" s="115"/>
      <c r="BX137" s="115"/>
      <c r="BY137" s="25"/>
      <c r="BZ137" s="13"/>
      <c r="CC137" s="114"/>
    </row>
    <row r="138" spans="1:81" ht="20.100000000000001" customHeight="1" x14ac:dyDescent="0.4">
      <c r="A138" s="117"/>
      <c r="B138" s="123"/>
      <c r="C138" s="123"/>
      <c r="D138" s="123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25">
        <v>46130</v>
      </c>
      <c r="AA138" s="13" t="s">
        <v>146</v>
      </c>
      <c r="AO138" s="115"/>
      <c r="AP138" s="29"/>
      <c r="AQ138" s="29"/>
      <c r="BA138" s="25"/>
      <c r="BB138" s="13"/>
      <c r="BG138" s="116"/>
      <c r="BH138" s="123"/>
      <c r="BI138" s="123"/>
      <c r="BJ138" s="123"/>
      <c r="BO138" s="115"/>
      <c r="BP138" s="115"/>
      <c r="BQ138" s="115"/>
      <c r="BR138" s="115"/>
      <c r="BS138" s="115"/>
      <c r="BT138" s="115"/>
      <c r="BU138" s="115"/>
      <c r="BV138" s="115"/>
      <c r="BW138" s="115"/>
      <c r="BX138" s="115"/>
      <c r="BY138" s="25"/>
      <c r="BZ138" s="13"/>
      <c r="CC138" s="114"/>
    </row>
    <row r="139" spans="1:81" ht="20.100000000000001" customHeight="1" x14ac:dyDescent="0.4">
      <c r="A139" s="117"/>
      <c r="B139" s="123"/>
      <c r="C139" s="123"/>
      <c r="D139" s="123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25">
        <v>46130</v>
      </c>
      <c r="AA139" s="13" t="s">
        <v>146</v>
      </c>
      <c r="AO139" s="115"/>
      <c r="AP139" s="29"/>
      <c r="AQ139" s="29"/>
      <c r="BA139" s="25"/>
      <c r="BB139" s="13"/>
      <c r="BG139" s="116"/>
      <c r="BH139" s="123"/>
      <c r="BI139" s="123"/>
      <c r="BJ139" s="123"/>
      <c r="BO139" s="115"/>
      <c r="BP139" s="115"/>
      <c r="BQ139" s="115"/>
      <c r="BR139" s="115"/>
      <c r="BS139" s="115"/>
      <c r="BT139" s="115"/>
      <c r="BU139" s="115"/>
      <c r="BV139" s="115"/>
      <c r="BW139" s="115"/>
      <c r="BX139" s="115"/>
      <c r="BY139" s="25"/>
      <c r="BZ139" s="13"/>
      <c r="CC139" s="114"/>
    </row>
    <row r="140" spans="1:81" ht="20.100000000000001" customHeight="1" x14ac:dyDescent="0.4">
      <c r="A140" s="117"/>
      <c r="B140" s="123"/>
      <c r="C140" s="123"/>
      <c r="D140" s="123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25">
        <v>46130</v>
      </c>
      <c r="AA140" s="13" t="s">
        <v>146</v>
      </c>
      <c r="AO140" s="115"/>
      <c r="AP140" s="29"/>
      <c r="AQ140" s="29"/>
      <c r="BA140" s="25"/>
      <c r="BB140" s="13"/>
      <c r="BG140" s="116"/>
      <c r="BH140" s="123"/>
      <c r="BI140" s="123"/>
      <c r="BJ140" s="123"/>
      <c r="BO140" s="115"/>
      <c r="BP140" s="115"/>
      <c r="BQ140" s="115"/>
      <c r="BR140" s="115"/>
      <c r="BS140" s="115"/>
      <c r="BT140" s="115"/>
      <c r="BU140" s="115"/>
      <c r="BV140" s="115"/>
      <c r="BW140" s="115"/>
      <c r="BX140" s="115"/>
      <c r="BY140" s="25"/>
      <c r="BZ140" s="13"/>
      <c r="CC140" s="114"/>
    </row>
    <row r="141" spans="1:81" ht="20.100000000000001" customHeight="1" x14ac:dyDescent="0.4">
      <c r="A141" s="117"/>
      <c r="B141" s="123"/>
      <c r="C141" s="123"/>
      <c r="D141" s="123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25">
        <v>46130</v>
      </c>
      <c r="AA141" s="13" t="s">
        <v>146</v>
      </c>
      <c r="AO141" s="115"/>
      <c r="AP141" s="29"/>
      <c r="AQ141" s="29"/>
      <c r="BA141" s="25"/>
      <c r="BB141" s="13"/>
      <c r="BG141" s="116"/>
      <c r="BH141" s="123"/>
      <c r="BI141" s="123"/>
      <c r="BJ141" s="123"/>
      <c r="BO141" s="115"/>
      <c r="BP141" s="115"/>
      <c r="BQ141" s="115"/>
      <c r="BR141" s="115"/>
      <c r="BS141" s="115"/>
      <c r="BT141" s="115"/>
      <c r="BU141" s="115"/>
      <c r="BV141" s="115"/>
      <c r="BW141" s="115"/>
      <c r="BX141" s="115"/>
      <c r="BY141" s="25"/>
      <c r="BZ141" s="13"/>
      <c r="CC141" s="114"/>
    </row>
    <row r="142" spans="1:81" ht="20.100000000000001" customHeight="1" x14ac:dyDescent="0.4">
      <c r="A142" s="117"/>
      <c r="B142" s="123"/>
      <c r="C142" s="123"/>
      <c r="D142" s="123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25">
        <v>46130</v>
      </c>
      <c r="AA142" s="13" t="s">
        <v>146</v>
      </c>
      <c r="AO142" s="115"/>
      <c r="AP142" s="29"/>
      <c r="AQ142" s="29"/>
      <c r="BA142" s="25"/>
      <c r="BB142" s="13"/>
      <c r="BG142" s="116"/>
      <c r="BH142" s="123"/>
      <c r="BI142" s="123"/>
      <c r="BJ142" s="123"/>
      <c r="BO142" s="115"/>
      <c r="BP142" s="115"/>
      <c r="BQ142" s="115"/>
      <c r="BR142" s="115"/>
      <c r="BS142" s="115"/>
      <c r="BT142" s="115"/>
      <c r="BU142" s="115"/>
      <c r="BV142" s="115"/>
      <c r="BW142" s="115"/>
      <c r="BX142" s="115"/>
      <c r="BY142" s="25"/>
      <c r="BZ142" s="13"/>
      <c r="CC142" s="114"/>
    </row>
    <row r="143" spans="1:81" ht="20.100000000000001" customHeight="1" x14ac:dyDescent="0.4">
      <c r="A143" s="117"/>
      <c r="B143" s="123"/>
      <c r="C143" s="123"/>
      <c r="D143" s="123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25">
        <v>46130</v>
      </c>
      <c r="AA143" s="13" t="s">
        <v>146</v>
      </c>
      <c r="AO143" s="115"/>
      <c r="AP143" s="29"/>
      <c r="AQ143" s="29"/>
      <c r="BA143" s="25"/>
      <c r="BB143" s="13"/>
      <c r="BG143" s="116"/>
      <c r="BH143" s="123"/>
      <c r="BI143" s="123"/>
      <c r="BJ143" s="123"/>
      <c r="BO143" s="115"/>
      <c r="BP143" s="115"/>
      <c r="BQ143" s="115"/>
      <c r="BR143" s="115"/>
      <c r="BS143" s="115"/>
      <c r="BT143" s="115"/>
      <c r="BU143" s="115"/>
      <c r="BV143" s="115"/>
      <c r="BW143" s="115"/>
      <c r="BX143" s="115"/>
      <c r="BY143" s="25"/>
      <c r="BZ143" s="13"/>
      <c r="CC143" s="114"/>
    </row>
    <row r="144" spans="1:81" ht="20.100000000000001" customHeight="1" x14ac:dyDescent="0.4">
      <c r="A144" s="117"/>
      <c r="B144" s="123"/>
      <c r="C144" s="123"/>
      <c r="D144" s="123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25">
        <v>46130</v>
      </c>
      <c r="AA144" s="13" t="s">
        <v>146</v>
      </c>
      <c r="AO144" s="115"/>
      <c r="AP144" s="29"/>
      <c r="AQ144" s="29"/>
      <c r="BA144" s="25"/>
      <c r="BB144" s="13"/>
      <c r="BG144" s="116"/>
      <c r="BH144" s="123"/>
      <c r="BI144" s="123"/>
      <c r="BJ144" s="123"/>
      <c r="BO144" s="115"/>
      <c r="BP144" s="115"/>
      <c r="BQ144" s="115"/>
      <c r="BR144" s="115"/>
      <c r="BS144" s="115"/>
      <c r="BT144" s="115"/>
      <c r="BU144" s="115"/>
      <c r="BV144" s="115"/>
      <c r="BW144" s="115"/>
      <c r="BX144" s="115"/>
      <c r="BY144" s="25"/>
      <c r="BZ144" s="13"/>
      <c r="CC144" s="114"/>
    </row>
    <row r="145" spans="1:81" ht="20.100000000000001" customHeight="1" x14ac:dyDescent="0.4">
      <c r="A145" s="117"/>
      <c r="B145" s="123"/>
      <c r="C145" s="123"/>
      <c r="D145" s="123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25">
        <v>46130</v>
      </c>
      <c r="AA145" s="13" t="s">
        <v>146</v>
      </c>
      <c r="AO145" s="115"/>
      <c r="AP145" s="29"/>
      <c r="AQ145" s="29"/>
      <c r="BA145" s="25"/>
      <c r="BB145" s="13"/>
      <c r="BG145" s="116"/>
      <c r="BH145" s="123"/>
      <c r="BI145" s="123"/>
      <c r="BJ145" s="123"/>
      <c r="BO145" s="115"/>
      <c r="BP145" s="115"/>
      <c r="BQ145" s="115"/>
      <c r="BR145" s="115"/>
      <c r="BS145" s="115"/>
      <c r="BT145" s="115"/>
      <c r="BU145" s="115"/>
      <c r="BV145" s="115"/>
      <c r="BW145" s="115"/>
      <c r="BX145" s="115"/>
      <c r="BY145" s="25"/>
      <c r="BZ145" s="13"/>
      <c r="CC145" s="114"/>
    </row>
    <row r="146" spans="1:81" ht="20.100000000000001" customHeight="1" x14ac:dyDescent="0.4">
      <c r="A146" s="117"/>
      <c r="B146" s="123"/>
      <c r="C146" s="123"/>
      <c r="D146" s="123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 t="s">
        <v>394</v>
      </c>
      <c r="Z146" s="20">
        <f>SUBTOTAL(3,Z130:Z145)</f>
        <v>16</v>
      </c>
      <c r="AA146" s="13">
        <f>SUBTOTAL(3,AA130:AA145)</f>
        <v>16</v>
      </c>
      <c r="AO146" s="115"/>
      <c r="AP146" s="29"/>
      <c r="AQ146" s="29"/>
      <c r="BA146" s="25"/>
      <c r="BB146" s="13"/>
      <c r="BG146" s="116"/>
      <c r="BH146" s="123"/>
      <c r="BI146" s="123"/>
      <c r="BJ146" s="123"/>
      <c r="BO146" s="115"/>
      <c r="BP146" s="115"/>
      <c r="BQ146" s="115"/>
      <c r="BR146" s="115"/>
      <c r="BS146" s="115"/>
      <c r="BT146" s="115"/>
      <c r="BU146" s="115"/>
      <c r="BV146" s="115"/>
      <c r="BW146" s="115"/>
      <c r="BX146" s="115"/>
      <c r="BY146" s="25"/>
      <c r="BZ146" s="13"/>
      <c r="CC146" s="114"/>
    </row>
    <row r="147" spans="1:81" ht="20.100000000000001" customHeight="1" x14ac:dyDescent="0.4">
      <c r="A147" s="117"/>
      <c r="B147" s="123"/>
      <c r="C147" s="123"/>
      <c r="D147" s="123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26">
        <v>46131</v>
      </c>
      <c r="AA147" s="15" t="s">
        <v>146</v>
      </c>
      <c r="AO147" s="115"/>
      <c r="AP147" s="29"/>
      <c r="AQ147" s="29"/>
      <c r="BA147" s="25"/>
      <c r="BB147" s="13"/>
      <c r="BG147" s="116"/>
      <c r="BH147" s="123"/>
      <c r="BI147" s="123"/>
      <c r="BJ147" s="123"/>
      <c r="BO147" s="115"/>
      <c r="BP147" s="115"/>
      <c r="BQ147" s="115"/>
      <c r="BR147" s="115"/>
      <c r="BS147" s="115"/>
      <c r="BT147" s="115"/>
      <c r="BU147" s="115"/>
      <c r="BV147" s="115"/>
      <c r="BW147" s="115"/>
      <c r="BX147" s="115"/>
      <c r="BY147" s="25"/>
      <c r="BZ147" s="13"/>
      <c r="CC147" s="114"/>
    </row>
    <row r="148" spans="1:81" ht="20.100000000000001" customHeight="1" x14ac:dyDescent="0.4">
      <c r="A148" s="117"/>
      <c r="B148" s="123"/>
      <c r="C148" s="123"/>
      <c r="D148" s="123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26">
        <v>46131</v>
      </c>
      <c r="AA148" s="13" t="s">
        <v>146</v>
      </c>
      <c r="AO148" s="115"/>
      <c r="AP148" s="29"/>
      <c r="AQ148" s="29"/>
      <c r="BA148" s="25"/>
      <c r="BB148" s="13"/>
      <c r="BG148" s="116"/>
      <c r="BH148" s="123"/>
      <c r="BI148" s="123"/>
      <c r="BJ148" s="123"/>
      <c r="BO148" s="115"/>
      <c r="BP148" s="115"/>
      <c r="BQ148" s="115"/>
      <c r="BR148" s="115"/>
      <c r="BS148" s="115"/>
      <c r="BT148" s="115"/>
      <c r="BU148" s="115"/>
      <c r="BV148" s="115"/>
      <c r="BW148" s="115"/>
      <c r="BX148" s="115"/>
      <c r="BY148" s="25"/>
      <c r="BZ148" s="13"/>
      <c r="CC148" s="114"/>
    </row>
    <row r="149" spans="1:81" ht="20.100000000000001" customHeight="1" x14ac:dyDescent="0.4">
      <c r="A149" s="117"/>
      <c r="B149" s="123"/>
      <c r="C149" s="123"/>
      <c r="D149" s="123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26">
        <v>46131</v>
      </c>
      <c r="AA149" s="13" t="s">
        <v>146</v>
      </c>
      <c r="AO149" s="115"/>
      <c r="AP149" s="29"/>
      <c r="AQ149" s="29"/>
      <c r="BA149" s="25"/>
      <c r="BB149" s="13"/>
      <c r="BG149" s="116"/>
      <c r="BH149" s="123"/>
      <c r="BI149" s="123"/>
      <c r="BJ149" s="123"/>
      <c r="BO149" s="115"/>
      <c r="BP149" s="115"/>
      <c r="BQ149" s="115"/>
      <c r="BR149" s="115"/>
      <c r="BS149" s="115"/>
      <c r="BT149" s="115"/>
      <c r="BU149" s="115"/>
      <c r="BV149" s="115"/>
      <c r="BW149" s="115"/>
      <c r="BX149" s="115"/>
      <c r="BY149" s="25"/>
      <c r="BZ149" s="13"/>
      <c r="CC149" s="114"/>
    </row>
    <row r="150" spans="1:81" ht="20.100000000000001" customHeight="1" x14ac:dyDescent="0.4">
      <c r="A150" s="117"/>
      <c r="B150" s="123"/>
      <c r="C150" s="123"/>
      <c r="D150" s="123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26">
        <v>46131</v>
      </c>
      <c r="AA150" s="13" t="s">
        <v>146</v>
      </c>
      <c r="AO150" s="115"/>
      <c r="AP150" s="29"/>
      <c r="AQ150" s="29"/>
      <c r="BA150" s="25"/>
      <c r="BB150" s="13"/>
      <c r="BG150" s="116"/>
      <c r="BH150" s="123"/>
      <c r="BI150" s="123"/>
      <c r="BJ150" s="123"/>
      <c r="BO150" s="115"/>
      <c r="BP150" s="115"/>
      <c r="BQ150" s="115"/>
      <c r="BR150" s="115"/>
      <c r="BS150" s="115"/>
      <c r="BT150" s="115"/>
      <c r="BU150" s="115"/>
      <c r="BV150" s="115"/>
      <c r="BW150" s="115"/>
      <c r="BX150" s="115"/>
      <c r="BY150" s="25"/>
      <c r="BZ150" s="13"/>
      <c r="CC150" s="114"/>
    </row>
    <row r="151" spans="1:81" ht="20.100000000000001" customHeight="1" x14ac:dyDescent="0.4">
      <c r="A151" s="117"/>
      <c r="B151" s="123"/>
      <c r="C151" s="123"/>
      <c r="D151" s="123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26">
        <v>46131</v>
      </c>
      <c r="AA151" s="13" t="s">
        <v>146</v>
      </c>
      <c r="AO151" s="115"/>
      <c r="AP151" s="29"/>
      <c r="AQ151" s="29"/>
      <c r="BA151" s="25"/>
      <c r="BB151" s="13"/>
      <c r="BG151" s="116"/>
      <c r="BH151" s="123"/>
      <c r="BI151" s="123"/>
      <c r="BJ151" s="123"/>
      <c r="BO151" s="115"/>
      <c r="BP151" s="115"/>
      <c r="BQ151" s="115"/>
      <c r="BR151" s="115"/>
      <c r="BS151" s="115"/>
      <c r="BT151" s="115"/>
      <c r="BU151" s="115"/>
      <c r="BV151" s="115"/>
      <c r="BW151" s="115"/>
      <c r="BX151" s="115"/>
      <c r="BY151" s="25"/>
      <c r="BZ151" s="13"/>
      <c r="CC151" s="114"/>
    </row>
    <row r="152" spans="1:81" ht="20.100000000000001" customHeight="1" x14ac:dyDescent="0.4">
      <c r="A152" s="117"/>
      <c r="B152" s="123"/>
      <c r="C152" s="123"/>
      <c r="D152" s="123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26">
        <v>46131</v>
      </c>
      <c r="AA152" s="13" t="s">
        <v>146</v>
      </c>
      <c r="AO152" s="115"/>
      <c r="AP152" s="29"/>
      <c r="AQ152" s="29"/>
      <c r="BA152" s="25"/>
      <c r="BB152" s="13"/>
      <c r="BG152" s="116"/>
      <c r="BH152" s="123"/>
      <c r="BI152" s="123"/>
      <c r="BJ152" s="123"/>
      <c r="BO152" s="115"/>
      <c r="BP152" s="115"/>
      <c r="BQ152" s="115"/>
      <c r="BR152" s="115"/>
      <c r="BS152" s="115"/>
      <c r="BT152" s="115"/>
      <c r="BU152" s="115"/>
      <c r="BV152" s="115"/>
      <c r="BW152" s="115"/>
      <c r="BX152" s="115"/>
      <c r="BY152" s="25"/>
      <c r="BZ152" s="13"/>
      <c r="CC152" s="114"/>
    </row>
    <row r="153" spans="1:81" ht="20.100000000000001" customHeight="1" x14ac:dyDescent="0.4">
      <c r="A153" s="117"/>
      <c r="B153" s="123"/>
      <c r="C153" s="123"/>
      <c r="D153" s="123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26">
        <v>46131</v>
      </c>
      <c r="AA153" s="13" t="s">
        <v>146</v>
      </c>
      <c r="AO153" s="115"/>
      <c r="AP153" s="29"/>
      <c r="AQ153" s="29"/>
      <c r="BA153" s="25"/>
      <c r="BB153" s="13"/>
      <c r="BG153" s="116"/>
      <c r="BH153" s="123"/>
      <c r="BI153" s="123"/>
      <c r="BJ153" s="123"/>
      <c r="BO153" s="115"/>
      <c r="BP153" s="115"/>
      <c r="BQ153" s="115"/>
      <c r="BR153" s="115"/>
      <c r="BS153" s="115"/>
      <c r="BT153" s="115"/>
      <c r="BU153" s="115"/>
      <c r="BV153" s="115"/>
      <c r="BW153" s="115"/>
      <c r="BX153" s="115"/>
      <c r="BY153" s="25"/>
      <c r="BZ153" s="13"/>
      <c r="CC153" s="114"/>
    </row>
    <row r="154" spans="1:81" ht="20.100000000000001" customHeight="1" x14ac:dyDescent="0.4">
      <c r="A154" s="117"/>
      <c r="B154" s="123"/>
      <c r="C154" s="123"/>
      <c r="D154" s="123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26">
        <v>46131</v>
      </c>
      <c r="AA154" s="13" t="s">
        <v>146</v>
      </c>
      <c r="AO154" s="115"/>
      <c r="AP154" s="29"/>
      <c r="AQ154" s="29"/>
      <c r="BA154" s="25"/>
      <c r="BB154" s="13"/>
      <c r="BG154" s="116"/>
      <c r="BH154" s="123"/>
      <c r="BI154" s="123"/>
      <c r="BJ154" s="123"/>
      <c r="BO154" s="115"/>
      <c r="BP154" s="115"/>
      <c r="BQ154" s="115"/>
      <c r="BR154" s="115"/>
      <c r="BS154" s="115"/>
      <c r="BT154" s="115"/>
      <c r="BU154" s="115"/>
      <c r="BV154" s="115"/>
      <c r="BW154" s="115"/>
      <c r="BX154" s="115"/>
      <c r="BY154" s="25"/>
      <c r="BZ154" s="13"/>
      <c r="CC154" s="114"/>
    </row>
    <row r="155" spans="1:81" ht="20.100000000000001" customHeight="1" x14ac:dyDescent="0.4">
      <c r="A155" s="117"/>
      <c r="B155" s="123"/>
      <c r="C155" s="123"/>
      <c r="D155" s="123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26">
        <v>46131</v>
      </c>
      <c r="AA155" s="13" t="s">
        <v>146</v>
      </c>
      <c r="AO155" s="115"/>
      <c r="AP155" s="29"/>
      <c r="AQ155" s="29"/>
      <c r="BA155" s="25"/>
      <c r="BB155" s="13"/>
      <c r="BG155" s="116"/>
      <c r="BH155" s="123"/>
      <c r="BI155" s="123"/>
      <c r="BJ155" s="123"/>
      <c r="BO155" s="115"/>
      <c r="BP155" s="115"/>
      <c r="BQ155" s="115"/>
      <c r="BR155" s="115"/>
      <c r="BS155" s="115"/>
      <c r="BT155" s="115"/>
      <c r="BU155" s="115"/>
      <c r="BV155" s="115"/>
      <c r="BW155" s="115"/>
      <c r="BX155" s="115"/>
      <c r="BY155" s="25"/>
      <c r="BZ155" s="13"/>
      <c r="CC155" s="114"/>
    </row>
    <row r="156" spans="1:81" ht="20.100000000000001" customHeight="1" x14ac:dyDescent="0.4">
      <c r="A156" s="117"/>
      <c r="B156" s="123"/>
      <c r="C156" s="123"/>
      <c r="D156" s="123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26">
        <v>46131</v>
      </c>
      <c r="AA156" s="13" t="s">
        <v>146</v>
      </c>
      <c r="AO156" s="115"/>
      <c r="AP156" s="29"/>
      <c r="AQ156" s="29"/>
      <c r="BA156" s="25"/>
      <c r="BB156" s="13"/>
      <c r="BG156" s="116"/>
      <c r="BH156" s="123"/>
      <c r="BI156" s="123"/>
      <c r="BJ156" s="123"/>
      <c r="BO156" s="115"/>
      <c r="BP156" s="115"/>
      <c r="BQ156" s="115"/>
      <c r="BR156" s="115"/>
      <c r="BS156" s="115"/>
      <c r="BT156" s="115"/>
      <c r="BU156" s="115"/>
      <c r="BV156" s="115"/>
      <c r="BW156" s="115"/>
      <c r="BX156" s="115"/>
      <c r="BY156" s="25"/>
      <c r="BZ156" s="13"/>
      <c r="CC156" s="114"/>
    </row>
    <row r="157" spans="1:81" ht="20.100000000000001" customHeight="1" x14ac:dyDescent="0.4">
      <c r="A157" s="117"/>
      <c r="B157" s="123"/>
      <c r="C157" s="123"/>
      <c r="D157" s="123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26">
        <v>46131</v>
      </c>
      <c r="AA157" s="13" t="s">
        <v>146</v>
      </c>
      <c r="AO157" s="115"/>
      <c r="AP157" s="29"/>
      <c r="AQ157" s="29"/>
      <c r="BA157" s="25"/>
      <c r="BB157" s="13"/>
      <c r="BG157" s="116"/>
      <c r="BH157" s="123"/>
      <c r="BI157" s="123"/>
      <c r="BJ157" s="123"/>
      <c r="BO157" s="115"/>
      <c r="BP157" s="115"/>
      <c r="BQ157" s="115"/>
      <c r="BR157" s="115"/>
      <c r="BS157" s="115"/>
      <c r="BT157" s="115"/>
      <c r="BU157" s="115"/>
      <c r="BV157" s="115"/>
      <c r="BW157" s="115"/>
      <c r="BX157" s="115"/>
      <c r="BY157" s="25"/>
      <c r="BZ157" s="13"/>
      <c r="CC157" s="114"/>
    </row>
    <row r="158" spans="1:81" ht="20.100000000000001" customHeight="1" x14ac:dyDescent="0.4">
      <c r="A158" s="117"/>
      <c r="B158" s="123"/>
      <c r="C158" s="123"/>
      <c r="D158" s="123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26">
        <v>46131</v>
      </c>
      <c r="AA158" s="13" t="s">
        <v>146</v>
      </c>
      <c r="AO158" s="115"/>
      <c r="AP158" s="29"/>
      <c r="AQ158" s="29"/>
      <c r="BA158" s="25"/>
      <c r="BB158" s="13"/>
      <c r="BG158" s="116"/>
      <c r="BH158" s="123"/>
      <c r="BI158" s="123"/>
      <c r="BJ158" s="123"/>
      <c r="BO158" s="115"/>
      <c r="BP158" s="115"/>
      <c r="BQ158" s="115"/>
      <c r="BR158" s="115"/>
      <c r="BS158" s="115"/>
      <c r="BT158" s="115"/>
      <c r="BU158" s="115"/>
      <c r="BV158" s="115"/>
      <c r="BW158" s="115"/>
      <c r="BX158" s="115"/>
      <c r="BY158" s="25"/>
      <c r="BZ158" s="13"/>
      <c r="CC158" s="114"/>
    </row>
    <row r="159" spans="1:81" ht="20.100000000000001" customHeight="1" x14ac:dyDescent="0.4">
      <c r="A159" s="117"/>
      <c r="B159" s="123"/>
      <c r="C159" s="123"/>
      <c r="D159" s="123"/>
      <c r="Z159" s="26">
        <v>46131</v>
      </c>
      <c r="AA159" s="13" t="s">
        <v>146</v>
      </c>
      <c r="AM159" s="115"/>
      <c r="AN159" s="115"/>
      <c r="AO159" s="115"/>
      <c r="AP159" s="127"/>
      <c r="AQ159" s="29"/>
      <c r="BA159" s="25"/>
      <c r="BB159" s="13"/>
      <c r="BG159" s="116"/>
      <c r="BH159" s="123"/>
      <c r="BI159" s="123"/>
      <c r="BJ159" s="123"/>
      <c r="BO159" s="115"/>
      <c r="BP159" s="115"/>
      <c r="BQ159" s="115"/>
      <c r="BR159" s="115"/>
      <c r="BS159" s="115"/>
      <c r="BT159" s="115"/>
      <c r="BU159" s="115"/>
      <c r="BV159" s="115"/>
      <c r="BW159" s="115"/>
      <c r="BX159" s="115"/>
      <c r="BY159" s="25"/>
      <c r="BZ159" s="13"/>
      <c r="CC159" s="114"/>
    </row>
    <row r="160" spans="1:81" ht="20.100000000000001" customHeight="1" x14ac:dyDescent="0.4">
      <c r="A160" s="117"/>
      <c r="B160" s="123"/>
      <c r="C160" s="123"/>
      <c r="D160" s="123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26">
        <v>46131</v>
      </c>
      <c r="AA160" s="13" t="s">
        <v>146</v>
      </c>
      <c r="AM160" s="115"/>
      <c r="AN160" s="115"/>
      <c r="AO160" s="115"/>
      <c r="AP160" s="127"/>
      <c r="AQ160" s="29"/>
      <c r="BA160" s="25"/>
      <c r="BB160" s="13"/>
      <c r="BG160" s="116"/>
      <c r="BH160" s="123"/>
      <c r="BI160" s="123"/>
      <c r="BJ160" s="123"/>
      <c r="BO160" s="115"/>
      <c r="BP160" s="115"/>
      <c r="BQ160" s="115"/>
      <c r="BR160" s="115"/>
      <c r="BS160" s="115"/>
      <c r="BT160" s="115"/>
      <c r="BU160" s="115"/>
      <c r="BV160" s="115"/>
      <c r="BW160" s="115"/>
      <c r="BX160" s="115"/>
      <c r="BY160" s="25"/>
      <c r="BZ160" s="13"/>
      <c r="CC160" s="114"/>
    </row>
    <row r="161" spans="1:81" ht="20.100000000000001" customHeight="1" x14ac:dyDescent="0.4">
      <c r="A161" s="117"/>
      <c r="B161" s="123"/>
      <c r="C161" s="123"/>
      <c r="D161" s="123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26">
        <v>46131</v>
      </c>
      <c r="AA161" s="13" t="s">
        <v>146</v>
      </c>
      <c r="AM161" s="115"/>
      <c r="AN161" s="115"/>
      <c r="AO161" s="115"/>
      <c r="AP161" s="127"/>
      <c r="AQ161" s="29"/>
      <c r="BA161" s="25"/>
      <c r="BB161" s="13"/>
      <c r="BG161" s="116"/>
      <c r="BH161" s="123"/>
      <c r="BI161" s="123"/>
      <c r="BJ161" s="123"/>
      <c r="BO161" s="115"/>
      <c r="BP161" s="115"/>
      <c r="BQ161" s="115"/>
      <c r="BR161" s="115"/>
      <c r="BS161" s="115"/>
      <c r="BT161" s="115"/>
      <c r="BU161" s="115"/>
      <c r="BV161" s="115"/>
      <c r="BW161" s="115"/>
      <c r="BX161" s="115"/>
      <c r="BY161" s="25"/>
      <c r="BZ161" s="13"/>
      <c r="CC161" s="114"/>
    </row>
    <row r="162" spans="1:81" ht="20.100000000000001" customHeight="1" x14ac:dyDescent="0.4">
      <c r="A162" s="117"/>
      <c r="B162" s="123"/>
      <c r="C162" s="123"/>
      <c r="D162" s="123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26">
        <v>46131</v>
      </c>
      <c r="AA162" s="13" t="s">
        <v>146</v>
      </c>
      <c r="AM162" s="115"/>
      <c r="AN162" s="115"/>
      <c r="AO162" s="115"/>
      <c r="AP162" s="127"/>
      <c r="AQ162" s="29"/>
      <c r="BA162" s="25"/>
      <c r="BB162" s="13"/>
      <c r="BG162" s="116"/>
      <c r="BH162" s="123"/>
      <c r="BI162" s="123"/>
      <c r="BJ162" s="123"/>
      <c r="BO162" s="115"/>
      <c r="BP162" s="115"/>
      <c r="BQ162" s="115"/>
      <c r="BR162" s="115"/>
      <c r="BS162" s="115"/>
      <c r="BT162" s="115"/>
      <c r="BU162" s="115"/>
      <c r="BV162" s="115"/>
      <c r="BW162" s="115"/>
      <c r="BX162" s="115"/>
      <c r="BY162" s="25"/>
      <c r="BZ162" s="13"/>
      <c r="CC162" s="114"/>
    </row>
    <row r="163" spans="1:81" ht="20.100000000000001" customHeight="1" x14ac:dyDescent="0.4">
      <c r="A163" s="117"/>
      <c r="B163" s="123"/>
      <c r="C163" s="123"/>
      <c r="D163" s="123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26">
        <v>46131</v>
      </c>
      <c r="AA163" s="13" t="s">
        <v>146</v>
      </c>
      <c r="AM163" s="115"/>
      <c r="AN163" s="115"/>
      <c r="AO163" s="115"/>
      <c r="AP163" s="127"/>
      <c r="AQ163" s="29"/>
      <c r="BA163" s="25"/>
      <c r="BB163" s="13"/>
      <c r="BG163" s="116"/>
      <c r="BH163" s="123"/>
      <c r="BI163" s="123"/>
      <c r="BJ163" s="123"/>
      <c r="BO163" s="115"/>
      <c r="BP163" s="115"/>
      <c r="BQ163" s="115"/>
      <c r="BR163" s="115"/>
      <c r="BS163" s="115"/>
      <c r="BT163" s="115"/>
      <c r="BU163" s="115"/>
      <c r="BV163" s="115"/>
      <c r="BW163" s="115"/>
      <c r="BX163" s="115"/>
      <c r="BY163" s="25"/>
      <c r="BZ163" s="13"/>
      <c r="CC163" s="114"/>
    </row>
    <row r="164" spans="1:81" ht="20.100000000000001" customHeight="1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26">
        <v>46131</v>
      </c>
      <c r="AA164" s="13" t="s">
        <v>146</v>
      </c>
      <c r="AM164" s="115"/>
      <c r="AN164" s="115"/>
      <c r="AO164" s="115"/>
      <c r="AP164" s="127"/>
      <c r="AQ164" s="29"/>
      <c r="BA164" s="25"/>
      <c r="BB164" s="13"/>
      <c r="BG164" s="116"/>
      <c r="BH164" s="123"/>
      <c r="BI164" s="123"/>
      <c r="BJ164" s="123"/>
      <c r="BO164" s="115"/>
      <c r="BP164" s="115"/>
      <c r="BQ164" s="115"/>
      <c r="BR164" s="115"/>
      <c r="BS164" s="115"/>
      <c r="BT164" s="115"/>
      <c r="BU164" s="115"/>
      <c r="BV164" s="115"/>
      <c r="BW164" s="115"/>
      <c r="BX164" s="115"/>
      <c r="BY164" s="25"/>
      <c r="BZ164" s="13"/>
      <c r="CC164" s="114"/>
    </row>
    <row r="165" spans="1:81" ht="20.100000000000001" customHeight="1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26">
        <v>46131</v>
      </c>
      <c r="AA165" s="13" t="s">
        <v>146</v>
      </c>
      <c r="AM165" s="115"/>
      <c r="AN165" s="115"/>
      <c r="AO165" s="115"/>
      <c r="AP165" s="127"/>
      <c r="AQ165" s="29"/>
      <c r="BA165" s="25"/>
      <c r="BB165" s="13"/>
      <c r="BG165" s="116"/>
      <c r="BH165" s="123"/>
      <c r="BI165" s="123"/>
      <c r="BJ165" s="123"/>
      <c r="BO165" s="115"/>
      <c r="BP165" s="115"/>
      <c r="BQ165" s="115"/>
      <c r="BR165" s="115"/>
      <c r="BS165" s="115"/>
      <c r="BT165" s="115"/>
      <c r="BU165" s="115"/>
      <c r="BV165" s="115"/>
      <c r="BW165" s="115"/>
      <c r="BX165" s="115"/>
      <c r="BY165" s="25"/>
      <c r="BZ165" s="13"/>
      <c r="CC165" s="114"/>
    </row>
    <row r="166" spans="1:81" ht="20.100000000000001" customHeight="1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26">
        <v>46131</v>
      </c>
      <c r="AA166" s="13" t="s">
        <v>146</v>
      </c>
      <c r="AM166" s="115"/>
      <c r="AN166" s="115"/>
      <c r="AO166" s="115"/>
      <c r="AP166" s="127"/>
      <c r="AQ166" s="29"/>
      <c r="BA166" s="25"/>
      <c r="BB166" s="13"/>
      <c r="BG166" s="116"/>
      <c r="BH166" s="123"/>
      <c r="BI166" s="123"/>
      <c r="BJ166" s="123"/>
      <c r="BO166" s="115"/>
      <c r="BP166" s="115"/>
      <c r="BQ166" s="115"/>
      <c r="BR166" s="115"/>
      <c r="BS166" s="115"/>
      <c r="BT166" s="115"/>
      <c r="BU166" s="115"/>
      <c r="BV166" s="115"/>
      <c r="BW166" s="115"/>
      <c r="BX166" s="115"/>
      <c r="BY166" s="25"/>
      <c r="BZ166" s="13"/>
      <c r="CC166" s="114"/>
    </row>
    <row r="167" spans="1:81" ht="20.100000000000001" customHeight="1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26">
        <v>46131</v>
      </c>
      <c r="AA167" s="13" t="s">
        <v>146</v>
      </c>
      <c r="AM167" s="115"/>
      <c r="AN167" s="115"/>
      <c r="AO167" s="115"/>
      <c r="AP167" s="127"/>
      <c r="AQ167" s="29"/>
      <c r="BA167" s="25"/>
      <c r="BB167" s="13"/>
      <c r="BG167" s="116"/>
      <c r="BH167" s="123"/>
      <c r="BI167" s="123"/>
      <c r="BJ167" s="123"/>
      <c r="BO167" s="115"/>
      <c r="BP167" s="115"/>
      <c r="BQ167" s="115"/>
      <c r="BR167" s="115"/>
      <c r="BS167" s="115"/>
      <c r="BT167" s="115"/>
      <c r="BU167" s="115"/>
      <c r="BV167" s="115"/>
      <c r="BW167" s="115"/>
      <c r="BX167" s="115"/>
      <c r="BY167" s="25"/>
      <c r="BZ167" s="13"/>
      <c r="CC167" s="114"/>
    </row>
    <row r="168" spans="1:81" ht="20.100000000000001" customHeight="1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26">
        <v>46131</v>
      </c>
      <c r="AA168" s="13" t="s">
        <v>146</v>
      </c>
      <c r="AM168" s="115"/>
      <c r="AN168" s="115"/>
      <c r="AO168" s="115"/>
      <c r="AP168" s="127"/>
      <c r="AQ168" s="29"/>
      <c r="BA168" s="25"/>
      <c r="BB168" s="13"/>
      <c r="BG168" s="116"/>
      <c r="BH168" s="123"/>
      <c r="BI168" s="123"/>
      <c r="BJ168" s="123"/>
      <c r="BO168" s="115"/>
      <c r="BP168" s="115"/>
      <c r="BQ168" s="115"/>
      <c r="BR168" s="115"/>
      <c r="BS168" s="115"/>
      <c r="BT168" s="115"/>
      <c r="BU168" s="115"/>
      <c r="BV168" s="115"/>
      <c r="BW168" s="115"/>
      <c r="BX168" s="115"/>
      <c r="BY168" s="25"/>
      <c r="BZ168" s="13"/>
      <c r="CC168" s="114"/>
    </row>
    <row r="169" spans="1:81" ht="20.100000000000001" customHeight="1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 t="s">
        <v>395</v>
      </c>
      <c r="Z169" s="17">
        <f>SUBTOTAL(3,Z147:Z168)</f>
        <v>22</v>
      </c>
      <c r="AA169" s="13">
        <f>SUBTOTAL(3,AA147:AA168)</f>
        <v>22</v>
      </c>
      <c r="AM169" s="115"/>
      <c r="AN169" s="115"/>
      <c r="AO169" s="115"/>
      <c r="AP169" s="127"/>
      <c r="AQ169" s="29"/>
      <c r="BA169" s="25"/>
      <c r="BB169" s="13"/>
      <c r="BG169" s="116"/>
      <c r="BH169" s="123"/>
      <c r="BI169" s="123"/>
      <c r="BJ169" s="123"/>
      <c r="BO169" s="115"/>
      <c r="BP169" s="115"/>
      <c r="BQ169" s="115"/>
      <c r="BR169" s="115"/>
      <c r="BS169" s="115"/>
      <c r="BT169" s="115"/>
      <c r="BU169" s="115"/>
      <c r="BV169" s="115"/>
      <c r="BW169" s="115"/>
      <c r="BX169" s="115"/>
      <c r="BY169" s="25"/>
      <c r="BZ169" s="13"/>
      <c r="CC169" s="114"/>
    </row>
    <row r="170" spans="1:81" ht="20.100000000000001" customHeight="1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26">
        <v>46133</v>
      </c>
      <c r="AA170" s="13" t="s">
        <v>147</v>
      </c>
      <c r="AM170" s="115"/>
      <c r="AN170" s="115"/>
      <c r="AO170" s="115"/>
      <c r="AP170" s="127"/>
      <c r="AQ170" s="29"/>
      <c r="BA170" s="25"/>
      <c r="BB170" s="13"/>
      <c r="BG170" s="116"/>
      <c r="BH170" s="123"/>
      <c r="BI170" s="123"/>
      <c r="BJ170" s="123"/>
      <c r="BO170" s="115"/>
      <c r="BP170" s="115"/>
      <c r="BQ170" s="115"/>
      <c r="BR170" s="115"/>
      <c r="BS170" s="115"/>
      <c r="BT170" s="115"/>
      <c r="BU170" s="115"/>
      <c r="BV170" s="115"/>
      <c r="BW170" s="115"/>
      <c r="BX170" s="115"/>
      <c r="BY170" s="25"/>
      <c r="BZ170" s="13"/>
      <c r="CC170" s="114"/>
    </row>
    <row r="171" spans="1:81" ht="20.100000000000001" customHeight="1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 t="s">
        <v>207</v>
      </c>
      <c r="Z171" s="17">
        <f>SUBTOTAL(3,Z170:Z170)</f>
        <v>1</v>
      </c>
      <c r="AA171" s="13">
        <f>SUBTOTAL(3,AA170:AA170)</f>
        <v>1</v>
      </c>
      <c r="AM171" s="115"/>
      <c r="AN171" s="115"/>
      <c r="AO171" s="115"/>
      <c r="AP171" s="127"/>
      <c r="AQ171" s="29"/>
      <c r="BA171" s="25"/>
      <c r="BB171" s="13"/>
      <c r="BG171" s="116"/>
      <c r="BH171" s="123"/>
      <c r="BI171" s="123"/>
      <c r="BJ171" s="123"/>
      <c r="BO171" s="115"/>
      <c r="BP171" s="115"/>
      <c r="BQ171" s="115"/>
      <c r="BR171" s="115"/>
      <c r="BS171" s="115"/>
      <c r="BT171" s="115"/>
      <c r="BU171" s="115"/>
      <c r="BV171" s="115"/>
      <c r="BW171" s="115"/>
      <c r="BX171" s="115"/>
      <c r="BY171" s="25"/>
      <c r="BZ171" s="13"/>
      <c r="CC171" s="114"/>
    </row>
    <row r="172" spans="1:81" ht="20.100000000000001" customHeight="1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26">
        <v>46134</v>
      </c>
      <c r="AA172" s="13" t="s">
        <v>146</v>
      </c>
      <c r="AM172" s="115"/>
      <c r="AN172" s="115"/>
      <c r="AO172" s="115"/>
      <c r="AP172" s="127"/>
      <c r="AQ172" s="29"/>
      <c r="BA172" s="25"/>
      <c r="BB172" s="13"/>
      <c r="BG172" s="116"/>
      <c r="BH172" s="123"/>
      <c r="BI172" s="123"/>
      <c r="BJ172" s="123"/>
      <c r="BO172" s="115"/>
      <c r="BP172" s="115"/>
      <c r="BQ172" s="115"/>
      <c r="BR172" s="115"/>
      <c r="BS172" s="115"/>
      <c r="BT172" s="115"/>
      <c r="BU172" s="115"/>
      <c r="BV172" s="115"/>
      <c r="BW172" s="115"/>
      <c r="BX172" s="115"/>
      <c r="BY172" s="25"/>
      <c r="BZ172" s="13"/>
      <c r="CC172" s="114"/>
    </row>
    <row r="173" spans="1:81" ht="20.100000000000001" customHeight="1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 t="s">
        <v>396</v>
      </c>
      <c r="Z173" s="17">
        <f>SUBTOTAL(3,Z172:Z172)</f>
        <v>1</v>
      </c>
      <c r="AA173" s="13">
        <f>SUBTOTAL(3,AA172:AA172)</f>
        <v>1</v>
      </c>
      <c r="AM173" s="115"/>
      <c r="AN173" s="115"/>
      <c r="AO173" s="115"/>
      <c r="AP173" s="127"/>
      <c r="AQ173" s="29"/>
      <c r="BA173" s="25"/>
      <c r="BB173" s="13"/>
      <c r="BG173" s="116"/>
      <c r="BH173" s="123"/>
      <c r="BI173" s="123"/>
      <c r="BJ173" s="123"/>
      <c r="BO173" s="115"/>
      <c r="BP173" s="115"/>
      <c r="BQ173" s="115"/>
      <c r="BR173" s="115"/>
      <c r="BS173" s="115"/>
      <c r="BT173" s="115"/>
      <c r="BU173" s="115"/>
      <c r="BV173" s="115"/>
      <c r="BW173" s="115"/>
      <c r="BX173" s="115"/>
      <c r="BY173" s="25"/>
      <c r="BZ173" s="13"/>
      <c r="CC173" s="114"/>
    </row>
    <row r="174" spans="1:81" ht="20.100000000000001" customHeight="1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26">
        <v>46135</v>
      </c>
      <c r="AA174" s="13" t="s">
        <v>147</v>
      </c>
      <c r="AM174" s="115"/>
      <c r="AN174" s="115"/>
      <c r="AO174" s="115"/>
      <c r="AP174" s="127"/>
      <c r="AQ174" s="29"/>
      <c r="BA174" s="25"/>
      <c r="BB174" s="13"/>
      <c r="BG174" s="116"/>
      <c r="BH174" s="123"/>
      <c r="BI174" s="123"/>
      <c r="BJ174" s="123"/>
      <c r="BO174" s="115"/>
      <c r="BP174" s="115"/>
      <c r="BQ174" s="115"/>
      <c r="BR174" s="115"/>
      <c r="BS174" s="115"/>
      <c r="BT174" s="115"/>
      <c r="BU174" s="115"/>
      <c r="BV174" s="115"/>
      <c r="BW174" s="115"/>
      <c r="BX174" s="115"/>
      <c r="BY174" s="25"/>
      <c r="BZ174" s="13"/>
      <c r="CC174" s="114"/>
    </row>
    <row r="175" spans="1:81" ht="20.100000000000001" customHeight="1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26">
        <v>46135</v>
      </c>
      <c r="AA175" s="13" t="s">
        <v>147</v>
      </c>
      <c r="AM175" s="115"/>
      <c r="AN175" s="115"/>
      <c r="AO175" s="115"/>
      <c r="AP175" s="127"/>
      <c r="AQ175" s="29"/>
      <c r="BA175" s="25"/>
      <c r="BB175" s="13"/>
      <c r="BG175" s="116"/>
      <c r="BH175" s="123"/>
      <c r="BI175" s="123"/>
      <c r="BJ175" s="123"/>
      <c r="BO175" s="115"/>
      <c r="BP175" s="115"/>
      <c r="BQ175" s="115"/>
      <c r="BR175" s="115"/>
      <c r="BS175" s="115"/>
      <c r="BT175" s="115"/>
      <c r="BU175" s="115"/>
      <c r="BV175" s="115"/>
      <c r="BW175" s="115"/>
      <c r="BX175" s="115"/>
      <c r="BY175" s="25"/>
      <c r="BZ175" s="13"/>
      <c r="CC175" s="114"/>
    </row>
    <row r="176" spans="1:81" ht="20.100000000000001" customHeight="1" x14ac:dyDescent="0.4">
      <c r="A176" s="117"/>
      <c r="B176" s="123"/>
      <c r="C176" s="123"/>
      <c r="D176" s="123"/>
      <c r="Z176" s="26">
        <v>46135</v>
      </c>
      <c r="AA176" s="13" t="s">
        <v>148</v>
      </c>
      <c r="AM176" s="115"/>
      <c r="AN176" s="115"/>
      <c r="AO176" s="115"/>
      <c r="AP176" s="29"/>
      <c r="AQ176" s="29"/>
      <c r="BA176" s="25"/>
      <c r="BB176" s="13"/>
      <c r="BG176" s="116"/>
      <c r="BH176" s="123"/>
      <c r="BI176" s="123"/>
      <c r="BJ176" s="123"/>
      <c r="BO176" s="115"/>
      <c r="BP176" s="115"/>
      <c r="BQ176" s="115"/>
      <c r="BR176" s="115"/>
      <c r="BS176" s="115"/>
      <c r="BT176" s="115"/>
      <c r="BU176" s="115"/>
      <c r="BV176" s="115"/>
      <c r="BW176" s="115"/>
      <c r="BX176" s="115"/>
      <c r="BY176" s="25"/>
      <c r="BZ176" s="13"/>
      <c r="CC176" s="114"/>
    </row>
    <row r="177" spans="1:81" ht="20.100000000000001" customHeight="1" x14ac:dyDescent="0.4">
      <c r="A177" s="117"/>
      <c r="B177" s="123"/>
      <c r="C177" s="123"/>
      <c r="D177" s="123"/>
      <c r="X177" s="115"/>
      <c r="Y177" s="115"/>
      <c r="Z177" s="26">
        <v>46135</v>
      </c>
      <c r="AA177" s="13" t="s">
        <v>146</v>
      </c>
      <c r="AM177" s="115"/>
      <c r="AN177" s="115"/>
      <c r="AO177" s="115"/>
      <c r="AP177" s="29"/>
      <c r="AQ177" s="29"/>
      <c r="BA177" s="25"/>
      <c r="BB177" s="13"/>
      <c r="BG177" s="116"/>
      <c r="BH177" s="123"/>
      <c r="BI177" s="123"/>
      <c r="BJ177" s="123"/>
      <c r="BO177" s="115"/>
      <c r="BP177" s="115"/>
      <c r="BQ177" s="115"/>
      <c r="BR177" s="115"/>
      <c r="BS177" s="115"/>
      <c r="BT177" s="115"/>
      <c r="BU177" s="115"/>
      <c r="BV177" s="115"/>
      <c r="BW177" s="115"/>
      <c r="BX177" s="115"/>
      <c r="BY177" s="25"/>
      <c r="BZ177" s="13"/>
      <c r="CC177" s="114"/>
    </row>
    <row r="178" spans="1:81" ht="20.100000000000001" customHeight="1" x14ac:dyDescent="0.4">
      <c r="A178" s="117"/>
      <c r="B178" s="123"/>
      <c r="C178" s="123"/>
      <c r="D178" s="123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26">
        <v>46135</v>
      </c>
      <c r="AA178" s="13" t="s">
        <v>146</v>
      </c>
      <c r="AM178" s="115"/>
      <c r="AN178" s="115"/>
      <c r="AO178" s="115"/>
      <c r="AP178" s="29"/>
      <c r="AQ178" s="29"/>
      <c r="BA178" s="25"/>
      <c r="BB178" s="13"/>
      <c r="BG178" s="116"/>
      <c r="BH178" s="123"/>
      <c r="BI178" s="123"/>
      <c r="BJ178" s="123"/>
      <c r="BO178" s="115"/>
      <c r="BP178" s="115"/>
      <c r="BQ178" s="115"/>
      <c r="BR178" s="115"/>
      <c r="BS178" s="115"/>
      <c r="BT178" s="115"/>
      <c r="BU178" s="115"/>
      <c r="BV178" s="115"/>
      <c r="BW178" s="115"/>
      <c r="BX178" s="115"/>
      <c r="BY178" s="25"/>
      <c r="BZ178" s="13"/>
      <c r="CC178" s="114"/>
    </row>
    <row r="179" spans="1:81" ht="20.100000000000001" customHeight="1" x14ac:dyDescent="0.4">
      <c r="A179" s="117"/>
      <c r="B179" s="123"/>
      <c r="C179" s="123"/>
      <c r="D179" s="123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26">
        <v>46135</v>
      </c>
      <c r="AA179" s="13" t="s">
        <v>146</v>
      </c>
      <c r="AM179" s="115"/>
      <c r="AN179" s="115"/>
      <c r="AO179" s="115"/>
      <c r="AP179" s="29"/>
      <c r="AQ179" s="29"/>
      <c r="BA179" s="25"/>
      <c r="BB179" s="13"/>
      <c r="BG179" s="116"/>
      <c r="BH179" s="123"/>
      <c r="BI179" s="123"/>
      <c r="BJ179" s="123"/>
      <c r="BO179" s="115"/>
      <c r="BP179" s="115"/>
      <c r="BQ179" s="115"/>
      <c r="BR179" s="115"/>
      <c r="BS179" s="115"/>
      <c r="BT179" s="115"/>
      <c r="BU179" s="115"/>
      <c r="BV179" s="115"/>
      <c r="BW179" s="115"/>
      <c r="BX179" s="115"/>
      <c r="BY179" s="25"/>
      <c r="BZ179" s="13"/>
      <c r="CC179" s="114"/>
    </row>
    <row r="180" spans="1:81" ht="20.100000000000001" customHeight="1" x14ac:dyDescent="0.4">
      <c r="A180" s="117"/>
      <c r="B180" s="123"/>
      <c r="C180" s="123"/>
      <c r="D180" s="123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26">
        <v>46135</v>
      </c>
      <c r="AA180" s="13" t="s">
        <v>146</v>
      </c>
      <c r="AM180" s="115"/>
      <c r="AN180" s="115"/>
      <c r="AO180" s="115"/>
      <c r="AP180" s="29"/>
      <c r="AQ180" s="29"/>
      <c r="BA180" s="25"/>
      <c r="BB180" s="13"/>
      <c r="BG180" s="116"/>
      <c r="BH180" s="123"/>
      <c r="BI180" s="123"/>
      <c r="BJ180" s="123"/>
      <c r="BO180" s="115"/>
      <c r="BP180" s="115"/>
      <c r="BQ180" s="115"/>
      <c r="BR180" s="115"/>
      <c r="BS180" s="115"/>
      <c r="BT180" s="115"/>
      <c r="BU180" s="115"/>
      <c r="BV180" s="115"/>
      <c r="BW180" s="115"/>
      <c r="BX180" s="115"/>
      <c r="BY180" s="25"/>
      <c r="BZ180" s="13"/>
      <c r="CC180" s="114"/>
    </row>
    <row r="181" spans="1:81" ht="20.100000000000001" customHeight="1" x14ac:dyDescent="0.4">
      <c r="A181" s="117"/>
      <c r="B181" s="123"/>
      <c r="C181" s="123"/>
      <c r="D181" s="123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26">
        <v>46135</v>
      </c>
      <c r="AA181" s="15" t="s">
        <v>146</v>
      </c>
      <c r="AM181" s="115"/>
      <c r="AN181" s="115"/>
      <c r="AO181" s="115"/>
      <c r="AP181" s="29"/>
      <c r="AQ181" s="29"/>
      <c r="BA181" s="25"/>
      <c r="BB181" s="13"/>
      <c r="BG181" s="116"/>
      <c r="BH181" s="123"/>
      <c r="BI181" s="123"/>
      <c r="BJ181" s="123"/>
      <c r="BO181" s="115"/>
      <c r="BP181" s="115"/>
      <c r="BQ181" s="115"/>
      <c r="BR181" s="115"/>
      <c r="BS181" s="115"/>
      <c r="BT181" s="115"/>
      <c r="BU181" s="115"/>
      <c r="BV181" s="115"/>
      <c r="BW181" s="115"/>
      <c r="BX181" s="115"/>
      <c r="BY181" s="25"/>
      <c r="BZ181" s="13"/>
      <c r="CC181" s="114"/>
    </row>
    <row r="182" spans="1:81" ht="20.100000000000001" customHeight="1" x14ac:dyDescent="0.4">
      <c r="A182" s="117"/>
      <c r="B182" s="123"/>
      <c r="C182" s="123"/>
      <c r="D182" s="123"/>
      <c r="Z182" s="26">
        <v>46135</v>
      </c>
      <c r="AA182" s="15" t="s">
        <v>146</v>
      </c>
      <c r="AL182" s="115"/>
      <c r="AM182" s="115"/>
      <c r="AN182" s="115"/>
      <c r="AO182" s="115"/>
      <c r="AP182" s="127"/>
      <c r="AQ182" s="29"/>
      <c r="BA182" s="25"/>
      <c r="BB182" s="13"/>
      <c r="BG182" s="116"/>
      <c r="BH182" s="123"/>
      <c r="BI182" s="123"/>
      <c r="BJ182" s="123"/>
      <c r="BO182" s="115"/>
      <c r="BP182" s="115"/>
      <c r="BQ182" s="115"/>
      <c r="BR182" s="115"/>
      <c r="BS182" s="115"/>
      <c r="BT182" s="115"/>
      <c r="BU182" s="115"/>
      <c r="BV182" s="115"/>
      <c r="BW182" s="115"/>
      <c r="BX182" s="115"/>
      <c r="BY182" s="25"/>
      <c r="BZ182" s="13"/>
      <c r="CC182" s="114"/>
    </row>
    <row r="183" spans="1:81" ht="20.100000000000001" customHeight="1" x14ac:dyDescent="0.4">
      <c r="A183" s="117"/>
      <c r="B183" s="123"/>
      <c r="C183" s="123"/>
      <c r="D183" s="123"/>
      <c r="R183" s="115"/>
      <c r="S183" s="115"/>
      <c r="T183" s="115"/>
      <c r="U183" s="115"/>
      <c r="V183" s="115"/>
      <c r="W183" s="115"/>
      <c r="X183" s="115"/>
      <c r="Y183" s="115"/>
      <c r="Z183" s="26">
        <v>46135</v>
      </c>
      <c r="AA183" s="15" t="s">
        <v>146</v>
      </c>
      <c r="AL183" s="115"/>
      <c r="AM183" s="115"/>
      <c r="AN183" s="115"/>
      <c r="AO183" s="115"/>
      <c r="AP183" s="127"/>
      <c r="AQ183" s="29"/>
      <c r="BA183" s="25"/>
      <c r="BB183" s="13"/>
      <c r="BG183" s="116"/>
      <c r="BH183" s="123"/>
      <c r="BI183" s="123"/>
      <c r="BJ183" s="123"/>
      <c r="BO183" s="115"/>
      <c r="BP183" s="115"/>
      <c r="BQ183" s="115"/>
      <c r="BR183" s="115"/>
      <c r="BS183" s="115"/>
      <c r="BT183" s="115"/>
      <c r="BU183" s="115"/>
      <c r="BV183" s="115"/>
      <c r="BW183" s="115"/>
      <c r="BX183" s="115"/>
      <c r="BY183" s="25"/>
      <c r="BZ183" s="13"/>
      <c r="CC183" s="114"/>
    </row>
    <row r="184" spans="1:81" ht="20.100000000000001" customHeight="1" x14ac:dyDescent="0.4">
      <c r="A184" s="117"/>
      <c r="B184" s="123"/>
      <c r="C184" s="123"/>
      <c r="D184" s="123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26">
        <v>46135</v>
      </c>
      <c r="AA184" s="13" t="s">
        <v>146</v>
      </c>
      <c r="AL184" s="115"/>
      <c r="AM184" s="115"/>
      <c r="AN184" s="115"/>
      <c r="AO184" s="115"/>
      <c r="AP184" s="127"/>
      <c r="AQ184" s="29"/>
      <c r="BA184" s="25"/>
      <c r="BB184" s="13"/>
      <c r="BG184" s="116"/>
      <c r="BH184" s="123"/>
      <c r="BI184" s="123"/>
      <c r="BJ184" s="123"/>
      <c r="BO184" s="115"/>
      <c r="BP184" s="115"/>
      <c r="BQ184" s="115"/>
      <c r="BR184" s="115"/>
      <c r="BS184" s="115"/>
      <c r="BT184" s="115"/>
      <c r="BU184" s="115"/>
      <c r="BV184" s="115"/>
      <c r="BW184" s="115"/>
      <c r="BX184" s="115"/>
      <c r="BY184" s="25"/>
      <c r="BZ184" s="13"/>
      <c r="CC184" s="114"/>
    </row>
    <row r="185" spans="1:81" ht="20.100000000000001" customHeight="1" x14ac:dyDescent="0.4">
      <c r="A185" s="117"/>
      <c r="B185" s="123"/>
      <c r="C185" s="123"/>
      <c r="D185" s="123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26">
        <v>46135</v>
      </c>
      <c r="AA185" s="13" t="s">
        <v>146</v>
      </c>
      <c r="AL185" s="115"/>
      <c r="AM185" s="115"/>
      <c r="AN185" s="115"/>
      <c r="AO185" s="115"/>
      <c r="AP185" s="127"/>
      <c r="AQ185" s="29"/>
      <c r="BA185" s="25"/>
      <c r="BB185" s="13"/>
      <c r="BG185" s="116"/>
      <c r="BH185" s="123"/>
      <c r="BI185" s="123"/>
      <c r="BJ185" s="123"/>
      <c r="BO185" s="115"/>
      <c r="BP185" s="115"/>
      <c r="BQ185" s="115"/>
      <c r="BR185" s="115"/>
      <c r="BS185" s="115"/>
      <c r="BT185" s="115"/>
      <c r="BU185" s="115"/>
      <c r="BV185" s="115"/>
      <c r="BW185" s="115"/>
      <c r="BX185" s="115"/>
      <c r="BY185" s="25"/>
      <c r="BZ185" s="13"/>
      <c r="CC185" s="114"/>
    </row>
    <row r="186" spans="1:81" ht="20.100000000000001" customHeight="1" x14ac:dyDescent="0.4">
      <c r="A186" s="117"/>
      <c r="B186" s="123"/>
      <c r="C186" s="123"/>
      <c r="D186" s="123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26">
        <v>46135</v>
      </c>
      <c r="AA186" s="13" t="s">
        <v>146</v>
      </c>
      <c r="AL186" s="115"/>
      <c r="AM186" s="115"/>
      <c r="AN186" s="115"/>
      <c r="AO186" s="115"/>
      <c r="AP186" s="127"/>
      <c r="AQ186" s="29"/>
      <c r="BA186" s="25"/>
      <c r="BB186" s="13"/>
      <c r="BG186" s="116"/>
      <c r="BH186" s="123"/>
      <c r="BI186" s="123"/>
      <c r="BJ186" s="123"/>
      <c r="BO186" s="115"/>
      <c r="BP186" s="115"/>
      <c r="BQ186" s="115"/>
      <c r="BR186" s="115"/>
      <c r="BS186" s="115"/>
      <c r="BT186" s="115"/>
      <c r="BU186" s="115"/>
      <c r="BV186" s="115"/>
      <c r="BW186" s="115"/>
      <c r="BX186" s="115"/>
      <c r="BY186" s="25"/>
      <c r="BZ186" s="13"/>
      <c r="CC186" s="114"/>
    </row>
    <row r="187" spans="1:81" ht="20.100000000000001" customHeight="1" x14ac:dyDescent="0.4">
      <c r="A187" s="117"/>
      <c r="B187" s="123"/>
      <c r="C187" s="123"/>
      <c r="D187" s="123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 t="s">
        <v>397</v>
      </c>
      <c r="Z187" s="17">
        <f>SUBTOTAL(3,Z174:Z186)</f>
        <v>13</v>
      </c>
      <c r="AA187" s="13">
        <f>SUBTOTAL(3,AA174:AA186)</f>
        <v>13</v>
      </c>
      <c r="AL187" s="115"/>
      <c r="AM187" s="115"/>
      <c r="AN187" s="115"/>
      <c r="AO187" s="115"/>
      <c r="AP187" s="127"/>
      <c r="AQ187" s="29"/>
      <c r="BA187" s="25"/>
      <c r="BB187" s="13"/>
      <c r="BG187" s="116"/>
      <c r="BH187" s="123"/>
      <c r="BI187" s="123"/>
      <c r="BJ187" s="123"/>
      <c r="BO187" s="115"/>
      <c r="BP187" s="115"/>
      <c r="BQ187" s="115"/>
      <c r="BR187" s="115"/>
      <c r="BS187" s="115"/>
      <c r="BT187" s="115"/>
      <c r="BU187" s="115"/>
      <c r="BV187" s="115"/>
      <c r="BW187" s="115"/>
      <c r="BX187" s="115"/>
      <c r="BY187" s="25"/>
      <c r="BZ187" s="13"/>
      <c r="CC187" s="114"/>
    </row>
    <row r="188" spans="1:81" ht="20.100000000000001" customHeight="1" x14ac:dyDescent="0.4">
      <c r="A188" s="117"/>
      <c r="B188" s="123"/>
      <c r="C188" s="123"/>
      <c r="D188" s="123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26">
        <v>46138</v>
      </c>
      <c r="AA188" s="13" t="s">
        <v>146</v>
      </c>
      <c r="AL188" s="115"/>
      <c r="AM188" s="115"/>
      <c r="AN188" s="115"/>
      <c r="AO188" s="115"/>
      <c r="AP188" s="127"/>
      <c r="AQ188" s="29"/>
      <c r="BA188" s="25"/>
      <c r="BB188" s="13"/>
      <c r="BG188" s="116"/>
      <c r="BH188" s="123"/>
      <c r="BI188" s="123"/>
      <c r="BJ188" s="123"/>
      <c r="BO188" s="115"/>
      <c r="BP188" s="115"/>
      <c r="BQ188" s="115"/>
      <c r="BR188" s="115"/>
      <c r="BS188" s="115"/>
      <c r="BT188" s="115"/>
      <c r="BU188" s="115"/>
      <c r="BV188" s="115"/>
      <c r="BW188" s="115"/>
      <c r="BX188" s="115"/>
      <c r="BY188" s="25"/>
      <c r="BZ188" s="13"/>
      <c r="CC188" s="114"/>
    </row>
    <row r="189" spans="1:81" ht="20.100000000000001" customHeight="1" x14ac:dyDescent="0.4">
      <c r="A189" s="117"/>
      <c r="B189" s="123"/>
      <c r="C189" s="123"/>
      <c r="D189" s="123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26">
        <v>46138</v>
      </c>
      <c r="AA189" s="13" t="s">
        <v>146</v>
      </c>
      <c r="AL189" s="115"/>
      <c r="AM189" s="115"/>
      <c r="AN189" s="115"/>
      <c r="AO189" s="115"/>
      <c r="AP189" s="127"/>
      <c r="AQ189" s="29"/>
      <c r="BA189" s="25"/>
      <c r="BB189" s="13"/>
      <c r="BG189" s="116"/>
      <c r="BH189" s="123"/>
      <c r="BI189" s="123"/>
      <c r="BJ189" s="123"/>
      <c r="BO189" s="115"/>
      <c r="BP189" s="115"/>
      <c r="BQ189" s="115"/>
      <c r="BR189" s="115"/>
      <c r="BS189" s="115"/>
      <c r="BT189" s="115"/>
      <c r="BU189" s="115"/>
      <c r="BV189" s="115"/>
      <c r="BW189" s="115"/>
      <c r="BX189" s="115"/>
      <c r="BY189" s="25"/>
      <c r="BZ189" s="13"/>
      <c r="CC189" s="114"/>
    </row>
    <row r="190" spans="1:81" ht="20.100000000000001" customHeight="1" x14ac:dyDescent="0.4">
      <c r="A190" s="117"/>
      <c r="B190" s="123"/>
      <c r="C190" s="123"/>
      <c r="D190" s="123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26">
        <v>46138</v>
      </c>
      <c r="AA190" s="13" t="s">
        <v>147</v>
      </c>
      <c r="AL190" s="115"/>
      <c r="AM190" s="115"/>
      <c r="AN190" s="115"/>
      <c r="AO190" s="115"/>
      <c r="AP190" s="127"/>
      <c r="AQ190" s="29"/>
      <c r="BA190" s="25"/>
      <c r="BB190" s="13"/>
      <c r="BG190" s="116"/>
      <c r="BH190" s="123"/>
      <c r="BI190" s="123"/>
      <c r="BJ190" s="123"/>
      <c r="BO190" s="115"/>
      <c r="BP190" s="115"/>
      <c r="BQ190" s="115"/>
      <c r="BR190" s="115"/>
      <c r="BS190" s="115"/>
      <c r="BT190" s="115"/>
      <c r="BU190" s="115"/>
      <c r="BV190" s="115"/>
      <c r="BW190" s="115"/>
      <c r="BX190" s="115"/>
      <c r="BY190" s="25"/>
      <c r="BZ190" s="13"/>
      <c r="CC190" s="114"/>
    </row>
    <row r="191" spans="1:81" ht="20.100000000000001" customHeight="1" x14ac:dyDescent="0.4">
      <c r="A191" s="117"/>
      <c r="B191" s="123"/>
      <c r="C191" s="123"/>
      <c r="D191" s="123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26">
        <v>46138</v>
      </c>
      <c r="AA191" s="13" t="s">
        <v>148</v>
      </c>
      <c r="AL191" s="115"/>
      <c r="AM191" s="115"/>
      <c r="AN191" s="115"/>
      <c r="AO191" s="115"/>
      <c r="AP191" s="127"/>
      <c r="AQ191" s="29"/>
      <c r="BA191" s="25"/>
      <c r="BB191" s="13"/>
      <c r="BG191" s="116"/>
      <c r="BH191" s="123"/>
      <c r="BI191" s="123"/>
      <c r="BJ191" s="123"/>
      <c r="BO191" s="115"/>
      <c r="BP191" s="115"/>
      <c r="BQ191" s="115"/>
      <c r="BR191" s="115"/>
      <c r="BS191" s="115"/>
      <c r="BT191" s="115"/>
      <c r="BU191" s="115"/>
      <c r="BV191" s="115"/>
      <c r="BW191" s="115"/>
      <c r="BX191" s="115"/>
      <c r="BY191" s="25"/>
      <c r="BZ191" s="13"/>
      <c r="CC191" s="114"/>
    </row>
    <row r="192" spans="1:81" ht="20.100000000000001" customHeight="1" x14ac:dyDescent="0.4">
      <c r="A192" s="117"/>
      <c r="B192" s="123"/>
      <c r="C192" s="123"/>
      <c r="D192" s="123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 t="s">
        <v>398</v>
      </c>
      <c r="Z192" s="17">
        <f>SUBTOTAL(3,Z188:Z191)</f>
        <v>4</v>
      </c>
      <c r="AA192" s="13">
        <f>SUBTOTAL(3,AA188:AA191)</f>
        <v>4</v>
      </c>
      <c r="AL192" s="115"/>
      <c r="AM192" s="115"/>
      <c r="AN192" s="115"/>
      <c r="AO192" s="115"/>
      <c r="AP192" s="127"/>
      <c r="AQ192" s="29"/>
      <c r="BA192" s="25"/>
      <c r="BB192" s="13"/>
      <c r="BG192" s="116"/>
      <c r="BH192" s="123"/>
      <c r="BI192" s="123"/>
      <c r="BJ192" s="123"/>
      <c r="BO192" s="115"/>
      <c r="BP192" s="115"/>
      <c r="BQ192" s="115"/>
      <c r="BR192" s="115"/>
      <c r="BS192" s="115"/>
      <c r="BT192" s="115"/>
      <c r="BU192" s="115"/>
      <c r="BV192" s="115"/>
      <c r="BW192" s="115"/>
      <c r="BX192" s="115"/>
      <c r="BY192" s="25"/>
      <c r="BZ192" s="13"/>
      <c r="CC192" s="114"/>
    </row>
    <row r="193" spans="1:81" ht="20.100000000000001" customHeight="1" x14ac:dyDescent="0.4">
      <c r="A193" s="117"/>
      <c r="B193" s="123"/>
      <c r="C193" s="123"/>
      <c r="D193" s="123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26">
        <v>46140</v>
      </c>
      <c r="AA193" s="13" t="s">
        <v>146</v>
      </c>
      <c r="AL193" s="115"/>
      <c r="AM193" s="115"/>
      <c r="AN193" s="115"/>
      <c r="AO193" s="115"/>
      <c r="AP193" s="127"/>
      <c r="AQ193" s="29"/>
      <c r="BA193" s="25"/>
      <c r="BB193" s="13"/>
      <c r="BG193" s="116"/>
      <c r="BH193" s="123"/>
      <c r="BI193" s="123"/>
      <c r="BJ193" s="123"/>
      <c r="BO193" s="115"/>
      <c r="BP193" s="115"/>
      <c r="BQ193" s="115"/>
      <c r="BR193" s="115"/>
      <c r="BS193" s="115"/>
      <c r="BT193" s="115"/>
      <c r="BU193" s="115"/>
      <c r="BV193" s="115"/>
      <c r="BW193" s="115"/>
      <c r="BX193" s="115"/>
      <c r="BY193" s="25"/>
      <c r="BZ193" s="13"/>
      <c r="CC193" s="114"/>
    </row>
    <row r="194" spans="1:81" ht="20.100000000000001" customHeight="1" x14ac:dyDescent="0.4">
      <c r="A194" s="117"/>
      <c r="B194" s="123"/>
      <c r="C194" s="123"/>
      <c r="D194" s="123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26">
        <v>46140</v>
      </c>
      <c r="AA194" s="13" t="s">
        <v>146</v>
      </c>
      <c r="AL194" s="115"/>
      <c r="AM194" s="115"/>
      <c r="AN194" s="115"/>
      <c r="AO194" s="115"/>
      <c r="AP194" s="127"/>
      <c r="AQ194" s="29"/>
      <c r="BA194" s="25"/>
      <c r="BB194" s="13"/>
      <c r="BG194" s="116"/>
      <c r="BH194" s="123"/>
      <c r="BI194" s="123"/>
      <c r="BJ194" s="123"/>
      <c r="BO194" s="115"/>
      <c r="BP194" s="115"/>
      <c r="BQ194" s="115"/>
      <c r="BR194" s="115"/>
      <c r="BS194" s="115"/>
      <c r="BT194" s="115"/>
      <c r="BU194" s="115"/>
      <c r="BV194" s="115"/>
      <c r="BW194" s="115"/>
      <c r="BX194" s="115"/>
      <c r="BY194" s="25"/>
      <c r="BZ194" s="13"/>
      <c r="CC194" s="114"/>
    </row>
    <row r="195" spans="1:81" ht="20.100000000000001" customHeight="1" x14ac:dyDescent="0.4">
      <c r="A195" s="117"/>
      <c r="B195" s="123"/>
      <c r="C195" s="123"/>
      <c r="D195" s="123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26">
        <v>46140</v>
      </c>
      <c r="AA195" s="13" t="s">
        <v>146</v>
      </c>
      <c r="AL195" s="115"/>
      <c r="AM195" s="115"/>
      <c r="AN195" s="115"/>
      <c r="AO195" s="115"/>
      <c r="AP195" s="127"/>
      <c r="AQ195" s="29"/>
      <c r="BA195" s="25"/>
      <c r="BB195" s="13"/>
      <c r="BG195" s="116"/>
      <c r="BH195" s="123"/>
      <c r="BI195" s="123"/>
      <c r="BJ195" s="123"/>
      <c r="BO195" s="115"/>
      <c r="BP195" s="115"/>
      <c r="BQ195" s="115"/>
      <c r="BR195" s="115"/>
      <c r="BS195" s="115"/>
      <c r="BT195" s="115"/>
      <c r="BU195" s="115"/>
      <c r="BV195" s="115"/>
      <c r="BW195" s="115"/>
      <c r="BX195" s="115"/>
      <c r="BY195" s="25"/>
      <c r="BZ195" s="13"/>
      <c r="CC195" s="114"/>
    </row>
    <row r="196" spans="1:81" ht="20.100000000000001" customHeight="1" x14ac:dyDescent="0.4">
      <c r="A196" s="117"/>
      <c r="B196" s="123"/>
      <c r="C196" s="123"/>
      <c r="D196" s="123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26">
        <v>46140</v>
      </c>
      <c r="AA196" s="15" t="s">
        <v>146</v>
      </c>
      <c r="AL196" s="115"/>
      <c r="AM196" s="115"/>
      <c r="AN196" s="115"/>
      <c r="AO196" s="115"/>
      <c r="AP196" s="127"/>
      <c r="AQ196" s="29"/>
      <c r="BA196" s="25"/>
      <c r="BB196" s="13"/>
      <c r="BG196" s="116"/>
      <c r="BH196" s="123"/>
      <c r="BI196" s="123"/>
      <c r="BJ196" s="123"/>
      <c r="BO196" s="115"/>
      <c r="BP196" s="115"/>
      <c r="BQ196" s="115"/>
      <c r="BR196" s="115"/>
      <c r="BS196" s="115"/>
      <c r="BT196" s="115"/>
      <c r="BU196" s="115"/>
      <c r="BV196" s="115"/>
      <c r="BW196" s="115"/>
      <c r="BX196" s="115"/>
      <c r="BY196" s="25"/>
      <c r="BZ196" s="13"/>
      <c r="CC196" s="114"/>
    </row>
    <row r="197" spans="1:81" ht="20.100000000000001" customHeight="1" x14ac:dyDescent="0.4">
      <c r="A197" s="117"/>
      <c r="B197" s="123"/>
      <c r="C197" s="123"/>
      <c r="D197" s="123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26">
        <v>46140</v>
      </c>
      <c r="AA197" s="15" t="s">
        <v>146</v>
      </c>
      <c r="AL197" s="115"/>
      <c r="AM197" s="115"/>
      <c r="AN197" s="115"/>
      <c r="AO197" s="115"/>
      <c r="AP197" s="127"/>
      <c r="AQ197" s="29"/>
      <c r="BA197" s="25"/>
      <c r="BB197" s="13"/>
      <c r="BG197" s="116"/>
      <c r="BH197" s="123"/>
      <c r="BI197" s="123"/>
      <c r="BJ197" s="123"/>
      <c r="BO197" s="115"/>
      <c r="BP197" s="115"/>
      <c r="BQ197" s="115"/>
      <c r="BR197" s="115"/>
      <c r="BS197" s="115"/>
      <c r="BT197" s="115"/>
      <c r="BU197" s="115"/>
      <c r="BV197" s="115"/>
      <c r="BW197" s="115"/>
      <c r="BX197" s="115"/>
      <c r="BY197" s="25"/>
      <c r="BZ197" s="13"/>
      <c r="CC197" s="114"/>
    </row>
    <row r="198" spans="1:81" ht="20.100000000000001" customHeight="1" x14ac:dyDescent="0.4">
      <c r="A198" s="117"/>
      <c r="B198" s="123"/>
      <c r="C198" s="123"/>
      <c r="D198" s="123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26">
        <v>46140</v>
      </c>
      <c r="AA198" s="15" t="s">
        <v>146</v>
      </c>
      <c r="AL198" s="115"/>
      <c r="AM198" s="115"/>
      <c r="AN198" s="115"/>
      <c r="AO198" s="115"/>
      <c r="AP198" s="127"/>
      <c r="AQ198" s="29"/>
      <c r="BA198" s="25"/>
      <c r="BB198" s="13"/>
      <c r="BG198" s="116"/>
      <c r="BH198" s="123"/>
      <c r="BI198" s="123"/>
      <c r="BJ198" s="123"/>
      <c r="BO198" s="115"/>
      <c r="BP198" s="115"/>
      <c r="BQ198" s="115"/>
      <c r="BR198" s="115"/>
      <c r="BS198" s="115"/>
      <c r="BT198" s="115"/>
      <c r="BU198" s="115"/>
      <c r="BV198" s="115"/>
      <c r="BW198" s="115"/>
      <c r="BX198" s="115"/>
      <c r="BY198" s="25"/>
      <c r="BZ198" s="13"/>
      <c r="CC198" s="114"/>
    </row>
    <row r="199" spans="1:81" ht="20.100000000000001" customHeight="1" x14ac:dyDescent="0.4">
      <c r="A199" s="117"/>
      <c r="B199" s="123"/>
      <c r="C199" s="123"/>
      <c r="D199" s="123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 t="s">
        <v>399</v>
      </c>
      <c r="Z199" s="17">
        <f>SUBTOTAL(3,Z193:Z198)</f>
        <v>6</v>
      </c>
      <c r="AA199" s="13">
        <f>SUBTOTAL(3,AA193:AA198)</f>
        <v>6</v>
      </c>
      <c r="AL199" s="115"/>
      <c r="AM199" s="115"/>
      <c r="AN199" s="115"/>
      <c r="AO199" s="115"/>
      <c r="AP199" s="127"/>
      <c r="AQ199" s="29"/>
      <c r="BA199" s="25"/>
      <c r="BB199" s="13"/>
      <c r="BG199" s="116"/>
      <c r="BH199" s="123"/>
      <c r="BI199" s="123"/>
      <c r="BJ199" s="123"/>
      <c r="BO199" s="115"/>
      <c r="BP199" s="115"/>
      <c r="BQ199" s="115"/>
      <c r="BR199" s="115"/>
      <c r="BS199" s="115"/>
      <c r="BT199" s="115"/>
      <c r="BU199" s="115"/>
      <c r="BV199" s="115"/>
      <c r="BW199" s="115"/>
      <c r="BX199" s="115"/>
      <c r="BY199" s="25"/>
      <c r="BZ199" s="13"/>
      <c r="CC199" s="114"/>
    </row>
    <row r="200" spans="1:81" ht="20.100000000000001" customHeight="1" x14ac:dyDescent="0.4">
      <c r="A200" s="117"/>
      <c r="B200" s="123"/>
      <c r="C200" s="123"/>
      <c r="D200" s="123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 t="s">
        <v>145</v>
      </c>
      <c r="Z200" s="17">
        <f>SUBTOTAL(3,Z2:Z198)</f>
        <v>175</v>
      </c>
      <c r="AA200" s="13">
        <f>SUBTOTAL(3,AA2:AA198)</f>
        <v>175</v>
      </c>
      <c r="AL200" s="115"/>
      <c r="AM200" s="115"/>
      <c r="AN200" s="115"/>
      <c r="AO200" s="115"/>
      <c r="AP200" s="127"/>
      <c r="AQ200" s="29"/>
      <c r="BA200" s="25"/>
      <c r="BB200" s="13"/>
      <c r="BG200" s="116"/>
      <c r="BH200" s="123"/>
      <c r="BI200" s="123"/>
      <c r="BJ200" s="123"/>
      <c r="BO200" s="115"/>
      <c r="BP200" s="115"/>
      <c r="BQ200" s="115"/>
      <c r="BR200" s="115"/>
      <c r="BS200" s="115"/>
      <c r="BT200" s="115"/>
      <c r="BU200" s="115"/>
      <c r="BV200" s="115"/>
      <c r="BW200" s="115"/>
      <c r="BX200" s="115"/>
      <c r="BY200" s="25"/>
      <c r="BZ200" s="13"/>
      <c r="CC200" s="114"/>
    </row>
    <row r="201" spans="1:81" ht="20.100000000000001" customHeight="1" x14ac:dyDescent="0.4">
      <c r="A201" s="117"/>
      <c r="B201" s="123"/>
      <c r="C201" s="123"/>
      <c r="D201" s="123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26"/>
      <c r="AA201" s="13"/>
      <c r="AL201" s="115"/>
      <c r="AM201" s="115"/>
      <c r="AN201" s="115"/>
      <c r="AO201" s="115"/>
      <c r="AP201" s="127"/>
      <c r="AQ201" s="29"/>
      <c r="BA201" s="25"/>
      <c r="BB201" s="13"/>
      <c r="BG201" s="116"/>
      <c r="BH201" s="123"/>
      <c r="BI201" s="123"/>
      <c r="BJ201" s="123"/>
      <c r="BO201" s="115"/>
      <c r="BP201" s="115"/>
      <c r="BQ201" s="115"/>
      <c r="BR201" s="115"/>
      <c r="BS201" s="115"/>
      <c r="BT201" s="115"/>
      <c r="BU201" s="115"/>
      <c r="BV201" s="115"/>
      <c r="BW201" s="115"/>
      <c r="BX201" s="115"/>
      <c r="BY201" s="25"/>
      <c r="BZ201" s="13"/>
      <c r="CC201" s="114"/>
    </row>
    <row r="202" spans="1:81" ht="20.100000000000001" customHeight="1" x14ac:dyDescent="0.4">
      <c r="A202" s="117"/>
      <c r="B202" s="123"/>
      <c r="C202" s="123"/>
      <c r="D202" s="123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7"/>
      <c r="AA202" s="13"/>
      <c r="AL202" s="115"/>
      <c r="AM202" s="115"/>
      <c r="AN202" s="115"/>
      <c r="AO202" s="115"/>
      <c r="AP202" s="127"/>
      <c r="AQ202" s="29"/>
      <c r="BA202" s="25"/>
      <c r="BB202" s="13"/>
      <c r="BG202" s="116"/>
      <c r="BH202" s="123"/>
      <c r="BI202" s="123"/>
      <c r="BJ202" s="123"/>
      <c r="BO202" s="115"/>
      <c r="BP202" s="115"/>
      <c r="BQ202" s="115"/>
      <c r="BR202" s="115"/>
      <c r="BS202" s="115"/>
      <c r="BT202" s="115"/>
      <c r="BU202" s="115"/>
      <c r="BV202" s="115"/>
      <c r="BW202" s="115"/>
      <c r="BX202" s="115"/>
      <c r="BY202" s="25"/>
      <c r="BZ202" s="13"/>
      <c r="CC202" s="114"/>
    </row>
    <row r="203" spans="1:81" ht="20.100000000000001" customHeight="1" x14ac:dyDescent="0.4">
      <c r="A203" s="117"/>
      <c r="B203" s="123"/>
      <c r="C203" s="123"/>
      <c r="D203" s="123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26"/>
      <c r="AA203" s="13"/>
      <c r="AL203" s="115"/>
      <c r="AM203" s="115"/>
      <c r="AN203" s="115"/>
      <c r="AO203" s="115"/>
      <c r="AP203" s="127"/>
      <c r="AQ203" s="29"/>
      <c r="BA203" s="25"/>
      <c r="BB203" s="13"/>
      <c r="BG203" s="116"/>
      <c r="BH203" s="123"/>
      <c r="BI203" s="123"/>
      <c r="BJ203" s="123"/>
      <c r="BO203" s="115"/>
      <c r="BP203" s="115"/>
      <c r="BQ203" s="115"/>
      <c r="BR203" s="115"/>
      <c r="BS203" s="115"/>
      <c r="BT203" s="115"/>
      <c r="BU203" s="115"/>
      <c r="BV203" s="115"/>
      <c r="BW203" s="115"/>
      <c r="BX203" s="115"/>
      <c r="BY203" s="25"/>
      <c r="BZ203" s="13"/>
      <c r="CC203" s="114"/>
    </row>
    <row r="204" spans="1:81" ht="20.100000000000001" customHeight="1" x14ac:dyDescent="0.4">
      <c r="A204" s="117"/>
      <c r="B204" s="123"/>
      <c r="C204" s="123"/>
      <c r="D204" s="123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26"/>
      <c r="AA204" s="13"/>
      <c r="AL204" s="115"/>
      <c r="AM204" s="115"/>
      <c r="AN204" s="115"/>
      <c r="AO204" s="115"/>
      <c r="AP204" s="127"/>
      <c r="AQ204" s="29"/>
      <c r="BA204" s="25"/>
      <c r="BB204" s="13"/>
      <c r="BG204" s="116"/>
      <c r="BH204" s="123"/>
      <c r="BI204" s="123"/>
      <c r="BJ204" s="123"/>
      <c r="BO204" s="115"/>
      <c r="BP204" s="115"/>
      <c r="BQ204" s="115"/>
      <c r="BR204" s="115"/>
      <c r="BS204" s="115"/>
      <c r="BT204" s="115"/>
      <c r="BU204" s="115"/>
      <c r="BV204" s="115"/>
      <c r="BW204" s="115"/>
      <c r="BX204" s="115"/>
      <c r="BY204" s="25"/>
      <c r="BZ204" s="13"/>
      <c r="CC204" s="114"/>
    </row>
    <row r="205" spans="1:81" ht="20.100000000000001" customHeight="1" x14ac:dyDescent="0.4">
      <c r="A205" s="117"/>
      <c r="B205" s="123"/>
      <c r="C205" s="123"/>
      <c r="D205" s="123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26"/>
      <c r="AA205" s="13"/>
      <c r="AL205" s="115"/>
      <c r="AM205" s="115"/>
      <c r="AN205" s="115"/>
      <c r="AO205" s="115"/>
      <c r="AP205" s="127"/>
      <c r="AQ205" s="29"/>
      <c r="BA205" s="25"/>
      <c r="BB205" s="13"/>
      <c r="BG205" s="116"/>
      <c r="BH205" s="123"/>
      <c r="BI205" s="123"/>
      <c r="BJ205" s="123"/>
      <c r="BO205" s="115"/>
      <c r="BP205" s="115"/>
      <c r="BQ205" s="115"/>
      <c r="BR205" s="115"/>
      <c r="BS205" s="115"/>
      <c r="BT205" s="115"/>
      <c r="BU205" s="115"/>
      <c r="BV205" s="115"/>
      <c r="BW205" s="115"/>
      <c r="BX205" s="115"/>
      <c r="BY205" s="25"/>
      <c r="BZ205" s="13"/>
      <c r="CC205" s="114"/>
    </row>
    <row r="206" spans="1:81" ht="20.100000000000001" customHeight="1" x14ac:dyDescent="0.4">
      <c r="A206" s="117"/>
      <c r="B206" s="123"/>
      <c r="C206" s="123"/>
      <c r="D206" s="123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7"/>
      <c r="AA206" s="13"/>
      <c r="AL206" s="115"/>
      <c r="AM206" s="115"/>
      <c r="AN206" s="115"/>
      <c r="AO206" s="115"/>
      <c r="AP206" s="127"/>
      <c r="AQ206" s="29"/>
      <c r="BA206" s="25"/>
      <c r="BB206" s="13"/>
      <c r="BG206" s="116"/>
      <c r="BH206" s="123"/>
      <c r="BI206" s="123"/>
      <c r="BJ206" s="123"/>
      <c r="BO206" s="115"/>
      <c r="BP206" s="115"/>
      <c r="BQ206" s="115"/>
      <c r="BR206" s="115"/>
      <c r="BS206" s="115"/>
      <c r="BT206" s="115"/>
      <c r="BU206" s="115"/>
      <c r="BV206" s="115"/>
      <c r="BW206" s="115"/>
      <c r="BX206" s="115"/>
      <c r="BY206" s="25"/>
      <c r="BZ206" s="13"/>
      <c r="CC206" s="114"/>
    </row>
    <row r="207" spans="1:81" ht="20.100000000000001" customHeight="1" x14ac:dyDescent="0.4">
      <c r="A207" s="117"/>
      <c r="B207" s="123"/>
      <c r="C207" s="123"/>
      <c r="D207" s="123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26"/>
      <c r="AA207" s="13"/>
      <c r="AL207" s="115"/>
      <c r="AM207" s="115"/>
      <c r="AN207" s="115"/>
      <c r="AO207" s="115"/>
      <c r="AP207" s="127"/>
      <c r="AQ207" s="29"/>
      <c r="BA207" s="25"/>
      <c r="BB207" s="13"/>
      <c r="BG207" s="116"/>
      <c r="BH207" s="123"/>
      <c r="BI207" s="123"/>
      <c r="BJ207" s="123"/>
      <c r="BO207" s="115"/>
      <c r="BP207" s="115"/>
      <c r="BQ207" s="115"/>
      <c r="BR207" s="115"/>
      <c r="BS207" s="115"/>
      <c r="BT207" s="115"/>
      <c r="BU207" s="115"/>
      <c r="BV207" s="115"/>
      <c r="BW207" s="115"/>
      <c r="BX207" s="115"/>
      <c r="BY207" s="25"/>
      <c r="BZ207" s="13"/>
      <c r="CC207" s="114"/>
    </row>
    <row r="208" spans="1:81" ht="20.100000000000001" customHeight="1" x14ac:dyDescent="0.4">
      <c r="A208" s="117"/>
      <c r="B208" s="123"/>
      <c r="C208" s="123"/>
      <c r="D208" s="123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7"/>
      <c r="AA208" s="13"/>
      <c r="AL208" s="115"/>
      <c r="AM208" s="115"/>
      <c r="AN208" s="115"/>
      <c r="AO208" s="115"/>
      <c r="AP208" s="127"/>
      <c r="AQ208" s="29"/>
      <c r="BA208" s="25"/>
      <c r="BB208" s="13"/>
      <c r="BG208" s="116"/>
      <c r="BH208" s="123"/>
      <c r="BI208" s="123"/>
      <c r="BJ208" s="123"/>
      <c r="BO208" s="115"/>
      <c r="BP208" s="115"/>
      <c r="BQ208" s="115"/>
      <c r="BR208" s="115"/>
      <c r="BS208" s="115"/>
      <c r="BT208" s="115"/>
      <c r="BU208" s="115"/>
      <c r="BV208" s="115"/>
      <c r="BW208" s="115"/>
      <c r="BX208" s="115"/>
      <c r="BY208" s="25"/>
      <c r="BZ208" s="13"/>
      <c r="CC208" s="114"/>
    </row>
    <row r="209" spans="1:81" ht="20.100000000000001" customHeight="1" x14ac:dyDescent="0.4">
      <c r="A209" s="117"/>
      <c r="B209" s="123"/>
      <c r="C209" s="123"/>
      <c r="D209" s="123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7"/>
      <c r="AA209" s="13"/>
      <c r="AL209" s="115"/>
      <c r="AM209" s="115"/>
      <c r="AN209" s="115"/>
      <c r="AO209" s="115"/>
      <c r="AP209" s="127"/>
      <c r="AQ209" s="29"/>
      <c r="BA209" s="25"/>
      <c r="BB209" s="13"/>
      <c r="BG209" s="116"/>
      <c r="BH209" s="123"/>
      <c r="BI209" s="123"/>
      <c r="BJ209" s="123"/>
      <c r="BO209" s="115"/>
      <c r="BP209" s="115"/>
      <c r="BQ209" s="115"/>
      <c r="BR209" s="115"/>
      <c r="BS209" s="115"/>
      <c r="BT209" s="115"/>
      <c r="BU209" s="115"/>
      <c r="BV209" s="115"/>
      <c r="BW209" s="115"/>
      <c r="BX209" s="115"/>
      <c r="BY209" s="25"/>
      <c r="BZ209" s="13"/>
      <c r="CC209" s="114"/>
    </row>
    <row r="210" spans="1:81" ht="20.100000000000001" customHeight="1" x14ac:dyDescent="0.4">
      <c r="A210" s="117"/>
      <c r="B210" s="123"/>
      <c r="C210" s="123"/>
      <c r="D210" s="123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26"/>
      <c r="AA210" s="13"/>
      <c r="AL210" s="115"/>
      <c r="AM210" s="115"/>
      <c r="AN210" s="115"/>
      <c r="AO210" s="115"/>
      <c r="AP210" s="127"/>
      <c r="AQ210" s="29"/>
      <c r="BA210" s="25"/>
      <c r="BB210" s="13"/>
      <c r="BG210" s="116"/>
      <c r="BH210" s="123"/>
      <c r="BI210" s="123"/>
      <c r="BJ210" s="123"/>
      <c r="BO210" s="115"/>
      <c r="BP210" s="115"/>
      <c r="BQ210" s="115"/>
      <c r="BR210" s="115"/>
      <c r="BS210" s="115"/>
      <c r="BT210" s="115"/>
      <c r="BU210" s="115"/>
      <c r="BV210" s="115"/>
      <c r="BW210" s="115"/>
      <c r="BX210" s="115"/>
      <c r="BY210" s="25"/>
      <c r="BZ210" s="13"/>
      <c r="CC210" s="114"/>
    </row>
    <row r="211" spans="1:81" ht="20.100000000000001" customHeight="1" x14ac:dyDescent="0.4">
      <c r="A211" s="117"/>
      <c r="B211" s="123"/>
      <c r="C211" s="123"/>
      <c r="D211" s="123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26"/>
      <c r="AA211" s="13"/>
      <c r="AL211" s="115"/>
      <c r="AM211" s="115"/>
      <c r="AN211" s="115"/>
      <c r="AO211" s="115"/>
      <c r="AP211" s="127"/>
      <c r="AQ211" s="29"/>
      <c r="BA211" s="25"/>
      <c r="BB211" s="13"/>
      <c r="BG211" s="116"/>
      <c r="BH211" s="123"/>
      <c r="BI211" s="123"/>
      <c r="BJ211" s="123"/>
      <c r="BO211" s="115"/>
      <c r="BP211" s="115"/>
      <c r="BQ211" s="115"/>
      <c r="BR211" s="115"/>
      <c r="BS211" s="115"/>
      <c r="BT211" s="115"/>
      <c r="BU211" s="115"/>
      <c r="BV211" s="115"/>
      <c r="BW211" s="115"/>
      <c r="BX211" s="115"/>
      <c r="BY211" s="25"/>
      <c r="BZ211" s="13"/>
      <c r="CC211" s="114"/>
    </row>
    <row r="212" spans="1:81" ht="20.100000000000001" customHeight="1" x14ac:dyDescent="0.4">
      <c r="A212" s="117"/>
      <c r="B212" s="123"/>
      <c r="C212" s="123"/>
      <c r="D212" s="123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26"/>
      <c r="AA212" s="13"/>
      <c r="AL212" s="115"/>
      <c r="AM212" s="115"/>
      <c r="AN212" s="115"/>
      <c r="AO212" s="115"/>
      <c r="AP212" s="127"/>
      <c r="AQ212" s="29"/>
      <c r="BA212" s="25"/>
      <c r="BB212" s="13"/>
      <c r="BG212" s="116"/>
      <c r="BH212" s="123"/>
      <c r="BI212" s="123"/>
      <c r="BJ212" s="123"/>
      <c r="BO212" s="115"/>
      <c r="BP212" s="115"/>
      <c r="BQ212" s="115"/>
      <c r="BR212" s="115"/>
      <c r="BS212" s="115"/>
      <c r="BT212" s="115"/>
      <c r="BU212" s="115"/>
      <c r="BV212" s="115"/>
      <c r="BW212" s="115"/>
      <c r="BX212" s="115"/>
      <c r="BY212" s="25"/>
      <c r="BZ212" s="13"/>
      <c r="CC212" s="114"/>
    </row>
    <row r="213" spans="1:81" ht="20.100000000000001" customHeight="1" x14ac:dyDescent="0.4">
      <c r="A213" s="117"/>
      <c r="B213" s="123"/>
      <c r="C213" s="123"/>
      <c r="D213" s="123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26"/>
      <c r="AA213" s="13"/>
      <c r="AL213" s="115"/>
      <c r="AM213" s="115"/>
      <c r="AN213" s="115"/>
      <c r="AO213" s="115"/>
      <c r="AP213" s="127"/>
      <c r="AQ213" s="29"/>
      <c r="BA213" s="25"/>
      <c r="BB213" s="13"/>
      <c r="BG213" s="116"/>
      <c r="BH213" s="123"/>
      <c r="BI213" s="123"/>
      <c r="BJ213" s="123"/>
      <c r="BO213" s="115"/>
      <c r="BP213" s="115"/>
      <c r="BQ213" s="115"/>
      <c r="BR213" s="115"/>
      <c r="BS213" s="115"/>
      <c r="BT213" s="115"/>
      <c r="BU213" s="115"/>
      <c r="BV213" s="115"/>
      <c r="BW213" s="115"/>
      <c r="BX213" s="115"/>
      <c r="BY213" s="25"/>
      <c r="BZ213" s="13"/>
      <c r="CC213" s="114"/>
    </row>
    <row r="214" spans="1:81" ht="20.100000000000001" customHeight="1" x14ac:dyDescent="0.4">
      <c r="A214" s="117"/>
      <c r="B214" s="123"/>
      <c r="C214" s="123"/>
      <c r="D214" s="123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26"/>
      <c r="AA214" s="13"/>
      <c r="AL214" s="115"/>
      <c r="AM214" s="115"/>
      <c r="AN214" s="115"/>
      <c r="AO214" s="115"/>
      <c r="AP214" s="127"/>
      <c r="AQ214" s="29"/>
      <c r="BA214" s="25"/>
      <c r="BB214" s="13"/>
      <c r="BG214" s="116"/>
      <c r="BH214" s="123"/>
      <c r="BI214" s="123"/>
      <c r="BJ214" s="123"/>
      <c r="BO214" s="115"/>
      <c r="BP214" s="115"/>
      <c r="BQ214" s="115"/>
      <c r="BR214" s="115"/>
      <c r="BS214" s="115"/>
      <c r="BT214" s="115"/>
      <c r="BU214" s="115"/>
      <c r="BV214" s="115"/>
      <c r="BW214" s="115"/>
      <c r="BX214" s="115"/>
      <c r="BY214" s="25"/>
      <c r="BZ214" s="13"/>
      <c r="CC214" s="114"/>
    </row>
    <row r="215" spans="1:81" ht="20.100000000000001" customHeight="1" x14ac:dyDescent="0.4">
      <c r="A215" s="117"/>
      <c r="B215" s="123"/>
      <c r="C215" s="123"/>
      <c r="D215" s="123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26"/>
      <c r="AA215" s="13"/>
      <c r="AL215" s="115"/>
      <c r="AM215" s="115"/>
      <c r="AN215" s="115"/>
      <c r="AO215" s="115"/>
      <c r="AP215" s="127"/>
      <c r="AQ215" s="29"/>
      <c r="BA215" s="25"/>
      <c r="BB215" s="13"/>
      <c r="BG215" s="116"/>
      <c r="BH215" s="123"/>
      <c r="BI215" s="123"/>
      <c r="BJ215" s="123"/>
      <c r="BO215" s="115"/>
      <c r="BP215" s="115"/>
      <c r="BQ215" s="115"/>
      <c r="BR215" s="115"/>
      <c r="BS215" s="115"/>
      <c r="BT215" s="115"/>
      <c r="BU215" s="115"/>
      <c r="BV215" s="115"/>
      <c r="BW215" s="115"/>
      <c r="BX215" s="115"/>
      <c r="BY215" s="25"/>
      <c r="BZ215" s="13"/>
      <c r="CC215" s="114"/>
    </row>
    <row r="216" spans="1:81" ht="20.100000000000001" customHeight="1" x14ac:dyDescent="0.4">
      <c r="A216" s="117"/>
      <c r="B216" s="123"/>
      <c r="C216" s="123"/>
      <c r="D216" s="123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7"/>
      <c r="AA216" s="13"/>
      <c r="AL216" s="115"/>
      <c r="AM216" s="115"/>
      <c r="AN216" s="115"/>
      <c r="AO216" s="115"/>
      <c r="AP216" s="127"/>
      <c r="AQ216" s="29"/>
      <c r="BA216" s="25"/>
      <c r="BB216" s="13"/>
      <c r="BG216" s="116"/>
      <c r="BH216" s="123"/>
      <c r="BI216" s="123"/>
      <c r="BJ216" s="123"/>
      <c r="BO216" s="115"/>
      <c r="BP216" s="115"/>
      <c r="BQ216" s="115"/>
      <c r="BR216" s="115"/>
      <c r="BS216" s="115"/>
      <c r="BT216" s="115"/>
      <c r="BU216" s="115"/>
      <c r="BV216" s="115"/>
      <c r="BW216" s="115"/>
      <c r="BX216" s="115"/>
      <c r="BY216" s="25"/>
      <c r="BZ216" s="13"/>
      <c r="CC216" s="114"/>
    </row>
    <row r="217" spans="1:81" ht="20.100000000000001" customHeight="1" x14ac:dyDescent="0.4">
      <c r="A217" s="117"/>
      <c r="B217" s="123"/>
      <c r="C217" s="123"/>
      <c r="D217" s="123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26"/>
      <c r="AA217" s="13"/>
      <c r="AL217" s="115"/>
      <c r="AM217" s="115"/>
      <c r="AN217" s="115"/>
      <c r="AO217" s="115"/>
      <c r="AP217" s="127"/>
      <c r="AQ217" s="29"/>
      <c r="BA217" s="25"/>
      <c r="BB217" s="13"/>
      <c r="BG217" s="116"/>
      <c r="BH217" s="123"/>
      <c r="BI217" s="123"/>
      <c r="BJ217" s="123"/>
      <c r="BO217" s="115"/>
      <c r="BP217" s="115"/>
      <c r="BQ217" s="115"/>
      <c r="BR217" s="115"/>
      <c r="BS217" s="115"/>
      <c r="BT217" s="115"/>
      <c r="BU217" s="115"/>
      <c r="BV217" s="115"/>
      <c r="BW217" s="115"/>
      <c r="BX217" s="115"/>
      <c r="BY217" s="25"/>
      <c r="BZ217" s="13"/>
      <c r="CC217" s="114"/>
    </row>
    <row r="218" spans="1:81" ht="20.100000000000001" customHeight="1" x14ac:dyDescent="0.4">
      <c r="A218" s="117"/>
      <c r="B218" s="123"/>
      <c r="C218" s="123"/>
      <c r="D218" s="123"/>
      <c r="Z218" s="26"/>
      <c r="AA218" s="13"/>
      <c r="AL218" s="115"/>
      <c r="AM218" s="115"/>
      <c r="AN218" s="115"/>
      <c r="AO218" s="115"/>
      <c r="AP218" s="29"/>
      <c r="AQ218" s="29"/>
      <c r="BA218" s="25"/>
      <c r="BB218" s="13"/>
      <c r="BG218" s="116"/>
      <c r="BH218" s="123"/>
      <c r="BI218" s="123"/>
      <c r="BJ218" s="123"/>
      <c r="BO218" s="115"/>
      <c r="BP218" s="115"/>
      <c r="BQ218" s="115"/>
      <c r="BR218" s="115"/>
      <c r="BS218" s="115"/>
      <c r="BT218" s="115"/>
      <c r="BU218" s="115"/>
      <c r="BV218" s="115"/>
      <c r="BW218" s="115"/>
      <c r="BX218" s="115"/>
      <c r="BY218" s="25"/>
      <c r="BZ218" s="13"/>
      <c r="CC218" s="114"/>
    </row>
    <row r="219" spans="1:81" ht="20.100000000000001" customHeight="1" x14ac:dyDescent="0.4">
      <c r="A219" s="117"/>
      <c r="B219" s="123"/>
      <c r="C219" s="123"/>
      <c r="D219" s="123"/>
      <c r="V219" s="115"/>
      <c r="W219" s="115"/>
      <c r="X219" s="115"/>
      <c r="Y219" s="115"/>
      <c r="Z219" s="26"/>
      <c r="AA219" s="13"/>
      <c r="AL219" s="115"/>
      <c r="AM219" s="115"/>
      <c r="AN219" s="115"/>
      <c r="AO219" s="115"/>
      <c r="AP219" s="29"/>
      <c r="AQ219" s="29"/>
      <c r="BA219" s="25"/>
      <c r="BB219" s="13"/>
      <c r="BG219" s="116"/>
      <c r="BH219" s="123"/>
      <c r="BI219" s="123"/>
      <c r="BJ219" s="123"/>
      <c r="BO219" s="115"/>
      <c r="BP219" s="115"/>
      <c r="BQ219" s="115"/>
      <c r="BR219" s="115"/>
      <c r="BS219" s="115"/>
      <c r="BT219" s="115"/>
      <c r="BU219" s="115"/>
      <c r="BV219" s="115"/>
      <c r="BW219" s="115"/>
      <c r="BX219" s="115"/>
      <c r="BY219" s="25"/>
      <c r="BZ219" s="13"/>
      <c r="CC219" s="114"/>
    </row>
    <row r="220" spans="1:81" ht="20.100000000000001" customHeight="1" x14ac:dyDescent="0.4">
      <c r="A220" s="117"/>
      <c r="B220" s="123"/>
      <c r="C220" s="123"/>
      <c r="D220" s="123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26"/>
      <c r="AA220" s="13"/>
      <c r="AL220" s="115"/>
      <c r="AM220" s="115"/>
      <c r="AN220" s="115"/>
      <c r="AO220" s="115"/>
      <c r="AP220" s="29"/>
      <c r="AQ220" s="29"/>
      <c r="BA220" s="25"/>
      <c r="BB220" s="13"/>
      <c r="BG220" s="116"/>
      <c r="BH220" s="123"/>
      <c r="BI220" s="123"/>
      <c r="BJ220" s="123"/>
      <c r="BO220" s="115"/>
      <c r="BP220" s="115"/>
      <c r="BQ220" s="115"/>
      <c r="BR220" s="115"/>
      <c r="BS220" s="115"/>
      <c r="BT220" s="115"/>
      <c r="BU220" s="115"/>
      <c r="BV220" s="115"/>
      <c r="BW220" s="115"/>
      <c r="BX220" s="115"/>
      <c r="BY220" s="25"/>
      <c r="BZ220" s="13"/>
      <c r="CC220" s="114"/>
    </row>
    <row r="221" spans="1:81" ht="20.100000000000001" customHeight="1" x14ac:dyDescent="0.4">
      <c r="A221" s="117"/>
      <c r="B221" s="123"/>
      <c r="C221" s="123"/>
      <c r="D221" s="123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26"/>
      <c r="AA221" s="13"/>
      <c r="AL221" s="115"/>
      <c r="AM221" s="115"/>
      <c r="AN221" s="115"/>
      <c r="AO221" s="115"/>
      <c r="AP221" s="29"/>
      <c r="AQ221" s="29"/>
      <c r="BA221" s="25"/>
      <c r="BB221" s="13"/>
      <c r="BG221" s="116"/>
      <c r="BH221" s="123"/>
      <c r="BI221" s="123"/>
      <c r="BJ221" s="123"/>
      <c r="BO221" s="115"/>
      <c r="BP221" s="115"/>
      <c r="BQ221" s="115"/>
      <c r="BR221" s="115"/>
      <c r="BS221" s="115"/>
      <c r="BT221" s="115"/>
      <c r="BU221" s="115"/>
      <c r="BV221" s="115"/>
      <c r="BW221" s="115"/>
      <c r="BX221" s="115"/>
      <c r="BY221" s="25"/>
      <c r="BZ221" s="13"/>
      <c r="CC221" s="114"/>
    </row>
    <row r="222" spans="1:81" ht="20.100000000000001" customHeight="1" x14ac:dyDescent="0.4">
      <c r="A222" s="117"/>
      <c r="B222" s="123"/>
      <c r="C222" s="123"/>
      <c r="D222" s="123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26"/>
      <c r="AA222" s="13"/>
      <c r="AL222" s="115"/>
      <c r="AM222" s="115"/>
      <c r="AN222" s="115"/>
      <c r="AO222" s="115"/>
      <c r="AP222" s="29"/>
      <c r="AQ222" s="29"/>
      <c r="BA222" s="25"/>
      <c r="BB222" s="13"/>
      <c r="BG222" s="116"/>
      <c r="BH222" s="123"/>
      <c r="BI222" s="123"/>
      <c r="BJ222" s="123"/>
      <c r="BO222" s="115"/>
      <c r="BP222" s="115"/>
      <c r="BQ222" s="115"/>
      <c r="BR222" s="115"/>
      <c r="BS222" s="115"/>
      <c r="BT222" s="115"/>
      <c r="BU222" s="115"/>
      <c r="BV222" s="115"/>
      <c r="BW222" s="115"/>
      <c r="BX222" s="115"/>
      <c r="BY222" s="25"/>
      <c r="BZ222" s="13"/>
      <c r="CC222" s="114"/>
    </row>
    <row r="223" spans="1:81" ht="20.100000000000001" customHeight="1" x14ac:dyDescent="0.4">
      <c r="A223" s="117"/>
      <c r="B223" s="139"/>
      <c r="C223" s="123"/>
      <c r="D223" s="123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26"/>
      <c r="AA223" s="13"/>
      <c r="AL223" s="115"/>
      <c r="AM223" s="115"/>
      <c r="AN223" s="115"/>
      <c r="AO223" s="115"/>
      <c r="AP223" s="29"/>
      <c r="AQ223" s="29"/>
      <c r="BA223" s="25"/>
      <c r="BB223" s="13"/>
      <c r="BG223" s="116"/>
      <c r="BH223" s="123"/>
      <c r="BI223" s="123"/>
      <c r="BJ223" s="123"/>
      <c r="BO223" s="115"/>
      <c r="BP223" s="115"/>
      <c r="BQ223" s="115"/>
      <c r="BR223" s="115"/>
      <c r="BS223" s="115"/>
      <c r="BT223" s="115"/>
      <c r="BU223" s="115"/>
      <c r="BV223" s="115"/>
      <c r="BW223" s="115"/>
      <c r="BX223" s="115"/>
      <c r="BY223" s="25"/>
      <c r="BZ223" s="13"/>
      <c r="CC223" s="114"/>
    </row>
    <row r="224" spans="1:81" ht="20.100000000000001" customHeight="1" x14ac:dyDescent="0.4">
      <c r="A224" s="117"/>
      <c r="B224" s="139"/>
      <c r="C224" s="123"/>
      <c r="D224" s="123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26"/>
      <c r="AA224" s="13"/>
      <c r="AL224" s="115"/>
      <c r="AM224" s="115"/>
      <c r="AN224" s="115"/>
      <c r="AO224" s="115"/>
      <c r="AP224" s="29"/>
      <c r="AQ224" s="29"/>
      <c r="BA224" s="25"/>
      <c r="BB224" s="13"/>
      <c r="BG224" s="116"/>
      <c r="BH224" s="123"/>
      <c r="BI224" s="123"/>
      <c r="BJ224" s="123"/>
      <c r="BO224" s="115"/>
      <c r="BP224" s="115"/>
      <c r="BQ224" s="115"/>
      <c r="BR224" s="115"/>
      <c r="BS224" s="115"/>
      <c r="BT224" s="115"/>
      <c r="BU224" s="115"/>
      <c r="BV224" s="115"/>
      <c r="BW224" s="115"/>
      <c r="BX224" s="115"/>
      <c r="BY224" s="25"/>
      <c r="BZ224" s="13"/>
      <c r="CC224" s="114"/>
    </row>
    <row r="225" spans="1:81" ht="20.100000000000001" customHeight="1" x14ac:dyDescent="0.4">
      <c r="A225" s="117"/>
      <c r="B225" s="139"/>
      <c r="C225" s="123"/>
      <c r="D225" s="123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26"/>
      <c r="AA225" s="13"/>
      <c r="AL225" s="115"/>
      <c r="AM225" s="115"/>
      <c r="AN225" s="115"/>
      <c r="AO225" s="115"/>
      <c r="AP225" s="29"/>
      <c r="AQ225" s="29"/>
      <c r="BA225" s="25"/>
      <c r="BB225" s="13"/>
      <c r="BG225" s="116"/>
      <c r="BH225" s="123"/>
      <c r="BI225" s="123"/>
      <c r="BJ225" s="123"/>
      <c r="BO225" s="115"/>
      <c r="BP225" s="115"/>
      <c r="BQ225" s="115"/>
      <c r="BR225" s="115"/>
      <c r="BS225" s="115"/>
      <c r="BT225" s="115"/>
      <c r="BU225" s="115"/>
      <c r="BV225" s="115"/>
      <c r="BW225" s="115"/>
      <c r="BX225" s="115"/>
      <c r="BY225" s="25"/>
      <c r="BZ225" s="13"/>
      <c r="CC225" s="114"/>
    </row>
    <row r="226" spans="1:81" ht="20.100000000000001" customHeight="1" x14ac:dyDescent="0.4">
      <c r="A226" s="117"/>
      <c r="B226" s="139"/>
      <c r="C226" s="123"/>
      <c r="D226" s="123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26"/>
      <c r="AA226" s="13"/>
      <c r="AL226" s="115"/>
      <c r="AM226" s="115"/>
      <c r="AN226" s="115"/>
      <c r="AO226" s="115"/>
      <c r="AP226" s="29"/>
      <c r="AQ226" s="29"/>
      <c r="BA226" s="25"/>
      <c r="BB226" s="13"/>
      <c r="BG226" s="116"/>
      <c r="BH226" s="123"/>
      <c r="BI226" s="123"/>
      <c r="BJ226" s="123"/>
      <c r="BO226" s="115"/>
      <c r="BP226" s="115"/>
      <c r="BQ226" s="115"/>
      <c r="BR226" s="115"/>
      <c r="BS226" s="115"/>
      <c r="BT226" s="115"/>
      <c r="BU226" s="115"/>
      <c r="BV226" s="115"/>
      <c r="BW226" s="115"/>
      <c r="BX226" s="115"/>
      <c r="BY226" s="25"/>
      <c r="BZ226" s="13"/>
      <c r="CC226" s="114"/>
    </row>
    <row r="227" spans="1:81" ht="20.100000000000001" customHeight="1" x14ac:dyDescent="0.4">
      <c r="A227" s="117"/>
      <c r="B227" s="139"/>
      <c r="C227" s="123"/>
      <c r="D227" s="123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26"/>
      <c r="AA227" s="13"/>
      <c r="AL227" s="115"/>
      <c r="AM227" s="115"/>
      <c r="AN227" s="115"/>
      <c r="AO227" s="115"/>
      <c r="AP227" s="29"/>
      <c r="AQ227" s="29"/>
      <c r="BA227" s="25"/>
      <c r="BB227" s="13"/>
      <c r="BG227" s="116"/>
      <c r="BH227" s="123"/>
      <c r="BI227" s="123"/>
      <c r="BJ227" s="123"/>
      <c r="BO227" s="115"/>
      <c r="BP227" s="115"/>
      <c r="BQ227" s="115"/>
      <c r="BR227" s="115"/>
      <c r="BS227" s="115"/>
      <c r="BT227" s="115"/>
      <c r="BU227" s="115"/>
      <c r="BV227" s="115"/>
      <c r="BW227" s="115"/>
      <c r="BX227" s="115"/>
      <c r="BY227" s="25"/>
      <c r="BZ227" s="13"/>
      <c r="CC227" s="114"/>
    </row>
    <row r="228" spans="1:81" ht="20.100000000000001" customHeight="1" x14ac:dyDescent="0.4">
      <c r="A228" s="117"/>
      <c r="B228" s="139"/>
      <c r="C228" s="123"/>
      <c r="D228" s="123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7"/>
      <c r="AA228" s="13"/>
      <c r="AL228" s="115"/>
      <c r="AM228" s="115"/>
      <c r="AN228" s="115"/>
      <c r="AO228" s="115"/>
      <c r="AP228" s="29"/>
      <c r="AQ228" s="29"/>
      <c r="BA228" s="25"/>
      <c r="BB228" s="13"/>
      <c r="BG228" s="116"/>
      <c r="BH228" s="123"/>
      <c r="BI228" s="123"/>
      <c r="BJ228" s="123"/>
      <c r="BO228" s="115"/>
      <c r="BP228" s="115"/>
      <c r="BQ228" s="115"/>
      <c r="BR228" s="115"/>
      <c r="BS228" s="115"/>
      <c r="BT228" s="115"/>
      <c r="BU228" s="115"/>
      <c r="BV228" s="115"/>
      <c r="BW228" s="115"/>
      <c r="BX228" s="115"/>
      <c r="BY228" s="25"/>
      <c r="BZ228" s="13"/>
      <c r="CC228" s="114"/>
    </row>
    <row r="229" spans="1:81" ht="20.100000000000001" customHeight="1" x14ac:dyDescent="0.4">
      <c r="A229" s="117"/>
      <c r="B229" s="123"/>
      <c r="C229" s="123"/>
      <c r="D229" s="123"/>
      <c r="Z229" s="26"/>
      <c r="AA229" s="13"/>
      <c r="AL229" s="115"/>
      <c r="AM229" s="115"/>
      <c r="AN229" s="115"/>
      <c r="AO229" s="115"/>
      <c r="AP229" s="127"/>
      <c r="AQ229" s="29"/>
      <c r="BA229" s="25"/>
      <c r="BB229" s="13"/>
      <c r="BG229" s="116"/>
      <c r="BH229" s="123"/>
      <c r="BI229" s="123"/>
      <c r="BJ229" s="123"/>
      <c r="BO229" s="115"/>
      <c r="BP229" s="115"/>
      <c r="BQ229" s="115"/>
      <c r="BR229" s="115"/>
      <c r="BS229" s="115"/>
      <c r="BT229" s="115"/>
      <c r="BU229" s="115"/>
      <c r="BV229" s="115"/>
      <c r="BW229" s="115"/>
      <c r="BX229" s="115"/>
      <c r="BY229" s="25"/>
      <c r="BZ229" s="13"/>
      <c r="CC229" s="114"/>
    </row>
    <row r="230" spans="1:81" ht="20.100000000000001" customHeight="1" x14ac:dyDescent="0.4">
      <c r="A230" s="117"/>
      <c r="B230" s="123"/>
      <c r="C230" s="123"/>
      <c r="D230" s="123"/>
      <c r="W230" s="115"/>
      <c r="X230" s="115"/>
      <c r="Y230" s="115"/>
      <c r="Z230" s="17"/>
      <c r="AA230" s="13"/>
      <c r="AL230" s="115"/>
      <c r="AM230" s="115"/>
      <c r="AN230" s="115"/>
      <c r="AO230" s="115"/>
      <c r="AP230" s="127"/>
      <c r="AQ230" s="29"/>
      <c r="BA230" s="25"/>
      <c r="BB230" s="13"/>
      <c r="BG230" s="116"/>
      <c r="BH230" s="123"/>
      <c r="BI230" s="123"/>
      <c r="BJ230" s="123"/>
      <c r="BO230" s="115"/>
      <c r="BP230" s="115"/>
      <c r="BQ230" s="115"/>
      <c r="BR230" s="115"/>
      <c r="BS230" s="115"/>
      <c r="BT230" s="115"/>
      <c r="BU230" s="115"/>
      <c r="BV230" s="115"/>
      <c r="BW230" s="115"/>
      <c r="BX230" s="115"/>
      <c r="BY230" s="25"/>
      <c r="BZ230" s="13"/>
      <c r="CC230" s="114"/>
    </row>
    <row r="231" spans="1:81" ht="20.100000000000001" customHeight="1" x14ac:dyDescent="0.4">
      <c r="A231" s="117"/>
      <c r="B231" s="123"/>
      <c r="C231" s="123"/>
      <c r="D231" s="123"/>
      <c r="R231" s="115"/>
      <c r="S231" s="115"/>
      <c r="T231" s="115"/>
      <c r="U231" s="115"/>
      <c r="V231" s="115"/>
      <c r="W231" s="115"/>
      <c r="X231" s="115"/>
      <c r="Y231" s="115"/>
      <c r="Z231" s="26"/>
      <c r="AA231" s="13"/>
      <c r="AL231" s="115"/>
      <c r="AM231" s="115"/>
      <c r="AN231" s="115"/>
      <c r="AO231" s="115"/>
      <c r="AP231" s="127"/>
      <c r="AQ231" s="29"/>
      <c r="BA231" s="25"/>
      <c r="BB231" s="13"/>
      <c r="BG231" s="116"/>
      <c r="BH231" s="123"/>
      <c r="BI231" s="123"/>
      <c r="BJ231" s="123"/>
      <c r="BO231" s="115"/>
      <c r="BP231" s="115"/>
      <c r="BQ231" s="115"/>
      <c r="BR231" s="115"/>
      <c r="BS231" s="115"/>
      <c r="BT231" s="115"/>
      <c r="BU231" s="115"/>
      <c r="BV231" s="115"/>
      <c r="BW231" s="115"/>
      <c r="BX231" s="115"/>
      <c r="BY231" s="25"/>
      <c r="BZ231" s="13"/>
      <c r="CC231" s="114"/>
    </row>
    <row r="232" spans="1:81" ht="20.100000000000001" customHeight="1" x14ac:dyDescent="0.4">
      <c r="A232" s="117"/>
      <c r="B232" s="123"/>
      <c r="C232" s="123"/>
      <c r="D232" s="12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26"/>
      <c r="AA232" s="15"/>
      <c r="AL232" s="115"/>
      <c r="AM232" s="115"/>
      <c r="AN232" s="115"/>
      <c r="AO232" s="115"/>
      <c r="AP232" s="127"/>
      <c r="AQ232" s="29"/>
      <c r="BA232" s="25"/>
      <c r="BB232" s="13"/>
      <c r="BG232" s="116"/>
      <c r="BH232" s="123"/>
      <c r="BI232" s="123"/>
      <c r="BJ232" s="123"/>
      <c r="BO232" s="115"/>
      <c r="BP232" s="115"/>
      <c r="BQ232" s="115"/>
      <c r="BR232" s="115"/>
      <c r="BS232" s="115"/>
      <c r="BT232" s="115"/>
      <c r="BU232" s="115"/>
      <c r="BV232" s="115"/>
      <c r="BW232" s="115"/>
      <c r="BX232" s="115"/>
      <c r="BY232" s="25"/>
      <c r="BZ232" s="13"/>
      <c r="CC232" s="114"/>
    </row>
    <row r="233" spans="1:81" ht="20.100000000000001" customHeight="1" x14ac:dyDescent="0.4">
      <c r="A233" s="117"/>
      <c r="B233" s="123"/>
      <c r="C233" s="123"/>
      <c r="D233" s="12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26"/>
      <c r="AA233" s="15"/>
      <c r="AL233" s="115"/>
      <c r="AM233" s="115"/>
      <c r="AN233" s="115"/>
      <c r="AO233" s="115"/>
      <c r="AP233" s="127"/>
      <c r="AQ233" s="29"/>
      <c r="BA233" s="25"/>
      <c r="BB233" s="13"/>
      <c r="BG233" s="116"/>
      <c r="BH233" s="123"/>
      <c r="BI233" s="123"/>
      <c r="BJ233" s="123"/>
      <c r="BO233" s="115"/>
      <c r="BP233" s="115"/>
      <c r="BQ233" s="115"/>
      <c r="BR233" s="115"/>
      <c r="BS233" s="115"/>
      <c r="BT233" s="115"/>
      <c r="BU233" s="115"/>
      <c r="BV233" s="115"/>
      <c r="BW233" s="115"/>
      <c r="BX233" s="115"/>
      <c r="BY233" s="25"/>
      <c r="BZ233" s="13"/>
      <c r="CC233" s="114"/>
    </row>
    <row r="234" spans="1:81" ht="20.100000000000001" customHeight="1" x14ac:dyDescent="0.4">
      <c r="A234" s="117"/>
      <c r="B234" s="123"/>
      <c r="C234" s="123"/>
      <c r="D234" s="123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7"/>
      <c r="AA234" s="15"/>
      <c r="AL234" s="115"/>
      <c r="AM234" s="115"/>
      <c r="AN234" s="115"/>
      <c r="AO234" s="115"/>
      <c r="AP234" s="127"/>
      <c r="AQ234" s="29"/>
      <c r="BA234" s="25"/>
      <c r="BB234" s="13"/>
      <c r="BG234" s="116"/>
      <c r="BH234" s="123"/>
      <c r="BI234" s="123"/>
      <c r="BJ234" s="123"/>
      <c r="BO234" s="115"/>
      <c r="BP234" s="115"/>
      <c r="BQ234" s="115"/>
      <c r="BR234" s="115"/>
      <c r="BS234" s="115"/>
      <c r="BT234" s="115"/>
      <c r="BU234" s="115"/>
      <c r="BV234" s="115"/>
      <c r="BW234" s="115"/>
      <c r="BX234" s="115"/>
      <c r="BY234" s="25"/>
      <c r="BZ234" s="13"/>
      <c r="CC234" s="114"/>
    </row>
    <row r="235" spans="1:81" ht="20.100000000000001" customHeight="1" x14ac:dyDescent="0.4">
      <c r="A235" s="117"/>
      <c r="B235" s="123"/>
      <c r="C235" s="123"/>
      <c r="D235" s="123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26"/>
      <c r="AA235" s="132"/>
      <c r="AL235" s="115"/>
      <c r="AM235" s="115"/>
      <c r="AN235" s="115"/>
      <c r="AO235" s="115"/>
      <c r="AP235" s="127"/>
      <c r="AQ235" s="29"/>
      <c r="BA235" s="25"/>
      <c r="BB235" s="13"/>
      <c r="BG235" s="116"/>
      <c r="BH235" s="123"/>
      <c r="BI235" s="123"/>
      <c r="BJ235" s="123"/>
      <c r="BO235" s="115"/>
      <c r="BP235" s="115"/>
      <c r="BQ235" s="115"/>
      <c r="BR235" s="115"/>
      <c r="BS235" s="115"/>
      <c r="BT235" s="115"/>
      <c r="BU235" s="115"/>
      <c r="BV235" s="115"/>
      <c r="BW235" s="115"/>
      <c r="BX235" s="115"/>
      <c r="BY235" s="25"/>
      <c r="BZ235" s="13"/>
      <c r="CC235" s="114"/>
    </row>
    <row r="236" spans="1:81" ht="20.100000000000001" customHeight="1" x14ac:dyDescent="0.4">
      <c r="A236" s="117"/>
      <c r="B236" s="123"/>
      <c r="C236" s="123"/>
      <c r="D236" s="123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26"/>
      <c r="AA236" s="13"/>
      <c r="AL236" s="115"/>
      <c r="AM236" s="115"/>
      <c r="AN236" s="115"/>
      <c r="AO236" s="115"/>
      <c r="AP236" s="127"/>
      <c r="AQ236" s="29"/>
      <c r="BA236" s="25"/>
      <c r="BB236" s="13"/>
      <c r="BG236" s="116"/>
      <c r="BH236" s="123"/>
      <c r="BI236" s="123"/>
      <c r="BJ236" s="123"/>
      <c r="BO236" s="115"/>
      <c r="BP236" s="115"/>
      <c r="BQ236" s="115"/>
      <c r="BR236" s="115"/>
      <c r="BS236" s="115"/>
      <c r="BT236" s="115"/>
      <c r="BU236" s="115"/>
      <c r="BV236" s="115"/>
      <c r="BW236" s="115"/>
      <c r="BX236" s="115"/>
      <c r="BY236" s="25"/>
      <c r="BZ236" s="13"/>
      <c r="CC236" s="114"/>
    </row>
    <row r="237" spans="1:81" ht="20.100000000000001" customHeight="1" x14ac:dyDescent="0.4">
      <c r="A237" s="117"/>
      <c r="B237" s="123"/>
      <c r="C237" s="123"/>
      <c r="D237" s="123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7"/>
      <c r="AA237" s="13"/>
      <c r="AL237" s="115"/>
      <c r="AM237" s="115"/>
      <c r="AN237" s="115"/>
      <c r="AO237" s="115"/>
      <c r="AP237" s="127"/>
      <c r="AQ237" s="29"/>
      <c r="BA237" s="25"/>
      <c r="BB237" s="13"/>
      <c r="BG237" s="116"/>
      <c r="BH237" s="123"/>
      <c r="BI237" s="123"/>
      <c r="BJ237" s="123"/>
      <c r="BO237" s="115"/>
      <c r="BP237" s="115"/>
      <c r="BQ237" s="115"/>
      <c r="BR237" s="115"/>
      <c r="BS237" s="115"/>
      <c r="BT237" s="115"/>
      <c r="BU237" s="115"/>
      <c r="BV237" s="115"/>
      <c r="BW237" s="115"/>
      <c r="BX237" s="115"/>
      <c r="BY237" s="25"/>
      <c r="BZ237" s="13"/>
      <c r="CC237" s="114"/>
    </row>
    <row r="238" spans="1:81" ht="20.100000000000001" customHeight="1" x14ac:dyDescent="0.4">
      <c r="A238" s="117"/>
      <c r="B238" s="123"/>
      <c r="C238" s="123"/>
      <c r="D238" s="123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26"/>
      <c r="AA238" s="13"/>
      <c r="AL238" s="115"/>
      <c r="AM238" s="115"/>
      <c r="AN238" s="115"/>
      <c r="AO238" s="115"/>
      <c r="AP238" s="127"/>
      <c r="AQ238" s="29"/>
      <c r="BA238" s="25"/>
      <c r="BB238" s="13"/>
      <c r="BG238" s="116"/>
      <c r="BH238" s="123"/>
      <c r="BI238" s="123"/>
      <c r="BJ238" s="123"/>
      <c r="BO238" s="115"/>
      <c r="BP238" s="115"/>
      <c r="BQ238" s="115"/>
      <c r="BR238" s="115"/>
      <c r="BS238" s="115"/>
      <c r="BT238" s="115"/>
      <c r="BU238" s="115"/>
      <c r="BV238" s="115"/>
      <c r="BW238" s="115"/>
      <c r="BX238" s="115"/>
      <c r="BY238" s="25"/>
      <c r="BZ238" s="13"/>
      <c r="CC238" s="114"/>
    </row>
    <row r="239" spans="1:81" ht="20.100000000000001" customHeight="1" x14ac:dyDescent="0.4">
      <c r="A239" s="117"/>
      <c r="B239" s="123"/>
      <c r="C239" s="123"/>
      <c r="D239" s="123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26"/>
      <c r="AA239" s="13"/>
      <c r="AL239" s="115"/>
      <c r="AM239" s="115"/>
      <c r="AN239" s="115"/>
      <c r="AO239" s="115"/>
      <c r="AP239" s="127"/>
      <c r="AQ239" s="29"/>
      <c r="BA239" s="25"/>
      <c r="BB239" s="13"/>
      <c r="BG239" s="116"/>
      <c r="BH239" s="123"/>
      <c r="BI239" s="123"/>
      <c r="BJ239" s="123"/>
      <c r="BO239" s="115"/>
      <c r="BP239" s="115"/>
      <c r="BQ239" s="115"/>
      <c r="BR239" s="115"/>
      <c r="BS239" s="115"/>
      <c r="BT239" s="115"/>
      <c r="BU239" s="115"/>
      <c r="BV239" s="115"/>
      <c r="BW239" s="115"/>
      <c r="BX239" s="115"/>
      <c r="BY239" s="25"/>
      <c r="BZ239" s="13"/>
      <c r="CC239" s="114"/>
    </row>
    <row r="240" spans="1:81" ht="20.100000000000001" customHeight="1" x14ac:dyDescent="0.4">
      <c r="A240" s="117"/>
      <c r="B240" s="123"/>
      <c r="C240" s="123"/>
      <c r="D240" s="123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26"/>
      <c r="AA240" s="13"/>
      <c r="AL240" s="115"/>
      <c r="AM240" s="115"/>
      <c r="AN240" s="115"/>
      <c r="AO240" s="115"/>
      <c r="AP240" s="127"/>
      <c r="AQ240" s="29"/>
      <c r="BA240" s="25"/>
      <c r="BB240" s="13"/>
      <c r="BG240" s="116"/>
      <c r="BH240" s="123"/>
      <c r="BI240" s="123"/>
      <c r="BJ240" s="123"/>
      <c r="BO240" s="115"/>
      <c r="BP240" s="115"/>
      <c r="BQ240" s="115"/>
      <c r="BR240" s="115"/>
      <c r="BS240" s="115"/>
      <c r="BT240" s="115"/>
      <c r="BU240" s="115"/>
      <c r="BV240" s="115"/>
      <c r="BW240" s="115"/>
      <c r="BX240" s="115"/>
      <c r="BY240" s="25"/>
      <c r="BZ240" s="13"/>
      <c r="CC240" s="114"/>
    </row>
    <row r="241" spans="1:81" ht="20.100000000000001" customHeight="1" x14ac:dyDescent="0.4">
      <c r="A241" s="117"/>
      <c r="B241" s="123"/>
      <c r="C241" s="123"/>
      <c r="D241" s="123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26"/>
      <c r="AA241" s="13"/>
      <c r="AL241" s="115"/>
      <c r="AM241" s="115"/>
      <c r="AN241" s="115"/>
      <c r="AO241" s="115"/>
      <c r="AP241" s="127"/>
      <c r="AQ241" s="29"/>
      <c r="BA241" s="25"/>
      <c r="BB241" s="13"/>
      <c r="BG241" s="116"/>
      <c r="BH241" s="123"/>
      <c r="BI241" s="123"/>
      <c r="BJ241" s="123"/>
      <c r="BO241" s="115"/>
      <c r="BP241" s="115"/>
      <c r="BQ241" s="115"/>
      <c r="BR241" s="115"/>
      <c r="BS241" s="115"/>
      <c r="BT241" s="115"/>
      <c r="BU241" s="115"/>
      <c r="BV241" s="115"/>
      <c r="BW241" s="115"/>
      <c r="BX241" s="115"/>
      <c r="BY241" s="25"/>
      <c r="BZ241" s="13"/>
      <c r="CC241" s="114"/>
    </row>
    <row r="242" spans="1:81" ht="20.100000000000001" customHeight="1" x14ac:dyDescent="0.4">
      <c r="A242" s="117"/>
      <c r="B242" s="123"/>
      <c r="C242" s="123"/>
      <c r="D242" s="123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26"/>
      <c r="AA242" s="13"/>
      <c r="AL242" s="115"/>
      <c r="AM242" s="115"/>
      <c r="AN242" s="115"/>
      <c r="AO242" s="115"/>
      <c r="AP242" s="127"/>
      <c r="AQ242" s="29"/>
      <c r="BA242" s="25"/>
      <c r="BB242" s="13"/>
      <c r="BG242" s="116"/>
      <c r="BH242" s="123"/>
      <c r="BI242" s="123"/>
      <c r="BJ242" s="123"/>
      <c r="BO242" s="115"/>
      <c r="BP242" s="115"/>
      <c r="BQ242" s="115"/>
      <c r="BR242" s="115"/>
      <c r="BS242" s="115"/>
      <c r="BT242" s="115"/>
      <c r="BU242" s="115"/>
      <c r="BV242" s="115"/>
      <c r="BW242" s="115"/>
      <c r="BX242" s="115"/>
      <c r="BY242" s="25"/>
      <c r="BZ242" s="13"/>
      <c r="CC242" s="114"/>
    </row>
    <row r="243" spans="1:81" ht="20.100000000000001" customHeight="1" x14ac:dyDescent="0.4">
      <c r="A243" s="117"/>
      <c r="B243" s="123"/>
      <c r="C243" s="123"/>
      <c r="D243" s="123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26"/>
      <c r="AA243" s="13"/>
      <c r="AL243" s="115"/>
      <c r="AM243" s="115"/>
      <c r="AN243" s="115"/>
      <c r="AO243" s="115"/>
      <c r="AP243" s="127"/>
      <c r="AQ243" s="29"/>
      <c r="BA243" s="25"/>
      <c r="BB243" s="13"/>
      <c r="BG243" s="116"/>
      <c r="BH243" s="123"/>
      <c r="BI243" s="123"/>
      <c r="BJ243" s="123"/>
      <c r="BO243" s="115"/>
      <c r="BP243" s="115"/>
      <c r="BQ243" s="115"/>
      <c r="BR243" s="115"/>
      <c r="BS243" s="115"/>
      <c r="BT243" s="115"/>
      <c r="BU243" s="115"/>
      <c r="BV243" s="115"/>
      <c r="BW243" s="115"/>
      <c r="BX243" s="115"/>
      <c r="BY243" s="25"/>
      <c r="BZ243" s="13"/>
      <c r="CC243" s="114"/>
    </row>
    <row r="244" spans="1:81" ht="20.100000000000001" customHeight="1" x14ac:dyDescent="0.4">
      <c r="A244" s="117"/>
      <c r="B244" s="123"/>
      <c r="C244" s="123"/>
      <c r="D244" s="123"/>
      <c r="Z244" s="26"/>
      <c r="AA244" s="13"/>
      <c r="AL244" s="115"/>
      <c r="AM244" s="115"/>
      <c r="AN244" s="115"/>
      <c r="AO244" s="115"/>
      <c r="AP244" s="29"/>
      <c r="AQ244" s="29"/>
      <c r="BA244" s="25"/>
      <c r="BB244" s="13"/>
      <c r="BG244" s="116"/>
      <c r="BH244" s="123"/>
      <c r="BI244" s="123"/>
      <c r="BJ244" s="123"/>
      <c r="BO244" s="115"/>
      <c r="BP244" s="115"/>
      <c r="BQ244" s="115"/>
      <c r="BR244" s="115"/>
      <c r="BS244" s="115"/>
      <c r="BT244" s="115"/>
      <c r="BU244" s="115"/>
      <c r="BV244" s="115"/>
      <c r="BW244" s="115"/>
      <c r="BX244" s="115"/>
      <c r="BY244" s="25"/>
      <c r="BZ244" s="13"/>
      <c r="CC244" s="114"/>
    </row>
    <row r="245" spans="1:81" ht="20.100000000000001" customHeight="1" x14ac:dyDescent="0.4">
      <c r="A245" s="117"/>
      <c r="B245" s="123"/>
      <c r="C245" s="123"/>
      <c r="D245" s="123"/>
      <c r="T245" s="115"/>
      <c r="U245" s="115"/>
      <c r="V245" s="115"/>
      <c r="W245" s="115"/>
      <c r="X245" s="115"/>
      <c r="Y245" s="115"/>
      <c r="Z245" s="26"/>
      <c r="AA245" s="13"/>
      <c r="AL245" s="115"/>
      <c r="AM245" s="115"/>
      <c r="AN245" s="115"/>
      <c r="AO245" s="115"/>
      <c r="AP245" s="29"/>
      <c r="AQ245" s="29"/>
      <c r="BA245" s="25"/>
      <c r="BB245" s="13"/>
      <c r="BG245" s="116"/>
      <c r="BH245" s="123"/>
      <c r="BI245" s="123"/>
      <c r="BJ245" s="123"/>
      <c r="BO245" s="115"/>
      <c r="BP245" s="115"/>
      <c r="BQ245" s="115"/>
      <c r="BR245" s="115"/>
      <c r="BS245" s="115"/>
      <c r="BT245" s="115"/>
      <c r="BU245" s="115"/>
      <c r="BV245" s="115"/>
      <c r="BW245" s="115"/>
      <c r="BX245" s="115"/>
      <c r="BY245" s="25"/>
      <c r="BZ245" s="13"/>
      <c r="CC245" s="114"/>
    </row>
    <row r="246" spans="1:81" ht="20.100000000000001" customHeight="1" x14ac:dyDescent="0.4">
      <c r="A246" s="117"/>
      <c r="B246" s="123"/>
      <c r="C246" s="123"/>
      <c r="D246" s="123"/>
      <c r="S246" s="115"/>
      <c r="T246" s="115"/>
      <c r="U246" s="115"/>
      <c r="V246" s="115"/>
      <c r="W246" s="115"/>
      <c r="X246" s="115"/>
      <c r="Y246" s="115"/>
      <c r="Z246" s="26"/>
      <c r="AA246" s="13"/>
      <c r="AL246" s="115"/>
      <c r="AM246" s="115"/>
      <c r="AN246" s="115"/>
      <c r="AO246" s="115"/>
      <c r="AP246" s="29"/>
      <c r="AQ246" s="29"/>
      <c r="BA246" s="25"/>
      <c r="BB246" s="13"/>
      <c r="BG246" s="116"/>
      <c r="BH246" s="123"/>
      <c r="BI246" s="123"/>
      <c r="BJ246" s="123"/>
      <c r="BO246" s="115"/>
      <c r="BP246" s="115"/>
      <c r="BQ246" s="115"/>
      <c r="BR246" s="115"/>
      <c r="BS246" s="115"/>
      <c r="BT246" s="115"/>
      <c r="BU246" s="115"/>
      <c r="BV246" s="115"/>
      <c r="BW246" s="115"/>
      <c r="BX246" s="115"/>
      <c r="BY246" s="25"/>
      <c r="BZ246" s="13"/>
      <c r="CC246" s="114"/>
    </row>
    <row r="247" spans="1:81" ht="20.100000000000001" customHeight="1" x14ac:dyDescent="0.4">
      <c r="A247" s="117"/>
      <c r="B247" s="123"/>
      <c r="C247" s="123"/>
      <c r="D247" s="123"/>
      <c r="S247" s="115"/>
      <c r="T247" s="115"/>
      <c r="U247" s="115"/>
      <c r="V247" s="115"/>
      <c r="W247" s="115"/>
      <c r="X247" s="115"/>
      <c r="Y247" s="115"/>
      <c r="Z247" s="26"/>
      <c r="AA247" s="15"/>
      <c r="AL247" s="115"/>
      <c r="AM247" s="115"/>
      <c r="AN247" s="115"/>
      <c r="AO247" s="115"/>
      <c r="AP247" s="29"/>
      <c r="AQ247" s="29"/>
      <c r="BA247" s="25"/>
      <c r="BB247" s="13"/>
      <c r="BG247" s="116"/>
      <c r="BH247" s="123"/>
      <c r="BI247" s="123"/>
      <c r="BJ247" s="123"/>
      <c r="BO247" s="115"/>
      <c r="BP247" s="115"/>
      <c r="BQ247" s="115"/>
      <c r="BR247" s="115"/>
      <c r="BS247" s="115"/>
      <c r="BT247" s="115"/>
      <c r="BU247" s="115"/>
      <c r="BV247" s="115"/>
      <c r="BW247" s="115"/>
      <c r="BX247" s="115"/>
      <c r="BY247" s="25"/>
      <c r="BZ247" s="13"/>
      <c r="CC247" s="114"/>
    </row>
    <row r="248" spans="1:81" ht="20.100000000000001" customHeight="1" x14ac:dyDescent="0.4">
      <c r="A248" s="117"/>
      <c r="B248" s="123"/>
      <c r="C248" s="123"/>
      <c r="D248" s="123"/>
      <c r="Z248" s="26"/>
      <c r="AA248" s="15"/>
      <c r="AK248" s="115"/>
      <c r="AL248" s="115"/>
      <c r="AM248" s="115"/>
      <c r="AN248" s="115"/>
      <c r="AO248" s="115"/>
      <c r="AP248" s="127"/>
      <c r="AQ248" s="29"/>
      <c r="BA248" s="25"/>
      <c r="BB248" s="13"/>
      <c r="BG248" s="116"/>
      <c r="BH248" s="123"/>
      <c r="BI248" s="123"/>
      <c r="BJ248" s="123"/>
      <c r="BO248" s="115"/>
      <c r="BP248" s="115"/>
      <c r="BQ248" s="115"/>
      <c r="BR248" s="115"/>
      <c r="BS248" s="115"/>
      <c r="BT248" s="115"/>
      <c r="BU248" s="115"/>
      <c r="BV248" s="115"/>
      <c r="BW248" s="115"/>
      <c r="BX248" s="115"/>
      <c r="BY248" s="25"/>
      <c r="BZ248" s="13"/>
      <c r="CC248" s="114"/>
    </row>
    <row r="249" spans="1:81" ht="20.100000000000001" customHeight="1" x14ac:dyDescent="0.4">
      <c r="A249" s="117"/>
      <c r="B249" s="123"/>
      <c r="C249" s="123"/>
      <c r="D249" s="123"/>
      <c r="W249" s="115"/>
      <c r="X249" s="115"/>
      <c r="Y249" s="115"/>
      <c r="Z249" s="17"/>
      <c r="AA249" s="15"/>
      <c r="AK249" s="115"/>
      <c r="AL249" s="115"/>
      <c r="AM249" s="115"/>
      <c r="AN249" s="115"/>
      <c r="AO249" s="115"/>
      <c r="AP249" s="127"/>
      <c r="AQ249" s="29"/>
      <c r="BA249" s="25"/>
      <c r="BB249" s="13"/>
      <c r="BG249" s="116"/>
      <c r="BH249" s="123"/>
      <c r="BI249" s="123"/>
      <c r="BJ249" s="123"/>
      <c r="BO249" s="115"/>
      <c r="BP249" s="115"/>
      <c r="BQ249" s="115"/>
      <c r="BR249" s="115"/>
      <c r="BS249" s="115"/>
      <c r="BT249" s="115"/>
      <c r="BU249" s="115"/>
      <c r="BV249" s="115"/>
      <c r="BW249" s="115"/>
      <c r="BX249" s="115"/>
      <c r="BY249" s="25"/>
      <c r="BZ249" s="13"/>
      <c r="CC249" s="114"/>
    </row>
    <row r="250" spans="1:81" ht="20.100000000000001" customHeight="1" x14ac:dyDescent="0.4">
      <c r="A250" s="117"/>
      <c r="B250" s="123"/>
      <c r="C250" s="123"/>
      <c r="D250" s="123"/>
      <c r="U250" s="115"/>
      <c r="V250" s="115"/>
      <c r="W250" s="115"/>
      <c r="X250" s="115"/>
      <c r="Y250" s="115"/>
      <c r="Z250" s="26"/>
      <c r="AA250" s="15"/>
      <c r="AK250" s="115"/>
      <c r="AL250" s="115"/>
      <c r="AM250" s="115"/>
      <c r="AN250" s="115"/>
      <c r="AO250" s="115"/>
      <c r="AP250" s="127"/>
      <c r="AQ250" s="29"/>
      <c r="BA250" s="25"/>
      <c r="BB250" s="13"/>
      <c r="BG250" s="116"/>
      <c r="BH250" s="123"/>
      <c r="BI250" s="123"/>
      <c r="BJ250" s="123"/>
      <c r="BO250" s="115"/>
      <c r="BP250" s="115"/>
      <c r="BQ250" s="115"/>
      <c r="BR250" s="115"/>
      <c r="BS250" s="115"/>
      <c r="BT250" s="115"/>
      <c r="BU250" s="115"/>
      <c r="BV250" s="115"/>
      <c r="BW250" s="115"/>
      <c r="BX250" s="115"/>
      <c r="BY250" s="25"/>
      <c r="BZ250" s="13"/>
      <c r="CC250" s="114"/>
    </row>
    <row r="251" spans="1:81" ht="20.100000000000001" customHeight="1" x14ac:dyDescent="0.4">
      <c r="A251" s="117"/>
      <c r="B251" s="123"/>
      <c r="C251" s="123"/>
      <c r="D251" s="123"/>
      <c r="S251" s="115"/>
      <c r="T251" s="115"/>
      <c r="U251" s="115"/>
      <c r="V251" s="115"/>
      <c r="W251" s="115"/>
      <c r="X251" s="115"/>
      <c r="Y251" s="115"/>
      <c r="Z251" s="26"/>
      <c r="AA251" s="15"/>
      <c r="AK251" s="115"/>
      <c r="AL251" s="115"/>
      <c r="AM251" s="115"/>
      <c r="AN251" s="115"/>
      <c r="AO251" s="115"/>
      <c r="AP251" s="127"/>
      <c r="AQ251" s="29"/>
      <c r="BA251" s="25"/>
      <c r="BB251" s="13"/>
      <c r="BG251" s="116"/>
      <c r="BH251" s="123"/>
      <c r="BI251" s="123"/>
      <c r="BJ251" s="123"/>
      <c r="BO251" s="115"/>
      <c r="BP251" s="115"/>
      <c r="BQ251" s="115"/>
      <c r="BR251" s="115"/>
      <c r="BS251" s="115"/>
      <c r="BT251" s="115"/>
      <c r="BU251" s="115"/>
      <c r="BV251" s="115"/>
      <c r="BW251" s="115"/>
      <c r="BX251" s="115"/>
      <c r="BY251" s="25"/>
      <c r="BZ251" s="13"/>
      <c r="CC251" s="114"/>
    </row>
    <row r="252" spans="1:81" ht="20.100000000000001" customHeight="1" x14ac:dyDescent="0.4">
      <c r="A252" s="117"/>
      <c r="B252" s="123"/>
      <c r="C252" s="123"/>
      <c r="D252" s="123"/>
      <c r="S252" s="115"/>
      <c r="T252" s="115"/>
      <c r="U252" s="115"/>
      <c r="V252" s="115"/>
      <c r="W252" s="115"/>
      <c r="X252" s="115"/>
      <c r="Y252" s="115"/>
      <c r="Z252" s="17"/>
      <c r="AA252" s="15"/>
      <c r="AK252" s="115"/>
      <c r="AL252" s="115"/>
      <c r="AM252" s="115"/>
      <c r="AN252" s="115"/>
      <c r="AO252" s="115"/>
      <c r="AP252" s="127"/>
      <c r="AQ252" s="29"/>
      <c r="BA252" s="25"/>
      <c r="BB252" s="13"/>
      <c r="BG252" s="116"/>
      <c r="BH252" s="123"/>
      <c r="BI252" s="123"/>
      <c r="BJ252" s="123"/>
      <c r="BO252" s="115"/>
      <c r="BP252" s="115"/>
      <c r="BQ252" s="115"/>
      <c r="BR252" s="115"/>
      <c r="BS252" s="115"/>
      <c r="BT252" s="115"/>
      <c r="BU252" s="115"/>
      <c r="BV252" s="115"/>
      <c r="BW252" s="115"/>
      <c r="BX252" s="115"/>
      <c r="BY252" s="25"/>
      <c r="BZ252" s="13"/>
      <c r="CC252" s="114"/>
    </row>
    <row r="253" spans="1:81" ht="20.100000000000001" customHeight="1" x14ac:dyDescent="0.4">
      <c r="A253" s="117"/>
      <c r="B253" s="123"/>
      <c r="C253" s="123"/>
      <c r="D253" s="123"/>
      <c r="S253" s="115"/>
      <c r="T253" s="115"/>
      <c r="U253" s="115"/>
      <c r="V253" s="115"/>
      <c r="W253" s="115"/>
      <c r="X253" s="115"/>
      <c r="Y253" s="115"/>
      <c r="Z253" s="26"/>
      <c r="AA253" s="15"/>
      <c r="AK253" s="115"/>
      <c r="AL253" s="115"/>
      <c r="AM253" s="115"/>
      <c r="AN253" s="115"/>
      <c r="AO253" s="115"/>
      <c r="AP253" s="127"/>
      <c r="AQ253" s="29"/>
      <c r="BA253" s="25"/>
      <c r="BB253" s="13"/>
      <c r="BG253" s="116"/>
      <c r="BH253" s="123"/>
      <c r="BI253" s="123"/>
      <c r="BJ253" s="123"/>
      <c r="BO253" s="115"/>
      <c r="BP253" s="115"/>
      <c r="BQ253" s="115"/>
      <c r="BR253" s="115"/>
      <c r="BS253" s="115"/>
      <c r="BT253" s="115"/>
      <c r="BU253" s="115"/>
      <c r="BV253" s="115"/>
      <c r="BW253" s="115"/>
      <c r="BX253" s="115"/>
      <c r="BY253" s="25"/>
      <c r="BZ253" s="13"/>
      <c r="CC253" s="114"/>
    </row>
    <row r="254" spans="1:81" ht="20.100000000000001" customHeight="1" x14ac:dyDescent="0.4">
      <c r="A254" s="117"/>
      <c r="B254" s="123"/>
      <c r="C254" s="123"/>
      <c r="D254" s="123"/>
      <c r="S254" s="115"/>
      <c r="T254" s="115"/>
      <c r="U254" s="115"/>
      <c r="V254" s="115"/>
      <c r="W254" s="115"/>
      <c r="X254" s="115"/>
      <c r="Y254" s="115"/>
      <c r="Z254" s="17"/>
      <c r="AA254" s="15"/>
      <c r="AK254" s="115"/>
      <c r="AL254" s="115"/>
      <c r="AM254" s="115"/>
      <c r="AN254" s="115"/>
      <c r="AO254" s="115"/>
      <c r="AP254" s="127"/>
      <c r="AQ254" s="29"/>
      <c r="BA254" s="25"/>
      <c r="BB254" s="13"/>
      <c r="BG254" s="116"/>
      <c r="BH254" s="123"/>
      <c r="BI254" s="123"/>
      <c r="BJ254" s="123"/>
      <c r="BO254" s="115"/>
      <c r="BP254" s="115"/>
      <c r="BQ254" s="115"/>
      <c r="BR254" s="115"/>
      <c r="BS254" s="115"/>
      <c r="BT254" s="115"/>
      <c r="BU254" s="115"/>
      <c r="BV254" s="115"/>
      <c r="BW254" s="115"/>
      <c r="BX254" s="115"/>
      <c r="BY254" s="25"/>
      <c r="BZ254" s="13"/>
      <c r="CC254" s="114"/>
    </row>
    <row r="255" spans="1:81" ht="20.100000000000001" customHeight="1" x14ac:dyDescent="0.4">
      <c r="A255" s="117"/>
      <c r="B255" s="123"/>
      <c r="C255" s="123"/>
      <c r="D255" s="123"/>
      <c r="S255" s="115"/>
      <c r="T255" s="115"/>
      <c r="U255" s="115"/>
      <c r="V255" s="115"/>
      <c r="W255" s="115"/>
      <c r="X255" s="115"/>
      <c r="Y255" s="115"/>
      <c r="Z255" s="26"/>
      <c r="AA255" s="15"/>
      <c r="AK255" s="115"/>
      <c r="AL255" s="115"/>
      <c r="AM255" s="115"/>
      <c r="AN255" s="115"/>
      <c r="AO255" s="115"/>
      <c r="AP255" s="127"/>
      <c r="AQ255" s="29"/>
      <c r="BA255" s="25"/>
      <c r="BB255" s="13"/>
      <c r="BG255" s="116"/>
      <c r="BH255" s="123"/>
      <c r="BI255" s="123"/>
      <c r="BJ255" s="123"/>
      <c r="BO255" s="115"/>
      <c r="BP255" s="115"/>
      <c r="BQ255" s="115"/>
      <c r="BR255" s="115"/>
      <c r="BS255" s="115"/>
      <c r="BT255" s="115"/>
      <c r="BU255" s="115"/>
      <c r="BV255" s="115"/>
      <c r="BW255" s="115"/>
      <c r="BX255" s="115"/>
      <c r="BY255" s="25"/>
      <c r="BZ255" s="13"/>
      <c r="CC255" s="114"/>
    </row>
    <row r="256" spans="1:81" ht="20.100000000000001" customHeight="1" x14ac:dyDescent="0.4">
      <c r="A256" s="117"/>
      <c r="B256" s="123"/>
      <c r="C256" s="123"/>
      <c r="D256" s="123"/>
      <c r="S256" s="115"/>
      <c r="T256" s="115"/>
      <c r="U256" s="115"/>
      <c r="V256" s="115"/>
      <c r="W256" s="115"/>
      <c r="X256" s="115"/>
      <c r="Y256" s="115"/>
      <c r="Z256" s="17"/>
      <c r="AA256" s="13"/>
      <c r="AK256" s="115"/>
      <c r="AL256" s="115"/>
      <c r="AM256" s="115"/>
      <c r="AN256" s="115"/>
      <c r="AO256" s="115"/>
      <c r="AP256" s="127"/>
      <c r="AQ256" s="29"/>
      <c r="BA256" s="25"/>
      <c r="BB256" s="13"/>
      <c r="BG256" s="116"/>
      <c r="BH256" s="123"/>
      <c r="BI256" s="123"/>
      <c r="BJ256" s="123"/>
      <c r="BO256" s="115"/>
      <c r="BP256" s="115"/>
      <c r="BQ256" s="115"/>
      <c r="BR256" s="115"/>
      <c r="BS256" s="115"/>
      <c r="BT256" s="115"/>
      <c r="BU256" s="115"/>
      <c r="BV256" s="115"/>
      <c r="BW256" s="115"/>
      <c r="BX256" s="115"/>
      <c r="BY256" s="25"/>
      <c r="BZ256" s="13"/>
      <c r="CC256" s="114"/>
    </row>
    <row r="257" spans="1:81" ht="20.100000000000001" customHeight="1" x14ac:dyDescent="0.4">
      <c r="A257" s="117"/>
      <c r="B257" s="123"/>
      <c r="C257" s="123"/>
      <c r="D257" s="123"/>
      <c r="S257" s="115"/>
      <c r="T257" s="115"/>
      <c r="U257" s="115"/>
      <c r="V257" s="115"/>
      <c r="W257" s="115"/>
      <c r="X257" s="115"/>
      <c r="Y257" s="115"/>
      <c r="Z257" s="17"/>
      <c r="AA257" s="13"/>
      <c r="AK257" s="115"/>
      <c r="AL257" s="115"/>
      <c r="AM257" s="115"/>
      <c r="AN257" s="115"/>
      <c r="AO257" s="115"/>
      <c r="AP257" s="127"/>
      <c r="AQ257" s="29"/>
      <c r="BA257" s="25"/>
      <c r="BB257" s="13"/>
      <c r="BG257" s="116"/>
      <c r="BH257" s="123"/>
      <c r="BI257" s="123"/>
      <c r="BJ257" s="123"/>
      <c r="BO257" s="115"/>
      <c r="BP257" s="115"/>
      <c r="BQ257" s="115"/>
      <c r="BR257" s="115"/>
      <c r="BS257" s="115"/>
      <c r="BT257" s="115"/>
      <c r="BU257" s="115"/>
      <c r="BV257" s="115"/>
      <c r="BW257" s="115"/>
      <c r="BX257" s="115"/>
      <c r="BY257" s="25"/>
      <c r="BZ257" s="13"/>
      <c r="CC257" s="114"/>
    </row>
    <row r="258" spans="1:81" ht="20.100000000000001" customHeight="1" x14ac:dyDescent="0.4">
      <c r="A258" s="117"/>
      <c r="B258" s="123"/>
      <c r="C258" s="123"/>
      <c r="D258" s="123"/>
      <c r="S258" s="115"/>
      <c r="T258" s="115"/>
      <c r="U258" s="115"/>
      <c r="V258" s="115"/>
      <c r="W258" s="115"/>
      <c r="X258" s="115"/>
      <c r="Y258" s="115"/>
      <c r="Z258" s="26"/>
      <c r="AA258" s="13"/>
      <c r="AK258" s="115"/>
      <c r="AL258" s="115"/>
      <c r="AM258" s="115"/>
      <c r="AN258" s="115"/>
      <c r="AO258" s="115"/>
      <c r="AP258" s="127"/>
      <c r="AQ258" s="29"/>
      <c r="BA258" s="25"/>
      <c r="BB258" s="13"/>
      <c r="BG258" s="116"/>
      <c r="BH258" s="123"/>
      <c r="BI258" s="123"/>
      <c r="BJ258" s="123"/>
      <c r="BO258" s="115"/>
      <c r="BP258" s="115"/>
      <c r="BQ258" s="115"/>
      <c r="BR258" s="115"/>
      <c r="BS258" s="115"/>
      <c r="BT258" s="115"/>
      <c r="BU258" s="115"/>
      <c r="BV258" s="115"/>
      <c r="BW258" s="115"/>
      <c r="BX258" s="115"/>
      <c r="BY258" s="25"/>
      <c r="BZ258" s="13"/>
      <c r="CC258" s="114"/>
    </row>
    <row r="259" spans="1:81" ht="20.100000000000001" customHeight="1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26"/>
      <c r="AA259" s="13"/>
      <c r="AK259" s="115"/>
      <c r="AL259" s="115"/>
      <c r="AM259" s="115"/>
      <c r="AN259" s="115"/>
      <c r="AO259" s="115"/>
      <c r="AP259" s="127"/>
      <c r="AQ259" s="29"/>
      <c r="BA259" s="25"/>
      <c r="BB259" s="13"/>
      <c r="BG259" s="116"/>
      <c r="BH259" s="123"/>
      <c r="BI259" s="123"/>
      <c r="BJ259" s="123"/>
      <c r="BO259" s="115"/>
      <c r="BP259" s="115"/>
      <c r="BQ259" s="115"/>
      <c r="BR259" s="115"/>
      <c r="BS259" s="115"/>
      <c r="BT259" s="115"/>
      <c r="BU259" s="115"/>
      <c r="BV259" s="115"/>
      <c r="BW259" s="115"/>
      <c r="BX259" s="115"/>
      <c r="BY259" s="25"/>
      <c r="BZ259" s="13"/>
      <c r="CC259" s="114"/>
    </row>
    <row r="260" spans="1:81" ht="20.100000000000001" customHeight="1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7"/>
      <c r="AA260" s="13"/>
      <c r="AK260" s="115"/>
      <c r="AL260" s="115"/>
      <c r="AM260" s="115"/>
      <c r="AN260" s="115"/>
      <c r="AO260" s="115"/>
      <c r="AP260" s="127"/>
      <c r="AQ260" s="29"/>
      <c r="BA260" s="25"/>
      <c r="BB260" s="13"/>
      <c r="BG260" s="116"/>
      <c r="BH260" s="123"/>
      <c r="BI260" s="123"/>
      <c r="BJ260" s="123"/>
      <c r="BO260" s="115"/>
      <c r="BP260" s="115"/>
      <c r="BQ260" s="115"/>
      <c r="BR260" s="115"/>
      <c r="BS260" s="115"/>
      <c r="BT260" s="115"/>
      <c r="BU260" s="115"/>
      <c r="BV260" s="115"/>
      <c r="BW260" s="115"/>
      <c r="BX260" s="115"/>
      <c r="BY260" s="25"/>
      <c r="BZ260" s="13"/>
      <c r="CC260" s="114"/>
    </row>
    <row r="261" spans="1:81" ht="20.100000000000001" customHeight="1" x14ac:dyDescent="0.4">
      <c r="A261" s="117"/>
      <c r="B261" s="123"/>
      <c r="C261" s="123"/>
      <c r="D261" s="123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26"/>
      <c r="AA261" s="13"/>
      <c r="AK261" s="115"/>
      <c r="AL261" s="115"/>
      <c r="AM261" s="115"/>
      <c r="AN261" s="115"/>
      <c r="AO261" s="115"/>
      <c r="AP261" s="127"/>
      <c r="AQ261" s="29"/>
      <c r="BA261" s="25"/>
      <c r="BB261" s="13"/>
      <c r="BG261" s="116"/>
      <c r="BH261" s="123"/>
      <c r="BI261" s="123"/>
      <c r="BJ261" s="123"/>
      <c r="BO261" s="115"/>
      <c r="BP261" s="115"/>
      <c r="BQ261" s="115"/>
      <c r="BR261" s="115"/>
      <c r="BS261" s="115"/>
      <c r="BT261" s="115"/>
      <c r="BU261" s="115"/>
      <c r="BV261" s="115"/>
      <c r="BW261" s="115"/>
      <c r="BX261" s="115"/>
      <c r="BY261" s="25"/>
      <c r="BZ261" s="13"/>
      <c r="CC261" s="114"/>
    </row>
    <row r="262" spans="1:81" ht="20.100000000000001" customHeight="1" x14ac:dyDescent="0.4">
      <c r="A262" s="117"/>
      <c r="B262" s="123"/>
      <c r="C262" s="123"/>
      <c r="D262" s="123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7"/>
      <c r="AA262" s="13"/>
      <c r="AK262" s="115"/>
      <c r="AL262" s="115"/>
      <c r="AM262" s="115"/>
      <c r="AN262" s="115"/>
      <c r="AO262" s="115"/>
      <c r="AP262" s="127"/>
      <c r="AQ262" s="29"/>
      <c r="BA262" s="25"/>
      <c r="BB262" s="13"/>
      <c r="BG262" s="116"/>
      <c r="BH262" s="123"/>
      <c r="BI262" s="123"/>
      <c r="BJ262" s="123"/>
      <c r="BO262" s="115"/>
      <c r="BP262" s="115"/>
      <c r="BQ262" s="115"/>
      <c r="BR262" s="115"/>
      <c r="BS262" s="115"/>
      <c r="BT262" s="115"/>
      <c r="BU262" s="115"/>
      <c r="BV262" s="115"/>
      <c r="BW262" s="115"/>
      <c r="BX262" s="115"/>
      <c r="BY262" s="25"/>
      <c r="BZ262" s="13"/>
      <c r="CC262" s="114"/>
    </row>
    <row r="263" spans="1:81" ht="20.100000000000001" customHeight="1" x14ac:dyDescent="0.4">
      <c r="A263" s="117"/>
      <c r="B263" s="123"/>
      <c r="C263" s="123"/>
      <c r="D263" s="123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7"/>
      <c r="AA263" s="13"/>
      <c r="AK263" s="115"/>
      <c r="AL263" s="115"/>
      <c r="AM263" s="115"/>
      <c r="AN263" s="115"/>
      <c r="AO263" s="115"/>
      <c r="AP263" s="127"/>
      <c r="AQ263" s="29"/>
      <c r="BA263" s="25"/>
      <c r="BB263" s="13"/>
      <c r="BG263" s="116"/>
      <c r="BH263" s="123"/>
      <c r="BI263" s="123"/>
      <c r="BJ263" s="123"/>
      <c r="BO263" s="115"/>
      <c r="BP263" s="115"/>
      <c r="BQ263" s="115"/>
      <c r="BR263" s="115"/>
      <c r="BS263" s="115"/>
      <c r="BT263" s="115"/>
      <c r="BU263" s="115"/>
      <c r="BV263" s="115"/>
      <c r="BW263" s="115"/>
      <c r="BX263" s="115"/>
      <c r="BY263" s="25"/>
      <c r="BZ263" s="13"/>
      <c r="CC263" s="114"/>
    </row>
    <row r="264" spans="1:81" ht="20.100000000000001" customHeight="1" x14ac:dyDescent="0.4">
      <c r="A264" s="117"/>
      <c r="B264" s="123"/>
      <c r="C264" s="123"/>
      <c r="D264" s="123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26"/>
      <c r="AA264" s="13"/>
      <c r="AK264" s="115"/>
      <c r="AL264" s="115"/>
      <c r="AM264" s="115"/>
      <c r="AN264" s="115"/>
      <c r="AO264" s="115"/>
      <c r="AP264" s="127"/>
      <c r="AQ264" s="29"/>
      <c r="BA264" s="25"/>
      <c r="BB264" s="13"/>
      <c r="BG264" s="116"/>
      <c r="BH264" s="123"/>
      <c r="BI264" s="123"/>
      <c r="BJ264" s="123"/>
      <c r="BO264" s="115"/>
      <c r="BP264" s="115"/>
      <c r="BQ264" s="115"/>
      <c r="BR264" s="115"/>
      <c r="BS264" s="115"/>
      <c r="BT264" s="115"/>
      <c r="BU264" s="115"/>
      <c r="BV264" s="115"/>
      <c r="BW264" s="115"/>
      <c r="BX264" s="115"/>
      <c r="BY264" s="25"/>
      <c r="BZ264" s="13"/>
      <c r="CC264" s="114"/>
    </row>
    <row r="265" spans="1:81" ht="20.100000000000001" customHeight="1" x14ac:dyDescent="0.4">
      <c r="A265" s="117"/>
      <c r="B265" s="123"/>
      <c r="C265" s="123"/>
      <c r="D265" s="123"/>
      <c r="Z265" s="26"/>
      <c r="AA265" s="13"/>
      <c r="AK265" s="115"/>
      <c r="AL265" s="115"/>
      <c r="AM265" s="115"/>
      <c r="AN265" s="115"/>
      <c r="AO265" s="115"/>
      <c r="AP265" s="29"/>
      <c r="AQ265" s="29"/>
      <c r="BA265" s="25"/>
      <c r="BB265" s="13"/>
      <c r="BG265" s="116"/>
      <c r="BH265" s="123"/>
      <c r="BI265" s="123"/>
      <c r="BJ265" s="123"/>
      <c r="BO265" s="115"/>
      <c r="BP265" s="115"/>
      <c r="BQ265" s="115"/>
      <c r="BR265" s="115"/>
      <c r="BS265" s="115"/>
      <c r="BT265" s="115"/>
      <c r="BU265" s="115"/>
      <c r="BV265" s="115"/>
      <c r="BW265" s="115"/>
      <c r="BX265" s="115"/>
      <c r="BY265" s="25"/>
      <c r="BZ265" s="13"/>
      <c r="CC265" s="114"/>
    </row>
    <row r="266" spans="1:81" ht="20.100000000000001" customHeight="1" x14ac:dyDescent="0.4">
      <c r="A266" s="117"/>
      <c r="B266" s="123"/>
      <c r="C266" s="123"/>
      <c r="D266" s="123"/>
      <c r="T266" s="115"/>
      <c r="U266" s="115"/>
      <c r="V266" s="115"/>
      <c r="W266" s="115"/>
      <c r="X266" s="115"/>
      <c r="Y266" s="115"/>
      <c r="Z266" s="26"/>
      <c r="AA266" s="13"/>
      <c r="AK266" s="115"/>
      <c r="AL266" s="115"/>
      <c r="AM266" s="115"/>
      <c r="AN266" s="115"/>
      <c r="AO266" s="115"/>
      <c r="AP266" s="29"/>
      <c r="AQ266" s="29"/>
      <c r="BA266" s="25"/>
      <c r="BB266" s="13"/>
      <c r="BG266" s="116"/>
      <c r="BH266" s="123"/>
      <c r="BI266" s="123"/>
      <c r="BJ266" s="123"/>
      <c r="BO266" s="115"/>
      <c r="BP266" s="115"/>
      <c r="BQ266" s="115"/>
      <c r="BR266" s="115"/>
      <c r="BS266" s="115"/>
      <c r="BT266" s="115"/>
      <c r="BU266" s="115"/>
      <c r="BV266" s="115"/>
      <c r="BW266" s="115"/>
      <c r="BX266" s="115"/>
      <c r="BY266" s="25"/>
      <c r="BZ266" s="13"/>
      <c r="CC266" s="114"/>
    </row>
    <row r="267" spans="1:81" ht="20.100000000000001" customHeight="1" x14ac:dyDescent="0.4">
      <c r="A267" s="117"/>
      <c r="B267" s="123"/>
      <c r="C267" s="123"/>
      <c r="D267" s="123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26"/>
      <c r="AA267" s="13"/>
      <c r="AK267" s="115"/>
      <c r="AL267" s="115"/>
      <c r="AM267" s="115"/>
      <c r="AN267" s="115"/>
      <c r="AO267" s="115"/>
      <c r="AP267" s="29"/>
      <c r="AQ267" s="29"/>
      <c r="BA267" s="25"/>
      <c r="BB267" s="13"/>
      <c r="BG267" s="116"/>
      <c r="BH267" s="123"/>
      <c r="BI267" s="123"/>
      <c r="BJ267" s="123"/>
      <c r="BO267" s="115"/>
      <c r="BP267" s="115"/>
      <c r="BQ267" s="115"/>
      <c r="BR267" s="115"/>
      <c r="BS267" s="115"/>
      <c r="BT267" s="115"/>
      <c r="BU267" s="115"/>
      <c r="BV267" s="115"/>
      <c r="BW267" s="115"/>
      <c r="BX267" s="115"/>
      <c r="BY267" s="25"/>
      <c r="BZ267" s="13"/>
      <c r="CC267" s="114"/>
    </row>
    <row r="268" spans="1:81" ht="20.100000000000001" customHeight="1" x14ac:dyDescent="0.4">
      <c r="A268" s="117"/>
      <c r="B268" s="123"/>
      <c r="C268" s="123"/>
      <c r="D268" s="123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26"/>
      <c r="AA268" s="13"/>
      <c r="AK268" s="115"/>
      <c r="AL268" s="115"/>
      <c r="AM268" s="115"/>
      <c r="AN268" s="115"/>
      <c r="AO268" s="115"/>
      <c r="AP268" s="29"/>
      <c r="AQ268" s="29"/>
      <c r="BA268" s="25"/>
      <c r="BB268" s="13"/>
      <c r="BG268" s="116"/>
      <c r="BH268" s="123"/>
      <c r="BI268" s="123"/>
      <c r="BJ268" s="123"/>
      <c r="BO268" s="115"/>
      <c r="BP268" s="115"/>
      <c r="BQ268" s="115"/>
      <c r="BR268" s="115"/>
      <c r="BS268" s="115"/>
      <c r="BT268" s="115"/>
      <c r="BU268" s="115"/>
      <c r="BV268" s="115"/>
      <c r="BW268" s="115"/>
      <c r="BX268" s="115"/>
      <c r="BY268" s="25"/>
      <c r="BZ268" s="13"/>
      <c r="CC268" s="114"/>
    </row>
    <row r="269" spans="1:81" ht="20.100000000000001" customHeight="1" x14ac:dyDescent="0.4">
      <c r="A269" s="117"/>
      <c r="B269" s="123"/>
      <c r="C269" s="123"/>
      <c r="D269" s="123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26"/>
      <c r="AA269" s="13"/>
      <c r="AK269" s="115"/>
      <c r="AL269" s="115"/>
      <c r="AM269" s="115"/>
      <c r="AN269" s="115"/>
      <c r="AO269" s="115"/>
      <c r="AP269" s="29"/>
      <c r="AQ269" s="29"/>
      <c r="BA269" s="25"/>
      <c r="BB269" s="13"/>
      <c r="BG269" s="116"/>
      <c r="BH269" s="123"/>
      <c r="BI269" s="123"/>
      <c r="BJ269" s="123"/>
      <c r="BO269" s="115"/>
      <c r="BP269" s="115"/>
      <c r="BQ269" s="115"/>
      <c r="BR269" s="115"/>
      <c r="BS269" s="115"/>
      <c r="BT269" s="115"/>
      <c r="BU269" s="115"/>
      <c r="BV269" s="115"/>
      <c r="BW269" s="115"/>
      <c r="BX269" s="115"/>
      <c r="BY269" s="25"/>
      <c r="BZ269" s="13"/>
      <c r="CC269" s="114"/>
    </row>
    <row r="270" spans="1:81" ht="20.100000000000001" customHeight="1" x14ac:dyDescent="0.4">
      <c r="A270" s="117"/>
      <c r="B270" s="123"/>
      <c r="C270" s="123"/>
      <c r="D270" s="123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7"/>
      <c r="AA270" s="13"/>
      <c r="AK270" s="115"/>
      <c r="AL270" s="115"/>
      <c r="AM270" s="115"/>
      <c r="AN270" s="115"/>
      <c r="AO270" s="115"/>
      <c r="AP270" s="29"/>
      <c r="AQ270" s="29"/>
      <c r="BA270" s="25"/>
      <c r="BB270" s="13"/>
      <c r="BG270" s="116"/>
      <c r="BH270" s="123"/>
      <c r="BI270" s="123"/>
      <c r="BJ270" s="123"/>
      <c r="BO270" s="115"/>
      <c r="BP270" s="115"/>
      <c r="BQ270" s="115"/>
      <c r="BR270" s="115"/>
      <c r="BS270" s="115"/>
      <c r="BT270" s="115"/>
      <c r="BU270" s="115"/>
      <c r="BV270" s="115"/>
      <c r="BW270" s="115"/>
      <c r="BX270" s="115"/>
      <c r="BY270" s="25"/>
      <c r="BZ270" s="13"/>
      <c r="CC270" s="114"/>
    </row>
    <row r="271" spans="1:81" ht="20.100000000000001" customHeight="1" x14ac:dyDescent="0.4">
      <c r="A271" s="117"/>
      <c r="B271" s="123"/>
      <c r="C271" s="123"/>
      <c r="D271" s="123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26"/>
      <c r="AA271" s="13"/>
      <c r="AK271" s="115"/>
      <c r="AL271" s="115"/>
      <c r="AM271" s="115"/>
      <c r="AN271" s="115"/>
      <c r="AO271" s="115"/>
      <c r="AP271" s="29"/>
      <c r="AQ271" s="29"/>
      <c r="BA271" s="25"/>
      <c r="BB271" s="13"/>
      <c r="BG271" s="116"/>
      <c r="BH271" s="123"/>
      <c r="BI271" s="123"/>
      <c r="BJ271" s="123"/>
      <c r="BO271" s="115"/>
      <c r="BP271" s="115"/>
      <c r="BQ271" s="115"/>
      <c r="BR271" s="115"/>
      <c r="BS271" s="115"/>
      <c r="BT271" s="115"/>
      <c r="BU271" s="115"/>
      <c r="BV271" s="115"/>
      <c r="BW271" s="115"/>
      <c r="BX271" s="115"/>
      <c r="BY271" s="25"/>
      <c r="BZ271" s="13"/>
      <c r="CC271" s="114"/>
    </row>
    <row r="272" spans="1:81" ht="20.100000000000001" customHeight="1" x14ac:dyDescent="0.4">
      <c r="A272" s="117"/>
      <c r="B272" s="123"/>
      <c r="C272" s="123"/>
      <c r="D272" s="123"/>
      <c r="Z272" s="26"/>
      <c r="AA272" s="13"/>
      <c r="AK272" s="115"/>
      <c r="AL272" s="115"/>
      <c r="AM272" s="115"/>
      <c r="AN272" s="115"/>
      <c r="AO272" s="115"/>
      <c r="AP272" s="127"/>
      <c r="AQ272" s="29"/>
      <c r="BA272" s="25"/>
      <c r="BB272" s="13"/>
      <c r="BG272" s="116"/>
      <c r="BH272" s="123"/>
      <c r="BI272" s="123"/>
      <c r="BJ272" s="123"/>
      <c r="BO272" s="115"/>
      <c r="BP272" s="115"/>
      <c r="BQ272" s="115"/>
      <c r="BR272" s="115"/>
      <c r="BS272" s="115"/>
      <c r="BT272" s="115"/>
      <c r="BU272" s="115"/>
      <c r="BV272" s="115"/>
      <c r="BW272" s="115"/>
      <c r="BX272" s="115"/>
      <c r="BY272" s="25"/>
      <c r="BZ272" s="13"/>
      <c r="CC272" s="114"/>
    </row>
    <row r="273" spans="1:81" ht="20.100000000000001" customHeight="1" x14ac:dyDescent="0.4">
      <c r="A273" s="117"/>
      <c r="B273" s="123"/>
      <c r="C273" s="123"/>
      <c r="D273" s="123"/>
      <c r="Z273" s="26"/>
      <c r="AA273" s="15"/>
      <c r="AJ273" s="115"/>
      <c r="AK273" s="115"/>
      <c r="AL273" s="115"/>
      <c r="AM273" s="115"/>
      <c r="AN273" s="115"/>
      <c r="AO273" s="115"/>
      <c r="AP273" s="127"/>
      <c r="AQ273" s="29"/>
      <c r="BA273" s="25"/>
      <c r="BB273" s="13"/>
      <c r="BG273" s="116"/>
      <c r="BH273" s="123"/>
      <c r="BI273" s="123"/>
      <c r="BJ273" s="123"/>
      <c r="BO273" s="115"/>
      <c r="BP273" s="115"/>
      <c r="BQ273" s="115"/>
      <c r="BR273" s="115"/>
      <c r="BS273" s="115"/>
      <c r="BT273" s="115"/>
      <c r="BU273" s="115"/>
      <c r="BV273" s="115"/>
      <c r="BW273" s="115"/>
      <c r="BX273" s="115"/>
      <c r="BY273" s="25"/>
      <c r="BZ273" s="13"/>
      <c r="CC273" s="114"/>
    </row>
    <row r="274" spans="1:81" ht="20.100000000000001" customHeight="1" x14ac:dyDescent="0.4">
      <c r="A274" s="117"/>
      <c r="B274" s="123"/>
      <c r="C274" s="123"/>
      <c r="D274" s="123"/>
      <c r="T274" s="115"/>
      <c r="U274" s="115"/>
      <c r="V274" s="115"/>
      <c r="W274" s="115"/>
      <c r="X274" s="115"/>
      <c r="Y274" s="115"/>
      <c r="Z274" s="26"/>
      <c r="AA274" s="15"/>
      <c r="AJ274" s="115"/>
      <c r="AK274" s="115"/>
      <c r="AL274" s="115"/>
      <c r="AM274" s="115"/>
      <c r="AN274" s="115"/>
      <c r="AO274" s="115"/>
      <c r="AP274" s="127"/>
      <c r="AQ274" s="29"/>
      <c r="BA274" s="25"/>
      <c r="BB274" s="13"/>
      <c r="BG274" s="116"/>
      <c r="BH274" s="123"/>
      <c r="BI274" s="123"/>
      <c r="BJ274" s="123"/>
      <c r="BO274" s="115"/>
      <c r="BP274" s="115"/>
      <c r="BQ274" s="115"/>
      <c r="BR274" s="115"/>
      <c r="BS274" s="115"/>
      <c r="BT274" s="115"/>
      <c r="BU274" s="115"/>
      <c r="BV274" s="115"/>
      <c r="BW274" s="115"/>
      <c r="BX274" s="115"/>
      <c r="BY274" s="25"/>
      <c r="BZ274" s="13"/>
      <c r="CC274" s="114"/>
    </row>
    <row r="275" spans="1:81" ht="20.100000000000001" customHeight="1" x14ac:dyDescent="0.4">
      <c r="A275" s="117"/>
      <c r="B275" s="123"/>
      <c r="C275" s="123"/>
      <c r="D275" s="123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26"/>
      <c r="AA275" s="15"/>
      <c r="AJ275" s="115"/>
      <c r="AK275" s="115"/>
      <c r="AL275" s="115"/>
      <c r="AM275" s="115"/>
      <c r="AN275" s="115"/>
      <c r="AO275" s="115"/>
      <c r="AP275" s="127"/>
      <c r="AQ275" s="29"/>
      <c r="BA275" s="25"/>
      <c r="BB275" s="13"/>
      <c r="BG275" s="116"/>
      <c r="BH275" s="123"/>
      <c r="BI275" s="123"/>
      <c r="BJ275" s="123"/>
      <c r="BO275" s="115"/>
      <c r="BP275" s="115"/>
      <c r="BQ275" s="115"/>
      <c r="BR275" s="115"/>
      <c r="BS275" s="115"/>
      <c r="BT275" s="115"/>
      <c r="BU275" s="115"/>
      <c r="BV275" s="115"/>
      <c r="BW275" s="115"/>
      <c r="BX275" s="115"/>
      <c r="BY275" s="25"/>
      <c r="BZ275" s="13"/>
      <c r="CC275" s="114"/>
    </row>
    <row r="276" spans="1:81" ht="20.100000000000001" customHeight="1" x14ac:dyDescent="0.4">
      <c r="A276" s="117"/>
      <c r="B276" s="123"/>
      <c r="C276" s="123"/>
      <c r="D276" s="123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26"/>
      <c r="AA276" s="13"/>
      <c r="AJ276" s="115"/>
      <c r="AK276" s="115"/>
      <c r="AL276" s="115"/>
      <c r="AM276" s="115"/>
      <c r="AN276" s="115"/>
      <c r="AO276" s="115"/>
      <c r="AP276" s="127"/>
      <c r="AQ276" s="29"/>
      <c r="BA276" s="25"/>
      <c r="BB276" s="13"/>
      <c r="BG276" s="116"/>
      <c r="BH276" s="123"/>
      <c r="BI276" s="123"/>
      <c r="BJ276" s="123"/>
      <c r="BO276" s="115"/>
      <c r="BP276" s="115"/>
      <c r="BQ276" s="115"/>
      <c r="BR276" s="115"/>
      <c r="BS276" s="115"/>
      <c r="BT276" s="115"/>
      <c r="BU276" s="115"/>
      <c r="BV276" s="115"/>
      <c r="BW276" s="115"/>
      <c r="BX276" s="115"/>
      <c r="BY276" s="25"/>
      <c r="BZ276" s="13"/>
      <c r="CC276" s="114"/>
    </row>
    <row r="277" spans="1:81" ht="20.100000000000001" customHeight="1" x14ac:dyDescent="0.4">
      <c r="A277" s="117"/>
      <c r="B277" s="123"/>
      <c r="C277" s="123"/>
      <c r="D277" s="123"/>
      <c r="Z277" s="26"/>
      <c r="AA277" s="13"/>
      <c r="AJ277" s="115"/>
      <c r="AK277" s="115"/>
      <c r="AL277" s="115"/>
      <c r="AM277" s="115"/>
      <c r="AN277" s="115"/>
      <c r="AO277" s="115"/>
      <c r="AP277" s="29"/>
      <c r="AQ277" s="29"/>
      <c r="BA277" s="25"/>
      <c r="BB277" s="13"/>
      <c r="BG277" s="116"/>
      <c r="BH277" s="123"/>
      <c r="BI277" s="123"/>
      <c r="BJ277" s="123"/>
      <c r="BO277" s="115"/>
      <c r="BP277" s="115"/>
      <c r="BQ277" s="115"/>
      <c r="BR277" s="115"/>
      <c r="BS277" s="115"/>
      <c r="BT277" s="115"/>
      <c r="BU277" s="115"/>
      <c r="BV277" s="115"/>
      <c r="BW277" s="115"/>
      <c r="BX277" s="115"/>
      <c r="BY277" s="25"/>
      <c r="BZ277" s="13"/>
      <c r="CC277" s="114"/>
    </row>
    <row r="278" spans="1:81" ht="20.100000000000001" customHeight="1" x14ac:dyDescent="0.4">
      <c r="A278" s="117"/>
      <c r="B278" s="123"/>
      <c r="C278" s="123"/>
      <c r="D278" s="123"/>
      <c r="U278" s="115"/>
      <c r="V278" s="115"/>
      <c r="W278" s="115"/>
      <c r="X278" s="115"/>
      <c r="Y278" s="115"/>
      <c r="Z278" s="17"/>
      <c r="AA278" s="13"/>
      <c r="AJ278" s="115"/>
      <c r="AK278" s="115"/>
      <c r="AL278" s="115"/>
      <c r="AM278" s="115"/>
      <c r="AN278" s="115"/>
      <c r="AO278" s="115"/>
      <c r="AP278" s="29"/>
      <c r="AQ278" s="29"/>
      <c r="BA278" s="25"/>
      <c r="BB278" s="13"/>
      <c r="BG278" s="116"/>
      <c r="BH278" s="123"/>
      <c r="BI278" s="123"/>
      <c r="BJ278" s="123"/>
      <c r="BO278" s="115"/>
      <c r="BP278" s="115"/>
      <c r="BQ278" s="115"/>
      <c r="BR278" s="115"/>
      <c r="BS278" s="115"/>
      <c r="BT278" s="115"/>
      <c r="BU278" s="115"/>
      <c r="BV278" s="115"/>
      <c r="BW278" s="115"/>
      <c r="BX278" s="115"/>
      <c r="BY278" s="25"/>
      <c r="BZ278" s="13"/>
      <c r="CC278" s="114"/>
    </row>
    <row r="279" spans="1:81" ht="20.100000000000001" customHeight="1" x14ac:dyDescent="0.4">
      <c r="A279" s="117"/>
      <c r="B279" s="123"/>
      <c r="C279" s="123"/>
      <c r="D279" s="123"/>
      <c r="T279" s="115"/>
      <c r="U279" s="115"/>
      <c r="V279" s="115"/>
      <c r="W279" s="115"/>
      <c r="X279" s="115"/>
      <c r="Y279" s="115"/>
      <c r="Z279" s="26"/>
      <c r="AA279" s="13"/>
      <c r="AJ279" s="115"/>
      <c r="AK279" s="115"/>
      <c r="AL279" s="115"/>
      <c r="AM279" s="115"/>
      <c r="AN279" s="115"/>
      <c r="AO279" s="115"/>
      <c r="AP279" s="29"/>
      <c r="AQ279" s="29"/>
      <c r="BA279" s="25"/>
      <c r="BB279" s="13"/>
      <c r="BG279" s="116"/>
      <c r="BH279" s="123"/>
      <c r="BI279" s="123"/>
      <c r="BJ279" s="123"/>
      <c r="BO279" s="115"/>
      <c r="BP279" s="115"/>
      <c r="BQ279" s="115"/>
      <c r="BR279" s="115"/>
      <c r="BS279" s="115"/>
      <c r="BT279" s="115"/>
      <c r="BU279" s="115"/>
      <c r="BV279" s="115"/>
      <c r="BW279" s="115"/>
      <c r="BX279" s="115"/>
      <c r="BY279" s="25"/>
      <c r="BZ279" s="13"/>
      <c r="CC279" s="114"/>
    </row>
    <row r="280" spans="1:81" ht="20.100000000000001" customHeight="1" x14ac:dyDescent="0.4">
      <c r="A280" s="117"/>
      <c r="B280" s="123"/>
      <c r="C280" s="123"/>
      <c r="D280" s="123"/>
      <c r="Z280" s="26"/>
      <c r="AA280" s="13"/>
      <c r="AJ280" s="115"/>
      <c r="AK280" s="115"/>
      <c r="AL280" s="115"/>
      <c r="AM280" s="115"/>
      <c r="AN280" s="115"/>
      <c r="AO280" s="115"/>
      <c r="AP280" s="127"/>
      <c r="AQ280" s="29"/>
      <c r="BA280" s="25"/>
      <c r="BB280" s="13"/>
      <c r="BG280" s="116"/>
      <c r="BH280" s="123"/>
      <c r="BI280" s="123"/>
      <c r="BJ280" s="123"/>
      <c r="BO280" s="115"/>
      <c r="BP280" s="115"/>
      <c r="BQ280" s="115"/>
      <c r="BR280" s="115"/>
      <c r="BS280" s="115"/>
      <c r="BT280" s="115"/>
      <c r="BU280" s="115"/>
      <c r="BV280" s="115"/>
      <c r="BW280" s="115"/>
      <c r="BX280" s="115"/>
      <c r="BY280" s="25"/>
      <c r="BZ280" s="13"/>
      <c r="CC280" s="114"/>
    </row>
    <row r="281" spans="1:81" ht="20.100000000000001" customHeight="1" x14ac:dyDescent="0.4">
      <c r="A281" s="117"/>
      <c r="B281" s="123"/>
      <c r="C281" s="123"/>
      <c r="D281" s="123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26"/>
      <c r="AA281" s="13"/>
      <c r="AJ281" s="115"/>
      <c r="AK281" s="115"/>
      <c r="AL281" s="115"/>
      <c r="AM281" s="115"/>
      <c r="AN281" s="115"/>
      <c r="AO281" s="115"/>
      <c r="AP281" s="127"/>
      <c r="AQ281" s="29"/>
      <c r="BA281" s="25"/>
      <c r="BB281" s="13"/>
      <c r="BG281" s="116"/>
      <c r="BH281" s="123"/>
      <c r="BI281" s="123"/>
      <c r="BJ281" s="123"/>
      <c r="BO281" s="115"/>
      <c r="BP281" s="115"/>
      <c r="BQ281" s="115"/>
      <c r="BR281" s="115"/>
      <c r="BS281" s="115"/>
      <c r="BT281" s="115"/>
      <c r="BU281" s="115"/>
      <c r="BV281" s="115"/>
      <c r="BW281" s="115"/>
      <c r="BX281" s="115"/>
      <c r="BY281" s="25"/>
      <c r="BZ281" s="13"/>
      <c r="CC281" s="114"/>
    </row>
    <row r="282" spans="1:81" ht="20.100000000000001" customHeight="1" x14ac:dyDescent="0.4">
      <c r="A282" s="117"/>
      <c r="B282" s="123"/>
      <c r="C282" s="123"/>
      <c r="D282" s="123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7"/>
      <c r="AA282" s="13"/>
      <c r="AJ282" s="115"/>
      <c r="AK282" s="115"/>
      <c r="AL282" s="115"/>
      <c r="AM282" s="115"/>
      <c r="AN282" s="115"/>
      <c r="AO282" s="115"/>
      <c r="AP282" s="127"/>
      <c r="AQ282" s="29"/>
      <c r="BA282" s="25"/>
      <c r="BB282" s="13"/>
      <c r="BG282" s="116"/>
      <c r="BH282" s="123"/>
      <c r="BI282" s="123"/>
      <c r="BJ282" s="123"/>
      <c r="BO282" s="115"/>
      <c r="BP282" s="115"/>
      <c r="BQ282" s="115"/>
      <c r="BR282" s="115"/>
      <c r="BS282" s="115"/>
      <c r="BT282" s="115"/>
      <c r="BU282" s="115"/>
      <c r="BV282" s="115"/>
      <c r="BW282" s="115"/>
      <c r="BX282" s="115"/>
      <c r="BY282" s="25"/>
      <c r="BZ282" s="13"/>
      <c r="CC282" s="114"/>
    </row>
    <row r="283" spans="1:81" ht="20.100000000000001" customHeight="1" x14ac:dyDescent="0.4">
      <c r="A283" s="117"/>
      <c r="B283" s="123"/>
      <c r="C283" s="123"/>
      <c r="D283" s="123"/>
      <c r="Z283" s="26"/>
      <c r="AA283" s="13"/>
      <c r="AJ283" s="115"/>
      <c r="AK283" s="115"/>
      <c r="AL283" s="115"/>
      <c r="AM283" s="115"/>
      <c r="AN283" s="115"/>
      <c r="AO283" s="115"/>
      <c r="AP283" s="127"/>
      <c r="AQ283" s="29"/>
      <c r="BA283" s="25"/>
      <c r="BB283" s="13"/>
      <c r="BG283" s="116"/>
      <c r="BH283" s="123"/>
      <c r="BI283" s="123"/>
      <c r="BJ283" s="123"/>
      <c r="BO283" s="115"/>
      <c r="BP283" s="115"/>
      <c r="BQ283" s="115"/>
      <c r="BR283" s="115"/>
      <c r="BS283" s="115"/>
      <c r="BT283" s="115"/>
      <c r="BU283" s="115"/>
      <c r="BV283" s="115"/>
      <c r="BW283" s="115"/>
      <c r="BX283" s="115"/>
      <c r="BY283" s="25"/>
      <c r="BZ283" s="13"/>
      <c r="CC283" s="114"/>
    </row>
    <row r="284" spans="1:81" ht="20.100000000000001" customHeight="1" x14ac:dyDescent="0.4">
      <c r="A284" s="117"/>
      <c r="B284" s="123"/>
      <c r="C284" s="123"/>
      <c r="D284" s="123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26"/>
      <c r="AA284" s="13"/>
      <c r="AJ284" s="115"/>
      <c r="AK284" s="115"/>
      <c r="AL284" s="115"/>
      <c r="AM284" s="115"/>
      <c r="AN284" s="115"/>
      <c r="AO284" s="115"/>
      <c r="AP284" s="127"/>
      <c r="AQ284" s="29"/>
      <c r="BA284" s="25"/>
      <c r="BB284" s="13"/>
      <c r="BG284" s="116"/>
      <c r="BH284" s="123"/>
      <c r="BI284" s="123"/>
      <c r="BJ284" s="123"/>
      <c r="BO284" s="115"/>
      <c r="BP284" s="115"/>
      <c r="BQ284" s="115"/>
      <c r="BR284" s="115"/>
      <c r="BS284" s="115"/>
      <c r="BT284" s="115"/>
      <c r="BU284" s="115"/>
      <c r="BV284" s="115"/>
      <c r="BW284" s="115"/>
      <c r="BX284" s="115"/>
      <c r="BY284" s="25"/>
      <c r="BZ284" s="13"/>
      <c r="CC284" s="114"/>
    </row>
    <row r="285" spans="1:81" ht="20.100000000000001" customHeight="1" x14ac:dyDescent="0.4">
      <c r="A285" s="117"/>
      <c r="B285" s="123"/>
      <c r="C285" s="123"/>
      <c r="D285" s="123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26"/>
      <c r="AA285" s="13"/>
      <c r="AJ285" s="115"/>
      <c r="AK285" s="115"/>
      <c r="AL285" s="115"/>
      <c r="AM285" s="115"/>
      <c r="AN285" s="115"/>
      <c r="AO285" s="115"/>
      <c r="AP285" s="127"/>
      <c r="AQ285" s="29"/>
      <c r="BA285" s="25"/>
      <c r="BB285" s="13"/>
      <c r="BG285" s="116"/>
      <c r="BH285" s="123"/>
      <c r="BI285" s="123"/>
      <c r="BJ285" s="123"/>
      <c r="BO285" s="115"/>
      <c r="BP285" s="115"/>
      <c r="BQ285" s="115"/>
      <c r="BR285" s="115"/>
      <c r="BS285" s="115"/>
      <c r="BT285" s="115"/>
      <c r="BU285" s="115"/>
      <c r="BV285" s="115"/>
      <c r="BW285" s="115"/>
      <c r="BX285" s="115"/>
      <c r="BY285" s="25"/>
      <c r="BZ285" s="13"/>
      <c r="CC285" s="114"/>
    </row>
    <row r="286" spans="1:81" ht="20.100000000000001" customHeight="1" x14ac:dyDescent="0.4">
      <c r="A286" s="117"/>
      <c r="B286" s="123"/>
      <c r="C286" s="123"/>
      <c r="D286" s="123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26"/>
      <c r="AA286" s="13"/>
      <c r="AJ286" s="115"/>
      <c r="AK286" s="115"/>
      <c r="AL286" s="115"/>
      <c r="AM286" s="115"/>
      <c r="AN286" s="115"/>
      <c r="AO286" s="115"/>
      <c r="AP286" s="127"/>
      <c r="AQ286" s="29"/>
      <c r="BA286" s="25"/>
      <c r="BB286" s="13"/>
      <c r="BG286" s="116"/>
      <c r="BH286" s="123"/>
      <c r="BI286" s="123"/>
      <c r="BJ286" s="123"/>
      <c r="BO286" s="115"/>
      <c r="BP286" s="115"/>
      <c r="BQ286" s="115"/>
      <c r="BR286" s="115"/>
      <c r="BS286" s="115"/>
      <c r="BT286" s="115"/>
      <c r="BU286" s="115"/>
      <c r="BV286" s="115"/>
      <c r="BW286" s="115"/>
      <c r="BX286" s="115"/>
      <c r="BY286" s="25"/>
      <c r="BZ286" s="13"/>
      <c r="CC286" s="114"/>
    </row>
    <row r="287" spans="1:81" ht="20.100000000000001" customHeight="1" x14ac:dyDescent="0.4">
      <c r="A287" s="117"/>
      <c r="B287" s="123"/>
      <c r="C287" s="123"/>
      <c r="D287" s="123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7"/>
      <c r="AA287" s="13"/>
      <c r="AJ287" s="115"/>
      <c r="AK287" s="115"/>
      <c r="AL287" s="115"/>
      <c r="AM287" s="115"/>
      <c r="AN287" s="115"/>
      <c r="AO287" s="115"/>
      <c r="AP287" s="127"/>
      <c r="AQ287" s="29"/>
      <c r="BA287" s="25"/>
      <c r="BB287" s="13"/>
      <c r="BG287" s="116"/>
      <c r="BH287" s="123"/>
      <c r="BI287" s="123"/>
      <c r="BJ287" s="123"/>
      <c r="BO287" s="115"/>
      <c r="BP287" s="115"/>
      <c r="BQ287" s="115"/>
      <c r="BR287" s="115"/>
      <c r="BS287" s="115"/>
      <c r="BT287" s="115"/>
      <c r="BU287" s="115"/>
      <c r="BV287" s="115"/>
      <c r="BW287" s="115"/>
      <c r="BX287" s="115"/>
      <c r="BY287" s="25"/>
      <c r="BZ287" s="13"/>
      <c r="CC287" s="114"/>
    </row>
    <row r="288" spans="1:81" ht="20.100000000000001" customHeight="1" x14ac:dyDescent="0.4">
      <c r="A288" s="117"/>
      <c r="B288" s="123"/>
      <c r="C288" s="123"/>
      <c r="D288" s="123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26"/>
      <c r="AA288" s="13"/>
      <c r="AJ288" s="115"/>
      <c r="AK288" s="115"/>
      <c r="AL288" s="115"/>
      <c r="AM288" s="115"/>
      <c r="AN288" s="115"/>
      <c r="AO288" s="115"/>
      <c r="AP288" s="127"/>
      <c r="AQ288" s="29"/>
      <c r="BA288" s="25"/>
      <c r="BB288" s="13"/>
      <c r="BG288" s="116"/>
      <c r="BH288" s="123"/>
      <c r="BI288" s="123"/>
      <c r="BJ288" s="123"/>
      <c r="BO288" s="115"/>
      <c r="BP288" s="115"/>
      <c r="BQ288" s="115"/>
      <c r="BR288" s="115"/>
      <c r="BS288" s="115"/>
      <c r="BT288" s="115"/>
      <c r="BU288" s="115"/>
      <c r="BV288" s="115"/>
      <c r="BW288" s="115"/>
      <c r="BX288" s="115"/>
      <c r="BY288" s="25"/>
      <c r="BZ288" s="13"/>
      <c r="CC288" s="114"/>
    </row>
    <row r="289" spans="1:81" ht="20.100000000000001" customHeight="1" x14ac:dyDescent="0.4">
      <c r="A289" s="117"/>
      <c r="B289" s="123"/>
      <c r="C289" s="123"/>
      <c r="D289" s="123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26"/>
      <c r="AA289" s="13"/>
      <c r="AJ289" s="115"/>
      <c r="AK289" s="115"/>
      <c r="AL289" s="115"/>
      <c r="AM289" s="115"/>
      <c r="AN289" s="115"/>
      <c r="AO289" s="115"/>
      <c r="AP289" s="127"/>
      <c r="AQ289" s="29"/>
      <c r="BA289" s="25"/>
      <c r="BB289" s="13"/>
      <c r="BG289" s="116"/>
      <c r="BH289" s="123"/>
      <c r="BI289" s="123"/>
      <c r="BJ289" s="123"/>
      <c r="BO289" s="115"/>
      <c r="BP289" s="115"/>
      <c r="BQ289" s="115"/>
      <c r="BR289" s="115"/>
      <c r="BS289" s="115"/>
      <c r="BT289" s="115"/>
      <c r="BU289" s="115"/>
      <c r="BV289" s="115"/>
      <c r="BW289" s="115"/>
      <c r="BX289" s="115"/>
      <c r="BY289" s="25"/>
      <c r="BZ289" s="13"/>
      <c r="CC289" s="114"/>
    </row>
    <row r="290" spans="1:81" ht="20.100000000000001" customHeight="1" x14ac:dyDescent="0.4">
      <c r="A290" s="117"/>
      <c r="B290" s="123"/>
      <c r="C290" s="123"/>
      <c r="D290" s="123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26"/>
      <c r="AA290" s="13"/>
      <c r="AJ290" s="115"/>
      <c r="AK290" s="115"/>
      <c r="AL290" s="115"/>
      <c r="AM290" s="115"/>
      <c r="AN290" s="115"/>
      <c r="AO290" s="115"/>
      <c r="AP290" s="127"/>
      <c r="AQ290" s="29"/>
      <c r="BA290" s="25"/>
      <c r="BB290" s="13"/>
      <c r="BG290" s="116"/>
      <c r="BH290" s="123"/>
      <c r="BI290" s="123"/>
      <c r="BJ290" s="123"/>
      <c r="BO290" s="115"/>
      <c r="BP290" s="115"/>
      <c r="BQ290" s="115"/>
      <c r="BR290" s="115"/>
      <c r="BS290" s="115"/>
      <c r="BT290" s="115"/>
      <c r="BU290" s="115"/>
      <c r="BV290" s="115"/>
      <c r="BW290" s="115"/>
      <c r="BX290" s="115"/>
      <c r="BY290" s="25"/>
      <c r="BZ290" s="13"/>
      <c r="CC290" s="114"/>
    </row>
    <row r="291" spans="1:81" ht="20.100000000000001" customHeight="1" x14ac:dyDescent="0.4">
      <c r="A291" s="117"/>
      <c r="B291" s="123"/>
      <c r="C291" s="123"/>
      <c r="D291" s="123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26"/>
      <c r="AA291" s="13"/>
      <c r="AJ291" s="115"/>
      <c r="AK291" s="115"/>
      <c r="AL291" s="115"/>
      <c r="AM291" s="115"/>
      <c r="AN291" s="115"/>
      <c r="AO291" s="115"/>
      <c r="AP291" s="127"/>
      <c r="AQ291" s="29"/>
      <c r="BA291" s="25"/>
      <c r="BB291" s="13"/>
      <c r="BG291" s="116"/>
      <c r="BH291" s="123"/>
      <c r="BI291" s="123"/>
      <c r="BJ291" s="123"/>
      <c r="BO291" s="115"/>
      <c r="BP291" s="115"/>
      <c r="BQ291" s="115"/>
      <c r="BR291" s="115"/>
      <c r="BS291" s="115"/>
      <c r="BT291" s="115"/>
      <c r="BU291" s="115"/>
      <c r="BV291" s="115"/>
      <c r="BW291" s="115"/>
      <c r="BX291" s="115"/>
      <c r="BY291" s="25"/>
      <c r="BZ291" s="13"/>
      <c r="CC291" s="114"/>
    </row>
    <row r="292" spans="1:81" ht="20.100000000000001" customHeight="1" x14ac:dyDescent="0.4">
      <c r="A292" s="117"/>
      <c r="B292" s="123"/>
      <c r="C292" s="123"/>
      <c r="D292" s="123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7"/>
      <c r="AA292" s="13"/>
      <c r="AJ292" s="115"/>
      <c r="AK292" s="115"/>
      <c r="AL292" s="115"/>
      <c r="AM292" s="115"/>
      <c r="AN292" s="115"/>
      <c r="AO292" s="115"/>
      <c r="AP292" s="127"/>
      <c r="AQ292" s="29"/>
      <c r="BA292" s="25"/>
      <c r="BB292" s="13"/>
      <c r="BG292" s="116"/>
      <c r="BH292" s="123"/>
      <c r="BI292" s="123"/>
      <c r="BJ292" s="123"/>
      <c r="BO292" s="115"/>
      <c r="BP292" s="115"/>
      <c r="BQ292" s="115"/>
      <c r="BR292" s="115"/>
      <c r="BS292" s="115"/>
      <c r="BT292" s="115"/>
      <c r="BU292" s="115"/>
      <c r="BV292" s="115"/>
      <c r="BW292" s="115"/>
      <c r="BX292" s="115"/>
      <c r="BY292" s="25"/>
      <c r="BZ292" s="13"/>
      <c r="CC292" s="114"/>
    </row>
    <row r="293" spans="1:81" ht="20.100000000000001" customHeight="1" x14ac:dyDescent="0.4">
      <c r="A293" s="117"/>
      <c r="B293" s="123"/>
      <c r="C293" s="123"/>
      <c r="D293" s="123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26"/>
      <c r="AA293" s="13"/>
      <c r="AJ293" s="115"/>
      <c r="AK293" s="115"/>
      <c r="AL293" s="115"/>
      <c r="AM293" s="115"/>
      <c r="AN293" s="115"/>
      <c r="AO293" s="115"/>
      <c r="AP293" s="127"/>
      <c r="AQ293" s="29"/>
      <c r="BA293" s="25"/>
      <c r="BB293" s="13"/>
      <c r="BG293" s="116"/>
      <c r="BH293" s="123"/>
      <c r="BI293" s="123"/>
      <c r="BJ293" s="123"/>
      <c r="BO293" s="115"/>
      <c r="BP293" s="115"/>
      <c r="BQ293" s="115"/>
      <c r="BR293" s="115"/>
      <c r="BS293" s="115"/>
      <c r="BT293" s="115"/>
      <c r="BU293" s="115"/>
      <c r="BV293" s="115"/>
      <c r="BW293" s="115"/>
      <c r="BX293" s="115"/>
      <c r="BY293" s="25"/>
      <c r="BZ293" s="13"/>
      <c r="CC293" s="114"/>
    </row>
    <row r="294" spans="1:81" ht="20.100000000000001" customHeight="1" x14ac:dyDescent="0.4">
      <c r="A294" s="117"/>
      <c r="B294" s="123"/>
      <c r="C294" s="123"/>
      <c r="D294" s="123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20"/>
      <c r="AA294" s="13"/>
      <c r="AJ294" s="115"/>
      <c r="AK294" s="115"/>
      <c r="AL294" s="115"/>
      <c r="AM294" s="115"/>
      <c r="AN294" s="115"/>
      <c r="AO294" s="115"/>
      <c r="AP294" s="127"/>
      <c r="AQ294" s="29"/>
      <c r="BA294" s="25"/>
      <c r="BB294" s="13"/>
      <c r="BG294" s="116"/>
      <c r="BH294" s="123"/>
      <c r="BI294" s="123"/>
      <c r="BJ294" s="123"/>
      <c r="BO294" s="115"/>
      <c r="BP294" s="115"/>
      <c r="BQ294" s="115"/>
      <c r="BR294" s="115"/>
      <c r="BS294" s="115"/>
      <c r="BT294" s="115"/>
      <c r="BU294" s="115"/>
      <c r="BV294" s="115"/>
      <c r="BW294" s="115"/>
      <c r="BX294" s="115"/>
      <c r="BY294" s="25"/>
      <c r="BZ294" s="13"/>
      <c r="CC294" s="114"/>
    </row>
    <row r="295" spans="1:81" ht="20.100000000000001" customHeight="1" x14ac:dyDescent="0.4">
      <c r="A295" s="117"/>
      <c r="B295" s="123"/>
      <c r="C295" s="123"/>
      <c r="D295" s="123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20"/>
      <c r="AA295" s="13"/>
      <c r="AJ295" s="115"/>
      <c r="AK295" s="115"/>
      <c r="AL295" s="115"/>
      <c r="AM295" s="115"/>
      <c r="AN295" s="115"/>
      <c r="AO295" s="115"/>
      <c r="AP295" s="127"/>
      <c r="AQ295" s="29"/>
      <c r="BA295" s="25"/>
      <c r="BB295" s="13"/>
      <c r="BG295" s="116"/>
      <c r="BH295" s="123"/>
      <c r="BI295" s="123"/>
      <c r="BJ295" s="123"/>
      <c r="BO295" s="115"/>
      <c r="BP295" s="115"/>
      <c r="BQ295" s="115"/>
      <c r="BR295" s="115"/>
      <c r="BS295" s="115"/>
      <c r="BT295" s="115"/>
      <c r="BU295" s="115"/>
      <c r="BV295" s="115"/>
      <c r="BW295" s="115"/>
      <c r="BX295" s="115"/>
      <c r="BY295" s="25"/>
      <c r="BZ295" s="13"/>
      <c r="CC295" s="114"/>
    </row>
    <row r="296" spans="1:81" ht="20.100000000000001" customHeight="1" x14ac:dyDescent="0.4">
      <c r="A296" s="117"/>
      <c r="B296" s="123"/>
      <c r="C296" s="123"/>
      <c r="D296" s="123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20"/>
      <c r="AA296" s="13"/>
      <c r="AJ296" s="115"/>
      <c r="AK296" s="115"/>
      <c r="AL296" s="115"/>
      <c r="AM296" s="115"/>
      <c r="AN296" s="115"/>
      <c r="AO296" s="115"/>
      <c r="AP296" s="127"/>
      <c r="AQ296" s="29"/>
      <c r="BA296" s="25"/>
      <c r="BB296" s="13"/>
      <c r="BG296" s="116"/>
      <c r="BH296" s="123"/>
      <c r="BI296" s="123"/>
      <c r="BJ296" s="123"/>
      <c r="BO296" s="115"/>
      <c r="BP296" s="115"/>
      <c r="BQ296" s="115"/>
      <c r="BR296" s="115"/>
      <c r="BS296" s="115"/>
      <c r="BT296" s="115"/>
      <c r="BU296" s="115"/>
      <c r="BV296" s="115"/>
      <c r="BW296" s="115"/>
      <c r="BX296" s="115"/>
      <c r="BY296" s="25"/>
      <c r="BZ296" s="13"/>
      <c r="CC296" s="114"/>
    </row>
    <row r="297" spans="1:81" ht="20.100000000000001" customHeight="1" x14ac:dyDescent="0.4">
      <c r="A297" s="117"/>
      <c r="B297" s="123"/>
      <c r="C297" s="123"/>
      <c r="D297" s="123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20"/>
      <c r="AA297" s="13"/>
      <c r="AJ297" s="115"/>
      <c r="AK297" s="115"/>
      <c r="AL297" s="115"/>
      <c r="AM297" s="115"/>
      <c r="AN297" s="115"/>
      <c r="AO297" s="115"/>
      <c r="AP297" s="127"/>
      <c r="AQ297" s="29"/>
      <c r="BA297" s="25"/>
      <c r="BB297" s="13"/>
      <c r="BG297" s="116"/>
      <c r="BH297" s="123"/>
      <c r="BI297" s="123"/>
      <c r="BJ297" s="123"/>
      <c r="BO297" s="115"/>
      <c r="BP297" s="115"/>
      <c r="BQ297" s="115"/>
      <c r="BR297" s="115"/>
      <c r="BS297" s="115"/>
      <c r="BT297" s="115"/>
      <c r="BU297" s="115"/>
      <c r="BV297" s="115"/>
      <c r="BW297" s="115"/>
      <c r="BX297" s="115"/>
      <c r="BY297" s="25"/>
      <c r="BZ297" s="13"/>
      <c r="CC297" s="114"/>
    </row>
    <row r="298" spans="1:81" ht="20.100000000000001" customHeight="1" x14ac:dyDescent="0.4">
      <c r="A298" s="117"/>
      <c r="B298" s="123"/>
      <c r="C298" s="123"/>
      <c r="D298" s="123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25"/>
      <c r="AA298" s="13"/>
      <c r="AJ298" s="115"/>
      <c r="AK298" s="115"/>
      <c r="AL298" s="115"/>
      <c r="AM298" s="115"/>
      <c r="AN298" s="115"/>
      <c r="AO298" s="115"/>
      <c r="AP298" s="127"/>
      <c r="AQ298" s="29"/>
      <c r="BA298" s="25"/>
      <c r="BB298" s="13"/>
      <c r="BG298" s="116"/>
      <c r="BH298" s="123"/>
      <c r="BI298" s="123"/>
      <c r="BJ298" s="123"/>
      <c r="BO298" s="115"/>
      <c r="BP298" s="115"/>
      <c r="BQ298" s="115"/>
      <c r="BR298" s="115"/>
      <c r="BS298" s="115"/>
      <c r="BT298" s="115"/>
      <c r="BU298" s="115"/>
      <c r="BV298" s="115"/>
      <c r="BW298" s="115"/>
      <c r="BX298" s="115"/>
      <c r="BY298" s="25"/>
      <c r="BZ298" s="13"/>
      <c r="CC298" s="114"/>
    </row>
    <row r="299" spans="1:81" ht="20.100000000000001" customHeight="1" x14ac:dyDescent="0.4">
      <c r="A299" s="117"/>
      <c r="B299" s="123"/>
      <c r="C299" s="123"/>
      <c r="D299" s="123"/>
      <c r="Z299" s="25"/>
      <c r="AA299" s="13"/>
      <c r="AJ299" s="115"/>
      <c r="AK299" s="115"/>
      <c r="AL299" s="115"/>
      <c r="AM299" s="115"/>
      <c r="AN299" s="115"/>
      <c r="AO299" s="115"/>
      <c r="AP299" s="127"/>
      <c r="AQ299" s="29"/>
      <c r="BA299" s="25"/>
      <c r="BB299" s="13"/>
      <c r="BG299" s="116"/>
      <c r="BH299" s="123"/>
      <c r="BI299" s="123"/>
      <c r="BJ299" s="123"/>
      <c r="BO299" s="115"/>
      <c r="BP299" s="115"/>
      <c r="BQ299" s="115"/>
      <c r="BR299" s="115"/>
      <c r="BS299" s="115"/>
      <c r="BT299" s="115"/>
      <c r="BU299" s="115"/>
      <c r="BV299" s="115"/>
      <c r="BW299" s="115"/>
      <c r="BX299" s="115"/>
      <c r="BY299" s="25"/>
      <c r="BZ299" s="13"/>
      <c r="CC299" s="114"/>
    </row>
    <row r="300" spans="1:81" ht="20.100000000000001" customHeight="1" x14ac:dyDescent="0.4">
      <c r="A300" s="117"/>
      <c r="B300" s="123"/>
      <c r="C300" s="123"/>
      <c r="D300" s="123"/>
      <c r="Z300" s="25"/>
      <c r="AA300" s="13"/>
      <c r="AJ300" s="115"/>
      <c r="AK300" s="115"/>
      <c r="AL300" s="115"/>
      <c r="AM300" s="115"/>
      <c r="AN300" s="115"/>
      <c r="AO300" s="115"/>
      <c r="AP300" s="29"/>
      <c r="AQ300" s="29"/>
      <c r="BA300" s="25"/>
      <c r="BB300" s="13"/>
      <c r="BG300" s="116"/>
      <c r="BH300" s="123"/>
      <c r="BI300" s="123"/>
      <c r="BJ300" s="123"/>
      <c r="BO300" s="115"/>
      <c r="BP300" s="115"/>
      <c r="BQ300" s="115"/>
      <c r="BR300" s="115"/>
      <c r="BS300" s="115"/>
      <c r="BT300" s="115"/>
      <c r="BU300" s="115"/>
      <c r="BV300" s="115"/>
      <c r="BW300" s="115"/>
      <c r="BX300" s="115"/>
      <c r="BY300" s="25"/>
      <c r="BZ300" s="13"/>
      <c r="CC300" s="114"/>
    </row>
    <row r="301" spans="1:81" ht="20.100000000000001" customHeight="1" x14ac:dyDescent="0.4">
      <c r="A301" s="117"/>
      <c r="B301" s="123"/>
      <c r="C301" s="123"/>
      <c r="D301" s="123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25"/>
      <c r="AA301" s="13"/>
      <c r="AJ301" s="115"/>
      <c r="AK301" s="115"/>
      <c r="AL301" s="115"/>
      <c r="AM301" s="115"/>
      <c r="AN301" s="115"/>
      <c r="AO301" s="115"/>
      <c r="AP301" s="29"/>
      <c r="AQ301" s="29"/>
      <c r="BA301" s="25"/>
      <c r="BB301" s="13"/>
      <c r="BG301" s="116"/>
      <c r="BH301" s="123"/>
      <c r="BI301" s="123"/>
      <c r="BJ301" s="123"/>
      <c r="BO301" s="115"/>
      <c r="BP301" s="115"/>
      <c r="BQ301" s="115"/>
      <c r="BR301" s="115"/>
      <c r="BS301" s="115"/>
      <c r="BT301" s="115"/>
      <c r="BU301" s="115"/>
      <c r="BV301" s="115"/>
      <c r="BW301" s="115"/>
      <c r="BX301" s="115"/>
      <c r="BY301" s="25"/>
      <c r="BZ301" s="13"/>
      <c r="CC301" s="114"/>
    </row>
    <row r="302" spans="1:81" ht="20.100000000000001" customHeight="1" x14ac:dyDescent="0.4">
      <c r="A302" s="117"/>
      <c r="B302" s="123"/>
      <c r="C302" s="123"/>
      <c r="D302" s="123"/>
      <c r="Z302" s="25"/>
      <c r="AA302" s="13"/>
      <c r="AJ302" s="115"/>
      <c r="AK302" s="115"/>
      <c r="AL302" s="115"/>
      <c r="AM302" s="115"/>
      <c r="AN302" s="115"/>
      <c r="AO302" s="115"/>
      <c r="AP302" s="127"/>
      <c r="AQ302" s="29"/>
      <c r="BA302" s="25"/>
      <c r="BB302" s="13"/>
      <c r="BG302" s="116"/>
      <c r="BH302" s="123"/>
      <c r="BI302" s="123"/>
      <c r="BJ302" s="123"/>
      <c r="BO302" s="115"/>
      <c r="BP302" s="115"/>
      <c r="BQ302" s="115"/>
      <c r="BR302" s="115"/>
      <c r="BS302" s="115"/>
      <c r="BT302" s="115"/>
      <c r="BU302" s="115"/>
      <c r="BV302" s="115"/>
      <c r="BW302" s="115"/>
      <c r="BX302" s="115"/>
      <c r="BY302" s="25"/>
      <c r="BZ302" s="13"/>
      <c r="CC302" s="114"/>
    </row>
    <row r="303" spans="1:81" ht="20.100000000000001" customHeight="1" x14ac:dyDescent="0.4">
      <c r="A303" s="117"/>
      <c r="B303" s="123"/>
      <c r="C303" s="123"/>
      <c r="D303" s="123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25"/>
      <c r="AA303" s="13"/>
      <c r="AJ303" s="115"/>
      <c r="AK303" s="115"/>
      <c r="AL303" s="115"/>
      <c r="AM303" s="115"/>
      <c r="AN303" s="115"/>
      <c r="AO303" s="115"/>
      <c r="AP303" s="127"/>
      <c r="AQ303" s="29"/>
      <c r="BA303" s="25"/>
      <c r="BB303" s="13"/>
      <c r="BG303" s="116"/>
      <c r="BH303" s="123"/>
      <c r="BI303" s="123"/>
      <c r="BJ303" s="123"/>
      <c r="BO303" s="115"/>
      <c r="BP303" s="115"/>
      <c r="BQ303" s="115"/>
      <c r="BR303" s="115"/>
      <c r="BS303" s="115"/>
      <c r="BT303" s="115"/>
      <c r="BU303" s="115"/>
      <c r="BV303" s="115"/>
      <c r="BW303" s="115"/>
      <c r="BX303" s="115"/>
      <c r="BY303" s="25"/>
      <c r="BZ303" s="13"/>
      <c r="CC303" s="114"/>
    </row>
    <row r="304" spans="1:81" ht="20.100000000000001" customHeight="1" x14ac:dyDescent="0.4">
      <c r="A304" s="117"/>
      <c r="B304" s="123"/>
      <c r="C304" s="123"/>
      <c r="D304" s="123"/>
      <c r="Z304" s="25"/>
      <c r="AA304" s="13"/>
      <c r="AJ304" s="115"/>
      <c r="AK304" s="115"/>
      <c r="AL304" s="115"/>
      <c r="AM304" s="115"/>
      <c r="AN304" s="115"/>
      <c r="AO304" s="115"/>
      <c r="AP304" s="29"/>
      <c r="AQ304" s="29"/>
      <c r="BA304" s="25"/>
      <c r="BB304" s="13"/>
      <c r="BG304" s="116"/>
      <c r="BH304" s="123"/>
      <c r="BI304" s="123"/>
      <c r="BJ304" s="123"/>
      <c r="BO304" s="115"/>
      <c r="BP304" s="115"/>
      <c r="BQ304" s="115"/>
      <c r="BR304" s="115"/>
      <c r="BS304" s="115"/>
      <c r="BT304" s="115"/>
      <c r="BU304" s="115"/>
      <c r="BV304" s="115"/>
      <c r="BW304" s="115"/>
      <c r="BX304" s="115"/>
      <c r="BY304" s="25"/>
      <c r="BZ304" s="13"/>
      <c r="CC304" s="114"/>
    </row>
    <row r="305" spans="1:81" ht="20.100000000000001" customHeight="1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25"/>
      <c r="AA305" s="13"/>
      <c r="AJ305" s="115"/>
      <c r="AK305" s="115"/>
      <c r="AL305" s="115"/>
      <c r="AM305" s="115"/>
      <c r="AN305" s="115"/>
      <c r="AO305" s="115"/>
      <c r="AP305" s="29"/>
      <c r="AQ305" s="29"/>
      <c r="BA305" s="25"/>
      <c r="BB305" s="13"/>
      <c r="BG305" s="116"/>
      <c r="BH305" s="123"/>
      <c r="BI305" s="123"/>
      <c r="BJ305" s="123"/>
      <c r="BO305" s="115"/>
      <c r="BP305" s="115"/>
      <c r="BQ305" s="115"/>
      <c r="BR305" s="115"/>
      <c r="BS305" s="115"/>
      <c r="BT305" s="115"/>
      <c r="BU305" s="115"/>
      <c r="BV305" s="115"/>
      <c r="BW305" s="115"/>
      <c r="BX305" s="115"/>
      <c r="BY305" s="25"/>
      <c r="BZ305" s="13"/>
      <c r="CC305" s="114"/>
    </row>
    <row r="306" spans="1:81" ht="20.100000000000001" customHeight="1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25"/>
      <c r="AA306" s="13"/>
      <c r="AJ306" s="115"/>
      <c r="AK306" s="115"/>
      <c r="AL306" s="115"/>
      <c r="AM306" s="115"/>
      <c r="AN306" s="115"/>
      <c r="AO306" s="115"/>
      <c r="AP306" s="29"/>
      <c r="AQ306" s="29"/>
      <c r="BA306" s="25"/>
      <c r="BB306" s="13"/>
      <c r="BG306" s="116"/>
      <c r="BH306" s="123"/>
      <c r="BI306" s="123"/>
      <c r="BJ306" s="123"/>
      <c r="BO306" s="115"/>
      <c r="BP306" s="115"/>
      <c r="BQ306" s="115"/>
      <c r="BR306" s="115"/>
      <c r="BS306" s="115"/>
      <c r="BT306" s="115"/>
      <c r="BU306" s="115"/>
      <c r="BV306" s="115"/>
      <c r="BW306" s="115"/>
      <c r="BX306" s="115"/>
      <c r="BY306" s="25"/>
      <c r="BZ306" s="13"/>
      <c r="CC306" s="114"/>
    </row>
    <row r="307" spans="1:81" ht="20.100000000000001" customHeight="1" x14ac:dyDescent="0.4">
      <c r="A307" s="117"/>
      <c r="B307" s="123"/>
      <c r="C307" s="123"/>
      <c r="D307" s="123"/>
      <c r="Z307" s="25"/>
      <c r="AA307" s="13"/>
      <c r="AJ307" s="115"/>
      <c r="AK307" s="115"/>
      <c r="AL307" s="115"/>
      <c r="AM307" s="115"/>
      <c r="AN307" s="115"/>
      <c r="AO307" s="115"/>
      <c r="AP307" s="127"/>
      <c r="AQ307" s="29"/>
      <c r="BA307" s="25"/>
      <c r="BB307" s="13"/>
      <c r="BG307" s="116"/>
      <c r="BH307" s="123"/>
      <c r="BI307" s="123"/>
      <c r="BJ307" s="123"/>
      <c r="BO307" s="115"/>
      <c r="BP307" s="115"/>
      <c r="BQ307" s="115"/>
      <c r="BR307" s="115"/>
      <c r="BS307" s="115"/>
      <c r="BT307" s="115"/>
      <c r="BU307" s="115"/>
      <c r="BV307" s="115"/>
      <c r="BW307" s="115"/>
      <c r="BX307" s="115"/>
      <c r="BY307" s="25"/>
      <c r="BZ307" s="13"/>
      <c r="CC307" s="114"/>
    </row>
    <row r="308" spans="1:81" ht="20.100000000000001" customHeight="1" x14ac:dyDescent="0.4">
      <c r="A308" s="117"/>
      <c r="B308" s="123"/>
      <c r="C308" s="123"/>
      <c r="D308" s="123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25"/>
      <c r="AA308" s="13"/>
      <c r="AJ308" s="115"/>
      <c r="AK308" s="115"/>
      <c r="AL308" s="115"/>
      <c r="AM308" s="115"/>
      <c r="AN308" s="115"/>
      <c r="AO308" s="115"/>
      <c r="AP308" s="127"/>
      <c r="AQ308" s="29"/>
      <c r="BA308" s="25"/>
      <c r="BB308" s="13"/>
      <c r="BG308" s="116"/>
      <c r="BH308" s="123"/>
      <c r="BI308" s="123"/>
      <c r="BJ308" s="123"/>
      <c r="BO308" s="115"/>
      <c r="BP308" s="115"/>
      <c r="BQ308" s="115"/>
      <c r="BR308" s="115"/>
      <c r="BS308" s="115"/>
      <c r="BT308" s="115"/>
      <c r="BU308" s="115"/>
      <c r="BV308" s="115"/>
      <c r="BW308" s="115"/>
      <c r="BX308" s="115"/>
      <c r="BY308" s="25"/>
      <c r="BZ308" s="13"/>
      <c r="CC308" s="114"/>
    </row>
    <row r="309" spans="1:81" ht="20.100000000000001" customHeight="1" x14ac:dyDescent="0.4">
      <c r="A309" s="117"/>
      <c r="B309" s="123"/>
      <c r="C309" s="123"/>
      <c r="D309" s="123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25"/>
      <c r="AA309" s="13"/>
      <c r="AJ309" s="115"/>
      <c r="AK309" s="115"/>
      <c r="AL309" s="115"/>
      <c r="AM309" s="115"/>
      <c r="AN309" s="115"/>
      <c r="AO309" s="115"/>
      <c r="AP309" s="127"/>
      <c r="AQ309" s="29"/>
      <c r="BA309" s="25"/>
      <c r="BB309" s="13"/>
      <c r="BG309" s="116"/>
      <c r="BH309" s="123"/>
      <c r="BI309" s="123"/>
      <c r="BJ309" s="123"/>
      <c r="BO309" s="115"/>
      <c r="BP309" s="115"/>
      <c r="BQ309" s="115"/>
      <c r="BR309" s="115"/>
      <c r="BS309" s="115"/>
      <c r="BT309" s="115"/>
      <c r="BU309" s="115"/>
      <c r="BV309" s="115"/>
      <c r="BW309" s="115"/>
      <c r="BX309" s="115"/>
      <c r="BY309" s="25"/>
      <c r="BZ309" s="13"/>
      <c r="CC309" s="114"/>
    </row>
    <row r="310" spans="1:81" ht="20.100000000000001" customHeight="1" x14ac:dyDescent="0.4">
      <c r="A310" s="117"/>
      <c r="B310" s="123"/>
      <c r="C310" s="123"/>
      <c r="D310" s="123"/>
      <c r="Z310" s="25"/>
      <c r="AA310" s="13"/>
      <c r="AJ310" s="115"/>
      <c r="AK310" s="115"/>
      <c r="AL310" s="115"/>
      <c r="AM310" s="115"/>
      <c r="AN310" s="115"/>
      <c r="AO310" s="115"/>
      <c r="AP310" s="127"/>
      <c r="AQ310" s="29"/>
      <c r="BA310" s="25"/>
      <c r="BB310" s="13"/>
      <c r="BG310" s="116"/>
      <c r="BH310" s="123"/>
      <c r="BI310" s="123"/>
      <c r="BJ310" s="123"/>
      <c r="BO310" s="115"/>
      <c r="BP310" s="115"/>
      <c r="BQ310" s="115"/>
      <c r="BR310" s="115"/>
      <c r="BS310" s="115"/>
      <c r="BT310" s="115"/>
      <c r="BU310" s="115"/>
      <c r="BV310" s="115"/>
      <c r="BW310" s="115"/>
      <c r="BX310" s="115"/>
      <c r="BY310" s="25"/>
      <c r="BZ310" s="13"/>
      <c r="CC310" s="114"/>
    </row>
    <row r="311" spans="1:81" ht="20.100000000000001" customHeight="1" x14ac:dyDescent="0.4">
      <c r="A311" s="117"/>
      <c r="B311" s="123"/>
      <c r="C311" s="123"/>
      <c r="D311" s="123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25"/>
      <c r="AA311" s="13"/>
      <c r="AJ311" s="115"/>
      <c r="AK311" s="115"/>
      <c r="AL311" s="115"/>
      <c r="AM311" s="115"/>
      <c r="AN311" s="115"/>
      <c r="AO311" s="115"/>
      <c r="AP311" s="127"/>
      <c r="AQ311" s="29"/>
      <c r="BA311" s="25"/>
      <c r="BB311" s="13"/>
      <c r="BG311" s="116"/>
      <c r="BH311" s="123"/>
      <c r="BI311" s="123"/>
      <c r="BJ311" s="123"/>
      <c r="BO311" s="115"/>
      <c r="BP311" s="115"/>
      <c r="BQ311" s="115"/>
      <c r="BR311" s="115"/>
      <c r="BS311" s="115"/>
      <c r="BT311" s="115"/>
      <c r="BU311" s="115"/>
      <c r="BV311" s="115"/>
      <c r="BW311" s="115"/>
      <c r="BX311" s="115"/>
      <c r="BY311" s="25"/>
      <c r="BZ311" s="13"/>
      <c r="CC311" s="114"/>
    </row>
    <row r="312" spans="1:81" ht="20.100000000000001" customHeight="1" x14ac:dyDescent="0.4">
      <c r="A312" s="117"/>
      <c r="B312" s="123"/>
      <c r="C312" s="123"/>
      <c r="D312" s="123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25"/>
      <c r="AA312" s="13"/>
      <c r="AJ312" s="115"/>
      <c r="AK312" s="115"/>
      <c r="AL312" s="115"/>
      <c r="AM312" s="115"/>
      <c r="AN312" s="115"/>
      <c r="AO312" s="115"/>
      <c r="AP312" s="127"/>
      <c r="AQ312" s="29"/>
      <c r="BA312" s="25"/>
      <c r="BB312" s="13"/>
      <c r="BG312" s="116"/>
      <c r="BH312" s="123"/>
      <c r="BI312" s="123"/>
      <c r="BJ312" s="123"/>
      <c r="BO312" s="115"/>
      <c r="BP312" s="115"/>
      <c r="BQ312" s="115"/>
      <c r="BR312" s="115"/>
      <c r="BS312" s="115"/>
      <c r="BT312" s="115"/>
      <c r="BU312" s="115"/>
      <c r="BV312" s="115"/>
      <c r="BW312" s="115"/>
      <c r="BX312" s="115"/>
      <c r="BY312" s="25"/>
      <c r="BZ312" s="13"/>
      <c r="CC312" s="114"/>
    </row>
    <row r="313" spans="1:81" ht="20.100000000000001" customHeight="1" x14ac:dyDescent="0.4">
      <c r="A313" s="117"/>
      <c r="B313" s="123"/>
      <c r="C313" s="123"/>
      <c r="D313" s="123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26"/>
      <c r="AA313" s="13"/>
      <c r="AJ313" s="115"/>
      <c r="AK313" s="115"/>
      <c r="AL313" s="115"/>
      <c r="AM313" s="115"/>
      <c r="AN313" s="115"/>
      <c r="AO313" s="115"/>
      <c r="AP313" s="127"/>
      <c r="AQ313" s="29"/>
      <c r="BA313" s="25"/>
      <c r="BB313" s="13"/>
      <c r="BG313" s="116"/>
      <c r="BH313" s="123"/>
      <c r="BI313" s="123"/>
      <c r="BJ313" s="123"/>
      <c r="BO313" s="115"/>
      <c r="BP313" s="115"/>
      <c r="BQ313" s="115"/>
      <c r="BR313" s="115"/>
      <c r="BS313" s="115"/>
      <c r="BT313" s="115"/>
      <c r="BU313" s="115"/>
      <c r="BV313" s="115"/>
      <c r="BW313" s="115"/>
      <c r="BX313" s="115"/>
      <c r="BY313" s="25"/>
      <c r="BZ313" s="13"/>
      <c r="CC313" s="114"/>
    </row>
    <row r="314" spans="1:81" ht="20.100000000000001" customHeight="1" x14ac:dyDescent="0.4">
      <c r="A314" s="117"/>
      <c r="B314" s="123"/>
      <c r="C314" s="123"/>
      <c r="D314" s="123"/>
      <c r="Z314" s="26"/>
      <c r="AA314" s="13"/>
      <c r="AJ314" s="115"/>
      <c r="AK314" s="115"/>
      <c r="AL314" s="115"/>
      <c r="AM314" s="115"/>
      <c r="AN314" s="115"/>
      <c r="AO314" s="115"/>
      <c r="AP314" s="29"/>
      <c r="AQ314" s="29"/>
      <c r="BA314" s="25"/>
      <c r="BB314" s="13"/>
      <c r="BG314" s="116"/>
      <c r="BH314" s="123"/>
      <c r="BI314" s="123"/>
      <c r="BJ314" s="123"/>
      <c r="BO314" s="115"/>
      <c r="BP314" s="115"/>
      <c r="BQ314" s="115"/>
      <c r="BR314" s="115"/>
      <c r="BS314" s="115"/>
      <c r="BT314" s="115"/>
      <c r="BU314" s="115"/>
      <c r="BV314" s="115"/>
      <c r="BW314" s="115"/>
      <c r="BX314" s="115"/>
      <c r="BY314" s="25"/>
      <c r="BZ314" s="13"/>
      <c r="CC314" s="114"/>
    </row>
    <row r="315" spans="1:81" ht="20.100000000000001" customHeight="1" x14ac:dyDescent="0.4">
      <c r="A315" s="117"/>
      <c r="B315" s="123"/>
      <c r="C315" s="123"/>
      <c r="D315" s="123"/>
      <c r="Q315" s="115"/>
      <c r="R315" s="115"/>
      <c r="S315" s="115"/>
      <c r="T315" s="115"/>
      <c r="U315" s="115"/>
      <c r="V315" s="115"/>
      <c r="W315" s="115"/>
      <c r="X315" s="115"/>
      <c r="Y315" s="115"/>
      <c r="Z315" s="17"/>
      <c r="AA315" s="13"/>
      <c r="AJ315" s="115"/>
      <c r="AK315" s="115"/>
      <c r="AL315" s="115"/>
      <c r="AM315" s="115"/>
      <c r="AN315" s="115"/>
      <c r="AO315" s="115"/>
      <c r="AP315" s="29"/>
      <c r="AQ315" s="29"/>
      <c r="BA315" s="25"/>
      <c r="BB315" s="13"/>
      <c r="BG315" s="116"/>
      <c r="BH315" s="123"/>
      <c r="BI315" s="123"/>
      <c r="BJ315" s="123"/>
      <c r="BO315" s="115"/>
      <c r="BP315" s="115"/>
      <c r="BQ315" s="115"/>
      <c r="BR315" s="115"/>
      <c r="BS315" s="115"/>
      <c r="BT315" s="115"/>
      <c r="BU315" s="115"/>
      <c r="BV315" s="115"/>
      <c r="BW315" s="115"/>
      <c r="BX315" s="115"/>
      <c r="BY315" s="25"/>
      <c r="BZ315" s="13"/>
      <c r="CC315" s="114"/>
    </row>
    <row r="316" spans="1:81" ht="20.100000000000001" customHeight="1" x14ac:dyDescent="0.4">
      <c r="A316" s="117"/>
      <c r="B316" s="123"/>
      <c r="C316" s="123"/>
      <c r="D316" s="123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26"/>
      <c r="AA316" s="13"/>
      <c r="AJ316" s="115"/>
      <c r="AK316" s="115"/>
      <c r="AL316" s="115"/>
      <c r="AM316" s="115"/>
      <c r="AN316" s="115"/>
      <c r="AO316" s="115"/>
      <c r="AP316" s="29"/>
      <c r="AQ316" s="29"/>
      <c r="BA316" s="25"/>
      <c r="BB316" s="13"/>
      <c r="BG316" s="116"/>
      <c r="BH316" s="123"/>
      <c r="BI316" s="123"/>
      <c r="BJ316" s="123"/>
      <c r="BO316" s="115"/>
      <c r="BP316" s="115"/>
      <c r="BQ316" s="115"/>
      <c r="BR316" s="115"/>
      <c r="BS316" s="115"/>
      <c r="BT316" s="115"/>
      <c r="BU316" s="115"/>
      <c r="BV316" s="115"/>
      <c r="BW316" s="115"/>
      <c r="BX316" s="115"/>
      <c r="BY316" s="25"/>
      <c r="BZ316" s="13"/>
      <c r="CC316" s="114"/>
    </row>
    <row r="317" spans="1:81" ht="20.100000000000001" customHeight="1" x14ac:dyDescent="0.4">
      <c r="A317" s="117"/>
      <c r="B317" s="123"/>
      <c r="C317" s="123"/>
      <c r="D317" s="123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26"/>
      <c r="AA317" s="13"/>
      <c r="AJ317" s="115"/>
      <c r="AK317" s="115"/>
      <c r="AL317" s="115"/>
      <c r="AM317" s="115"/>
      <c r="AN317" s="115"/>
      <c r="AO317" s="115"/>
      <c r="AP317" s="29"/>
      <c r="AQ317" s="29"/>
      <c r="BA317" s="25"/>
      <c r="BB317" s="13"/>
      <c r="BG317" s="116"/>
      <c r="BH317" s="123"/>
      <c r="BI317" s="123"/>
      <c r="BJ317" s="123"/>
      <c r="BO317" s="115"/>
      <c r="BP317" s="115"/>
      <c r="BQ317" s="115"/>
      <c r="BR317" s="115"/>
      <c r="BS317" s="115"/>
      <c r="BT317" s="115"/>
      <c r="BU317" s="115"/>
      <c r="BV317" s="115"/>
      <c r="BW317" s="115"/>
      <c r="BX317" s="115"/>
      <c r="BY317" s="25"/>
      <c r="BZ317" s="13"/>
      <c r="CC317" s="114"/>
    </row>
    <row r="318" spans="1:81" ht="20.100000000000001" customHeight="1" x14ac:dyDescent="0.4">
      <c r="A318" s="117"/>
      <c r="B318" s="123"/>
      <c r="C318" s="123"/>
      <c r="D318" s="123"/>
      <c r="Z318" s="26"/>
      <c r="AA318" s="13"/>
      <c r="AI318" s="115"/>
      <c r="AJ318" s="115"/>
      <c r="AK318" s="115"/>
      <c r="AL318" s="115"/>
      <c r="AM318" s="115"/>
      <c r="AN318" s="115"/>
      <c r="AO318" s="115"/>
      <c r="AP318" s="127"/>
      <c r="AQ318" s="29"/>
      <c r="BA318" s="25"/>
      <c r="BB318" s="13"/>
      <c r="BG318" s="116"/>
      <c r="BH318" s="123"/>
      <c r="BI318" s="123"/>
      <c r="BJ318" s="123"/>
      <c r="BO318" s="115"/>
      <c r="BP318" s="115"/>
      <c r="BQ318" s="115"/>
      <c r="BR318" s="115"/>
      <c r="BS318" s="115"/>
      <c r="BT318" s="115"/>
      <c r="BU318" s="115"/>
      <c r="BV318" s="115"/>
      <c r="BW318" s="115"/>
      <c r="BX318" s="115"/>
      <c r="BY318" s="25"/>
      <c r="BZ318" s="13"/>
      <c r="CC318" s="114"/>
    </row>
    <row r="319" spans="1:81" ht="20.100000000000001" customHeight="1" x14ac:dyDescent="0.4">
      <c r="A319" s="117"/>
      <c r="B319" s="123"/>
      <c r="C319" s="123"/>
      <c r="D319" s="123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26"/>
      <c r="AA319" s="13"/>
      <c r="AI319" s="115"/>
      <c r="AJ319" s="115"/>
      <c r="AK319" s="115"/>
      <c r="AL319" s="115"/>
      <c r="AM319" s="115"/>
      <c r="AN319" s="115"/>
      <c r="AO319" s="115"/>
      <c r="AP319" s="127"/>
      <c r="AQ319" s="29"/>
      <c r="BA319" s="25"/>
      <c r="BB319" s="13"/>
      <c r="BG319" s="116"/>
      <c r="BH319" s="123"/>
      <c r="BI319" s="123"/>
      <c r="BJ319" s="123"/>
      <c r="BO319" s="115"/>
      <c r="BP319" s="115"/>
      <c r="BQ319" s="115"/>
      <c r="BR319" s="115"/>
      <c r="BS319" s="115"/>
      <c r="BT319" s="115"/>
      <c r="BU319" s="115"/>
      <c r="BV319" s="115"/>
      <c r="BW319" s="115"/>
      <c r="BX319" s="115"/>
      <c r="BY319" s="25"/>
      <c r="BZ319" s="13"/>
      <c r="CC319" s="114"/>
    </row>
    <row r="320" spans="1:81" ht="20.100000000000001" customHeight="1" x14ac:dyDescent="0.4">
      <c r="A320" s="117"/>
      <c r="B320" s="123"/>
      <c r="C320" s="123"/>
      <c r="D320" s="123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26"/>
      <c r="AA320" s="13"/>
      <c r="AI320" s="115"/>
      <c r="AJ320" s="115"/>
      <c r="AK320" s="115"/>
      <c r="AL320" s="115"/>
      <c r="AM320" s="115"/>
      <c r="AN320" s="115"/>
      <c r="AO320" s="115"/>
      <c r="AP320" s="127"/>
      <c r="AQ320" s="29"/>
      <c r="BA320" s="25"/>
      <c r="BB320" s="13"/>
      <c r="BG320" s="116"/>
      <c r="BH320" s="123"/>
      <c r="BI320" s="123"/>
      <c r="BJ320" s="123"/>
      <c r="BO320" s="115"/>
      <c r="BP320" s="115"/>
      <c r="BQ320" s="115"/>
      <c r="BR320" s="115"/>
      <c r="BS320" s="115"/>
      <c r="BT320" s="115"/>
      <c r="BU320" s="115"/>
      <c r="BV320" s="115"/>
      <c r="BW320" s="115"/>
      <c r="BX320" s="115"/>
      <c r="BY320" s="25"/>
      <c r="BZ320" s="13"/>
      <c r="CC320" s="114"/>
    </row>
    <row r="321" spans="1:81" ht="20.100000000000001" customHeight="1" x14ac:dyDescent="0.4">
      <c r="A321" s="117"/>
      <c r="B321" s="123"/>
      <c r="C321" s="123"/>
      <c r="D321" s="123"/>
      <c r="Z321" s="26"/>
      <c r="AA321" s="13"/>
      <c r="AI321" s="115"/>
      <c r="AJ321" s="115"/>
      <c r="AK321" s="115"/>
      <c r="AL321" s="115"/>
      <c r="AM321" s="115"/>
      <c r="AN321" s="115"/>
      <c r="AO321" s="115"/>
      <c r="AP321" s="127"/>
      <c r="AQ321" s="134"/>
      <c r="BA321" s="25"/>
      <c r="BB321" s="13"/>
      <c r="BG321" s="116"/>
      <c r="BH321" s="123"/>
      <c r="BI321" s="123"/>
      <c r="BJ321" s="123"/>
      <c r="BO321" s="115"/>
      <c r="BP321" s="115"/>
      <c r="BQ321" s="115"/>
      <c r="BR321" s="115"/>
      <c r="BS321" s="115"/>
      <c r="BT321" s="115"/>
      <c r="BU321" s="115"/>
      <c r="BV321" s="115"/>
      <c r="BW321" s="115"/>
      <c r="BX321" s="115"/>
      <c r="BY321" s="25"/>
      <c r="BZ321" s="13"/>
      <c r="CC321" s="114"/>
    </row>
    <row r="322" spans="1:81" ht="20.100000000000001" customHeight="1" x14ac:dyDescent="0.4">
      <c r="A322" s="117"/>
      <c r="B322" s="123"/>
      <c r="C322" s="123"/>
      <c r="D322" s="12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26"/>
      <c r="AA322" s="13"/>
      <c r="AI322" s="115"/>
      <c r="AJ322" s="115"/>
      <c r="AK322" s="115"/>
      <c r="AL322" s="115"/>
      <c r="AM322" s="115"/>
      <c r="AN322" s="115"/>
      <c r="AO322" s="115"/>
      <c r="AP322" s="127"/>
      <c r="AQ322" s="134"/>
      <c r="BA322" s="25"/>
      <c r="BB322" s="13"/>
      <c r="BG322" s="116"/>
      <c r="BH322" s="123"/>
      <c r="BI322" s="123"/>
      <c r="BJ322" s="123"/>
      <c r="BO322" s="115"/>
      <c r="BP322" s="115"/>
      <c r="BQ322" s="115"/>
      <c r="BR322" s="115"/>
      <c r="BS322" s="115"/>
      <c r="BT322" s="115"/>
      <c r="BU322" s="115"/>
      <c r="BV322" s="115"/>
      <c r="BW322" s="115"/>
      <c r="BX322" s="115"/>
      <c r="BY322" s="25"/>
      <c r="BZ322" s="13"/>
      <c r="CC322" s="114"/>
    </row>
    <row r="323" spans="1:81" ht="20.100000000000001" customHeight="1" x14ac:dyDescent="0.4">
      <c r="A323" s="117"/>
      <c r="B323" s="123"/>
      <c r="C323" s="123"/>
      <c r="D323" s="123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26"/>
      <c r="AA323" s="13"/>
      <c r="AI323" s="115"/>
      <c r="AJ323" s="115"/>
      <c r="AK323" s="115"/>
      <c r="AL323" s="115"/>
      <c r="AM323" s="115"/>
      <c r="AN323" s="115"/>
      <c r="AO323" s="115"/>
      <c r="AP323" s="127"/>
      <c r="AQ323" s="134"/>
      <c r="BA323" s="25"/>
      <c r="BB323" s="13"/>
      <c r="BG323" s="116"/>
      <c r="BH323" s="123"/>
      <c r="BI323" s="123"/>
      <c r="BJ323" s="123"/>
      <c r="BO323" s="115"/>
      <c r="BP323" s="115"/>
      <c r="BQ323" s="115"/>
      <c r="BR323" s="115"/>
      <c r="BS323" s="115"/>
      <c r="BT323" s="115"/>
      <c r="BU323" s="115"/>
      <c r="BV323" s="115"/>
      <c r="BW323" s="115"/>
      <c r="BX323" s="115"/>
      <c r="BY323" s="25"/>
      <c r="BZ323" s="13"/>
      <c r="CC323" s="114"/>
    </row>
    <row r="324" spans="1:81" ht="20.100000000000001" customHeight="1" x14ac:dyDescent="0.4">
      <c r="A324" s="117"/>
      <c r="B324" s="123"/>
      <c r="C324" s="123"/>
      <c r="D324" s="123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26"/>
      <c r="AA324" s="13"/>
      <c r="AI324" s="115"/>
      <c r="AJ324" s="115"/>
      <c r="AK324" s="115"/>
      <c r="AL324" s="115"/>
      <c r="AM324" s="115"/>
      <c r="AN324" s="115"/>
      <c r="AO324" s="115"/>
      <c r="AP324" s="127"/>
      <c r="AQ324" s="134"/>
      <c r="BA324" s="25"/>
      <c r="BB324" s="13"/>
      <c r="BG324" s="116"/>
      <c r="BH324" s="123"/>
      <c r="BI324" s="123"/>
      <c r="BJ324" s="123"/>
      <c r="BO324" s="115"/>
      <c r="BP324" s="115"/>
      <c r="BQ324" s="115"/>
      <c r="BR324" s="115"/>
      <c r="BS324" s="115"/>
      <c r="BT324" s="115"/>
      <c r="BU324" s="115"/>
      <c r="BV324" s="115"/>
      <c r="BW324" s="115"/>
      <c r="BX324" s="115"/>
      <c r="BY324" s="25"/>
      <c r="BZ324" s="13"/>
      <c r="CC324" s="114"/>
    </row>
    <row r="325" spans="1:81" ht="20.100000000000001" customHeight="1" x14ac:dyDescent="0.4">
      <c r="A325" s="117"/>
      <c r="B325" s="123"/>
      <c r="C325" s="123"/>
      <c r="D325" s="123"/>
      <c r="Z325" s="26"/>
      <c r="AA325" s="13"/>
      <c r="AG325" s="115"/>
      <c r="AH325" s="115"/>
      <c r="AI325" s="115"/>
      <c r="AJ325" s="115"/>
      <c r="AK325" s="115"/>
      <c r="AL325" s="115"/>
      <c r="AM325" s="115"/>
      <c r="AN325" s="115"/>
      <c r="AO325" s="115"/>
      <c r="AP325" s="127"/>
      <c r="AQ325" s="29"/>
      <c r="BA325" s="25"/>
      <c r="BB325" s="13"/>
      <c r="BG325" s="116"/>
      <c r="BH325" s="123"/>
      <c r="BI325" s="123"/>
      <c r="BJ325" s="123"/>
      <c r="BO325" s="115"/>
      <c r="BP325" s="115"/>
      <c r="BQ325" s="115"/>
      <c r="BR325" s="115"/>
      <c r="BS325" s="115"/>
      <c r="BT325" s="115"/>
      <c r="BU325" s="115"/>
      <c r="BV325" s="115"/>
      <c r="BW325" s="115"/>
      <c r="BX325" s="115"/>
      <c r="BY325" s="25"/>
      <c r="BZ325" s="13"/>
      <c r="CC325" s="114"/>
    </row>
    <row r="326" spans="1:81" ht="20.100000000000001" customHeight="1" x14ac:dyDescent="0.4">
      <c r="A326" s="117"/>
      <c r="B326" s="123"/>
      <c r="C326" s="123"/>
      <c r="D326" s="12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26"/>
      <c r="AA326" s="13"/>
      <c r="AG326" s="115"/>
      <c r="AH326" s="115"/>
      <c r="AI326" s="115"/>
      <c r="AJ326" s="115"/>
      <c r="AK326" s="115"/>
      <c r="AL326" s="115"/>
      <c r="AM326" s="115"/>
      <c r="AN326" s="115"/>
      <c r="AO326" s="115"/>
      <c r="AP326" s="127"/>
      <c r="AQ326" s="29"/>
      <c r="BA326" s="25"/>
      <c r="BB326" s="13"/>
      <c r="BG326" s="116"/>
      <c r="BH326" s="123"/>
      <c r="BI326" s="123"/>
      <c r="BJ326" s="123"/>
      <c r="BO326" s="115"/>
      <c r="BP326" s="115"/>
      <c r="BQ326" s="115"/>
      <c r="BR326" s="115"/>
      <c r="BS326" s="115"/>
      <c r="BT326" s="115"/>
      <c r="BU326" s="115"/>
      <c r="BV326" s="115"/>
      <c r="BW326" s="115"/>
      <c r="BX326" s="115"/>
      <c r="BY326" s="25"/>
      <c r="BZ326" s="13"/>
      <c r="CC326" s="114"/>
    </row>
    <row r="327" spans="1:81" ht="20.100000000000001" customHeight="1" x14ac:dyDescent="0.4">
      <c r="A327" s="117"/>
      <c r="B327" s="123"/>
      <c r="C327" s="123"/>
      <c r="D327" s="123"/>
      <c r="Z327" s="26"/>
      <c r="AA327" s="13"/>
      <c r="AG327" s="115"/>
      <c r="AH327" s="115"/>
      <c r="AI327" s="115"/>
      <c r="AJ327" s="115"/>
      <c r="AK327" s="115"/>
      <c r="AL327" s="115"/>
      <c r="AM327" s="115"/>
      <c r="AN327" s="115"/>
      <c r="AO327" s="115"/>
      <c r="AP327" s="127"/>
      <c r="AQ327" s="29"/>
      <c r="BA327" s="25"/>
      <c r="BB327" s="13"/>
      <c r="BG327" s="116"/>
      <c r="BH327" s="123"/>
      <c r="BI327" s="123"/>
      <c r="BJ327" s="123"/>
      <c r="BO327" s="115"/>
      <c r="BP327" s="115"/>
      <c r="BQ327" s="115"/>
      <c r="BR327" s="115"/>
      <c r="BS327" s="115"/>
      <c r="BT327" s="115"/>
      <c r="BU327" s="115"/>
      <c r="BV327" s="115"/>
      <c r="BW327" s="115"/>
      <c r="BX327" s="115"/>
      <c r="BY327" s="25"/>
      <c r="BZ327" s="13"/>
      <c r="CC327" s="114"/>
    </row>
    <row r="328" spans="1:81" ht="20.100000000000001" customHeight="1" x14ac:dyDescent="0.4">
      <c r="A328" s="117"/>
      <c r="B328" s="123"/>
      <c r="C328" s="123"/>
      <c r="D328" s="12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26"/>
      <c r="AA328" s="15"/>
      <c r="AG328" s="115"/>
      <c r="AH328" s="115"/>
      <c r="AI328" s="115"/>
      <c r="AJ328" s="115"/>
      <c r="AK328" s="115"/>
      <c r="AL328" s="115"/>
      <c r="AM328" s="115"/>
      <c r="AN328" s="115"/>
      <c r="AO328" s="115"/>
      <c r="AP328" s="127"/>
      <c r="AQ328" s="29"/>
      <c r="BA328" s="25"/>
      <c r="BB328" s="13"/>
      <c r="BG328" s="116"/>
      <c r="BH328" s="123"/>
      <c r="BI328" s="123"/>
      <c r="BJ328" s="123"/>
      <c r="BO328" s="115"/>
      <c r="BP328" s="115"/>
      <c r="BQ328" s="115"/>
      <c r="BR328" s="115"/>
      <c r="BS328" s="115"/>
      <c r="BT328" s="115"/>
      <c r="BU328" s="115"/>
      <c r="BV328" s="115"/>
      <c r="BW328" s="115"/>
      <c r="BX328" s="115"/>
      <c r="BY328" s="25"/>
      <c r="BZ328" s="13"/>
      <c r="CC328" s="114"/>
    </row>
    <row r="329" spans="1:81" ht="20.100000000000001" customHeight="1" x14ac:dyDescent="0.4">
      <c r="A329" s="117"/>
      <c r="B329" s="123"/>
      <c r="C329" s="123"/>
      <c r="D329" s="123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7"/>
      <c r="AA329" s="15"/>
      <c r="AG329" s="115"/>
      <c r="AH329" s="115"/>
      <c r="AI329" s="115"/>
      <c r="AJ329" s="115"/>
      <c r="AK329" s="115"/>
      <c r="AL329" s="115"/>
      <c r="AM329" s="115"/>
      <c r="AN329" s="115"/>
      <c r="AO329" s="115"/>
      <c r="AP329" s="127"/>
      <c r="AQ329" s="29"/>
      <c r="BA329" s="25"/>
      <c r="BB329" s="13"/>
      <c r="BG329" s="116"/>
      <c r="BH329" s="123"/>
      <c r="BI329" s="123"/>
      <c r="BJ329" s="123"/>
      <c r="BO329" s="115"/>
      <c r="BP329" s="115"/>
      <c r="BQ329" s="115"/>
      <c r="BR329" s="115"/>
      <c r="BS329" s="115"/>
      <c r="BT329" s="115"/>
      <c r="BU329" s="115"/>
      <c r="BV329" s="115"/>
      <c r="BW329" s="115"/>
      <c r="BX329" s="115"/>
      <c r="BY329" s="25"/>
      <c r="BZ329" s="13"/>
      <c r="CC329" s="114"/>
    </row>
    <row r="330" spans="1:81" ht="20.100000000000001" customHeight="1" x14ac:dyDescent="0.4">
      <c r="A330" s="117"/>
      <c r="B330" s="123"/>
      <c r="C330" s="123"/>
      <c r="D330" s="123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26"/>
      <c r="AA330" s="132"/>
      <c r="AG330" s="115"/>
      <c r="AH330" s="115"/>
      <c r="AI330" s="115"/>
      <c r="AJ330" s="115"/>
      <c r="AK330" s="115"/>
      <c r="AL330" s="115"/>
      <c r="AM330" s="115"/>
      <c r="AN330" s="115"/>
      <c r="AO330" s="115"/>
      <c r="AP330" s="127"/>
      <c r="AQ330" s="29"/>
      <c r="BA330" s="25"/>
      <c r="BB330" s="13"/>
      <c r="BG330" s="116"/>
      <c r="BH330" s="123"/>
      <c r="BI330" s="123"/>
      <c r="BJ330" s="123"/>
      <c r="BO330" s="115"/>
      <c r="BP330" s="115"/>
      <c r="BQ330" s="115"/>
      <c r="BR330" s="115"/>
      <c r="BS330" s="115"/>
      <c r="BT330" s="115"/>
      <c r="BU330" s="115"/>
      <c r="BV330" s="115"/>
      <c r="BW330" s="115"/>
      <c r="BX330" s="115"/>
      <c r="BY330" s="25"/>
      <c r="BZ330" s="13"/>
      <c r="CC330" s="114"/>
    </row>
    <row r="331" spans="1:81" ht="20.100000000000001" customHeight="1" x14ac:dyDescent="0.4">
      <c r="A331" s="117"/>
      <c r="B331" s="123"/>
      <c r="C331" s="123"/>
      <c r="D331" s="123"/>
      <c r="Z331" s="26"/>
      <c r="AA331" s="13"/>
      <c r="AG331" s="115"/>
      <c r="AH331" s="115"/>
      <c r="AI331" s="115"/>
      <c r="AJ331" s="115"/>
      <c r="AK331" s="115"/>
      <c r="AL331" s="115"/>
      <c r="AM331" s="115"/>
      <c r="AN331" s="115"/>
      <c r="AO331" s="115"/>
      <c r="AP331" s="127"/>
      <c r="AQ331" s="29"/>
      <c r="BA331" s="25"/>
      <c r="BB331" s="13"/>
      <c r="BG331" s="116"/>
      <c r="BH331" s="123"/>
      <c r="BI331" s="123"/>
      <c r="BJ331" s="123"/>
      <c r="BO331" s="115"/>
      <c r="BP331" s="115"/>
      <c r="BQ331" s="115"/>
      <c r="BR331" s="115"/>
      <c r="BS331" s="115"/>
      <c r="BT331" s="115"/>
      <c r="BU331" s="115"/>
      <c r="BV331" s="115"/>
      <c r="BW331" s="115"/>
      <c r="BX331" s="115"/>
      <c r="BY331" s="25"/>
      <c r="BZ331" s="13"/>
      <c r="CC331" s="114"/>
    </row>
    <row r="332" spans="1:81" ht="20.100000000000001" customHeight="1" x14ac:dyDescent="0.4">
      <c r="A332" s="117"/>
      <c r="B332" s="123"/>
      <c r="C332" s="123"/>
      <c r="D332" s="123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26"/>
      <c r="AA332" s="13"/>
      <c r="AG332" s="115"/>
      <c r="AH332" s="115"/>
      <c r="AI332" s="115"/>
      <c r="AJ332" s="115"/>
      <c r="AK332" s="115"/>
      <c r="AL332" s="115"/>
      <c r="AM332" s="115"/>
      <c r="AN332" s="115"/>
      <c r="AO332" s="115"/>
      <c r="AP332" s="127"/>
      <c r="AQ332" s="29"/>
      <c r="BA332" s="25"/>
      <c r="BB332" s="13"/>
      <c r="BG332" s="116"/>
      <c r="BH332" s="123"/>
      <c r="BI332" s="123"/>
      <c r="BJ332" s="123"/>
      <c r="BO332" s="115"/>
      <c r="BP332" s="115"/>
      <c r="BQ332" s="115"/>
      <c r="BR332" s="115"/>
      <c r="BS332" s="115"/>
      <c r="BT332" s="115"/>
      <c r="BU332" s="115"/>
      <c r="BV332" s="115"/>
      <c r="BW332" s="115"/>
      <c r="BX332" s="115"/>
      <c r="BY332" s="25"/>
      <c r="BZ332" s="13"/>
      <c r="CC332" s="114"/>
    </row>
    <row r="333" spans="1:81" ht="20.100000000000001" customHeight="1" x14ac:dyDescent="0.4">
      <c r="A333" s="117"/>
      <c r="B333" s="123"/>
      <c r="C333" s="123"/>
      <c r="D333" s="123"/>
      <c r="Z333" s="26"/>
      <c r="AA333" s="13"/>
      <c r="AG333" s="115"/>
      <c r="AH333" s="115"/>
      <c r="AI333" s="115"/>
      <c r="AJ333" s="115"/>
      <c r="AK333" s="115"/>
      <c r="AL333" s="115"/>
      <c r="AM333" s="115"/>
      <c r="AN333" s="115"/>
      <c r="AO333" s="115"/>
      <c r="AP333" s="29"/>
      <c r="AQ333" s="29"/>
      <c r="BA333" s="25"/>
      <c r="BB333" s="13"/>
      <c r="BG333" s="116"/>
      <c r="BH333" s="123"/>
      <c r="BI333" s="123"/>
      <c r="BJ333" s="123"/>
      <c r="BO333" s="115"/>
      <c r="BP333" s="115"/>
      <c r="BQ333" s="115"/>
      <c r="BR333" s="115"/>
      <c r="BS333" s="115"/>
      <c r="BT333" s="115"/>
      <c r="BU333" s="115"/>
      <c r="BV333" s="115"/>
      <c r="BW333" s="115"/>
      <c r="BX333" s="115"/>
      <c r="BY333" s="25"/>
      <c r="BZ333" s="13"/>
      <c r="CC333" s="114"/>
    </row>
    <row r="334" spans="1:81" ht="20.100000000000001" customHeight="1" x14ac:dyDescent="0.4">
      <c r="A334" s="117"/>
      <c r="B334" s="123"/>
      <c r="C334" s="123"/>
      <c r="D334" s="123"/>
      <c r="Z334" s="26"/>
      <c r="AA334" s="13"/>
      <c r="AG334" s="115"/>
      <c r="AH334" s="115"/>
      <c r="AI334" s="115"/>
      <c r="AJ334" s="115"/>
      <c r="AK334" s="115"/>
      <c r="AL334" s="115"/>
      <c r="AM334" s="115"/>
      <c r="AN334" s="115"/>
      <c r="AO334" s="115"/>
      <c r="AP334" s="127"/>
      <c r="AQ334" s="29"/>
      <c r="BA334" s="25"/>
      <c r="BB334" s="13"/>
      <c r="BG334" s="116"/>
      <c r="BH334" s="123"/>
      <c r="BI334" s="123"/>
      <c r="BJ334" s="123"/>
      <c r="BO334" s="115"/>
      <c r="BP334" s="115"/>
      <c r="BQ334" s="115"/>
      <c r="BR334" s="115"/>
      <c r="BS334" s="115"/>
      <c r="BT334" s="115"/>
      <c r="BU334" s="115"/>
      <c r="BV334" s="115"/>
      <c r="BW334" s="115"/>
      <c r="BX334" s="115"/>
      <c r="BY334" s="25"/>
      <c r="BZ334" s="13"/>
      <c r="CC334" s="114"/>
    </row>
    <row r="335" spans="1:81" ht="20.100000000000001" customHeight="1" x14ac:dyDescent="0.4">
      <c r="A335" s="117"/>
      <c r="B335" s="123"/>
      <c r="C335" s="123"/>
      <c r="D335" s="123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26"/>
      <c r="AA335" s="13"/>
      <c r="AG335" s="115"/>
      <c r="AH335" s="115"/>
      <c r="AI335" s="115"/>
      <c r="AJ335" s="115"/>
      <c r="AK335" s="115"/>
      <c r="AL335" s="115"/>
      <c r="AM335" s="115"/>
      <c r="AN335" s="115"/>
      <c r="AO335" s="115"/>
      <c r="AP335" s="127"/>
      <c r="AQ335" s="29"/>
      <c r="BA335" s="25"/>
      <c r="BB335" s="13"/>
      <c r="BG335" s="116"/>
      <c r="BH335" s="123"/>
      <c r="BI335" s="123"/>
      <c r="BJ335" s="123"/>
      <c r="BO335" s="115"/>
      <c r="BP335" s="115"/>
      <c r="BQ335" s="115"/>
      <c r="BR335" s="115"/>
      <c r="BS335" s="115"/>
      <c r="BT335" s="115"/>
      <c r="BU335" s="115"/>
      <c r="BV335" s="115"/>
      <c r="BW335" s="115"/>
      <c r="BX335" s="115"/>
      <c r="BY335" s="25"/>
      <c r="BZ335" s="13"/>
      <c r="CC335" s="114"/>
    </row>
    <row r="336" spans="1:81" ht="20.100000000000001" customHeight="1" x14ac:dyDescent="0.4">
      <c r="A336" s="117"/>
      <c r="B336" s="123"/>
      <c r="C336" s="123"/>
      <c r="D336" s="123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26"/>
      <c r="AA336" s="13"/>
      <c r="AG336" s="115"/>
      <c r="AH336" s="115"/>
      <c r="AI336" s="115"/>
      <c r="AJ336" s="115"/>
      <c r="AK336" s="115"/>
      <c r="AL336" s="115"/>
      <c r="AM336" s="115"/>
      <c r="AN336" s="115"/>
      <c r="AO336" s="115"/>
      <c r="AP336" s="127"/>
      <c r="AQ336" s="29"/>
      <c r="BA336" s="25"/>
      <c r="BB336" s="13"/>
      <c r="BG336" s="116"/>
      <c r="BH336" s="123"/>
      <c r="BI336" s="123"/>
      <c r="BJ336" s="123"/>
      <c r="BO336" s="115"/>
      <c r="BP336" s="115"/>
      <c r="BQ336" s="115"/>
      <c r="BR336" s="115"/>
      <c r="BS336" s="115"/>
      <c r="BT336" s="115"/>
      <c r="BU336" s="115"/>
      <c r="BV336" s="115"/>
      <c r="BW336" s="115"/>
      <c r="BX336" s="115"/>
      <c r="BY336" s="25"/>
      <c r="BZ336" s="13"/>
      <c r="CC336" s="114"/>
    </row>
    <row r="337" spans="1:81" ht="20.100000000000001" customHeight="1" x14ac:dyDescent="0.4">
      <c r="A337" s="117"/>
      <c r="B337" s="123"/>
      <c r="C337" s="123"/>
      <c r="D337" s="123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7"/>
      <c r="AA337" s="13"/>
      <c r="AG337" s="115"/>
      <c r="AH337" s="115"/>
      <c r="AI337" s="115"/>
      <c r="AJ337" s="115"/>
      <c r="AK337" s="115"/>
      <c r="AL337" s="115"/>
      <c r="AM337" s="115"/>
      <c r="AN337" s="115"/>
      <c r="AO337" s="115"/>
      <c r="AP337" s="127"/>
      <c r="AQ337" s="29"/>
      <c r="BA337" s="25"/>
      <c r="BB337" s="13"/>
      <c r="BG337" s="116"/>
      <c r="BH337" s="123"/>
      <c r="BI337" s="123"/>
      <c r="BJ337" s="123"/>
      <c r="BO337" s="115"/>
      <c r="BP337" s="115"/>
      <c r="BQ337" s="115"/>
      <c r="BR337" s="115"/>
      <c r="BS337" s="115"/>
      <c r="BT337" s="115"/>
      <c r="BU337" s="115"/>
      <c r="BV337" s="115"/>
      <c r="BW337" s="115"/>
      <c r="BX337" s="115"/>
      <c r="BY337" s="25"/>
      <c r="BZ337" s="13"/>
      <c r="CC337" s="114"/>
    </row>
    <row r="338" spans="1:81" ht="20.100000000000001" customHeight="1" x14ac:dyDescent="0.4">
      <c r="A338" s="117"/>
      <c r="B338" s="123"/>
      <c r="C338" s="123"/>
      <c r="D338" s="123"/>
      <c r="Z338" s="26"/>
      <c r="AA338" s="13"/>
      <c r="AG338" s="115"/>
      <c r="AH338" s="115"/>
      <c r="AI338" s="115"/>
      <c r="AJ338" s="115"/>
      <c r="AK338" s="115"/>
      <c r="AL338" s="115"/>
      <c r="AM338" s="115"/>
      <c r="AN338" s="115"/>
      <c r="AO338" s="115"/>
      <c r="AP338" s="127"/>
      <c r="AQ338" s="29"/>
      <c r="BA338" s="25"/>
      <c r="BB338" s="13"/>
      <c r="BG338" s="116"/>
      <c r="BH338" s="123"/>
      <c r="BI338" s="123"/>
      <c r="BJ338" s="123"/>
      <c r="BO338" s="115"/>
      <c r="BP338" s="115"/>
      <c r="BQ338" s="115"/>
      <c r="BR338" s="115"/>
      <c r="BS338" s="115"/>
      <c r="BT338" s="115"/>
      <c r="BU338" s="115"/>
      <c r="BV338" s="115"/>
      <c r="BW338" s="115"/>
      <c r="BX338" s="115"/>
      <c r="BY338" s="25"/>
      <c r="BZ338" s="13"/>
      <c r="CC338" s="114"/>
    </row>
    <row r="339" spans="1:81" ht="20.100000000000001" customHeight="1" x14ac:dyDescent="0.4">
      <c r="A339" s="117"/>
      <c r="B339" s="123"/>
      <c r="C339" s="123"/>
      <c r="D339" s="123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26"/>
      <c r="AA339" s="13"/>
      <c r="AG339" s="115"/>
      <c r="AH339" s="115"/>
      <c r="AI339" s="115"/>
      <c r="AJ339" s="115"/>
      <c r="AK339" s="115"/>
      <c r="AL339" s="115"/>
      <c r="AM339" s="115"/>
      <c r="AN339" s="115"/>
      <c r="AO339" s="115"/>
      <c r="AP339" s="127"/>
      <c r="AQ339" s="29"/>
      <c r="BA339" s="25"/>
      <c r="BB339" s="13"/>
      <c r="BG339" s="116"/>
      <c r="BH339" s="123"/>
      <c r="BI339" s="123"/>
      <c r="BJ339" s="123"/>
      <c r="BO339" s="115"/>
      <c r="BP339" s="115"/>
      <c r="BQ339" s="115"/>
      <c r="BR339" s="115"/>
      <c r="BS339" s="115"/>
      <c r="BT339" s="115"/>
      <c r="BU339" s="115"/>
      <c r="BV339" s="115"/>
      <c r="BW339" s="115"/>
      <c r="BX339" s="115"/>
      <c r="BY339" s="25"/>
      <c r="BZ339" s="13"/>
      <c r="CC339" s="114"/>
    </row>
    <row r="340" spans="1:81" ht="20.100000000000001" customHeight="1" x14ac:dyDescent="0.4">
      <c r="A340" s="117"/>
      <c r="B340" s="123"/>
      <c r="C340" s="123"/>
      <c r="D340" s="123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7"/>
      <c r="AA340" s="13"/>
      <c r="AG340" s="115"/>
      <c r="AH340" s="115"/>
      <c r="AI340" s="115"/>
      <c r="AJ340" s="115"/>
      <c r="AK340" s="115"/>
      <c r="AL340" s="115"/>
      <c r="AM340" s="115"/>
      <c r="AN340" s="115"/>
      <c r="AO340" s="115"/>
      <c r="AP340" s="127"/>
      <c r="AQ340" s="29"/>
      <c r="BA340" s="25"/>
      <c r="BB340" s="13"/>
      <c r="BG340" s="116"/>
      <c r="BH340" s="123"/>
      <c r="BI340" s="123"/>
      <c r="BJ340" s="123"/>
      <c r="BO340" s="115"/>
      <c r="BP340" s="115"/>
      <c r="BQ340" s="115"/>
      <c r="BR340" s="115"/>
      <c r="BS340" s="115"/>
      <c r="BT340" s="115"/>
      <c r="BU340" s="115"/>
      <c r="BV340" s="115"/>
      <c r="BW340" s="115"/>
      <c r="BX340" s="115"/>
      <c r="BY340" s="25"/>
      <c r="BZ340" s="13"/>
      <c r="CC340" s="114"/>
    </row>
    <row r="341" spans="1:81" ht="20.100000000000001" customHeight="1" x14ac:dyDescent="0.4">
      <c r="A341" s="117"/>
      <c r="B341" s="123"/>
      <c r="C341" s="123"/>
      <c r="D341" s="123"/>
      <c r="Z341" s="26"/>
      <c r="AA341" s="13"/>
      <c r="AG341" s="115"/>
      <c r="AH341" s="115"/>
      <c r="AI341" s="115"/>
      <c r="AJ341" s="115"/>
      <c r="AK341" s="115"/>
      <c r="AL341" s="115"/>
      <c r="AM341" s="115"/>
      <c r="AN341" s="115"/>
      <c r="AO341" s="115"/>
      <c r="AP341" s="127"/>
      <c r="AQ341" s="29"/>
      <c r="BA341" s="25"/>
      <c r="BB341" s="13"/>
      <c r="BG341" s="116"/>
      <c r="BH341" s="123"/>
      <c r="BI341" s="123"/>
      <c r="BJ341" s="123"/>
      <c r="BO341" s="115"/>
      <c r="BP341" s="115"/>
      <c r="BQ341" s="115"/>
      <c r="BR341" s="115"/>
      <c r="BS341" s="115"/>
      <c r="BT341" s="115"/>
      <c r="BU341" s="115"/>
      <c r="BV341" s="115"/>
      <c r="BW341" s="115"/>
      <c r="BX341" s="115"/>
      <c r="BY341" s="25"/>
      <c r="BZ341" s="13"/>
      <c r="CC341" s="114"/>
    </row>
    <row r="342" spans="1:81" ht="20.100000000000001" customHeight="1" x14ac:dyDescent="0.4">
      <c r="A342" s="117"/>
      <c r="B342" s="123"/>
      <c r="C342" s="123"/>
      <c r="D342" s="123"/>
      <c r="Z342" s="26"/>
      <c r="AA342" s="13"/>
      <c r="AG342" s="115"/>
      <c r="AH342" s="115"/>
      <c r="AI342" s="115"/>
      <c r="AJ342" s="115"/>
      <c r="AK342" s="115"/>
      <c r="AL342" s="115"/>
      <c r="AM342" s="115"/>
      <c r="AN342" s="115"/>
      <c r="AO342" s="115"/>
      <c r="AP342" s="127"/>
      <c r="AQ342" s="29"/>
      <c r="BA342" s="25"/>
      <c r="BB342" s="13"/>
      <c r="BG342" s="116"/>
      <c r="BH342" s="123"/>
      <c r="BI342" s="123"/>
      <c r="BJ342" s="123"/>
      <c r="BO342" s="115"/>
      <c r="BP342" s="115"/>
      <c r="BQ342" s="115"/>
      <c r="BR342" s="115"/>
      <c r="BS342" s="115"/>
      <c r="BT342" s="115"/>
      <c r="BU342" s="115"/>
      <c r="BV342" s="115"/>
      <c r="BW342" s="115"/>
      <c r="BX342" s="115"/>
      <c r="BY342" s="25"/>
      <c r="BZ342" s="13"/>
      <c r="CC342" s="114"/>
    </row>
    <row r="343" spans="1:81" ht="20.100000000000001" customHeight="1" x14ac:dyDescent="0.4">
      <c r="A343" s="117"/>
      <c r="B343" s="123"/>
      <c r="C343" s="123"/>
      <c r="D343" s="123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26"/>
      <c r="AA343" s="13"/>
      <c r="AG343" s="115"/>
      <c r="AH343" s="115"/>
      <c r="AI343" s="115"/>
      <c r="AJ343" s="115"/>
      <c r="AK343" s="115"/>
      <c r="AL343" s="115"/>
      <c r="AM343" s="115"/>
      <c r="AN343" s="115"/>
      <c r="AO343" s="115"/>
      <c r="AP343" s="127"/>
      <c r="AQ343" s="29"/>
      <c r="BA343" s="25"/>
      <c r="BB343" s="13"/>
      <c r="BG343" s="116"/>
      <c r="BH343" s="123"/>
      <c r="BI343" s="123"/>
      <c r="BJ343" s="123"/>
      <c r="BO343" s="115"/>
      <c r="BP343" s="115"/>
      <c r="BQ343" s="115"/>
      <c r="BR343" s="115"/>
      <c r="BS343" s="115"/>
      <c r="BT343" s="115"/>
      <c r="BU343" s="115"/>
      <c r="BV343" s="115"/>
      <c r="BW343" s="115"/>
      <c r="BX343" s="115"/>
      <c r="BY343" s="25"/>
      <c r="BZ343" s="13"/>
      <c r="CC343" s="114"/>
    </row>
    <row r="344" spans="1:81" ht="20.100000000000001" customHeight="1" x14ac:dyDescent="0.4">
      <c r="A344" s="117"/>
      <c r="B344" s="123"/>
      <c r="C344" s="123"/>
      <c r="D344" s="123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26"/>
      <c r="AA344" s="13"/>
      <c r="AG344" s="115"/>
      <c r="AH344" s="115"/>
      <c r="AI344" s="115"/>
      <c r="AJ344" s="115"/>
      <c r="AK344" s="115"/>
      <c r="AL344" s="115"/>
      <c r="AM344" s="115"/>
      <c r="AN344" s="115"/>
      <c r="AO344" s="115"/>
      <c r="AP344" s="127"/>
      <c r="AQ344" s="29"/>
      <c r="BA344" s="25"/>
      <c r="BB344" s="13"/>
      <c r="BG344" s="116"/>
      <c r="BH344" s="123"/>
      <c r="BI344" s="123"/>
      <c r="BJ344" s="123"/>
      <c r="BO344" s="115"/>
      <c r="BP344" s="115"/>
      <c r="BQ344" s="115"/>
      <c r="BR344" s="115"/>
      <c r="BS344" s="115"/>
      <c r="BT344" s="115"/>
      <c r="BU344" s="115"/>
      <c r="BV344" s="115"/>
      <c r="BW344" s="115"/>
      <c r="BX344" s="115"/>
      <c r="BY344" s="25"/>
      <c r="BZ344" s="13"/>
      <c r="CC344" s="114"/>
    </row>
    <row r="345" spans="1:81" ht="20.100000000000001" customHeight="1" x14ac:dyDescent="0.4">
      <c r="A345" s="117"/>
      <c r="B345" s="123"/>
      <c r="C345" s="123"/>
      <c r="D345" s="123"/>
      <c r="Z345" s="26"/>
      <c r="AA345" s="13"/>
      <c r="AG345" s="115"/>
      <c r="AH345" s="115"/>
      <c r="AI345" s="115"/>
      <c r="AJ345" s="115"/>
      <c r="AK345" s="115"/>
      <c r="AL345" s="115"/>
      <c r="AM345" s="115"/>
      <c r="AN345" s="115"/>
      <c r="AO345" s="115"/>
      <c r="AP345" s="127"/>
      <c r="AQ345" s="29"/>
      <c r="BA345" s="25"/>
      <c r="BB345" s="13"/>
      <c r="BG345" s="116"/>
      <c r="BH345" s="123"/>
      <c r="BI345" s="123"/>
      <c r="BJ345" s="123"/>
      <c r="BO345" s="115"/>
      <c r="BP345" s="115"/>
      <c r="BQ345" s="115"/>
      <c r="BR345" s="115"/>
      <c r="BS345" s="115"/>
      <c r="BT345" s="115"/>
      <c r="BU345" s="115"/>
      <c r="BV345" s="115"/>
      <c r="BW345" s="115"/>
      <c r="BX345" s="115"/>
      <c r="BY345" s="25"/>
      <c r="BZ345" s="13"/>
      <c r="CC345" s="114"/>
    </row>
    <row r="346" spans="1:81" ht="20.100000000000001" customHeight="1" x14ac:dyDescent="0.4">
      <c r="A346" s="117"/>
      <c r="B346" s="123"/>
      <c r="C346" s="123"/>
      <c r="D346" s="123"/>
      <c r="Z346" s="26"/>
      <c r="AA346" s="13"/>
      <c r="AG346" s="115"/>
      <c r="AH346" s="115"/>
      <c r="AI346" s="115"/>
      <c r="AJ346" s="115"/>
      <c r="AK346" s="115"/>
      <c r="AL346" s="115"/>
      <c r="AM346" s="115"/>
      <c r="AN346" s="115"/>
      <c r="AO346" s="115"/>
      <c r="AP346" s="127"/>
      <c r="AQ346" s="29"/>
      <c r="BA346" s="25"/>
      <c r="BB346" s="13"/>
      <c r="BG346" s="116"/>
      <c r="BH346" s="123"/>
      <c r="BI346" s="123"/>
      <c r="BJ346" s="123"/>
      <c r="BO346" s="115"/>
      <c r="BP346" s="115"/>
      <c r="BQ346" s="115"/>
      <c r="BR346" s="115"/>
      <c r="BS346" s="115"/>
      <c r="BT346" s="115"/>
      <c r="BU346" s="115"/>
      <c r="BV346" s="115"/>
      <c r="BW346" s="115"/>
      <c r="BX346" s="115"/>
      <c r="BY346" s="25"/>
      <c r="BZ346" s="13"/>
      <c r="CC346" s="114"/>
    </row>
    <row r="347" spans="1:81" ht="20.100000000000001" customHeight="1" x14ac:dyDescent="0.4">
      <c r="A347" s="117"/>
      <c r="B347" s="123"/>
      <c r="C347" s="123"/>
      <c r="D347" s="123"/>
      <c r="Z347" s="26"/>
      <c r="AA347" s="13"/>
      <c r="AG347" s="115"/>
      <c r="AH347" s="115"/>
      <c r="AI347" s="115"/>
      <c r="AJ347" s="115"/>
      <c r="AK347" s="115"/>
      <c r="AL347" s="115"/>
      <c r="AM347" s="115"/>
      <c r="AN347" s="115"/>
      <c r="AO347" s="115"/>
      <c r="AP347" s="127"/>
      <c r="AQ347" s="29"/>
      <c r="BA347" s="25"/>
      <c r="BB347" s="13"/>
      <c r="BG347" s="116"/>
      <c r="BH347" s="123"/>
      <c r="BI347" s="123"/>
      <c r="BJ347" s="123"/>
      <c r="BO347" s="115"/>
      <c r="BP347" s="115"/>
      <c r="BQ347" s="115"/>
      <c r="BR347" s="115"/>
      <c r="BS347" s="115"/>
      <c r="BT347" s="115"/>
      <c r="BU347" s="115"/>
      <c r="BV347" s="115"/>
      <c r="BW347" s="115"/>
      <c r="BX347" s="115"/>
      <c r="BY347" s="25"/>
      <c r="BZ347" s="13"/>
      <c r="CC347" s="114"/>
    </row>
    <row r="348" spans="1:81" ht="20.100000000000001" customHeight="1" x14ac:dyDescent="0.4">
      <c r="A348" s="117"/>
      <c r="B348" s="123"/>
      <c r="C348" s="123"/>
      <c r="D348" s="123"/>
      <c r="Z348" s="26"/>
      <c r="AA348" s="13"/>
      <c r="AG348" s="115"/>
      <c r="AH348" s="115"/>
      <c r="AI348" s="115"/>
      <c r="AJ348" s="115"/>
      <c r="AK348" s="115"/>
      <c r="AL348" s="115"/>
      <c r="AM348" s="115"/>
      <c r="AN348" s="115"/>
      <c r="AO348" s="115"/>
      <c r="AP348" s="127"/>
      <c r="AQ348" s="29"/>
      <c r="BA348" s="25"/>
      <c r="BB348" s="13"/>
      <c r="BG348" s="116"/>
      <c r="BH348" s="123"/>
      <c r="BI348" s="123"/>
      <c r="BJ348" s="123"/>
      <c r="BO348" s="115"/>
      <c r="BP348" s="115"/>
      <c r="BQ348" s="115"/>
      <c r="BR348" s="115"/>
      <c r="BS348" s="115"/>
      <c r="BT348" s="115"/>
      <c r="BU348" s="115"/>
      <c r="BV348" s="115"/>
      <c r="BW348" s="115"/>
      <c r="BX348" s="115"/>
      <c r="BY348" s="25"/>
      <c r="BZ348" s="13"/>
      <c r="CC348" s="114"/>
    </row>
    <row r="349" spans="1:81" ht="20.100000000000001" customHeight="1" x14ac:dyDescent="0.4">
      <c r="A349" s="117"/>
      <c r="B349" s="123"/>
      <c r="C349" s="123"/>
      <c r="D349" s="123"/>
      <c r="Q349" s="115"/>
      <c r="R349" s="115"/>
      <c r="S349" s="115"/>
      <c r="T349" s="115"/>
      <c r="U349" s="115"/>
      <c r="V349" s="115"/>
      <c r="W349" s="115"/>
      <c r="X349" s="115"/>
      <c r="Y349" s="115"/>
      <c r="Z349" s="17"/>
      <c r="AA349" s="13"/>
      <c r="AG349" s="115"/>
      <c r="AH349" s="115"/>
      <c r="AI349" s="115"/>
      <c r="AJ349" s="115"/>
      <c r="AK349" s="115"/>
      <c r="AL349" s="115"/>
      <c r="AM349" s="115"/>
      <c r="AN349" s="115"/>
      <c r="AO349" s="115"/>
      <c r="AP349" s="127"/>
      <c r="AQ349" s="29"/>
      <c r="BA349" s="25"/>
      <c r="BB349" s="13"/>
      <c r="BG349" s="116"/>
      <c r="BH349" s="123"/>
      <c r="BI349" s="123"/>
      <c r="BJ349" s="123"/>
      <c r="BO349" s="115"/>
      <c r="BP349" s="115"/>
      <c r="BQ349" s="115"/>
      <c r="BR349" s="115"/>
      <c r="BS349" s="115"/>
      <c r="BT349" s="115"/>
      <c r="BU349" s="115"/>
      <c r="BV349" s="115"/>
      <c r="BW349" s="115"/>
      <c r="BX349" s="115"/>
      <c r="BY349" s="25"/>
      <c r="BZ349" s="13"/>
      <c r="CC349" s="114"/>
    </row>
    <row r="350" spans="1:81" ht="20.100000000000001" customHeight="1" x14ac:dyDescent="0.4">
      <c r="A350" s="117"/>
      <c r="B350" s="123"/>
      <c r="C350" s="123"/>
      <c r="D350" s="123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26"/>
      <c r="AA350" s="15"/>
      <c r="AG350" s="115"/>
      <c r="AH350" s="115"/>
      <c r="AI350" s="115"/>
      <c r="AJ350" s="115"/>
      <c r="AK350" s="115"/>
      <c r="AL350" s="115"/>
      <c r="AM350" s="115"/>
      <c r="AN350" s="115"/>
      <c r="AO350" s="115"/>
      <c r="AP350" s="127"/>
      <c r="AQ350" s="29"/>
      <c r="BA350" s="25"/>
      <c r="BB350" s="13"/>
      <c r="BG350" s="116"/>
      <c r="BH350" s="123"/>
      <c r="BI350" s="123"/>
      <c r="BJ350" s="123"/>
      <c r="BO350" s="115"/>
      <c r="BP350" s="115"/>
      <c r="BQ350" s="115"/>
      <c r="BR350" s="115"/>
      <c r="BS350" s="115"/>
      <c r="BT350" s="115"/>
      <c r="BU350" s="115"/>
      <c r="BV350" s="115"/>
      <c r="BW350" s="115"/>
      <c r="BX350" s="115"/>
      <c r="BY350" s="25"/>
      <c r="BZ350" s="13"/>
      <c r="CC350" s="114"/>
    </row>
    <row r="351" spans="1:81" ht="20.100000000000001" customHeight="1" x14ac:dyDescent="0.4">
      <c r="A351" s="117"/>
      <c r="B351" s="123"/>
      <c r="C351" s="123"/>
      <c r="D351" s="123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7"/>
      <c r="AA351" s="15"/>
      <c r="AG351" s="115"/>
      <c r="AH351" s="115"/>
      <c r="AI351" s="115"/>
      <c r="AJ351" s="115"/>
      <c r="AK351" s="115"/>
      <c r="AL351" s="115"/>
      <c r="AM351" s="115"/>
      <c r="AN351" s="115"/>
      <c r="AO351" s="115"/>
      <c r="AP351" s="127"/>
      <c r="AQ351" s="29"/>
      <c r="BA351" s="25"/>
      <c r="BB351" s="13"/>
      <c r="BG351" s="116"/>
      <c r="BH351" s="123"/>
      <c r="BI351" s="123"/>
      <c r="BJ351" s="123"/>
      <c r="BO351" s="115"/>
      <c r="BP351" s="115"/>
      <c r="BQ351" s="115"/>
      <c r="BR351" s="115"/>
      <c r="BS351" s="115"/>
      <c r="BT351" s="115"/>
      <c r="BU351" s="115"/>
      <c r="BV351" s="115"/>
      <c r="BW351" s="115"/>
      <c r="BX351" s="115"/>
      <c r="BY351" s="25"/>
      <c r="BZ351" s="13"/>
      <c r="CC351" s="114"/>
    </row>
    <row r="352" spans="1:81" ht="20.100000000000001" customHeight="1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26"/>
      <c r="AA352" s="15"/>
      <c r="AG352" s="115"/>
      <c r="AH352" s="115"/>
      <c r="AI352" s="115"/>
      <c r="AJ352" s="115"/>
      <c r="AK352" s="115"/>
      <c r="AL352" s="115"/>
      <c r="AM352" s="115"/>
      <c r="AN352" s="115"/>
      <c r="AO352" s="115"/>
      <c r="AP352" s="127"/>
      <c r="AQ352" s="29"/>
      <c r="BA352" s="25"/>
      <c r="BB352" s="13"/>
      <c r="BG352" s="116"/>
      <c r="BH352" s="123"/>
      <c r="BI352" s="123"/>
      <c r="BJ352" s="123"/>
      <c r="BO352" s="115"/>
      <c r="BP352" s="115"/>
      <c r="BQ352" s="115"/>
      <c r="BR352" s="115"/>
      <c r="BS352" s="115"/>
      <c r="BT352" s="115"/>
      <c r="BU352" s="115"/>
      <c r="BV352" s="115"/>
      <c r="BW352" s="115"/>
      <c r="BX352" s="115"/>
      <c r="BY352" s="25"/>
      <c r="BZ352" s="13"/>
      <c r="CC352" s="114"/>
    </row>
    <row r="353" spans="1:81" ht="20.100000000000001" customHeight="1" x14ac:dyDescent="0.4">
      <c r="A353" s="117"/>
      <c r="B353" s="123"/>
      <c r="C353" s="123"/>
      <c r="D353" s="123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7"/>
      <c r="AA353" s="15"/>
      <c r="AG353" s="115"/>
      <c r="AH353" s="115"/>
      <c r="AI353" s="115"/>
      <c r="AJ353" s="115"/>
      <c r="AK353" s="115"/>
      <c r="AL353" s="115"/>
      <c r="AM353" s="115"/>
      <c r="AN353" s="115"/>
      <c r="AO353" s="115"/>
      <c r="AP353" s="127"/>
      <c r="AQ353" s="29"/>
      <c r="BA353" s="25"/>
      <c r="BB353" s="13"/>
      <c r="BG353" s="116"/>
      <c r="BH353" s="123"/>
      <c r="BI353" s="123"/>
      <c r="BJ353" s="123"/>
      <c r="BO353" s="115"/>
      <c r="BP353" s="115"/>
      <c r="BQ353" s="115"/>
      <c r="BR353" s="115"/>
      <c r="BS353" s="115"/>
      <c r="BT353" s="115"/>
      <c r="BU353" s="115"/>
      <c r="BV353" s="115"/>
      <c r="BW353" s="115"/>
      <c r="BX353" s="115"/>
      <c r="BY353" s="25"/>
      <c r="BZ353" s="13"/>
      <c r="CC353" s="114"/>
    </row>
    <row r="354" spans="1:81" ht="20.100000000000001" customHeight="1" x14ac:dyDescent="0.4">
      <c r="A354" s="117"/>
      <c r="B354" s="123"/>
      <c r="C354" s="123"/>
      <c r="D354" s="123"/>
      <c r="Z354" s="26"/>
      <c r="AA354" s="15"/>
      <c r="AD354" s="115"/>
      <c r="AE354" s="115"/>
      <c r="AF354" s="115"/>
      <c r="AG354" s="115"/>
      <c r="AH354" s="115"/>
      <c r="AI354" s="115"/>
      <c r="AJ354" s="115"/>
      <c r="AK354" s="115"/>
      <c r="AL354" s="115"/>
      <c r="AM354" s="115"/>
      <c r="AN354" s="115"/>
      <c r="AO354" s="115"/>
      <c r="AP354" s="127"/>
      <c r="AQ354" s="29"/>
      <c r="BA354" s="25"/>
      <c r="BB354" s="13"/>
      <c r="BG354" s="116"/>
      <c r="BH354" s="123"/>
      <c r="BI354" s="123"/>
      <c r="BJ354" s="123"/>
      <c r="BO354" s="115"/>
      <c r="BP354" s="115"/>
      <c r="BQ354" s="115"/>
      <c r="BR354" s="115"/>
      <c r="BS354" s="115"/>
      <c r="BT354" s="115"/>
      <c r="BU354" s="115"/>
      <c r="BV354" s="115"/>
      <c r="BW354" s="115"/>
      <c r="BX354" s="115"/>
      <c r="BY354" s="25"/>
      <c r="BZ354" s="13"/>
      <c r="CC354" s="114"/>
    </row>
    <row r="355" spans="1:81" ht="20.100000000000001" customHeight="1" x14ac:dyDescent="0.4">
      <c r="A355" s="117"/>
      <c r="B355" s="123"/>
      <c r="C355" s="123"/>
      <c r="D355" s="123"/>
      <c r="Q355" s="115"/>
      <c r="R355" s="115"/>
      <c r="S355" s="115"/>
      <c r="T355" s="115"/>
      <c r="U355" s="115"/>
      <c r="V355" s="115"/>
      <c r="W355" s="115"/>
      <c r="X355" s="115"/>
      <c r="Y355" s="115"/>
      <c r="Z355" s="17"/>
      <c r="AA355" s="15"/>
      <c r="AD355" s="115"/>
      <c r="AE355" s="115"/>
      <c r="AF355" s="115"/>
      <c r="AG355" s="115"/>
      <c r="AH355" s="115"/>
      <c r="AI355" s="115"/>
      <c r="AJ355" s="115"/>
      <c r="AK355" s="115"/>
      <c r="AL355" s="115"/>
      <c r="AM355" s="115"/>
      <c r="AN355" s="115"/>
      <c r="AO355" s="115"/>
      <c r="AP355" s="127"/>
      <c r="AQ355" s="29"/>
      <c r="BA355" s="25"/>
      <c r="BB355" s="13"/>
      <c r="BG355" s="116"/>
      <c r="BH355" s="123"/>
      <c r="BI355" s="123"/>
      <c r="BJ355" s="123"/>
      <c r="BO355" s="115"/>
      <c r="BP355" s="115"/>
      <c r="BQ355" s="115"/>
      <c r="BR355" s="115"/>
      <c r="BS355" s="115"/>
      <c r="BT355" s="115"/>
      <c r="BU355" s="115"/>
      <c r="BV355" s="115"/>
      <c r="BW355" s="115"/>
      <c r="BX355" s="115"/>
      <c r="BY355" s="25"/>
      <c r="BZ355" s="13"/>
      <c r="CC355" s="114"/>
    </row>
    <row r="356" spans="1:81" ht="20.100000000000001" customHeight="1" x14ac:dyDescent="0.4">
      <c r="A356" s="117"/>
      <c r="B356" s="123"/>
      <c r="C356" s="123"/>
      <c r="D356" s="123"/>
      <c r="Z356" s="26"/>
      <c r="AA356" s="15"/>
      <c r="AD356" s="115"/>
      <c r="AE356" s="115"/>
      <c r="AF356" s="115"/>
      <c r="AG356" s="115"/>
      <c r="AH356" s="115"/>
      <c r="AI356" s="115"/>
      <c r="AJ356" s="115"/>
      <c r="AK356" s="115"/>
      <c r="AL356" s="115"/>
      <c r="AM356" s="115"/>
      <c r="AN356" s="115"/>
      <c r="AO356" s="115"/>
      <c r="AP356" s="127"/>
      <c r="AQ356" s="29"/>
      <c r="BA356" s="25"/>
      <c r="BB356" s="13"/>
      <c r="BG356" s="116"/>
      <c r="BH356" s="123"/>
      <c r="BI356" s="123"/>
      <c r="BJ356" s="123"/>
      <c r="BO356" s="115"/>
      <c r="BP356" s="115"/>
      <c r="BQ356" s="115"/>
      <c r="BR356" s="115"/>
      <c r="BS356" s="115"/>
      <c r="BT356" s="115"/>
      <c r="BU356" s="115"/>
      <c r="BV356" s="115"/>
      <c r="BW356" s="115"/>
      <c r="BX356" s="115"/>
      <c r="BY356" s="25"/>
      <c r="BZ356" s="13"/>
      <c r="CC356" s="114"/>
    </row>
    <row r="357" spans="1:81" ht="20.100000000000001" customHeight="1" x14ac:dyDescent="0.4">
      <c r="A357" s="117"/>
      <c r="B357" s="123"/>
      <c r="C357" s="123"/>
      <c r="D357" s="123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26"/>
      <c r="AA357" s="15"/>
      <c r="AD357" s="115"/>
      <c r="AE357" s="115"/>
      <c r="AF357" s="115"/>
      <c r="AG357" s="115"/>
      <c r="AH357" s="115"/>
      <c r="AI357" s="115"/>
      <c r="AJ357" s="115"/>
      <c r="AK357" s="115"/>
      <c r="AL357" s="115"/>
      <c r="AM357" s="115"/>
      <c r="AN357" s="115"/>
      <c r="AO357" s="115"/>
      <c r="AP357" s="127"/>
      <c r="AQ357" s="29"/>
      <c r="BA357" s="25"/>
      <c r="BB357" s="13"/>
      <c r="BG357" s="116"/>
      <c r="BH357" s="123"/>
      <c r="BI357" s="123"/>
      <c r="BJ357" s="123"/>
      <c r="BO357" s="115"/>
      <c r="BP357" s="115"/>
      <c r="BQ357" s="115"/>
      <c r="BR357" s="115"/>
      <c r="BS357" s="115"/>
      <c r="BT357" s="115"/>
      <c r="BU357" s="115"/>
      <c r="BV357" s="115"/>
      <c r="BW357" s="115"/>
      <c r="BX357" s="115"/>
      <c r="BY357" s="25"/>
      <c r="BZ357" s="13"/>
      <c r="CC357" s="114"/>
    </row>
    <row r="358" spans="1:81" ht="20.100000000000001" customHeight="1" x14ac:dyDescent="0.4">
      <c r="A358" s="117"/>
      <c r="B358" s="123"/>
      <c r="C358" s="123"/>
      <c r="D358" s="123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20"/>
      <c r="AA358" s="13"/>
      <c r="AD358" s="115"/>
      <c r="AE358" s="115"/>
      <c r="AF358" s="115"/>
      <c r="AG358" s="115"/>
      <c r="AH358" s="115"/>
      <c r="AI358" s="115"/>
      <c r="AJ358" s="115"/>
      <c r="AK358" s="115"/>
      <c r="AL358" s="115"/>
      <c r="AM358" s="115"/>
      <c r="AN358" s="115"/>
      <c r="AO358" s="115"/>
      <c r="AP358" s="127"/>
      <c r="AQ358" s="29"/>
      <c r="BA358" s="25"/>
      <c r="BB358" s="13"/>
      <c r="BG358" s="116"/>
      <c r="BH358" s="123"/>
      <c r="BI358" s="123"/>
      <c r="BJ358" s="123"/>
      <c r="BO358" s="115"/>
      <c r="BP358" s="115"/>
      <c r="BQ358" s="115"/>
      <c r="BR358" s="115"/>
      <c r="BS358" s="115"/>
      <c r="BT358" s="115"/>
      <c r="BU358" s="115"/>
      <c r="BV358" s="115"/>
      <c r="BW358" s="115"/>
      <c r="BX358" s="115"/>
      <c r="BY358" s="25"/>
      <c r="BZ358" s="13"/>
      <c r="CC358" s="114"/>
    </row>
    <row r="359" spans="1:81" ht="20.100000000000001" customHeight="1" x14ac:dyDescent="0.4">
      <c r="A359" s="117"/>
      <c r="B359" s="123"/>
      <c r="C359" s="123"/>
      <c r="D359" s="123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20"/>
      <c r="AA359" s="13"/>
      <c r="AD359" s="115"/>
      <c r="AE359" s="115"/>
      <c r="AF359" s="115"/>
      <c r="AG359" s="115"/>
      <c r="AH359" s="115"/>
      <c r="AI359" s="115"/>
      <c r="AJ359" s="115"/>
      <c r="AK359" s="115"/>
      <c r="AL359" s="115"/>
      <c r="AM359" s="115"/>
      <c r="AN359" s="115"/>
      <c r="AO359" s="115"/>
      <c r="AP359" s="127"/>
      <c r="AQ359" s="29"/>
      <c r="BA359" s="25"/>
      <c r="BB359" s="13"/>
      <c r="BG359" s="116"/>
      <c r="BH359" s="123"/>
      <c r="BI359" s="123"/>
      <c r="BJ359" s="123"/>
      <c r="BO359" s="115"/>
      <c r="BP359" s="115"/>
      <c r="BQ359" s="115"/>
      <c r="BR359" s="115"/>
      <c r="BS359" s="115"/>
      <c r="BT359" s="115"/>
      <c r="BU359" s="115"/>
      <c r="BV359" s="115"/>
      <c r="BW359" s="115"/>
      <c r="BX359" s="115"/>
      <c r="BY359" s="25"/>
      <c r="BZ359" s="13"/>
      <c r="CC359" s="114"/>
    </row>
    <row r="360" spans="1:81" ht="20.100000000000001" customHeight="1" x14ac:dyDescent="0.4">
      <c r="A360" s="117"/>
      <c r="B360" s="123"/>
      <c r="C360" s="123"/>
      <c r="D360" s="123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3"/>
      <c r="AA360" s="13"/>
      <c r="AD360" s="115"/>
      <c r="AE360" s="115"/>
      <c r="AF360" s="115"/>
      <c r="AG360" s="115"/>
      <c r="AH360" s="115"/>
      <c r="AI360" s="115"/>
      <c r="AJ360" s="115"/>
      <c r="AK360" s="115"/>
      <c r="AL360" s="115"/>
      <c r="AM360" s="115"/>
      <c r="AN360" s="115"/>
      <c r="AO360" s="115"/>
      <c r="AP360" s="127"/>
      <c r="AQ360" s="29"/>
      <c r="BA360" s="25"/>
      <c r="BB360" s="13"/>
      <c r="BG360" s="116"/>
      <c r="BH360" s="123"/>
      <c r="BI360" s="123"/>
      <c r="BJ360" s="123"/>
      <c r="BO360" s="115"/>
      <c r="BP360" s="115"/>
      <c r="BQ360" s="115"/>
      <c r="BR360" s="115"/>
      <c r="BS360" s="115"/>
      <c r="BT360" s="115"/>
      <c r="BU360" s="115"/>
      <c r="BV360" s="115"/>
      <c r="BW360" s="115"/>
      <c r="BX360" s="115"/>
      <c r="BY360" s="25"/>
      <c r="BZ360" s="13"/>
      <c r="CC360" s="114"/>
    </row>
    <row r="361" spans="1:81" ht="20.100000000000001" customHeight="1" x14ac:dyDescent="0.4">
      <c r="A361" s="117"/>
      <c r="B361" s="123"/>
      <c r="C361" s="123"/>
      <c r="D361" s="123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25"/>
      <c r="AA361" s="15"/>
      <c r="AD361" s="115"/>
      <c r="AE361" s="115"/>
      <c r="AF361" s="115"/>
      <c r="AG361" s="115"/>
      <c r="AH361" s="115"/>
      <c r="AI361" s="115"/>
      <c r="AJ361" s="115"/>
      <c r="AK361" s="115"/>
      <c r="AL361" s="115"/>
      <c r="AM361" s="115"/>
      <c r="AN361" s="115"/>
      <c r="AO361" s="115"/>
      <c r="AP361" s="127"/>
      <c r="AQ361" s="29"/>
      <c r="BA361" s="25"/>
      <c r="BB361" s="13"/>
      <c r="BG361" s="116"/>
      <c r="BH361" s="123"/>
      <c r="BI361" s="123"/>
      <c r="BJ361" s="123"/>
      <c r="BO361" s="115"/>
      <c r="BP361" s="115"/>
      <c r="BQ361" s="115"/>
      <c r="BR361" s="115"/>
      <c r="BS361" s="115"/>
      <c r="BT361" s="115"/>
      <c r="BU361" s="115"/>
      <c r="BV361" s="115"/>
      <c r="BW361" s="115"/>
      <c r="BX361" s="115"/>
      <c r="BY361" s="25"/>
      <c r="BZ361" s="13"/>
      <c r="CC361" s="114"/>
    </row>
    <row r="362" spans="1:81" ht="20.100000000000001" customHeight="1" x14ac:dyDescent="0.4">
      <c r="A362" s="117"/>
      <c r="B362" s="123"/>
      <c r="C362" s="123"/>
      <c r="D362" s="123"/>
      <c r="Z362" s="25"/>
      <c r="AA362" s="15"/>
      <c r="AD362" s="115"/>
      <c r="AE362" s="115"/>
      <c r="AF362" s="115"/>
      <c r="AG362" s="115"/>
      <c r="AH362" s="115"/>
      <c r="AI362" s="115"/>
      <c r="AJ362" s="115"/>
      <c r="AK362" s="115"/>
      <c r="AL362" s="115"/>
      <c r="AM362" s="115"/>
      <c r="AN362" s="115"/>
      <c r="AO362" s="115"/>
      <c r="AP362" s="29"/>
      <c r="AQ362" s="29"/>
      <c r="BA362" s="25"/>
      <c r="BB362" s="13"/>
      <c r="BG362" s="116"/>
      <c r="BH362" s="123"/>
      <c r="BI362" s="123"/>
      <c r="BJ362" s="123"/>
      <c r="BO362" s="115"/>
      <c r="BP362" s="115"/>
      <c r="BQ362" s="115"/>
      <c r="BR362" s="115"/>
      <c r="BS362" s="115"/>
      <c r="BT362" s="115"/>
      <c r="BU362" s="115"/>
      <c r="BV362" s="115"/>
      <c r="BW362" s="115"/>
      <c r="BX362" s="115"/>
      <c r="BY362" s="25"/>
      <c r="BZ362" s="13"/>
      <c r="CC362" s="114"/>
    </row>
    <row r="363" spans="1:81" ht="20.100000000000001" customHeight="1" x14ac:dyDescent="0.4">
      <c r="A363" s="117"/>
      <c r="B363" s="123"/>
      <c r="C363" s="123"/>
      <c r="D363" s="123"/>
      <c r="Z363" s="25"/>
      <c r="AA363" s="15"/>
      <c r="AD363" s="115"/>
      <c r="AE363" s="115"/>
      <c r="AF363" s="115"/>
      <c r="AG363" s="115"/>
      <c r="AH363" s="115"/>
      <c r="AI363" s="115"/>
      <c r="AJ363" s="115"/>
      <c r="AK363" s="115"/>
      <c r="AL363" s="115"/>
      <c r="AM363" s="115"/>
      <c r="AN363" s="115"/>
      <c r="AO363" s="115"/>
      <c r="AP363" s="127"/>
      <c r="AQ363" s="29"/>
      <c r="BA363" s="25"/>
      <c r="BB363" s="13"/>
      <c r="BG363" s="116"/>
      <c r="BH363" s="123"/>
      <c r="BI363" s="123"/>
      <c r="BJ363" s="123"/>
      <c r="BO363" s="115"/>
      <c r="BP363" s="115"/>
      <c r="BQ363" s="115"/>
      <c r="BR363" s="115"/>
      <c r="BS363" s="115"/>
      <c r="BT363" s="115"/>
      <c r="BU363" s="115"/>
      <c r="BV363" s="115"/>
      <c r="BW363" s="115"/>
      <c r="BX363" s="115"/>
      <c r="BY363" s="25"/>
      <c r="BZ363" s="13"/>
      <c r="CC363" s="114"/>
    </row>
    <row r="364" spans="1:81" ht="20.100000000000001" customHeight="1" x14ac:dyDescent="0.4">
      <c r="A364" s="117"/>
      <c r="B364" s="123"/>
      <c r="C364" s="123"/>
      <c r="D364" s="123"/>
      <c r="Z364" s="25"/>
      <c r="AA364" s="13"/>
      <c r="AD364" s="115"/>
      <c r="AE364" s="115"/>
      <c r="AF364" s="115"/>
      <c r="AG364" s="115"/>
      <c r="AH364" s="115"/>
      <c r="AI364" s="115"/>
      <c r="AJ364" s="115"/>
      <c r="AK364" s="115"/>
      <c r="AL364" s="115"/>
      <c r="AM364" s="115"/>
      <c r="AN364" s="115"/>
      <c r="AO364" s="115"/>
      <c r="AP364" s="127"/>
      <c r="AQ364" s="29"/>
      <c r="BA364" s="25"/>
      <c r="BB364" s="13"/>
      <c r="BG364" s="116"/>
      <c r="BH364" s="123"/>
      <c r="BI364" s="123"/>
      <c r="BJ364" s="123"/>
      <c r="BO364" s="115"/>
      <c r="BP364" s="115"/>
      <c r="BQ364" s="115"/>
      <c r="BR364" s="115"/>
      <c r="BS364" s="115"/>
      <c r="BT364" s="115"/>
      <c r="BU364" s="115"/>
      <c r="BV364" s="115"/>
      <c r="BW364" s="115"/>
      <c r="BX364" s="115"/>
      <c r="BY364" s="25"/>
      <c r="BZ364" s="13"/>
      <c r="CC364" s="114"/>
    </row>
    <row r="365" spans="1:81" ht="20.100000000000001" customHeight="1" x14ac:dyDescent="0.4">
      <c r="A365" s="117"/>
      <c r="B365" s="123"/>
      <c r="C365" s="123"/>
      <c r="D365" s="123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3"/>
      <c r="AA365" s="13"/>
      <c r="AD365" s="115"/>
      <c r="AE365" s="115"/>
      <c r="AF365" s="115"/>
      <c r="AG365" s="115"/>
      <c r="AH365" s="115"/>
      <c r="AI365" s="115"/>
      <c r="AJ365" s="115"/>
      <c r="AK365" s="115"/>
      <c r="AL365" s="115"/>
      <c r="AM365" s="115"/>
      <c r="AN365" s="115"/>
      <c r="AO365" s="115"/>
      <c r="AP365" s="127"/>
      <c r="AQ365" s="29"/>
      <c r="BA365" s="25"/>
      <c r="BB365" s="13"/>
      <c r="BG365" s="116"/>
      <c r="BH365" s="123"/>
      <c r="BI365" s="123"/>
      <c r="BJ365" s="123"/>
      <c r="BO365" s="115"/>
      <c r="BP365" s="115"/>
      <c r="BQ365" s="115"/>
      <c r="BR365" s="115"/>
      <c r="BS365" s="115"/>
      <c r="BT365" s="115"/>
      <c r="BU365" s="115"/>
      <c r="BV365" s="115"/>
      <c r="BW365" s="115"/>
      <c r="BX365" s="115"/>
      <c r="BY365" s="25"/>
      <c r="BZ365" s="13"/>
      <c r="CC365" s="114"/>
    </row>
    <row r="366" spans="1:81" ht="20.100000000000001" customHeight="1" x14ac:dyDescent="0.4">
      <c r="A366" s="117"/>
      <c r="B366" s="123"/>
      <c r="C366" s="123"/>
      <c r="D366" s="123"/>
      <c r="Z366" s="25"/>
      <c r="AA366" s="13"/>
      <c r="AD366" s="115"/>
      <c r="AE366" s="115"/>
      <c r="AF366" s="115"/>
      <c r="AG366" s="115"/>
      <c r="AH366" s="115"/>
      <c r="AI366" s="115"/>
      <c r="AJ366" s="115"/>
      <c r="AK366" s="115"/>
      <c r="AL366" s="115"/>
      <c r="AM366" s="115"/>
      <c r="AN366" s="115"/>
      <c r="AO366" s="115"/>
      <c r="AP366" s="29"/>
      <c r="AQ366" s="29"/>
      <c r="BA366" s="25"/>
      <c r="BB366" s="13"/>
      <c r="BG366" s="116"/>
      <c r="BH366" s="123"/>
      <c r="BI366" s="123"/>
      <c r="BJ366" s="123"/>
      <c r="BO366" s="115"/>
      <c r="BP366" s="115"/>
      <c r="BQ366" s="115"/>
      <c r="BR366" s="115"/>
      <c r="BS366" s="115"/>
      <c r="BT366" s="115"/>
      <c r="BU366" s="115"/>
      <c r="BV366" s="115"/>
      <c r="BW366" s="115"/>
      <c r="BX366" s="115"/>
      <c r="BY366" s="25"/>
      <c r="BZ366" s="13"/>
      <c r="CC366" s="114"/>
    </row>
    <row r="367" spans="1:81" ht="20.100000000000001" customHeight="1" x14ac:dyDescent="0.4">
      <c r="A367" s="117"/>
      <c r="B367" s="123"/>
      <c r="C367" s="123"/>
      <c r="D367" s="123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25"/>
      <c r="AA367" s="13"/>
      <c r="AD367" s="115"/>
      <c r="AE367" s="115"/>
      <c r="AF367" s="115"/>
      <c r="AG367" s="115"/>
      <c r="AH367" s="115"/>
      <c r="AI367" s="115"/>
      <c r="AJ367" s="115"/>
      <c r="AK367" s="115"/>
      <c r="AL367" s="115"/>
      <c r="AM367" s="115"/>
      <c r="AN367" s="115"/>
      <c r="AO367" s="115"/>
      <c r="AP367" s="29"/>
      <c r="AQ367" s="29"/>
      <c r="BA367" s="25"/>
      <c r="BB367" s="13"/>
      <c r="BG367" s="116"/>
      <c r="BH367" s="123"/>
      <c r="BI367" s="123"/>
      <c r="BJ367" s="123"/>
      <c r="BO367" s="115"/>
      <c r="BP367" s="115"/>
      <c r="BQ367" s="115"/>
      <c r="BR367" s="115"/>
      <c r="BS367" s="115"/>
      <c r="BT367" s="115"/>
      <c r="BU367" s="115"/>
      <c r="BV367" s="115"/>
      <c r="BW367" s="115"/>
      <c r="BX367" s="115"/>
      <c r="BY367" s="25"/>
      <c r="BZ367" s="13"/>
      <c r="CC367" s="114"/>
    </row>
    <row r="368" spans="1:81" ht="20.100000000000001" customHeight="1" x14ac:dyDescent="0.4">
      <c r="A368" s="117"/>
      <c r="B368" s="123"/>
      <c r="C368" s="123"/>
      <c r="D368" s="123"/>
      <c r="Z368" s="25"/>
      <c r="AA368" s="13"/>
      <c r="AD368" s="115"/>
      <c r="AE368" s="115"/>
      <c r="AF368" s="115"/>
      <c r="AG368" s="115"/>
      <c r="AH368" s="115"/>
      <c r="AI368" s="115"/>
      <c r="AJ368" s="115"/>
      <c r="AK368" s="115"/>
      <c r="AL368" s="115"/>
      <c r="AM368" s="115"/>
      <c r="AN368" s="115"/>
      <c r="AO368" s="115"/>
      <c r="AP368" s="127"/>
      <c r="AQ368" s="29"/>
      <c r="BA368" s="25"/>
      <c r="BB368" s="13"/>
      <c r="BG368" s="116"/>
      <c r="BH368" s="123"/>
      <c r="BI368" s="123"/>
      <c r="BJ368" s="123"/>
      <c r="BO368" s="115"/>
      <c r="BP368" s="115"/>
      <c r="BQ368" s="115"/>
      <c r="BR368" s="115"/>
      <c r="BS368" s="115"/>
      <c r="BT368" s="115"/>
      <c r="BU368" s="115"/>
      <c r="BV368" s="115"/>
      <c r="BW368" s="115"/>
      <c r="BX368" s="115"/>
      <c r="BY368" s="25"/>
      <c r="BZ368" s="13"/>
      <c r="CC368" s="114"/>
    </row>
    <row r="369" spans="1:81" ht="20.100000000000001" customHeight="1" x14ac:dyDescent="0.4">
      <c r="A369" s="117"/>
      <c r="B369" s="123"/>
      <c r="C369" s="123"/>
      <c r="D369" s="123"/>
      <c r="Z369" s="25"/>
      <c r="AA369" s="13"/>
      <c r="AD369" s="115"/>
      <c r="AE369" s="115"/>
      <c r="AF369" s="115"/>
      <c r="AG369" s="115"/>
      <c r="AH369" s="115"/>
      <c r="AI369" s="115"/>
      <c r="AJ369" s="115"/>
      <c r="AK369" s="115"/>
      <c r="AL369" s="115"/>
      <c r="AM369" s="115"/>
      <c r="AN369" s="115"/>
      <c r="AO369" s="115"/>
      <c r="AP369" s="127"/>
      <c r="AQ369" s="29"/>
      <c r="BA369" s="25"/>
      <c r="BB369" s="13"/>
      <c r="BG369" s="116"/>
      <c r="BH369" s="123"/>
      <c r="BI369" s="123"/>
      <c r="BJ369" s="123"/>
      <c r="BO369" s="115"/>
      <c r="BP369" s="115"/>
      <c r="BQ369" s="115"/>
      <c r="BR369" s="115"/>
      <c r="BS369" s="115"/>
      <c r="BT369" s="115"/>
      <c r="BU369" s="115"/>
      <c r="BV369" s="115"/>
      <c r="BW369" s="115"/>
      <c r="BX369" s="115"/>
      <c r="BY369" s="25"/>
      <c r="BZ369" s="13"/>
      <c r="CC369" s="114"/>
    </row>
    <row r="370" spans="1:81" ht="20.100000000000001" customHeight="1" x14ac:dyDescent="0.4">
      <c r="A370" s="117"/>
      <c r="B370" s="123"/>
      <c r="C370" s="123"/>
      <c r="D370" s="123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3"/>
      <c r="AA370" s="13"/>
      <c r="AD370" s="115"/>
      <c r="AE370" s="115"/>
      <c r="AF370" s="115"/>
      <c r="AG370" s="115"/>
      <c r="AH370" s="115"/>
      <c r="AI370" s="115"/>
      <c r="AJ370" s="115"/>
      <c r="AK370" s="115"/>
      <c r="AL370" s="115"/>
      <c r="AM370" s="115"/>
      <c r="AN370" s="115"/>
      <c r="AO370" s="115"/>
      <c r="AP370" s="127"/>
      <c r="AQ370" s="29"/>
      <c r="BA370" s="25"/>
      <c r="BB370" s="13"/>
      <c r="BG370" s="116"/>
      <c r="BH370" s="123"/>
      <c r="BI370" s="123"/>
      <c r="BJ370" s="123"/>
      <c r="BO370" s="115"/>
      <c r="BP370" s="115"/>
      <c r="BQ370" s="115"/>
      <c r="BR370" s="115"/>
      <c r="BS370" s="115"/>
      <c r="BT370" s="115"/>
      <c r="BU370" s="115"/>
      <c r="BV370" s="115"/>
      <c r="BW370" s="115"/>
      <c r="BX370" s="115"/>
      <c r="BY370" s="25"/>
      <c r="BZ370" s="13"/>
      <c r="CC370" s="114"/>
    </row>
    <row r="371" spans="1:81" ht="20.100000000000001" customHeight="1" x14ac:dyDescent="0.4">
      <c r="A371" s="117"/>
      <c r="B371" s="123"/>
      <c r="C371" s="123"/>
      <c r="D371" s="123"/>
      <c r="F371" s="117"/>
      <c r="G371" s="135"/>
      <c r="H371" s="135"/>
      <c r="I371" s="135"/>
      <c r="J371" s="135"/>
      <c r="K371" s="135"/>
      <c r="L371" s="136"/>
      <c r="M371" s="136"/>
      <c r="N371" s="136"/>
      <c r="O371" s="136"/>
      <c r="P371" s="136"/>
      <c r="Q371" s="136"/>
      <c r="R371" s="136"/>
      <c r="S371" s="136"/>
      <c r="T371" s="136"/>
      <c r="U371" s="136"/>
      <c r="V371" s="136"/>
      <c r="W371" s="136"/>
      <c r="X371" s="136"/>
      <c r="Y371" s="136"/>
      <c r="Z371" s="25"/>
      <c r="AA371" s="13"/>
      <c r="AC371" s="115"/>
      <c r="AD371" s="115"/>
      <c r="AE371" s="115"/>
      <c r="AF371" s="115"/>
      <c r="AG371" s="115"/>
      <c r="AH371" s="115"/>
      <c r="AI371" s="115"/>
      <c r="AJ371" s="115"/>
      <c r="AK371" s="115"/>
      <c r="AL371" s="115"/>
      <c r="AM371" s="115"/>
      <c r="AN371" s="115"/>
      <c r="AO371" s="115"/>
      <c r="AP371" s="127"/>
      <c r="AQ371" s="29"/>
      <c r="BA371" s="25"/>
      <c r="BB371" s="13"/>
      <c r="BG371" s="116"/>
      <c r="BH371" s="123"/>
      <c r="BI371" s="123"/>
      <c r="BJ371" s="123"/>
      <c r="BO371" s="115"/>
      <c r="BP371" s="115"/>
      <c r="BQ371" s="115"/>
      <c r="BR371" s="115"/>
      <c r="BS371" s="115"/>
      <c r="BT371" s="115"/>
      <c r="BU371" s="115"/>
      <c r="BV371" s="115"/>
      <c r="BW371" s="115"/>
      <c r="BX371" s="115"/>
      <c r="BY371" s="25"/>
      <c r="BZ371" s="13"/>
      <c r="CC371" s="114"/>
    </row>
    <row r="372" spans="1:81" ht="20.100000000000001" customHeight="1" x14ac:dyDescent="0.4">
      <c r="A372" s="117"/>
      <c r="B372" s="123"/>
      <c r="C372" s="123"/>
      <c r="D372" s="123"/>
      <c r="F372" s="117"/>
      <c r="G372" s="135"/>
      <c r="H372" s="135"/>
      <c r="I372" s="135"/>
      <c r="J372" s="135"/>
      <c r="K372" s="135"/>
      <c r="L372" s="136"/>
      <c r="M372" s="136"/>
      <c r="N372" s="136"/>
      <c r="O372" s="136"/>
      <c r="P372" s="136"/>
      <c r="Q372" s="136"/>
      <c r="R372" s="136"/>
      <c r="S372" s="136"/>
      <c r="T372" s="136"/>
      <c r="U372" s="136"/>
      <c r="V372" s="136"/>
      <c r="W372" s="136"/>
      <c r="X372" s="136"/>
      <c r="Y372" s="136"/>
      <c r="Z372" s="25"/>
      <c r="AA372" s="13"/>
      <c r="AC372" s="115"/>
      <c r="AD372" s="115"/>
      <c r="AE372" s="115"/>
      <c r="AF372" s="115"/>
      <c r="AG372" s="115"/>
      <c r="AH372" s="115"/>
      <c r="AI372" s="115"/>
      <c r="AJ372" s="115"/>
      <c r="AK372" s="115"/>
      <c r="AL372" s="115"/>
      <c r="AM372" s="115"/>
      <c r="AN372" s="115"/>
      <c r="AO372" s="115"/>
      <c r="AP372" s="127"/>
      <c r="AQ372" s="29"/>
      <c r="BA372" s="25"/>
      <c r="BB372" s="13"/>
      <c r="BG372" s="116"/>
      <c r="BH372" s="123"/>
      <c r="BI372" s="123"/>
      <c r="BJ372" s="123"/>
      <c r="BO372" s="115"/>
      <c r="BP372" s="115"/>
      <c r="BQ372" s="115"/>
      <c r="BR372" s="115"/>
      <c r="BS372" s="115"/>
      <c r="BT372" s="115"/>
      <c r="BU372" s="115"/>
      <c r="BV372" s="115"/>
      <c r="BW372" s="115"/>
      <c r="BX372" s="115"/>
      <c r="BY372" s="25"/>
      <c r="BZ372" s="13"/>
      <c r="CC372" s="114"/>
    </row>
    <row r="373" spans="1:81" ht="20.100000000000001" customHeight="1" x14ac:dyDescent="0.4">
      <c r="A373" s="117"/>
      <c r="B373" s="123"/>
      <c r="C373" s="123"/>
      <c r="D373" s="123"/>
      <c r="F373" s="117"/>
      <c r="G373" s="135"/>
      <c r="H373" s="135"/>
      <c r="I373" s="135"/>
      <c r="J373" s="135"/>
      <c r="K373" s="135"/>
      <c r="L373" s="136"/>
      <c r="M373" s="136"/>
      <c r="N373" s="136"/>
      <c r="O373" s="136"/>
      <c r="P373" s="136"/>
      <c r="Q373" s="136"/>
      <c r="R373" s="136"/>
      <c r="S373" s="136"/>
      <c r="T373" s="136"/>
      <c r="U373" s="136"/>
      <c r="V373" s="136"/>
      <c r="W373" s="136"/>
      <c r="X373" s="136"/>
      <c r="Y373" s="136"/>
      <c r="Z373" s="20"/>
      <c r="AA373" s="13"/>
      <c r="AC373" s="115"/>
      <c r="AD373" s="115"/>
      <c r="AE373" s="115"/>
      <c r="AF373" s="115"/>
      <c r="AG373" s="115"/>
      <c r="AH373" s="115"/>
      <c r="AI373" s="115"/>
      <c r="AJ373" s="115"/>
      <c r="AK373" s="115"/>
      <c r="AL373" s="115"/>
      <c r="AM373" s="115"/>
      <c r="AN373" s="115"/>
      <c r="AO373" s="115"/>
      <c r="AP373" s="127"/>
      <c r="AQ373" s="29"/>
      <c r="BA373" s="25"/>
      <c r="BB373" s="13"/>
      <c r="BG373" s="116"/>
      <c r="BH373" s="123"/>
      <c r="BI373" s="123"/>
      <c r="BJ373" s="123"/>
      <c r="BO373" s="115"/>
      <c r="BP373" s="115"/>
      <c r="BQ373" s="115"/>
      <c r="BR373" s="115"/>
      <c r="BS373" s="115"/>
      <c r="BT373" s="115"/>
      <c r="BU373" s="115"/>
      <c r="BV373" s="115"/>
      <c r="BW373" s="115"/>
      <c r="BX373" s="115"/>
      <c r="BY373" s="25"/>
      <c r="BZ373" s="13"/>
      <c r="CC373" s="114"/>
    </row>
    <row r="374" spans="1:81" ht="20.100000000000001" customHeight="1" x14ac:dyDescent="0.4">
      <c r="A374" s="117"/>
      <c r="B374" s="123"/>
      <c r="C374" s="123"/>
      <c r="D374" s="123"/>
      <c r="F374" s="117"/>
      <c r="G374" s="135"/>
      <c r="H374" s="135"/>
      <c r="I374" s="135"/>
      <c r="J374" s="135"/>
      <c r="K374" s="135"/>
      <c r="L374" s="13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  <c r="Z374" s="26"/>
      <c r="AA374" s="15"/>
      <c r="AC374" s="115"/>
      <c r="AD374" s="115"/>
      <c r="AE374" s="115"/>
      <c r="AF374" s="115"/>
      <c r="AG374" s="115"/>
      <c r="AH374" s="115"/>
      <c r="AI374" s="115"/>
      <c r="AJ374" s="115"/>
      <c r="AK374" s="115"/>
      <c r="AL374" s="115"/>
      <c r="AM374" s="115"/>
      <c r="AN374" s="115"/>
      <c r="AO374" s="115"/>
      <c r="AP374" s="29"/>
      <c r="AQ374" s="29"/>
      <c r="BA374" s="25"/>
      <c r="BB374" s="13"/>
      <c r="BG374" s="116"/>
      <c r="BH374" s="123"/>
      <c r="BI374" s="123"/>
      <c r="BJ374" s="123"/>
      <c r="BO374" s="115"/>
      <c r="BP374" s="115"/>
      <c r="BQ374" s="115"/>
      <c r="BR374" s="115"/>
      <c r="BS374" s="115"/>
      <c r="BT374" s="115"/>
      <c r="BU374" s="115"/>
      <c r="BV374" s="115"/>
      <c r="BW374" s="115"/>
      <c r="BX374" s="115"/>
      <c r="BY374" s="25"/>
      <c r="BZ374" s="13"/>
      <c r="CC374" s="114"/>
    </row>
    <row r="375" spans="1:81" ht="20.100000000000001" customHeight="1" x14ac:dyDescent="0.4">
      <c r="A375" s="117"/>
      <c r="B375" s="123"/>
      <c r="C375" s="123"/>
      <c r="D375" s="123"/>
      <c r="F375" s="117"/>
      <c r="G375" s="135"/>
      <c r="H375" s="135"/>
      <c r="I375" s="135"/>
      <c r="J375" s="135"/>
      <c r="K375" s="135"/>
      <c r="L375" s="136"/>
      <c r="M375" s="136"/>
      <c r="N375" s="136"/>
      <c r="O375" s="136"/>
      <c r="P375" s="136"/>
      <c r="Q375" s="136"/>
      <c r="R375" s="136"/>
      <c r="S375" s="136"/>
      <c r="T375" s="136"/>
      <c r="U375" s="136"/>
      <c r="V375" s="136"/>
      <c r="W375" s="136"/>
      <c r="X375" s="136"/>
      <c r="Y375" s="136"/>
      <c r="Z375" s="26"/>
      <c r="AA375" s="15"/>
      <c r="AC375" s="115"/>
      <c r="AD375" s="115"/>
      <c r="AE375" s="115"/>
      <c r="AF375" s="115"/>
      <c r="AG375" s="115"/>
      <c r="AH375" s="115"/>
      <c r="AI375" s="115"/>
      <c r="AJ375" s="115"/>
      <c r="AK375" s="115"/>
      <c r="AL375" s="115"/>
      <c r="AM375" s="115"/>
      <c r="AN375" s="115"/>
      <c r="AO375" s="115"/>
      <c r="AP375" s="127"/>
      <c r="AQ375" s="29"/>
      <c r="BA375" s="25"/>
      <c r="BB375" s="13"/>
      <c r="BG375" s="116"/>
      <c r="BH375" s="123"/>
      <c r="BI375" s="123"/>
      <c r="BJ375" s="123"/>
      <c r="BO375" s="115"/>
      <c r="BP375" s="115"/>
      <c r="BQ375" s="115"/>
      <c r="BR375" s="115"/>
      <c r="BS375" s="115"/>
      <c r="BT375" s="115"/>
      <c r="BU375" s="115"/>
      <c r="BV375" s="115"/>
      <c r="BW375" s="115"/>
      <c r="BX375" s="115"/>
      <c r="BY375" s="25"/>
      <c r="BZ375" s="13"/>
      <c r="CC375" s="114"/>
    </row>
    <row r="376" spans="1:81" ht="20.100000000000001" customHeight="1" x14ac:dyDescent="0.4">
      <c r="A376" s="117"/>
      <c r="B376" s="123"/>
      <c r="C376" s="123"/>
      <c r="D376" s="123"/>
      <c r="F376" s="117"/>
      <c r="G376" s="135"/>
      <c r="H376" s="135"/>
      <c r="I376" s="135"/>
      <c r="J376" s="135"/>
      <c r="K376" s="135"/>
      <c r="L376" s="136"/>
      <c r="M376" s="136"/>
      <c r="N376" s="140"/>
      <c r="O376" s="140"/>
      <c r="P376" s="140"/>
      <c r="Q376" s="140"/>
      <c r="R376" s="140"/>
      <c r="S376" s="140"/>
      <c r="T376" s="140"/>
      <c r="U376" s="140"/>
      <c r="V376" s="140"/>
      <c r="W376" s="140"/>
      <c r="X376" s="140"/>
      <c r="Y376" s="140"/>
      <c r="Z376" s="30"/>
      <c r="AA376" s="15"/>
      <c r="AC376" s="115"/>
      <c r="AD376" s="115"/>
      <c r="AE376" s="115"/>
      <c r="AF376" s="115"/>
      <c r="AG376" s="115"/>
      <c r="AH376" s="115"/>
      <c r="AI376" s="115"/>
      <c r="AJ376" s="115"/>
      <c r="AK376" s="115"/>
      <c r="AL376" s="115"/>
      <c r="AM376" s="115"/>
      <c r="AN376" s="115"/>
      <c r="AO376" s="115"/>
      <c r="AP376" s="127"/>
      <c r="AQ376" s="29"/>
      <c r="BA376" s="25"/>
      <c r="BB376" s="13"/>
      <c r="BG376" s="116"/>
      <c r="BH376" s="123"/>
      <c r="BI376" s="123"/>
      <c r="BJ376" s="123"/>
      <c r="BO376" s="115"/>
      <c r="BP376" s="115"/>
      <c r="BQ376" s="115"/>
      <c r="BR376" s="115"/>
      <c r="BS376" s="115"/>
      <c r="BT376" s="115"/>
      <c r="BU376" s="115"/>
      <c r="BV376" s="115"/>
      <c r="BW376" s="115"/>
      <c r="BX376" s="115"/>
      <c r="BY376" s="25"/>
      <c r="BZ376" s="13"/>
      <c r="CC376" s="114"/>
    </row>
    <row r="377" spans="1:81" ht="20.100000000000001" customHeight="1" x14ac:dyDescent="0.4">
      <c r="A377" s="117"/>
      <c r="B377" s="123"/>
      <c r="C377" s="123"/>
      <c r="D377" s="123"/>
      <c r="F377" s="117"/>
      <c r="G377" s="135"/>
      <c r="H377" s="135"/>
      <c r="I377" s="135"/>
      <c r="J377" s="135"/>
      <c r="K377" s="135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25"/>
      <c r="AA377" s="13"/>
      <c r="AC377" s="115"/>
      <c r="AD377" s="115"/>
      <c r="AE377" s="115"/>
      <c r="AF377" s="115"/>
      <c r="AG377" s="115"/>
      <c r="AH377" s="115"/>
      <c r="AI377" s="115"/>
      <c r="AJ377" s="115"/>
      <c r="AK377" s="115"/>
      <c r="AL377" s="115"/>
      <c r="AM377" s="115"/>
      <c r="AN377" s="115"/>
      <c r="AO377" s="115"/>
      <c r="AP377" s="127"/>
      <c r="AQ377" s="29"/>
      <c r="BA377" s="25"/>
      <c r="BB377" s="13"/>
      <c r="BG377" s="116"/>
      <c r="BH377" s="123"/>
      <c r="BI377" s="123"/>
      <c r="BJ377" s="123"/>
      <c r="BO377" s="115"/>
      <c r="BP377" s="115"/>
      <c r="BQ377" s="115"/>
      <c r="BR377" s="115"/>
      <c r="BS377" s="115"/>
      <c r="BT377" s="115"/>
      <c r="BU377" s="115"/>
      <c r="BV377" s="115"/>
      <c r="BW377" s="115"/>
      <c r="BX377" s="115"/>
      <c r="BY377" s="25"/>
      <c r="BZ377" s="13"/>
      <c r="CC377" s="114"/>
    </row>
    <row r="378" spans="1:81" ht="20.100000000000001" customHeight="1" x14ac:dyDescent="0.4">
      <c r="A378" s="117"/>
      <c r="B378" s="123"/>
      <c r="C378" s="123"/>
      <c r="D378" s="123"/>
      <c r="F378" s="117"/>
      <c r="G378" s="135"/>
      <c r="H378" s="135"/>
      <c r="I378" s="135"/>
      <c r="J378" s="135"/>
      <c r="K378" s="135"/>
      <c r="L378" s="136"/>
      <c r="M378" s="136"/>
      <c r="N378" s="136"/>
      <c r="O378" s="136"/>
      <c r="P378" s="136"/>
      <c r="Q378" s="136"/>
      <c r="R378" s="136"/>
      <c r="S378" s="136"/>
      <c r="T378" s="136"/>
      <c r="U378" s="136"/>
      <c r="V378" s="136"/>
      <c r="W378" s="136"/>
      <c r="X378" s="136"/>
      <c r="Y378" s="136"/>
      <c r="Z378" s="25"/>
      <c r="AA378" s="13"/>
      <c r="AC378" s="115"/>
      <c r="AD378" s="115"/>
      <c r="AE378" s="115"/>
      <c r="AF378" s="115"/>
      <c r="AG378" s="115"/>
      <c r="AH378" s="115"/>
      <c r="AI378" s="115"/>
      <c r="AJ378" s="115"/>
      <c r="AK378" s="115"/>
      <c r="AL378" s="115"/>
      <c r="AM378" s="115"/>
      <c r="AN378" s="115"/>
      <c r="AO378" s="115"/>
      <c r="AP378" s="29"/>
      <c r="AQ378" s="29"/>
      <c r="BA378" s="25"/>
      <c r="BB378" s="13"/>
      <c r="BG378" s="116"/>
      <c r="BH378" s="123"/>
      <c r="BI378" s="123"/>
      <c r="BJ378" s="123"/>
      <c r="BO378" s="115"/>
      <c r="BP378" s="115"/>
      <c r="BQ378" s="115"/>
      <c r="BR378" s="115"/>
      <c r="BS378" s="115"/>
      <c r="BT378" s="115"/>
      <c r="BU378" s="115"/>
      <c r="BV378" s="115"/>
      <c r="BW378" s="115"/>
      <c r="BX378" s="115"/>
      <c r="BY378" s="25"/>
      <c r="BZ378" s="13"/>
      <c r="CC378" s="114"/>
    </row>
    <row r="379" spans="1:81" ht="20.100000000000001" customHeight="1" x14ac:dyDescent="0.4">
      <c r="A379" s="117"/>
      <c r="B379" s="123"/>
      <c r="C379" s="123"/>
      <c r="D379" s="123"/>
      <c r="F379" s="117"/>
      <c r="G379" s="135"/>
      <c r="H379" s="135"/>
      <c r="I379" s="135"/>
      <c r="J379" s="135"/>
      <c r="K379" s="135"/>
      <c r="L379" s="136"/>
      <c r="M379" s="136"/>
      <c r="N379" s="136"/>
      <c r="O379" s="136"/>
      <c r="P379" s="136"/>
      <c r="Q379" s="136"/>
      <c r="R379" s="136"/>
      <c r="S379" s="136"/>
      <c r="T379" s="136"/>
      <c r="U379" s="136"/>
      <c r="V379" s="136"/>
      <c r="W379" s="136"/>
      <c r="X379" s="136"/>
      <c r="Y379" s="136"/>
      <c r="Z379" s="25"/>
      <c r="AA379" s="13"/>
      <c r="AC379" s="115"/>
      <c r="AD379" s="115"/>
      <c r="AE379" s="115"/>
      <c r="AF379" s="115"/>
      <c r="AG379" s="115"/>
      <c r="AH379" s="115"/>
      <c r="AI379" s="115"/>
      <c r="AJ379" s="115"/>
      <c r="AK379" s="115"/>
      <c r="AL379" s="115"/>
      <c r="AM379" s="115"/>
      <c r="AN379" s="115"/>
      <c r="AO379" s="115"/>
      <c r="AP379" s="29"/>
      <c r="AQ379" s="29"/>
      <c r="BA379" s="25"/>
      <c r="BB379" s="13"/>
      <c r="BG379" s="116"/>
      <c r="BH379" s="123"/>
      <c r="BI379" s="123"/>
      <c r="BJ379" s="123"/>
      <c r="BO379" s="115"/>
      <c r="BP379" s="115"/>
      <c r="BQ379" s="115"/>
      <c r="BR379" s="115"/>
      <c r="BS379" s="115"/>
      <c r="BT379" s="115"/>
      <c r="BU379" s="115"/>
      <c r="BV379" s="115"/>
      <c r="BW379" s="115"/>
      <c r="BX379" s="115"/>
      <c r="BY379" s="25"/>
      <c r="BZ379" s="13"/>
      <c r="CC379" s="114"/>
    </row>
    <row r="380" spans="1:81" ht="20.100000000000001" customHeight="1" x14ac:dyDescent="0.4">
      <c r="A380" s="117"/>
      <c r="B380" s="123"/>
      <c r="C380" s="123"/>
      <c r="D380" s="123"/>
      <c r="F380" s="117"/>
      <c r="G380" s="135"/>
      <c r="H380" s="135"/>
      <c r="I380" s="135"/>
      <c r="J380" s="135"/>
      <c r="K380" s="135"/>
      <c r="L380" s="136"/>
      <c r="M380" s="136"/>
      <c r="N380" s="136"/>
      <c r="O380" s="136"/>
      <c r="P380" s="136"/>
      <c r="Q380" s="136"/>
      <c r="R380" s="136"/>
      <c r="S380" s="136"/>
      <c r="T380" s="136"/>
      <c r="U380" s="136"/>
      <c r="V380" s="136"/>
      <c r="W380" s="136"/>
      <c r="X380" s="136"/>
      <c r="Y380" s="136"/>
      <c r="Z380" s="25"/>
      <c r="AA380" s="13"/>
      <c r="AC380" s="115"/>
      <c r="AD380" s="115"/>
      <c r="AE380" s="115"/>
      <c r="AF380" s="115"/>
      <c r="AG380" s="115"/>
      <c r="AH380" s="115"/>
      <c r="AI380" s="115"/>
      <c r="AJ380" s="115"/>
      <c r="AK380" s="115"/>
      <c r="AL380" s="115"/>
      <c r="AM380" s="115"/>
      <c r="AN380" s="115"/>
      <c r="AO380" s="115"/>
      <c r="AP380" s="29"/>
      <c r="AQ380" s="29"/>
      <c r="BA380" s="25"/>
      <c r="BB380" s="13"/>
      <c r="BG380" s="116"/>
      <c r="BH380" s="123"/>
      <c r="BI380" s="123"/>
      <c r="BJ380" s="123"/>
      <c r="BO380" s="115"/>
      <c r="BP380" s="115"/>
      <c r="BQ380" s="115"/>
      <c r="BR380" s="115"/>
      <c r="BS380" s="115"/>
      <c r="BT380" s="115"/>
      <c r="BU380" s="115"/>
      <c r="BV380" s="115"/>
      <c r="BW380" s="115"/>
      <c r="BX380" s="115"/>
      <c r="BY380" s="25"/>
      <c r="BZ380" s="13"/>
      <c r="CC380" s="114"/>
    </row>
    <row r="381" spans="1:81" ht="20.100000000000001" customHeight="1" x14ac:dyDescent="0.4">
      <c r="A381" s="117"/>
      <c r="B381" s="123"/>
      <c r="C381" s="123"/>
      <c r="D381" s="123"/>
      <c r="F381" s="117"/>
      <c r="G381" s="135"/>
      <c r="H381" s="135"/>
      <c r="I381" s="135"/>
      <c r="J381" s="135"/>
      <c r="K381" s="135"/>
      <c r="L381" s="136"/>
      <c r="M381" s="136"/>
      <c r="N381" s="136"/>
      <c r="O381" s="136"/>
      <c r="P381" s="136"/>
      <c r="Q381" s="136"/>
      <c r="R381" s="136"/>
      <c r="S381" s="136"/>
      <c r="T381" s="136"/>
      <c r="U381" s="136"/>
      <c r="V381" s="136"/>
      <c r="W381" s="136"/>
      <c r="X381" s="136"/>
      <c r="Y381" s="136"/>
      <c r="Z381" s="25"/>
      <c r="AA381" s="13"/>
      <c r="AC381" s="115"/>
      <c r="AD381" s="115"/>
      <c r="AE381" s="115"/>
      <c r="AF381" s="115"/>
      <c r="AG381" s="115"/>
      <c r="AH381" s="115"/>
      <c r="AI381" s="115"/>
      <c r="AJ381" s="115"/>
      <c r="AK381" s="115"/>
      <c r="AL381" s="115"/>
      <c r="AM381" s="115"/>
      <c r="AN381" s="115"/>
      <c r="AO381" s="115"/>
      <c r="AP381" s="127"/>
      <c r="AQ381" s="29"/>
      <c r="BA381" s="25"/>
      <c r="BB381" s="13"/>
      <c r="BG381" s="116"/>
      <c r="BH381" s="123"/>
      <c r="BI381" s="123"/>
      <c r="BJ381" s="123"/>
      <c r="BO381" s="115"/>
      <c r="BP381" s="115"/>
      <c r="BQ381" s="115"/>
      <c r="BR381" s="115"/>
      <c r="BS381" s="115"/>
      <c r="BT381" s="115"/>
      <c r="BU381" s="115"/>
      <c r="BV381" s="115"/>
      <c r="BW381" s="115"/>
      <c r="BX381" s="115"/>
      <c r="BY381" s="25"/>
      <c r="BZ381" s="13"/>
      <c r="CC381" s="114"/>
    </row>
    <row r="382" spans="1:81" ht="20.100000000000001" customHeight="1" x14ac:dyDescent="0.4">
      <c r="A382" s="117"/>
      <c r="B382" s="123"/>
      <c r="C382" s="123"/>
      <c r="D382" s="123"/>
      <c r="F382" s="117"/>
      <c r="G382" s="135"/>
      <c r="H382" s="136"/>
      <c r="I382" s="136"/>
      <c r="J382" s="136"/>
      <c r="K382" s="136"/>
      <c r="L382" s="136"/>
      <c r="M382" s="136"/>
      <c r="N382" s="136"/>
      <c r="O382" s="136"/>
      <c r="P382" s="136"/>
      <c r="Q382" s="136"/>
      <c r="R382" s="136"/>
      <c r="S382" s="136"/>
      <c r="T382" s="136"/>
      <c r="U382" s="136"/>
      <c r="V382" s="136"/>
      <c r="W382" s="136"/>
      <c r="X382" s="136"/>
      <c r="Y382" s="136"/>
      <c r="Z382" s="25"/>
      <c r="AA382" s="13"/>
      <c r="AC382" s="115"/>
      <c r="AD382" s="115"/>
      <c r="AE382" s="115"/>
      <c r="AF382" s="115"/>
      <c r="AG382" s="115"/>
      <c r="AH382" s="115"/>
      <c r="AI382" s="115"/>
      <c r="AJ382" s="115"/>
      <c r="AK382" s="115"/>
      <c r="AL382" s="115"/>
      <c r="AM382" s="115"/>
      <c r="AN382" s="115"/>
      <c r="AO382" s="115"/>
      <c r="AP382" s="127"/>
      <c r="AQ382" s="29"/>
      <c r="BA382" s="25"/>
      <c r="BB382" s="13"/>
      <c r="BG382" s="116"/>
      <c r="BH382" s="123"/>
      <c r="BI382" s="123"/>
      <c r="BJ382" s="123"/>
      <c r="BO382" s="115"/>
      <c r="BP382" s="115"/>
      <c r="BQ382" s="115"/>
      <c r="BR382" s="115"/>
      <c r="BS382" s="115"/>
      <c r="BT382" s="115"/>
      <c r="BU382" s="115"/>
      <c r="BV382" s="115"/>
      <c r="BW382" s="115"/>
      <c r="BX382" s="115"/>
      <c r="BY382" s="25"/>
      <c r="BZ382" s="13"/>
      <c r="CC382" s="114"/>
    </row>
    <row r="383" spans="1:81" ht="20.100000000000001" customHeight="1" x14ac:dyDescent="0.4">
      <c r="A383" s="117"/>
      <c r="B383" s="123"/>
      <c r="C383" s="123"/>
      <c r="D383" s="123"/>
      <c r="F383" s="117"/>
      <c r="G383" s="135"/>
      <c r="H383" s="136"/>
      <c r="I383" s="136"/>
      <c r="J383" s="136"/>
      <c r="K383" s="136"/>
      <c r="L383" s="136"/>
      <c r="M383" s="136"/>
      <c r="N383" s="136"/>
      <c r="O383" s="136"/>
      <c r="P383" s="136"/>
      <c r="Q383" s="136"/>
      <c r="R383" s="136"/>
      <c r="S383" s="136"/>
      <c r="T383" s="136"/>
      <c r="U383" s="136"/>
      <c r="V383" s="136"/>
      <c r="W383" s="136"/>
      <c r="X383" s="136"/>
      <c r="Y383" s="136"/>
      <c r="Z383" s="25"/>
      <c r="AA383" s="13"/>
      <c r="AC383" s="115"/>
      <c r="AD383" s="115"/>
      <c r="AE383" s="115"/>
      <c r="AF383" s="115"/>
      <c r="AG383" s="115"/>
      <c r="AH383" s="115"/>
      <c r="AI383" s="115"/>
      <c r="AJ383" s="115"/>
      <c r="AK383" s="115"/>
      <c r="AL383" s="115"/>
      <c r="AM383" s="115"/>
      <c r="AN383" s="115"/>
      <c r="AO383" s="115"/>
      <c r="AP383" s="127"/>
      <c r="AQ383" s="29"/>
      <c r="BA383" s="25"/>
      <c r="BB383" s="13"/>
      <c r="BG383" s="116"/>
      <c r="BH383" s="123"/>
      <c r="BI383" s="123"/>
      <c r="BJ383" s="123"/>
      <c r="BO383" s="115"/>
      <c r="BP383" s="115"/>
      <c r="BQ383" s="115"/>
      <c r="BR383" s="115"/>
      <c r="BS383" s="115"/>
      <c r="BT383" s="115"/>
      <c r="BU383" s="115"/>
      <c r="BV383" s="115"/>
      <c r="BW383" s="115"/>
      <c r="BX383" s="115"/>
      <c r="BY383" s="25"/>
      <c r="BZ383" s="13"/>
      <c r="CC383" s="114"/>
    </row>
    <row r="384" spans="1:81" ht="20.100000000000001" customHeight="1" x14ac:dyDescent="0.4">
      <c r="A384" s="117"/>
      <c r="B384" s="123"/>
      <c r="C384" s="123"/>
      <c r="D384" s="123"/>
      <c r="F384" s="117"/>
      <c r="G384" s="135"/>
      <c r="H384" s="136"/>
      <c r="I384" s="136"/>
      <c r="J384" s="136"/>
      <c r="K384" s="136"/>
      <c r="L384" s="136"/>
      <c r="M384" s="136"/>
      <c r="N384" s="136"/>
      <c r="O384" s="136"/>
      <c r="P384" s="136"/>
      <c r="Q384" s="136"/>
      <c r="R384" s="136"/>
      <c r="S384" s="136"/>
      <c r="T384" s="136"/>
      <c r="U384" s="136"/>
      <c r="V384" s="136"/>
      <c r="W384" s="136"/>
      <c r="X384" s="136"/>
      <c r="Y384" s="136"/>
      <c r="Z384" s="13"/>
      <c r="AA384" s="13"/>
      <c r="AC384" s="115"/>
      <c r="AD384" s="115"/>
      <c r="AE384" s="115"/>
      <c r="AF384" s="115"/>
      <c r="AG384" s="115"/>
      <c r="AH384" s="115"/>
      <c r="AI384" s="115"/>
      <c r="AJ384" s="115"/>
      <c r="AK384" s="115"/>
      <c r="AL384" s="115"/>
      <c r="AM384" s="115"/>
      <c r="AN384" s="115"/>
      <c r="AO384" s="115"/>
      <c r="AP384" s="127"/>
      <c r="AQ384" s="29"/>
      <c r="BA384" s="25"/>
      <c r="BB384" s="13"/>
      <c r="BG384" s="116"/>
      <c r="BH384" s="123"/>
      <c r="BI384" s="123"/>
      <c r="BJ384" s="123"/>
      <c r="BO384" s="115"/>
      <c r="BP384" s="115"/>
      <c r="BQ384" s="115"/>
      <c r="BR384" s="115"/>
      <c r="BS384" s="115"/>
      <c r="BT384" s="115"/>
      <c r="BU384" s="115"/>
      <c r="BV384" s="115"/>
      <c r="BW384" s="115"/>
      <c r="BX384" s="115"/>
      <c r="BY384" s="25"/>
      <c r="BZ384" s="13"/>
      <c r="CC384" s="114"/>
    </row>
    <row r="385" spans="1:81" ht="20.100000000000001" customHeight="1" x14ac:dyDescent="0.4">
      <c r="A385" s="117"/>
      <c r="B385" s="123"/>
      <c r="C385" s="123"/>
      <c r="D385" s="123"/>
      <c r="F385" s="117"/>
      <c r="G385" s="135"/>
      <c r="H385" s="136"/>
      <c r="I385" s="136"/>
      <c r="J385" s="136"/>
      <c r="K385" s="136"/>
      <c r="L385" s="136"/>
      <c r="M385" s="136"/>
      <c r="N385" s="136"/>
      <c r="O385" s="136"/>
      <c r="P385" s="136"/>
      <c r="Q385" s="136"/>
      <c r="R385" s="136"/>
      <c r="S385" s="136"/>
      <c r="T385" s="136"/>
      <c r="U385" s="136"/>
      <c r="V385" s="136"/>
      <c r="W385" s="136"/>
      <c r="X385" s="136"/>
      <c r="Y385" s="136"/>
      <c r="Z385" s="25"/>
      <c r="AA385" s="13"/>
      <c r="AC385" s="115"/>
      <c r="AD385" s="115"/>
      <c r="AE385" s="115"/>
      <c r="AF385" s="115"/>
      <c r="AG385" s="115"/>
      <c r="AH385" s="115"/>
      <c r="AI385" s="115"/>
      <c r="AJ385" s="115"/>
      <c r="AK385" s="115"/>
      <c r="AL385" s="115"/>
      <c r="AM385" s="115"/>
      <c r="AN385" s="115"/>
      <c r="AO385" s="115"/>
      <c r="AP385" s="127"/>
      <c r="AQ385" s="29"/>
      <c r="BA385" s="25"/>
      <c r="BB385" s="13"/>
      <c r="BG385" s="116"/>
      <c r="BH385" s="123"/>
      <c r="BI385" s="123"/>
      <c r="BJ385" s="123"/>
      <c r="BO385" s="115"/>
      <c r="BP385" s="115"/>
      <c r="BQ385" s="115"/>
      <c r="BR385" s="115"/>
      <c r="BS385" s="115"/>
      <c r="BT385" s="115"/>
      <c r="BU385" s="115"/>
      <c r="BV385" s="115"/>
      <c r="BW385" s="115"/>
      <c r="BX385" s="115"/>
      <c r="BY385" s="25"/>
      <c r="BZ385" s="13"/>
      <c r="CC385" s="114"/>
    </row>
    <row r="386" spans="1:81" ht="20.100000000000001" customHeight="1" x14ac:dyDescent="0.4">
      <c r="A386" s="117"/>
      <c r="B386" s="123"/>
      <c r="C386" s="123"/>
      <c r="D386" s="123"/>
      <c r="F386" s="117"/>
      <c r="G386" s="135"/>
      <c r="H386" s="136"/>
      <c r="I386" s="136"/>
      <c r="J386" s="136"/>
      <c r="K386" s="136"/>
      <c r="L386" s="136"/>
      <c r="M386" s="136"/>
      <c r="N386" s="136"/>
      <c r="O386" s="136"/>
      <c r="P386" s="136"/>
      <c r="Q386" s="136"/>
      <c r="R386" s="136"/>
      <c r="S386" s="136"/>
      <c r="T386" s="136"/>
      <c r="U386" s="136"/>
      <c r="V386" s="136"/>
      <c r="W386" s="136"/>
      <c r="X386" s="136"/>
      <c r="Y386" s="136"/>
      <c r="Z386" s="25"/>
      <c r="AA386" s="13"/>
      <c r="AC386" s="115"/>
      <c r="AD386" s="115"/>
      <c r="AE386" s="115"/>
      <c r="AF386" s="115"/>
      <c r="AG386" s="115"/>
      <c r="AH386" s="115"/>
      <c r="AI386" s="115"/>
      <c r="AJ386" s="115"/>
      <c r="AK386" s="115"/>
      <c r="AL386" s="115"/>
      <c r="AM386" s="115"/>
      <c r="AN386" s="115"/>
      <c r="AO386" s="115"/>
      <c r="AP386" s="127"/>
      <c r="AQ386" s="29"/>
      <c r="BA386" s="25"/>
      <c r="BB386" s="13"/>
      <c r="BG386" s="116"/>
      <c r="BH386" s="123"/>
      <c r="BI386" s="123"/>
      <c r="BJ386" s="123"/>
      <c r="BO386" s="115"/>
      <c r="BP386" s="115"/>
      <c r="BQ386" s="115"/>
      <c r="BR386" s="115"/>
      <c r="BS386" s="115"/>
      <c r="BT386" s="115"/>
      <c r="BU386" s="115"/>
      <c r="BV386" s="115"/>
      <c r="BW386" s="115"/>
      <c r="BX386" s="115"/>
      <c r="BY386" s="25"/>
      <c r="BZ386" s="13"/>
      <c r="CC386" s="114"/>
    </row>
    <row r="387" spans="1:81" ht="20.100000000000001" customHeight="1" x14ac:dyDescent="0.4">
      <c r="A387" s="117"/>
      <c r="B387" s="123"/>
      <c r="C387" s="123"/>
      <c r="D387" s="123"/>
      <c r="F387" s="117"/>
      <c r="G387" s="135"/>
      <c r="H387" s="136"/>
      <c r="I387" s="136"/>
      <c r="J387" s="136"/>
      <c r="K387" s="136"/>
      <c r="L387" s="136"/>
      <c r="M387" s="136"/>
      <c r="N387" s="136"/>
      <c r="O387" s="136"/>
      <c r="P387" s="136"/>
      <c r="Q387" s="136"/>
      <c r="R387" s="136"/>
      <c r="S387" s="136"/>
      <c r="T387" s="136"/>
      <c r="U387" s="136"/>
      <c r="V387" s="136"/>
      <c r="W387" s="136"/>
      <c r="X387" s="136"/>
      <c r="Y387" s="136"/>
      <c r="Z387" s="25"/>
      <c r="AA387" s="13"/>
      <c r="AC387" s="115"/>
      <c r="AD387" s="115"/>
      <c r="AE387" s="115"/>
      <c r="AF387" s="115"/>
      <c r="AG387" s="115"/>
      <c r="AH387" s="115"/>
      <c r="AI387" s="115"/>
      <c r="AJ387" s="115"/>
      <c r="AK387" s="115"/>
      <c r="AL387" s="115"/>
      <c r="AM387" s="115"/>
      <c r="AN387" s="115"/>
      <c r="AO387" s="115"/>
      <c r="AP387" s="127"/>
      <c r="AQ387" s="29"/>
      <c r="BA387" s="25"/>
      <c r="BB387" s="13"/>
      <c r="BG387" s="116"/>
      <c r="BH387" s="123"/>
      <c r="BI387" s="123"/>
      <c r="BJ387" s="123"/>
      <c r="BO387" s="115"/>
      <c r="BP387" s="115"/>
      <c r="BQ387" s="115"/>
      <c r="BR387" s="115"/>
      <c r="BS387" s="115"/>
      <c r="BT387" s="115"/>
      <c r="BU387" s="115"/>
      <c r="BV387" s="115"/>
      <c r="BW387" s="115"/>
      <c r="BX387" s="115"/>
      <c r="BY387" s="25"/>
      <c r="BZ387" s="13"/>
      <c r="CC387" s="114"/>
    </row>
    <row r="388" spans="1:81" ht="20.100000000000001" customHeight="1" x14ac:dyDescent="0.4">
      <c r="A388" s="117"/>
      <c r="B388" s="123"/>
      <c r="C388" s="123"/>
      <c r="D388" s="123"/>
      <c r="F388" s="117"/>
      <c r="G388" s="135"/>
      <c r="H388" s="136"/>
      <c r="I388" s="136"/>
      <c r="J388" s="136"/>
      <c r="K388" s="136"/>
      <c r="L388" s="136"/>
      <c r="M388" s="136"/>
      <c r="N388" s="136"/>
      <c r="O388" s="136"/>
      <c r="P388" s="136"/>
      <c r="Q388" s="136"/>
      <c r="R388" s="136"/>
      <c r="S388" s="136"/>
      <c r="T388" s="136"/>
      <c r="U388" s="136"/>
      <c r="V388" s="136"/>
      <c r="W388" s="136"/>
      <c r="X388" s="136"/>
      <c r="Y388" s="136"/>
      <c r="Z388" s="25"/>
      <c r="AA388" s="13"/>
      <c r="AC388" s="115"/>
      <c r="AD388" s="115"/>
      <c r="AE388" s="115"/>
      <c r="AF388" s="115"/>
      <c r="AG388" s="115"/>
      <c r="AH388" s="115"/>
      <c r="AI388" s="115"/>
      <c r="AJ388" s="115"/>
      <c r="AK388" s="115"/>
      <c r="AL388" s="115"/>
      <c r="AM388" s="115"/>
      <c r="AN388" s="115"/>
      <c r="AO388" s="115"/>
      <c r="AP388" s="127"/>
      <c r="AQ388" s="29"/>
      <c r="BA388" s="25"/>
      <c r="BB388" s="13"/>
      <c r="BG388" s="116"/>
      <c r="BH388" s="123"/>
      <c r="BI388" s="123"/>
      <c r="BJ388" s="123"/>
      <c r="BO388" s="115"/>
      <c r="BP388" s="115"/>
      <c r="BQ388" s="115"/>
      <c r="BR388" s="115"/>
      <c r="BS388" s="115"/>
      <c r="BT388" s="115"/>
      <c r="BU388" s="115"/>
      <c r="BV388" s="115"/>
      <c r="BW388" s="115"/>
      <c r="BX388" s="115"/>
      <c r="BY388" s="25"/>
      <c r="BZ388" s="13"/>
      <c r="CC388" s="114"/>
    </row>
    <row r="389" spans="1:81" ht="20.100000000000001" customHeight="1" x14ac:dyDescent="0.4">
      <c r="A389" s="117"/>
      <c r="B389" s="123"/>
      <c r="C389" s="123"/>
      <c r="D389" s="123"/>
      <c r="F389" s="117"/>
      <c r="G389" s="135"/>
      <c r="H389" s="136"/>
      <c r="I389" s="136"/>
      <c r="J389" s="136"/>
      <c r="K389" s="136"/>
      <c r="L389" s="136"/>
      <c r="M389" s="136"/>
      <c r="N389" s="136"/>
      <c r="O389" s="136"/>
      <c r="P389" s="136"/>
      <c r="Q389" s="136"/>
      <c r="R389" s="136"/>
      <c r="S389" s="136"/>
      <c r="T389" s="136"/>
      <c r="U389" s="136"/>
      <c r="V389" s="136"/>
      <c r="W389" s="136"/>
      <c r="X389" s="136"/>
      <c r="Y389" s="136"/>
      <c r="Z389" s="13"/>
      <c r="AA389" s="13"/>
      <c r="AC389" s="115"/>
      <c r="AD389" s="115"/>
      <c r="AE389" s="115"/>
      <c r="AF389" s="115"/>
      <c r="AG389" s="115"/>
      <c r="AH389" s="115"/>
      <c r="AI389" s="115"/>
      <c r="AJ389" s="115"/>
      <c r="AK389" s="115"/>
      <c r="AL389" s="115"/>
      <c r="AM389" s="115"/>
      <c r="AN389" s="115"/>
      <c r="AO389" s="115"/>
      <c r="AP389" s="127"/>
      <c r="AQ389" s="29"/>
      <c r="BA389" s="25"/>
      <c r="BB389" s="13"/>
      <c r="BG389" s="116"/>
      <c r="BH389" s="123"/>
      <c r="BI389" s="123"/>
      <c r="BJ389" s="123"/>
      <c r="BO389" s="115"/>
      <c r="BP389" s="115"/>
      <c r="BQ389" s="115"/>
      <c r="BR389" s="115"/>
      <c r="BS389" s="115"/>
      <c r="BT389" s="115"/>
      <c r="BU389" s="115"/>
      <c r="BV389" s="115"/>
      <c r="BW389" s="115"/>
      <c r="BX389" s="115"/>
      <c r="BY389" s="25"/>
      <c r="BZ389" s="13"/>
      <c r="CC389" s="114"/>
    </row>
    <row r="390" spans="1:81" ht="20.100000000000001" customHeight="1" x14ac:dyDescent="0.4">
      <c r="A390" s="117"/>
      <c r="B390" s="123"/>
      <c r="C390" s="123"/>
      <c r="D390" s="123"/>
      <c r="F390" s="117"/>
      <c r="G390" s="135"/>
      <c r="H390" s="136"/>
      <c r="I390" s="136"/>
      <c r="J390" s="136"/>
      <c r="K390" s="136"/>
      <c r="L390" s="136"/>
      <c r="M390" s="136"/>
      <c r="N390" s="136"/>
      <c r="O390" s="136"/>
      <c r="P390" s="136"/>
      <c r="Q390" s="136"/>
      <c r="R390" s="136"/>
      <c r="S390" s="136"/>
      <c r="T390" s="136"/>
      <c r="U390" s="136"/>
      <c r="V390" s="136"/>
      <c r="W390" s="136"/>
      <c r="X390" s="136"/>
      <c r="Y390" s="136"/>
      <c r="Z390" s="25"/>
      <c r="AA390" s="13"/>
      <c r="AC390" s="115"/>
      <c r="AD390" s="115"/>
      <c r="AE390" s="115"/>
      <c r="AF390" s="115"/>
      <c r="AG390" s="115"/>
      <c r="AH390" s="115"/>
      <c r="AI390" s="115"/>
      <c r="AJ390" s="115"/>
      <c r="AK390" s="115"/>
      <c r="AL390" s="115"/>
      <c r="AM390" s="115"/>
      <c r="AN390" s="115"/>
      <c r="AO390" s="115"/>
      <c r="AP390" s="127"/>
      <c r="AQ390" s="29"/>
      <c r="BA390" s="25"/>
      <c r="BB390" s="13"/>
      <c r="BG390" s="116"/>
      <c r="BH390" s="123"/>
      <c r="BI390" s="123"/>
      <c r="BJ390" s="123"/>
      <c r="BO390" s="115"/>
      <c r="BP390" s="115"/>
      <c r="BQ390" s="115"/>
      <c r="BR390" s="115"/>
      <c r="BS390" s="115"/>
      <c r="BT390" s="115"/>
      <c r="BU390" s="115"/>
      <c r="BV390" s="115"/>
      <c r="BW390" s="115"/>
      <c r="BX390" s="115"/>
      <c r="BY390" s="25"/>
      <c r="BZ390" s="13"/>
      <c r="CC390" s="114"/>
    </row>
    <row r="391" spans="1:81" ht="20.100000000000001" customHeight="1" x14ac:dyDescent="0.4">
      <c r="A391" s="117"/>
      <c r="B391" s="123"/>
      <c r="C391" s="123"/>
      <c r="D391" s="123"/>
      <c r="F391" s="117"/>
      <c r="G391" s="135"/>
      <c r="H391" s="136"/>
      <c r="I391" s="136"/>
      <c r="J391" s="136"/>
      <c r="K391" s="136"/>
      <c r="L391" s="136"/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36"/>
      <c r="X391" s="136"/>
      <c r="Y391" s="136"/>
      <c r="Z391" s="25"/>
      <c r="AA391" s="13"/>
      <c r="AC391" s="115"/>
      <c r="AD391" s="115"/>
      <c r="AE391" s="115"/>
      <c r="AF391" s="115"/>
      <c r="AG391" s="115"/>
      <c r="AH391" s="115"/>
      <c r="AI391" s="115"/>
      <c r="AJ391" s="115"/>
      <c r="AK391" s="115"/>
      <c r="AL391" s="115"/>
      <c r="AM391" s="115"/>
      <c r="AN391" s="115"/>
      <c r="AO391" s="115"/>
      <c r="AP391" s="127"/>
      <c r="AQ391" s="29"/>
      <c r="BA391" s="25"/>
      <c r="BB391" s="13"/>
      <c r="BG391" s="116"/>
      <c r="BH391" s="123"/>
      <c r="BI391" s="123"/>
      <c r="BJ391" s="123"/>
      <c r="BO391" s="115"/>
      <c r="BP391" s="115"/>
      <c r="BQ391" s="115"/>
      <c r="BR391" s="115"/>
      <c r="BS391" s="115"/>
      <c r="BT391" s="115"/>
      <c r="BU391" s="115"/>
      <c r="BV391" s="115"/>
      <c r="BW391" s="115"/>
      <c r="BX391" s="115"/>
      <c r="BY391" s="25"/>
      <c r="BZ391" s="13"/>
      <c r="CC391" s="114"/>
    </row>
    <row r="392" spans="1:81" ht="20.100000000000001" customHeight="1" x14ac:dyDescent="0.4">
      <c r="A392" s="117"/>
      <c r="B392" s="123"/>
      <c r="C392" s="123"/>
      <c r="D392" s="123"/>
      <c r="F392" s="117"/>
      <c r="G392" s="135"/>
      <c r="H392" s="136"/>
      <c r="I392" s="136"/>
      <c r="J392" s="136"/>
      <c r="K392" s="136"/>
      <c r="L392" s="136"/>
      <c r="M392" s="136"/>
      <c r="N392" s="136"/>
      <c r="O392" s="136"/>
      <c r="P392" s="136"/>
      <c r="Q392" s="136"/>
      <c r="R392" s="136"/>
      <c r="S392" s="136"/>
      <c r="T392" s="136"/>
      <c r="U392" s="136"/>
      <c r="V392" s="136"/>
      <c r="W392" s="136"/>
      <c r="X392" s="136"/>
      <c r="Y392" s="136"/>
      <c r="Z392" s="13"/>
      <c r="AA392" s="13"/>
      <c r="AC392" s="115"/>
      <c r="AD392" s="115"/>
      <c r="AE392" s="115"/>
      <c r="AF392" s="115"/>
      <c r="AG392" s="115"/>
      <c r="AH392" s="115"/>
      <c r="AI392" s="115"/>
      <c r="AJ392" s="115"/>
      <c r="AK392" s="115"/>
      <c r="AL392" s="115"/>
      <c r="AM392" s="115"/>
      <c r="AN392" s="115"/>
      <c r="AO392" s="115"/>
      <c r="AP392" s="127"/>
      <c r="AQ392" s="29"/>
      <c r="BA392" s="25"/>
      <c r="BB392" s="13"/>
      <c r="BG392" s="116"/>
      <c r="BH392" s="123"/>
      <c r="BI392" s="123"/>
      <c r="BJ392" s="123"/>
      <c r="BO392" s="115"/>
      <c r="BP392" s="115"/>
      <c r="BQ392" s="115"/>
      <c r="BR392" s="115"/>
      <c r="BS392" s="115"/>
      <c r="BT392" s="115"/>
      <c r="BU392" s="115"/>
      <c r="BV392" s="115"/>
      <c r="BW392" s="115"/>
      <c r="BX392" s="115"/>
      <c r="BY392" s="25"/>
      <c r="BZ392" s="13"/>
      <c r="CC392" s="114"/>
    </row>
    <row r="393" spans="1:81" ht="20.100000000000001" customHeight="1" x14ac:dyDescent="0.4">
      <c r="A393" s="117"/>
      <c r="B393" s="123"/>
      <c r="C393" s="123"/>
      <c r="D393" s="123"/>
      <c r="F393" s="117"/>
      <c r="G393" s="135"/>
      <c r="H393" s="136"/>
      <c r="I393" s="136"/>
      <c r="J393" s="136"/>
      <c r="K393" s="136"/>
      <c r="L393" s="136"/>
      <c r="M393" s="136"/>
      <c r="N393" s="136"/>
      <c r="O393" s="136"/>
      <c r="P393" s="136"/>
      <c r="Q393" s="136"/>
      <c r="R393" s="136"/>
      <c r="S393" s="136"/>
      <c r="T393" s="136"/>
      <c r="U393" s="136"/>
      <c r="V393" s="136"/>
      <c r="W393" s="136"/>
      <c r="X393" s="136"/>
      <c r="Y393" s="136"/>
      <c r="Z393" s="25"/>
      <c r="AA393" s="13"/>
      <c r="AC393" s="115"/>
      <c r="AD393" s="115"/>
      <c r="AE393" s="115"/>
      <c r="AF393" s="115"/>
      <c r="AG393" s="115"/>
      <c r="AH393" s="115"/>
      <c r="AI393" s="115"/>
      <c r="AJ393" s="115"/>
      <c r="AK393" s="115"/>
      <c r="AL393" s="115"/>
      <c r="AM393" s="115"/>
      <c r="AN393" s="115"/>
      <c r="AO393" s="115"/>
      <c r="AP393" s="127"/>
      <c r="AQ393" s="29"/>
      <c r="BA393" s="25"/>
      <c r="BB393" s="13"/>
      <c r="BG393" s="116"/>
      <c r="BH393" s="123"/>
      <c r="BI393" s="123"/>
      <c r="BJ393" s="123"/>
      <c r="BO393" s="115"/>
      <c r="BP393" s="115"/>
      <c r="BQ393" s="115"/>
      <c r="BR393" s="115"/>
      <c r="BS393" s="115"/>
      <c r="BT393" s="115"/>
      <c r="BU393" s="115"/>
      <c r="BV393" s="115"/>
      <c r="BW393" s="115"/>
      <c r="BX393" s="115"/>
      <c r="BY393" s="25"/>
      <c r="BZ393" s="13"/>
      <c r="CC393" s="114"/>
    </row>
    <row r="394" spans="1:81" ht="20.100000000000001" customHeight="1" x14ac:dyDescent="0.4">
      <c r="A394" s="117"/>
      <c r="B394" s="123"/>
      <c r="C394" s="123"/>
      <c r="D394" s="123"/>
      <c r="F394" s="117"/>
      <c r="G394" s="135"/>
      <c r="H394" s="136"/>
      <c r="I394" s="136"/>
      <c r="J394" s="136"/>
      <c r="K394" s="136"/>
      <c r="L394" s="136"/>
      <c r="M394" s="136"/>
      <c r="N394" s="136"/>
      <c r="O394" s="136"/>
      <c r="P394" s="136"/>
      <c r="Q394" s="136"/>
      <c r="R394" s="136"/>
      <c r="S394" s="136"/>
      <c r="T394" s="136"/>
      <c r="U394" s="136"/>
      <c r="V394" s="136"/>
      <c r="W394" s="136"/>
      <c r="X394" s="136"/>
      <c r="Y394" s="136"/>
      <c r="Z394" s="13"/>
      <c r="AA394" s="13"/>
      <c r="AC394" s="115"/>
      <c r="AD394" s="115"/>
      <c r="AE394" s="115"/>
      <c r="AF394" s="115"/>
      <c r="AG394" s="115"/>
      <c r="AH394" s="115"/>
      <c r="AI394" s="115"/>
      <c r="AJ394" s="115"/>
      <c r="AK394" s="115"/>
      <c r="AL394" s="115"/>
      <c r="AM394" s="115"/>
      <c r="AN394" s="115"/>
      <c r="AO394" s="115"/>
      <c r="AP394" s="127"/>
      <c r="AQ394" s="29"/>
      <c r="BA394" s="25"/>
      <c r="BB394" s="13"/>
      <c r="BG394" s="116"/>
      <c r="BH394" s="123"/>
      <c r="BI394" s="123"/>
      <c r="BJ394" s="123"/>
      <c r="BO394" s="115"/>
      <c r="BP394" s="115"/>
      <c r="BQ394" s="115"/>
      <c r="BR394" s="115"/>
      <c r="BS394" s="115"/>
      <c r="BT394" s="115"/>
      <c r="BU394" s="115"/>
      <c r="BV394" s="115"/>
      <c r="BW394" s="115"/>
      <c r="BX394" s="115"/>
      <c r="BY394" s="25"/>
      <c r="BZ394" s="13"/>
      <c r="CC394" s="114"/>
    </row>
    <row r="395" spans="1:81" ht="20.100000000000001" customHeight="1" x14ac:dyDescent="0.4">
      <c r="A395" s="117"/>
      <c r="B395" s="123"/>
      <c r="C395" s="123"/>
      <c r="D395" s="123"/>
      <c r="F395" s="117"/>
      <c r="G395" s="135"/>
      <c r="H395" s="136"/>
      <c r="I395" s="136"/>
      <c r="J395" s="136"/>
      <c r="K395" s="136"/>
      <c r="L395" s="136"/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25"/>
      <c r="AA395" s="13"/>
      <c r="AC395" s="115"/>
      <c r="AD395" s="115"/>
      <c r="AE395" s="115"/>
      <c r="AF395" s="115"/>
      <c r="AG395" s="115"/>
      <c r="AH395" s="115"/>
      <c r="AI395" s="115"/>
      <c r="AJ395" s="115"/>
      <c r="AK395" s="115"/>
      <c r="AL395" s="115"/>
      <c r="AM395" s="115"/>
      <c r="AN395" s="115"/>
      <c r="AO395" s="115"/>
      <c r="AP395" s="127"/>
      <c r="AQ395" s="29"/>
      <c r="BA395" s="25"/>
      <c r="BB395" s="13"/>
      <c r="BG395" s="116"/>
      <c r="BH395" s="123"/>
      <c r="BI395" s="123"/>
      <c r="BJ395" s="123"/>
      <c r="BO395" s="115"/>
      <c r="BP395" s="115"/>
      <c r="BQ395" s="115"/>
      <c r="BR395" s="115"/>
      <c r="BS395" s="115"/>
      <c r="BT395" s="115"/>
      <c r="BU395" s="115"/>
      <c r="BV395" s="115"/>
      <c r="BW395" s="115"/>
      <c r="BX395" s="115"/>
      <c r="BY395" s="25"/>
      <c r="BZ395" s="13"/>
      <c r="CC395" s="114"/>
    </row>
    <row r="396" spans="1:81" ht="20.100000000000001" customHeight="1" x14ac:dyDescent="0.4">
      <c r="A396" s="117"/>
      <c r="B396" s="123"/>
      <c r="C396" s="123"/>
      <c r="D396" s="123"/>
      <c r="F396" s="117"/>
      <c r="G396" s="135"/>
      <c r="H396" s="136"/>
      <c r="I396" s="136"/>
      <c r="J396" s="136"/>
      <c r="K396" s="136"/>
      <c r="L396" s="136"/>
      <c r="M396" s="136"/>
      <c r="N396" s="136"/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  <c r="Z396" s="13"/>
      <c r="AA396" s="13"/>
      <c r="AC396" s="115"/>
      <c r="AD396" s="115"/>
      <c r="AE396" s="115"/>
      <c r="AF396" s="115"/>
      <c r="AG396" s="115"/>
      <c r="AH396" s="115"/>
      <c r="AI396" s="115"/>
      <c r="AJ396" s="115"/>
      <c r="AK396" s="115"/>
      <c r="AL396" s="115"/>
      <c r="AM396" s="115"/>
      <c r="AN396" s="115"/>
      <c r="AO396" s="115"/>
      <c r="AP396" s="127"/>
      <c r="AQ396" s="29"/>
      <c r="BA396" s="25"/>
      <c r="BB396" s="13"/>
      <c r="BG396" s="116"/>
      <c r="BH396" s="123"/>
      <c r="BI396" s="123"/>
      <c r="BJ396" s="123"/>
      <c r="BO396" s="115"/>
      <c r="BP396" s="115"/>
      <c r="BQ396" s="115"/>
      <c r="BR396" s="115"/>
      <c r="BS396" s="115"/>
      <c r="BT396" s="115"/>
      <c r="BU396" s="115"/>
      <c r="BV396" s="115"/>
      <c r="BW396" s="115"/>
      <c r="BX396" s="115"/>
      <c r="BY396" s="25"/>
      <c r="BZ396" s="13"/>
      <c r="CC396" s="114"/>
    </row>
    <row r="397" spans="1:81" ht="20.100000000000001" customHeight="1" x14ac:dyDescent="0.4">
      <c r="A397" s="117"/>
      <c r="B397" s="123"/>
      <c r="C397" s="123"/>
      <c r="D397" s="123"/>
      <c r="F397" s="117"/>
      <c r="G397" s="135"/>
      <c r="H397" s="136"/>
      <c r="I397" s="136"/>
      <c r="J397" s="136"/>
      <c r="K397" s="136"/>
      <c r="L397" s="136"/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  <c r="Z397" s="25"/>
      <c r="AA397" s="13"/>
      <c r="AC397" s="115"/>
      <c r="AD397" s="115"/>
      <c r="AE397" s="115"/>
      <c r="AF397" s="115"/>
      <c r="AG397" s="115"/>
      <c r="AH397" s="115"/>
      <c r="AI397" s="115"/>
      <c r="AJ397" s="115"/>
      <c r="AK397" s="115"/>
      <c r="AL397" s="115"/>
      <c r="AM397" s="115"/>
      <c r="AN397" s="115"/>
      <c r="AO397" s="115"/>
      <c r="AP397" s="127"/>
      <c r="AQ397" s="29"/>
      <c r="BA397" s="25"/>
      <c r="BB397" s="13"/>
      <c r="BG397" s="116"/>
      <c r="BH397" s="123"/>
      <c r="BI397" s="123"/>
      <c r="BJ397" s="123"/>
      <c r="BO397" s="115"/>
      <c r="BP397" s="115"/>
      <c r="BQ397" s="115"/>
      <c r="BR397" s="115"/>
      <c r="BS397" s="115"/>
      <c r="BT397" s="115"/>
      <c r="BU397" s="115"/>
      <c r="BV397" s="115"/>
      <c r="BW397" s="115"/>
      <c r="BX397" s="115"/>
      <c r="BY397" s="25"/>
      <c r="BZ397" s="13"/>
      <c r="CC397" s="114"/>
    </row>
    <row r="398" spans="1:81" ht="20.100000000000001" customHeight="1" x14ac:dyDescent="0.4">
      <c r="A398" s="117"/>
      <c r="B398" s="123"/>
      <c r="C398" s="123"/>
      <c r="D398" s="123"/>
      <c r="F398" s="117"/>
      <c r="G398" s="135"/>
      <c r="H398" s="136"/>
      <c r="I398" s="136"/>
      <c r="J398" s="136"/>
      <c r="K398" s="136"/>
      <c r="L398" s="136"/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  <c r="Z398" s="25"/>
      <c r="AA398" s="13"/>
      <c r="AC398" s="115"/>
      <c r="AD398" s="115"/>
      <c r="AE398" s="115"/>
      <c r="AF398" s="115"/>
      <c r="AG398" s="115"/>
      <c r="AH398" s="115"/>
      <c r="AI398" s="115"/>
      <c r="AJ398" s="115"/>
      <c r="AK398" s="115"/>
      <c r="AL398" s="115"/>
      <c r="AM398" s="115"/>
      <c r="AN398" s="115"/>
      <c r="AO398" s="115"/>
      <c r="AP398" s="127"/>
      <c r="AQ398" s="29"/>
      <c r="BA398" s="25"/>
      <c r="BB398" s="13"/>
      <c r="BG398" s="116"/>
      <c r="BH398" s="123"/>
      <c r="BI398" s="123"/>
      <c r="BJ398" s="123"/>
      <c r="BO398" s="115"/>
      <c r="BP398" s="115"/>
      <c r="BQ398" s="115"/>
      <c r="BR398" s="115"/>
      <c r="BS398" s="115"/>
      <c r="BT398" s="115"/>
      <c r="BU398" s="115"/>
      <c r="BV398" s="115"/>
      <c r="BW398" s="115"/>
      <c r="BX398" s="115"/>
      <c r="BY398" s="25"/>
      <c r="BZ398" s="13"/>
      <c r="CC398" s="114"/>
    </row>
    <row r="399" spans="1:81" ht="20.100000000000001" customHeight="1" x14ac:dyDescent="0.4">
      <c r="A399" s="117"/>
      <c r="B399" s="123"/>
      <c r="C399" s="123"/>
      <c r="D399" s="123"/>
      <c r="F399" s="117"/>
      <c r="G399" s="135"/>
      <c r="H399" s="136"/>
      <c r="I399" s="136"/>
      <c r="J399" s="136"/>
      <c r="K399" s="136"/>
      <c r="L399" s="136"/>
      <c r="M399" s="136"/>
      <c r="N399" s="136"/>
      <c r="O399" s="136"/>
      <c r="P399" s="136"/>
      <c r="Q399" s="136"/>
      <c r="R399" s="136"/>
      <c r="S399" s="136"/>
      <c r="T399" s="136"/>
      <c r="U399" s="136"/>
      <c r="V399" s="136"/>
      <c r="W399" s="136"/>
      <c r="X399" s="136"/>
      <c r="Y399" s="136"/>
      <c r="Z399" s="26"/>
      <c r="AA399" s="15"/>
      <c r="AP399" s="127"/>
      <c r="AQ399" s="29"/>
      <c r="BA399" s="25"/>
      <c r="BB399" s="13"/>
      <c r="BG399" s="116"/>
      <c r="BH399" s="123"/>
      <c r="BI399" s="123"/>
      <c r="BJ399" s="123"/>
      <c r="BO399" s="115"/>
      <c r="BP399" s="115"/>
      <c r="BQ399" s="115"/>
      <c r="BR399" s="115"/>
      <c r="BS399" s="115"/>
      <c r="BT399" s="115"/>
      <c r="BU399" s="115"/>
      <c r="BV399" s="115"/>
      <c r="BW399" s="115"/>
      <c r="BX399" s="115"/>
      <c r="BY399" s="25"/>
      <c r="BZ399" s="13"/>
      <c r="CC399" s="114"/>
    </row>
    <row r="400" spans="1:81" ht="20.100000000000001" customHeight="1" x14ac:dyDescent="0.4">
      <c r="A400" s="117"/>
      <c r="B400" s="123"/>
      <c r="C400" s="123"/>
      <c r="D400" s="123"/>
      <c r="F400" s="117"/>
      <c r="G400" s="135"/>
      <c r="H400" s="136"/>
      <c r="I400" s="136"/>
      <c r="J400" s="136"/>
      <c r="K400" s="136"/>
      <c r="L400" s="136"/>
      <c r="M400" s="136"/>
      <c r="N400" s="136"/>
      <c r="O400" s="136"/>
      <c r="P400" s="136"/>
      <c r="Q400" s="136"/>
      <c r="R400" s="136"/>
      <c r="S400" s="136"/>
      <c r="T400" s="136"/>
      <c r="U400" s="136"/>
      <c r="V400" s="136"/>
      <c r="W400" s="136"/>
      <c r="X400" s="136"/>
      <c r="Y400" s="136"/>
      <c r="Z400" s="17"/>
      <c r="AA400" s="15"/>
      <c r="AP400" s="127"/>
      <c r="AQ400" s="29"/>
      <c r="BA400" s="25"/>
      <c r="BB400" s="13"/>
      <c r="BG400" s="116"/>
      <c r="BH400" s="123"/>
      <c r="BI400" s="123"/>
      <c r="BJ400" s="123"/>
      <c r="BO400" s="115"/>
      <c r="BP400" s="115"/>
      <c r="BQ400" s="115"/>
      <c r="BR400" s="115"/>
      <c r="BS400" s="115"/>
      <c r="BT400" s="115"/>
      <c r="BU400" s="115"/>
      <c r="BV400" s="115"/>
      <c r="BW400" s="115"/>
      <c r="BX400" s="115"/>
      <c r="BY400" s="25"/>
      <c r="BZ400" s="13"/>
      <c r="CC400" s="114"/>
    </row>
    <row r="401" spans="1:81" ht="20.100000000000001" customHeight="1" x14ac:dyDescent="0.4">
      <c r="A401" s="117"/>
      <c r="B401" s="123"/>
      <c r="C401" s="123"/>
      <c r="D401" s="123"/>
      <c r="F401" s="117"/>
      <c r="G401" s="135"/>
      <c r="H401" s="136"/>
      <c r="I401" s="136"/>
      <c r="J401" s="136"/>
      <c r="K401" s="136"/>
      <c r="L401" s="136"/>
      <c r="M401" s="136"/>
      <c r="N401" s="136"/>
      <c r="O401" s="136"/>
      <c r="P401" s="136"/>
      <c r="Q401" s="136"/>
      <c r="R401" s="136"/>
      <c r="S401" s="136"/>
      <c r="T401" s="136"/>
      <c r="U401" s="136"/>
      <c r="V401" s="136"/>
      <c r="W401" s="136"/>
      <c r="X401" s="136"/>
      <c r="Y401" s="136"/>
      <c r="Z401" s="26"/>
      <c r="AA401" s="15"/>
      <c r="AL401" s="115"/>
      <c r="AM401" s="115"/>
      <c r="AN401" s="115"/>
      <c r="AO401" s="115"/>
      <c r="AP401" s="127"/>
      <c r="AQ401" s="29"/>
      <c r="BA401" s="25"/>
      <c r="BB401" s="13"/>
      <c r="BG401" s="116"/>
      <c r="BH401" s="123"/>
      <c r="BI401" s="123"/>
      <c r="BJ401" s="123"/>
      <c r="BO401" s="115"/>
      <c r="BP401" s="115"/>
      <c r="BQ401" s="115"/>
      <c r="BR401" s="115"/>
      <c r="BS401" s="115"/>
      <c r="BT401" s="115"/>
      <c r="BU401" s="115"/>
      <c r="BV401" s="115"/>
      <c r="BW401" s="115"/>
      <c r="BX401" s="115"/>
      <c r="BY401" s="25"/>
      <c r="BZ401" s="13"/>
      <c r="CC401" s="114"/>
    </row>
    <row r="402" spans="1:81" ht="20.100000000000001" customHeight="1" x14ac:dyDescent="0.4">
      <c r="A402" s="117"/>
      <c r="B402" s="123"/>
      <c r="C402" s="123"/>
      <c r="D402" s="123"/>
      <c r="F402" s="117"/>
      <c r="G402" s="135"/>
      <c r="H402" s="136"/>
      <c r="I402" s="136"/>
      <c r="J402" s="136"/>
      <c r="K402" s="136"/>
      <c r="L402" s="136"/>
      <c r="M402" s="136"/>
      <c r="N402" s="140"/>
      <c r="O402" s="140"/>
      <c r="P402" s="140"/>
      <c r="Q402" s="140"/>
      <c r="R402" s="140"/>
      <c r="S402" s="140"/>
      <c r="T402" s="140"/>
      <c r="U402" s="140"/>
      <c r="V402" s="140"/>
      <c r="W402" s="140"/>
      <c r="X402" s="140"/>
      <c r="Y402" s="140"/>
      <c r="Z402" s="30"/>
      <c r="AA402" s="15"/>
      <c r="AL402" s="115"/>
      <c r="AM402" s="115"/>
      <c r="AN402" s="115"/>
      <c r="AO402" s="115"/>
      <c r="AP402" s="127"/>
      <c r="AQ402" s="29"/>
      <c r="BA402" s="25"/>
      <c r="BB402" s="13"/>
      <c r="BG402" s="116"/>
      <c r="BH402" s="123"/>
      <c r="BI402" s="123"/>
      <c r="BJ402" s="123"/>
      <c r="BO402" s="115"/>
      <c r="BP402" s="115"/>
      <c r="BQ402" s="115"/>
      <c r="BR402" s="115"/>
      <c r="BS402" s="115"/>
      <c r="BT402" s="115"/>
      <c r="BU402" s="115"/>
      <c r="BV402" s="115"/>
      <c r="BW402" s="115"/>
      <c r="BX402" s="115"/>
      <c r="BY402" s="25"/>
      <c r="BZ402" s="13"/>
      <c r="CC402" s="114"/>
    </row>
    <row r="403" spans="1:81" ht="20.100000000000001" customHeight="1" x14ac:dyDescent="0.4">
      <c r="A403" s="117"/>
      <c r="B403" s="123"/>
      <c r="C403" s="123"/>
      <c r="D403" s="123"/>
      <c r="F403" s="117"/>
      <c r="G403" s="135"/>
      <c r="H403" s="136"/>
      <c r="I403" s="136"/>
      <c r="J403" s="136"/>
      <c r="K403" s="136"/>
      <c r="L403" s="136"/>
      <c r="M403" s="136"/>
      <c r="N403" s="140"/>
      <c r="O403" s="140"/>
      <c r="P403" s="140"/>
      <c r="Q403" s="140"/>
      <c r="R403" s="140"/>
      <c r="S403" s="140"/>
      <c r="T403" s="140"/>
      <c r="U403" s="140"/>
      <c r="V403" s="140"/>
      <c r="W403" s="140"/>
      <c r="X403" s="140"/>
      <c r="Y403" s="140"/>
      <c r="Z403" s="141"/>
      <c r="AA403" s="13"/>
      <c r="AL403" s="115"/>
      <c r="AM403" s="115"/>
      <c r="AN403" s="115"/>
      <c r="AO403" s="115"/>
      <c r="AP403" s="127"/>
      <c r="AQ403" s="29"/>
      <c r="BA403" s="25"/>
      <c r="BB403" s="13"/>
      <c r="BG403" s="116"/>
      <c r="BH403" s="123"/>
      <c r="BI403" s="123"/>
      <c r="BJ403" s="123"/>
      <c r="BO403" s="115"/>
      <c r="BP403" s="115"/>
      <c r="BQ403" s="115"/>
      <c r="BR403" s="115"/>
      <c r="BS403" s="115"/>
      <c r="BT403" s="115"/>
      <c r="BU403" s="115"/>
      <c r="BV403" s="115"/>
      <c r="BW403" s="115"/>
      <c r="BX403" s="115"/>
      <c r="BY403" s="25"/>
      <c r="BZ403" s="13"/>
      <c r="CC403" s="114"/>
    </row>
    <row r="404" spans="1:81" ht="20.100000000000001" customHeight="1" x14ac:dyDescent="0.4">
      <c r="A404" s="117"/>
      <c r="B404" s="123"/>
      <c r="C404" s="123"/>
      <c r="D404" s="123"/>
      <c r="F404" s="117"/>
      <c r="G404" s="135"/>
      <c r="H404" s="136"/>
      <c r="I404" s="136"/>
      <c r="J404" s="136"/>
      <c r="K404" s="136"/>
      <c r="L404" s="136"/>
      <c r="M404" s="136"/>
      <c r="N404" s="140"/>
      <c r="O404" s="140"/>
      <c r="P404" s="140"/>
      <c r="Q404" s="140"/>
      <c r="R404" s="140"/>
      <c r="S404" s="140"/>
      <c r="T404" s="140"/>
      <c r="U404" s="140"/>
      <c r="V404" s="140"/>
      <c r="W404" s="140"/>
      <c r="X404" s="140"/>
      <c r="Y404" s="140"/>
      <c r="Z404" s="141"/>
      <c r="AA404" s="13"/>
      <c r="AL404" s="115"/>
      <c r="AM404" s="115"/>
      <c r="AN404" s="115"/>
      <c r="AO404" s="115"/>
      <c r="AP404" s="127"/>
      <c r="AQ404" s="29"/>
      <c r="BA404" s="25"/>
      <c r="BB404" s="13"/>
      <c r="BG404" s="116"/>
      <c r="BH404" s="123"/>
      <c r="BI404" s="123"/>
      <c r="BJ404" s="123"/>
      <c r="BO404" s="115"/>
      <c r="BP404" s="115"/>
      <c r="BQ404" s="115"/>
      <c r="BR404" s="115"/>
      <c r="BS404" s="115"/>
      <c r="BT404" s="115"/>
      <c r="BU404" s="115"/>
      <c r="BV404" s="115"/>
      <c r="BW404" s="115"/>
      <c r="BX404" s="115"/>
      <c r="BY404" s="25"/>
      <c r="BZ404" s="13"/>
      <c r="CC404" s="114"/>
    </row>
    <row r="405" spans="1:81" ht="20.100000000000001" customHeight="1" x14ac:dyDescent="0.4">
      <c r="A405" s="117"/>
      <c r="B405" s="123"/>
      <c r="C405" s="123"/>
      <c r="D405" s="123"/>
      <c r="F405" s="117"/>
      <c r="G405" s="135"/>
      <c r="H405" s="136"/>
      <c r="I405" s="136"/>
      <c r="J405" s="136"/>
      <c r="K405" s="136"/>
      <c r="L405" s="136"/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  <c r="Z405" s="25"/>
      <c r="AA405" s="13"/>
      <c r="AL405" s="115"/>
      <c r="AM405" s="115"/>
      <c r="AN405" s="115"/>
      <c r="AO405" s="115"/>
      <c r="AP405" s="127"/>
      <c r="AQ405" s="29"/>
      <c r="BA405" s="25"/>
      <c r="BB405" s="13"/>
      <c r="BG405" s="116"/>
      <c r="BH405" s="123"/>
      <c r="BI405" s="123"/>
      <c r="BJ405" s="123"/>
      <c r="BO405" s="115"/>
      <c r="BP405" s="115"/>
      <c r="BQ405" s="115"/>
      <c r="BR405" s="115"/>
      <c r="BS405" s="115"/>
      <c r="BT405" s="115"/>
      <c r="BU405" s="115"/>
      <c r="BV405" s="115"/>
      <c r="BW405" s="115"/>
      <c r="BX405" s="115"/>
      <c r="BY405" s="25"/>
      <c r="BZ405" s="13"/>
      <c r="CC405" s="114"/>
    </row>
    <row r="406" spans="1:81" ht="20.100000000000001" customHeight="1" x14ac:dyDescent="0.4">
      <c r="A406" s="117"/>
      <c r="B406" s="123"/>
      <c r="C406" s="123"/>
      <c r="D406" s="123"/>
      <c r="F406" s="117"/>
      <c r="G406" s="135"/>
      <c r="H406" s="136"/>
      <c r="I406" s="136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  <c r="Z406" s="25"/>
      <c r="AA406" s="13"/>
      <c r="AL406" s="115"/>
      <c r="AM406" s="115"/>
      <c r="AN406" s="115"/>
      <c r="AO406" s="115"/>
      <c r="AP406" s="127"/>
      <c r="AQ406" s="29"/>
      <c r="BA406" s="25"/>
      <c r="BB406" s="13"/>
      <c r="BG406" s="116"/>
      <c r="BH406" s="123"/>
      <c r="BI406" s="123"/>
      <c r="BJ406" s="123"/>
      <c r="BO406" s="115"/>
      <c r="BP406" s="115"/>
      <c r="BQ406" s="115"/>
      <c r="BR406" s="115"/>
      <c r="BS406" s="115"/>
      <c r="BT406" s="115"/>
      <c r="BU406" s="115"/>
      <c r="BV406" s="115"/>
      <c r="BW406" s="115"/>
      <c r="BX406" s="115"/>
      <c r="BY406" s="25"/>
      <c r="BZ406" s="13"/>
      <c r="CC406" s="114"/>
    </row>
    <row r="407" spans="1:81" ht="20.100000000000001" customHeight="1" x14ac:dyDescent="0.4">
      <c r="A407" s="117"/>
      <c r="B407" s="123"/>
      <c r="C407" s="123"/>
      <c r="D407" s="123"/>
      <c r="F407" s="117"/>
      <c r="G407" s="135"/>
      <c r="H407" s="136"/>
      <c r="I407" s="136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  <c r="Z407" s="25"/>
      <c r="AA407" s="13"/>
      <c r="AH407" s="115"/>
      <c r="AI407" s="115"/>
      <c r="AJ407" s="115"/>
      <c r="AK407" s="115"/>
      <c r="AL407" s="115"/>
      <c r="AM407" s="115"/>
      <c r="AN407" s="115"/>
      <c r="AO407" s="115"/>
      <c r="AP407" s="127"/>
      <c r="AQ407" s="29"/>
      <c r="BA407" s="25"/>
      <c r="BB407" s="13"/>
      <c r="BG407" s="116"/>
      <c r="BH407" s="123"/>
      <c r="BI407" s="123"/>
      <c r="BJ407" s="123"/>
      <c r="BO407" s="115"/>
      <c r="BP407" s="115"/>
      <c r="BQ407" s="115"/>
      <c r="BR407" s="115"/>
      <c r="BS407" s="115"/>
      <c r="BT407" s="115"/>
      <c r="BU407" s="115"/>
      <c r="BV407" s="115"/>
      <c r="BW407" s="115"/>
      <c r="BX407" s="115"/>
      <c r="BY407" s="25"/>
      <c r="BZ407" s="13"/>
      <c r="CC407" s="114"/>
    </row>
    <row r="408" spans="1:81" ht="20.100000000000001" customHeight="1" x14ac:dyDescent="0.4">
      <c r="A408" s="117"/>
      <c r="B408" s="123"/>
      <c r="C408" s="123"/>
      <c r="D408" s="123"/>
      <c r="F408" s="117"/>
      <c r="G408" s="135"/>
      <c r="H408" s="136"/>
      <c r="I408" s="136"/>
      <c r="J408" s="136"/>
      <c r="K408" s="136"/>
      <c r="L408" s="13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  <c r="Z408" s="25"/>
      <c r="AA408" s="13"/>
      <c r="AH408" s="115"/>
      <c r="AI408" s="115"/>
      <c r="AJ408" s="115"/>
      <c r="AK408" s="115"/>
      <c r="AL408" s="115"/>
      <c r="AM408" s="115"/>
      <c r="AN408" s="115"/>
      <c r="AO408" s="115"/>
      <c r="AP408" s="29"/>
      <c r="AQ408" s="29"/>
      <c r="BA408" s="25"/>
      <c r="BB408" s="13"/>
      <c r="BG408" s="116"/>
      <c r="BH408" s="123"/>
      <c r="BI408" s="123"/>
      <c r="BJ408" s="123"/>
      <c r="BO408" s="115"/>
      <c r="BP408" s="115"/>
      <c r="BQ408" s="115"/>
      <c r="BR408" s="115"/>
      <c r="BS408" s="115"/>
      <c r="BT408" s="115"/>
      <c r="BU408" s="115"/>
      <c r="BV408" s="115"/>
      <c r="BW408" s="115"/>
      <c r="BX408" s="115"/>
      <c r="BY408" s="25"/>
      <c r="BZ408" s="13"/>
      <c r="CC408" s="114"/>
    </row>
    <row r="409" spans="1:81" ht="20.100000000000001" customHeight="1" x14ac:dyDescent="0.4">
      <c r="A409" s="117"/>
      <c r="B409" s="123"/>
      <c r="C409" s="123"/>
      <c r="D409" s="123"/>
      <c r="F409" s="117"/>
      <c r="G409" s="135"/>
      <c r="H409" s="136"/>
      <c r="I409" s="136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  <c r="T409" s="136"/>
      <c r="U409" s="136"/>
      <c r="V409" s="136"/>
      <c r="W409" s="136"/>
      <c r="X409" s="136"/>
      <c r="Y409" s="136"/>
      <c r="Z409" s="13"/>
      <c r="AA409" s="13"/>
      <c r="AH409" s="115"/>
      <c r="AI409" s="115"/>
      <c r="AJ409" s="115"/>
      <c r="AK409" s="115"/>
      <c r="AL409" s="115"/>
      <c r="AM409" s="115"/>
      <c r="AN409" s="115"/>
      <c r="AO409" s="115"/>
      <c r="AP409" s="29"/>
      <c r="AQ409" s="29"/>
      <c r="BA409" s="25"/>
      <c r="BB409" s="13"/>
      <c r="BG409" s="116"/>
      <c r="BH409" s="123"/>
      <c r="BI409" s="123"/>
      <c r="BJ409" s="123"/>
      <c r="BO409" s="115"/>
      <c r="BP409" s="115"/>
      <c r="BQ409" s="115"/>
      <c r="BR409" s="115"/>
      <c r="BS409" s="115"/>
      <c r="BT409" s="115"/>
      <c r="BU409" s="115"/>
      <c r="BV409" s="115"/>
      <c r="BW409" s="115"/>
      <c r="BX409" s="115"/>
      <c r="BY409" s="25"/>
      <c r="BZ409" s="13"/>
      <c r="CC409" s="114"/>
    </row>
    <row r="410" spans="1:81" ht="20.100000000000001" customHeight="1" x14ac:dyDescent="0.4">
      <c r="A410" s="117"/>
      <c r="B410" s="123"/>
      <c r="C410" s="123"/>
      <c r="D410" s="123"/>
      <c r="F410" s="117"/>
      <c r="G410" s="135"/>
      <c r="H410" s="136"/>
      <c r="I410" s="136"/>
      <c r="J410" s="136"/>
      <c r="K410" s="136"/>
      <c r="L410" s="136"/>
      <c r="M410" s="136"/>
      <c r="N410" s="136"/>
      <c r="O410" s="136"/>
      <c r="P410" s="136"/>
      <c r="Q410" s="136"/>
      <c r="R410" s="136"/>
      <c r="S410" s="136"/>
      <c r="T410" s="136"/>
      <c r="U410" s="136"/>
      <c r="V410" s="136"/>
      <c r="W410" s="136"/>
      <c r="X410" s="136"/>
      <c r="Y410" s="136"/>
      <c r="Z410" s="25"/>
      <c r="AA410" s="13"/>
      <c r="AH410" s="115"/>
      <c r="AI410" s="115"/>
      <c r="AJ410" s="115"/>
      <c r="AK410" s="115"/>
      <c r="AL410" s="115"/>
      <c r="AM410" s="115"/>
      <c r="AN410" s="115"/>
      <c r="AO410" s="115"/>
      <c r="AP410" s="127"/>
      <c r="AQ410" s="29"/>
      <c r="BA410" s="25"/>
      <c r="BB410" s="13"/>
      <c r="BG410" s="116"/>
      <c r="BH410" s="123"/>
      <c r="BI410" s="123"/>
      <c r="BJ410" s="123"/>
      <c r="BO410" s="115"/>
      <c r="BP410" s="115"/>
      <c r="BQ410" s="115"/>
      <c r="BR410" s="115"/>
      <c r="BS410" s="115"/>
      <c r="BT410" s="115"/>
      <c r="BU410" s="115"/>
      <c r="BV410" s="115"/>
      <c r="BW410" s="115"/>
      <c r="BX410" s="115"/>
      <c r="BY410" s="25"/>
      <c r="BZ410" s="13"/>
      <c r="CC410" s="114"/>
    </row>
    <row r="411" spans="1:81" ht="20.100000000000001" customHeight="1" x14ac:dyDescent="0.4">
      <c r="A411" s="117"/>
      <c r="B411" s="123"/>
      <c r="C411" s="123"/>
      <c r="D411" s="123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26"/>
      <c r="AA411" s="13"/>
      <c r="AH411" s="115"/>
      <c r="AI411" s="115"/>
      <c r="AJ411" s="115"/>
      <c r="AK411" s="115"/>
      <c r="AL411" s="115"/>
      <c r="AM411" s="115"/>
      <c r="AN411" s="115"/>
      <c r="AO411" s="115"/>
      <c r="AP411" s="127"/>
      <c r="AQ411" s="29"/>
      <c r="BA411" s="25"/>
      <c r="BB411" s="13"/>
      <c r="BG411" s="116"/>
      <c r="BH411" s="123"/>
      <c r="BI411" s="123"/>
      <c r="BJ411" s="123"/>
      <c r="BO411" s="115"/>
      <c r="BP411" s="115"/>
      <c r="BQ411" s="115"/>
      <c r="BR411" s="115"/>
      <c r="BS411" s="115"/>
      <c r="BT411" s="115"/>
      <c r="BU411" s="115"/>
      <c r="BV411" s="115"/>
      <c r="BW411" s="115"/>
      <c r="BX411" s="115"/>
      <c r="BY411" s="25"/>
      <c r="BZ411" s="13"/>
      <c r="CC411" s="114"/>
    </row>
    <row r="412" spans="1:81" ht="20.100000000000001" customHeight="1" x14ac:dyDescent="0.4">
      <c r="A412" s="117"/>
      <c r="B412" s="123"/>
      <c r="C412" s="123"/>
      <c r="D412" s="123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26"/>
      <c r="AA412" s="13"/>
      <c r="AH412" s="115"/>
      <c r="AI412" s="115"/>
      <c r="AJ412" s="115"/>
      <c r="AK412" s="115"/>
      <c r="AL412" s="115"/>
      <c r="AM412" s="115"/>
      <c r="AN412" s="115"/>
      <c r="AO412" s="115"/>
      <c r="AP412" s="127"/>
      <c r="AQ412" s="29"/>
      <c r="BA412" s="25"/>
      <c r="BB412" s="13"/>
      <c r="BG412" s="116"/>
      <c r="BH412" s="123"/>
      <c r="BI412" s="123"/>
      <c r="BJ412" s="123"/>
      <c r="BO412" s="115"/>
      <c r="BP412" s="115"/>
      <c r="BQ412" s="115"/>
      <c r="BR412" s="115"/>
      <c r="BS412" s="115"/>
      <c r="BT412" s="115"/>
      <c r="BU412" s="115"/>
      <c r="BV412" s="115"/>
      <c r="BW412" s="115"/>
      <c r="BX412" s="115"/>
      <c r="BY412" s="25"/>
      <c r="BZ412" s="13"/>
      <c r="CC412" s="114"/>
    </row>
    <row r="413" spans="1:81" ht="20.100000000000001" customHeight="1" x14ac:dyDescent="0.4">
      <c r="A413" s="117"/>
      <c r="B413" s="123"/>
      <c r="C413" s="123"/>
      <c r="D413" s="123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26"/>
      <c r="AA413" s="13"/>
      <c r="AH413" s="115"/>
      <c r="AI413" s="115"/>
      <c r="AJ413" s="115"/>
      <c r="AK413" s="115"/>
      <c r="AL413" s="115"/>
      <c r="AM413" s="115"/>
      <c r="AN413" s="115"/>
      <c r="AO413" s="115"/>
      <c r="AP413" s="127"/>
      <c r="AQ413" s="29"/>
      <c r="BA413" s="25"/>
      <c r="BB413" s="13"/>
      <c r="BG413" s="116"/>
      <c r="BH413" s="123"/>
      <c r="BI413" s="123"/>
      <c r="BJ413" s="123"/>
      <c r="BO413" s="115"/>
      <c r="BP413" s="115"/>
      <c r="BQ413" s="115"/>
      <c r="BR413" s="115"/>
      <c r="BS413" s="115"/>
      <c r="BT413" s="115"/>
      <c r="BU413" s="115"/>
      <c r="BV413" s="115"/>
      <c r="BW413" s="115"/>
      <c r="BX413" s="115"/>
      <c r="BY413" s="25"/>
      <c r="BZ413" s="13"/>
      <c r="CC413" s="114"/>
    </row>
    <row r="414" spans="1:81" ht="20.100000000000001" customHeight="1" x14ac:dyDescent="0.4">
      <c r="A414" s="117"/>
      <c r="B414" s="123"/>
      <c r="C414" s="123"/>
      <c r="D414" s="123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26"/>
      <c r="AA414" s="13"/>
      <c r="AH414" s="115"/>
      <c r="AI414" s="115"/>
      <c r="AJ414" s="115"/>
      <c r="AK414" s="115"/>
      <c r="AL414" s="115"/>
      <c r="AM414" s="115"/>
      <c r="AN414" s="115"/>
      <c r="AO414" s="115"/>
      <c r="AP414" s="127"/>
      <c r="AQ414" s="29"/>
      <c r="BA414" s="25"/>
      <c r="BB414" s="13"/>
      <c r="BG414" s="116"/>
      <c r="BH414" s="123"/>
      <c r="BI414" s="123"/>
      <c r="BJ414" s="123"/>
      <c r="BO414" s="115"/>
      <c r="BP414" s="115"/>
      <c r="BQ414" s="115"/>
      <c r="BR414" s="115"/>
      <c r="BS414" s="115"/>
      <c r="BT414" s="115"/>
      <c r="BU414" s="115"/>
      <c r="BV414" s="115"/>
      <c r="BW414" s="115"/>
      <c r="BX414" s="115"/>
      <c r="BY414" s="25"/>
      <c r="BZ414" s="13"/>
      <c r="CC414" s="114"/>
    </row>
    <row r="415" spans="1:81" ht="20.100000000000001" customHeight="1" x14ac:dyDescent="0.4">
      <c r="A415" s="117"/>
      <c r="B415" s="123"/>
      <c r="C415" s="123"/>
      <c r="D415" s="123"/>
      <c r="Z415" s="26"/>
      <c r="AA415" s="13"/>
      <c r="AG415" s="115"/>
      <c r="AH415" s="115"/>
      <c r="AI415" s="115"/>
      <c r="AJ415" s="115"/>
      <c r="AK415" s="115"/>
      <c r="AL415" s="115"/>
      <c r="AM415" s="115"/>
      <c r="AN415" s="115"/>
      <c r="AO415" s="115"/>
      <c r="AP415" s="127"/>
      <c r="AQ415" s="29"/>
      <c r="BA415" s="25"/>
      <c r="BB415" s="13"/>
      <c r="BG415" s="116"/>
      <c r="BH415" s="123"/>
      <c r="BI415" s="123"/>
      <c r="BJ415" s="123"/>
      <c r="BO415" s="115"/>
      <c r="BP415" s="115"/>
      <c r="BQ415" s="115"/>
      <c r="BR415" s="115"/>
      <c r="BS415" s="115"/>
      <c r="BT415" s="115"/>
      <c r="BU415" s="115"/>
      <c r="BV415" s="115"/>
      <c r="BW415" s="115"/>
      <c r="BX415" s="115"/>
      <c r="BY415" s="25"/>
      <c r="BZ415" s="13"/>
      <c r="CC415" s="114"/>
    </row>
    <row r="416" spans="1:81" ht="20.100000000000001" customHeight="1" x14ac:dyDescent="0.4">
      <c r="A416" s="117"/>
      <c r="B416" s="123"/>
      <c r="C416" s="123"/>
      <c r="D416" s="123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26"/>
      <c r="AA416" s="13"/>
      <c r="AG416" s="115"/>
      <c r="AH416" s="115"/>
      <c r="AI416" s="115"/>
      <c r="AJ416" s="115"/>
      <c r="AK416" s="115"/>
      <c r="AL416" s="115"/>
      <c r="AM416" s="115"/>
      <c r="AN416" s="115"/>
      <c r="AO416" s="115"/>
      <c r="AP416" s="127"/>
      <c r="AQ416" s="29"/>
      <c r="BA416" s="25"/>
      <c r="BB416" s="13"/>
      <c r="BG416" s="116"/>
      <c r="BH416" s="123"/>
      <c r="BI416" s="123"/>
      <c r="BJ416" s="123"/>
      <c r="BO416" s="115"/>
      <c r="BP416" s="115"/>
      <c r="BQ416" s="115"/>
      <c r="BR416" s="115"/>
      <c r="BS416" s="115"/>
      <c r="BT416" s="115"/>
      <c r="BU416" s="115"/>
      <c r="BV416" s="115"/>
      <c r="BW416" s="115"/>
      <c r="BX416" s="115"/>
      <c r="BY416" s="25"/>
      <c r="BZ416" s="13"/>
      <c r="CC416" s="114"/>
    </row>
    <row r="417" spans="1:81" ht="20.100000000000001" customHeight="1" x14ac:dyDescent="0.4">
      <c r="A417" s="117"/>
      <c r="B417" s="123"/>
      <c r="C417" s="123"/>
      <c r="D417" s="123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26"/>
      <c r="AA417" s="13"/>
      <c r="AG417" s="115"/>
      <c r="AH417" s="115"/>
      <c r="AI417" s="115"/>
      <c r="AJ417" s="115"/>
      <c r="AK417" s="115"/>
      <c r="AL417" s="115"/>
      <c r="AM417" s="115"/>
      <c r="AN417" s="115"/>
      <c r="AO417" s="115"/>
      <c r="AP417" s="127"/>
      <c r="AQ417" s="29"/>
      <c r="BA417" s="25"/>
      <c r="BB417" s="13"/>
      <c r="BG417" s="116"/>
      <c r="BH417" s="123"/>
      <c r="BI417" s="123"/>
      <c r="BJ417" s="123"/>
      <c r="BO417" s="115"/>
      <c r="BP417" s="115"/>
      <c r="BQ417" s="115"/>
      <c r="BR417" s="115"/>
      <c r="BS417" s="115"/>
      <c r="BT417" s="115"/>
      <c r="BU417" s="115"/>
      <c r="BV417" s="115"/>
      <c r="BW417" s="115"/>
      <c r="BX417" s="115"/>
      <c r="BY417" s="25"/>
      <c r="BZ417" s="13"/>
      <c r="CC417" s="114"/>
    </row>
    <row r="418" spans="1:81" ht="20.100000000000001" customHeight="1" x14ac:dyDescent="0.4">
      <c r="A418" s="117"/>
      <c r="B418" s="123"/>
      <c r="C418" s="123"/>
      <c r="D418" s="123"/>
      <c r="Z418" s="26"/>
      <c r="AA418" s="13"/>
      <c r="AG418" s="115"/>
      <c r="AH418" s="115"/>
      <c r="AI418" s="115"/>
      <c r="AJ418" s="115"/>
      <c r="AK418" s="115"/>
      <c r="AL418" s="115"/>
      <c r="AM418" s="115"/>
      <c r="AN418" s="115"/>
      <c r="AO418" s="115"/>
      <c r="AP418" s="127"/>
      <c r="AQ418" s="29"/>
      <c r="BA418" s="25"/>
      <c r="BB418" s="13"/>
      <c r="BG418" s="116"/>
      <c r="BH418" s="123"/>
      <c r="BI418" s="123"/>
      <c r="BJ418" s="123"/>
      <c r="BO418" s="115"/>
      <c r="BP418" s="115"/>
      <c r="BQ418" s="115"/>
      <c r="BR418" s="115"/>
      <c r="BS418" s="115"/>
      <c r="BT418" s="115"/>
      <c r="BU418" s="115"/>
      <c r="BV418" s="115"/>
      <c r="BW418" s="115"/>
      <c r="BX418" s="115"/>
      <c r="BY418" s="25"/>
      <c r="BZ418" s="13"/>
      <c r="CC418" s="114"/>
    </row>
    <row r="419" spans="1:81" ht="20.100000000000001" customHeight="1" x14ac:dyDescent="0.4">
      <c r="A419" s="117"/>
      <c r="B419" s="123"/>
      <c r="C419" s="123"/>
      <c r="D419" s="123"/>
      <c r="Z419" s="26"/>
      <c r="AA419" s="13"/>
      <c r="AG419" s="115"/>
      <c r="AH419" s="115"/>
      <c r="AI419" s="115"/>
      <c r="AJ419" s="115"/>
      <c r="AK419" s="115"/>
      <c r="AL419" s="115"/>
      <c r="AM419" s="115"/>
      <c r="AN419" s="115"/>
      <c r="AO419" s="115"/>
      <c r="AP419" s="127"/>
      <c r="AQ419" s="134"/>
      <c r="BA419" s="25"/>
      <c r="BB419" s="13"/>
      <c r="BG419" s="116"/>
      <c r="BH419" s="123"/>
      <c r="BI419" s="123"/>
      <c r="BJ419" s="123"/>
      <c r="BO419" s="115"/>
      <c r="BP419" s="115"/>
      <c r="BQ419" s="115"/>
      <c r="BR419" s="115"/>
      <c r="BS419" s="115"/>
      <c r="BT419" s="115"/>
      <c r="BU419" s="115"/>
      <c r="BV419" s="115"/>
      <c r="BW419" s="115"/>
      <c r="BX419" s="115"/>
      <c r="BY419" s="25"/>
      <c r="BZ419" s="13"/>
      <c r="CC419" s="114"/>
    </row>
    <row r="420" spans="1:81" ht="20.100000000000001" customHeight="1" x14ac:dyDescent="0.4">
      <c r="A420" s="117"/>
      <c r="B420" s="123"/>
      <c r="C420" s="123"/>
      <c r="D420" s="123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26"/>
      <c r="AA420" s="13"/>
      <c r="AG420" s="115"/>
      <c r="AH420" s="115"/>
      <c r="AI420" s="115"/>
      <c r="AJ420" s="115"/>
      <c r="AK420" s="115"/>
      <c r="AL420" s="115"/>
      <c r="AM420" s="115"/>
      <c r="AN420" s="115"/>
      <c r="AO420" s="115"/>
      <c r="AP420" s="127"/>
      <c r="AQ420" s="134"/>
      <c r="BA420" s="25"/>
      <c r="BB420" s="13"/>
      <c r="BG420" s="116"/>
      <c r="BH420" s="123"/>
      <c r="BI420" s="123"/>
      <c r="BJ420" s="123"/>
      <c r="BO420" s="115"/>
      <c r="BP420" s="115"/>
      <c r="BQ420" s="115"/>
      <c r="BR420" s="115"/>
      <c r="BS420" s="115"/>
      <c r="BT420" s="115"/>
      <c r="BU420" s="115"/>
      <c r="BV420" s="115"/>
      <c r="BW420" s="115"/>
      <c r="BX420" s="115"/>
      <c r="BY420" s="25"/>
      <c r="BZ420" s="13"/>
      <c r="CC420" s="114"/>
    </row>
    <row r="421" spans="1:81" ht="20.100000000000001" customHeight="1" x14ac:dyDescent="0.4">
      <c r="A421" s="117"/>
      <c r="B421" s="123"/>
      <c r="C421" s="123"/>
      <c r="D421" s="123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7"/>
      <c r="AA421" s="13"/>
      <c r="AG421" s="115"/>
      <c r="AH421" s="115"/>
      <c r="AI421" s="115"/>
      <c r="AJ421" s="115"/>
      <c r="AK421" s="115"/>
      <c r="AL421" s="115"/>
      <c r="AM421" s="115"/>
      <c r="AN421" s="115"/>
      <c r="AO421" s="115"/>
      <c r="AP421" s="127"/>
      <c r="AQ421" s="134"/>
      <c r="BA421" s="25"/>
      <c r="BB421" s="13"/>
      <c r="BG421" s="116"/>
      <c r="BH421" s="123"/>
      <c r="BI421" s="123"/>
      <c r="BJ421" s="123"/>
      <c r="BO421" s="115"/>
      <c r="BP421" s="115"/>
      <c r="BQ421" s="115"/>
      <c r="BR421" s="115"/>
      <c r="BS421" s="115"/>
      <c r="BT421" s="115"/>
      <c r="BU421" s="115"/>
      <c r="BV421" s="115"/>
      <c r="BW421" s="115"/>
      <c r="BX421" s="115"/>
      <c r="BY421" s="25"/>
      <c r="BZ421" s="13"/>
      <c r="CC421" s="114"/>
    </row>
    <row r="422" spans="1:81" ht="20.100000000000001" customHeight="1" x14ac:dyDescent="0.4">
      <c r="A422" s="117"/>
      <c r="B422" s="123"/>
      <c r="C422" s="123"/>
      <c r="D422" s="123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26"/>
      <c r="AA422" s="13"/>
      <c r="AG422" s="115"/>
      <c r="AH422" s="115"/>
      <c r="AI422" s="115"/>
      <c r="AJ422" s="115"/>
      <c r="AK422" s="115"/>
      <c r="AL422" s="115"/>
      <c r="AM422" s="115"/>
      <c r="AN422" s="115"/>
      <c r="AO422" s="115"/>
      <c r="AP422" s="127"/>
      <c r="AQ422" s="134"/>
      <c r="BA422" s="25"/>
      <c r="BB422" s="13"/>
      <c r="BG422" s="116"/>
      <c r="BH422" s="123"/>
      <c r="BI422" s="123"/>
      <c r="BJ422" s="123"/>
      <c r="BO422" s="115"/>
      <c r="BP422" s="115"/>
      <c r="BQ422" s="115"/>
      <c r="BR422" s="115"/>
      <c r="BS422" s="115"/>
      <c r="BT422" s="115"/>
      <c r="BU422" s="115"/>
      <c r="BV422" s="115"/>
      <c r="BW422" s="115"/>
      <c r="BX422" s="115"/>
      <c r="BY422" s="25"/>
      <c r="BZ422" s="13"/>
      <c r="CC422" s="114"/>
    </row>
    <row r="423" spans="1:81" ht="20.100000000000001" customHeight="1" x14ac:dyDescent="0.4">
      <c r="A423" s="117"/>
      <c r="B423" s="123"/>
      <c r="C423" s="123"/>
      <c r="D423" s="123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26"/>
      <c r="AA423" s="13"/>
      <c r="AG423" s="115"/>
      <c r="AH423" s="115"/>
      <c r="AI423" s="115"/>
      <c r="AJ423" s="115"/>
      <c r="AK423" s="115"/>
      <c r="AL423" s="115"/>
      <c r="AM423" s="115"/>
      <c r="AN423" s="115"/>
      <c r="AO423" s="115"/>
      <c r="AP423" s="127"/>
      <c r="AQ423" s="134"/>
      <c r="BA423" s="25"/>
      <c r="BB423" s="13"/>
      <c r="BG423" s="116"/>
      <c r="BH423" s="123"/>
      <c r="BI423" s="123"/>
      <c r="BJ423" s="123"/>
      <c r="BO423" s="115"/>
      <c r="BP423" s="115"/>
      <c r="BQ423" s="115"/>
      <c r="BR423" s="115"/>
      <c r="BS423" s="115"/>
      <c r="BT423" s="115"/>
      <c r="BU423" s="115"/>
      <c r="BV423" s="115"/>
      <c r="BW423" s="115"/>
      <c r="BX423" s="115"/>
      <c r="BY423" s="25"/>
      <c r="BZ423" s="13"/>
      <c r="CC423" s="114"/>
    </row>
    <row r="424" spans="1:81" ht="20.100000000000001" customHeight="1" x14ac:dyDescent="0.4">
      <c r="A424" s="117"/>
      <c r="B424" s="123"/>
      <c r="C424" s="123"/>
      <c r="D424" s="123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26"/>
      <c r="AA424" s="13"/>
      <c r="AG424" s="115"/>
      <c r="AH424" s="115"/>
      <c r="AI424" s="115"/>
      <c r="AJ424" s="115"/>
      <c r="AK424" s="115"/>
      <c r="AL424" s="115"/>
      <c r="AM424" s="115"/>
      <c r="AN424" s="115"/>
      <c r="AO424" s="115"/>
      <c r="AP424" s="127"/>
      <c r="AQ424" s="134"/>
      <c r="BA424" s="25"/>
      <c r="BB424" s="13"/>
      <c r="BG424" s="116"/>
      <c r="BH424" s="123"/>
      <c r="BI424" s="123"/>
      <c r="BJ424" s="123"/>
      <c r="BO424" s="115"/>
      <c r="BP424" s="115"/>
      <c r="BQ424" s="115"/>
      <c r="BR424" s="115"/>
      <c r="BS424" s="115"/>
      <c r="BT424" s="115"/>
      <c r="BU424" s="115"/>
      <c r="BV424" s="115"/>
      <c r="BW424" s="115"/>
      <c r="BX424" s="115"/>
      <c r="BY424" s="25"/>
      <c r="BZ424" s="13"/>
      <c r="CC424" s="114"/>
    </row>
    <row r="425" spans="1:81" ht="20.100000000000001" customHeight="1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26"/>
      <c r="AA425" s="13"/>
      <c r="AG425" s="115"/>
      <c r="AH425" s="115"/>
      <c r="AI425" s="115"/>
      <c r="AJ425" s="115"/>
      <c r="AK425" s="115"/>
      <c r="AL425" s="115"/>
      <c r="AM425" s="115"/>
      <c r="AN425" s="115"/>
      <c r="AO425" s="115"/>
      <c r="AP425" s="127"/>
      <c r="AQ425" s="134"/>
      <c r="BA425" s="25"/>
      <c r="BB425" s="13"/>
      <c r="BG425" s="116"/>
      <c r="BH425" s="123"/>
      <c r="BI425" s="123"/>
      <c r="BJ425" s="123"/>
      <c r="BO425" s="115"/>
      <c r="BP425" s="115"/>
      <c r="BQ425" s="115"/>
      <c r="BR425" s="115"/>
      <c r="BS425" s="115"/>
      <c r="BT425" s="115"/>
      <c r="BU425" s="115"/>
      <c r="BV425" s="115"/>
      <c r="BW425" s="115"/>
      <c r="BX425" s="115"/>
      <c r="BY425" s="25"/>
      <c r="BZ425" s="13"/>
      <c r="CC425" s="114"/>
    </row>
    <row r="426" spans="1:81" ht="20.100000000000001" customHeight="1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26"/>
      <c r="AA426" s="13"/>
      <c r="AG426" s="115"/>
      <c r="AH426" s="115"/>
      <c r="AI426" s="115"/>
      <c r="AJ426" s="115"/>
      <c r="AK426" s="115"/>
      <c r="AL426" s="115"/>
      <c r="AM426" s="115"/>
      <c r="AN426" s="115"/>
      <c r="AO426" s="115"/>
      <c r="AP426" s="127"/>
      <c r="AQ426" s="134"/>
      <c r="BA426" s="25"/>
      <c r="BB426" s="13"/>
      <c r="BG426" s="116"/>
      <c r="BH426" s="123"/>
      <c r="BI426" s="123"/>
      <c r="BJ426" s="123"/>
      <c r="BO426" s="115"/>
      <c r="BP426" s="115"/>
      <c r="BQ426" s="115"/>
      <c r="BR426" s="115"/>
      <c r="BS426" s="115"/>
      <c r="BT426" s="115"/>
      <c r="BU426" s="115"/>
      <c r="BV426" s="115"/>
      <c r="BW426" s="115"/>
      <c r="BX426" s="115"/>
      <c r="BY426" s="25"/>
      <c r="BZ426" s="13"/>
      <c r="CC426" s="114"/>
    </row>
    <row r="427" spans="1:81" ht="20.100000000000001" customHeight="1" x14ac:dyDescent="0.4">
      <c r="A427" s="117"/>
      <c r="B427" s="123"/>
      <c r="C427" s="123"/>
      <c r="D427" s="123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7"/>
      <c r="AA427" s="13"/>
      <c r="AG427" s="115"/>
      <c r="AH427" s="115"/>
      <c r="AI427" s="115"/>
      <c r="AJ427" s="115"/>
      <c r="AK427" s="115"/>
      <c r="AL427" s="115"/>
      <c r="AM427" s="115"/>
      <c r="AN427" s="115"/>
      <c r="AO427" s="115"/>
      <c r="AP427" s="127"/>
      <c r="AQ427" s="134"/>
      <c r="BA427" s="25"/>
      <c r="BB427" s="13"/>
      <c r="BG427" s="116"/>
      <c r="BH427" s="123"/>
      <c r="BI427" s="123"/>
      <c r="BJ427" s="123"/>
      <c r="BO427" s="115"/>
      <c r="BP427" s="115"/>
      <c r="BQ427" s="115"/>
      <c r="BR427" s="115"/>
      <c r="BS427" s="115"/>
      <c r="BT427" s="115"/>
      <c r="BU427" s="115"/>
      <c r="BV427" s="115"/>
      <c r="BW427" s="115"/>
      <c r="BX427" s="115"/>
      <c r="BY427" s="25"/>
      <c r="BZ427" s="13"/>
      <c r="CC427" s="114"/>
    </row>
    <row r="428" spans="1:81" ht="20.100000000000001" customHeight="1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26"/>
      <c r="AA428" s="13"/>
      <c r="AG428" s="115"/>
      <c r="AH428" s="115"/>
      <c r="AI428" s="115"/>
      <c r="AJ428" s="115"/>
      <c r="AK428" s="115"/>
      <c r="AL428" s="115"/>
      <c r="AM428" s="115"/>
      <c r="AN428" s="115"/>
      <c r="AO428" s="115"/>
      <c r="AP428" s="127"/>
      <c r="AQ428" s="134"/>
      <c r="BA428" s="25"/>
      <c r="BB428" s="13"/>
      <c r="BG428" s="116"/>
      <c r="BH428" s="123"/>
      <c r="BI428" s="123"/>
      <c r="BJ428" s="123"/>
      <c r="BO428" s="115"/>
      <c r="BP428" s="115"/>
      <c r="BQ428" s="115"/>
      <c r="BR428" s="115"/>
      <c r="BS428" s="115"/>
      <c r="BT428" s="115"/>
      <c r="BU428" s="115"/>
      <c r="BV428" s="115"/>
      <c r="BW428" s="115"/>
      <c r="BX428" s="115"/>
      <c r="BY428" s="25"/>
      <c r="BZ428" s="13"/>
      <c r="CC428" s="114"/>
    </row>
    <row r="429" spans="1:81" ht="20.100000000000001" customHeight="1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26"/>
      <c r="AA429" s="13"/>
      <c r="AG429" s="115"/>
      <c r="AH429" s="115"/>
      <c r="AI429" s="115"/>
      <c r="AJ429" s="115"/>
      <c r="AK429" s="115"/>
      <c r="AL429" s="115"/>
      <c r="AM429" s="115"/>
      <c r="AN429" s="115"/>
      <c r="AO429" s="115"/>
      <c r="AP429" s="127"/>
      <c r="AQ429" s="134"/>
      <c r="BA429" s="25"/>
      <c r="BB429" s="13"/>
      <c r="BG429" s="116"/>
      <c r="BH429" s="123"/>
      <c r="BI429" s="123"/>
      <c r="BJ429" s="123"/>
      <c r="BO429" s="115"/>
      <c r="BP429" s="115"/>
      <c r="BQ429" s="115"/>
      <c r="BR429" s="115"/>
      <c r="BS429" s="115"/>
      <c r="BT429" s="115"/>
      <c r="BU429" s="115"/>
      <c r="BV429" s="115"/>
      <c r="BW429" s="115"/>
      <c r="BX429" s="115"/>
      <c r="BY429" s="25"/>
      <c r="BZ429" s="13"/>
      <c r="CC429" s="114"/>
    </row>
    <row r="430" spans="1:81" ht="20.100000000000001" customHeight="1" x14ac:dyDescent="0.4">
      <c r="A430" s="117"/>
      <c r="B430" s="123"/>
      <c r="C430" s="123"/>
      <c r="D430" s="123"/>
      <c r="Z430" s="26"/>
      <c r="AA430" s="13"/>
      <c r="AG430" s="115"/>
      <c r="AH430" s="115"/>
      <c r="AI430" s="115"/>
      <c r="AJ430" s="115"/>
      <c r="AK430" s="115"/>
      <c r="AL430" s="115"/>
      <c r="AM430" s="115"/>
      <c r="AN430" s="115"/>
      <c r="AO430" s="115"/>
      <c r="AP430" s="127"/>
      <c r="AQ430" s="29"/>
      <c r="BA430" s="25"/>
      <c r="BB430" s="13"/>
      <c r="BG430" s="116"/>
      <c r="BH430" s="123"/>
      <c r="BI430" s="123"/>
      <c r="BJ430" s="123"/>
      <c r="BO430" s="115"/>
      <c r="BP430" s="115"/>
      <c r="BQ430" s="115"/>
      <c r="BR430" s="115"/>
      <c r="BS430" s="115"/>
      <c r="BT430" s="115"/>
      <c r="BU430" s="115"/>
      <c r="BV430" s="115"/>
      <c r="BW430" s="115"/>
      <c r="BX430" s="115"/>
      <c r="BY430" s="25"/>
      <c r="BZ430" s="13"/>
      <c r="CC430" s="114"/>
    </row>
    <row r="431" spans="1:81" ht="20.100000000000001" customHeight="1" x14ac:dyDescent="0.4">
      <c r="A431" s="117"/>
      <c r="B431" s="123"/>
      <c r="C431" s="123"/>
      <c r="D431" s="123"/>
      <c r="Z431" s="26"/>
      <c r="AA431" s="13"/>
      <c r="AG431" s="115"/>
      <c r="AH431" s="115"/>
      <c r="AI431" s="115"/>
      <c r="AJ431" s="115"/>
      <c r="AK431" s="115"/>
      <c r="AL431" s="115"/>
      <c r="AM431" s="115"/>
      <c r="AN431" s="115"/>
      <c r="AO431" s="115"/>
      <c r="AP431" s="29"/>
      <c r="AQ431" s="29"/>
      <c r="BA431" s="25"/>
      <c r="BB431" s="13"/>
      <c r="BG431" s="116"/>
      <c r="BH431" s="123"/>
      <c r="BI431" s="123"/>
      <c r="BJ431" s="123"/>
      <c r="BO431" s="115"/>
      <c r="BP431" s="115"/>
      <c r="BQ431" s="115"/>
      <c r="BR431" s="115"/>
      <c r="BS431" s="115"/>
      <c r="BT431" s="115"/>
      <c r="BU431" s="115"/>
      <c r="BV431" s="115"/>
      <c r="BW431" s="115"/>
      <c r="BX431" s="115"/>
      <c r="BY431" s="25"/>
      <c r="BZ431" s="13"/>
      <c r="CC431" s="114"/>
    </row>
    <row r="432" spans="1:81" ht="20.100000000000001" customHeight="1" x14ac:dyDescent="0.4">
      <c r="A432" s="117"/>
      <c r="B432" s="123"/>
      <c r="C432" s="123"/>
      <c r="D432" s="123"/>
      <c r="Z432" s="26"/>
      <c r="AA432" s="13"/>
      <c r="AF432" s="115"/>
      <c r="AG432" s="115"/>
      <c r="AH432" s="115"/>
      <c r="AI432" s="115"/>
      <c r="AJ432" s="115"/>
      <c r="AK432" s="115"/>
      <c r="AL432" s="115"/>
      <c r="AM432" s="115"/>
      <c r="AN432" s="115"/>
      <c r="AO432" s="115"/>
      <c r="AP432" s="127"/>
      <c r="AQ432" s="29"/>
      <c r="BA432" s="25"/>
      <c r="BB432" s="13"/>
      <c r="BG432" s="116"/>
      <c r="BH432" s="123"/>
      <c r="BI432" s="123"/>
      <c r="BJ432" s="123"/>
      <c r="BO432" s="115"/>
      <c r="BP432" s="115"/>
      <c r="BQ432" s="115"/>
      <c r="BR432" s="115"/>
      <c r="BS432" s="115"/>
      <c r="BT432" s="115"/>
      <c r="BU432" s="115"/>
      <c r="BV432" s="115"/>
      <c r="BW432" s="115"/>
      <c r="BX432" s="115"/>
      <c r="BY432" s="25"/>
      <c r="BZ432" s="13"/>
      <c r="CC432" s="114"/>
    </row>
    <row r="433" spans="1:81" ht="20.100000000000001" customHeight="1" x14ac:dyDescent="0.4">
      <c r="A433" s="117"/>
      <c r="B433" s="123"/>
      <c r="C433" s="123"/>
      <c r="D433" s="123"/>
      <c r="Z433" s="26"/>
      <c r="AA433" s="13"/>
      <c r="AF433" s="115"/>
      <c r="AG433" s="115"/>
      <c r="AH433" s="115"/>
      <c r="AI433" s="115"/>
      <c r="AJ433" s="115"/>
      <c r="AK433" s="115"/>
      <c r="AL433" s="115"/>
      <c r="AM433" s="115"/>
      <c r="AN433" s="115"/>
      <c r="AO433" s="115"/>
      <c r="AP433" s="127"/>
      <c r="AQ433" s="29"/>
      <c r="BA433" s="25"/>
      <c r="BB433" s="13"/>
      <c r="BG433" s="116"/>
      <c r="BH433" s="123"/>
      <c r="BI433" s="123"/>
      <c r="BJ433" s="123"/>
      <c r="BO433" s="115"/>
      <c r="BP433" s="115"/>
      <c r="BQ433" s="115"/>
      <c r="BR433" s="115"/>
      <c r="BS433" s="115"/>
      <c r="BT433" s="115"/>
      <c r="BU433" s="115"/>
      <c r="BV433" s="115"/>
      <c r="BW433" s="115"/>
      <c r="BX433" s="115"/>
      <c r="BY433" s="25"/>
      <c r="BZ433" s="13"/>
      <c r="CC433" s="114"/>
    </row>
    <row r="434" spans="1:81" ht="20.100000000000001" customHeight="1" x14ac:dyDescent="0.4">
      <c r="A434" s="117"/>
      <c r="B434" s="123"/>
      <c r="C434" s="123"/>
      <c r="D434" s="123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7"/>
      <c r="AA434" s="13"/>
      <c r="AF434" s="115"/>
      <c r="AG434" s="115"/>
      <c r="AH434" s="115"/>
      <c r="AI434" s="115"/>
      <c r="AJ434" s="115"/>
      <c r="AK434" s="115"/>
      <c r="AL434" s="115"/>
      <c r="AM434" s="115"/>
      <c r="AN434" s="115"/>
      <c r="AO434" s="115"/>
      <c r="AP434" s="127"/>
      <c r="AQ434" s="29"/>
      <c r="BA434" s="25"/>
      <c r="BB434" s="13"/>
      <c r="BG434" s="116"/>
      <c r="BH434" s="123"/>
      <c r="BI434" s="123"/>
      <c r="BJ434" s="123"/>
      <c r="BO434" s="115"/>
      <c r="BP434" s="115"/>
      <c r="BQ434" s="115"/>
      <c r="BR434" s="115"/>
      <c r="BS434" s="115"/>
      <c r="BT434" s="115"/>
      <c r="BU434" s="115"/>
      <c r="BV434" s="115"/>
      <c r="BW434" s="115"/>
      <c r="BX434" s="115"/>
      <c r="BY434" s="25"/>
      <c r="BZ434" s="13"/>
      <c r="CC434" s="114"/>
    </row>
    <row r="435" spans="1:81" ht="20.100000000000001" customHeight="1" x14ac:dyDescent="0.4">
      <c r="A435" s="117"/>
      <c r="B435" s="123"/>
      <c r="C435" s="123"/>
      <c r="D435" s="123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26"/>
      <c r="AA435" s="13"/>
      <c r="AF435" s="115"/>
      <c r="AG435" s="115"/>
      <c r="AH435" s="115"/>
      <c r="AI435" s="115"/>
      <c r="AJ435" s="115"/>
      <c r="AK435" s="115"/>
      <c r="AL435" s="115"/>
      <c r="AM435" s="115"/>
      <c r="AN435" s="115"/>
      <c r="AO435" s="115"/>
      <c r="AP435" s="127"/>
      <c r="AQ435" s="29"/>
      <c r="BA435" s="25"/>
      <c r="BB435" s="13"/>
      <c r="BG435" s="116"/>
      <c r="BH435" s="123"/>
      <c r="BI435" s="123"/>
      <c r="BJ435" s="123"/>
      <c r="BO435" s="115"/>
      <c r="BP435" s="115"/>
      <c r="BQ435" s="115"/>
      <c r="BR435" s="115"/>
      <c r="BS435" s="115"/>
      <c r="BT435" s="115"/>
      <c r="BU435" s="115"/>
      <c r="BV435" s="115"/>
      <c r="BW435" s="115"/>
      <c r="BX435" s="115"/>
      <c r="BY435" s="25"/>
      <c r="BZ435" s="13"/>
      <c r="CC435" s="114"/>
    </row>
    <row r="436" spans="1:81" ht="20.100000000000001" customHeight="1" x14ac:dyDescent="0.4">
      <c r="A436" s="117"/>
      <c r="B436" s="123"/>
      <c r="C436" s="123"/>
      <c r="D436" s="123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26"/>
      <c r="AA436" s="13"/>
      <c r="AF436" s="115"/>
      <c r="AG436" s="115"/>
      <c r="AH436" s="115"/>
      <c r="AI436" s="115"/>
      <c r="AJ436" s="115"/>
      <c r="AK436" s="115"/>
      <c r="AL436" s="115"/>
      <c r="AM436" s="115"/>
      <c r="AN436" s="115"/>
      <c r="AO436" s="115"/>
      <c r="AP436" s="127"/>
      <c r="AQ436" s="29"/>
      <c r="BA436" s="25"/>
      <c r="BB436" s="13"/>
      <c r="BG436" s="116"/>
      <c r="BH436" s="123"/>
      <c r="BI436" s="123"/>
      <c r="BJ436" s="123"/>
      <c r="BO436" s="115"/>
      <c r="BP436" s="115"/>
      <c r="BQ436" s="115"/>
      <c r="BR436" s="115"/>
      <c r="BS436" s="115"/>
      <c r="BT436" s="115"/>
      <c r="BU436" s="115"/>
      <c r="BV436" s="115"/>
      <c r="BW436" s="115"/>
      <c r="BX436" s="115"/>
      <c r="BY436" s="25"/>
      <c r="BZ436" s="13"/>
      <c r="CC436" s="114"/>
    </row>
    <row r="437" spans="1:81" ht="20.100000000000001" customHeight="1" x14ac:dyDescent="0.4">
      <c r="A437" s="117"/>
      <c r="B437" s="123"/>
      <c r="C437" s="123"/>
      <c r="D437" s="123"/>
      <c r="Z437" s="26"/>
      <c r="AA437" s="133"/>
      <c r="AF437" s="115"/>
      <c r="AG437" s="115"/>
      <c r="AH437" s="115"/>
      <c r="AI437" s="115"/>
      <c r="AJ437" s="115"/>
      <c r="AK437" s="115"/>
      <c r="AL437" s="115"/>
      <c r="AM437" s="115"/>
      <c r="AN437" s="115"/>
      <c r="AO437" s="115"/>
      <c r="AP437" s="127"/>
      <c r="AQ437" s="29"/>
      <c r="BA437" s="25"/>
      <c r="BB437" s="13"/>
      <c r="BG437" s="116"/>
      <c r="BH437" s="123"/>
      <c r="BI437" s="123"/>
      <c r="BJ437" s="123"/>
      <c r="BO437" s="115"/>
      <c r="BP437" s="115"/>
      <c r="BQ437" s="115"/>
      <c r="BR437" s="115"/>
      <c r="BS437" s="115"/>
      <c r="BT437" s="115"/>
      <c r="BU437" s="115"/>
      <c r="BV437" s="115"/>
      <c r="BW437" s="115"/>
      <c r="BX437" s="115"/>
      <c r="BY437" s="25"/>
      <c r="BZ437" s="13"/>
      <c r="CC437" s="114"/>
    </row>
    <row r="438" spans="1:81" ht="20.100000000000001" customHeight="1" x14ac:dyDescent="0.4">
      <c r="A438" s="117"/>
      <c r="B438" s="123"/>
      <c r="C438" s="123"/>
      <c r="D438" s="123"/>
      <c r="Z438" s="26"/>
      <c r="AA438" s="13"/>
      <c r="AF438" s="115"/>
      <c r="AG438" s="115"/>
      <c r="AH438" s="115"/>
      <c r="AI438" s="115"/>
      <c r="AJ438" s="115"/>
      <c r="AK438" s="115"/>
      <c r="AL438" s="115"/>
      <c r="AM438" s="115"/>
      <c r="AN438" s="115"/>
      <c r="AO438" s="115"/>
      <c r="AP438" s="127"/>
      <c r="AQ438" s="29"/>
      <c r="BA438" s="25"/>
      <c r="BB438" s="13"/>
      <c r="BG438" s="116"/>
      <c r="BH438" s="123"/>
      <c r="BI438" s="123"/>
      <c r="BJ438" s="123"/>
      <c r="BO438" s="115"/>
      <c r="BP438" s="115"/>
      <c r="BQ438" s="115"/>
      <c r="BR438" s="115"/>
      <c r="BS438" s="115"/>
      <c r="BT438" s="115"/>
      <c r="BU438" s="115"/>
      <c r="BV438" s="115"/>
      <c r="BW438" s="115"/>
      <c r="BX438" s="115"/>
      <c r="BY438" s="25"/>
      <c r="BZ438" s="13"/>
      <c r="CC438" s="114"/>
    </row>
    <row r="439" spans="1:81" ht="20.100000000000001" customHeight="1" x14ac:dyDescent="0.4">
      <c r="A439" s="117"/>
      <c r="B439" s="123"/>
      <c r="C439" s="123"/>
      <c r="D439" s="123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26"/>
      <c r="AA439" s="13"/>
      <c r="AF439" s="115"/>
      <c r="AG439" s="115"/>
      <c r="AH439" s="115"/>
      <c r="AI439" s="115"/>
      <c r="AJ439" s="115"/>
      <c r="AK439" s="115"/>
      <c r="AL439" s="115"/>
      <c r="AM439" s="115"/>
      <c r="AN439" s="115"/>
      <c r="AO439" s="115"/>
      <c r="AP439" s="127"/>
      <c r="AQ439" s="29"/>
      <c r="BA439" s="25"/>
      <c r="BB439" s="13"/>
      <c r="BG439" s="116"/>
      <c r="BH439" s="123"/>
      <c r="BI439" s="123"/>
      <c r="BJ439" s="123"/>
      <c r="BO439" s="115"/>
      <c r="BP439" s="115"/>
      <c r="BQ439" s="115"/>
      <c r="BR439" s="115"/>
      <c r="BS439" s="115"/>
      <c r="BT439" s="115"/>
      <c r="BU439" s="115"/>
      <c r="BV439" s="115"/>
      <c r="BW439" s="115"/>
      <c r="BX439" s="115"/>
      <c r="BY439" s="25"/>
      <c r="BZ439" s="13"/>
      <c r="CC439" s="114"/>
    </row>
    <row r="440" spans="1:81" ht="20.100000000000001" customHeight="1" x14ac:dyDescent="0.4">
      <c r="A440" s="117"/>
      <c r="B440" s="123"/>
      <c r="C440" s="123"/>
      <c r="D440" s="123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7"/>
      <c r="AA440" s="13"/>
      <c r="AF440" s="115"/>
      <c r="AG440" s="115"/>
      <c r="AH440" s="115"/>
      <c r="AI440" s="115"/>
      <c r="AJ440" s="115"/>
      <c r="AK440" s="115"/>
      <c r="AL440" s="115"/>
      <c r="AM440" s="115"/>
      <c r="AN440" s="115"/>
      <c r="AO440" s="115"/>
      <c r="AP440" s="127"/>
      <c r="AQ440" s="29"/>
      <c r="BA440" s="25"/>
      <c r="BB440" s="13"/>
      <c r="BG440" s="116"/>
      <c r="BH440" s="123"/>
      <c r="BI440" s="123"/>
      <c r="BJ440" s="123"/>
      <c r="BO440" s="115"/>
      <c r="BP440" s="115"/>
      <c r="BQ440" s="115"/>
      <c r="BR440" s="115"/>
      <c r="BS440" s="115"/>
      <c r="BT440" s="115"/>
      <c r="BU440" s="115"/>
      <c r="BV440" s="115"/>
      <c r="BW440" s="115"/>
      <c r="BX440" s="115"/>
      <c r="BY440" s="25"/>
      <c r="BZ440" s="13"/>
      <c r="CC440" s="114"/>
    </row>
    <row r="441" spans="1:81" ht="20.100000000000001" customHeight="1" x14ac:dyDescent="0.4">
      <c r="A441" s="117"/>
      <c r="B441" s="123"/>
      <c r="C441" s="123"/>
      <c r="D441" s="123"/>
      <c r="Z441" s="26"/>
      <c r="AA441" s="13"/>
      <c r="AF441" s="115"/>
      <c r="AG441" s="115"/>
      <c r="AH441" s="115"/>
      <c r="AI441" s="115"/>
      <c r="AJ441" s="115"/>
      <c r="AK441" s="115"/>
      <c r="AL441" s="115"/>
      <c r="AM441" s="115"/>
      <c r="AN441" s="115"/>
      <c r="AO441" s="115"/>
      <c r="AP441" s="127"/>
      <c r="AQ441" s="29"/>
      <c r="BA441" s="25"/>
      <c r="BB441" s="13"/>
      <c r="BG441" s="116"/>
      <c r="BH441" s="123"/>
      <c r="BI441" s="123"/>
      <c r="BJ441" s="123"/>
      <c r="BO441" s="115"/>
      <c r="BP441" s="115"/>
      <c r="BQ441" s="115"/>
      <c r="BR441" s="115"/>
      <c r="BS441" s="115"/>
      <c r="BT441" s="115"/>
      <c r="BU441" s="115"/>
      <c r="BV441" s="115"/>
      <c r="BW441" s="115"/>
      <c r="BX441" s="115"/>
      <c r="BY441" s="25"/>
      <c r="BZ441" s="13"/>
      <c r="CC441" s="114"/>
    </row>
    <row r="442" spans="1:81" ht="20.100000000000001" customHeight="1" x14ac:dyDescent="0.4">
      <c r="A442" s="117"/>
      <c r="B442" s="123"/>
      <c r="C442" s="123"/>
      <c r="D442" s="123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7"/>
      <c r="AA442" s="13"/>
      <c r="AF442" s="115"/>
      <c r="AG442" s="115"/>
      <c r="AH442" s="115"/>
      <c r="AI442" s="115"/>
      <c r="AJ442" s="115"/>
      <c r="AK442" s="115"/>
      <c r="AL442" s="115"/>
      <c r="AM442" s="115"/>
      <c r="AN442" s="115"/>
      <c r="AO442" s="115"/>
      <c r="AP442" s="127"/>
      <c r="AQ442" s="29"/>
      <c r="BA442" s="25"/>
      <c r="BB442" s="13"/>
      <c r="BG442" s="116"/>
      <c r="BH442" s="123"/>
      <c r="BI442" s="123"/>
      <c r="BJ442" s="123"/>
      <c r="BO442" s="115"/>
      <c r="BP442" s="115"/>
      <c r="BQ442" s="115"/>
      <c r="BR442" s="115"/>
      <c r="BS442" s="115"/>
      <c r="BT442" s="115"/>
      <c r="BU442" s="115"/>
      <c r="BV442" s="115"/>
      <c r="BW442" s="115"/>
      <c r="BX442" s="115"/>
      <c r="BY442" s="25"/>
      <c r="BZ442" s="13"/>
      <c r="CC442" s="114"/>
    </row>
    <row r="443" spans="1:81" ht="20.100000000000001" customHeight="1" x14ac:dyDescent="0.4">
      <c r="A443" s="117"/>
      <c r="B443" s="123"/>
      <c r="C443" s="123"/>
      <c r="D443" s="123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26"/>
      <c r="AA443" s="13"/>
      <c r="AF443" s="115"/>
      <c r="AG443" s="115"/>
      <c r="AH443" s="115"/>
      <c r="AI443" s="115"/>
      <c r="AJ443" s="115"/>
      <c r="AK443" s="115"/>
      <c r="AL443" s="115"/>
      <c r="AM443" s="115"/>
      <c r="AN443" s="115"/>
      <c r="AO443" s="115"/>
      <c r="AP443" s="127"/>
      <c r="AQ443" s="29"/>
      <c r="BA443" s="25"/>
      <c r="BB443" s="13"/>
      <c r="BG443" s="116"/>
      <c r="BH443" s="123"/>
      <c r="BI443" s="123"/>
      <c r="BJ443" s="123"/>
      <c r="BO443" s="115"/>
      <c r="BP443" s="115"/>
      <c r="BQ443" s="115"/>
      <c r="BR443" s="115"/>
      <c r="BS443" s="115"/>
      <c r="BT443" s="115"/>
      <c r="BU443" s="115"/>
      <c r="BV443" s="115"/>
      <c r="BW443" s="115"/>
      <c r="BX443" s="115"/>
      <c r="BY443" s="25"/>
      <c r="BZ443" s="13"/>
      <c r="CC443" s="114"/>
    </row>
    <row r="444" spans="1:81" ht="20.100000000000001" customHeight="1" x14ac:dyDescent="0.4">
      <c r="A444" s="117"/>
      <c r="B444" s="123"/>
      <c r="C444" s="123"/>
      <c r="D444" s="123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26"/>
      <c r="AA444" s="13"/>
      <c r="AF444" s="115"/>
      <c r="AG444" s="115"/>
      <c r="AH444" s="115"/>
      <c r="AI444" s="115"/>
      <c r="AJ444" s="115"/>
      <c r="AK444" s="115"/>
      <c r="AL444" s="115"/>
      <c r="AM444" s="115"/>
      <c r="AN444" s="115"/>
      <c r="AO444" s="115"/>
      <c r="AP444" s="127"/>
      <c r="AQ444" s="29"/>
      <c r="BA444" s="25"/>
      <c r="BB444" s="13"/>
      <c r="BG444" s="116"/>
      <c r="BH444" s="123"/>
      <c r="BI444" s="123"/>
      <c r="BJ444" s="123"/>
      <c r="BO444" s="115"/>
      <c r="BP444" s="115"/>
      <c r="BQ444" s="115"/>
      <c r="BR444" s="115"/>
      <c r="BS444" s="115"/>
      <c r="BT444" s="115"/>
      <c r="BU444" s="115"/>
      <c r="BV444" s="115"/>
      <c r="BW444" s="115"/>
      <c r="BX444" s="115"/>
      <c r="BY444" s="25"/>
      <c r="BZ444" s="13"/>
      <c r="CC444" s="114"/>
    </row>
    <row r="445" spans="1:81" ht="20.100000000000001" customHeight="1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7"/>
      <c r="AA445" s="13"/>
      <c r="AF445" s="115"/>
      <c r="AG445" s="115"/>
      <c r="AH445" s="115"/>
      <c r="AI445" s="115"/>
      <c r="AJ445" s="115"/>
      <c r="AK445" s="115"/>
      <c r="AL445" s="115"/>
      <c r="AM445" s="115"/>
      <c r="AN445" s="115"/>
      <c r="AO445" s="115"/>
      <c r="AP445" s="127"/>
      <c r="AQ445" s="29"/>
      <c r="BA445" s="25"/>
      <c r="BB445" s="13"/>
      <c r="BG445" s="116"/>
      <c r="BH445" s="123"/>
      <c r="BI445" s="123"/>
      <c r="BJ445" s="123"/>
      <c r="BO445" s="115"/>
      <c r="BP445" s="115"/>
      <c r="BQ445" s="115"/>
      <c r="BR445" s="115"/>
      <c r="BS445" s="115"/>
      <c r="BT445" s="115"/>
      <c r="BU445" s="115"/>
      <c r="BV445" s="115"/>
      <c r="BW445" s="115"/>
      <c r="BX445" s="115"/>
      <c r="BY445" s="25"/>
      <c r="BZ445" s="13"/>
      <c r="CC445" s="114"/>
    </row>
    <row r="446" spans="1:81" ht="20.100000000000001" customHeight="1" x14ac:dyDescent="0.4">
      <c r="A446" s="117"/>
      <c r="B446" s="123"/>
      <c r="C446" s="123"/>
      <c r="D446" s="123"/>
      <c r="Z446" s="26"/>
      <c r="AA446" s="133"/>
      <c r="AF446" s="115"/>
      <c r="AG446" s="115"/>
      <c r="AH446" s="115"/>
      <c r="AI446" s="115"/>
      <c r="AJ446" s="115"/>
      <c r="AK446" s="115"/>
      <c r="AL446" s="115"/>
      <c r="AM446" s="115"/>
      <c r="AN446" s="115"/>
      <c r="AO446" s="115"/>
      <c r="AP446" s="29"/>
      <c r="AQ446" s="29"/>
      <c r="BA446" s="25"/>
      <c r="BB446" s="13"/>
      <c r="BG446" s="116"/>
      <c r="BH446" s="123"/>
      <c r="BI446" s="123"/>
      <c r="BJ446" s="123"/>
      <c r="BO446" s="115"/>
      <c r="BP446" s="115"/>
      <c r="BQ446" s="115"/>
      <c r="BR446" s="115"/>
      <c r="BS446" s="115"/>
      <c r="BT446" s="115"/>
      <c r="BU446" s="115"/>
      <c r="BV446" s="115"/>
      <c r="BW446" s="115"/>
      <c r="BX446" s="115"/>
      <c r="BY446" s="25"/>
      <c r="BZ446" s="13"/>
      <c r="CC446" s="114"/>
    </row>
    <row r="447" spans="1:81" ht="20.100000000000001" customHeight="1" x14ac:dyDescent="0.4">
      <c r="A447" s="117"/>
      <c r="B447" s="123"/>
      <c r="C447" s="123"/>
      <c r="D447" s="123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7"/>
      <c r="AA447" s="13"/>
      <c r="AF447" s="115"/>
      <c r="AG447" s="115"/>
      <c r="AH447" s="115"/>
      <c r="AI447" s="115"/>
      <c r="AJ447" s="115"/>
      <c r="AK447" s="115"/>
      <c r="AL447" s="115"/>
      <c r="AM447" s="115"/>
      <c r="AN447" s="115"/>
      <c r="AO447" s="115"/>
      <c r="AP447" s="29"/>
      <c r="AQ447" s="29"/>
      <c r="BA447" s="25"/>
      <c r="BB447" s="13"/>
      <c r="BG447" s="116"/>
      <c r="BH447" s="123"/>
      <c r="BI447" s="123"/>
      <c r="BJ447" s="123"/>
      <c r="BO447" s="115"/>
      <c r="BP447" s="115"/>
      <c r="BQ447" s="115"/>
      <c r="BR447" s="115"/>
      <c r="BS447" s="115"/>
      <c r="BT447" s="115"/>
      <c r="BU447" s="115"/>
      <c r="BV447" s="115"/>
      <c r="BW447" s="115"/>
      <c r="BX447" s="115"/>
      <c r="BY447" s="25"/>
      <c r="BZ447" s="13"/>
      <c r="CC447" s="114"/>
    </row>
    <row r="448" spans="1:81" ht="20.100000000000001" customHeight="1" x14ac:dyDescent="0.4">
      <c r="A448" s="117"/>
      <c r="B448" s="123"/>
      <c r="C448" s="123"/>
      <c r="D448" s="123"/>
      <c r="Z448" s="26"/>
      <c r="AA448" s="15"/>
      <c r="AF448" s="115"/>
      <c r="AG448" s="115"/>
      <c r="AH448" s="115"/>
      <c r="AI448" s="115"/>
      <c r="AJ448" s="115"/>
      <c r="AK448" s="115"/>
      <c r="AL448" s="115"/>
      <c r="AM448" s="115"/>
      <c r="AN448" s="115"/>
      <c r="AO448" s="115"/>
      <c r="AP448" s="127"/>
      <c r="AQ448" s="29"/>
      <c r="BA448" s="25"/>
      <c r="BB448" s="13"/>
      <c r="BG448" s="116"/>
      <c r="BH448" s="123"/>
      <c r="BI448" s="123"/>
      <c r="BJ448" s="123"/>
      <c r="BO448" s="115"/>
      <c r="BP448" s="115"/>
      <c r="BQ448" s="115"/>
      <c r="BR448" s="115"/>
      <c r="BS448" s="115"/>
      <c r="BT448" s="115"/>
      <c r="BU448" s="115"/>
      <c r="BV448" s="115"/>
      <c r="BW448" s="115"/>
      <c r="BX448" s="115"/>
      <c r="BY448" s="25"/>
      <c r="BZ448" s="13"/>
      <c r="CC448" s="114"/>
    </row>
    <row r="449" spans="1:81" ht="20.100000000000001" customHeight="1" x14ac:dyDescent="0.4">
      <c r="A449" s="117"/>
      <c r="B449" s="123"/>
      <c r="C449" s="123"/>
      <c r="D449" s="123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26"/>
      <c r="AA449" s="15"/>
      <c r="AF449" s="115"/>
      <c r="AG449" s="115"/>
      <c r="AH449" s="115"/>
      <c r="AI449" s="115"/>
      <c r="AJ449" s="115"/>
      <c r="AK449" s="115"/>
      <c r="AL449" s="115"/>
      <c r="AM449" s="115"/>
      <c r="AN449" s="115"/>
      <c r="AO449" s="115"/>
      <c r="AP449" s="127"/>
      <c r="AQ449" s="29"/>
      <c r="BA449" s="25"/>
      <c r="BB449" s="13"/>
      <c r="BG449" s="116"/>
      <c r="BH449" s="123"/>
      <c r="BI449" s="123"/>
      <c r="BJ449" s="123"/>
      <c r="BO449" s="115"/>
      <c r="BP449" s="115"/>
      <c r="BQ449" s="115"/>
      <c r="BR449" s="115"/>
      <c r="BS449" s="115"/>
      <c r="BT449" s="115"/>
      <c r="BU449" s="115"/>
      <c r="BV449" s="115"/>
      <c r="BW449" s="115"/>
      <c r="BX449" s="115"/>
      <c r="BY449" s="25"/>
      <c r="BZ449" s="13"/>
      <c r="CC449" s="114"/>
    </row>
    <row r="450" spans="1:81" ht="20.100000000000001" customHeight="1" x14ac:dyDescent="0.4">
      <c r="A450" s="117"/>
      <c r="B450" s="123"/>
      <c r="C450" s="123"/>
      <c r="D450" s="123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7"/>
      <c r="AA450" s="15"/>
      <c r="AF450" s="115"/>
      <c r="AG450" s="115"/>
      <c r="AH450" s="115"/>
      <c r="AI450" s="115"/>
      <c r="AJ450" s="115"/>
      <c r="AK450" s="115"/>
      <c r="AL450" s="115"/>
      <c r="AM450" s="115"/>
      <c r="AN450" s="115"/>
      <c r="AO450" s="115"/>
      <c r="AP450" s="127"/>
      <c r="AQ450" s="29"/>
      <c r="BA450" s="25"/>
      <c r="BB450" s="13"/>
      <c r="BG450" s="116"/>
      <c r="BH450" s="123"/>
      <c r="BI450" s="123"/>
      <c r="BJ450" s="123"/>
      <c r="BO450" s="115"/>
      <c r="BP450" s="115"/>
      <c r="BQ450" s="115"/>
      <c r="BR450" s="115"/>
      <c r="BS450" s="115"/>
      <c r="BT450" s="115"/>
      <c r="BU450" s="115"/>
      <c r="BV450" s="115"/>
      <c r="BW450" s="115"/>
      <c r="BX450" s="115"/>
      <c r="BY450" s="25"/>
      <c r="BZ450" s="13"/>
      <c r="CC450" s="114"/>
    </row>
    <row r="451" spans="1:81" ht="20.100000000000001" customHeight="1" x14ac:dyDescent="0.4">
      <c r="A451" s="117"/>
      <c r="B451" s="123"/>
      <c r="C451" s="123"/>
      <c r="D451" s="123"/>
      <c r="Z451" s="26"/>
      <c r="AA451" s="15"/>
      <c r="AE451" s="115"/>
      <c r="AF451" s="115"/>
      <c r="AG451" s="115"/>
      <c r="AH451" s="115"/>
      <c r="AI451" s="115"/>
      <c r="AJ451" s="115"/>
      <c r="AK451" s="115"/>
      <c r="AL451" s="115"/>
      <c r="AM451" s="115"/>
      <c r="AN451" s="115"/>
      <c r="AO451" s="115"/>
      <c r="AP451" s="127"/>
      <c r="AQ451" s="29"/>
      <c r="BA451" s="25"/>
      <c r="BB451" s="13"/>
      <c r="BG451" s="116"/>
      <c r="BH451" s="123"/>
      <c r="BI451" s="123"/>
      <c r="BJ451" s="123"/>
      <c r="BO451" s="115"/>
      <c r="BP451" s="115"/>
      <c r="BQ451" s="115"/>
      <c r="BR451" s="115"/>
      <c r="BS451" s="115"/>
      <c r="BT451" s="115"/>
      <c r="BU451" s="115"/>
      <c r="BV451" s="115"/>
      <c r="BW451" s="115"/>
      <c r="BX451" s="115"/>
      <c r="BY451" s="25"/>
      <c r="BZ451" s="13"/>
      <c r="CC451" s="114"/>
    </row>
    <row r="452" spans="1:81" ht="20.100000000000001" customHeight="1" x14ac:dyDescent="0.4">
      <c r="A452" s="117"/>
      <c r="B452" s="123"/>
      <c r="C452" s="123"/>
      <c r="D452" s="123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26"/>
      <c r="AA452" s="15"/>
      <c r="AE452" s="115"/>
      <c r="AF452" s="115"/>
      <c r="AG452" s="115"/>
      <c r="AH452" s="115"/>
      <c r="AI452" s="115"/>
      <c r="AJ452" s="115"/>
      <c r="AK452" s="115"/>
      <c r="AL452" s="115"/>
      <c r="AM452" s="115"/>
      <c r="AN452" s="115"/>
      <c r="AO452" s="115"/>
      <c r="AP452" s="127"/>
      <c r="AQ452" s="29"/>
      <c r="BA452" s="25"/>
      <c r="BB452" s="13"/>
      <c r="BG452" s="116"/>
      <c r="BH452" s="123"/>
      <c r="BI452" s="123"/>
      <c r="BJ452" s="123"/>
      <c r="BO452" s="115"/>
      <c r="BP452" s="115"/>
      <c r="BQ452" s="115"/>
      <c r="BR452" s="115"/>
      <c r="BS452" s="115"/>
      <c r="BT452" s="115"/>
      <c r="BU452" s="115"/>
      <c r="BV452" s="115"/>
      <c r="BW452" s="115"/>
      <c r="BX452" s="115"/>
      <c r="BY452" s="25"/>
      <c r="BZ452" s="13"/>
      <c r="CC452" s="114"/>
    </row>
    <row r="453" spans="1:81" ht="20.100000000000001" customHeight="1" x14ac:dyDescent="0.4">
      <c r="A453" s="117"/>
      <c r="B453" s="123"/>
      <c r="C453" s="123"/>
      <c r="D453" s="123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20"/>
      <c r="AA453" s="13"/>
      <c r="AE453" s="115"/>
      <c r="AF453" s="115"/>
      <c r="AG453" s="115"/>
      <c r="AH453" s="115"/>
      <c r="AI453" s="115"/>
      <c r="AJ453" s="115"/>
      <c r="AK453" s="115"/>
      <c r="AL453" s="115"/>
      <c r="AM453" s="115"/>
      <c r="AN453" s="115"/>
      <c r="AO453" s="115"/>
      <c r="AP453" s="127"/>
      <c r="AQ453" s="29"/>
      <c r="BA453" s="25"/>
      <c r="BB453" s="13"/>
      <c r="BG453" s="116"/>
      <c r="BH453" s="123"/>
      <c r="BI453" s="123"/>
      <c r="BJ453" s="123"/>
      <c r="BO453" s="115"/>
      <c r="BP453" s="115"/>
      <c r="BQ453" s="115"/>
      <c r="BR453" s="115"/>
      <c r="BS453" s="115"/>
      <c r="BT453" s="115"/>
      <c r="BU453" s="115"/>
      <c r="BV453" s="115"/>
      <c r="BW453" s="115"/>
      <c r="BX453" s="115"/>
      <c r="BY453" s="25"/>
      <c r="BZ453" s="13"/>
      <c r="CC453" s="114"/>
    </row>
    <row r="454" spans="1:81" ht="20.100000000000001" customHeight="1" x14ac:dyDescent="0.4">
      <c r="A454" s="117"/>
      <c r="B454" s="123"/>
      <c r="C454" s="123"/>
      <c r="D454" s="123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20"/>
      <c r="AA454" s="13"/>
      <c r="AE454" s="115"/>
      <c r="AF454" s="115"/>
      <c r="AG454" s="115"/>
      <c r="AH454" s="115"/>
      <c r="AI454" s="115"/>
      <c r="AJ454" s="115"/>
      <c r="AK454" s="115"/>
      <c r="AL454" s="115"/>
      <c r="AM454" s="115"/>
      <c r="AN454" s="115"/>
      <c r="AO454" s="115"/>
      <c r="AP454" s="127"/>
      <c r="AQ454" s="29"/>
      <c r="BA454" s="25"/>
      <c r="BB454" s="13"/>
      <c r="BG454" s="116"/>
      <c r="BH454" s="123"/>
      <c r="BI454" s="123"/>
      <c r="BJ454" s="123"/>
      <c r="BO454" s="115"/>
      <c r="BP454" s="115"/>
      <c r="BQ454" s="115"/>
      <c r="BR454" s="115"/>
      <c r="BS454" s="115"/>
      <c r="BT454" s="115"/>
      <c r="BU454" s="115"/>
      <c r="BV454" s="115"/>
      <c r="BW454" s="115"/>
      <c r="BX454" s="115"/>
      <c r="BY454" s="25"/>
      <c r="BZ454" s="13"/>
      <c r="CC454" s="114"/>
    </row>
    <row r="455" spans="1:81" ht="20.100000000000001" customHeight="1" x14ac:dyDescent="0.4">
      <c r="A455" s="117"/>
      <c r="B455" s="123"/>
      <c r="C455" s="123"/>
      <c r="D455" s="123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25"/>
      <c r="AA455" s="13"/>
      <c r="AE455" s="115"/>
      <c r="AF455" s="115"/>
      <c r="AG455" s="115"/>
      <c r="AH455" s="115"/>
      <c r="AI455" s="115"/>
      <c r="AJ455" s="115"/>
      <c r="AK455" s="115"/>
      <c r="AL455" s="115"/>
      <c r="AM455" s="115"/>
      <c r="AN455" s="115"/>
      <c r="AO455" s="115"/>
      <c r="AP455" s="127"/>
      <c r="AQ455" s="29"/>
      <c r="BA455" s="25"/>
      <c r="BB455" s="13"/>
      <c r="BG455" s="116"/>
      <c r="BH455" s="123"/>
      <c r="BI455" s="123"/>
      <c r="BJ455" s="123"/>
      <c r="BO455" s="115"/>
      <c r="BP455" s="115"/>
      <c r="BQ455" s="115"/>
      <c r="BR455" s="115"/>
      <c r="BS455" s="115"/>
      <c r="BT455" s="115"/>
      <c r="BU455" s="115"/>
      <c r="BV455" s="115"/>
      <c r="BW455" s="115"/>
      <c r="BX455" s="115"/>
      <c r="BY455" s="25"/>
      <c r="BZ455" s="13"/>
      <c r="CC455" s="114"/>
    </row>
    <row r="456" spans="1:81" ht="20.100000000000001" customHeight="1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25"/>
      <c r="AA456" s="13"/>
      <c r="AE456" s="115"/>
      <c r="AF456" s="115"/>
      <c r="AG456" s="115"/>
      <c r="AH456" s="115"/>
      <c r="AI456" s="115"/>
      <c r="AJ456" s="115"/>
      <c r="AK456" s="115"/>
      <c r="AL456" s="115"/>
      <c r="AM456" s="115"/>
      <c r="AN456" s="115"/>
      <c r="AO456" s="115"/>
      <c r="AP456" s="127"/>
      <c r="AQ456" s="29"/>
      <c r="BA456" s="25"/>
      <c r="BB456" s="13"/>
      <c r="BG456" s="116"/>
      <c r="BH456" s="123"/>
      <c r="BI456" s="123"/>
      <c r="BJ456" s="123"/>
      <c r="BO456" s="115"/>
      <c r="BP456" s="115"/>
      <c r="BQ456" s="115"/>
      <c r="BR456" s="115"/>
      <c r="BS456" s="115"/>
      <c r="BT456" s="115"/>
      <c r="BU456" s="115"/>
      <c r="BV456" s="115"/>
      <c r="BW456" s="115"/>
      <c r="BX456" s="115"/>
      <c r="BY456" s="25"/>
      <c r="BZ456" s="13"/>
      <c r="CC456" s="114"/>
    </row>
    <row r="457" spans="1:81" ht="20.100000000000001" customHeight="1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3"/>
      <c r="AA457" s="13"/>
      <c r="AE457" s="115"/>
      <c r="AF457" s="115"/>
      <c r="AG457" s="115"/>
      <c r="AH457" s="115"/>
      <c r="AI457" s="115"/>
      <c r="AJ457" s="115"/>
      <c r="AK457" s="115"/>
      <c r="AL457" s="115"/>
      <c r="AM457" s="115"/>
      <c r="AN457" s="115"/>
      <c r="AO457" s="115"/>
      <c r="AP457" s="127"/>
      <c r="AQ457" s="29"/>
      <c r="BA457" s="25"/>
      <c r="BB457" s="13"/>
      <c r="BG457" s="116"/>
      <c r="BH457" s="123"/>
      <c r="BI457" s="123"/>
      <c r="BJ457" s="123"/>
      <c r="BO457" s="115"/>
      <c r="BP457" s="115"/>
      <c r="BQ457" s="115"/>
      <c r="BR457" s="115"/>
      <c r="BS457" s="115"/>
      <c r="BT457" s="115"/>
      <c r="BU457" s="115"/>
      <c r="BV457" s="115"/>
      <c r="BW457" s="115"/>
      <c r="BX457" s="115"/>
      <c r="BY457" s="25"/>
      <c r="BZ457" s="13"/>
      <c r="CC457" s="114"/>
    </row>
    <row r="458" spans="1:81" ht="20.100000000000001" customHeight="1" x14ac:dyDescent="0.4">
      <c r="A458" s="117"/>
      <c r="B458" s="123"/>
      <c r="C458" s="123"/>
      <c r="D458" s="123"/>
      <c r="Z458" s="25"/>
      <c r="AA458" s="13"/>
      <c r="AE458" s="115"/>
      <c r="AF458" s="115"/>
      <c r="AG458" s="115"/>
      <c r="AH458" s="115"/>
      <c r="AI458" s="115"/>
      <c r="AJ458" s="115"/>
      <c r="AK458" s="115"/>
      <c r="AL458" s="115"/>
      <c r="AM458" s="115"/>
      <c r="AN458" s="115"/>
      <c r="AO458" s="115"/>
      <c r="AP458" s="127"/>
      <c r="AQ458" s="29"/>
      <c r="BA458" s="25"/>
      <c r="BB458" s="13"/>
      <c r="BG458" s="116"/>
      <c r="BH458" s="123"/>
      <c r="BI458" s="123"/>
      <c r="BJ458" s="123"/>
      <c r="BO458" s="115"/>
      <c r="BP458" s="115"/>
      <c r="BQ458" s="115"/>
      <c r="BR458" s="115"/>
      <c r="BS458" s="115"/>
      <c r="BT458" s="115"/>
      <c r="BU458" s="115"/>
      <c r="BV458" s="115"/>
      <c r="BW458" s="115"/>
      <c r="BX458" s="115"/>
      <c r="BY458" s="25"/>
      <c r="BZ458" s="13"/>
      <c r="CC458" s="114"/>
    </row>
    <row r="459" spans="1:81" ht="20.100000000000001" customHeight="1" x14ac:dyDescent="0.4">
      <c r="A459" s="117"/>
      <c r="B459" s="123"/>
      <c r="C459" s="123"/>
      <c r="D459" s="123"/>
      <c r="Z459" s="25"/>
      <c r="AA459" s="13"/>
      <c r="AE459" s="115"/>
      <c r="AF459" s="115"/>
      <c r="AG459" s="115"/>
      <c r="AH459" s="115"/>
      <c r="AI459" s="115"/>
      <c r="AJ459" s="115"/>
      <c r="AK459" s="115"/>
      <c r="AL459" s="115"/>
      <c r="AM459" s="115"/>
      <c r="AN459" s="115"/>
      <c r="AO459" s="115"/>
      <c r="AP459" s="127"/>
      <c r="AQ459" s="29"/>
      <c r="BA459" s="25"/>
      <c r="BB459" s="13"/>
      <c r="BG459" s="116"/>
      <c r="BH459" s="123"/>
      <c r="BI459" s="123"/>
      <c r="BJ459" s="123"/>
      <c r="BO459" s="115"/>
      <c r="BP459" s="115"/>
      <c r="BQ459" s="115"/>
      <c r="BR459" s="115"/>
      <c r="BS459" s="115"/>
      <c r="BT459" s="115"/>
      <c r="BU459" s="115"/>
      <c r="BV459" s="115"/>
      <c r="BW459" s="115"/>
      <c r="BX459" s="115"/>
      <c r="BY459" s="25"/>
      <c r="BZ459" s="13"/>
      <c r="CC459" s="114"/>
    </row>
    <row r="460" spans="1:81" ht="20.100000000000001" customHeight="1" x14ac:dyDescent="0.4">
      <c r="A460" s="117"/>
      <c r="B460" s="123"/>
      <c r="C460" s="123"/>
      <c r="D460" s="123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25"/>
      <c r="AA460" s="13"/>
      <c r="AE460" s="115"/>
      <c r="AF460" s="115"/>
      <c r="AG460" s="115"/>
      <c r="AH460" s="115"/>
      <c r="AI460" s="115"/>
      <c r="AJ460" s="115"/>
      <c r="AK460" s="115"/>
      <c r="AL460" s="115"/>
      <c r="AM460" s="115"/>
      <c r="AN460" s="115"/>
      <c r="AO460" s="115"/>
      <c r="AP460" s="127"/>
      <c r="AQ460" s="29"/>
      <c r="BA460" s="25"/>
      <c r="BB460" s="13"/>
      <c r="BG460" s="116"/>
      <c r="BH460" s="123"/>
      <c r="BI460" s="123"/>
      <c r="BJ460" s="123"/>
      <c r="BO460" s="115"/>
      <c r="BP460" s="115"/>
      <c r="BQ460" s="115"/>
      <c r="BR460" s="115"/>
      <c r="BS460" s="115"/>
      <c r="BT460" s="115"/>
      <c r="BU460" s="115"/>
      <c r="BV460" s="115"/>
      <c r="BW460" s="115"/>
      <c r="BX460" s="115"/>
      <c r="BY460" s="25"/>
      <c r="BZ460" s="13"/>
      <c r="CC460" s="114"/>
    </row>
    <row r="461" spans="1:81" ht="20.100000000000001" customHeight="1" x14ac:dyDescent="0.4">
      <c r="A461" s="117"/>
      <c r="B461" s="123"/>
      <c r="C461" s="123"/>
      <c r="D461" s="123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3"/>
      <c r="AA461" s="13"/>
      <c r="AE461" s="115"/>
      <c r="AF461" s="115"/>
      <c r="AG461" s="115"/>
      <c r="AH461" s="115"/>
      <c r="AI461" s="115"/>
      <c r="AJ461" s="115"/>
      <c r="AK461" s="115"/>
      <c r="AL461" s="115"/>
      <c r="AM461" s="115"/>
      <c r="AN461" s="115"/>
      <c r="AO461" s="115"/>
      <c r="AP461" s="127"/>
      <c r="AQ461" s="29"/>
      <c r="BA461" s="25"/>
      <c r="BB461" s="13"/>
      <c r="BG461" s="116"/>
      <c r="BH461" s="123"/>
      <c r="BI461" s="123"/>
      <c r="BJ461" s="123"/>
      <c r="BO461" s="115"/>
      <c r="BP461" s="115"/>
      <c r="BQ461" s="115"/>
      <c r="BR461" s="115"/>
      <c r="BS461" s="115"/>
      <c r="BT461" s="115"/>
      <c r="BU461" s="115"/>
      <c r="BV461" s="115"/>
      <c r="BW461" s="115"/>
      <c r="BX461" s="115"/>
      <c r="BY461" s="25"/>
      <c r="BZ461" s="13"/>
      <c r="CC461" s="114"/>
    </row>
    <row r="462" spans="1:81" ht="20.100000000000001" customHeight="1" x14ac:dyDescent="0.4">
      <c r="A462" s="117"/>
      <c r="B462" s="123"/>
      <c r="C462" s="123"/>
      <c r="D462" s="123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25"/>
      <c r="AA462" s="13"/>
      <c r="AE462" s="115"/>
      <c r="AF462" s="115"/>
      <c r="AG462" s="115"/>
      <c r="AH462" s="115"/>
      <c r="AI462" s="115"/>
      <c r="AJ462" s="115"/>
      <c r="AK462" s="115"/>
      <c r="AL462" s="115"/>
      <c r="AM462" s="115"/>
      <c r="AN462" s="115"/>
      <c r="AO462" s="115"/>
      <c r="AP462" s="127"/>
      <c r="AQ462" s="29"/>
      <c r="BA462" s="25"/>
      <c r="BB462" s="13"/>
      <c r="BG462" s="116"/>
      <c r="BH462" s="123"/>
      <c r="BI462" s="123"/>
      <c r="BJ462" s="123"/>
      <c r="BO462" s="115"/>
      <c r="BP462" s="115"/>
      <c r="BQ462" s="115"/>
      <c r="BR462" s="115"/>
      <c r="BS462" s="115"/>
      <c r="BT462" s="115"/>
      <c r="BU462" s="115"/>
      <c r="BV462" s="115"/>
      <c r="BW462" s="115"/>
      <c r="BX462" s="115"/>
      <c r="BY462" s="25"/>
      <c r="BZ462" s="13"/>
      <c r="CC462" s="114"/>
    </row>
    <row r="463" spans="1:81" ht="20.100000000000001" customHeight="1" x14ac:dyDescent="0.4">
      <c r="A463" s="117"/>
      <c r="B463" s="123"/>
      <c r="C463" s="123"/>
      <c r="D463" s="123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3"/>
      <c r="AA463" s="13"/>
      <c r="AE463" s="115"/>
      <c r="AF463" s="115"/>
      <c r="AG463" s="115"/>
      <c r="AH463" s="115"/>
      <c r="AI463" s="115"/>
      <c r="AJ463" s="115"/>
      <c r="AK463" s="115"/>
      <c r="AL463" s="115"/>
      <c r="AM463" s="115"/>
      <c r="AN463" s="115"/>
      <c r="AO463" s="115"/>
      <c r="AP463" s="127"/>
      <c r="AQ463" s="29"/>
      <c r="BA463" s="25"/>
      <c r="BB463" s="13"/>
      <c r="BG463" s="116"/>
      <c r="BH463" s="123"/>
      <c r="BI463" s="123"/>
      <c r="BJ463" s="123"/>
      <c r="BO463" s="115"/>
      <c r="BP463" s="115"/>
      <c r="BQ463" s="115"/>
      <c r="BR463" s="115"/>
      <c r="BS463" s="115"/>
      <c r="BT463" s="115"/>
      <c r="BU463" s="115"/>
      <c r="BV463" s="115"/>
      <c r="BW463" s="115"/>
      <c r="BX463" s="115"/>
      <c r="BY463" s="25"/>
      <c r="BZ463" s="13"/>
      <c r="CC463" s="114"/>
    </row>
    <row r="464" spans="1:81" ht="20.100000000000001" customHeight="1" x14ac:dyDescent="0.4">
      <c r="A464" s="117"/>
      <c r="B464" s="123"/>
      <c r="C464" s="123"/>
      <c r="D464" s="123"/>
      <c r="Z464" s="25"/>
      <c r="AA464" s="13"/>
      <c r="AE464" s="115"/>
      <c r="AF464" s="115"/>
      <c r="AG464" s="115"/>
      <c r="AH464" s="115"/>
      <c r="AI464" s="115"/>
      <c r="AJ464" s="115"/>
      <c r="AK464" s="115"/>
      <c r="AL464" s="115"/>
      <c r="AM464" s="115"/>
      <c r="AN464" s="115"/>
      <c r="AO464" s="115"/>
      <c r="AP464" s="127"/>
      <c r="AQ464" s="29"/>
      <c r="BA464" s="25"/>
      <c r="BB464" s="13"/>
      <c r="BG464" s="116"/>
      <c r="BH464" s="123"/>
      <c r="BI464" s="123"/>
      <c r="BJ464" s="123"/>
      <c r="BO464" s="115"/>
      <c r="BP464" s="115"/>
      <c r="BQ464" s="115"/>
      <c r="BR464" s="115"/>
      <c r="BS464" s="115"/>
      <c r="BT464" s="115"/>
      <c r="BU464" s="115"/>
      <c r="BV464" s="115"/>
      <c r="BW464" s="115"/>
      <c r="BX464" s="115"/>
      <c r="BY464" s="25"/>
      <c r="BZ464" s="13"/>
      <c r="CC464" s="114"/>
    </row>
    <row r="465" spans="1:81" ht="20.100000000000001" customHeight="1" x14ac:dyDescent="0.4">
      <c r="A465" s="117"/>
      <c r="B465" s="123"/>
      <c r="C465" s="123"/>
      <c r="D465" s="123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3"/>
      <c r="AA465" s="13"/>
      <c r="AE465" s="115"/>
      <c r="AF465" s="115"/>
      <c r="AG465" s="115"/>
      <c r="AH465" s="115"/>
      <c r="AI465" s="115"/>
      <c r="AJ465" s="115"/>
      <c r="AK465" s="115"/>
      <c r="AL465" s="115"/>
      <c r="AM465" s="115"/>
      <c r="AN465" s="115"/>
      <c r="AO465" s="115"/>
      <c r="AP465" s="127"/>
      <c r="AQ465" s="29"/>
      <c r="BA465" s="25"/>
      <c r="BB465" s="13"/>
      <c r="BG465" s="116"/>
      <c r="BH465" s="123"/>
      <c r="BI465" s="123"/>
      <c r="BJ465" s="123"/>
      <c r="BO465" s="115"/>
      <c r="BP465" s="115"/>
      <c r="BQ465" s="115"/>
      <c r="BR465" s="115"/>
      <c r="BS465" s="115"/>
      <c r="BT465" s="115"/>
      <c r="BU465" s="115"/>
      <c r="BV465" s="115"/>
      <c r="BW465" s="115"/>
      <c r="BX465" s="115"/>
      <c r="BY465" s="25"/>
      <c r="BZ465" s="13"/>
      <c r="CC465" s="114"/>
    </row>
    <row r="466" spans="1:81" ht="20.100000000000001" customHeight="1" x14ac:dyDescent="0.4">
      <c r="A466" s="117"/>
      <c r="B466" s="123"/>
      <c r="C466" s="123"/>
      <c r="D466" s="123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3"/>
      <c r="AA466" s="13"/>
      <c r="AE466" s="115"/>
      <c r="AF466" s="115"/>
      <c r="AG466" s="115"/>
      <c r="AH466" s="115"/>
      <c r="AI466" s="115"/>
      <c r="AJ466" s="115"/>
      <c r="AK466" s="115"/>
      <c r="AL466" s="115"/>
      <c r="AM466" s="115"/>
      <c r="AN466" s="115"/>
      <c r="AO466" s="115"/>
      <c r="AP466" s="127"/>
      <c r="AQ466" s="29"/>
      <c r="BA466" s="25"/>
      <c r="BB466" s="13"/>
      <c r="BG466" s="116"/>
      <c r="BH466" s="123"/>
      <c r="BI466" s="123"/>
      <c r="BJ466" s="123"/>
      <c r="BO466" s="115"/>
      <c r="BP466" s="115"/>
      <c r="BQ466" s="115"/>
      <c r="BR466" s="115"/>
      <c r="BS466" s="115"/>
      <c r="BT466" s="115"/>
      <c r="BU466" s="115"/>
      <c r="BV466" s="115"/>
      <c r="BW466" s="115"/>
      <c r="BX466" s="115"/>
      <c r="BY466" s="25"/>
      <c r="BZ466" s="13"/>
      <c r="CC466" s="114"/>
    </row>
    <row r="467" spans="1:81" ht="20.100000000000001" customHeight="1" x14ac:dyDescent="0.4">
      <c r="A467" s="117"/>
      <c r="B467" s="123"/>
      <c r="C467" s="123"/>
      <c r="D467" s="123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25"/>
      <c r="AA467" s="15"/>
      <c r="AE467" s="115"/>
      <c r="AF467" s="115"/>
      <c r="AG467" s="115"/>
      <c r="AH467" s="115"/>
      <c r="AI467" s="115"/>
      <c r="AJ467" s="115"/>
      <c r="AK467" s="115"/>
      <c r="AL467" s="115"/>
      <c r="AM467" s="115"/>
      <c r="AN467" s="115"/>
      <c r="AO467" s="115"/>
      <c r="AP467" s="127"/>
      <c r="AQ467" s="29"/>
      <c r="BA467" s="25"/>
      <c r="BB467" s="13"/>
      <c r="BG467" s="116"/>
      <c r="BH467" s="123"/>
      <c r="BI467" s="123"/>
      <c r="BJ467" s="123"/>
      <c r="BO467" s="115"/>
      <c r="BP467" s="115"/>
      <c r="BQ467" s="115"/>
      <c r="BR467" s="115"/>
      <c r="BS467" s="115"/>
      <c r="BT467" s="115"/>
      <c r="BU467" s="115"/>
      <c r="BV467" s="115"/>
      <c r="BW467" s="115"/>
      <c r="BX467" s="115"/>
      <c r="BY467" s="25"/>
      <c r="BZ467" s="13"/>
      <c r="CC467" s="114"/>
    </row>
    <row r="468" spans="1:81" ht="20.100000000000001" customHeight="1" x14ac:dyDescent="0.4">
      <c r="A468" s="117"/>
      <c r="B468" s="123"/>
      <c r="C468" s="123"/>
      <c r="D468" s="123"/>
      <c r="Z468" s="25"/>
      <c r="AA468" s="15"/>
      <c r="AE468" s="115"/>
      <c r="AF468" s="115"/>
      <c r="AG468" s="115"/>
      <c r="AH468" s="115"/>
      <c r="AI468" s="115"/>
      <c r="AJ468" s="115"/>
      <c r="AK468" s="115"/>
      <c r="AL468" s="115"/>
      <c r="AM468" s="115"/>
      <c r="AN468" s="115"/>
      <c r="AO468" s="115"/>
      <c r="AP468" s="127"/>
      <c r="AQ468" s="29"/>
      <c r="BA468" s="25"/>
      <c r="BB468" s="13"/>
      <c r="BG468" s="116"/>
      <c r="BH468" s="123"/>
      <c r="BI468" s="123"/>
      <c r="BJ468" s="123"/>
      <c r="BO468" s="115"/>
      <c r="BP468" s="115"/>
      <c r="BQ468" s="115"/>
      <c r="BR468" s="115"/>
      <c r="BS468" s="115"/>
      <c r="BT468" s="115"/>
      <c r="BU468" s="115"/>
      <c r="BV468" s="115"/>
      <c r="BW468" s="115"/>
      <c r="BX468" s="115"/>
      <c r="BY468" s="25"/>
      <c r="BZ468" s="13"/>
      <c r="CC468" s="114"/>
    </row>
    <row r="469" spans="1:81" ht="20.100000000000001" customHeight="1" x14ac:dyDescent="0.4">
      <c r="A469" s="117"/>
      <c r="B469" s="123"/>
      <c r="C469" s="123"/>
      <c r="D469" s="123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25"/>
      <c r="AA469" s="13"/>
      <c r="AE469" s="115"/>
      <c r="AF469" s="115"/>
      <c r="AG469" s="115"/>
      <c r="AH469" s="115"/>
      <c r="AI469" s="115"/>
      <c r="AJ469" s="115"/>
      <c r="AK469" s="115"/>
      <c r="AL469" s="115"/>
      <c r="AM469" s="115"/>
      <c r="AN469" s="115"/>
      <c r="AO469" s="115"/>
      <c r="AP469" s="127"/>
      <c r="AQ469" s="29"/>
      <c r="BA469" s="25"/>
      <c r="BB469" s="13"/>
      <c r="BG469" s="116"/>
      <c r="BH469" s="123"/>
      <c r="BI469" s="123"/>
      <c r="BJ469" s="123"/>
      <c r="BO469" s="115"/>
      <c r="BP469" s="115"/>
      <c r="BQ469" s="115"/>
      <c r="BR469" s="115"/>
      <c r="BS469" s="115"/>
      <c r="BT469" s="115"/>
      <c r="BU469" s="115"/>
      <c r="BV469" s="115"/>
      <c r="BW469" s="115"/>
      <c r="BX469" s="115"/>
      <c r="BY469" s="25"/>
      <c r="BZ469" s="13"/>
      <c r="CC469" s="114"/>
    </row>
    <row r="470" spans="1:81" ht="20.100000000000001" customHeight="1" x14ac:dyDescent="0.4">
      <c r="A470" s="117"/>
      <c r="B470" s="123"/>
      <c r="C470" s="123"/>
      <c r="D470" s="123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25"/>
      <c r="AA470" s="13"/>
      <c r="AE470" s="115"/>
      <c r="AF470" s="115"/>
      <c r="AG470" s="115"/>
      <c r="AH470" s="115"/>
      <c r="AI470" s="115"/>
      <c r="AJ470" s="115"/>
      <c r="AK470" s="115"/>
      <c r="AL470" s="115"/>
      <c r="AM470" s="115"/>
      <c r="AN470" s="115"/>
      <c r="AO470" s="115"/>
      <c r="AP470" s="127"/>
      <c r="AQ470" s="29"/>
      <c r="BA470" s="25"/>
      <c r="BB470" s="13"/>
      <c r="BG470" s="116"/>
      <c r="BH470" s="123"/>
      <c r="BI470" s="123"/>
      <c r="BJ470" s="123"/>
      <c r="BO470" s="115"/>
      <c r="BP470" s="115"/>
      <c r="BQ470" s="115"/>
      <c r="BR470" s="115"/>
      <c r="BS470" s="115"/>
      <c r="BT470" s="115"/>
      <c r="BU470" s="115"/>
      <c r="BV470" s="115"/>
      <c r="BW470" s="115"/>
      <c r="BX470" s="115"/>
      <c r="BY470" s="25"/>
      <c r="BZ470" s="13"/>
      <c r="CC470" s="114"/>
    </row>
    <row r="471" spans="1:81" ht="20.100000000000001" customHeight="1" x14ac:dyDescent="0.4">
      <c r="A471" s="117"/>
      <c r="B471" s="123"/>
      <c r="C471" s="123"/>
      <c r="D471" s="123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25"/>
      <c r="AA471" s="13"/>
      <c r="AE471" s="115"/>
      <c r="AF471" s="115"/>
      <c r="AG471" s="115"/>
      <c r="AH471" s="115"/>
      <c r="AI471" s="115"/>
      <c r="AJ471" s="115"/>
      <c r="AK471" s="115"/>
      <c r="AL471" s="115"/>
      <c r="AM471" s="115"/>
      <c r="AN471" s="115"/>
      <c r="AO471" s="115"/>
      <c r="AP471" s="127"/>
      <c r="AQ471" s="29"/>
      <c r="BA471" s="25"/>
      <c r="BB471" s="13"/>
      <c r="BG471" s="116"/>
      <c r="BH471" s="123"/>
      <c r="BI471" s="123"/>
      <c r="BJ471" s="123"/>
      <c r="BO471" s="115"/>
      <c r="BP471" s="115"/>
      <c r="BQ471" s="115"/>
      <c r="BR471" s="115"/>
      <c r="BS471" s="115"/>
      <c r="BT471" s="115"/>
      <c r="BU471" s="115"/>
      <c r="BV471" s="115"/>
      <c r="BW471" s="115"/>
      <c r="BX471" s="115"/>
      <c r="BY471" s="25"/>
      <c r="BZ471" s="13"/>
      <c r="CC471" s="114"/>
    </row>
    <row r="472" spans="1:81" ht="20.100000000000001" customHeight="1" x14ac:dyDescent="0.4">
      <c r="A472" s="117"/>
      <c r="B472" s="123"/>
      <c r="C472" s="123"/>
      <c r="D472" s="123"/>
      <c r="Z472" s="25"/>
      <c r="AA472" s="13"/>
      <c r="AE472" s="115"/>
      <c r="AF472" s="115"/>
      <c r="AG472" s="115"/>
      <c r="AH472" s="115"/>
      <c r="AI472" s="115"/>
      <c r="AJ472" s="115"/>
      <c r="AK472" s="115"/>
      <c r="AL472" s="115"/>
      <c r="AM472" s="115"/>
      <c r="AN472" s="115"/>
      <c r="AO472" s="115"/>
      <c r="AP472" s="127"/>
      <c r="AQ472" s="29"/>
      <c r="BA472" s="25"/>
      <c r="BB472" s="13"/>
      <c r="BG472" s="116"/>
      <c r="BH472" s="123"/>
      <c r="BI472" s="123"/>
      <c r="BJ472" s="123"/>
      <c r="BO472" s="115"/>
      <c r="BP472" s="115"/>
      <c r="BQ472" s="115"/>
      <c r="BR472" s="115"/>
      <c r="BS472" s="115"/>
      <c r="BT472" s="115"/>
      <c r="BU472" s="115"/>
      <c r="BV472" s="115"/>
      <c r="BW472" s="115"/>
      <c r="BX472" s="115"/>
      <c r="BY472" s="25"/>
      <c r="BZ472" s="13"/>
      <c r="CC472" s="114"/>
    </row>
    <row r="473" spans="1:81" ht="20.100000000000001" customHeight="1" x14ac:dyDescent="0.4">
      <c r="A473" s="117"/>
      <c r="B473" s="123"/>
      <c r="C473" s="123"/>
      <c r="D473" s="123"/>
      <c r="Z473" s="25"/>
      <c r="AA473" s="13"/>
      <c r="AE473" s="115"/>
      <c r="AF473" s="115"/>
      <c r="AG473" s="115"/>
      <c r="AH473" s="115"/>
      <c r="AI473" s="115"/>
      <c r="AJ473" s="115"/>
      <c r="AK473" s="115"/>
      <c r="AL473" s="115"/>
      <c r="AM473" s="115"/>
      <c r="AN473" s="115"/>
      <c r="AO473" s="115"/>
      <c r="AP473" s="29"/>
      <c r="AQ473" s="29"/>
      <c r="BA473" s="25"/>
      <c r="BB473" s="13"/>
      <c r="BG473" s="116"/>
      <c r="BH473" s="123"/>
      <c r="BI473" s="123"/>
      <c r="BJ473" s="123"/>
      <c r="BO473" s="115"/>
      <c r="BP473" s="115"/>
      <c r="BQ473" s="115"/>
      <c r="BR473" s="115"/>
      <c r="BS473" s="115"/>
      <c r="BT473" s="115"/>
      <c r="BU473" s="115"/>
      <c r="BV473" s="115"/>
      <c r="BW473" s="115"/>
      <c r="BX473" s="115"/>
      <c r="BY473" s="25"/>
      <c r="BZ473" s="13"/>
      <c r="CC473" s="114"/>
    </row>
    <row r="474" spans="1:81" ht="20.100000000000001" customHeight="1" x14ac:dyDescent="0.4">
      <c r="A474" s="117"/>
      <c r="B474" s="123"/>
      <c r="C474" s="123"/>
      <c r="D474" s="123"/>
      <c r="Z474" s="25"/>
      <c r="AA474" s="13"/>
      <c r="AE474" s="115"/>
      <c r="AF474" s="115"/>
      <c r="AG474" s="115"/>
      <c r="AH474" s="115"/>
      <c r="AI474" s="115"/>
      <c r="AJ474" s="115"/>
      <c r="AK474" s="115"/>
      <c r="AL474" s="115"/>
      <c r="AM474" s="115"/>
      <c r="AN474" s="115"/>
      <c r="AO474" s="115"/>
      <c r="AP474" s="127"/>
      <c r="AQ474" s="29"/>
      <c r="BA474" s="25"/>
      <c r="BB474" s="13"/>
      <c r="BG474" s="116"/>
      <c r="BH474" s="123"/>
      <c r="BI474" s="123"/>
      <c r="BJ474" s="123"/>
      <c r="BO474" s="115"/>
      <c r="BP474" s="115"/>
      <c r="BQ474" s="115"/>
      <c r="BR474" s="115"/>
      <c r="BS474" s="115"/>
      <c r="BT474" s="115"/>
      <c r="BU474" s="115"/>
      <c r="BV474" s="115"/>
      <c r="BW474" s="115"/>
      <c r="BX474" s="115"/>
      <c r="BY474" s="25"/>
      <c r="BZ474" s="13"/>
      <c r="CC474" s="114"/>
    </row>
    <row r="475" spans="1:81" ht="20.100000000000001" customHeight="1" x14ac:dyDescent="0.4">
      <c r="A475" s="117"/>
      <c r="B475" s="123"/>
      <c r="C475" s="123"/>
      <c r="D475" s="123"/>
      <c r="Z475" s="25"/>
      <c r="AA475" s="13"/>
      <c r="AE475" s="115"/>
      <c r="AF475" s="115"/>
      <c r="AG475" s="115"/>
      <c r="AH475" s="115"/>
      <c r="AI475" s="115"/>
      <c r="AJ475" s="115"/>
      <c r="AK475" s="115"/>
      <c r="AL475" s="115"/>
      <c r="AM475" s="115"/>
      <c r="AN475" s="115"/>
      <c r="AO475" s="115"/>
      <c r="AP475" s="127"/>
      <c r="AQ475" s="29"/>
      <c r="BA475" s="25"/>
      <c r="BB475" s="13"/>
      <c r="BG475" s="116"/>
      <c r="BH475" s="123"/>
      <c r="BI475" s="123"/>
      <c r="BJ475" s="123"/>
      <c r="BO475" s="115"/>
      <c r="BP475" s="115"/>
      <c r="BQ475" s="115"/>
      <c r="BR475" s="115"/>
      <c r="BS475" s="115"/>
      <c r="BT475" s="115"/>
      <c r="BU475" s="115"/>
      <c r="BV475" s="115"/>
      <c r="BW475" s="115"/>
      <c r="BX475" s="115"/>
      <c r="BY475" s="25"/>
      <c r="BZ475" s="13"/>
      <c r="CC475" s="114"/>
    </row>
    <row r="476" spans="1:81" ht="20.100000000000001" customHeight="1" x14ac:dyDescent="0.4">
      <c r="A476" s="117"/>
      <c r="B476" s="123"/>
      <c r="C476" s="123"/>
      <c r="D476" s="123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25"/>
      <c r="AA476" s="13"/>
      <c r="AE476" s="115"/>
      <c r="AF476" s="115"/>
      <c r="AG476" s="115"/>
      <c r="AH476" s="115"/>
      <c r="AI476" s="115"/>
      <c r="AJ476" s="115"/>
      <c r="AK476" s="115"/>
      <c r="AL476" s="115"/>
      <c r="AM476" s="115"/>
      <c r="AN476" s="115"/>
      <c r="AO476" s="115"/>
      <c r="AP476" s="127"/>
      <c r="AQ476" s="29"/>
      <c r="BA476" s="25"/>
      <c r="BB476" s="13"/>
      <c r="BG476" s="116"/>
      <c r="BH476" s="123"/>
      <c r="BI476" s="123"/>
      <c r="BJ476" s="123"/>
      <c r="BO476" s="115"/>
      <c r="BP476" s="115"/>
      <c r="BQ476" s="115"/>
      <c r="BR476" s="115"/>
      <c r="BS476" s="115"/>
      <c r="BT476" s="115"/>
      <c r="BU476" s="115"/>
      <c r="BV476" s="115"/>
      <c r="BW476" s="115"/>
      <c r="BX476" s="115"/>
      <c r="BY476" s="25"/>
      <c r="BZ476" s="13"/>
      <c r="CC476" s="114"/>
    </row>
    <row r="477" spans="1:81" ht="20.100000000000001" customHeight="1" x14ac:dyDescent="0.4">
      <c r="A477" s="117"/>
      <c r="B477" s="123"/>
      <c r="C477" s="123"/>
      <c r="D477" s="123"/>
      <c r="Z477" s="25"/>
      <c r="AA477" s="13"/>
      <c r="AE477" s="115"/>
      <c r="AF477" s="115"/>
      <c r="AG477" s="115"/>
      <c r="AH477" s="115"/>
      <c r="AI477" s="115"/>
      <c r="AJ477" s="115"/>
      <c r="AK477" s="115"/>
      <c r="AL477" s="115"/>
      <c r="AM477" s="115"/>
      <c r="AN477" s="115"/>
      <c r="AO477" s="115"/>
      <c r="AP477" s="127"/>
      <c r="AQ477" s="29"/>
      <c r="BA477" s="25"/>
      <c r="BB477" s="13"/>
      <c r="BG477" s="116"/>
      <c r="BH477" s="123"/>
      <c r="BI477" s="123"/>
      <c r="BJ477" s="123"/>
      <c r="BO477" s="115"/>
      <c r="BP477" s="115"/>
      <c r="BQ477" s="115"/>
      <c r="BR477" s="115"/>
      <c r="BS477" s="115"/>
      <c r="BT477" s="115"/>
      <c r="BU477" s="115"/>
      <c r="BV477" s="115"/>
      <c r="BW477" s="115"/>
      <c r="BX477" s="115"/>
      <c r="BY477" s="25"/>
      <c r="BZ477" s="13"/>
      <c r="CC477" s="114"/>
    </row>
    <row r="478" spans="1:81" ht="20.100000000000001" customHeight="1" x14ac:dyDescent="0.4">
      <c r="A478" s="117"/>
      <c r="B478" s="123"/>
      <c r="C478" s="123"/>
      <c r="D478" s="123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3"/>
      <c r="AA478" s="13"/>
      <c r="AE478" s="115"/>
      <c r="AF478" s="115"/>
      <c r="AG478" s="115"/>
      <c r="AH478" s="115"/>
      <c r="AI478" s="115"/>
      <c r="AJ478" s="115"/>
      <c r="AK478" s="115"/>
      <c r="AL478" s="115"/>
      <c r="AM478" s="115"/>
      <c r="AN478" s="115"/>
      <c r="AO478" s="115"/>
      <c r="AP478" s="127"/>
      <c r="AQ478" s="29"/>
      <c r="BA478" s="25"/>
      <c r="BB478" s="13"/>
      <c r="BG478" s="116"/>
      <c r="BH478" s="123"/>
      <c r="BI478" s="123"/>
      <c r="BJ478" s="123"/>
      <c r="BO478" s="115"/>
      <c r="BP478" s="115"/>
      <c r="BQ478" s="115"/>
      <c r="BR478" s="115"/>
      <c r="BS478" s="115"/>
      <c r="BT478" s="115"/>
      <c r="BU478" s="115"/>
      <c r="BV478" s="115"/>
      <c r="BW478" s="115"/>
      <c r="BX478" s="115"/>
      <c r="BY478" s="25"/>
      <c r="BZ478" s="13"/>
      <c r="CC478" s="114"/>
    </row>
    <row r="479" spans="1:81" ht="20.100000000000001" customHeight="1" x14ac:dyDescent="0.4">
      <c r="A479" s="117"/>
      <c r="B479" s="123"/>
      <c r="C479" s="123"/>
      <c r="D479" s="123"/>
      <c r="Z479" s="25"/>
      <c r="AA479" s="13"/>
      <c r="AE479" s="115"/>
      <c r="AF479" s="115"/>
      <c r="AG479" s="115"/>
      <c r="AH479" s="115"/>
      <c r="AI479" s="115"/>
      <c r="AJ479" s="115"/>
      <c r="AK479" s="115"/>
      <c r="AL479" s="115"/>
      <c r="AM479" s="115"/>
      <c r="AN479" s="115"/>
      <c r="AO479" s="115"/>
      <c r="AP479" s="127"/>
      <c r="AQ479" s="29"/>
      <c r="BA479" s="25"/>
      <c r="BB479" s="13"/>
      <c r="BG479" s="116"/>
      <c r="BH479" s="123"/>
      <c r="BI479" s="123"/>
      <c r="BJ479" s="123"/>
      <c r="BO479" s="115"/>
      <c r="BP479" s="115"/>
      <c r="BQ479" s="115"/>
      <c r="BR479" s="115"/>
      <c r="BS479" s="115"/>
      <c r="BT479" s="115"/>
      <c r="BU479" s="115"/>
      <c r="BV479" s="115"/>
      <c r="BW479" s="115"/>
      <c r="BX479" s="115"/>
      <c r="BY479" s="25"/>
      <c r="BZ479" s="13"/>
      <c r="CC479" s="114"/>
    </row>
    <row r="480" spans="1:81" ht="20.100000000000001" customHeight="1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25"/>
      <c r="AA480" s="13"/>
      <c r="AE480" s="115"/>
      <c r="AF480" s="115"/>
      <c r="AG480" s="115"/>
      <c r="AH480" s="115"/>
      <c r="AI480" s="115"/>
      <c r="AJ480" s="115"/>
      <c r="AK480" s="115"/>
      <c r="AL480" s="115"/>
      <c r="AM480" s="115"/>
      <c r="AN480" s="115"/>
      <c r="AO480" s="115"/>
      <c r="AP480" s="127"/>
      <c r="AQ480" s="29"/>
      <c r="BA480" s="25"/>
      <c r="BB480" s="13"/>
      <c r="BG480" s="116"/>
      <c r="BH480" s="123"/>
      <c r="BI480" s="123"/>
      <c r="BJ480" s="123"/>
      <c r="BO480" s="115"/>
      <c r="BP480" s="115"/>
      <c r="BQ480" s="115"/>
      <c r="BR480" s="115"/>
      <c r="BS480" s="115"/>
      <c r="BT480" s="115"/>
      <c r="BU480" s="115"/>
      <c r="BV480" s="115"/>
      <c r="BW480" s="115"/>
      <c r="BX480" s="115"/>
      <c r="BY480" s="25"/>
      <c r="BZ480" s="13"/>
      <c r="CC480" s="114"/>
    </row>
    <row r="481" spans="1:81" ht="20.100000000000001" customHeight="1" x14ac:dyDescent="0.4">
      <c r="A481" s="117"/>
      <c r="B481" s="123"/>
      <c r="C481" s="123"/>
      <c r="D481" s="123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25"/>
      <c r="AA481" s="13"/>
      <c r="AE481" s="115"/>
      <c r="AF481" s="115"/>
      <c r="AG481" s="115"/>
      <c r="AH481" s="115"/>
      <c r="AI481" s="115"/>
      <c r="AJ481" s="115"/>
      <c r="AK481" s="115"/>
      <c r="AL481" s="115"/>
      <c r="AM481" s="115"/>
      <c r="AN481" s="115"/>
      <c r="AO481" s="115"/>
      <c r="AP481" s="127"/>
      <c r="AQ481" s="29"/>
      <c r="BA481" s="25"/>
      <c r="BB481" s="13"/>
      <c r="BG481" s="116"/>
      <c r="BH481" s="123"/>
      <c r="BI481" s="123"/>
      <c r="BJ481" s="123"/>
      <c r="BO481" s="115"/>
      <c r="BP481" s="115"/>
      <c r="BQ481" s="115"/>
      <c r="BR481" s="115"/>
      <c r="BS481" s="115"/>
      <c r="BT481" s="115"/>
      <c r="BU481" s="115"/>
      <c r="BV481" s="115"/>
      <c r="BW481" s="115"/>
      <c r="BX481" s="115"/>
      <c r="BY481" s="25"/>
      <c r="BZ481" s="13"/>
      <c r="CC481" s="114"/>
    </row>
    <row r="482" spans="1:81" ht="20.100000000000001" customHeight="1" x14ac:dyDescent="0.4">
      <c r="A482" s="117"/>
      <c r="B482" s="123"/>
      <c r="C482" s="123"/>
      <c r="D482" s="123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3"/>
      <c r="AA482" s="13"/>
      <c r="AE482" s="115"/>
      <c r="AF482" s="115"/>
      <c r="AG482" s="115"/>
      <c r="AH482" s="115"/>
      <c r="AI482" s="115"/>
      <c r="AJ482" s="115"/>
      <c r="AK482" s="115"/>
      <c r="AL482" s="115"/>
      <c r="AM482" s="115"/>
      <c r="AN482" s="115"/>
      <c r="AO482" s="115"/>
      <c r="AP482" s="127"/>
      <c r="AQ482" s="29"/>
      <c r="BA482" s="25"/>
      <c r="BB482" s="13"/>
      <c r="BG482" s="116"/>
      <c r="BH482" s="123"/>
      <c r="BI482" s="123"/>
      <c r="BJ482" s="123"/>
      <c r="BO482" s="115"/>
      <c r="BP482" s="115"/>
      <c r="BQ482" s="115"/>
      <c r="BR482" s="115"/>
      <c r="BS482" s="115"/>
      <c r="BT482" s="115"/>
      <c r="BU482" s="115"/>
      <c r="BV482" s="115"/>
      <c r="BW482" s="115"/>
      <c r="BX482" s="115"/>
      <c r="BY482" s="25"/>
      <c r="BZ482" s="13"/>
      <c r="CC482" s="114"/>
    </row>
    <row r="483" spans="1:81" ht="20.100000000000001" customHeight="1" x14ac:dyDescent="0.4">
      <c r="A483" s="117"/>
      <c r="B483" s="123"/>
      <c r="C483" s="123"/>
      <c r="D483" s="123"/>
      <c r="Z483" s="25"/>
      <c r="AA483" s="13"/>
      <c r="AP483" s="127"/>
      <c r="AQ483" s="29"/>
      <c r="BA483" s="25"/>
      <c r="BB483" s="13"/>
      <c r="BG483" s="116"/>
      <c r="BH483" s="123"/>
      <c r="BI483" s="123"/>
      <c r="BJ483" s="123"/>
      <c r="BO483" s="115"/>
      <c r="BP483" s="115"/>
      <c r="BQ483" s="115"/>
      <c r="BR483" s="115"/>
      <c r="BS483" s="115"/>
      <c r="BT483" s="115"/>
      <c r="BU483" s="115"/>
      <c r="BV483" s="115"/>
      <c r="BW483" s="115"/>
      <c r="BX483" s="115"/>
      <c r="BY483" s="25"/>
      <c r="BZ483" s="13"/>
      <c r="CC483" s="114"/>
    </row>
    <row r="484" spans="1:81" ht="20.100000000000001" customHeight="1" x14ac:dyDescent="0.4">
      <c r="A484" s="117"/>
      <c r="B484" s="123"/>
      <c r="C484" s="123"/>
      <c r="D484" s="123"/>
      <c r="Z484" s="25"/>
      <c r="AA484" s="13"/>
      <c r="AN484" s="115"/>
      <c r="AO484" s="115"/>
      <c r="AP484" s="127"/>
      <c r="AQ484" s="29"/>
      <c r="BA484" s="25"/>
      <c r="BB484" s="13"/>
      <c r="BG484" s="116"/>
      <c r="BH484" s="123"/>
      <c r="BI484" s="123"/>
      <c r="BJ484" s="123"/>
      <c r="BO484" s="115"/>
      <c r="BP484" s="115"/>
      <c r="BQ484" s="115"/>
      <c r="BR484" s="115"/>
      <c r="BS484" s="115"/>
      <c r="BT484" s="115"/>
      <c r="BU484" s="115"/>
      <c r="BV484" s="115"/>
      <c r="BW484" s="115"/>
      <c r="BX484" s="115"/>
      <c r="BY484" s="25"/>
      <c r="BZ484" s="13"/>
      <c r="CC484" s="114"/>
    </row>
    <row r="485" spans="1:81" ht="20.100000000000001" customHeight="1" x14ac:dyDescent="0.4">
      <c r="A485" s="117"/>
      <c r="B485" s="123"/>
      <c r="C485" s="123"/>
      <c r="D485" s="123"/>
      <c r="Z485" s="25"/>
      <c r="AA485" s="13"/>
      <c r="AI485" s="115"/>
      <c r="AJ485" s="115"/>
      <c r="AK485" s="115"/>
      <c r="AL485" s="115"/>
      <c r="AM485" s="115"/>
      <c r="AN485" s="115"/>
      <c r="AO485" s="115"/>
      <c r="AP485" s="127"/>
      <c r="AQ485" s="29"/>
      <c r="BA485" s="25"/>
      <c r="BB485" s="13"/>
      <c r="BG485" s="116"/>
      <c r="BH485" s="123"/>
      <c r="BI485" s="123"/>
      <c r="BJ485" s="123"/>
      <c r="BO485" s="115"/>
      <c r="BP485" s="115"/>
      <c r="BQ485" s="115"/>
      <c r="BR485" s="115"/>
      <c r="BS485" s="115"/>
      <c r="BT485" s="115"/>
      <c r="BU485" s="115"/>
      <c r="BV485" s="115"/>
      <c r="BW485" s="115"/>
      <c r="BX485" s="115"/>
      <c r="BY485" s="25"/>
      <c r="BZ485" s="13"/>
      <c r="CC485" s="114"/>
    </row>
    <row r="486" spans="1:81" ht="20.100000000000001" customHeight="1" x14ac:dyDescent="0.4">
      <c r="A486" s="117"/>
      <c r="B486" s="123"/>
      <c r="C486" s="123"/>
      <c r="D486" s="123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3"/>
      <c r="AA486" s="13"/>
      <c r="AI486" s="115"/>
      <c r="AJ486" s="115"/>
      <c r="AK486" s="115"/>
      <c r="AL486" s="115"/>
      <c r="AM486" s="115"/>
      <c r="AN486" s="115"/>
      <c r="AO486" s="115"/>
      <c r="AP486" s="127"/>
      <c r="AQ486" s="29"/>
      <c r="BA486" s="25"/>
      <c r="BB486" s="13"/>
      <c r="BG486" s="116"/>
      <c r="BH486" s="123"/>
      <c r="BI486" s="123"/>
      <c r="BJ486" s="123"/>
      <c r="BO486" s="115"/>
      <c r="BP486" s="115"/>
      <c r="BQ486" s="115"/>
      <c r="BR486" s="115"/>
      <c r="BS486" s="115"/>
      <c r="BT486" s="115"/>
      <c r="BU486" s="115"/>
      <c r="BV486" s="115"/>
      <c r="BW486" s="115"/>
      <c r="BX486" s="115"/>
      <c r="BY486" s="25"/>
      <c r="BZ486" s="13"/>
      <c r="CC486" s="114"/>
    </row>
    <row r="487" spans="1:81" ht="20.100000000000001" customHeight="1" x14ac:dyDescent="0.4">
      <c r="A487" s="117"/>
      <c r="B487" s="123"/>
      <c r="C487" s="123"/>
      <c r="D487" s="123"/>
      <c r="Z487" s="25"/>
      <c r="AA487" s="13"/>
      <c r="AG487" s="115"/>
      <c r="AH487" s="115"/>
      <c r="AI487" s="115"/>
      <c r="AJ487" s="115"/>
      <c r="AK487" s="115"/>
      <c r="AL487" s="115"/>
      <c r="AM487" s="115"/>
      <c r="AN487" s="115"/>
      <c r="AO487" s="115"/>
      <c r="AP487" s="127"/>
      <c r="AQ487" s="29"/>
      <c r="BA487" s="25"/>
      <c r="BB487" s="13"/>
      <c r="BG487" s="116"/>
      <c r="BH487" s="123"/>
      <c r="BI487" s="123"/>
      <c r="BJ487" s="123"/>
      <c r="BO487" s="115"/>
      <c r="BP487" s="115"/>
      <c r="BQ487" s="115"/>
      <c r="BR487" s="115"/>
      <c r="BS487" s="115"/>
      <c r="BT487" s="115"/>
      <c r="BU487" s="115"/>
      <c r="BV487" s="115"/>
      <c r="BW487" s="115"/>
      <c r="BX487" s="115"/>
      <c r="BY487" s="25"/>
      <c r="BZ487" s="13"/>
      <c r="CC487" s="114"/>
    </row>
    <row r="488" spans="1:81" ht="20.100000000000001" customHeight="1" x14ac:dyDescent="0.4">
      <c r="A488" s="117"/>
      <c r="B488" s="123"/>
      <c r="C488" s="123"/>
      <c r="D488" s="123"/>
      <c r="Z488" s="25"/>
      <c r="AA488" s="13"/>
      <c r="AG488" s="115"/>
      <c r="AH488" s="115"/>
      <c r="AI488" s="115"/>
      <c r="AJ488" s="115"/>
      <c r="AK488" s="115"/>
      <c r="AL488" s="115"/>
      <c r="AM488" s="115"/>
      <c r="AN488" s="115"/>
      <c r="AO488" s="115"/>
      <c r="AP488" s="127"/>
      <c r="AQ488" s="29"/>
      <c r="BA488" s="25"/>
      <c r="BB488" s="13"/>
      <c r="BG488" s="116"/>
      <c r="BH488" s="123"/>
      <c r="BI488" s="123"/>
      <c r="BJ488" s="123"/>
      <c r="BO488" s="115"/>
      <c r="BP488" s="115"/>
      <c r="BQ488" s="115"/>
      <c r="BR488" s="115"/>
      <c r="BS488" s="115"/>
      <c r="BT488" s="115"/>
      <c r="BU488" s="115"/>
      <c r="BV488" s="115"/>
      <c r="BW488" s="115"/>
      <c r="BX488" s="115"/>
      <c r="BY488" s="25"/>
      <c r="BZ488" s="13"/>
      <c r="CC488" s="114"/>
    </row>
    <row r="489" spans="1:81" ht="20.100000000000001" customHeight="1" x14ac:dyDescent="0.4">
      <c r="A489" s="117"/>
      <c r="B489" s="123"/>
      <c r="C489" s="123"/>
      <c r="D489" s="123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3"/>
      <c r="AA489" s="13"/>
      <c r="AG489" s="115"/>
      <c r="AH489" s="115"/>
      <c r="AI489" s="115"/>
      <c r="AJ489" s="115"/>
      <c r="AK489" s="115"/>
      <c r="AL489" s="115"/>
      <c r="AM489" s="115"/>
      <c r="AN489" s="115"/>
      <c r="AO489" s="115"/>
      <c r="AP489" s="127"/>
      <c r="AQ489" s="29"/>
      <c r="BA489" s="25"/>
      <c r="BB489" s="13"/>
      <c r="BG489" s="116"/>
      <c r="BH489" s="123"/>
      <c r="BI489" s="123"/>
      <c r="BJ489" s="123"/>
      <c r="BO489" s="115"/>
      <c r="BP489" s="115"/>
      <c r="BQ489" s="115"/>
      <c r="BR489" s="115"/>
      <c r="BS489" s="115"/>
      <c r="BT489" s="115"/>
      <c r="BU489" s="115"/>
      <c r="BV489" s="115"/>
      <c r="BW489" s="115"/>
      <c r="BX489" s="115"/>
      <c r="BY489" s="25"/>
      <c r="BZ489" s="13"/>
      <c r="CC489" s="114"/>
    </row>
    <row r="490" spans="1:81" ht="20.100000000000001" customHeight="1" x14ac:dyDescent="0.4">
      <c r="A490" s="117"/>
      <c r="B490" s="123"/>
      <c r="C490" s="123"/>
      <c r="D490" s="123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3"/>
      <c r="AA490" s="13"/>
      <c r="AG490" s="115"/>
      <c r="AH490" s="115"/>
      <c r="AI490" s="115"/>
      <c r="AJ490" s="115"/>
      <c r="AK490" s="115"/>
      <c r="AL490" s="115"/>
      <c r="AM490" s="115"/>
      <c r="AN490" s="115"/>
      <c r="AO490" s="115"/>
      <c r="AP490" s="127"/>
      <c r="AQ490" s="29"/>
      <c r="BA490" s="25"/>
      <c r="BB490" s="13"/>
      <c r="BG490" s="116"/>
      <c r="BH490" s="123"/>
      <c r="BI490" s="123"/>
      <c r="BJ490" s="123"/>
      <c r="BO490" s="115"/>
      <c r="BP490" s="115"/>
      <c r="BQ490" s="115"/>
      <c r="BR490" s="115"/>
      <c r="BS490" s="115"/>
      <c r="BT490" s="115"/>
      <c r="BU490" s="115"/>
      <c r="BV490" s="115"/>
      <c r="BW490" s="115"/>
      <c r="BX490" s="115"/>
      <c r="BY490" s="25"/>
      <c r="BZ490" s="13"/>
      <c r="CC490" s="114"/>
    </row>
    <row r="491" spans="1:81" ht="20.100000000000001" customHeight="1" x14ac:dyDescent="0.4">
      <c r="A491" s="117"/>
      <c r="B491" s="123"/>
      <c r="C491" s="123"/>
      <c r="D491" s="123"/>
      <c r="Z491" s="25"/>
      <c r="AA491" s="13"/>
      <c r="AG491" s="115"/>
      <c r="AH491" s="115"/>
      <c r="AI491" s="115"/>
      <c r="AJ491" s="115"/>
      <c r="AK491" s="115"/>
      <c r="AL491" s="115"/>
      <c r="AM491" s="115"/>
      <c r="AN491" s="115"/>
      <c r="AO491" s="115"/>
      <c r="AP491" s="127"/>
      <c r="AQ491" s="29"/>
      <c r="BA491" s="25"/>
      <c r="BB491" s="13"/>
      <c r="BG491" s="116"/>
      <c r="BH491" s="123"/>
      <c r="BI491" s="123"/>
      <c r="BJ491" s="123"/>
      <c r="BO491" s="115"/>
      <c r="BP491" s="115"/>
      <c r="BQ491" s="115"/>
      <c r="BR491" s="115"/>
      <c r="BS491" s="115"/>
      <c r="BT491" s="115"/>
      <c r="BU491" s="115"/>
      <c r="BV491" s="115"/>
      <c r="BW491" s="115"/>
      <c r="BX491" s="115"/>
      <c r="BY491" s="25"/>
      <c r="BZ491" s="13"/>
      <c r="CC491" s="114"/>
    </row>
    <row r="492" spans="1:81" ht="20.100000000000001" customHeight="1" x14ac:dyDescent="0.4">
      <c r="A492" s="117"/>
      <c r="B492" s="123"/>
      <c r="C492" s="123"/>
      <c r="D492" s="123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3"/>
      <c r="AA492" s="13"/>
      <c r="AG492" s="115"/>
      <c r="AH492" s="115"/>
      <c r="AI492" s="115"/>
      <c r="AJ492" s="115"/>
      <c r="AK492" s="115"/>
      <c r="AL492" s="115"/>
      <c r="AM492" s="115"/>
      <c r="AN492" s="115"/>
      <c r="AO492" s="115"/>
      <c r="AP492" s="127"/>
      <c r="AQ492" s="29"/>
      <c r="BA492" s="25"/>
      <c r="BB492" s="13"/>
      <c r="BG492" s="116"/>
      <c r="BH492" s="123"/>
      <c r="BI492" s="123"/>
      <c r="BJ492" s="123"/>
      <c r="BO492" s="115"/>
      <c r="BP492" s="115"/>
      <c r="BQ492" s="115"/>
      <c r="BR492" s="115"/>
      <c r="BS492" s="115"/>
      <c r="BT492" s="115"/>
      <c r="BU492" s="115"/>
      <c r="BV492" s="115"/>
      <c r="BW492" s="115"/>
      <c r="BX492" s="115"/>
      <c r="BY492" s="25"/>
      <c r="BZ492" s="13"/>
      <c r="CC492" s="114"/>
    </row>
    <row r="493" spans="1:81" ht="20.100000000000001" customHeight="1" x14ac:dyDescent="0.4">
      <c r="A493" s="117"/>
      <c r="B493" s="123"/>
      <c r="C493" s="123"/>
      <c r="D493" s="123"/>
      <c r="Z493" s="25"/>
      <c r="AA493" s="13"/>
      <c r="AG493" s="115"/>
      <c r="AH493" s="115"/>
      <c r="AI493" s="115"/>
      <c r="AJ493" s="115"/>
      <c r="AK493" s="115"/>
      <c r="AL493" s="115"/>
      <c r="AM493" s="115"/>
      <c r="AN493" s="115"/>
      <c r="AO493" s="115"/>
      <c r="AP493" s="127"/>
      <c r="AQ493" s="29"/>
      <c r="BA493" s="25"/>
      <c r="BB493" s="13"/>
      <c r="BG493" s="116"/>
      <c r="BH493" s="123"/>
      <c r="BI493" s="123"/>
      <c r="BJ493" s="123"/>
      <c r="BO493" s="115"/>
      <c r="BP493" s="115"/>
      <c r="BQ493" s="115"/>
      <c r="BR493" s="115"/>
      <c r="BS493" s="115"/>
      <c r="BT493" s="115"/>
      <c r="BU493" s="115"/>
      <c r="BV493" s="115"/>
      <c r="BW493" s="115"/>
      <c r="BX493" s="115"/>
      <c r="BY493" s="25"/>
      <c r="BZ493" s="13"/>
      <c r="CC493" s="114"/>
    </row>
    <row r="494" spans="1:81" ht="20.100000000000001" customHeight="1" x14ac:dyDescent="0.4">
      <c r="A494" s="117"/>
      <c r="B494" s="123"/>
      <c r="C494" s="123"/>
      <c r="D494" s="123"/>
      <c r="Z494" s="25"/>
      <c r="AA494" s="13"/>
      <c r="AE494" s="115"/>
      <c r="AF494" s="115"/>
      <c r="AG494" s="115"/>
      <c r="AH494" s="115"/>
      <c r="AI494" s="115"/>
      <c r="AJ494" s="115"/>
      <c r="AK494" s="115"/>
      <c r="AL494" s="115"/>
      <c r="AM494" s="115"/>
      <c r="AN494" s="115"/>
      <c r="AO494" s="115"/>
      <c r="AP494" s="127"/>
      <c r="AQ494" s="29"/>
      <c r="BA494" s="25"/>
      <c r="BB494" s="13"/>
      <c r="BG494" s="116"/>
      <c r="BH494" s="123"/>
      <c r="BI494" s="123"/>
      <c r="BJ494" s="123"/>
      <c r="BO494" s="115"/>
      <c r="BP494" s="115"/>
      <c r="BQ494" s="115"/>
      <c r="BR494" s="115"/>
      <c r="BS494" s="115"/>
      <c r="BT494" s="115"/>
      <c r="BU494" s="115"/>
      <c r="BV494" s="115"/>
      <c r="BW494" s="115"/>
      <c r="BX494" s="115"/>
      <c r="BY494" s="25"/>
      <c r="BZ494" s="13"/>
      <c r="CC494" s="114"/>
    </row>
    <row r="495" spans="1:81" ht="20.100000000000001" customHeight="1" x14ac:dyDescent="0.4">
      <c r="A495" s="117"/>
      <c r="B495" s="123"/>
      <c r="C495" s="123"/>
      <c r="D495" s="123"/>
      <c r="Z495" s="25"/>
      <c r="AA495" s="13"/>
      <c r="AE495" s="115"/>
      <c r="AF495" s="115"/>
      <c r="AG495" s="115"/>
      <c r="AH495" s="115"/>
      <c r="AI495" s="115"/>
      <c r="AJ495" s="115"/>
      <c r="AK495" s="115"/>
      <c r="AL495" s="115"/>
      <c r="AM495" s="115"/>
      <c r="AN495" s="115"/>
      <c r="AO495" s="115"/>
      <c r="AP495" s="29"/>
      <c r="AQ495" s="29"/>
      <c r="BA495" s="25"/>
      <c r="BB495" s="13"/>
      <c r="BG495" s="116"/>
      <c r="BH495" s="123"/>
      <c r="BI495" s="123"/>
      <c r="BJ495" s="123"/>
      <c r="BO495" s="115"/>
      <c r="BP495" s="115"/>
      <c r="BQ495" s="115"/>
      <c r="BR495" s="115"/>
      <c r="BS495" s="115"/>
      <c r="BT495" s="115"/>
      <c r="BU495" s="115"/>
      <c r="BV495" s="115"/>
      <c r="BW495" s="115"/>
      <c r="BX495" s="115"/>
      <c r="BY495" s="25"/>
      <c r="BZ495" s="13"/>
      <c r="CC495" s="114"/>
    </row>
    <row r="496" spans="1:81" ht="20.100000000000001" customHeight="1" x14ac:dyDescent="0.4">
      <c r="A496" s="117"/>
      <c r="B496" s="123"/>
      <c r="C496" s="123"/>
      <c r="D496" s="123"/>
      <c r="Z496" s="25"/>
      <c r="AA496" s="13"/>
      <c r="AE496" s="115"/>
      <c r="AF496" s="115"/>
      <c r="AG496" s="115"/>
      <c r="AH496" s="115"/>
      <c r="AI496" s="115"/>
      <c r="AJ496" s="115"/>
      <c r="AK496" s="115"/>
      <c r="AL496" s="115"/>
      <c r="AM496" s="115"/>
      <c r="AN496" s="115"/>
      <c r="AO496" s="115"/>
      <c r="AP496" s="127"/>
      <c r="AQ496" s="29"/>
      <c r="BA496" s="25"/>
      <c r="BB496" s="13"/>
      <c r="BG496" s="116"/>
      <c r="BH496" s="123"/>
      <c r="BI496" s="123"/>
      <c r="BJ496" s="123"/>
      <c r="BO496" s="115"/>
      <c r="BP496" s="115"/>
      <c r="BQ496" s="115"/>
      <c r="BR496" s="115"/>
      <c r="BS496" s="115"/>
      <c r="BT496" s="115"/>
      <c r="BU496" s="115"/>
      <c r="BV496" s="115"/>
      <c r="BW496" s="115"/>
      <c r="BX496" s="115"/>
      <c r="BY496" s="25"/>
      <c r="BZ496" s="13"/>
      <c r="CC496" s="114"/>
    </row>
    <row r="497" spans="1:81" ht="20.100000000000001" customHeight="1" x14ac:dyDescent="0.4">
      <c r="A497" s="117"/>
      <c r="B497" s="123"/>
      <c r="C497" s="123"/>
      <c r="D497" s="123"/>
      <c r="Z497" s="25"/>
      <c r="AA497" s="13"/>
      <c r="AE497" s="115"/>
      <c r="AF497" s="115"/>
      <c r="AG497" s="115"/>
      <c r="AH497" s="115"/>
      <c r="AI497" s="115"/>
      <c r="AJ497" s="115"/>
      <c r="AK497" s="115"/>
      <c r="AL497" s="115"/>
      <c r="AM497" s="115"/>
      <c r="AN497" s="115"/>
      <c r="AO497" s="115"/>
      <c r="AP497" s="29"/>
      <c r="AQ497" s="29"/>
      <c r="BA497" s="25"/>
      <c r="BB497" s="13"/>
      <c r="BG497" s="116"/>
      <c r="BH497" s="123"/>
      <c r="BI497" s="123"/>
      <c r="BJ497" s="123"/>
      <c r="BO497" s="115"/>
      <c r="BP497" s="115"/>
      <c r="BQ497" s="115"/>
      <c r="BR497" s="115"/>
      <c r="BS497" s="115"/>
      <c r="BT497" s="115"/>
      <c r="BU497" s="115"/>
      <c r="BV497" s="115"/>
      <c r="BW497" s="115"/>
      <c r="BX497" s="115"/>
      <c r="BY497" s="25"/>
      <c r="BZ497" s="13"/>
      <c r="CC497" s="114"/>
    </row>
    <row r="498" spans="1:81" ht="20.100000000000001" customHeight="1" x14ac:dyDescent="0.4">
      <c r="A498" s="117"/>
      <c r="B498" s="123"/>
      <c r="C498" s="123"/>
      <c r="D498" s="123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3"/>
      <c r="AA498" s="13"/>
      <c r="AE498" s="115"/>
      <c r="AF498" s="115"/>
      <c r="AG498" s="115"/>
      <c r="AH498" s="115"/>
      <c r="AI498" s="115"/>
      <c r="AJ498" s="115"/>
      <c r="AK498" s="115"/>
      <c r="AL498" s="115"/>
      <c r="AM498" s="115"/>
      <c r="AN498" s="115"/>
      <c r="AO498" s="115"/>
      <c r="AP498" s="29"/>
      <c r="AQ498" s="29"/>
      <c r="BA498" s="25"/>
      <c r="BB498" s="13"/>
      <c r="BG498" s="116"/>
      <c r="BH498" s="123"/>
      <c r="BI498" s="123"/>
      <c r="BJ498" s="123"/>
      <c r="BO498" s="115"/>
      <c r="BP498" s="115"/>
      <c r="BQ498" s="115"/>
      <c r="BR498" s="115"/>
      <c r="BS498" s="115"/>
      <c r="BT498" s="115"/>
      <c r="BU498" s="115"/>
      <c r="BV498" s="115"/>
      <c r="BW498" s="115"/>
      <c r="BX498" s="115"/>
      <c r="BY498" s="25"/>
      <c r="BZ498" s="13"/>
      <c r="CC498" s="114"/>
    </row>
    <row r="499" spans="1:81" ht="20.100000000000001" customHeight="1" x14ac:dyDescent="0.4">
      <c r="A499" s="117"/>
      <c r="B499" s="123"/>
      <c r="C499" s="123"/>
      <c r="D499" s="123"/>
      <c r="Z499" s="25"/>
      <c r="AA499" s="13"/>
      <c r="AE499" s="115"/>
      <c r="AF499" s="115"/>
      <c r="AG499" s="115"/>
      <c r="AH499" s="115"/>
      <c r="AI499" s="115"/>
      <c r="AJ499" s="115"/>
      <c r="AK499" s="115"/>
      <c r="AL499" s="115"/>
      <c r="AM499" s="115"/>
      <c r="AN499" s="115"/>
      <c r="AO499" s="115"/>
      <c r="AP499" s="127"/>
      <c r="AQ499" s="29"/>
      <c r="BA499" s="25"/>
      <c r="BB499" s="13"/>
      <c r="BG499" s="116"/>
      <c r="BH499" s="123"/>
      <c r="BI499" s="123"/>
      <c r="BJ499" s="123"/>
      <c r="BO499" s="115"/>
      <c r="BP499" s="115"/>
      <c r="BQ499" s="115"/>
      <c r="BR499" s="115"/>
      <c r="BS499" s="115"/>
      <c r="BT499" s="115"/>
      <c r="BU499" s="115"/>
      <c r="BV499" s="115"/>
      <c r="BW499" s="115"/>
      <c r="BX499" s="115"/>
      <c r="BY499" s="25"/>
      <c r="BZ499" s="13"/>
      <c r="CC499" s="114"/>
    </row>
    <row r="500" spans="1:81" ht="20.100000000000001" customHeight="1" x14ac:dyDescent="0.4">
      <c r="A500" s="117"/>
      <c r="B500" s="123"/>
      <c r="C500" s="123"/>
      <c r="D500" s="123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3"/>
      <c r="AA500" s="13"/>
      <c r="AE500" s="115"/>
      <c r="AF500" s="115"/>
      <c r="AG500" s="115"/>
      <c r="AH500" s="115"/>
      <c r="AI500" s="115"/>
      <c r="AJ500" s="115"/>
      <c r="AK500" s="115"/>
      <c r="AL500" s="115"/>
      <c r="AM500" s="115"/>
      <c r="AN500" s="115"/>
      <c r="AO500" s="115"/>
      <c r="AP500" s="127"/>
      <c r="AQ500" s="29"/>
      <c r="BA500" s="25"/>
      <c r="BB500" s="13"/>
      <c r="BG500" s="116"/>
      <c r="BH500" s="123"/>
      <c r="BI500" s="123"/>
      <c r="BJ500" s="123"/>
      <c r="BO500" s="115"/>
      <c r="BP500" s="115"/>
      <c r="BQ500" s="115"/>
      <c r="BR500" s="115"/>
      <c r="BS500" s="115"/>
      <c r="BT500" s="115"/>
      <c r="BU500" s="115"/>
      <c r="BV500" s="115"/>
      <c r="BW500" s="115"/>
      <c r="BX500" s="115"/>
      <c r="BY500" s="25"/>
      <c r="BZ500" s="13"/>
      <c r="CC500" s="114"/>
    </row>
    <row r="501" spans="1:81" ht="20.100000000000001" customHeight="1" x14ac:dyDescent="0.4">
      <c r="A501" s="117"/>
      <c r="B501" s="123"/>
      <c r="C501" s="123"/>
      <c r="D501" s="123"/>
      <c r="Z501" s="25"/>
      <c r="AA501" s="13"/>
      <c r="AE501" s="115"/>
      <c r="AF501" s="115"/>
      <c r="AG501" s="115"/>
      <c r="AH501" s="115"/>
      <c r="AI501" s="115"/>
      <c r="AJ501" s="115"/>
      <c r="AK501" s="115"/>
      <c r="AL501" s="115"/>
      <c r="AM501" s="115"/>
      <c r="AN501" s="115"/>
      <c r="AO501" s="115"/>
      <c r="AP501" s="29"/>
      <c r="AQ501" s="29"/>
      <c r="BA501" s="25"/>
      <c r="BB501" s="13"/>
      <c r="BG501" s="116"/>
      <c r="BH501" s="123"/>
      <c r="BI501" s="123"/>
      <c r="BJ501" s="123"/>
      <c r="BO501" s="115"/>
      <c r="BP501" s="115"/>
      <c r="BQ501" s="115"/>
      <c r="BR501" s="115"/>
      <c r="BS501" s="115"/>
      <c r="BT501" s="115"/>
      <c r="BU501" s="115"/>
      <c r="BV501" s="115"/>
      <c r="BW501" s="115"/>
      <c r="BX501" s="115"/>
      <c r="BY501" s="25"/>
      <c r="BZ501" s="13"/>
      <c r="CC501" s="114"/>
    </row>
    <row r="502" spans="1:81" ht="20.100000000000001" customHeight="1" x14ac:dyDescent="0.4">
      <c r="A502" s="117"/>
      <c r="B502" s="123"/>
      <c r="C502" s="123"/>
      <c r="D502" s="123"/>
      <c r="Z502" s="25"/>
      <c r="AA502" s="13"/>
      <c r="AE502" s="115"/>
      <c r="AF502" s="115"/>
      <c r="AG502" s="115"/>
      <c r="AH502" s="115"/>
      <c r="AI502" s="115"/>
      <c r="AJ502" s="115"/>
      <c r="AK502" s="115"/>
      <c r="AL502" s="115"/>
      <c r="AM502" s="115"/>
      <c r="AN502" s="115"/>
      <c r="AO502" s="115"/>
      <c r="AP502" s="127"/>
      <c r="AQ502" s="29"/>
      <c r="BA502" s="25"/>
      <c r="BB502" s="13"/>
      <c r="BG502" s="116"/>
      <c r="BH502" s="123"/>
      <c r="BI502" s="123"/>
      <c r="BJ502" s="123"/>
      <c r="BO502" s="115"/>
      <c r="BP502" s="115"/>
      <c r="BQ502" s="115"/>
      <c r="BR502" s="115"/>
      <c r="BS502" s="115"/>
      <c r="BT502" s="115"/>
      <c r="BU502" s="115"/>
      <c r="BV502" s="115"/>
      <c r="BW502" s="115"/>
      <c r="BX502" s="115"/>
      <c r="BY502" s="25"/>
      <c r="BZ502" s="13"/>
      <c r="CC502" s="114"/>
    </row>
    <row r="503" spans="1:81" ht="20.100000000000001" customHeight="1" x14ac:dyDescent="0.4">
      <c r="A503" s="117"/>
      <c r="B503" s="123"/>
      <c r="C503" s="123"/>
      <c r="D503" s="123"/>
      <c r="Z503" s="25"/>
      <c r="AA503" s="13"/>
      <c r="AE503" s="115"/>
      <c r="AF503" s="115"/>
      <c r="AG503" s="115"/>
      <c r="AH503" s="115"/>
      <c r="AI503" s="115"/>
      <c r="AJ503" s="115"/>
      <c r="AK503" s="115"/>
      <c r="AL503" s="115"/>
      <c r="AM503" s="115"/>
      <c r="AN503" s="115"/>
      <c r="AO503" s="115"/>
      <c r="AP503" s="29"/>
      <c r="AQ503" s="29"/>
      <c r="BA503" s="25"/>
      <c r="BB503" s="13"/>
      <c r="BG503" s="116"/>
      <c r="BH503" s="123"/>
      <c r="BI503" s="123"/>
      <c r="BJ503" s="123"/>
      <c r="BO503" s="115"/>
      <c r="BP503" s="115"/>
      <c r="BQ503" s="115"/>
      <c r="BR503" s="115"/>
      <c r="BS503" s="115"/>
      <c r="BT503" s="115"/>
      <c r="BU503" s="115"/>
      <c r="BV503" s="115"/>
      <c r="BW503" s="115"/>
      <c r="BX503" s="115"/>
      <c r="BY503" s="25"/>
      <c r="BZ503" s="13"/>
      <c r="CC503" s="114"/>
    </row>
    <row r="504" spans="1:81" ht="20.100000000000001" customHeight="1" x14ac:dyDescent="0.4">
      <c r="A504" s="117"/>
      <c r="B504" s="123"/>
      <c r="C504" s="123"/>
      <c r="D504" s="123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3"/>
      <c r="AA504" s="13"/>
      <c r="AE504" s="115"/>
      <c r="AF504" s="115"/>
      <c r="AG504" s="115"/>
      <c r="AH504" s="115"/>
      <c r="AI504" s="115"/>
      <c r="AJ504" s="115"/>
      <c r="AK504" s="115"/>
      <c r="AL504" s="115"/>
      <c r="AM504" s="115"/>
      <c r="AN504" s="115"/>
      <c r="AO504" s="115"/>
      <c r="AP504" s="29"/>
      <c r="AQ504" s="29"/>
      <c r="BA504" s="25"/>
      <c r="BB504" s="13"/>
      <c r="BG504" s="116"/>
      <c r="BH504" s="123"/>
      <c r="BI504" s="123"/>
      <c r="BJ504" s="123"/>
      <c r="BO504" s="115"/>
      <c r="BP504" s="115"/>
      <c r="BQ504" s="115"/>
      <c r="BR504" s="115"/>
      <c r="BS504" s="115"/>
      <c r="BT504" s="115"/>
      <c r="BU504" s="115"/>
      <c r="BV504" s="115"/>
      <c r="BW504" s="115"/>
      <c r="BX504" s="115"/>
      <c r="BY504" s="25"/>
      <c r="BZ504" s="13"/>
      <c r="CC504" s="114"/>
    </row>
    <row r="505" spans="1:81" ht="20.100000000000001" customHeight="1" x14ac:dyDescent="0.4">
      <c r="A505" s="117"/>
      <c r="B505" s="123"/>
      <c r="C505" s="123"/>
      <c r="D505" s="123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25"/>
      <c r="AA505" s="13"/>
      <c r="AE505" s="115"/>
      <c r="AF505" s="115"/>
      <c r="AG505" s="115"/>
      <c r="AH505" s="115"/>
      <c r="AI505" s="115"/>
      <c r="AJ505" s="115"/>
      <c r="AK505" s="115"/>
      <c r="AL505" s="115"/>
      <c r="AM505" s="115"/>
      <c r="AN505" s="115"/>
      <c r="AO505" s="115"/>
      <c r="AP505" s="29"/>
      <c r="AQ505" s="29"/>
      <c r="BA505" s="25"/>
      <c r="BB505" s="13"/>
      <c r="BG505" s="116"/>
      <c r="BH505" s="123"/>
      <c r="BI505" s="123"/>
      <c r="BJ505" s="123"/>
      <c r="BO505" s="115"/>
      <c r="BP505" s="115"/>
      <c r="BQ505" s="115"/>
      <c r="BR505" s="115"/>
      <c r="BS505" s="115"/>
      <c r="BT505" s="115"/>
      <c r="BU505" s="115"/>
      <c r="BV505" s="115"/>
      <c r="BW505" s="115"/>
      <c r="BX505" s="115"/>
      <c r="BY505" s="25"/>
      <c r="BZ505" s="13"/>
      <c r="CC505" s="114"/>
    </row>
    <row r="506" spans="1:81" ht="20.100000000000001" customHeight="1" x14ac:dyDescent="0.4">
      <c r="A506" s="117"/>
      <c r="B506" s="123"/>
      <c r="C506" s="123"/>
      <c r="D506" s="123"/>
      <c r="Z506" s="25"/>
      <c r="AA506" s="133"/>
      <c r="AE506" s="115"/>
      <c r="AF506" s="115"/>
      <c r="AG506" s="115"/>
      <c r="AH506" s="115"/>
      <c r="AI506" s="115"/>
      <c r="AJ506" s="115"/>
      <c r="AK506" s="115"/>
      <c r="AL506" s="115"/>
      <c r="AM506" s="115"/>
      <c r="AN506" s="115"/>
      <c r="AO506" s="115"/>
      <c r="AP506" s="127"/>
      <c r="AQ506" s="29"/>
      <c r="BA506" s="25"/>
      <c r="BB506" s="13"/>
      <c r="BG506" s="116"/>
      <c r="BH506" s="123"/>
      <c r="BI506" s="123"/>
      <c r="BJ506" s="123"/>
      <c r="BO506" s="115"/>
      <c r="BP506" s="115"/>
      <c r="BQ506" s="115"/>
      <c r="BR506" s="115"/>
      <c r="BS506" s="115"/>
      <c r="BT506" s="115"/>
      <c r="BU506" s="115"/>
      <c r="BV506" s="115"/>
      <c r="BW506" s="115"/>
      <c r="BX506" s="115"/>
      <c r="BY506" s="25"/>
      <c r="BZ506" s="13"/>
      <c r="CC506" s="114"/>
    </row>
    <row r="507" spans="1:81" ht="20.100000000000001" customHeight="1" x14ac:dyDescent="0.4">
      <c r="A507" s="117"/>
      <c r="B507" s="123"/>
      <c r="C507" s="123"/>
      <c r="D507" s="123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25"/>
      <c r="AA507" s="13"/>
      <c r="AE507" s="115"/>
      <c r="AF507" s="115"/>
      <c r="AG507" s="115"/>
      <c r="AH507" s="115"/>
      <c r="AI507" s="115"/>
      <c r="AJ507" s="115"/>
      <c r="AK507" s="115"/>
      <c r="AL507" s="115"/>
      <c r="AM507" s="115"/>
      <c r="AN507" s="115"/>
      <c r="AO507" s="115"/>
      <c r="AP507" s="127"/>
      <c r="AQ507" s="29"/>
      <c r="BA507" s="25"/>
      <c r="BB507" s="13"/>
      <c r="BG507" s="116"/>
      <c r="BH507" s="123"/>
      <c r="BI507" s="123"/>
      <c r="BJ507" s="123"/>
      <c r="BO507" s="115"/>
      <c r="BP507" s="115"/>
      <c r="BQ507" s="115"/>
      <c r="BR507" s="115"/>
      <c r="BS507" s="115"/>
      <c r="BT507" s="115"/>
      <c r="BU507" s="115"/>
      <c r="BV507" s="115"/>
      <c r="BW507" s="115"/>
      <c r="BX507" s="115"/>
      <c r="BY507" s="25"/>
      <c r="BZ507" s="13"/>
      <c r="CC507" s="114"/>
    </row>
    <row r="508" spans="1:81" ht="20.100000000000001" customHeight="1" x14ac:dyDescent="0.4">
      <c r="A508" s="117"/>
      <c r="B508" s="123"/>
      <c r="C508" s="123"/>
      <c r="D508" s="123"/>
      <c r="Z508" s="25"/>
      <c r="AA508" s="13"/>
      <c r="AE508" s="115"/>
      <c r="AF508" s="115"/>
      <c r="AG508" s="115"/>
      <c r="AH508" s="115"/>
      <c r="AI508" s="115"/>
      <c r="AJ508" s="115"/>
      <c r="AK508" s="115"/>
      <c r="AL508" s="115"/>
      <c r="AM508" s="115"/>
      <c r="AN508" s="115"/>
      <c r="AO508" s="115"/>
      <c r="AP508" s="127"/>
      <c r="AQ508" s="29"/>
      <c r="BA508" s="25"/>
      <c r="BB508" s="13"/>
      <c r="BG508" s="116"/>
      <c r="BH508" s="123"/>
      <c r="BI508" s="123"/>
      <c r="BJ508" s="123"/>
      <c r="BO508" s="115"/>
      <c r="BP508" s="115"/>
      <c r="BQ508" s="115"/>
      <c r="BR508" s="115"/>
      <c r="BS508" s="115"/>
      <c r="BT508" s="115"/>
      <c r="BU508" s="115"/>
      <c r="BV508" s="115"/>
      <c r="BW508" s="115"/>
      <c r="BX508" s="115"/>
      <c r="BY508" s="25"/>
      <c r="BZ508" s="13"/>
      <c r="CC508" s="114"/>
    </row>
    <row r="509" spans="1:81" ht="20.100000000000001" customHeight="1" x14ac:dyDescent="0.4">
      <c r="A509" s="117"/>
      <c r="B509" s="123"/>
      <c r="C509" s="123"/>
      <c r="D509" s="123"/>
      <c r="Z509" s="25"/>
      <c r="AA509" s="13"/>
      <c r="AE509" s="115"/>
      <c r="AF509" s="115"/>
      <c r="AG509" s="115"/>
      <c r="AH509" s="115"/>
      <c r="AI509" s="115"/>
      <c r="AJ509" s="115"/>
      <c r="AK509" s="115"/>
      <c r="AL509" s="115"/>
      <c r="AM509" s="115"/>
      <c r="AN509" s="115"/>
      <c r="AO509" s="115"/>
      <c r="AP509" s="29"/>
      <c r="AQ509" s="29"/>
      <c r="BA509" s="25"/>
      <c r="BB509" s="13"/>
      <c r="BG509" s="116"/>
      <c r="BH509" s="123"/>
      <c r="BI509" s="123"/>
      <c r="BJ509" s="123"/>
      <c r="BO509" s="115"/>
      <c r="BP509" s="115"/>
      <c r="BQ509" s="115"/>
      <c r="BR509" s="115"/>
      <c r="BS509" s="115"/>
      <c r="BT509" s="115"/>
      <c r="BU509" s="115"/>
      <c r="BV509" s="115"/>
      <c r="BW509" s="115"/>
      <c r="BX509" s="115"/>
      <c r="BY509" s="25"/>
      <c r="BZ509" s="13"/>
      <c r="CC509" s="114"/>
    </row>
    <row r="510" spans="1:81" ht="20.100000000000001" customHeight="1" x14ac:dyDescent="0.4">
      <c r="A510" s="117"/>
      <c r="B510" s="123"/>
      <c r="C510" s="123"/>
      <c r="D510" s="123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3"/>
      <c r="AA510" s="13"/>
      <c r="AE510" s="115"/>
      <c r="AF510" s="115"/>
      <c r="AG510" s="115"/>
      <c r="AH510" s="115"/>
      <c r="AI510" s="115"/>
      <c r="AJ510" s="115"/>
      <c r="AK510" s="115"/>
      <c r="AL510" s="115"/>
      <c r="AM510" s="115"/>
      <c r="AN510" s="115"/>
      <c r="AO510" s="115"/>
      <c r="AP510" s="29"/>
      <c r="AQ510" s="29"/>
      <c r="BA510" s="25"/>
      <c r="BB510" s="13"/>
      <c r="BG510" s="116"/>
      <c r="BH510" s="123"/>
      <c r="BI510" s="123"/>
      <c r="BJ510" s="123"/>
      <c r="BO510" s="115"/>
      <c r="BP510" s="115"/>
      <c r="BQ510" s="115"/>
      <c r="BR510" s="115"/>
      <c r="BS510" s="115"/>
      <c r="BT510" s="115"/>
      <c r="BU510" s="115"/>
      <c r="BV510" s="115"/>
      <c r="BW510" s="115"/>
      <c r="BX510" s="115"/>
      <c r="BY510" s="25"/>
      <c r="BZ510" s="13"/>
      <c r="CC510" s="114"/>
    </row>
    <row r="511" spans="1:81" ht="20.100000000000001" customHeight="1" x14ac:dyDescent="0.4">
      <c r="A511" s="117"/>
      <c r="B511" s="123"/>
      <c r="C511" s="123"/>
      <c r="D511" s="123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3"/>
      <c r="AA511" s="13"/>
      <c r="AE511" s="115"/>
      <c r="AF511" s="115"/>
      <c r="AG511" s="115"/>
      <c r="AH511" s="115"/>
      <c r="AI511" s="115"/>
      <c r="AJ511" s="115"/>
      <c r="AK511" s="115"/>
      <c r="AL511" s="115"/>
      <c r="AM511" s="115"/>
      <c r="AN511" s="115"/>
      <c r="AO511" s="115"/>
      <c r="AP511" s="29"/>
      <c r="AQ511" s="29"/>
      <c r="BA511" s="25"/>
      <c r="BB511" s="13"/>
      <c r="BG511" s="116"/>
      <c r="BH511" s="123"/>
      <c r="BI511" s="123"/>
      <c r="BJ511" s="123"/>
      <c r="BO511" s="115"/>
      <c r="BP511" s="115"/>
      <c r="BQ511" s="115"/>
      <c r="BR511" s="115"/>
      <c r="BS511" s="115"/>
      <c r="BT511" s="115"/>
      <c r="BU511" s="115"/>
      <c r="BV511" s="115"/>
      <c r="BW511" s="115"/>
      <c r="BX511" s="115"/>
      <c r="BY511" s="25"/>
      <c r="BZ511" s="13"/>
      <c r="CC511" s="114"/>
    </row>
    <row r="512" spans="1:81" ht="20.100000000000001" customHeight="1" x14ac:dyDescent="0.4">
      <c r="A512" s="117"/>
      <c r="B512" s="123"/>
      <c r="C512" s="123"/>
      <c r="D512" s="123"/>
      <c r="Z512" s="25"/>
      <c r="AA512" s="13"/>
      <c r="AD512" s="115"/>
      <c r="AE512" s="115"/>
      <c r="AF512" s="115"/>
      <c r="AG512" s="115"/>
      <c r="AH512" s="115"/>
      <c r="AI512" s="115"/>
      <c r="AJ512" s="115"/>
      <c r="AK512" s="115"/>
      <c r="AL512" s="115"/>
      <c r="AM512" s="115"/>
      <c r="AN512" s="115"/>
      <c r="AO512" s="115"/>
      <c r="AP512" s="127"/>
      <c r="AQ512" s="29"/>
      <c r="BA512" s="25"/>
      <c r="BB512" s="13"/>
      <c r="BG512" s="116"/>
      <c r="BH512" s="123"/>
      <c r="BI512" s="123"/>
      <c r="BJ512" s="123"/>
      <c r="BO512" s="115"/>
      <c r="BP512" s="115"/>
      <c r="BQ512" s="115"/>
      <c r="BR512" s="115"/>
      <c r="BS512" s="115"/>
      <c r="BT512" s="115"/>
      <c r="BU512" s="115"/>
      <c r="BV512" s="115"/>
      <c r="BW512" s="115"/>
      <c r="BX512" s="115"/>
      <c r="BY512" s="25"/>
      <c r="BZ512" s="13"/>
      <c r="CC512" s="114"/>
    </row>
    <row r="513" spans="1:81" ht="20.100000000000001" customHeight="1" x14ac:dyDescent="0.4">
      <c r="A513" s="117"/>
      <c r="B513" s="123"/>
      <c r="C513" s="123"/>
      <c r="D513" s="123"/>
      <c r="Z513" s="25"/>
      <c r="AA513" s="13"/>
      <c r="AD513" s="115"/>
      <c r="AE513" s="115"/>
      <c r="AF513" s="115"/>
      <c r="AG513" s="115"/>
      <c r="AH513" s="115"/>
      <c r="AI513" s="115"/>
      <c r="AJ513" s="115"/>
      <c r="AK513" s="115"/>
      <c r="AL513" s="115"/>
      <c r="AM513" s="115"/>
      <c r="AN513" s="115"/>
      <c r="AO513" s="115"/>
      <c r="AP513" s="127"/>
      <c r="AQ513" s="29"/>
      <c r="BA513" s="25"/>
      <c r="BB513" s="13"/>
      <c r="BG513" s="116"/>
      <c r="BH513" s="123"/>
      <c r="BI513" s="123"/>
      <c r="BJ513" s="123"/>
      <c r="BO513" s="115"/>
      <c r="BP513" s="115"/>
      <c r="BQ513" s="115"/>
      <c r="BR513" s="115"/>
      <c r="BS513" s="115"/>
      <c r="BT513" s="115"/>
      <c r="BU513" s="115"/>
      <c r="BV513" s="115"/>
      <c r="BW513" s="115"/>
      <c r="BX513" s="115"/>
      <c r="BY513" s="25"/>
      <c r="BZ513" s="13"/>
      <c r="CC513" s="114"/>
    </row>
    <row r="514" spans="1:81" ht="20.100000000000001" customHeight="1" x14ac:dyDescent="0.4">
      <c r="A514" s="117"/>
      <c r="B514" s="123"/>
      <c r="C514" s="123"/>
      <c r="D514" s="123"/>
      <c r="Z514" s="25"/>
      <c r="AA514" s="13"/>
      <c r="AD514" s="115"/>
      <c r="AE514" s="115"/>
      <c r="AF514" s="115"/>
      <c r="AG514" s="115"/>
      <c r="AH514" s="115"/>
      <c r="AI514" s="115"/>
      <c r="AJ514" s="115"/>
      <c r="AK514" s="115"/>
      <c r="AL514" s="115"/>
      <c r="AM514" s="115"/>
      <c r="AN514" s="115"/>
      <c r="AO514" s="115"/>
      <c r="AP514" s="29"/>
      <c r="AQ514" s="29"/>
      <c r="BA514" s="25"/>
      <c r="BB514" s="13"/>
      <c r="BG514" s="116"/>
      <c r="BH514" s="123"/>
      <c r="BI514" s="123"/>
      <c r="BJ514" s="123"/>
      <c r="BO514" s="115"/>
      <c r="BP514" s="115"/>
      <c r="BQ514" s="115"/>
      <c r="BR514" s="115"/>
      <c r="BS514" s="115"/>
      <c r="BT514" s="115"/>
      <c r="BU514" s="115"/>
      <c r="BV514" s="115"/>
      <c r="BW514" s="115"/>
      <c r="BX514" s="115"/>
      <c r="BY514" s="25"/>
      <c r="BZ514" s="13"/>
      <c r="CC514" s="114"/>
    </row>
    <row r="515" spans="1:81" ht="20.100000000000001" customHeight="1" x14ac:dyDescent="0.4">
      <c r="A515" s="117"/>
      <c r="B515" s="123"/>
      <c r="C515" s="123"/>
      <c r="D515" s="123"/>
      <c r="Z515" s="25"/>
      <c r="AA515" s="13"/>
      <c r="AD515" s="115"/>
      <c r="AE515" s="115"/>
      <c r="AF515" s="115"/>
      <c r="AG515" s="115"/>
      <c r="AH515" s="115"/>
      <c r="AI515" s="115"/>
      <c r="AJ515" s="115"/>
      <c r="AK515" s="115"/>
      <c r="AL515" s="115"/>
      <c r="AM515" s="115"/>
      <c r="AN515" s="115"/>
      <c r="AO515" s="115"/>
      <c r="AP515" s="127"/>
      <c r="AQ515" s="29"/>
      <c r="BA515" s="25"/>
      <c r="BB515" s="13"/>
      <c r="BG515" s="116"/>
      <c r="BH515" s="123"/>
      <c r="BI515" s="123"/>
      <c r="BJ515" s="123"/>
      <c r="BO515" s="115"/>
      <c r="BP515" s="115"/>
      <c r="BQ515" s="115"/>
      <c r="BR515" s="115"/>
      <c r="BS515" s="115"/>
      <c r="BT515" s="115"/>
      <c r="BU515" s="115"/>
      <c r="BV515" s="115"/>
      <c r="BW515" s="115"/>
      <c r="BX515" s="115"/>
      <c r="BY515" s="25"/>
      <c r="BZ515" s="13"/>
      <c r="CC515" s="114"/>
    </row>
    <row r="516" spans="1:81" ht="20.100000000000001" customHeight="1" x14ac:dyDescent="0.4">
      <c r="A516" s="117"/>
      <c r="B516" s="123"/>
      <c r="C516" s="123"/>
      <c r="D516" s="123"/>
      <c r="Z516" s="25"/>
      <c r="AA516" s="13"/>
      <c r="AD516" s="115"/>
      <c r="AE516" s="115"/>
      <c r="AF516" s="115"/>
      <c r="AG516" s="115"/>
      <c r="AH516" s="115"/>
      <c r="AI516" s="115"/>
      <c r="AJ516" s="115"/>
      <c r="AK516" s="115"/>
      <c r="AL516" s="115"/>
      <c r="AM516" s="115"/>
      <c r="AN516" s="115"/>
      <c r="AO516" s="115"/>
      <c r="AP516" s="127"/>
      <c r="AQ516" s="29"/>
      <c r="BA516" s="25"/>
      <c r="BB516" s="13"/>
      <c r="BG516" s="116"/>
      <c r="BH516" s="123"/>
      <c r="BI516" s="123"/>
      <c r="BJ516" s="123"/>
      <c r="BO516" s="115"/>
      <c r="BP516" s="115"/>
      <c r="BQ516" s="115"/>
      <c r="BR516" s="115"/>
      <c r="BS516" s="115"/>
      <c r="BT516" s="115"/>
      <c r="BU516" s="115"/>
      <c r="BV516" s="115"/>
      <c r="BW516" s="115"/>
      <c r="BX516" s="115"/>
      <c r="BY516" s="25"/>
      <c r="BZ516" s="13"/>
      <c r="CC516" s="114"/>
    </row>
    <row r="517" spans="1:81" ht="20.100000000000001" customHeight="1" x14ac:dyDescent="0.4">
      <c r="A517" s="117"/>
      <c r="B517" s="123"/>
      <c r="C517" s="123"/>
      <c r="D517" s="123"/>
      <c r="Z517" s="25"/>
      <c r="AA517" s="13"/>
      <c r="AD517" s="115"/>
      <c r="AE517" s="115"/>
      <c r="AF517" s="115"/>
      <c r="AG517" s="115"/>
      <c r="AH517" s="115"/>
      <c r="AI517" s="115"/>
      <c r="AJ517" s="115"/>
      <c r="AK517" s="115"/>
      <c r="AL517" s="115"/>
      <c r="AM517" s="115"/>
      <c r="AN517" s="115"/>
      <c r="AO517" s="115"/>
      <c r="AP517" s="127"/>
      <c r="AQ517" s="29"/>
      <c r="BA517" s="25"/>
      <c r="BB517" s="13"/>
      <c r="BG517" s="116"/>
      <c r="BH517" s="123"/>
      <c r="BI517" s="123"/>
      <c r="BJ517" s="123"/>
      <c r="BO517" s="115"/>
      <c r="BP517" s="115"/>
      <c r="BQ517" s="115"/>
      <c r="BR517" s="115"/>
      <c r="BS517" s="115"/>
      <c r="BT517" s="115"/>
      <c r="BU517" s="115"/>
      <c r="BV517" s="115"/>
      <c r="BW517" s="115"/>
      <c r="BX517" s="115"/>
      <c r="BY517" s="25"/>
      <c r="BZ517" s="13"/>
      <c r="CC517" s="114"/>
    </row>
    <row r="518" spans="1:81" ht="20.100000000000001" customHeight="1" x14ac:dyDescent="0.4">
      <c r="A518" s="117"/>
      <c r="B518" s="123"/>
      <c r="C518" s="123"/>
      <c r="D518" s="123"/>
      <c r="Z518" s="25"/>
      <c r="AA518" s="133"/>
      <c r="AD518" s="115"/>
      <c r="AE518" s="115"/>
      <c r="AF518" s="115"/>
      <c r="AG518" s="115"/>
      <c r="AH518" s="115"/>
      <c r="AI518" s="115"/>
      <c r="AJ518" s="115"/>
      <c r="AK518" s="115"/>
      <c r="AL518" s="115"/>
      <c r="AM518" s="115"/>
      <c r="AN518" s="115"/>
      <c r="AO518" s="115"/>
      <c r="AP518" s="29"/>
      <c r="AQ518" s="29"/>
      <c r="BA518" s="25"/>
      <c r="BB518" s="13"/>
      <c r="BG518" s="116"/>
      <c r="BH518" s="123"/>
      <c r="BI518" s="123"/>
      <c r="BJ518" s="123"/>
      <c r="BO518" s="115"/>
      <c r="BP518" s="115"/>
      <c r="BQ518" s="115"/>
      <c r="BR518" s="115"/>
      <c r="BS518" s="115"/>
      <c r="BT518" s="115"/>
      <c r="BU518" s="115"/>
      <c r="BV518" s="115"/>
      <c r="BW518" s="115"/>
      <c r="BX518" s="115"/>
      <c r="BY518" s="25"/>
      <c r="BZ518" s="13"/>
      <c r="CC518" s="114"/>
    </row>
    <row r="519" spans="1:81" ht="20.100000000000001" customHeight="1" x14ac:dyDescent="0.4">
      <c r="A519" s="117"/>
      <c r="B519" s="123"/>
      <c r="C519" s="123"/>
      <c r="D519" s="123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26"/>
      <c r="AA519" s="13"/>
      <c r="AD519" s="115"/>
      <c r="AE519" s="115"/>
      <c r="AF519" s="115"/>
      <c r="AG519" s="115"/>
      <c r="AH519" s="115"/>
      <c r="AI519" s="115"/>
      <c r="AJ519" s="115"/>
      <c r="AK519" s="115"/>
      <c r="AL519" s="115"/>
      <c r="AM519" s="115"/>
      <c r="AN519" s="115"/>
      <c r="AO519" s="115"/>
      <c r="AP519" s="29"/>
      <c r="AQ519" s="29"/>
      <c r="BA519" s="25"/>
      <c r="BB519" s="13"/>
      <c r="BG519" s="116"/>
      <c r="BH519" s="123"/>
      <c r="BI519" s="123"/>
      <c r="BJ519" s="123"/>
      <c r="BO519" s="115"/>
      <c r="BP519" s="115"/>
      <c r="BQ519" s="115"/>
      <c r="BR519" s="115"/>
      <c r="BS519" s="115"/>
      <c r="BT519" s="115"/>
      <c r="BU519" s="115"/>
      <c r="BV519" s="115"/>
      <c r="BW519" s="115"/>
      <c r="BX519" s="115"/>
      <c r="BY519" s="25"/>
      <c r="BZ519" s="13"/>
      <c r="CC519" s="114"/>
    </row>
    <row r="520" spans="1:81" ht="20.100000000000001" customHeight="1" x14ac:dyDescent="0.4">
      <c r="A520" s="117"/>
      <c r="B520" s="123"/>
      <c r="C520" s="123"/>
      <c r="D520" s="123"/>
      <c r="Z520" s="26"/>
      <c r="AA520" s="13"/>
      <c r="AD520" s="115"/>
      <c r="AE520" s="115"/>
      <c r="AF520" s="115"/>
      <c r="AG520" s="115"/>
      <c r="AH520" s="115"/>
      <c r="AI520" s="115"/>
      <c r="AJ520" s="115"/>
      <c r="AK520" s="115"/>
      <c r="AL520" s="115"/>
      <c r="AM520" s="115"/>
      <c r="AN520" s="115"/>
      <c r="AO520" s="115"/>
      <c r="AP520" s="127"/>
      <c r="AQ520" s="29"/>
      <c r="BA520" s="25"/>
      <c r="BB520" s="13"/>
      <c r="BG520" s="116"/>
      <c r="BH520" s="123"/>
      <c r="BI520" s="123"/>
      <c r="BJ520" s="123"/>
      <c r="BO520" s="115"/>
      <c r="BP520" s="115"/>
      <c r="BQ520" s="115"/>
      <c r="BR520" s="115"/>
      <c r="BS520" s="115"/>
      <c r="BT520" s="115"/>
      <c r="BU520" s="115"/>
      <c r="BV520" s="115"/>
      <c r="BW520" s="115"/>
      <c r="BX520" s="115"/>
      <c r="BY520" s="25"/>
      <c r="BZ520" s="13"/>
      <c r="CC520" s="114"/>
    </row>
    <row r="521" spans="1:81" ht="20.100000000000001" customHeight="1" x14ac:dyDescent="0.4">
      <c r="A521" s="117"/>
      <c r="B521" s="123"/>
      <c r="C521" s="123"/>
      <c r="D521" s="123"/>
      <c r="Z521" s="26"/>
      <c r="AA521" s="13"/>
      <c r="AD521" s="115"/>
      <c r="AE521" s="115"/>
      <c r="AF521" s="115"/>
      <c r="AG521" s="115"/>
      <c r="AH521" s="115"/>
      <c r="AI521" s="115"/>
      <c r="AJ521" s="115"/>
      <c r="AK521" s="115"/>
      <c r="AL521" s="115"/>
      <c r="AM521" s="115"/>
      <c r="AN521" s="115"/>
      <c r="AO521" s="115"/>
      <c r="AP521" s="29"/>
      <c r="AQ521" s="29"/>
      <c r="BA521" s="25"/>
      <c r="BB521" s="13"/>
      <c r="BG521" s="116"/>
      <c r="BH521" s="123"/>
      <c r="BI521" s="123"/>
      <c r="BJ521" s="123"/>
      <c r="BO521" s="115"/>
      <c r="BP521" s="115"/>
      <c r="BQ521" s="115"/>
      <c r="BR521" s="115"/>
      <c r="BS521" s="115"/>
      <c r="BT521" s="115"/>
      <c r="BU521" s="115"/>
      <c r="BV521" s="115"/>
      <c r="BW521" s="115"/>
      <c r="BX521" s="115"/>
      <c r="BY521" s="25"/>
      <c r="BZ521" s="13"/>
      <c r="CC521" s="114"/>
    </row>
    <row r="522" spans="1:81" ht="20.100000000000001" customHeight="1" x14ac:dyDescent="0.4">
      <c r="A522" s="117"/>
      <c r="B522" s="123"/>
      <c r="C522" s="123"/>
      <c r="D522" s="123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26"/>
      <c r="AA522" s="13"/>
      <c r="AD522" s="115"/>
      <c r="AE522" s="115"/>
      <c r="AF522" s="115"/>
      <c r="AG522" s="115"/>
      <c r="AH522" s="115"/>
      <c r="AI522" s="115"/>
      <c r="AJ522" s="115"/>
      <c r="AK522" s="115"/>
      <c r="AL522" s="115"/>
      <c r="AM522" s="115"/>
      <c r="AN522" s="115"/>
      <c r="AO522" s="115"/>
      <c r="AP522" s="29"/>
      <c r="AQ522" s="29"/>
      <c r="BA522" s="25"/>
      <c r="BB522" s="13"/>
      <c r="BG522" s="116"/>
      <c r="BH522" s="123"/>
      <c r="BI522" s="123"/>
      <c r="BJ522" s="123"/>
      <c r="BO522" s="115"/>
      <c r="BP522" s="115"/>
      <c r="BQ522" s="115"/>
      <c r="BR522" s="115"/>
      <c r="BS522" s="115"/>
      <c r="BT522" s="115"/>
      <c r="BU522" s="115"/>
      <c r="BV522" s="115"/>
      <c r="BW522" s="115"/>
      <c r="BX522" s="115"/>
      <c r="BY522" s="25"/>
      <c r="BZ522" s="13"/>
      <c r="CC522" s="114"/>
    </row>
    <row r="523" spans="1:81" ht="20.100000000000001" customHeight="1" x14ac:dyDescent="0.4">
      <c r="A523" s="117"/>
      <c r="B523" s="123"/>
      <c r="C523" s="123"/>
      <c r="D523" s="123"/>
      <c r="Z523" s="26"/>
      <c r="AA523" s="13"/>
      <c r="AD523" s="115"/>
      <c r="AE523" s="115"/>
      <c r="AF523" s="115"/>
      <c r="AG523" s="115"/>
      <c r="AH523" s="115"/>
      <c r="AI523" s="115"/>
      <c r="AJ523" s="115"/>
      <c r="AK523" s="115"/>
      <c r="AL523" s="115"/>
      <c r="AM523" s="115"/>
      <c r="AN523" s="115"/>
      <c r="AO523" s="115"/>
      <c r="AP523" s="127"/>
      <c r="AQ523" s="29"/>
      <c r="BA523" s="25"/>
      <c r="BB523" s="13"/>
      <c r="BG523" s="116"/>
      <c r="BH523" s="123"/>
      <c r="BI523" s="123"/>
      <c r="BJ523" s="123"/>
      <c r="BO523" s="115"/>
      <c r="BP523" s="115"/>
      <c r="BQ523" s="115"/>
      <c r="BR523" s="115"/>
      <c r="BS523" s="115"/>
      <c r="BT523" s="115"/>
      <c r="BU523" s="115"/>
      <c r="BV523" s="115"/>
      <c r="BW523" s="115"/>
      <c r="BX523" s="115"/>
      <c r="BY523" s="25"/>
      <c r="BZ523" s="13"/>
      <c r="CC523" s="114"/>
    </row>
    <row r="524" spans="1:81" ht="20.100000000000001" customHeight="1" x14ac:dyDescent="0.4">
      <c r="A524" s="117"/>
      <c r="B524" s="123"/>
      <c r="C524" s="123"/>
      <c r="D524" s="123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7"/>
      <c r="AA524" s="13"/>
      <c r="AD524" s="115"/>
      <c r="AE524" s="115"/>
      <c r="AF524" s="115"/>
      <c r="AG524" s="115"/>
      <c r="AH524" s="115"/>
      <c r="AI524" s="115"/>
      <c r="AJ524" s="115"/>
      <c r="AK524" s="115"/>
      <c r="AL524" s="115"/>
      <c r="AM524" s="115"/>
      <c r="AN524" s="115"/>
      <c r="AO524" s="115"/>
      <c r="AP524" s="127"/>
      <c r="AQ524" s="29"/>
      <c r="BA524" s="25"/>
      <c r="BB524" s="13"/>
      <c r="BG524" s="116"/>
      <c r="BH524" s="123"/>
      <c r="BI524" s="123"/>
      <c r="BJ524" s="123"/>
      <c r="BO524" s="115"/>
      <c r="BP524" s="115"/>
      <c r="BQ524" s="115"/>
      <c r="BR524" s="115"/>
      <c r="BS524" s="115"/>
      <c r="BT524" s="115"/>
      <c r="BU524" s="115"/>
      <c r="BV524" s="115"/>
      <c r="BW524" s="115"/>
      <c r="BX524" s="115"/>
      <c r="BY524" s="25"/>
      <c r="BZ524" s="13"/>
      <c r="CC524" s="114"/>
    </row>
    <row r="525" spans="1:81" ht="20.100000000000001" customHeight="1" x14ac:dyDescent="0.4">
      <c r="A525" s="117"/>
      <c r="B525" s="123"/>
      <c r="C525" s="123"/>
      <c r="D525" s="123"/>
      <c r="Z525" s="26"/>
      <c r="AA525" s="13"/>
      <c r="AD525" s="115"/>
      <c r="AE525" s="115"/>
      <c r="AF525" s="115"/>
      <c r="AG525" s="115"/>
      <c r="AH525" s="115"/>
      <c r="AI525" s="115"/>
      <c r="AJ525" s="115"/>
      <c r="AK525" s="115"/>
      <c r="AL525" s="115"/>
      <c r="AM525" s="115"/>
      <c r="AN525" s="115"/>
      <c r="AO525" s="115"/>
      <c r="AP525" s="29"/>
      <c r="AQ525" s="29"/>
      <c r="BA525" s="25"/>
      <c r="BB525" s="13"/>
      <c r="BG525" s="116"/>
      <c r="BH525" s="123"/>
      <c r="BI525" s="123"/>
      <c r="BJ525" s="123"/>
      <c r="BO525" s="115"/>
      <c r="BP525" s="115"/>
      <c r="BQ525" s="115"/>
      <c r="BR525" s="115"/>
      <c r="BS525" s="115"/>
      <c r="BT525" s="115"/>
      <c r="BU525" s="115"/>
      <c r="BV525" s="115"/>
      <c r="BW525" s="115"/>
      <c r="BX525" s="115"/>
      <c r="BY525" s="25"/>
      <c r="BZ525" s="13"/>
      <c r="CC525" s="114"/>
    </row>
    <row r="526" spans="1:81" ht="20.100000000000001" customHeight="1" x14ac:dyDescent="0.4">
      <c r="A526" s="117"/>
      <c r="B526" s="123"/>
      <c r="C526" s="123"/>
      <c r="D526" s="123"/>
      <c r="Z526" s="26"/>
      <c r="AA526" s="13"/>
      <c r="AD526" s="115"/>
      <c r="AE526" s="115"/>
      <c r="AF526" s="115"/>
      <c r="AG526" s="115"/>
      <c r="AH526" s="115"/>
      <c r="AI526" s="115"/>
      <c r="AJ526" s="115"/>
      <c r="AK526" s="115"/>
      <c r="AL526" s="115"/>
      <c r="AM526" s="115"/>
      <c r="AN526" s="115"/>
      <c r="AO526" s="115"/>
      <c r="AP526" s="127"/>
      <c r="AQ526" s="29"/>
      <c r="BA526" s="25"/>
      <c r="BB526" s="13"/>
      <c r="BG526" s="116"/>
      <c r="BH526" s="123"/>
      <c r="BI526" s="123"/>
      <c r="BJ526" s="123"/>
      <c r="BO526" s="115"/>
      <c r="BP526" s="115"/>
      <c r="BQ526" s="115"/>
      <c r="BR526" s="115"/>
      <c r="BS526" s="115"/>
      <c r="BT526" s="115"/>
      <c r="BU526" s="115"/>
      <c r="BV526" s="115"/>
      <c r="BW526" s="115"/>
      <c r="BX526" s="115"/>
      <c r="BY526" s="25"/>
      <c r="BZ526" s="13"/>
      <c r="CC526" s="114"/>
    </row>
    <row r="527" spans="1:81" ht="20.100000000000001" customHeight="1" x14ac:dyDescent="0.4">
      <c r="A527" s="117"/>
      <c r="B527" s="123"/>
      <c r="C527" s="123"/>
      <c r="D527" s="123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7"/>
      <c r="AA527" s="13"/>
      <c r="AD527" s="115"/>
      <c r="AE527" s="115"/>
      <c r="AF527" s="115"/>
      <c r="AG527" s="115"/>
      <c r="AH527" s="115"/>
      <c r="AI527" s="115"/>
      <c r="AJ527" s="115"/>
      <c r="AK527" s="115"/>
      <c r="AL527" s="115"/>
      <c r="AM527" s="115"/>
      <c r="AN527" s="115"/>
      <c r="AO527" s="115"/>
      <c r="AP527" s="127"/>
      <c r="AQ527" s="29"/>
      <c r="BA527" s="25"/>
      <c r="BB527" s="13"/>
      <c r="BG527" s="116"/>
      <c r="BH527" s="123"/>
      <c r="BI527" s="123"/>
      <c r="BJ527" s="123"/>
      <c r="BO527" s="115"/>
      <c r="BP527" s="115"/>
      <c r="BQ527" s="115"/>
      <c r="BR527" s="115"/>
      <c r="BS527" s="115"/>
      <c r="BT527" s="115"/>
      <c r="BU527" s="115"/>
      <c r="BV527" s="115"/>
      <c r="BW527" s="115"/>
      <c r="BX527" s="115"/>
      <c r="BY527" s="25"/>
      <c r="BZ527" s="13"/>
      <c r="CC527" s="114"/>
    </row>
    <row r="528" spans="1:81" ht="20.100000000000001" customHeight="1" x14ac:dyDescent="0.4">
      <c r="A528" s="117"/>
      <c r="B528" s="123"/>
      <c r="C528" s="123"/>
      <c r="D528" s="123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26"/>
      <c r="AA528" s="13"/>
      <c r="AD528" s="115"/>
      <c r="AE528" s="115"/>
      <c r="AF528" s="115"/>
      <c r="AG528" s="115"/>
      <c r="AH528" s="115"/>
      <c r="AI528" s="115"/>
      <c r="AJ528" s="115"/>
      <c r="AK528" s="115"/>
      <c r="AL528" s="115"/>
      <c r="AM528" s="115"/>
      <c r="AN528" s="115"/>
      <c r="AO528" s="115"/>
      <c r="AP528" s="127"/>
      <c r="AQ528" s="29"/>
      <c r="BA528" s="25"/>
      <c r="BB528" s="13"/>
      <c r="BG528" s="116"/>
      <c r="BH528" s="123"/>
      <c r="BI528" s="123"/>
      <c r="BJ528" s="123"/>
      <c r="BO528" s="115"/>
      <c r="BP528" s="115"/>
      <c r="BQ528" s="115"/>
      <c r="BR528" s="115"/>
      <c r="BS528" s="115"/>
      <c r="BT528" s="115"/>
      <c r="BU528" s="115"/>
      <c r="BV528" s="115"/>
      <c r="BW528" s="115"/>
      <c r="BX528" s="115"/>
      <c r="BY528" s="25"/>
      <c r="BZ528" s="13"/>
      <c r="CC528" s="114"/>
    </row>
    <row r="529" spans="1:81" ht="20.100000000000001" customHeight="1" x14ac:dyDescent="0.4">
      <c r="A529" s="117"/>
      <c r="B529" s="123"/>
      <c r="C529" s="123"/>
      <c r="D529" s="123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7"/>
      <c r="AA529" s="13"/>
      <c r="AD529" s="115"/>
      <c r="AE529" s="115"/>
      <c r="AF529" s="115"/>
      <c r="AG529" s="115"/>
      <c r="AH529" s="115"/>
      <c r="AI529" s="115"/>
      <c r="AJ529" s="115"/>
      <c r="AK529" s="115"/>
      <c r="AL529" s="115"/>
      <c r="AM529" s="115"/>
      <c r="AN529" s="115"/>
      <c r="AO529" s="115"/>
      <c r="AP529" s="127"/>
      <c r="AQ529" s="29"/>
      <c r="BA529" s="25"/>
      <c r="BB529" s="13"/>
      <c r="BG529" s="116"/>
      <c r="BH529" s="123"/>
      <c r="BI529" s="123"/>
      <c r="BJ529" s="123"/>
      <c r="BO529" s="115"/>
      <c r="BP529" s="115"/>
      <c r="BQ529" s="115"/>
      <c r="BR529" s="115"/>
      <c r="BS529" s="115"/>
      <c r="BT529" s="115"/>
      <c r="BU529" s="115"/>
      <c r="BV529" s="115"/>
      <c r="BW529" s="115"/>
      <c r="BX529" s="115"/>
      <c r="BY529" s="25"/>
      <c r="BZ529" s="13"/>
      <c r="CC529" s="114"/>
    </row>
    <row r="530" spans="1:81" ht="20.100000000000001" customHeight="1" x14ac:dyDescent="0.4">
      <c r="A530" s="117"/>
      <c r="B530" s="123"/>
      <c r="C530" s="123"/>
      <c r="D530" s="123"/>
      <c r="Z530" s="26"/>
      <c r="AA530" s="13"/>
      <c r="AD530" s="115"/>
      <c r="AE530" s="115"/>
      <c r="AF530" s="115"/>
      <c r="AG530" s="115"/>
      <c r="AH530" s="115"/>
      <c r="AI530" s="115"/>
      <c r="AJ530" s="115"/>
      <c r="AK530" s="115"/>
      <c r="AL530" s="115"/>
      <c r="AM530" s="115"/>
      <c r="AN530" s="115"/>
      <c r="AO530" s="115"/>
      <c r="AP530" s="29"/>
      <c r="AQ530" s="29"/>
      <c r="BA530" s="25"/>
      <c r="BB530" s="13"/>
      <c r="BG530" s="116"/>
      <c r="BH530" s="123"/>
      <c r="BI530" s="123"/>
      <c r="BJ530" s="123"/>
      <c r="BO530" s="115"/>
      <c r="BP530" s="115"/>
      <c r="BQ530" s="115"/>
      <c r="BR530" s="115"/>
      <c r="BS530" s="115"/>
      <c r="BT530" s="115"/>
      <c r="BU530" s="115"/>
      <c r="BV530" s="115"/>
      <c r="BW530" s="115"/>
      <c r="BX530" s="115"/>
      <c r="BY530" s="25"/>
      <c r="BZ530" s="13"/>
      <c r="CC530" s="114"/>
    </row>
    <row r="531" spans="1:81" ht="20.100000000000001" customHeight="1" x14ac:dyDescent="0.4">
      <c r="A531" s="117"/>
      <c r="B531" s="123"/>
      <c r="C531" s="123"/>
      <c r="D531" s="123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7"/>
      <c r="AA531" s="13"/>
      <c r="AD531" s="115"/>
      <c r="AE531" s="115"/>
      <c r="AF531" s="115"/>
      <c r="AG531" s="115"/>
      <c r="AH531" s="115"/>
      <c r="AI531" s="115"/>
      <c r="AJ531" s="115"/>
      <c r="AK531" s="115"/>
      <c r="AL531" s="115"/>
      <c r="AM531" s="115"/>
      <c r="AN531" s="115"/>
      <c r="AO531" s="115"/>
      <c r="AP531" s="29"/>
      <c r="AQ531" s="29"/>
      <c r="BA531" s="25"/>
      <c r="BB531" s="13"/>
      <c r="BG531" s="116"/>
      <c r="BH531" s="123"/>
      <c r="BI531" s="123"/>
      <c r="BJ531" s="123"/>
      <c r="BO531" s="115"/>
      <c r="BP531" s="115"/>
      <c r="BQ531" s="115"/>
      <c r="BR531" s="115"/>
      <c r="BS531" s="115"/>
      <c r="BT531" s="115"/>
      <c r="BU531" s="115"/>
      <c r="BV531" s="115"/>
      <c r="BW531" s="115"/>
      <c r="BX531" s="115"/>
      <c r="BY531" s="25"/>
      <c r="BZ531" s="13"/>
      <c r="CC531" s="114"/>
    </row>
    <row r="532" spans="1:81" ht="20.100000000000001" customHeight="1" x14ac:dyDescent="0.4">
      <c r="A532" s="117"/>
      <c r="B532" s="123"/>
      <c r="C532" s="123"/>
      <c r="D532" s="123"/>
      <c r="Z532" s="26"/>
      <c r="AA532" s="13"/>
      <c r="AD532" s="115"/>
      <c r="AE532" s="115"/>
      <c r="AF532" s="115"/>
      <c r="AG532" s="115"/>
      <c r="AH532" s="115"/>
      <c r="AI532" s="115"/>
      <c r="AJ532" s="115"/>
      <c r="AK532" s="115"/>
      <c r="AL532" s="115"/>
      <c r="AM532" s="115"/>
      <c r="AN532" s="115"/>
      <c r="AO532" s="115"/>
      <c r="AP532" s="29"/>
      <c r="AQ532" s="29"/>
      <c r="BA532" s="25"/>
      <c r="BB532" s="13"/>
      <c r="BG532" s="116"/>
      <c r="BH532" s="123"/>
      <c r="BI532" s="123"/>
      <c r="BJ532" s="123"/>
      <c r="BO532" s="115"/>
      <c r="BP532" s="115"/>
      <c r="BQ532" s="115"/>
      <c r="BR532" s="115"/>
      <c r="BS532" s="115"/>
      <c r="BT532" s="115"/>
      <c r="BU532" s="115"/>
      <c r="BV532" s="115"/>
      <c r="BW532" s="115"/>
      <c r="BX532" s="115"/>
      <c r="BY532" s="25"/>
      <c r="BZ532" s="13"/>
      <c r="CC532" s="114"/>
    </row>
    <row r="533" spans="1:81" ht="20.100000000000001" customHeight="1" x14ac:dyDescent="0.4">
      <c r="A533" s="117"/>
      <c r="B533" s="123"/>
      <c r="C533" s="123"/>
      <c r="D533" s="123"/>
      <c r="Z533" s="26"/>
      <c r="AA533" s="13"/>
      <c r="AD533" s="115"/>
      <c r="AE533" s="115"/>
      <c r="AF533" s="115"/>
      <c r="AG533" s="115"/>
      <c r="AH533" s="115"/>
      <c r="AI533" s="115"/>
      <c r="AJ533" s="115"/>
      <c r="AK533" s="115"/>
      <c r="AL533" s="115"/>
      <c r="AM533" s="115"/>
      <c r="AN533" s="115"/>
      <c r="AO533" s="115"/>
      <c r="AP533" s="127"/>
      <c r="AQ533" s="29"/>
      <c r="BA533" s="25"/>
      <c r="BB533" s="13"/>
      <c r="BG533" s="116"/>
      <c r="BH533" s="123"/>
      <c r="BI533" s="123"/>
      <c r="BJ533" s="123"/>
      <c r="BO533" s="115"/>
      <c r="BP533" s="115"/>
      <c r="BQ533" s="115"/>
      <c r="BR533" s="115"/>
      <c r="BS533" s="115"/>
      <c r="BT533" s="115"/>
      <c r="BU533" s="115"/>
      <c r="BV533" s="115"/>
      <c r="BW533" s="115"/>
      <c r="BX533" s="115"/>
      <c r="BY533" s="25"/>
      <c r="BZ533" s="13"/>
      <c r="CC533" s="114"/>
    </row>
    <row r="534" spans="1:81" ht="20.100000000000001" customHeight="1" x14ac:dyDescent="0.4">
      <c r="A534" s="117"/>
      <c r="B534" s="123"/>
      <c r="C534" s="123"/>
      <c r="D534" s="123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20"/>
      <c r="AA534" s="13"/>
      <c r="AD534" s="115"/>
      <c r="AE534" s="115"/>
      <c r="AF534" s="115"/>
      <c r="AG534" s="115"/>
      <c r="AH534" s="115"/>
      <c r="AI534" s="115"/>
      <c r="AJ534" s="115"/>
      <c r="AK534" s="115"/>
      <c r="AL534" s="115"/>
      <c r="AM534" s="115"/>
      <c r="AN534" s="115"/>
      <c r="AO534" s="115"/>
      <c r="AP534" s="127"/>
      <c r="AQ534" s="29"/>
      <c r="BA534" s="25"/>
      <c r="BB534" s="13"/>
      <c r="BG534" s="116"/>
      <c r="BH534" s="123"/>
      <c r="BI534" s="123"/>
      <c r="BJ534" s="123"/>
      <c r="BO534" s="115"/>
      <c r="BP534" s="115"/>
      <c r="BQ534" s="115"/>
      <c r="BR534" s="115"/>
      <c r="BS534" s="115"/>
      <c r="BT534" s="115"/>
      <c r="BU534" s="115"/>
      <c r="BV534" s="115"/>
      <c r="BW534" s="115"/>
      <c r="BX534" s="115"/>
      <c r="BY534" s="25"/>
      <c r="BZ534" s="13"/>
      <c r="CC534" s="114"/>
    </row>
    <row r="535" spans="1:81" ht="20.100000000000001" customHeight="1" x14ac:dyDescent="0.4">
      <c r="A535" s="117"/>
      <c r="B535" s="123"/>
      <c r="C535" s="123"/>
      <c r="D535" s="123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20"/>
      <c r="AA535" s="13"/>
      <c r="AD535" s="115"/>
      <c r="AE535" s="115"/>
      <c r="AF535" s="115"/>
      <c r="AG535" s="115"/>
      <c r="AH535" s="115"/>
      <c r="AI535" s="115"/>
      <c r="AJ535" s="115"/>
      <c r="AK535" s="115"/>
      <c r="AL535" s="115"/>
      <c r="AM535" s="115"/>
      <c r="AN535" s="115"/>
      <c r="AO535" s="115"/>
      <c r="AP535" s="127"/>
      <c r="AQ535" s="29"/>
      <c r="BA535" s="25"/>
      <c r="BB535" s="13"/>
      <c r="BG535" s="116"/>
      <c r="BH535" s="123"/>
      <c r="BI535" s="123"/>
      <c r="BJ535" s="123"/>
      <c r="BO535" s="115"/>
      <c r="BP535" s="115"/>
      <c r="BQ535" s="115"/>
      <c r="BR535" s="115"/>
      <c r="BS535" s="115"/>
      <c r="BT535" s="115"/>
      <c r="BU535" s="115"/>
      <c r="BV535" s="115"/>
      <c r="BW535" s="115"/>
      <c r="BX535" s="115"/>
      <c r="BY535" s="25"/>
      <c r="BZ535" s="13"/>
      <c r="CC535" s="114"/>
    </row>
    <row r="536" spans="1:81" ht="20.100000000000001" customHeight="1" x14ac:dyDescent="0.4">
      <c r="A536" s="117"/>
      <c r="B536" s="123"/>
      <c r="C536" s="123"/>
      <c r="D536" s="123"/>
      <c r="Z536" s="25"/>
      <c r="AA536" s="13"/>
      <c r="AD536" s="115"/>
      <c r="AE536" s="115"/>
      <c r="AF536" s="115"/>
      <c r="AG536" s="115"/>
      <c r="AH536" s="115"/>
      <c r="AI536" s="115"/>
      <c r="AJ536" s="115"/>
      <c r="AK536" s="115"/>
      <c r="AL536" s="115"/>
      <c r="AM536" s="115"/>
      <c r="AN536" s="115"/>
      <c r="AO536" s="115"/>
      <c r="AP536" s="127"/>
      <c r="AQ536" s="29"/>
      <c r="BA536" s="25"/>
      <c r="BB536" s="13"/>
      <c r="BG536" s="116"/>
      <c r="BH536" s="123"/>
      <c r="BI536" s="123"/>
      <c r="BJ536" s="123"/>
      <c r="BO536" s="115"/>
      <c r="BP536" s="115"/>
      <c r="BQ536" s="115"/>
      <c r="BR536" s="115"/>
      <c r="BS536" s="115"/>
      <c r="BT536" s="115"/>
      <c r="BU536" s="115"/>
      <c r="BV536" s="115"/>
      <c r="BW536" s="115"/>
      <c r="BX536" s="115"/>
      <c r="BY536" s="25"/>
      <c r="BZ536" s="13"/>
      <c r="CC536" s="114"/>
    </row>
    <row r="537" spans="1:81" ht="20.100000000000001" customHeight="1" x14ac:dyDescent="0.4">
      <c r="A537" s="117"/>
      <c r="B537" s="123"/>
      <c r="C537" s="123"/>
      <c r="D537" s="123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3"/>
      <c r="AA537" s="13"/>
      <c r="AD537" s="115"/>
      <c r="AE537" s="115"/>
      <c r="AF537" s="115"/>
      <c r="AG537" s="115"/>
      <c r="AH537" s="115"/>
      <c r="AI537" s="115"/>
      <c r="AJ537" s="115"/>
      <c r="AK537" s="115"/>
      <c r="AL537" s="115"/>
      <c r="AM537" s="115"/>
      <c r="AN537" s="115"/>
      <c r="AO537" s="115"/>
      <c r="AP537" s="127"/>
      <c r="AQ537" s="29"/>
      <c r="BA537" s="25"/>
      <c r="BB537" s="13"/>
      <c r="BG537" s="116"/>
      <c r="BH537" s="123"/>
      <c r="BI537" s="123"/>
      <c r="BJ537" s="123"/>
      <c r="BO537" s="115"/>
      <c r="BP537" s="115"/>
      <c r="BQ537" s="115"/>
      <c r="BR537" s="115"/>
      <c r="BS537" s="115"/>
      <c r="BT537" s="115"/>
      <c r="BU537" s="115"/>
      <c r="BV537" s="115"/>
      <c r="BW537" s="115"/>
      <c r="BX537" s="115"/>
      <c r="BY537" s="25"/>
      <c r="BZ537" s="13"/>
      <c r="CC537" s="114"/>
    </row>
    <row r="538" spans="1:81" ht="20.100000000000001" customHeight="1" x14ac:dyDescent="0.4">
      <c r="A538" s="117"/>
      <c r="B538" s="123"/>
      <c r="C538" s="123"/>
      <c r="D538" s="123"/>
      <c r="Z538" s="25"/>
      <c r="AA538" s="13"/>
      <c r="AD538" s="115"/>
      <c r="AE538" s="115"/>
      <c r="AF538" s="115"/>
      <c r="AG538" s="115"/>
      <c r="AH538" s="115"/>
      <c r="AI538" s="115"/>
      <c r="AJ538" s="115"/>
      <c r="AK538" s="115"/>
      <c r="AL538" s="115"/>
      <c r="AM538" s="115"/>
      <c r="AN538" s="115"/>
      <c r="AO538" s="115"/>
      <c r="AP538" s="127"/>
      <c r="AQ538" s="29"/>
      <c r="BA538" s="25"/>
      <c r="BB538" s="13"/>
      <c r="BG538" s="116"/>
      <c r="BH538" s="123"/>
      <c r="BI538" s="123"/>
      <c r="BJ538" s="123"/>
      <c r="BO538" s="115"/>
      <c r="BP538" s="115"/>
      <c r="BQ538" s="115"/>
      <c r="BR538" s="115"/>
      <c r="BS538" s="115"/>
      <c r="BT538" s="115"/>
      <c r="BU538" s="115"/>
      <c r="BV538" s="115"/>
      <c r="BW538" s="115"/>
      <c r="BX538" s="115"/>
      <c r="BY538" s="25"/>
      <c r="BZ538" s="13"/>
      <c r="CC538" s="114"/>
    </row>
    <row r="539" spans="1:81" ht="20.100000000000001" customHeight="1" x14ac:dyDescent="0.4">
      <c r="A539" s="117"/>
      <c r="B539" s="123"/>
      <c r="C539" s="123"/>
      <c r="D539" s="123"/>
      <c r="Z539" s="26"/>
      <c r="AA539" s="15"/>
      <c r="AD539" s="115"/>
      <c r="AE539" s="115"/>
      <c r="AF539" s="115"/>
      <c r="AG539" s="115"/>
      <c r="AH539" s="115"/>
      <c r="AI539" s="115"/>
      <c r="AJ539" s="115"/>
      <c r="AK539" s="115"/>
      <c r="AL539" s="115"/>
      <c r="AM539" s="115"/>
      <c r="AN539" s="115"/>
      <c r="AO539" s="115"/>
      <c r="AP539" s="127"/>
      <c r="AQ539" s="29"/>
      <c r="BA539" s="25"/>
      <c r="BB539" s="13"/>
      <c r="BG539" s="116"/>
      <c r="BH539" s="123"/>
      <c r="BI539" s="123"/>
      <c r="BJ539" s="123"/>
      <c r="BO539" s="115"/>
      <c r="BP539" s="115"/>
      <c r="BQ539" s="115"/>
      <c r="BR539" s="115"/>
      <c r="BS539" s="115"/>
      <c r="BT539" s="115"/>
      <c r="BU539" s="115"/>
      <c r="BV539" s="115"/>
      <c r="BW539" s="115"/>
      <c r="BX539" s="115"/>
      <c r="BY539" s="25"/>
      <c r="BZ539" s="13"/>
      <c r="CC539" s="114"/>
    </row>
    <row r="540" spans="1:81" ht="20.100000000000001" customHeight="1" x14ac:dyDescent="0.4">
      <c r="A540" s="117"/>
      <c r="B540" s="123"/>
      <c r="C540" s="123"/>
      <c r="D540" s="123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25"/>
      <c r="AA540" s="13"/>
      <c r="AP540" s="127"/>
      <c r="AQ540" s="29"/>
      <c r="BA540" s="25"/>
      <c r="BB540" s="13"/>
      <c r="BG540" s="116"/>
      <c r="BH540" s="123"/>
      <c r="BI540" s="123"/>
      <c r="BJ540" s="123"/>
      <c r="BO540" s="115"/>
      <c r="BP540" s="115"/>
      <c r="BQ540" s="115"/>
      <c r="BR540" s="115"/>
      <c r="BS540" s="115"/>
      <c r="BT540" s="115"/>
      <c r="BU540" s="115"/>
      <c r="BV540" s="115"/>
      <c r="BW540" s="115"/>
      <c r="BX540" s="115"/>
      <c r="BY540" s="25"/>
      <c r="BZ540" s="13"/>
      <c r="CC540" s="114"/>
    </row>
    <row r="541" spans="1:81" ht="20.100000000000001" customHeight="1" x14ac:dyDescent="0.4">
      <c r="A541" s="117"/>
      <c r="B541" s="123"/>
      <c r="C541" s="123"/>
      <c r="D541" s="123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25"/>
      <c r="AA541" s="13"/>
      <c r="AC541" s="115"/>
      <c r="AD541" s="115"/>
      <c r="AE541" s="115"/>
      <c r="AF541" s="115"/>
      <c r="AG541" s="115"/>
      <c r="AH541" s="115"/>
      <c r="AI541" s="115"/>
      <c r="AJ541" s="115"/>
      <c r="AK541" s="115"/>
      <c r="AL541" s="115"/>
      <c r="AM541" s="115"/>
      <c r="AN541" s="115"/>
      <c r="AO541" s="115"/>
      <c r="AP541" s="127"/>
      <c r="AQ541" s="29"/>
      <c r="BA541" s="25"/>
      <c r="BB541" s="13"/>
      <c r="BG541" s="116"/>
      <c r="BH541" s="123"/>
      <c r="BI541" s="123"/>
      <c r="BJ541" s="123"/>
      <c r="BO541" s="115"/>
      <c r="BP541" s="115"/>
      <c r="BQ541" s="115"/>
      <c r="BR541" s="115"/>
      <c r="BS541" s="115"/>
      <c r="BT541" s="115"/>
      <c r="BU541" s="115"/>
      <c r="BV541" s="115"/>
      <c r="BW541" s="115"/>
      <c r="BX541" s="115"/>
      <c r="BY541" s="25"/>
      <c r="BZ541" s="13"/>
      <c r="CC541" s="114"/>
    </row>
    <row r="542" spans="1:81" ht="20.100000000000001" customHeight="1" x14ac:dyDescent="0.4">
      <c r="A542" s="117"/>
      <c r="B542" s="123"/>
      <c r="C542" s="123"/>
      <c r="D542" s="123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25"/>
      <c r="AA542" s="13"/>
      <c r="AC542" s="115"/>
      <c r="AD542" s="115"/>
      <c r="AE542" s="115"/>
      <c r="AF542" s="115"/>
      <c r="AG542" s="115"/>
      <c r="AH542" s="115"/>
      <c r="AI542" s="115"/>
      <c r="AJ542" s="115"/>
      <c r="AK542" s="115"/>
      <c r="AL542" s="115"/>
      <c r="AM542" s="115"/>
      <c r="AN542" s="115"/>
      <c r="AO542" s="115"/>
      <c r="AP542" s="29"/>
      <c r="AQ542" s="29"/>
      <c r="BA542" s="25"/>
      <c r="BB542" s="13"/>
      <c r="BG542" s="116"/>
      <c r="BH542" s="123"/>
      <c r="BI542" s="123"/>
      <c r="BJ542" s="123"/>
      <c r="BO542" s="115"/>
      <c r="BP542" s="115"/>
      <c r="BQ542" s="115"/>
      <c r="BR542" s="115"/>
      <c r="BS542" s="115"/>
      <c r="BT542" s="115"/>
      <c r="BU542" s="115"/>
      <c r="BV542" s="115"/>
      <c r="BW542" s="115"/>
      <c r="BX542" s="115"/>
      <c r="BY542" s="25"/>
      <c r="BZ542" s="13"/>
      <c r="CC542" s="114"/>
    </row>
    <row r="543" spans="1:81" ht="20.100000000000001" customHeight="1" x14ac:dyDescent="0.4">
      <c r="A543" s="117"/>
      <c r="B543" s="123"/>
      <c r="C543" s="123"/>
      <c r="D543" s="123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25"/>
      <c r="AA543" s="13"/>
      <c r="AC543" s="115"/>
      <c r="AD543" s="115"/>
      <c r="AE543" s="115"/>
      <c r="AF543" s="115"/>
      <c r="AG543" s="115"/>
      <c r="AH543" s="115"/>
      <c r="AI543" s="115"/>
      <c r="AJ543" s="115"/>
      <c r="AK543" s="115"/>
      <c r="AL543" s="115"/>
      <c r="AM543" s="115"/>
      <c r="AN543" s="115"/>
      <c r="AO543" s="115"/>
      <c r="AP543" s="127"/>
      <c r="AQ543" s="29"/>
      <c r="BA543" s="25"/>
      <c r="BB543" s="13"/>
      <c r="BG543" s="116"/>
      <c r="BH543" s="123"/>
      <c r="BI543" s="123"/>
      <c r="BJ543" s="123"/>
      <c r="BO543" s="115"/>
      <c r="BP543" s="115"/>
      <c r="BQ543" s="115"/>
      <c r="BR543" s="115"/>
      <c r="BS543" s="115"/>
      <c r="BT543" s="115"/>
      <c r="BU543" s="115"/>
      <c r="BV543" s="115"/>
      <c r="BW543" s="115"/>
      <c r="BX543" s="115"/>
      <c r="BY543" s="25"/>
      <c r="BZ543" s="13"/>
      <c r="CC543" s="114"/>
    </row>
    <row r="544" spans="1:81" ht="20.100000000000001" customHeight="1" x14ac:dyDescent="0.4">
      <c r="A544" s="117"/>
      <c r="B544" s="123"/>
      <c r="C544" s="123"/>
      <c r="D544" s="123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26"/>
      <c r="AA544" s="13"/>
      <c r="AC544" s="115"/>
      <c r="AD544" s="115"/>
      <c r="AE544" s="115"/>
      <c r="AF544" s="115"/>
      <c r="AG544" s="115"/>
      <c r="AH544" s="115"/>
      <c r="AI544" s="115"/>
      <c r="AJ544" s="115"/>
      <c r="AK544" s="115"/>
      <c r="AL544" s="115"/>
      <c r="AM544" s="115"/>
      <c r="AN544" s="115"/>
      <c r="AO544" s="115"/>
      <c r="AP544" s="127"/>
      <c r="AQ544" s="29"/>
      <c r="BA544" s="25"/>
      <c r="BB544" s="13"/>
      <c r="BG544" s="116"/>
      <c r="BH544" s="123"/>
      <c r="BI544" s="123"/>
      <c r="BJ544" s="123"/>
      <c r="BO544" s="115"/>
      <c r="BP544" s="115"/>
      <c r="BQ544" s="115"/>
      <c r="BR544" s="115"/>
      <c r="BS544" s="115"/>
      <c r="BT544" s="115"/>
      <c r="BU544" s="115"/>
      <c r="BV544" s="115"/>
      <c r="BW544" s="115"/>
      <c r="BX544" s="115"/>
      <c r="BY544" s="25"/>
      <c r="BZ544" s="13"/>
      <c r="CC544" s="114"/>
    </row>
    <row r="545" spans="1:81" ht="20.100000000000001" customHeight="1" x14ac:dyDescent="0.4">
      <c r="A545" s="117"/>
      <c r="B545" s="123"/>
      <c r="C545" s="123"/>
      <c r="D545" s="123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26"/>
      <c r="AA545" s="13"/>
      <c r="AC545" s="115"/>
      <c r="AD545" s="115"/>
      <c r="AE545" s="115"/>
      <c r="AF545" s="115"/>
      <c r="AG545" s="115"/>
      <c r="AH545" s="115"/>
      <c r="AI545" s="115"/>
      <c r="AJ545" s="115"/>
      <c r="AK545" s="115"/>
      <c r="AL545" s="115"/>
      <c r="AM545" s="115"/>
      <c r="AN545" s="115"/>
      <c r="AO545" s="115"/>
      <c r="AP545" s="127"/>
      <c r="AQ545" s="29"/>
      <c r="BA545" s="25"/>
      <c r="BB545" s="13"/>
      <c r="BG545" s="116"/>
      <c r="BH545" s="123"/>
      <c r="BI545" s="123"/>
      <c r="BJ545" s="123"/>
      <c r="BO545" s="115"/>
      <c r="BP545" s="115"/>
      <c r="BQ545" s="115"/>
      <c r="BR545" s="115"/>
      <c r="BS545" s="115"/>
      <c r="BT545" s="115"/>
      <c r="BU545" s="115"/>
      <c r="BV545" s="115"/>
      <c r="BW545" s="115"/>
      <c r="BX545" s="115"/>
      <c r="BY545" s="25"/>
      <c r="BZ545" s="13"/>
      <c r="CC545" s="114"/>
    </row>
    <row r="546" spans="1:81" ht="20.100000000000001" customHeight="1" x14ac:dyDescent="0.4">
      <c r="A546" s="117"/>
      <c r="B546" s="123"/>
      <c r="C546" s="123"/>
      <c r="D546" s="123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7"/>
      <c r="AA546" s="13"/>
      <c r="AC546" s="115"/>
      <c r="AD546" s="115"/>
      <c r="AE546" s="115"/>
      <c r="AF546" s="115"/>
      <c r="AG546" s="115"/>
      <c r="AH546" s="115"/>
      <c r="AI546" s="115"/>
      <c r="AJ546" s="115"/>
      <c r="AK546" s="115"/>
      <c r="AL546" s="115"/>
      <c r="AM546" s="115"/>
      <c r="AN546" s="115"/>
      <c r="AO546" s="115"/>
      <c r="AP546" s="127"/>
      <c r="AQ546" s="29"/>
      <c r="BA546" s="25"/>
      <c r="BB546" s="13"/>
      <c r="BG546" s="116"/>
      <c r="BH546" s="123"/>
      <c r="BI546" s="123"/>
      <c r="BJ546" s="123"/>
      <c r="BO546" s="115"/>
      <c r="BP546" s="115"/>
      <c r="BQ546" s="115"/>
      <c r="BR546" s="115"/>
      <c r="BS546" s="115"/>
      <c r="BT546" s="115"/>
      <c r="BU546" s="115"/>
      <c r="BV546" s="115"/>
      <c r="BW546" s="115"/>
      <c r="BX546" s="115"/>
      <c r="BY546" s="25"/>
      <c r="BZ546" s="13"/>
      <c r="CC546" s="114"/>
    </row>
    <row r="547" spans="1:81" ht="20.100000000000001" customHeight="1" x14ac:dyDescent="0.4">
      <c r="A547" s="117"/>
      <c r="B547" s="123"/>
      <c r="C547" s="123"/>
      <c r="D547" s="123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26"/>
      <c r="AA547" s="13"/>
      <c r="AC547" s="115"/>
      <c r="AD547" s="115"/>
      <c r="AE547" s="115"/>
      <c r="AF547" s="115"/>
      <c r="AG547" s="115"/>
      <c r="AH547" s="115"/>
      <c r="AI547" s="115"/>
      <c r="AJ547" s="115"/>
      <c r="AK547" s="115"/>
      <c r="AL547" s="115"/>
      <c r="AM547" s="115"/>
      <c r="AN547" s="115"/>
      <c r="AO547" s="115"/>
      <c r="AP547" s="127"/>
      <c r="AQ547" s="29"/>
      <c r="BA547" s="25"/>
      <c r="BB547" s="13"/>
      <c r="BG547" s="116"/>
      <c r="BH547" s="123"/>
      <c r="BI547" s="123"/>
      <c r="BJ547" s="123"/>
      <c r="BO547" s="115"/>
      <c r="BP547" s="115"/>
      <c r="BQ547" s="115"/>
      <c r="BR547" s="115"/>
      <c r="BS547" s="115"/>
      <c r="BT547" s="115"/>
      <c r="BU547" s="115"/>
      <c r="BV547" s="115"/>
      <c r="BW547" s="115"/>
      <c r="BX547" s="115"/>
      <c r="BY547" s="25"/>
      <c r="BZ547" s="13"/>
      <c r="CC547" s="114"/>
    </row>
    <row r="548" spans="1:81" ht="20.100000000000001" customHeight="1" x14ac:dyDescent="0.4">
      <c r="A548" s="117"/>
      <c r="B548" s="123"/>
      <c r="C548" s="123"/>
      <c r="D548" s="123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26"/>
      <c r="AA548" s="13"/>
      <c r="AB548" s="115"/>
      <c r="AC548" s="115"/>
      <c r="AD548" s="115"/>
      <c r="AE548" s="115"/>
      <c r="AF548" s="115"/>
      <c r="AG548" s="115"/>
      <c r="AH548" s="115"/>
      <c r="AI548" s="115"/>
      <c r="AJ548" s="115"/>
      <c r="AK548" s="115"/>
      <c r="AL548" s="115"/>
      <c r="AM548" s="115"/>
      <c r="AN548" s="115"/>
      <c r="AO548" s="115"/>
      <c r="AP548" s="127"/>
      <c r="AQ548" s="29"/>
      <c r="BA548" s="25"/>
      <c r="BB548" s="13"/>
      <c r="BG548" s="116"/>
      <c r="BH548" s="123"/>
      <c r="BI548" s="123"/>
      <c r="BJ548" s="123"/>
      <c r="BO548" s="115"/>
      <c r="BP548" s="115"/>
      <c r="BQ548" s="115"/>
      <c r="BR548" s="115"/>
      <c r="BS548" s="115"/>
      <c r="BT548" s="115"/>
      <c r="BU548" s="115"/>
      <c r="BV548" s="115"/>
      <c r="BW548" s="115"/>
      <c r="BX548" s="115"/>
      <c r="BY548" s="25"/>
      <c r="BZ548" s="13"/>
      <c r="CC548" s="114"/>
    </row>
    <row r="549" spans="1:81" ht="20.100000000000001" customHeight="1" x14ac:dyDescent="0.4">
      <c r="A549" s="117"/>
      <c r="B549" s="123"/>
      <c r="C549" s="123"/>
      <c r="D549" s="123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7"/>
      <c r="AA549" s="13"/>
      <c r="AB549" s="115"/>
      <c r="AC549" s="115"/>
      <c r="AD549" s="115"/>
      <c r="AE549" s="115"/>
      <c r="AF549" s="115"/>
      <c r="AG549" s="115"/>
      <c r="AH549" s="115"/>
      <c r="AI549" s="115"/>
      <c r="AJ549" s="115"/>
      <c r="AK549" s="115"/>
      <c r="AL549" s="115"/>
      <c r="AM549" s="115"/>
      <c r="AN549" s="115"/>
      <c r="AO549" s="115"/>
      <c r="AP549" s="127"/>
      <c r="AQ549" s="29"/>
      <c r="BA549" s="25"/>
      <c r="BB549" s="13"/>
      <c r="BG549" s="116"/>
      <c r="BH549" s="123"/>
      <c r="BI549" s="123"/>
      <c r="BJ549" s="123"/>
      <c r="BO549" s="115"/>
      <c r="BP549" s="115"/>
      <c r="BQ549" s="115"/>
      <c r="BR549" s="115"/>
      <c r="BS549" s="115"/>
      <c r="BT549" s="115"/>
      <c r="BU549" s="115"/>
      <c r="BV549" s="115"/>
      <c r="BW549" s="115"/>
      <c r="BX549" s="115"/>
      <c r="BY549" s="25"/>
      <c r="BZ549" s="13"/>
      <c r="CC549" s="114"/>
    </row>
    <row r="550" spans="1:81" ht="20.100000000000001" customHeight="1" x14ac:dyDescent="0.4">
      <c r="A550" s="117"/>
      <c r="B550" s="123"/>
      <c r="C550" s="123"/>
      <c r="D550" s="123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26"/>
      <c r="AA550" s="13"/>
      <c r="AB550" s="115"/>
      <c r="AC550" s="115"/>
      <c r="AD550" s="115"/>
      <c r="AE550" s="115"/>
      <c r="AF550" s="115"/>
      <c r="AG550" s="115"/>
      <c r="AH550" s="115"/>
      <c r="AI550" s="115"/>
      <c r="AJ550" s="115"/>
      <c r="AK550" s="115"/>
      <c r="AL550" s="115"/>
      <c r="AM550" s="115"/>
      <c r="AN550" s="115"/>
      <c r="AO550" s="115"/>
      <c r="AP550" s="127"/>
      <c r="AQ550" s="134"/>
      <c r="BA550" s="25"/>
      <c r="BB550" s="13"/>
      <c r="BG550" s="116"/>
      <c r="BH550" s="123"/>
      <c r="BI550" s="123"/>
      <c r="BJ550" s="123"/>
      <c r="BO550" s="115"/>
      <c r="BP550" s="115"/>
      <c r="BQ550" s="115"/>
      <c r="BR550" s="115"/>
      <c r="BS550" s="115"/>
      <c r="BT550" s="115"/>
      <c r="BU550" s="115"/>
      <c r="BV550" s="115"/>
      <c r="BW550" s="115"/>
      <c r="BX550" s="115"/>
      <c r="BY550" s="25"/>
      <c r="BZ550" s="13"/>
      <c r="CC550" s="114"/>
    </row>
    <row r="551" spans="1:81" ht="20.100000000000001" customHeight="1" x14ac:dyDescent="0.4">
      <c r="A551" s="117"/>
      <c r="B551" s="123"/>
      <c r="C551" s="123"/>
      <c r="D551" s="123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26"/>
      <c r="AA551" s="13"/>
      <c r="AB551" s="115"/>
      <c r="AC551" s="115"/>
      <c r="AD551" s="115"/>
      <c r="AE551" s="115"/>
      <c r="AF551" s="115"/>
      <c r="AG551" s="115"/>
      <c r="AH551" s="115"/>
      <c r="AI551" s="115"/>
      <c r="AJ551" s="115"/>
      <c r="AK551" s="115"/>
      <c r="AL551" s="115"/>
      <c r="AM551" s="115"/>
      <c r="AN551" s="115"/>
      <c r="AO551" s="115"/>
      <c r="AP551" s="127"/>
      <c r="AQ551" s="29"/>
      <c r="BA551" s="25"/>
      <c r="BB551" s="13"/>
      <c r="BG551" s="116"/>
      <c r="BH551" s="123"/>
      <c r="BI551" s="123"/>
      <c r="BJ551" s="123"/>
      <c r="BO551" s="115"/>
      <c r="BP551" s="115"/>
      <c r="BQ551" s="115"/>
      <c r="BR551" s="115"/>
      <c r="BS551" s="115"/>
      <c r="BT551" s="115"/>
      <c r="BU551" s="115"/>
      <c r="BV551" s="115"/>
      <c r="BW551" s="115"/>
      <c r="BX551" s="115"/>
      <c r="BY551" s="25"/>
      <c r="BZ551" s="13"/>
      <c r="CC551" s="114"/>
    </row>
    <row r="552" spans="1:81" ht="20.100000000000001" customHeight="1" x14ac:dyDescent="0.4">
      <c r="A552" s="117"/>
      <c r="B552" s="123"/>
      <c r="C552" s="123"/>
      <c r="D552" s="123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26"/>
      <c r="AA552" s="13"/>
      <c r="AB552" s="115"/>
      <c r="AC552" s="115"/>
      <c r="AD552" s="115"/>
      <c r="AE552" s="115"/>
      <c r="AF552" s="115"/>
      <c r="AG552" s="115"/>
      <c r="AH552" s="115"/>
      <c r="AI552" s="115"/>
      <c r="AJ552" s="115"/>
      <c r="AK552" s="115"/>
      <c r="AL552" s="115"/>
      <c r="AM552" s="115"/>
      <c r="AN552" s="115"/>
      <c r="AO552" s="115"/>
      <c r="AP552" s="127"/>
      <c r="AQ552" s="29"/>
      <c r="BA552" s="25"/>
      <c r="BB552" s="13"/>
      <c r="BG552" s="116"/>
      <c r="BH552" s="123"/>
      <c r="BI552" s="123"/>
      <c r="BJ552" s="123"/>
      <c r="BO552" s="115"/>
      <c r="BP552" s="115"/>
      <c r="BQ552" s="115"/>
      <c r="BR552" s="115"/>
      <c r="BS552" s="115"/>
      <c r="BT552" s="115"/>
      <c r="BU552" s="115"/>
      <c r="BV552" s="115"/>
      <c r="BW552" s="115"/>
      <c r="BX552" s="115"/>
      <c r="BY552" s="25"/>
      <c r="BZ552" s="13"/>
      <c r="CC552" s="114"/>
    </row>
    <row r="553" spans="1:81" ht="20.100000000000001" customHeight="1" x14ac:dyDescent="0.4">
      <c r="A553" s="117"/>
      <c r="B553" s="123"/>
      <c r="C553" s="123"/>
      <c r="D553" s="123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26"/>
      <c r="AA553" s="13"/>
      <c r="AB553" s="115"/>
      <c r="AC553" s="115"/>
      <c r="AD553" s="115"/>
      <c r="AE553" s="115"/>
      <c r="AF553" s="115"/>
      <c r="AG553" s="115"/>
      <c r="AH553" s="115"/>
      <c r="AI553" s="115"/>
      <c r="AJ553" s="115"/>
      <c r="AK553" s="115"/>
      <c r="AL553" s="115"/>
      <c r="AM553" s="115"/>
      <c r="AN553" s="115"/>
      <c r="AO553" s="115"/>
      <c r="AP553" s="127"/>
      <c r="AQ553" s="29"/>
      <c r="BA553" s="25"/>
      <c r="BB553" s="13"/>
      <c r="BG553" s="116"/>
      <c r="BH553" s="123"/>
      <c r="BI553" s="123"/>
      <c r="BJ553" s="123"/>
      <c r="BO553" s="115"/>
      <c r="BP553" s="115"/>
      <c r="BQ553" s="115"/>
      <c r="BR553" s="115"/>
      <c r="BS553" s="115"/>
      <c r="BT553" s="115"/>
      <c r="BU553" s="115"/>
      <c r="BV553" s="115"/>
      <c r="BW553" s="115"/>
      <c r="BX553" s="115"/>
      <c r="BY553" s="25"/>
      <c r="BZ553" s="13"/>
      <c r="CC553" s="114"/>
    </row>
    <row r="554" spans="1:81" ht="20.100000000000001" customHeight="1" x14ac:dyDescent="0.4">
      <c r="A554" s="117"/>
      <c r="B554" s="123"/>
      <c r="C554" s="123"/>
      <c r="D554" s="123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26"/>
      <c r="AA554" s="13"/>
      <c r="AB554" s="115"/>
      <c r="AC554" s="115"/>
      <c r="AD554" s="115"/>
      <c r="AE554" s="115"/>
      <c r="AF554" s="115"/>
      <c r="AG554" s="115"/>
      <c r="AH554" s="115"/>
      <c r="AI554" s="115"/>
      <c r="AJ554" s="115"/>
      <c r="AK554" s="115"/>
      <c r="AL554" s="115"/>
      <c r="AM554" s="115"/>
      <c r="AN554" s="115"/>
      <c r="AO554" s="115"/>
      <c r="AP554" s="127"/>
      <c r="AQ554" s="29"/>
      <c r="BA554" s="25"/>
      <c r="BB554" s="13"/>
      <c r="BG554" s="116"/>
      <c r="BH554" s="123"/>
      <c r="BI554" s="123"/>
      <c r="BJ554" s="123"/>
      <c r="BO554" s="115"/>
      <c r="BP554" s="115"/>
      <c r="BQ554" s="115"/>
      <c r="BR554" s="115"/>
      <c r="BS554" s="115"/>
      <c r="BT554" s="115"/>
      <c r="BU554" s="115"/>
      <c r="BV554" s="115"/>
      <c r="BW554" s="115"/>
      <c r="BX554" s="115"/>
      <c r="BY554" s="25"/>
      <c r="BZ554" s="13"/>
      <c r="CC554" s="114"/>
    </row>
    <row r="555" spans="1:81" ht="20.100000000000001" customHeight="1" x14ac:dyDescent="0.4">
      <c r="A555" s="117"/>
      <c r="B555" s="123"/>
      <c r="C555" s="123"/>
      <c r="D555" s="123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26"/>
      <c r="AA555" s="13"/>
      <c r="AB555" s="115"/>
      <c r="AC555" s="115"/>
      <c r="AD555" s="115"/>
      <c r="AE555" s="115"/>
      <c r="AF555" s="115"/>
      <c r="AG555" s="115"/>
      <c r="AH555" s="115"/>
      <c r="AI555" s="115"/>
      <c r="AJ555" s="115"/>
      <c r="AK555" s="115"/>
      <c r="AL555" s="115"/>
      <c r="AM555" s="115"/>
      <c r="AN555" s="115"/>
      <c r="AO555" s="115"/>
      <c r="AP555" s="127"/>
      <c r="AQ555" s="29"/>
      <c r="BA555" s="25"/>
      <c r="BB555" s="13"/>
      <c r="BG555" s="116"/>
      <c r="BH555" s="123"/>
      <c r="BI555" s="123"/>
      <c r="BJ555" s="123"/>
      <c r="BO555" s="115"/>
      <c r="BP555" s="115"/>
      <c r="BQ555" s="115"/>
      <c r="BR555" s="115"/>
      <c r="BS555" s="115"/>
      <c r="BT555" s="115"/>
      <c r="BU555" s="115"/>
      <c r="BV555" s="115"/>
      <c r="BW555" s="115"/>
      <c r="BX555" s="115"/>
      <c r="BY555" s="25"/>
      <c r="BZ555" s="13"/>
      <c r="CC555" s="114"/>
    </row>
    <row r="556" spans="1:81" ht="20.100000000000001" customHeight="1" x14ac:dyDescent="0.4">
      <c r="A556" s="117"/>
      <c r="B556" s="123"/>
      <c r="C556" s="123"/>
      <c r="D556" s="123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26"/>
      <c r="AA556" s="13"/>
      <c r="AB556" s="115"/>
      <c r="AC556" s="115"/>
      <c r="AD556" s="115"/>
      <c r="AE556" s="115"/>
      <c r="AF556" s="115"/>
      <c r="AG556" s="115"/>
      <c r="AH556" s="115"/>
      <c r="AI556" s="115"/>
      <c r="AJ556" s="115"/>
      <c r="AK556" s="115"/>
      <c r="AL556" s="115"/>
      <c r="AM556" s="115"/>
      <c r="AN556" s="115"/>
      <c r="AO556" s="115"/>
      <c r="AP556" s="127"/>
      <c r="AQ556" s="29"/>
      <c r="BA556" s="25"/>
      <c r="BB556" s="13"/>
      <c r="BG556" s="116"/>
      <c r="BH556" s="123"/>
      <c r="BI556" s="123"/>
      <c r="BJ556" s="123"/>
      <c r="BO556" s="115"/>
      <c r="BP556" s="115"/>
      <c r="BQ556" s="115"/>
      <c r="BR556" s="115"/>
      <c r="BS556" s="115"/>
      <c r="BT556" s="115"/>
      <c r="BU556" s="115"/>
      <c r="BV556" s="115"/>
      <c r="BW556" s="115"/>
      <c r="BX556" s="115"/>
      <c r="BY556" s="25"/>
      <c r="BZ556" s="13"/>
      <c r="CC556" s="114"/>
    </row>
    <row r="557" spans="1:81" ht="20.100000000000001" customHeight="1" x14ac:dyDescent="0.4">
      <c r="A557" s="117"/>
      <c r="B557" s="123"/>
      <c r="C557" s="123"/>
      <c r="D557" s="123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7"/>
      <c r="AA557" s="13"/>
      <c r="AB557" s="115"/>
      <c r="AC557" s="115"/>
      <c r="AD557" s="115"/>
      <c r="AE557" s="115"/>
      <c r="AF557" s="115"/>
      <c r="AG557" s="115"/>
      <c r="AH557" s="115"/>
      <c r="AI557" s="115"/>
      <c r="AJ557" s="115"/>
      <c r="AK557" s="115"/>
      <c r="AL557" s="115"/>
      <c r="AM557" s="115"/>
      <c r="AN557" s="115"/>
      <c r="AO557" s="115"/>
      <c r="AP557" s="127"/>
      <c r="AQ557" s="29"/>
      <c r="BA557" s="25"/>
      <c r="BB557" s="13"/>
      <c r="BG557" s="116"/>
      <c r="BH557" s="123"/>
      <c r="BI557" s="123"/>
      <c r="BJ557" s="123"/>
      <c r="BO557" s="115"/>
      <c r="BP557" s="115"/>
      <c r="BQ557" s="115"/>
      <c r="BR557" s="115"/>
      <c r="BS557" s="115"/>
      <c r="BT557" s="115"/>
      <c r="BU557" s="115"/>
      <c r="BV557" s="115"/>
      <c r="BW557" s="115"/>
      <c r="BX557" s="115"/>
      <c r="BY557" s="25"/>
      <c r="BZ557" s="13"/>
      <c r="CC557" s="114"/>
    </row>
    <row r="558" spans="1:81" ht="20.100000000000001" customHeight="1" x14ac:dyDescent="0.4">
      <c r="A558" s="117"/>
      <c r="B558" s="123"/>
      <c r="C558" s="123"/>
      <c r="D558" s="123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26"/>
      <c r="AA558" s="13"/>
      <c r="AB558" s="115"/>
      <c r="AC558" s="115"/>
      <c r="AD558" s="115"/>
      <c r="AE558" s="115"/>
      <c r="AF558" s="115"/>
      <c r="AG558" s="115"/>
      <c r="AH558" s="115"/>
      <c r="AI558" s="115"/>
      <c r="AJ558" s="115"/>
      <c r="AK558" s="115"/>
      <c r="AL558" s="115"/>
      <c r="AM558" s="115"/>
      <c r="AN558" s="115"/>
      <c r="AO558" s="115"/>
      <c r="AP558" s="127"/>
      <c r="AQ558" s="29"/>
      <c r="BA558" s="25"/>
      <c r="BB558" s="13"/>
      <c r="BG558" s="116"/>
      <c r="BH558" s="123"/>
      <c r="BI558" s="123"/>
      <c r="BJ558" s="123"/>
      <c r="BO558" s="115"/>
      <c r="BP558" s="115"/>
      <c r="BQ558" s="115"/>
      <c r="BR558" s="115"/>
      <c r="BS558" s="115"/>
      <c r="BT558" s="115"/>
      <c r="BU558" s="115"/>
      <c r="BV558" s="115"/>
      <c r="BW558" s="115"/>
      <c r="BX558" s="115"/>
      <c r="BY558" s="25"/>
      <c r="BZ558" s="13"/>
      <c r="CC558" s="114"/>
    </row>
    <row r="559" spans="1:81" ht="20.100000000000001" customHeight="1" x14ac:dyDescent="0.4">
      <c r="A559" s="117"/>
      <c r="B559" s="123"/>
      <c r="C559" s="123"/>
      <c r="D559" s="123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26"/>
      <c r="AA559" s="13"/>
      <c r="AB559" s="115"/>
      <c r="AC559" s="115"/>
      <c r="AD559" s="115"/>
      <c r="AE559" s="115"/>
      <c r="AF559" s="115"/>
      <c r="AG559" s="115"/>
      <c r="AH559" s="115"/>
      <c r="AI559" s="115"/>
      <c r="AJ559" s="115"/>
      <c r="AK559" s="115"/>
      <c r="AL559" s="115"/>
      <c r="AM559" s="115"/>
      <c r="AN559" s="115"/>
      <c r="AO559" s="115"/>
      <c r="AP559" s="127"/>
      <c r="AQ559" s="29"/>
      <c r="BA559" s="25"/>
      <c r="BB559" s="13"/>
      <c r="BG559" s="116"/>
      <c r="BH559" s="123"/>
      <c r="BI559" s="123"/>
      <c r="BJ559" s="123"/>
      <c r="BO559" s="115"/>
      <c r="BP559" s="115"/>
      <c r="BQ559" s="115"/>
      <c r="BR559" s="115"/>
      <c r="BS559" s="115"/>
      <c r="BT559" s="115"/>
      <c r="BU559" s="115"/>
      <c r="BV559" s="115"/>
      <c r="BW559" s="115"/>
      <c r="BX559" s="115"/>
      <c r="BY559" s="25"/>
      <c r="BZ559" s="13"/>
      <c r="CC559" s="114"/>
    </row>
    <row r="560" spans="1:81" ht="20.100000000000001" customHeight="1" x14ac:dyDescent="0.4">
      <c r="A560" s="117"/>
      <c r="B560" s="123"/>
      <c r="C560" s="123"/>
      <c r="D560" s="123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7"/>
      <c r="AA560" s="13"/>
      <c r="AB560" s="115"/>
      <c r="AC560" s="115"/>
      <c r="AD560" s="115"/>
      <c r="AE560" s="115"/>
      <c r="AF560" s="115"/>
      <c r="AG560" s="115"/>
      <c r="AH560" s="115"/>
      <c r="AI560" s="115"/>
      <c r="AJ560" s="115"/>
      <c r="AK560" s="115"/>
      <c r="AL560" s="115"/>
      <c r="AM560" s="115"/>
      <c r="AN560" s="115"/>
      <c r="AO560" s="115"/>
      <c r="AP560" s="127"/>
      <c r="AQ560" s="29"/>
      <c r="BA560" s="25"/>
      <c r="BB560" s="13"/>
      <c r="BG560" s="116"/>
      <c r="BH560" s="123"/>
      <c r="BI560" s="123"/>
      <c r="BJ560" s="123"/>
      <c r="BO560" s="115"/>
      <c r="BP560" s="115"/>
      <c r="BQ560" s="115"/>
      <c r="BR560" s="115"/>
      <c r="BS560" s="115"/>
      <c r="BT560" s="115"/>
      <c r="BU560" s="115"/>
      <c r="BV560" s="115"/>
      <c r="BW560" s="115"/>
      <c r="BX560" s="115"/>
      <c r="BY560" s="25"/>
      <c r="BZ560" s="13"/>
      <c r="CC560" s="114"/>
    </row>
    <row r="561" spans="1:81" ht="20.100000000000001" customHeight="1" x14ac:dyDescent="0.4">
      <c r="A561" s="117"/>
      <c r="B561" s="123"/>
      <c r="C561" s="123"/>
      <c r="D561" s="123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26"/>
      <c r="AA561" s="13"/>
      <c r="AB561" s="115"/>
      <c r="AC561" s="115"/>
      <c r="AD561" s="115"/>
      <c r="AE561" s="115"/>
      <c r="AF561" s="115"/>
      <c r="AG561" s="115"/>
      <c r="AH561" s="115"/>
      <c r="AI561" s="115"/>
      <c r="AJ561" s="115"/>
      <c r="AK561" s="115"/>
      <c r="AL561" s="115"/>
      <c r="AM561" s="115"/>
      <c r="AN561" s="115"/>
      <c r="AO561" s="115"/>
      <c r="AP561" s="127"/>
      <c r="AQ561" s="134"/>
      <c r="BA561" s="25"/>
      <c r="BB561" s="13"/>
      <c r="BG561" s="116"/>
      <c r="BH561" s="123"/>
      <c r="BI561" s="123"/>
      <c r="BJ561" s="123"/>
      <c r="BO561" s="115"/>
      <c r="BP561" s="115"/>
      <c r="BQ561" s="115"/>
      <c r="BR561" s="115"/>
      <c r="BS561" s="115"/>
      <c r="BT561" s="115"/>
      <c r="BU561" s="115"/>
      <c r="BV561" s="115"/>
      <c r="BW561" s="115"/>
      <c r="BX561" s="115"/>
      <c r="BY561" s="25"/>
      <c r="BZ561" s="13"/>
      <c r="CC561" s="114"/>
    </row>
    <row r="562" spans="1:81" ht="20.100000000000001" customHeight="1" x14ac:dyDescent="0.4">
      <c r="A562" s="117"/>
      <c r="B562" s="123"/>
      <c r="C562" s="123"/>
      <c r="D562" s="123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26"/>
      <c r="AA562" s="15"/>
      <c r="AB562" s="115"/>
      <c r="AC562" s="115"/>
      <c r="AD562" s="115"/>
      <c r="AE562" s="115"/>
      <c r="AF562" s="115"/>
      <c r="AG562" s="115"/>
      <c r="AH562" s="115"/>
      <c r="AI562" s="115"/>
      <c r="AJ562" s="115"/>
      <c r="AK562" s="115"/>
      <c r="AL562" s="115"/>
      <c r="AM562" s="115"/>
      <c r="AN562" s="115"/>
      <c r="AO562" s="115"/>
      <c r="AP562" s="127"/>
      <c r="AQ562" s="29"/>
      <c r="BA562" s="25"/>
      <c r="BB562" s="13"/>
      <c r="BG562" s="116"/>
      <c r="BH562" s="123"/>
      <c r="BI562" s="123"/>
      <c r="BJ562" s="123"/>
      <c r="BO562" s="115"/>
      <c r="BP562" s="115"/>
      <c r="BQ562" s="115"/>
      <c r="BR562" s="115"/>
      <c r="BS562" s="115"/>
      <c r="BT562" s="115"/>
      <c r="BU562" s="115"/>
      <c r="BV562" s="115"/>
      <c r="BW562" s="115"/>
      <c r="BX562" s="115"/>
      <c r="BY562" s="25"/>
      <c r="BZ562" s="13"/>
      <c r="CC562" s="114"/>
    </row>
    <row r="563" spans="1:81" ht="20.100000000000001" customHeight="1" x14ac:dyDescent="0.4">
      <c r="A563" s="117"/>
      <c r="B563" s="123"/>
      <c r="C563" s="123"/>
      <c r="D563" s="123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26"/>
      <c r="AA563" s="15"/>
      <c r="AB563" s="115"/>
      <c r="AC563" s="115"/>
      <c r="AD563" s="115"/>
      <c r="AE563" s="115"/>
      <c r="AF563" s="115"/>
      <c r="AG563" s="115"/>
      <c r="AH563" s="115"/>
      <c r="AI563" s="115"/>
      <c r="AJ563" s="115"/>
      <c r="AK563" s="115"/>
      <c r="AL563" s="115"/>
      <c r="AM563" s="115"/>
      <c r="AN563" s="115"/>
      <c r="AO563" s="115"/>
      <c r="AP563" s="127"/>
      <c r="AQ563" s="29"/>
      <c r="BA563" s="25"/>
      <c r="BB563" s="13"/>
      <c r="BG563" s="116"/>
      <c r="BH563" s="123"/>
      <c r="BI563" s="123"/>
      <c r="BJ563" s="123"/>
      <c r="BO563" s="115"/>
      <c r="BP563" s="115"/>
      <c r="BQ563" s="115"/>
      <c r="BR563" s="115"/>
      <c r="BS563" s="115"/>
      <c r="BT563" s="115"/>
      <c r="BU563" s="115"/>
      <c r="BV563" s="115"/>
      <c r="BW563" s="115"/>
      <c r="BX563" s="115"/>
      <c r="BY563" s="25"/>
      <c r="BZ563" s="13"/>
      <c r="CC563" s="114"/>
    </row>
    <row r="564" spans="1:81" ht="20.100000000000001" customHeight="1" x14ac:dyDescent="0.4">
      <c r="A564" s="117"/>
      <c r="B564" s="123"/>
      <c r="C564" s="123"/>
      <c r="D564" s="123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26"/>
      <c r="AA564" s="15"/>
      <c r="AB564" s="115"/>
      <c r="AC564" s="115"/>
      <c r="AD564" s="115"/>
      <c r="AE564" s="115"/>
      <c r="AF564" s="115"/>
      <c r="AG564" s="115"/>
      <c r="AH564" s="115"/>
      <c r="AI564" s="115"/>
      <c r="AJ564" s="115"/>
      <c r="AK564" s="115"/>
      <c r="AL564" s="115"/>
      <c r="AM564" s="115"/>
      <c r="AN564" s="115"/>
      <c r="AO564" s="115"/>
      <c r="AP564" s="127"/>
      <c r="AQ564" s="29"/>
      <c r="BA564" s="25"/>
      <c r="BB564" s="13"/>
      <c r="BG564" s="116"/>
      <c r="BH564" s="123"/>
      <c r="BI564" s="123"/>
      <c r="BJ564" s="123"/>
      <c r="BO564" s="115"/>
      <c r="BP564" s="115"/>
      <c r="BQ564" s="115"/>
      <c r="BR564" s="115"/>
      <c r="BS564" s="115"/>
      <c r="BT564" s="115"/>
      <c r="BU564" s="115"/>
      <c r="BV564" s="115"/>
      <c r="BW564" s="115"/>
      <c r="BX564" s="115"/>
      <c r="BY564" s="25"/>
      <c r="BZ564" s="13"/>
      <c r="CC564" s="114"/>
    </row>
    <row r="565" spans="1:81" ht="20.100000000000001" customHeight="1" x14ac:dyDescent="0.4">
      <c r="A565" s="117"/>
      <c r="B565" s="123"/>
      <c r="C565" s="123"/>
      <c r="D565" s="123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26"/>
      <c r="AA565" s="15"/>
      <c r="AB565" s="115"/>
      <c r="AC565" s="115"/>
      <c r="AD565" s="115"/>
      <c r="AE565" s="115"/>
      <c r="AF565" s="115"/>
      <c r="AG565" s="115"/>
      <c r="AH565" s="115"/>
      <c r="AI565" s="115"/>
      <c r="AJ565" s="115"/>
      <c r="AK565" s="115"/>
      <c r="AL565" s="115"/>
      <c r="AM565" s="115"/>
      <c r="AN565" s="115"/>
      <c r="AO565" s="115"/>
      <c r="AP565" s="29"/>
      <c r="AQ565" s="29"/>
      <c r="BA565" s="25"/>
      <c r="BB565" s="13"/>
      <c r="BG565" s="116"/>
      <c r="BH565" s="123"/>
      <c r="BI565" s="123"/>
      <c r="BJ565" s="123"/>
      <c r="BO565" s="115"/>
      <c r="BP565" s="115"/>
      <c r="BQ565" s="115"/>
      <c r="BR565" s="115"/>
      <c r="BS565" s="115"/>
      <c r="BT565" s="115"/>
      <c r="BU565" s="115"/>
      <c r="BV565" s="115"/>
      <c r="BW565" s="115"/>
      <c r="BX565" s="115"/>
      <c r="BY565" s="25"/>
      <c r="BZ565" s="13"/>
      <c r="CC565" s="114"/>
    </row>
    <row r="566" spans="1:81" ht="20.100000000000001" customHeight="1" x14ac:dyDescent="0.4">
      <c r="A566" s="117"/>
      <c r="B566" s="123"/>
      <c r="C566" s="123"/>
      <c r="D566" s="123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26"/>
      <c r="AA566" s="15"/>
      <c r="AB566" s="115"/>
      <c r="AC566" s="115"/>
      <c r="AD566" s="115"/>
      <c r="AE566" s="115"/>
      <c r="AF566" s="115"/>
      <c r="AG566" s="115"/>
      <c r="AH566" s="115"/>
      <c r="AI566" s="115"/>
      <c r="AJ566" s="115"/>
      <c r="AK566" s="115"/>
      <c r="AL566" s="115"/>
      <c r="AM566" s="115"/>
      <c r="AN566" s="115"/>
      <c r="AO566" s="115"/>
      <c r="AP566" s="127"/>
      <c r="AQ566" s="29"/>
      <c r="BA566" s="25"/>
      <c r="BB566" s="13"/>
      <c r="BG566" s="116"/>
      <c r="BH566" s="123"/>
      <c r="BI566" s="123"/>
      <c r="BJ566" s="123"/>
      <c r="BO566" s="115"/>
      <c r="BP566" s="115"/>
      <c r="BQ566" s="115"/>
      <c r="BR566" s="115"/>
      <c r="BS566" s="115"/>
      <c r="BT566" s="115"/>
      <c r="BU566" s="115"/>
      <c r="BV566" s="115"/>
      <c r="BW566" s="115"/>
      <c r="BX566" s="115"/>
      <c r="BY566" s="25"/>
      <c r="BZ566" s="13"/>
      <c r="CC566" s="114"/>
    </row>
    <row r="567" spans="1:81" ht="20.100000000000001" customHeight="1" x14ac:dyDescent="0.4">
      <c r="A567" s="117"/>
      <c r="B567" s="123"/>
      <c r="C567" s="123"/>
      <c r="D567" s="123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26"/>
      <c r="AA567" s="15"/>
      <c r="AB567" s="115"/>
      <c r="AC567" s="115"/>
      <c r="AD567" s="115"/>
      <c r="AE567" s="115"/>
      <c r="AF567" s="115"/>
      <c r="AG567" s="115"/>
      <c r="AH567" s="115"/>
      <c r="AI567" s="115"/>
      <c r="AJ567" s="115"/>
      <c r="AK567" s="115"/>
      <c r="AL567" s="115"/>
      <c r="AM567" s="115"/>
      <c r="AN567" s="115"/>
      <c r="AO567" s="115"/>
      <c r="AP567" s="127"/>
      <c r="AQ567" s="29"/>
      <c r="BA567" s="25"/>
      <c r="BB567" s="13"/>
      <c r="BG567" s="116"/>
      <c r="BH567" s="123"/>
      <c r="BI567" s="123"/>
      <c r="BJ567" s="123"/>
      <c r="BO567" s="115"/>
      <c r="BP567" s="115"/>
      <c r="BQ567" s="115"/>
      <c r="BR567" s="115"/>
      <c r="BS567" s="115"/>
      <c r="BT567" s="115"/>
      <c r="BU567" s="115"/>
      <c r="BV567" s="115"/>
      <c r="BW567" s="115"/>
      <c r="BX567" s="115"/>
      <c r="BY567" s="25"/>
      <c r="BZ567" s="13"/>
      <c r="CC567" s="114"/>
    </row>
    <row r="568" spans="1:81" ht="20.100000000000001" customHeight="1" x14ac:dyDescent="0.4">
      <c r="A568" s="117"/>
      <c r="B568" s="123"/>
      <c r="C568" s="123"/>
      <c r="D568" s="123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26"/>
      <c r="AA568" s="15"/>
      <c r="AB568" s="115"/>
      <c r="AC568" s="115"/>
      <c r="AD568" s="115"/>
      <c r="AE568" s="115"/>
      <c r="AF568" s="115"/>
      <c r="AG568" s="115"/>
      <c r="AH568" s="115"/>
      <c r="AI568" s="115"/>
      <c r="AJ568" s="115"/>
      <c r="AK568" s="115"/>
      <c r="AL568" s="115"/>
      <c r="AM568" s="115"/>
      <c r="AN568" s="115"/>
      <c r="AO568" s="115"/>
      <c r="AP568" s="127"/>
      <c r="AQ568" s="29"/>
      <c r="BA568" s="25"/>
      <c r="BB568" s="13"/>
      <c r="BG568" s="116"/>
      <c r="BH568" s="123"/>
      <c r="BI568" s="123"/>
      <c r="BJ568" s="123"/>
      <c r="BO568" s="115"/>
      <c r="BP568" s="115"/>
      <c r="BQ568" s="115"/>
      <c r="BR568" s="115"/>
      <c r="BS568" s="115"/>
      <c r="BT568" s="115"/>
      <c r="BU568" s="115"/>
      <c r="BV568" s="115"/>
      <c r="BW568" s="115"/>
      <c r="BX568" s="115"/>
      <c r="BY568" s="25"/>
      <c r="BZ568" s="13"/>
      <c r="CC568" s="114"/>
    </row>
    <row r="569" spans="1:81" ht="20.100000000000001" customHeight="1" x14ac:dyDescent="0.4">
      <c r="A569" s="117"/>
      <c r="B569" s="123"/>
      <c r="C569" s="123"/>
      <c r="D569" s="123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26"/>
      <c r="AA569" s="15"/>
      <c r="AB569" s="115"/>
      <c r="AC569" s="115"/>
      <c r="AD569" s="115"/>
      <c r="AE569" s="115"/>
      <c r="AF569" s="115"/>
      <c r="AG569" s="115"/>
      <c r="AH569" s="115"/>
      <c r="AI569" s="115"/>
      <c r="AJ569" s="115"/>
      <c r="AK569" s="115"/>
      <c r="AL569" s="115"/>
      <c r="AM569" s="115"/>
      <c r="AN569" s="115"/>
      <c r="AO569" s="115"/>
      <c r="AP569" s="127"/>
      <c r="AQ569" s="29"/>
      <c r="BA569" s="25"/>
      <c r="BB569" s="13"/>
      <c r="BG569" s="116"/>
      <c r="BH569" s="123"/>
      <c r="BI569" s="123"/>
      <c r="BJ569" s="123"/>
      <c r="BO569" s="115"/>
      <c r="BP569" s="115"/>
      <c r="BQ569" s="115"/>
      <c r="BR569" s="115"/>
      <c r="BS569" s="115"/>
      <c r="BT569" s="115"/>
      <c r="BU569" s="115"/>
      <c r="BV569" s="115"/>
      <c r="BW569" s="115"/>
      <c r="BX569" s="115"/>
      <c r="BY569" s="25"/>
      <c r="BZ569" s="13"/>
      <c r="CC569" s="114"/>
    </row>
    <row r="570" spans="1:81" ht="20.100000000000001" customHeight="1" x14ac:dyDescent="0.4">
      <c r="A570" s="117"/>
      <c r="B570" s="123"/>
      <c r="C570" s="123"/>
      <c r="D570" s="123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26"/>
      <c r="AA570" s="13"/>
      <c r="AB570" s="115"/>
      <c r="AC570" s="115"/>
      <c r="AD570" s="115"/>
      <c r="AE570" s="115"/>
      <c r="AF570" s="115"/>
      <c r="AG570" s="115"/>
      <c r="AH570" s="115"/>
      <c r="AI570" s="115"/>
      <c r="AJ570" s="115"/>
      <c r="AK570" s="115"/>
      <c r="AL570" s="115"/>
      <c r="AM570" s="115"/>
      <c r="AN570" s="115"/>
      <c r="AO570" s="115"/>
      <c r="AP570" s="29"/>
      <c r="AQ570" s="29"/>
      <c r="BA570" s="25"/>
      <c r="BB570" s="13"/>
      <c r="BG570" s="116"/>
      <c r="BH570" s="123"/>
      <c r="BI570" s="123"/>
      <c r="BJ570" s="123"/>
      <c r="BO570" s="115"/>
      <c r="BP570" s="115"/>
      <c r="BQ570" s="115"/>
      <c r="BR570" s="115"/>
      <c r="BS570" s="115"/>
      <c r="BT570" s="115"/>
      <c r="BU570" s="115"/>
      <c r="BV570" s="115"/>
      <c r="BW570" s="115"/>
      <c r="BX570" s="115"/>
      <c r="BY570" s="25"/>
      <c r="BZ570" s="13"/>
      <c r="CC570" s="114"/>
    </row>
    <row r="571" spans="1:81" ht="20.100000000000001" customHeight="1" x14ac:dyDescent="0.4">
      <c r="A571" s="117"/>
      <c r="B571" s="123"/>
      <c r="C571" s="123"/>
      <c r="D571" s="123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26"/>
      <c r="AA571" s="13"/>
      <c r="AB571" s="115"/>
      <c r="AC571" s="115"/>
      <c r="AD571" s="115"/>
      <c r="AE571" s="115"/>
      <c r="AF571" s="115"/>
      <c r="AG571" s="115"/>
      <c r="AH571" s="115"/>
      <c r="AI571" s="115"/>
      <c r="AJ571" s="115"/>
      <c r="AK571" s="115"/>
      <c r="AL571" s="115"/>
      <c r="AM571" s="115"/>
      <c r="AN571" s="115"/>
      <c r="AO571" s="115"/>
      <c r="AP571" s="127"/>
      <c r="AQ571" s="29"/>
      <c r="BA571" s="25"/>
      <c r="BB571" s="13"/>
      <c r="BG571" s="116"/>
      <c r="BH571" s="123"/>
      <c r="BI571" s="123"/>
      <c r="BJ571" s="123"/>
      <c r="BO571" s="115"/>
      <c r="BP571" s="115"/>
      <c r="BQ571" s="115"/>
      <c r="BR571" s="115"/>
      <c r="BS571" s="115"/>
      <c r="BT571" s="115"/>
      <c r="BU571" s="115"/>
      <c r="BV571" s="115"/>
      <c r="BW571" s="115"/>
      <c r="BX571" s="115"/>
      <c r="BY571" s="25"/>
      <c r="BZ571" s="13"/>
      <c r="CC571" s="114"/>
    </row>
    <row r="572" spans="1:81" ht="20.100000000000001" customHeight="1" x14ac:dyDescent="0.4">
      <c r="A572" s="117"/>
      <c r="B572" s="123"/>
      <c r="C572" s="123"/>
      <c r="D572" s="123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26"/>
      <c r="AA572" s="13"/>
      <c r="AB572" s="115"/>
      <c r="AC572" s="115"/>
      <c r="AD572" s="115"/>
      <c r="AE572" s="115"/>
      <c r="AF572" s="115"/>
      <c r="AG572" s="115"/>
      <c r="AH572" s="115"/>
      <c r="AI572" s="115"/>
      <c r="AJ572" s="115"/>
      <c r="AK572" s="115"/>
      <c r="AL572" s="115"/>
      <c r="AM572" s="115"/>
      <c r="AN572" s="115"/>
      <c r="AO572" s="115"/>
      <c r="AP572" s="127"/>
      <c r="AQ572" s="29"/>
      <c r="BA572" s="25"/>
      <c r="BB572" s="13"/>
      <c r="BG572" s="116"/>
      <c r="BH572" s="123"/>
      <c r="BI572" s="123"/>
      <c r="BJ572" s="123"/>
      <c r="BO572" s="115"/>
      <c r="BP572" s="115"/>
      <c r="BQ572" s="115"/>
      <c r="BR572" s="115"/>
      <c r="BS572" s="115"/>
      <c r="BT572" s="115"/>
      <c r="BU572" s="115"/>
      <c r="BV572" s="115"/>
      <c r="BW572" s="115"/>
      <c r="BX572" s="115"/>
      <c r="BY572" s="25"/>
      <c r="BZ572" s="13"/>
      <c r="CC572" s="114"/>
    </row>
    <row r="573" spans="1:81" ht="20.100000000000001" customHeight="1" x14ac:dyDescent="0.4">
      <c r="A573" s="117"/>
      <c r="B573" s="123"/>
      <c r="C573" s="123"/>
      <c r="D573" s="123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26"/>
      <c r="AA573" s="13"/>
      <c r="AB573" s="115"/>
      <c r="AC573" s="115"/>
      <c r="AD573" s="115"/>
      <c r="AE573" s="115"/>
      <c r="AF573" s="115"/>
      <c r="AG573" s="115"/>
      <c r="AH573" s="115"/>
      <c r="AI573" s="115"/>
      <c r="AJ573" s="115"/>
      <c r="AK573" s="115"/>
      <c r="AL573" s="115"/>
      <c r="AM573" s="115"/>
      <c r="AN573" s="115"/>
      <c r="AO573" s="115"/>
      <c r="AP573" s="127"/>
      <c r="AQ573" s="29"/>
      <c r="BA573" s="25"/>
      <c r="BB573" s="13"/>
      <c r="BG573" s="116"/>
      <c r="BH573" s="123"/>
      <c r="BI573" s="123"/>
      <c r="BJ573" s="123"/>
      <c r="BO573" s="115"/>
      <c r="BP573" s="115"/>
      <c r="BQ573" s="115"/>
      <c r="BR573" s="115"/>
      <c r="BS573" s="115"/>
      <c r="BT573" s="115"/>
      <c r="BU573" s="115"/>
      <c r="BV573" s="115"/>
      <c r="BW573" s="115"/>
      <c r="BX573" s="115"/>
      <c r="BY573" s="25"/>
      <c r="BZ573" s="13"/>
      <c r="CC573" s="114"/>
    </row>
    <row r="574" spans="1:81" ht="20.100000000000001" customHeight="1" x14ac:dyDescent="0.4">
      <c r="A574" s="117"/>
      <c r="B574" s="123"/>
      <c r="C574" s="123"/>
      <c r="D574" s="123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26"/>
      <c r="AA574" s="13"/>
      <c r="AB574" s="115"/>
      <c r="AC574" s="115"/>
      <c r="AD574" s="115"/>
      <c r="AE574" s="115"/>
      <c r="AF574" s="115"/>
      <c r="AG574" s="115"/>
      <c r="AH574" s="115"/>
      <c r="AI574" s="115"/>
      <c r="AJ574" s="115"/>
      <c r="AK574" s="115"/>
      <c r="AL574" s="115"/>
      <c r="AM574" s="115"/>
      <c r="AN574" s="115"/>
      <c r="AO574" s="115"/>
      <c r="AP574" s="127"/>
      <c r="AQ574" s="29"/>
      <c r="BA574" s="25"/>
      <c r="BB574" s="13"/>
      <c r="BG574" s="116"/>
      <c r="BH574" s="123"/>
      <c r="BI574" s="123"/>
      <c r="BJ574" s="123"/>
      <c r="BO574" s="115"/>
      <c r="BP574" s="115"/>
      <c r="BQ574" s="115"/>
      <c r="BR574" s="115"/>
      <c r="BS574" s="115"/>
      <c r="BT574" s="115"/>
      <c r="BU574" s="115"/>
      <c r="BV574" s="115"/>
      <c r="BW574" s="115"/>
      <c r="BX574" s="115"/>
      <c r="BY574" s="25"/>
      <c r="BZ574" s="13"/>
      <c r="CC574" s="114"/>
    </row>
    <row r="575" spans="1:81" ht="20.100000000000001" customHeight="1" x14ac:dyDescent="0.4">
      <c r="A575" s="117"/>
      <c r="B575" s="123"/>
      <c r="C575" s="123"/>
      <c r="D575" s="123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7"/>
      <c r="AA575" s="13"/>
      <c r="AB575" s="115"/>
      <c r="AC575" s="115"/>
      <c r="AD575" s="115"/>
      <c r="AE575" s="115"/>
      <c r="AF575" s="115"/>
      <c r="AG575" s="115"/>
      <c r="AH575" s="115"/>
      <c r="AI575" s="115"/>
      <c r="AJ575" s="115"/>
      <c r="AK575" s="115"/>
      <c r="AL575" s="115"/>
      <c r="AM575" s="115"/>
      <c r="AN575" s="115"/>
      <c r="AO575" s="115"/>
      <c r="AP575" s="127"/>
      <c r="AQ575" s="29"/>
      <c r="BA575" s="25"/>
      <c r="BB575" s="13"/>
      <c r="BG575" s="116"/>
      <c r="BH575" s="123"/>
      <c r="BI575" s="123"/>
      <c r="BJ575" s="123"/>
      <c r="BO575" s="115"/>
      <c r="BP575" s="115"/>
      <c r="BQ575" s="115"/>
      <c r="BR575" s="115"/>
      <c r="BS575" s="115"/>
      <c r="BT575" s="115"/>
      <c r="BU575" s="115"/>
      <c r="BV575" s="115"/>
      <c r="BW575" s="115"/>
      <c r="BX575" s="115"/>
      <c r="BY575" s="25"/>
      <c r="BZ575" s="13"/>
      <c r="CC575" s="114"/>
    </row>
    <row r="576" spans="1:81" ht="20.100000000000001" customHeight="1" x14ac:dyDescent="0.4">
      <c r="A576" s="117"/>
      <c r="B576" s="123"/>
      <c r="C576" s="123"/>
      <c r="D576" s="123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26"/>
      <c r="AA576" s="13"/>
      <c r="AB576" s="115"/>
      <c r="AC576" s="115"/>
      <c r="AD576" s="115"/>
      <c r="AE576" s="115"/>
      <c r="AF576" s="115"/>
      <c r="AG576" s="115"/>
      <c r="AH576" s="115"/>
      <c r="AI576" s="115"/>
      <c r="AJ576" s="115"/>
      <c r="AK576" s="115"/>
      <c r="AL576" s="115"/>
      <c r="AM576" s="115"/>
      <c r="AN576" s="115"/>
      <c r="AO576" s="115"/>
      <c r="AP576" s="127"/>
      <c r="AQ576" s="29"/>
      <c r="BA576" s="25"/>
      <c r="BB576" s="13"/>
      <c r="BG576" s="116"/>
      <c r="BH576" s="123"/>
      <c r="BI576" s="123"/>
      <c r="BJ576" s="123"/>
      <c r="BO576" s="115"/>
      <c r="BP576" s="115"/>
      <c r="BQ576" s="115"/>
      <c r="BR576" s="115"/>
      <c r="BS576" s="115"/>
      <c r="BT576" s="115"/>
      <c r="BU576" s="115"/>
      <c r="BV576" s="115"/>
      <c r="BW576" s="115"/>
      <c r="BX576" s="115"/>
      <c r="BY576" s="25"/>
      <c r="BZ576" s="13"/>
      <c r="CC576" s="114"/>
    </row>
    <row r="577" spans="1:81" ht="20.100000000000001" customHeight="1" x14ac:dyDescent="0.4">
      <c r="A577" s="117"/>
      <c r="B577" s="123"/>
      <c r="C577" s="123"/>
      <c r="D577" s="123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26"/>
      <c r="AA577" s="13"/>
      <c r="AB577" s="115"/>
      <c r="AC577" s="115"/>
      <c r="AD577" s="115"/>
      <c r="AE577" s="115"/>
      <c r="AF577" s="115"/>
      <c r="AG577" s="115"/>
      <c r="AH577" s="115"/>
      <c r="AI577" s="115"/>
      <c r="AJ577" s="115"/>
      <c r="AK577" s="115"/>
      <c r="AL577" s="115"/>
      <c r="AM577" s="115"/>
      <c r="AN577" s="115"/>
      <c r="AO577" s="115"/>
      <c r="AP577" s="127"/>
      <c r="AQ577" s="29"/>
      <c r="BA577" s="25"/>
      <c r="BB577" s="13"/>
      <c r="BG577" s="116"/>
      <c r="BH577" s="123"/>
      <c r="BI577" s="123"/>
      <c r="BJ577" s="123"/>
      <c r="BO577" s="115"/>
      <c r="BP577" s="115"/>
      <c r="BQ577" s="115"/>
      <c r="BR577" s="115"/>
      <c r="BS577" s="115"/>
      <c r="BT577" s="115"/>
      <c r="BU577" s="115"/>
      <c r="BV577" s="115"/>
      <c r="BW577" s="115"/>
      <c r="BX577" s="115"/>
      <c r="BY577" s="25"/>
      <c r="BZ577" s="13"/>
      <c r="CC577" s="114"/>
    </row>
    <row r="578" spans="1:81" ht="20.100000000000001" customHeight="1" x14ac:dyDescent="0.4">
      <c r="A578" s="117"/>
      <c r="B578" s="123"/>
      <c r="C578" s="123"/>
      <c r="D578" s="123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26"/>
      <c r="AA578" s="13"/>
      <c r="AB578" s="115"/>
      <c r="AC578" s="115"/>
      <c r="AD578" s="115"/>
      <c r="AE578" s="115"/>
      <c r="AF578" s="115"/>
      <c r="AG578" s="115"/>
      <c r="AH578" s="115"/>
      <c r="AI578" s="115"/>
      <c r="AJ578" s="115"/>
      <c r="AK578" s="115"/>
      <c r="AL578" s="115"/>
      <c r="AM578" s="115"/>
      <c r="AN578" s="115"/>
      <c r="AO578" s="115"/>
      <c r="AP578" s="29"/>
      <c r="AQ578" s="29"/>
      <c r="BA578" s="25"/>
      <c r="BB578" s="13"/>
      <c r="BG578" s="116"/>
      <c r="BH578" s="123"/>
      <c r="BI578" s="123"/>
      <c r="BJ578" s="123"/>
      <c r="BO578" s="115"/>
      <c r="BP578" s="115"/>
      <c r="BQ578" s="115"/>
      <c r="BR578" s="115"/>
      <c r="BS578" s="115"/>
      <c r="BT578" s="115"/>
      <c r="BU578" s="115"/>
      <c r="BV578" s="115"/>
      <c r="BW578" s="115"/>
      <c r="BX578" s="115"/>
      <c r="BY578" s="25"/>
      <c r="BZ578" s="13"/>
      <c r="CC578" s="114"/>
    </row>
    <row r="579" spans="1:81" ht="20.100000000000001" customHeight="1" x14ac:dyDescent="0.4">
      <c r="A579" s="117"/>
      <c r="B579" s="123"/>
      <c r="C579" s="123"/>
      <c r="D579" s="123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26"/>
      <c r="AA579" s="13"/>
      <c r="AB579" s="115"/>
      <c r="AC579" s="115"/>
      <c r="AD579" s="115"/>
      <c r="AE579" s="115"/>
      <c r="AF579" s="115"/>
      <c r="AG579" s="115"/>
      <c r="AH579" s="115"/>
      <c r="AI579" s="115"/>
      <c r="AJ579" s="115"/>
      <c r="AK579" s="115"/>
      <c r="AL579" s="115"/>
      <c r="AM579" s="115"/>
      <c r="AN579" s="115"/>
      <c r="AO579" s="115"/>
      <c r="AP579" s="127"/>
      <c r="AQ579" s="29"/>
      <c r="BA579" s="25"/>
      <c r="BB579" s="13"/>
      <c r="BG579" s="116"/>
      <c r="BH579" s="123"/>
      <c r="BI579" s="123"/>
      <c r="BJ579" s="123"/>
      <c r="BO579" s="115"/>
      <c r="BP579" s="115"/>
      <c r="BQ579" s="115"/>
      <c r="BR579" s="115"/>
      <c r="BS579" s="115"/>
      <c r="BT579" s="115"/>
      <c r="BU579" s="115"/>
      <c r="BV579" s="115"/>
      <c r="BW579" s="115"/>
      <c r="BX579" s="115"/>
      <c r="BY579" s="25"/>
      <c r="BZ579" s="13"/>
      <c r="CC579" s="114"/>
    </row>
    <row r="580" spans="1:81" ht="20.100000000000001" customHeight="1" x14ac:dyDescent="0.4">
      <c r="A580" s="117"/>
      <c r="B580" s="123"/>
      <c r="C580" s="123"/>
      <c r="D580" s="123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26"/>
      <c r="AA580" s="13"/>
      <c r="AB580" s="115"/>
      <c r="AC580" s="115"/>
      <c r="AD580" s="115"/>
      <c r="AE580" s="115"/>
      <c r="AF580" s="115"/>
      <c r="AG580" s="115"/>
      <c r="AH580" s="115"/>
      <c r="AI580" s="115"/>
      <c r="AJ580" s="115"/>
      <c r="AK580" s="115"/>
      <c r="AL580" s="115"/>
      <c r="AM580" s="115"/>
      <c r="AN580" s="115"/>
      <c r="AO580" s="115"/>
      <c r="AP580" s="127"/>
      <c r="AQ580" s="29"/>
      <c r="BA580" s="25"/>
      <c r="BB580" s="13"/>
      <c r="BG580" s="116"/>
      <c r="BH580" s="123"/>
      <c r="BI580" s="123"/>
      <c r="BJ580" s="123"/>
      <c r="BO580" s="115"/>
      <c r="BP580" s="115"/>
      <c r="BQ580" s="115"/>
      <c r="BR580" s="115"/>
      <c r="BS580" s="115"/>
      <c r="BT580" s="115"/>
      <c r="BU580" s="115"/>
      <c r="BV580" s="115"/>
      <c r="BW580" s="115"/>
      <c r="BX580" s="115"/>
      <c r="BY580" s="25"/>
      <c r="BZ580" s="13"/>
      <c r="CC580" s="114"/>
    </row>
    <row r="581" spans="1:81" ht="20.100000000000001" customHeight="1" x14ac:dyDescent="0.4">
      <c r="A581" s="117"/>
      <c r="B581" s="123"/>
      <c r="C581" s="123"/>
      <c r="D581" s="123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26"/>
      <c r="AA581" s="13"/>
      <c r="AB581" s="115"/>
      <c r="AC581" s="115"/>
      <c r="AD581" s="115"/>
      <c r="AE581" s="115"/>
      <c r="AF581" s="115"/>
      <c r="AG581" s="115"/>
      <c r="AH581" s="115"/>
      <c r="AI581" s="115"/>
      <c r="AJ581" s="115"/>
      <c r="AK581" s="115"/>
      <c r="AL581" s="115"/>
      <c r="AM581" s="115"/>
      <c r="AN581" s="115"/>
      <c r="AO581" s="115"/>
      <c r="AP581" s="127"/>
      <c r="AQ581" s="29"/>
      <c r="BA581" s="25"/>
      <c r="BB581" s="13"/>
      <c r="BG581" s="116"/>
      <c r="BH581" s="123"/>
      <c r="BI581" s="123"/>
      <c r="BJ581" s="123"/>
      <c r="BO581" s="115"/>
      <c r="BP581" s="115"/>
      <c r="BQ581" s="115"/>
      <c r="BR581" s="115"/>
      <c r="BS581" s="115"/>
      <c r="BT581" s="115"/>
      <c r="BU581" s="115"/>
      <c r="BV581" s="115"/>
      <c r="BW581" s="115"/>
      <c r="BX581" s="115"/>
      <c r="BY581" s="25"/>
      <c r="BZ581" s="13"/>
      <c r="CC581" s="114"/>
    </row>
    <row r="582" spans="1:81" ht="20.100000000000001" customHeight="1" x14ac:dyDescent="0.4">
      <c r="A582" s="117"/>
      <c r="B582" s="123"/>
      <c r="C582" s="123"/>
      <c r="D582" s="123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7"/>
      <c r="AA582" s="13"/>
      <c r="AB582" s="115"/>
      <c r="AC582" s="115"/>
      <c r="AD582" s="115"/>
      <c r="AE582" s="115"/>
      <c r="AF582" s="115"/>
      <c r="AG582" s="115"/>
      <c r="AH582" s="115"/>
      <c r="AI582" s="115"/>
      <c r="AJ582" s="115"/>
      <c r="AK582" s="115"/>
      <c r="AL582" s="115"/>
      <c r="AM582" s="115"/>
      <c r="AN582" s="115"/>
      <c r="AO582" s="115"/>
      <c r="AP582" s="127"/>
      <c r="AQ582" s="29"/>
      <c r="BA582" s="25"/>
      <c r="BB582" s="13"/>
      <c r="BG582" s="116"/>
      <c r="BH582" s="123"/>
      <c r="BI582" s="123"/>
      <c r="BJ582" s="123"/>
      <c r="BO582" s="115"/>
      <c r="BP582" s="115"/>
      <c r="BQ582" s="115"/>
      <c r="BR582" s="115"/>
      <c r="BS582" s="115"/>
      <c r="BT582" s="115"/>
      <c r="BU582" s="115"/>
      <c r="BV582" s="115"/>
      <c r="BW582" s="115"/>
      <c r="BX582" s="115"/>
      <c r="BY582" s="25"/>
      <c r="BZ582" s="13"/>
      <c r="CC582" s="114"/>
    </row>
    <row r="583" spans="1:81" ht="20.100000000000001" customHeight="1" x14ac:dyDescent="0.4">
      <c r="A583" s="117"/>
      <c r="B583" s="123"/>
      <c r="C583" s="123"/>
      <c r="D583" s="123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26"/>
      <c r="AA583" s="13"/>
      <c r="AB583" s="115"/>
      <c r="AC583" s="115"/>
      <c r="AD583" s="115"/>
      <c r="AE583" s="115"/>
      <c r="AF583" s="115"/>
      <c r="AG583" s="115"/>
      <c r="AH583" s="115"/>
      <c r="AI583" s="115"/>
      <c r="AJ583" s="115"/>
      <c r="AK583" s="115"/>
      <c r="AL583" s="115"/>
      <c r="AM583" s="115"/>
      <c r="AN583" s="115"/>
      <c r="AO583" s="115"/>
      <c r="AP583" s="29"/>
      <c r="AQ583" s="29"/>
      <c r="BA583" s="25"/>
      <c r="BB583" s="13"/>
      <c r="BG583" s="116"/>
      <c r="BH583" s="123"/>
      <c r="BI583" s="123"/>
      <c r="BJ583" s="123"/>
      <c r="BO583" s="115"/>
      <c r="BP583" s="115"/>
      <c r="BQ583" s="115"/>
      <c r="BR583" s="115"/>
      <c r="BS583" s="115"/>
      <c r="BT583" s="115"/>
      <c r="BU583" s="115"/>
      <c r="BV583" s="115"/>
      <c r="BW583" s="115"/>
      <c r="BX583" s="115"/>
      <c r="BY583" s="25"/>
      <c r="BZ583" s="13"/>
      <c r="CC583" s="114"/>
    </row>
    <row r="584" spans="1:81" ht="20.100000000000001" customHeight="1" x14ac:dyDescent="0.4">
      <c r="A584" s="117"/>
      <c r="B584" s="123"/>
      <c r="C584" s="123"/>
      <c r="D584" s="123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7"/>
      <c r="AA584" s="13"/>
      <c r="AB584" s="115"/>
      <c r="AC584" s="115"/>
      <c r="AD584" s="115"/>
      <c r="AE584" s="115"/>
      <c r="AF584" s="115"/>
      <c r="AG584" s="115"/>
      <c r="AH584" s="115"/>
      <c r="AI584" s="115"/>
      <c r="AJ584" s="115"/>
      <c r="AK584" s="115"/>
      <c r="AL584" s="115"/>
      <c r="AM584" s="115"/>
      <c r="AN584" s="115"/>
      <c r="AO584" s="115"/>
      <c r="AP584" s="29"/>
      <c r="AQ584" s="29"/>
      <c r="BA584" s="25"/>
      <c r="BB584" s="13"/>
      <c r="BG584" s="116"/>
      <c r="BH584" s="123"/>
      <c r="BI584" s="123"/>
      <c r="BJ584" s="123"/>
      <c r="BO584" s="115"/>
      <c r="BP584" s="115"/>
      <c r="BQ584" s="115"/>
      <c r="BR584" s="115"/>
      <c r="BS584" s="115"/>
      <c r="BT584" s="115"/>
      <c r="BU584" s="115"/>
      <c r="BV584" s="115"/>
      <c r="BW584" s="115"/>
      <c r="BX584" s="115"/>
      <c r="BY584" s="25"/>
      <c r="BZ584" s="13"/>
      <c r="CC584" s="114"/>
    </row>
    <row r="585" spans="1:81" ht="20.100000000000001" customHeight="1" x14ac:dyDescent="0.4">
      <c r="A585" s="117"/>
      <c r="B585" s="123"/>
      <c r="C585" s="123"/>
      <c r="D585" s="123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26"/>
      <c r="AA585" s="13"/>
      <c r="AB585" s="115"/>
      <c r="AC585" s="115"/>
      <c r="AD585" s="115"/>
      <c r="AE585" s="115"/>
      <c r="AF585" s="115"/>
      <c r="AG585" s="115"/>
      <c r="AH585" s="115"/>
      <c r="AI585" s="115"/>
      <c r="AJ585" s="115"/>
      <c r="AK585" s="115"/>
      <c r="AL585" s="115"/>
      <c r="AM585" s="115"/>
      <c r="AN585" s="115"/>
      <c r="AO585" s="115"/>
      <c r="AP585" s="127"/>
      <c r="AQ585" s="29"/>
      <c r="BA585" s="25"/>
      <c r="BB585" s="13"/>
      <c r="BG585" s="116"/>
      <c r="BH585" s="123"/>
      <c r="BI585" s="123"/>
      <c r="BJ585" s="123"/>
      <c r="BO585" s="115"/>
      <c r="BP585" s="115"/>
      <c r="BQ585" s="115"/>
      <c r="BR585" s="115"/>
      <c r="BS585" s="115"/>
      <c r="BT585" s="115"/>
      <c r="BU585" s="115"/>
      <c r="BV585" s="115"/>
      <c r="BW585" s="115"/>
      <c r="BX585" s="115"/>
      <c r="BY585" s="25"/>
      <c r="BZ585" s="13"/>
      <c r="CC585" s="114"/>
    </row>
    <row r="586" spans="1:81" ht="20.100000000000001" customHeight="1" x14ac:dyDescent="0.4">
      <c r="A586" s="117"/>
      <c r="B586" s="123"/>
      <c r="C586" s="123"/>
      <c r="D586" s="123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7"/>
      <c r="AA586" s="13"/>
      <c r="AB586" s="115"/>
      <c r="AC586" s="115"/>
      <c r="AD586" s="115"/>
      <c r="AE586" s="115"/>
      <c r="AF586" s="115"/>
      <c r="AG586" s="115"/>
      <c r="AH586" s="115"/>
      <c r="AI586" s="115"/>
      <c r="AJ586" s="115"/>
      <c r="AK586" s="115"/>
      <c r="AL586" s="115"/>
      <c r="AM586" s="115"/>
      <c r="AN586" s="115"/>
      <c r="AO586" s="115"/>
      <c r="AP586" s="127"/>
      <c r="AQ586" s="29"/>
      <c r="BA586" s="25"/>
      <c r="BB586" s="13"/>
      <c r="BG586" s="116"/>
      <c r="BH586" s="123"/>
      <c r="BI586" s="123"/>
      <c r="BJ586" s="123"/>
      <c r="BO586" s="115"/>
      <c r="BP586" s="115"/>
      <c r="BQ586" s="115"/>
      <c r="BR586" s="115"/>
      <c r="BS586" s="115"/>
      <c r="BT586" s="115"/>
      <c r="BU586" s="115"/>
      <c r="BV586" s="115"/>
      <c r="BW586" s="115"/>
      <c r="BX586" s="115"/>
      <c r="BY586" s="25"/>
      <c r="BZ586" s="13"/>
      <c r="CC586" s="114"/>
    </row>
    <row r="587" spans="1:81" ht="20.100000000000001" customHeight="1" x14ac:dyDescent="0.4">
      <c r="A587" s="117"/>
      <c r="B587" s="123"/>
      <c r="C587" s="123"/>
      <c r="D587" s="123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26"/>
      <c r="AA587" s="13"/>
      <c r="AB587" s="115"/>
      <c r="AC587" s="115"/>
      <c r="AD587" s="115"/>
      <c r="AE587" s="115"/>
      <c r="AF587" s="115"/>
      <c r="AG587" s="115"/>
      <c r="AH587" s="115"/>
      <c r="AI587" s="115"/>
      <c r="AJ587" s="115"/>
      <c r="AK587" s="115"/>
      <c r="AL587" s="115"/>
      <c r="AM587" s="115"/>
      <c r="AN587" s="115"/>
      <c r="AO587" s="115"/>
      <c r="AP587" s="127"/>
      <c r="AQ587" s="29"/>
      <c r="BA587" s="25"/>
      <c r="BB587" s="13"/>
      <c r="BG587" s="116"/>
      <c r="BH587" s="123"/>
      <c r="BI587" s="123"/>
      <c r="BJ587" s="123"/>
      <c r="BO587" s="115"/>
      <c r="BP587" s="115"/>
      <c r="BQ587" s="115"/>
      <c r="BR587" s="115"/>
      <c r="BS587" s="115"/>
      <c r="BT587" s="115"/>
      <c r="BU587" s="115"/>
      <c r="BV587" s="115"/>
      <c r="BW587" s="115"/>
      <c r="BX587" s="115"/>
      <c r="BY587" s="25"/>
      <c r="BZ587" s="13"/>
      <c r="CC587" s="114"/>
    </row>
    <row r="588" spans="1:81" ht="20.100000000000001" customHeight="1" x14ac:dyDescent="0.4">
      <c r="A588" s="117"/>
      <c r="B588" s="123"/>
      <c r="C588" s="123"/>
      <c r="D588" s="123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7"/>
      <c r="AA588" s="13"/>
      <c r="AB588" s="115"/>
      <c r="AC588" s="115"/>
      <c r="AD588" s="115"/>
      <c r="AE588" s="115"/>
      <c r="AF588" s="115"/>
      <c r="AG588" s="115"/>
      <c r="AH588" s="115"/>
      <c r="AI588" s="115"/>
      <c r="AJ588" s="115"/>
      <c r="AK588" s="115"/>
      <c r="AL588" s="115"/>
      <c r="AM588" s="115"/>
      <c r="AN588" s="115"/>
      <c r="AO588" s="115"/>
      <c r="AP588" s="127"/>
      <c r="AQ588" s="29"/>
      <c r="BA588" s="25"/>
      <c r="BB588" s="13"/>
      <c r="BG588" s="116"/>
      <c r="BH588" s="123"/>
      <c r="BI588" s="123"/>
      <c r="BJ588" s="123"/>
      <c r="BO588" s="115"/>
      <c r="BP588" s="115"/>
      <c r="BQ588" s="115"/>
      <c r="BR588" s="115"/>
      <c r="BS588" s="115"/>
      <c r="BT588" s="115"/>
      <c r="BU588" s="115"/>
      <c r="BV588" s="115"/>
      <c r="BW588" s="115"/>
      <c r="BX588" s="115"/>
      <c r="BY588" s="25"/>
      <c r="BZ588" s="13"/>
      <c r="CC588" s="114"/>
    </row>
    <row r="589" spans="1:81" ht="20.100000000000001" customHeight="1" x14ac:dyDescent="0.4">
      <c r="A589" s="117"/>
      <c r="B589" s="123"/>
      <c r="C589" s="123"/>
      <c r="D589" s="123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26"/>
      <c r="AA589" s="13"/>
      <c r="AB589" s="115"/>
      <c r="AC589" s="115"/>
      <c r="AD589" s="115"/>
      <c r="AE589" s="115"/>
      <c r="AF589" s="115"/>
      <c r="AG589" s="115"/>
      <c r="AH589" s="115"/>
      <c r="AI589" s="115"/>
      <c r="AJ589" s="115"/>
      <c r="AK589" s="115"/>
      <c r="AL589" s="115"/>
      <c r="AM589" s="115"/>
      <c r="AN589" s="115"/>
      <c r="AO589" s="115"/>
      <c r="AP589" s="127"/>
      <c r="AQ589" s="29"/>
      <c r="BA589" s="25"/>
      <c r="BB589" s="13"/>
      <c r="BG589" s="116"/>
      <c r="BH589" s="123"/>
      <c r="BI589" s="123"/>
      <c r="BJ589" s="123"/>
      <c r="BO589" s="115"/>
      <c r="BP589" s="115"/>
      <c r="BQ589" s="115"/>
      <c r="BR589" s="115"/>
      <c r="BS589" s="115"/>
      <c r="BT589" s="115"/>
      <c r="BU589" s="115"/>
      <c r="BV589" s="115"/>
      <c r="BW589" s="115"/>
      <c r="BX589" s="115"/>
      <c r="BY589" s="25"/>
      <c r="BZ589" s="13"/>
      <c r="CC589" s="114"/>
    </row>
    <row r="590" spans="1:81" ht="20.100000000000001" customHeight="1" x14ac:dyDescent="0.4">
      <c r="A590" s="117"/>
      <c r="B590" s="123"/>
      <c r="C590" s="123"/>
      <c r="D590" s="123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26"/>
      <c r="AA590" s="133"/>
      <c r="AB590" s="115"/>
      <c r="AC590" s="115"/>
      <c r="AD590" s="115"/>
      <c r="AE590" s="115"/>
      <c r="AF590" s="115"/>
      <c r="AG590" s="115"/>
      <c r="AH590" s="115"/>
      <c r="AI590" s="115"/>
      <c r="AJ590" s="115"/>
      <c r="AK590" s="115"/>
      <c r="AL590" s="115"/>
      <c r="AM590" s="115"/>
      <c r="AN590" s="115"/>
      <c r="AO590" s="115"/>
      <c r="AP590" s="29"/>
      <c r="AQ590" s="29"/>
      <c r="BA590" s="25"/>
      <c r="BB590" s="13"/>
      <c r="BG590" s="116"/>
      <c r="BH590" s="123"/>
      <c r="BI590" s="123"/>
      <c r="BJ590" s="123"/>
      <c r="BO590" s="115"/>
      <c r="BP590" s="115"/>
      <c r="BQ590" s="115"/>
      <c r="BR590" s="115"/>
      <c r="BS590" s="115"/>
      <c r="BT590" s="115"/>
      <c r="BU590" s="115"/>
      <c r="BV590" s="115"/>
      <c r="BW590" s="115"/>
      <c r="BX590" s="115"/>
      <c r="BY590" s="25"/>
      <c r="BZ590" s="13"/>
      <c r="CC590" s="114"/>
    </row>
    <row r="591" spans="1:81" ht="20.100000000000001" customHeight="1" x14ac:dyDescent="0.4">
      <c r="A591" s="117"/>
      <c r="B591" s="123"/>
      <c r="C591" s="123"/>
      <c r="D591" s="123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7"/>
      <c r="AA591" s="13"/>
      <c r="AB591" s="115"/>
      <c r="AC591" s="115"/>
      <c r="AD591" s="115"/>
      <c r="AE591" s="115"/>
      <c r="AF591" s="115"/>
      <c r="AG591" s="115"/>
      <c r="AH591" s="115"/>
      <c r="AI591" s="115"/>
      <c r="AJ591" s="115"/>
      <c r="AK591" s="115"/>
      <c r="AL591" s="115"/>
      <c r="AM591" s="115"/>
      <c r="AN591" s="115"/>
      <c r="AO591" s="115"/>
      <c r="AP591" s="29"/>
      <c r="AQ591" s="29"/>
      <c r="BA591" s="25"/>
      <c r="BB591" s="13"/>
      <c r="BG591" s="116"/>
      <c r="BH591" s="123"/>
      <c r="BI591" s="123"/>
      <c r="BJ591" s="123"/>
      <c r="BO591" s="115"/>
      <c r="BP591" s="115"/>
      <c r="BQ591" s="115"/>
      <c r="BR591" s="115"/>
      <c r="BS591" s="115"/>
      <c r="BT591" s="115"/>
      <c r="BU591" s="115"/>
      <c r="BV591" s="115"/>
      <c r="BW591" s="115"/>
      <c r="BX591" s="115"/>
      <c r="BY591" s="25"/>
      <c r="BZ591" s="13"/>
      <c r="CC591" s="114"/>
    </row>
    <row r="592" spans="1:81" ht="20.100000000000001" customHeight="1" x14ac:dyDescent="0.4">
      <c r="A592" s="117"/>
      <c r="B592" s="123"/>
      <c r="C592" s="123"/>
      <c r="D592" s="123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26"/>
      <c r="AA592" s="15"/>
      <c r="AB592" s="115"/>
      <c r="AC592" s="115"/>
      <c r="AD592" s="115"/>
      <c r="AE592" s="115"/>
      <c r="AF592" s="115"/>
      <c r="AG592" s="115"/>
      <c r="AH592" s="115"/>
      <c r="AI592" s="115"/>
      <c r="AJ592" s="115"/>
      <c r="AK592" s="115"/>
      <c r="AL592" s="115"/>
      <c r="AM592" s="115"/>
      <c r="AN592" s="115"/>
      <c r="AO592" s="115"/>
      <c r="AP592" s="127"/>
      <c r="AQ592" s="29"/>
      <c r="BA592" s="25"/>
      <c r="BB592" s="13"/>
      <c r="BG592" s="116"/>
      <c r="BH592" s="123"/>
      <c r="BI592" s="123"/>
      <c r="BJ592" s="123"/>
      <c r="BO592" s="115"/>
      <c r="BP592" s="115"/>
      <c r="BQ592" s="115"/>
      <c r="BR592" s="115"/>
      <c r="BS592" s="115"/>
      <c r="BT592" s="115"/>
      <c r="BU592" s="115"/>
      <c r="BV592" s="115"/>
      <c r="BW592" s="115"/>
      <c r="BX592" s="115"/>
      <c r="BY592" s="25"/>
      <c r="BZ592" s="13"/>
      <c r="CC592" s="114"/>
    </row>
    <row r="593" spans="1:81" ht="20.100000000000001" customHeight="1" x14ac:dyDescent="0.4">
      <c r="A593" s="117"/>
      <c r="B593" s="123"/>
      <c r="C593" s="123"/>
      <c r="D593" s="123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19"/>
      <c r="AA593" s="119"/>
      <c r="AB593" s="115"/>
      <c r="AC593" s="115"/>
      <c r="AD593" s="115"/>
      <c r="AE593" s="115"/>
      <c r="AF593" s="115"/>
      <c r="AG593" s="115"/>
      <c r="AH593" s="115"/>
      <c r="AI593" s="115"/>
      <c r="AJ593" s="115"/>
      <c r="AK593" s="115"/>
      <c r="AL593" s="115"/>
      <c r="AM593" s="115"/>
      <c r="AN593" s="115"/>
      <c r="AO593" s="115"/>
      <c r="AP593" s="127"/>
      <c r="AQ593" s="29"/>
      <c r="BA593" s="25"/>
      <c r="BB593" s="13"/>
      <c r="BG593" s="116"/>
      <c r="BH593" s="123"/>
      <c r="BI593" s="123"/>
      <c r="BJ593" s="123"/>
      <c r="BO593" s="115"/>
      <c r="BP593" s="115"/>
      <c r="BQ593" s="115"/>
      <c r="BR593" s="115"/>
      <c r="BS593" s="115"/>
      <c r="BT593" s="115"/>
      <c r="BU593" s="115"/>
      <c r="BV593" s="115"/>
      <c r="BW593" s="115"/>
      <c r="BX593" s="115"/>
      <c r="BY593" s="25"/>
      <c r="BZ593" s="13"/>
      <c r="CC593" s="114"/>
    </row>
    <row r="594" spans="1:81" ht="20.100000000000001" customHeight="1" x14ac:dyDescent="0.4">
      <c r="A594" s="117"/>
      <c r="B594" s="123"/>
      <c r="C594" s="123"/>
      <c r="D594" s="123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19"/>
      <c r="AA594" s="119"/>
      <c r="AB594" s="115"/>
      <c r="AC594" s="115"/>
      <c r="AD594" s="115"/>
      <c r="AE594" s="115"/>
      <c r="AF594" s="115"/>
      <c r="AG594" s="115"/>
      <c r="AH594" s="115"/>
      <c r="AI594" s="115"/>
      <c r="AJ594" s="115"/>
      <c r="AK594" s="115"/>
      <c r="AL594" s="115"/>
      <c r="AM594" s="115"/>
      <c r="AN594" s="115"/>
      <c r="AO594" s="115"/>
      <c r="AP594" s="127"/>
      <c r="AQ594" s="29"/>
      <c r="BA594" s="25"/>
      <c r="BB594" s="13"/>
      <c r="BG594" s="116"/>
      <c r="BH594" s="123"/>
      <c r="BI594" s="123"/>
      <c r="BJ594" s="123"/>
      <c r="BO594" s="115"/>
      <c r="BP594" s="115"/>
      <c r="BQ594" s="115"/>
      <c r="BR594" s="115"/>
      <c r="BS594" s="115"/>
      <c r="BT594" s="115"/>
      <c r="BU594" s="115"/>
      <c r="BV594" s="115"/>
      <c r="BW594" s="115"/>
      <c r="BX594" s="115"/>
      <c r="BY594" s="25"/>
      <c r="BZ594" s="13"/>
      <c r="CC594" s="114"/>
    </row>
    <row r="595" spans="1:81" ht="20.100000000000001" customHeight="1" x14ac:dyDescent="0.4">
      <c r="A595" s="117"/>
      <c r="B595" s="123"/>
      <c r="C595" s="123"/>
      <c r="D595" s="123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  <c r="AK595" s="115"/>
      <c r="AL595" s="115"/>
      <c r="AM595" s="115"/>
      <c r="AN595" s="115"/>
      <c r="AO595" s="115"/>
      <c r="AP595" s="127"/>
      <c r="AQ595" s="29"/>
      <c r="BA595" s="25"/>
      <c r="BB595" s="13"/>
      <c r="BG595" s="116"/>
      <c r="BH595" s="123"/>
      <c r="BI595" s="123"/>
      <c r="BJ595" s="123"/>
      <c r="BO595" s="115"/>
      <c r="BP595" s="115"/>
      <c r="BQ595" s="115"/>
      <c r="BR595" s="115"/>
      <c r="BS595" s="115"/>
      <c r="BT595" s="115"/>
      <c r="BU595" s="115"/>
      <c r="BV595" s="115"/>
      <c r="BW595" s="115"/>
      <c r="BX595" s="115"/>
      <c r="BY595" s="25"/>
      <c r="BZ595" s="13"/>
      <c r="CC595" s="114"/>
    </row>
    <row r="596" spans="1:81" ht="20.100000000000001" customHeight="1" x14ac:dyDescent="0.4">
      <c r="A596" s="117"/>
      <c r="B596" s="123"/>
      <c r="C596" s="123"/>
      <c r="D596" s="123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  <c r="AK596" s="115"/>
      <c r="AL596" s="115"/>
      <c r="AM596" s="115"/>
      <c r="AN596" s="115"/>
      <c r="AO596" s="115"/>
      <c r="AP596" s="127"/>
      <c r="AQ596" s="29"/>
      <c r="BA596" s="25"/>
      <c r="BB596" s="13"/>
      <c r="BG596" s="116"/>
      <c r="BH596" s="123"/>
      <c r="BI596" s="123"/>
      <c r="BJ596" s="123"/>
      <c r="BO596" s="115"/>
      <c r="BP596" s="115"/>
      <c r="BQ596" s="115"/>
      <c r="BR596" s="115"/>
      <c r="BS596" s="115"/>
      <c r="BT596" s="115"/>
      <c r="BU596" s="115"/>
      <c r="BV596" s="115"/>
      <c r="BW596" s="115"/>
      <c r="BX596" s="115"/>
      <c r="BY596" s="25"/>
      <c r="BZ596" s="13"/>
      <c r="CC596" s="114"/>
    </row>
    <row r="597" spans="1:81" ht="20.100000000000001" customHeight="1" x14ac:dyDescent="0.4">
      <c r="A597" s="117"/>
      <c r="B597" s="123"/>
      <c r="C597" s="123"/>
      <c r="D597" s="123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  <c r="AK597" s="115"/>
      <c r="AL597" s="115"/>
      <c r="AM597" s="115"/>
      <c r="AN597" s="115"/>
      <c r="AO597" s="115"/>
      <c r="AP597" s="127"/>
      <c r="AQ597" s="29"/>
      <c r="BA597" s="25"/>
      <c r="BB597" s="13"/>
      <c r="BG597" s="116"/>
      <c r="BH597" s="123"/>
      <c r="BI597" s="123"/>
      <c r="BJ597" s="123"/>
      <c r="BO597" s="115"/>
      <c r="BP597" s="115"/>
      <c r="BQ597" s="115"/>
      <c r="BR597" s="115"/>
      <c r="BS597" s="115"/>
      <c r="BT597" s="115"/>
      <c r="BU597" s="115"/>
      <c r="BV597" s="115"/>
      <c r="BW597" s="115"/>
      <c r="BX597" s="115"/>
      <c r="BY597" s="25"/>
      <c r="BZ597" s="13"/>
      <c r="CC597" s="114"/>
    </row>
    <row r="598" spans="1:81" ht="20.100000000000001" customHeight="1" x14ac:dyDescent="0.4">
      <c r="A598" s="117"/>
      <c r="B598" s="123"/>
      <c r="C598" s="123"/>
      <c r="D598" s="123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  <c r="AK598" s="115"/>
      <c r="AL598" s="115"/>
      <c r="AM598" s="115"/>
      <c r="AN598" s="115"/>
      <c r="AO598" s="115"/>
      <c r="AP598" s="29"/>
      <c r="AQ598" s="29"/>
      <c r="BA598" s="25"/>
      <c r="BB598" s="13"/>
      <c r="BG598" s="116"/>
      <c r="BH598" s="123"/>
      <c r="BI598" s="123"/>
      <c r="BJ598" s="123"/>
      <c r="BO598" s="115"/>
      <c r="BP598" s="115"/>
      <c r="BQ598" s="115"/>
      <c r="BR598" s="115"/>
      <c r="BS598" s="115"/>
      <c r="BT598" s="115"/>
      <c r="BU598" s="115"/>
      <c r="BV598" s="115"/>
      <c r="BW598" s="115"/>
      <c r="BX598" s="115"/>
      <c r="BY598" s="25"/>
      <c r="BZ598" s="13"/>
      <c r="CC598" s="114"/>
    </row>
    <row r="599" spans="1:81" ht="20.100000000000001" customHeight="1" x14ac:dyDescent="0.4">
      <c r="A599" s="117"/>
      <c r="B599" s="123"/>
      <c r="C599" s="123"/>
      <c r="D599" s="123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AP599" s="127"/>
      <c r="AQ599" s="29"/>
      <c r="AW599" s="115"/>
      <c r="AX599" s="115"/>
      <c r="AY599" s="115"/>
      <c r="AZ599" s="115"/>
      <c r="BA599" s="25">
        <v>45669</v>
      </c>
      <c r="BB599" s="13" t="s">
        <v>147</v>
      </c>
      <c r="BG599" s="116"/>
      <c r="BH599" s="123"/>
      <c r="BI599" s="123"/>
      <c r="BJ599" s="123"/>
      <c r="BO599" s="115"/>
      <c r="BP599" s="115"/>
      <c r="BQ599" s="115"/>
      <c r="BR599" s="115"/>
      <c r="BS599" s="115"/>
      <c r="BT599" s="115"/>
      <c r="BU599" s="115"/>
      <c r="BV599" s="115"/>
      <c r="BW599" s="115"/>
      <c r="BX599" s="115"/>
      <c r="BY599" s="25"/>
      <c r="BZ599" s="13"/>
      <c r="CC599" s="114"/>
    </row>
    <row r="600" spans="1:81" ht="20.100000000000001" customHeight="1" x14ac:dyDescent="0.4">
      <c r="A600" s="117"/>
      <c r="B600" s="123"/>
      <c r="C600" s="123"/>
      <c r="D600" s="123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AN600" s="115"/>
      <c r="AO600" s="115"/>
      <c r="AP600" s="29"/>
      <c r="AQ600" s="29"/>
      <c r="AW600" s="115"/>
      <c r="AX600" s="115"/>
      <c r="AY600" s="115"/>
      <c r="AZ600" s="115"/>
      <c r="BA600" s="25"/>
      <c r="BB600" s="13"/>
      <c r="BG600" s="116"/>
      <c r="BH600" s="123"/>
      <c r="BI600" s="123"/>
      <c r="BJ600" s="123"/>
      <c r="BO600" s="115"/>
      <c r="BP600" s="115"/>
      <c r="BQ600" s="115"/>
      <c r="BR600" s="115"/>
      <c r="BS600" s="115"/>
      <c r="BT600" s="115"/>
      <c r="BU600" s="115"/>
      <c r="BV600" s="115"/>
      <c r="BW600" s="115"/>
      <c r="BX600" s="115"/>
      <c r="BY600" s="25"/>
      <c r="BZ600" s="13"/>
      <c r="CC600" s="114"/>
    </row>
    <row r="601" spans="1:81" ht="20.100000000000001" customHeight="1" x14ac:dyDescent="0.4">
      <c r="A601" s="117"/>
      <c r="B601" s="123"/>
      <c r="C601" s="123"/>
      <c r="D601" s="123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AG601" s="115"/>
      <c r="AH601" s="115"/>
      <c r="AI601" s="115"/>
      <c r="AJ601" s="115"/>
      <c r="AK601" s="115"/>
      <c r="AL601" s="115"/>
      <c r="AM601" s="115"/>
      <c r="AN601" s="115"/>
      <c r="AO601" s="115"/>
      <c r="AP601" s="127"/>
      <c r="AQ601" s="29"/>
      <c r="AW601" s="115"/>
      <c r="AX601" s="115"/>
      <c r="AY601" s="115"/>
      <c r="AZ601" s="115"/>
      <c r="BA601" s="25"/>
      <c r="BB601" s="13"/>
      <c r="BG601" s="116"/>
      <c r="BH601" s="123"/>
      <c r="BI601" s="123"/>
      <c r="BJ601" s="123"/>
      <c r="BO601" s="115"/>
      <c r="BP601" s="115"/>
      <c r="BQ601" s="115"/>
      <c r="BR601" s="115"/>
      <c r="BS601" s="115"/>
      <c r="BT601" s="115"/>
      <c r="BU601" s="115"/>
      <c r="BV601" s="115"/>
      <c r="BW601" s="115"/>
      <c r="BX601" s="115"/>
      <c r="BY601" s="25"/>
      <c r="BZ601" s="13"/>
      <c r="CC601" s="114"/>
    </row>
    <row r="602" spans="1:81" ht="20.100000000000001" customHeight="1" x14ac:dyDescent="0.4">
      <c r="A602" s="117"/>
      <c r="B602" s="123"/>
      <c r="C602" s="123"/>
      <c r="D602" s="123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AP602" s="127"/>
      <c r="AQ602" s="29"/>
      <c r="AW602" s="115"/>
      <c r="AX602" s="115"/>
      <c r="AY602" s="115"/>
      <c r="AZ602" s="115"/>
      <c r="BA602" s="25"/>
      <c r="BB602" s="13"/>
      <c r="BG602" s="116"/>
      <c r="BH602" s="123"/>
      <c r="BI602" s="123"/>
      <c r="BJ602" s="123"/>
      <c r="BO602" s="115"/>
      <c r="BP602" s="115"/>
      <c r="BQ602" s="115"/>
      <c r="BR602" s="115"/>
      <c r="BS602" s="115"/>
      <c r="BT602" s="115"/>
      <c r="BU602" s="115"/>
      <c r="BV602" s="115"/>
      <c r="BW602" s="115"/>
      <c r="BX602" s="115"/>
      <c r="BY602" s="25"/>
      <c r="BZ602" s="13"/>
      <c r="CC602" s="114"/>
    </row>
    <row r="603" spans="1:81" ht="20.100000000000001" customHeight="1" x14ac:dyDescent="0.4">
      <c r="A603" s="117"/>
      <c r="B603" s="123"/>
      <c r="C603" s="123"/>
      <c r="D603" s="123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AN603" s="115"/>
      <c r="AO603" s="115"/>
      <c r="AP603" s="29"/>
      <c r="AQ603" s="29"/>
      <c r="AW603" s="115"/>
      <c r="AX603" s="115"/>
      <c r="AY603" s="115"/>
      <c r="AZ603" s="115"/>
      <c r="BA603" s="25"/>
      <c r="BB603" s="13"/>
      <c r="BG603" s="116"/>
      <c r="BH603" s="123"/>
      <c r="BI603" s="123"/>
      <c r="BJ603" s="123"/>
      <c r="BO603" s="115"/>
      <c r="BP603" s="115"/>
      <c r="BQ603" s="115"/>
      <c r="BR603" s="115"/>
      <c r="BS603" s="115"/>
      <c r="BT603" s="115"/>
      <c r="BU603" s="115"/>
      <c r="BV603" s="115"/>
      <c r="BW603" s="115"/>
      <c r="BX603" s="115"/>
      <c r="BY603" s="25"/>
      <c r="BZ603" s="13"/>
      <c r="CC603" s="114"/>
    </row>
    <row r="604" spans="1:81" ht="20.100000000000001" customHeight="1" x14ac:dyDescent="0.4">
      <c r="A604" s="117"/>
      <c r="B604" s="123"/>
      <c r="C604" s="123"/>
      <c r="D604" s="123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AB604" s="115"/>
      <c r="AC604" s="115"/>
      <c r="AD604" s="115"/>
      <c r="AE604" s="115"/>
      <c r="AF604" s="115"/>
      <c r="AG604" s="115"/>
      <c r="AH604" s="115"/>
      <c r="AI604" s="115"/>
      <c r="AJ604" s="115"/>
      <c r="AK604" s="115"/>
      <c r="AL604" s="115"/>
      <c r="AM604" s="115"/>
      <c r="AN604" s="115"/>
      <c r="AO604" s="115"/>
      <c r="AP604" s="127"/>
      <c r="AQ604" s="29"/>
      <c r="AW604" s="115"/>
      <c r="AX604" s="115"/>
      <c r="AY604" s="115"/>
      <c r="AZ604" s="115"/>
      <c r="BA604" s="25"/>
      <c r="BB604" s="13"/>
      <c r="BG604" s="116"/>
      <c r="BH604" s="123"/>
      <c r="BI604" s="123"/>
      <c r="BJ604" s="123"/>
      <c r="BO604" s="115"/>
      <c r="BP604" s="115"/>
      <c r="BQ604" s="115"/>
      <c r="BR604" s="115"/>
      <c r="BS604" s="115"/>
      <c r="BT604" s="115"/>
      <c r="BU604" s="115"/>
      <c r="BV604" s="115"/>
      <c r="BW604" s="115"/>
      <c r="BX604" s="115"/>
      <c r="BY604" s="25"/>
      <c r="BZ604" s="13"/>
      <c r="CC604" s="114"/>
    </row>
    <row r="605" spans="1:81" ht="20.100000000000001" customHeight="1" x14ac:dyDescent="0.4">
      <c r="A605" s="117"/>
      <c r="B605" s="123"/>
      <c r="C605" s="123"/>
      <c r="D605" s="123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AB605" s="115"/>
      <c r="AC605" s="115"/>
      <c r="AD605" s="115"/>
      <c r="AE605" s="115"/>
      <c r="AF605" s="115"/>
      <c r="AG605" s="115"/>
      <c r="AH605" s="115"/>
      <c r="AI605" s="115"/>
      <c r="AJ605" s="115"/>
      <c r="AK605" s="115"/>
      <c r="AL605" s="115"/>
      <c r="AM605" s="115"/>
      <c r="AN605" s="115"/>
      <c r="AO605" s="115"/>
      <c r="AP605" s="127"/>
      <c r="AQ605" s="29"/>
      <c r="AW605" s="115"/>
      <c r="AX605" s="115"/>
      <c r="AY605" s="115"/>
      <c r="AZ605" s="115"/>
      <c r="BA605" s="25"/>
      <c r="BB605" s="13"/>
      <c r="BG605" s="116"/>
      <c r="BH605" s="123"/>
      <c r="BI605" s="123"/>
      <c r="BJ605" s="123"/>
      <c r="BO605" s="115"/>
      <c r="BP605" s="115"/>
      <c r="BQ605" s="115"/>
      <c r="BR605" s="115"/>
      <c r="BS605" s="115"/>
      <c r="BT605" s="115"/>
      <c r="BU605" s="115"/>
      <c r="BV605" s="115"/>
      <c r="BW605" s="115"/>
      <c r="BX605" s="115"/>
      <c r="BY605" s="25"/>
      <c r="BZ605" s="13"/>
      <c r="CC605" s="114"/>
    </row>
    <row r="606" spans="1:81" ht="20.100000000000001" customHeight="1" x14ac:dyDescent="0.4">
      <c r="A606" s="117"/>
      <c r="B606" s="123"/>
      <c r="C606" s="123"/>
      <c r="D606" s="123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AB606" s="115"/>
      <c r="AC606" s="115"/>
      <c r="AD606" s="115"/>
      <c r="AE606" s="115"/>
      <c r="AF606" s="115"/>
      <c r="AG606" s="115"/>
      <c r="AH606" s="115"/>
      <c r="AI606" s="115"/>
      <c r="AJ606" s="115"/>
      <c r="AK606" s="115"/>
      <c r="AL606" s="115"/>
      <c r="AM606" s="115"/>
      <c r="AN606" s="115"/>
      <c r="AO606" s="115"/>
      <c r="AP606" s="127"/>
      <c r="AQ606" s="29"/>
      <c r="AW606" s="115"/>
      <c r="AX606" s="115"/>
      <c r="AY606" s="115"/>
      <c r="AZ606" s="115"/>
      <c r="BA606" s="25"/>
      <c r="BB606" s="13"/>
      <c r="BG606" s="116"/>
      <c r="BH606" s="123"/>
      <c r="BI606" s="123"/>
      <c r="BJ606" s="123"/>
      <c r="BO606" s="115"/>
      <c r="BP606" s="115"/>
      <c r="BQ606" s="115"/>
      <c r="BR606" s="115"/>
      <c r="BS606" s="115"/>
      <c r="BT606" s="115"/>
      <c r="BU606" s="115"/>
      <c r="BV606" s="115"/>
      <c r="BW606" s="115"/>
      <c r="BX606" s="115"/>
      <c r="BY606" s="25"/>
      <c r="BZ606" s="13"/>
      <c r="CC606" s="114"/>
    </row>
    <row r="607" spans="1:81" ht="20.100000000000001" customHeight="1" x14ac:dyDescent="0.4">
      <c r="A607" s="117"/>
      <c r="B607" s="123"/>
      <c r="C607" s="123"/>
      <c r="D607" s="123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  <c r="AK607" s="115"/>
      <c r="AL607" s="115"/>
      <c r="AM607" s="115"/>
      <c r="AN607" s="115"/>
      <c r="AO607" s="115"/>
      <c r="AP607" s="127"/>
      <c r="AQ607" s="29"/>
      <c r="AW607" s="115"/>
      <c r="AX607" s="115"/>
      <c r="AY607" s="115"/>
      <c r="AZ607" s="115"/>
      <c r="BA607" s="25"/>
      <c r="BB607" s="13"/>
      <c r="BG607" s="116"/>
      <c r="BH607" s="123"/>
      <c r="BI607" s="123"/>
      <c r="BJ607" s="123"/>
      <c r="BO607" s="115"/>
      <c r="BP607" s="115"/>
      <c r="BQ607" s="115"/>
      <c r="BR607" s="115"/>
      <c r="BS607" s="115"/>
      <c r="BT607" s="115"/>
      <c r="BU607" s="115"/>
      <c r="BV607" s="115"/>
      <c r="BW607" s="115"/>
      <c r="BX607" s="115"/>
      <c r="BY607" s="25"/>
      <c r="BZ607" s="13"/>
      <c r="CC607" s="114"/>
    </row>
    <row r="608" spans="1:81" ht="20.100000000000001" customHeight="1" x14ac:dyDescent="0.4">
      <c r="A608" s="117"/>
      <c r="B608" s="123"/>
      <c r="C608" s="123"/>
      <c r="D608" s="123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  <c r="AK608" s="115"/>
      <c r="AL608" s="115"/>
      <c r="AM608" s="115"/>
      <c r="AN608" s="115"/>
      <c r="AO608" s="115"/>
      <c r="AP608" s="127"/>
      <c r="AQ608" s="29"/>
      <c r="AW608" s="115"/>
      <c r="AX608" s="115"/>
      <c r="AY608" s="115"/>
      <c r="AZ608" s="115"/>
      <c r="BA608" s="25"/>
      <c r="BB608" s="13"/>
      <c r="BG608" s="116"/>
      <c r="BH608" s="123"/>
      <c r="BI608" s="123"/>
      <c r="BJ608" s="123"/>
      <c r="BO608" s="115"/>
      <c r="BP608" s="115"/>
      <c r="BQ608" s="115"/>
      <c r="BR608" s="115"/>
      <c r="BS608" s="115"/>
      <c r="BT608" s="115"/>
      <c r="BU608" s="115"/>
      <c r="BV608" s="115"/>
      <c r="BW608" s="115"/>
      <c r="BX608" s="115"/>
      <c r="BY608" s="25"/>
      <c r="BZ608" s="13"/>
      <c r="CC608" s="114"/>
    </row>
    <row r="609" spans="1:81" ht="20.100000000000001" customHeight="1" x14ac:dyDescent="0.4">
      <c r="A609" s="117"/>
      <c r="B609" s="123"/>
      <c r="C609" s="123"/>
      <c r="D609" s="123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  <c r="AK609" s="115"/>
      <c r="AL609" s="115"/>
      <c r="AM609" s="115"/>
      <c r="AN609" s="115"/>
      <c r="AO609" s="115"/>
      <c r="AP609" s="29"/>
      <c r="AQ609" s="29"/>
      <c r="AW609" s="115"/>
      <c r="AX609" s="115"/>
      <c r="AY609" s="115"/>
      <c r="AZ609" s="115"/>
      <c r="BA609" s="25"/>
      <c r="BB609" s="13"/>
      <c r="BG609" s="116"/>
      <c r="BH609" s="123"/>
      <c r="BI609" s="123"/>
      <c r="BJ609" s="123"/>
      <c r="BO609" s="115"/>
      <c r="BP609" s="115"/>
      <c r="BQ609" s="115"/>
      <c r="BR609" s="115"/>
      <c r="BS609" s="115"/>
      <c r="BT609" s="115"/>
      <c r="BU609" s="115"/>
      <c r="BV609" s="115"/>
      <c r="BW609" s="115"/>
      <c r="BX609" s="115"/>
      <c r="BY609" s="25"/>
      <c r="BZ609" s="13"/>
      <c r="CC609" s="114"/>
    </row>
    <row r="610" spans="1:81" ht="20.100000000000001" customHeight="1" x14ac:dyDescent="0.4">
      <c r="A610" s="117"/>
      <c r="B610" s="123"/>
      <c r="C610" s="123"/>
      <c r="D610" s="123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  <c r="AK610" s="115"/>
      <c r="AL610" s="115"/>
      <c r="AM610" s="115"/>
      <c r="AN610" s="115"/>
      <c r="AO610" s="115"/>
      <c r="AP610" s="127"/>
      <c r="AQ610" s="29"/>
      <c r="AW610" s="115"/>
      <c r="AX610" s="115"/>
      <c r="AY610" s="115"/>
      <c r="AZ610" s="115"/>
      <c r="BA610" s="25"/>
      <c r="BB610" s="13"/>
      <c r="BG610" s="116"/>
      <c r="BH610" s="123"/>
      <c r="BI610" s="123"/>
      <c r="BJ610" s="123"/>
      <c r="BO610" s="115"/>
      <c r="BP610" s="115"/>
      <c r="BQ610" s="115"/>
      <c r="BR610" s="115"/>
      <c r="BS610" s="115"/>
      <c r="BT610" s="115"/>
      <c r="BU610" s="115"/>
      <c r="BV610" s="115"/>
      <c r="BW610" s="115"/>
      <c r="BX610" s="115"/>
      <c r="BY610" s="25"/>
      <c r="BZ610" s="13"/>
      <c r="CC610" s="114"/>
    </row>
    <row r="611" spans="1:81" ht="20.100000000000001" customHeight="1" x14ac:dyDescent="0.4">
      <c r="A611" s="117"/>
      <c r="B611" s="123"/>
      <c r="C611" s="123"/>
      <c r="D611" s="123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  <c r="AK611" s="115"/>
      <c r="AL611" s="115"/>
      <c r="AM611" s="115"/>
      <c r="AN611" s="115"/>
      <c r="AO611" s="115"/>
      <c r="AP611" s="127"/>
      <c r="AQ611" s="29"/>
      <c r="AW611" s="115"/>
      <c r="AX611" s="115"/>
      <c r="AY611" s="115"/>
      <c r="AZ611" s="115"/>
      <c r="BA611" s="25"/>
      <c r="BB611" s="13"/>
      <c r="BG611" s="116"/>
      <c r="BH611" s="123"/>
      <c r="BI611" s="123"/>
      <c r="BJ611" s="123"/>
      <c r="BO611" s="115"/>
      <c r="BP611" s="115"/>
      <c r="BQ611" s="115"/>
      <c r="BR611" s="115"/>
      <c r="BS611" s="115"/>
      <c r="BT611" s="115"/>
      <c r="BU611" s="115"/>
      <c r="BV611" s="115"/>
      <c r="BW611" s="115"/>
      <c r="BX611" s="115"/>
      <c r="BY611" s="25"/>
      <c r="BZ611" s="13"/>
      <c r="CC611" s="114"/>
    </row>
    <row r="612" spans="1:81" ht="20.100000000000001" customHeight="1" x14ac:dyDescent="0.4">
      <c r="A612" s="117"/>
      <c r="B612" s="123"/>
      <c r="C612" s="123"/>
      <c r="D612" s="123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  <c r="AK612" s="115"/>
      <c r="AL612" s="115"/>
      <c r="AM612" s="115"/>
      <c r="AN612" s="115"/>
      <c r="AO612" s="115"/>
      <c r="AP612" s="127"/>
      <c r="AQ612" s="29"/>
      <c r="AW612" s="115"/>
      <c r="AX612" s="115"/>
      <c r="AY612" s="115"/>
      <c r="AZ612" s="115"/>
      <c r="BA612" s="25"/>
      <c r="BB612" s="13"/>
      <c r="BG612" s="116"/>
      <c r="BH612" s="123"/>
      <c r="BI612" s="123"/>
      <c r="BJ612" s="123"/>
      <c r="BO612" s="115"/>
      <c r="BP612" s="115"/>
      <c r="BQ612" s="115"/>
      <c r="BR612" s="115"/>
      <c r="BS612" s="115"/>
      <c r="BT612" s="115"/>
      <c r="BU612" s="115"/>
      <c r="BV612" s="115"/>
      <c r="BW612" s="115"/>
      <c r="BX612" s="115"/>
      <c r="BY612" s="25"/>
      <c r="BZ612" s="13"/>
      <c r="CC612" s="114"/>
    </row>
    <row r="613" spans="1:81" ht="20.100000000000001" customHeight="1" x14ac:dyDescent="0.4">
      <c r="A613" s="117"/>
      <c r="B613" s="123"/>
      <c r="C613" s="123"/>
      <c r="D613" s="123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  <c r="AK613" s="115"/>
      <c r="AL613" s="115"/>
      <c r="AM613" s="115"/>
      <c r="AN613" s="115"/>
      <c r="AO613" s="115"/>
      <c r="AP613" s="127"/>
      <c r="AQ613" s="29"/>
      <c r="AW613" s="115"/>
      <c r="AX613" s="115"/>
      <c r="AY613" s="115"/>
      <c r="AZ613" s="115"/>
      <c r="BA613" s="25"/>
      <c r="BB613" s="13"/>
      <c r="BG613" s="116"/>
      <c r="BH613" s="123"/>
      <c r="BI613" s="123"/>
      <c r="BJ613" s="123"/>
      <c r="BO613" s="115"/>
      <c r="BP613" s="115"/>
      <c r="BQ613" s="115"/>
      <c r="BR613" s="115"/>
      <c r="BS613" s="115"/>
      <c r="BT613" s="115"/>
      <c r="BU613" s="115"/>
      <c r="BV613" s="115"/>
      <c r="BW613" s="115"/>
      <c r="BX613" s="115"/>
      <c r="BY613" s="25"/>
      <c r="BZ613" s="13"/>
      <c r="CC613" s="114"/>
    </row>
    <row r="614" spans="1:81" ht="20.100000000000001" customHeight="1" x14ac:dyDescent="0.4">
      <c r="A614" s="117"/>
      <c r="B614" s="123"/>
      <c r="C614" s="123"/>
      <c r="D614" s="123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  <c r="AK614" s="115"/>
      <c r="AL614" s="115"/>
      <c r="AM614" s="115"/>
      <c r="AN614" s="115"/>
      <c r="AO614" s="115"/>
      <c r="AP614" s="127"/>
      <c r="AQ614" s="29"/>
      <c r="AW614" s="115"/>
      <c r="AX614" s="115"/>
      <c r="AY614" s="115"/>
      <c r="AZ614" s="115"/>
      <c r="BA614" s="25"/>
      <c r="BB614" s="13"/>
      <c r="BG614" s="116"/>
      <c r="BH614" s="123"/>
      <c r="BI614" s="123"/>
      <c r="BJ614" s="123"/>
      <c r="BO614" s="115"/>
      <c r="BP614" s="115"/>
      <c r="BQ614" s="115"/>
      <c r="BR614" s="115"/>
      <c r="BS614" s="115"/>
      <c r="BT614" s="115"/>
      <c r="BU614" s="115"/>
      <c r="BV614" s="115"/>
      <c r="BW614" s="115"/>
      <c r="BX614" s="115"/>
      <c r="BY614" s="25"/>
      <c r="BZ614" s="13"/>
      <c r="CC614" s="114"/>
    </row>
    <row r="615" spans="1:81" ht="20.100000000000001" customHeight="1" x14ac:dyDescent="0.4">
      <c r="A615" s="117"/>
      <c r="B615" s="123"/>
      <c r="C615" s="123"/>
      <c r="D615" s="123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  <c r="AK615" s="115"/>
      <c r="AL615" s="115"/>
      <c r="AM615" s="115"/>
      <c r="AN615" s="115"/>
      <c r="AO615" s="115"/>
      <c r="AP615" s="127"/>
      <c r="AQ615" s="29"/>
      <c r="AW615" s="115"/>
      <c r="AX615" s="115"/>
      <c r="AY615" s="115"/>
      <c r="AZ615" s="115"/>
      <c r="BA615" s="25"/>
      <c r="BB615" s="13"/>
      <c r="BG615" s="116"/>
      <c r="BH615" s="123"/>
      <c r="BI615" s="123"/>
      <c r="BJ615" s="123"/>
      <c r="BO615" s="115"/>
      <c r="BP615" s="115"/>
      <c r="BQ615" s="115"/>
      <c r="BR615" s="115"/>
      <c r="BS615" s="115"/>
      <c r="BT615" s="115"/>
      <c r="BU615" s="115"/>
      <c r="BV615" s="115"/>
      <c r="BW615" s="115"/>
      <c r="BX615" s="115"/>
      <c r="BY615" s="25"/>
      <c r="BZ615" s="13"/>
      <c r="CC615" s="114"/>
    </row>
    <row r="616" spans="1:81" ht="20.100000000000001" customHeight="1" x14ac:dyDescent="0.4">
      <c r="A616" s="117"/>
      <c r="B616" s="123"/>
      <c r="C616" s="123"/>
      <c r="D616" s="123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  <c r="AK616" s="115"/>
      <c r="AL616" s="115"/>
      <c r="AM616" s="115"/>
      <c r="AN616" s="115"/>
      <c r="AO616" s="115"/>
      <c r="AP616" s="127"/>
      <c r="AQ616" s="29"/>
      <c r="AW616" s="115"/>
      <c r="AX616" s="115"/>
      <c r="AY616" s="115"/>
      <c r="AZ616" s="115"/>
      <c r="BA616" s="25"/>
      <c r="BB616" s="13"/>
      <c r="BG616" s="116"/>
      <c r="BH616" s="123"/>
      <c r="BI616" s="123"/>
      <c r="BJ616" s="123"/>
      <c r="BO616" s="115"/>
      <c r="BP616" s="115"/>
      <c r="BQ616" s="115"/>
      <c r="BR616" s="115"/>
      <c r="BS616" s="115"/>
      <c r="BT616" s="115"/>
      <c r="BU616" s="115"/>
      <c r="BV616" s="115"/>
      <c r="BW616" s="115"/>
      <c r="BX616" s="115"/>
      <c r="BY616" s="25"/>
      <c r="BZ616" s="13"/>
      <c r="CC616" s="114"/>
    </row>
    <row r="617" spans="1:81" ht="20.100000000000001" customHeight="1" x14ac:dyDescent="0.4">
      <c r="A617" s="117"/>
      <c r="B617" s="123"/>
      <c r="C617" s="123"/>
      <c r="D617" s="123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  <c r="AK617" s="115"/>
      <c r="AL617" s="115"/>
      <c r="AM617" s="115"/>
      <c r="AN617" s="115"/>
      <c r="AO617" s="115"/>
      <c r="AP617" s="127"/>
      <c r="AQ617" s="29"/>
      <c r="AW617" s="115"/>
      <c r="AX617" s="115"/>
      <c r="AY617" s="115"/>
      <c r="AZ617" s="115"/>
      <c r="BA617" s="25"/>
      <c r="BB617" s="13"/>
      <c r="BG617" s="116"/>
      <c r="BH617" s="123"/>
      <c r="BI617" s="123"/>
      <c r="BJ617" s="123"/>
      <c r="BO617" s="115"/>
      <c r="BP617" s="115"/>
      <c r="BQ617" s="115"/>
      <c r="BR617" s="115"/>
      <c r="BS617" s="115"/>
      <c r="BT617" s="115"/>
      <c r="BU617" s="115"/>
      <c r="BV617" s="115"/>
      <c r="BW617" s="115"/>
      <c r="BX617" s="115"/>
      <c r="BY617" s="25"/>
      <c r="BZ617" s="13"/>
      <c r="CC617" s="114"/>
    </row>
    <row r="618" spans="1:81" ht="20.100000000000001" customHeight="1" x14ac:dyDescent="0.4">
      <c r="A618" s="117"/>
      <c r="B618" s="123"/>
      <c r="C618" s="123"/>
      <c r="D618" s="123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  <c r="AK618" s="115"/>
      <c r="AL618" s="115"/>
      <c r="AM618" s="115"/>
      <c r="AN618" s="115"/>
      <c r="AO618" s="115"/>
      <c r="AP618" s="127"/>
      <c r="AQ618" s="29"/>
      <c r="AW618" s="115"/>
      <c r="AX618" s="115"/>
      <c r="AY618" s="115"/>
      <c r="AZ618" s="115"/>
      <c r="BA618" s="25"/>
      <c r="BB618" s="13"/>
      <c r="BG618" s="116"/>
      <c r="BH618" s="123"/>
      <c r="BI618" s="123"/>
      <c r="BJ618" s="123"/>
      <c r="BO618" s="115"/>
      <c r="BP618" s="115"/>
      <c r="BQ618" s="115"/>
      <c r="BR618" s="115"/>
      <c r="BS618" s="115"/>
      <c r="BT618" s="115"/>
      <c r="BU618" s="115"/>
      <c r="BV618" s="115"/>
      <c r="BW618" s="115"/>
      <c r="BX618" s="115"/>
      <c r="BY618" s="25"/>
      <c r="BZ618" s="13"/>
      <c r="CC618" s="114"/>
    </row>
    <row r="619" spans="1:81" ht="20.100000000000001" customHeight="1" x14ac:dyDescent="0.4">
      <c r="A619" s="117"/>
      <c r="B619" s="123"/>
      <c r="C619" s="123"/>
      <c r="D619" s="123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  <c r="AK619" s="115"/>
      <c r="AL619" s="115"/>
      <c r="AM619" s="115"/>
      <c r="AN619" s="115"/>
      <c r="AO619" s="115"/>
      <c r="AP619" s="127"/>
      <c r="AQ619" s="29"/>
      <c r="AW619" s="115"/>
      <c r="AX619" s="115"/>
      <c r="AY619" s="115"/>
      <c r="AZ619" s="115"/>
      <c r="BA619" s="25"/>
      <c r="BB619" s="13"/>
      <c r="BG619" s="116"/>
      <c r="BH619" s="123"/>
      <c r="BI619" s="123"/>
      <c r="BJ619" s="123"/>
      <c r="BO619" s="115"/>
      <c r="BP619" s="115"/>
      <c r="BQ619" s="115"/>
      <c r="BR619" s="115"/>
      <c r="BS619" s="115"/>
      <c r="BT619" s="115"/>
      <c r="BU619" s="115"/>
      <c r="BV619" s="115"/>
      <c r="BW619" s="115"/>
      <c r="BX619" s="115"/>
      <c r="BY619" s="25"/>
      <c r="BZ619" s="13"/>
      <c r="CC619" s="114"/>
    </row>
    <row r="620" spans="1:81" ht="20.100000000000001" customHeight="1" x14ac:dyDescent="0.4">
      <c r="A620" s="117"/>
      <c r="B620" s="123"/>
      <c r="C620" s="123"/>
      <c r="D620" s="123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  <c r="AK620" s="115"/>
      <c r="AL620" s="115"/>
      <c r="AM620" s="115"/>
      <c r="AN620" s="115"/>
      <c r="AO620" s="115"/>
      <c r="AP620" s="127"/>
      <c r="AQ620" s="29"/>
      <c r="AW620" s="115"/>
      <c r="AX620" s="115"/>
      <c r="AY620" s="115"/>
      <c r="AZ620" s="115"/>
      <c r="BA620" s="25"/>
      <c r="BB620" s="13"/>
      <c r="BG620" s="116"/>
      <c r="BH620" s="123"/>
      <c r="BI620" s="123"/>
      <c r="BJ620" s="123"/>
      <c r="BO620" s="115"/>
      <c r="BP620" s="115"/>
      <c r="BQ620" s="115"/>
      <c r="BR620" s="115"/>
      <c r="BS620" s="115"/>
      <c r="BT620" s="115"/>
      <c r="BU620" s="115"/>
      <c r="BV620" s="115"/>
      <c r="BW620" s="115"/>
      <c r="BX620" s="115"/>
      <c r="BY620" s="25"/>
      <c r="BZ620" s="13"/>
      <c r="CC620" s="114"/>
    </row>
    <row r="621" spans="1:81" ht="20.100000000000001" customHeight="1" x14ac:dyDescent="0.4">
      <c r="A621" s="117"/>
      <c r="B621" s="123"/>
      <c r="C621" s="123"/>
      <c r="D621" s="123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  <c r="AK621" s="115"/>
      <c r="AL621" s="115"/>
      <c r="AM621" s="115"/>
      <c r="AN621" s="115"/>
      <c r="AO621" s="115"/>
      <c r="AP621" s="29"/>
      <c r="AQ621" s="29"/>
      <c r="AW621" s="115"/>
      <c r="AX621" s="115"/>
      <c r="AY621" s="115"/>
      <c r="AZ621" s="115"/>
      <c r="BA621" s="25"/>
      <c r="BB621" s="13"/>
      <c r="BG621" s="116"/>
      <c r="BH621" s="123"/>
      <c r="BI621" s="123"/>
      <c r="BJ621" s="123"/>
      <c r="BO621" s="115"/>
      <c r="BP621" s="115"/>
      <c r="BQ621" s="115"/>
      <c r="BR621" s="115"/>
      <c r="BS621" s="115"/>
      <c r="BT621" s="115"/>
      <c r="BU621" s="115"/>
      <c r="BV621" s="115"/>
      <c r="BW621" s="115"/>
      <c r="BX621" s="115"/>
      <c r="BY621" s="25"/>
      <c r="BZ621" s="13"/>
      <c r="CC621" s="114"/>
    </row>
    <row r="622" spans="1:81" ht="20.100000000000001" customHeight="1" x14ac:dyDescent="0.4">
      <c r="A622" s="117"/>
      <c r="B622" s="123"/>
      <c r="C622" s="123"/>
      <c r="D622" s="123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  <c r="AK622" s="115"/>
      <c r="AL622" s="115"/>
      <c r="AM622" s="115"/>
      <c r="AN622" s="115"/>
      <c r="AO622" s="115"/>
      <c r="AP622" s="127"/>
      <c r="AQ622" s="29"/>
      <c r="AW622" s="115"/>
      <c r="AX622" s="115"/>
      <c r="AY622" s="115"/>
      <c r="AZ622" s="115"/>
      <c r="BA622" s="25"/>
      <c r="BB622" s="13"/>
      <c r="BG622" s="116"/>
      <c r="BH622" s="123"/>
      <c r="BI622" s="123"/>
      <c r="BJ622" s="123"/>
      <c r="BO622" s="115"/>
      <c r="BP622" s="115"/>
      <c r="BQ622" s="115"/>
      <c r="BR622" s="115"/>
      <c r="BS622" s="115"/>
      <c r="BT622" s="115"/>
      <c r="BU622" s="115"/>
      <c r="BV622" s="115"/>
      <c r="BW622" s="115"/>
      <c r="BX622" s="115"/>
      <c r="BY622" s="25"/>
      <c r="BZ622" s="13"/>
      <c r="CC622" s="114"/>
    </row>
    <row r="623" spans="1:81" ht="20.100000000000001" customHeight="1" x14ac:dyDescent="0.4">
      <c r="A623" s="117"/>
      <c r="B623" s="123"/>
      <c r="C623" s="123"/>
      <c r="D623" s="123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  <c r="AK623" s="115"/>
      <c r="AL623" s="115"/>
      <c r="AM623" s="115"/>
      <c r="AN623" s="115"/>
      <c r="AO623" s="115"/>
      <c r="AP623" s="127"/>
      <c r="AQ623" s="29"/>
      <c r="AW623" s="115"/>
      <c r="AX623" s="115"/>
      <c r="AY623" s="115"/>
      <c r="AZ623" s="115"/>
      <c r="BA623" s="25"/>
      <c r="BB623" s="13"/>
      <c r="BG623" s="116"/>
      <c r="BH623" s="123"/>
      <c r="BI623" s="123"/>
      <c r="BJ623" s="123"/>
      <c r="BO623" s="115"/>
      <c r="BP623" s="115"/>
      <c r="BQ623" s="115"/>
      <c r="BR623" s="115"/>
      <c r="BS623" s="115"/>
      <c r="BT623" s="115"/>
      <c r="BU623" s="115"/>
      <c r="BV623" s="115"/>
      <c r="BW623" s="115"/>
      <c r="BX623" s="115"/>
      <c r="BY623" s="25"/>
      <c r="BZ623" s="13"/>
      <c r="CC623" s="114"/>
    </row>
    <row r="624" spans="1:81" ht="20.100000000000001" customHeight="1" x14ac:dyDescent="0.4">
      <c r="A624" s="117"/>
      <c r="B624" s="123"/>
      <c r="C624" s="123"/>
      <c r="D624" s="123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  <c r="AK624" s="115"/>
      <c r="AL624" s="115"/>
      <c r="AM624" s="115"/>
      <c r="AN624" s="115"/>
      <c r="AO624" s="115"/>
      <c r="AP624" s="29"/>
      <c r="AQ624" s="29"/>
      <c r="AW624" s="115"/>
      <c r="AX624" s="115"/>
      <c r="AY624" s="115"/>
      <c r="AZ624" s="115"/>
      <c r="BA624" s="25"/>
      <c r="BB624" s="13"/>
      <c r="BG624" s="116"/>
      <c r="BH624" s="123"/>
      <c r="BI624" s="123"/>
      <c r="BJ624" s="123"/>
      <c r="BO624" s="115"/>
      <c r="BP624" s="115"/>
      <c r="BQ624" s="115"/>
      <c r="BR624" s="115"/>
      <c r="BS624" s="115"/>
      <c r="BT624" s="115"/>
      <c r="BU624" s="115"/>
      <c r="BV624" s="115"/>
      <c r="BW624" s="115"/>
      <c r="BX624" s="115"/>
      <c r="BY624" s="25"/>
      <c r="BZ624" s="13"/>
      <c r="CC624" s="114"/>
    </row>
    <row r="625" spans="1:81" ht="20.100000000000001" customHeight="1" x14ac:dyDescent="0.4">
      <c r="A625" s="117"/>
      <c r="B625" s="123"/>
      <c r="C625" s="123"/>
      <c r="D625" s="123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  <c r="AK625" s="115"/>
      <c r="AL625" s="115"/>
      <c r="AM625" s="115"/>
      <c r="AN625" s="115"/>
      <c r="AO625" s="115"/>
      <c r="AP625" s="127"/>
      <c r="AQ625" s="29"/>
      <c r="AW625" s="115"/>
      <c r="AX625" s="115"/>
      <c r="AY625" s="115"/>
      <c r="AZ625" s="115"/>
      <c r="BA625" s="25"/>
      <c r="BB625" s="13"/>
      <c r="BG625" s="116"/>
      <c r="BH625" s="123"/>
      <c r="BI625" s="123"/>
      <c r="BJ625" s="123"/>
      <c r="BO625" s="115"/>
      <c r="BP625" s="115"/>
      <c r="BQ625" s="115"/>
      <c r="BR625" s="115"/>
      <c r="BS625" s="115"/>
      <c r="BT625" s="115"/>
      <c r="BU625" s="115"/>
      <c r="BV625" s="115"/>
      <c r="BW625" s="115"/>
      <c r="BX625" s="115"/>
      <c r="BY625" s="25"/>
      <c r="BZ625" s="13"/>
      <c r="CC625" s="114"/>
    </row>
    <row r="626" spans="1:81" ht="20.100000000000001" customHeight="1" x14ac:dyDescent="0.4">
      <c r="A626" s="117"/>
      <c r="B626" s="123"/>
      <c r="C626" s="123"/>
      <c r="D626" s="123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  <c r="AK626" s="115"/>
      <c r="AL626" s="115"/>
      <c r="AM626" s="115"/>
      <c r="AN626" s="115"/>
      <c r="AO626" s="115"/>
      <c r="AP626" s="127"/>
      <c r="AQ626" s="29"/>
      <c r="AW626" s="115"/>
      <c r="AX626" s="115"/>
      <c r="AY626" s="115"/>
      <c r="AZ626" s="115"/>
      <c r="BA626" s="25"/>
      <c r="BB626" s="13"/>
      <c r="BG626" s="116"/>
      <c r="BH626" s="123"/>
      <c r="BI626" s="123"/>
      <c r="BJ626" s="123"/>
      <c r="BO626" s="115"/>
      <c r="BP626" s="115"/>
      <c r="BQ626" s="115"/>
      <c r="BR626" s="115"/>
      <c r="BS626" s="115"/>
      <c r="BT626" s="115"/>
      <c r="BU626" s="115"/>
      <c r="BV626" s="115"/>
      <c r="BW626" s="115"/>
      <c r="BX626" s="115"/>
      <c r="BY626" s="25"/>
      <c r="BZ626" s="13"/>
      <c r="CC626" s="114"/>
    </row>
    <row r="627" spans="1:81" ht="20.100000000000001" customHeight="1" x14ac:dyDescent="0.4">
      <c r="A627" s="117"/>
      <c r="B627" s="123"/>
      <c r="C627" s="123"/>
      <c r="D627" s="123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AP627" s="127"/>
      <c r="AQ627" s="29"/>
      <c r="AW627" s="115"/>
      <c r="AX627" s="115"/>
      <c r="AY627" s="115"/>
      <c r="AZ627" s="115"/>
      <c r="BA627" s="25">
        <v>45671</v>
      </c>
      <c r="BB627" s="13" t="s">
        <v>146</v>
      </c>
      <c r="BG627" s="116"/>
      <c r="BH627" s="123"/>
      <c r="BI627" s="123"/>
      <c r="BJ627" s="123"/>
      <c r="BO627" s="115"/>
      <c r="BP627" s="115"/>
      <c r="BQ627" s="115"/>
      <c r="BR627" s="115"/>
      <c r="BS627" s="115"/>
      <c r="BT627" s="115"/>
      <c r="BU627" s="115"/>
      <c r="BV627" s="115"/>
      <c r="BW627" s="115"/>
      <c r="BX627" s="115"/>
      <c r="BY627" s="25"/>
      <c r="BZ627" s="13"/>
      <c r="CC627" s="114"/>
    </row>
    <row r="628" spans="1:81" ht="20.100000000000001" customHeight="1" x14ac:dyDescent="0.4">
      <c r="A628" s="117"/>
      <c r="B628" s="123"/>
      <c r="C628" s="123"/>
      <c r="D628" s="123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AC628" s="115"/>
      <c r="AD628" s="115"/>
      <c r="AE628" s="115"/>
      <c r="AF628" s="115"/>
      <c r="AG628" s="115"/>
      <c r="AH628" s="115"/>
      <c r="AI628" s="115"/>
      <c r="AJ628" s="115"/>
      <c r="AK628" s="115"/>
      <c r="AL628" s="115"/>
      <c r="AM628" s="115"/>
      <c r="AN628" s="115"/>
      <c r="AO628" s="115"/>
      <c r="AP628" s="127"/>
      <c r="AQ628" s="29"/>
      <c r="AW628" s="115"/>
      <c r="AX628" s="115"/>
      <c r="AY628" s="115"/>
      <c r="AZ628" s="115"/>
      <c r="BA628" s="25"/>
      <c r="BB628" s="13"/>
      <c r="BG628" s="116"/>
      <c r="BH628" s="123"/>
      <c r="BI628" s="123"/>
      <c r="BJ628" s="123"/>
      <c r="BO628" s="115"/>
      <c r="BP628" s="115"/>
      <c r="BQ628" s="115"/>
      <c r="BR628" s="115"/>
      <c r="BS628" s="115"/>
      <c r="BT628" s="115"/>
      <c r="BU628" s="115"/>
      <c r="BV628" s="115"/>
      <c r="BW628" s="115"/>
      <c r="BX628" s="115"/>
      <c r="BY628" s="25"/>
      <c r="BZ628" s="13"/>
      <c r="CC628" s="114"/>
    </row>
    <row r="629" spans="1:81" ht="20.100000000000001" customHeight="1" x14ac:dyDescent="0.4">
      <c r="A629" s="117"/>
      <c r="B629" s="123"/>
      <c r="C629" s="123"/>
      <c r="D629" s="123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AC629" s="115"/>
      <c r="AD629" s="115"/>
      <c r="AE629" s="115"/>
      <c r="AF629" s="115"/>
      <c r="AG629" s="115"/>
      <c r="AH629" s="115"/>
      <c r="AI629" s="115"/>
      <c r="AJ629" s="115"/>
      <c r="AK629" s="115"/>
      <c r="AL629" s="115"/>
      <c r="AM629" s="115"/>
      <c r="AN629" s="115"/>
      <c r="AO629" s="115"/>
      <c r="AP629" s="29"/>
      <c r="AQ629" s="29"/>
      <c r="AW629" s="115"/>
      <c r="AX629" s="115"/>
      <c r="AY629" s="115"/>
      <c r="AZ629" s="115"/>
      <c r="BA629" s="25"/>
      <c r="BB629" s="13"/>
      <c r="BG629" s="116"/>
      <c r="BH629" s="123"/>
      <c r="BI629" s="123"/>
      <c r="BJ629" s="123"/>
      <c r="BO629" s="115"/>
      <c r="BP629" s="115"/>
      <c r="BQ629" s="115"/>
      <c r="BR629" s="115"/>
      <c r="BS629" s="115"/>
      <c r="BT629" s="115"/>
      <c r="BU629" s="115"/>
      <c r="BV629" s="115"/>
      <c r="BW629" s="115"/>
      <c r="BX629" s="115"/>
      <c r="BY629" s="25"/>
      <c r="BZ629" s="13"/>
      <c r="CC629" s="114"/>
    </row>
    <row r="630" spans="1:81" ht="20.100000000000001" customHeight="1" x14ac:dyDescent="0.4">
      <c r="A630" s="117"/>
      <c r="B630" s="123"/>
      <c r="C630" s="123"/>
      <c r="D630" s="123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AC630" s="115"/>
      <c r="AD630" s="115"/>
      <c r="AE630" s="115"/>
      <c r="AF630" s="115"/>
      <c r="AG630" s="115"/>
      <c r="AH630" s="115"/>
      <c r="AI630" s="115"/>
      <c r="AJ630" s="115"/>
      <c r="AK630" s="115"/>
      <c r="AL630" s="115"/>
      <c r="AM630" s="115"/>
      <c r="AN630" s="115"/>
      <c r="AO630" s="115"/>
      <c r="AP630" s="127"/>
      <c r="AQ630" s="29"/>
      <c r="AW630" s="115"/>
      <c r="AX630" s="115"/>
      <c r="AY630" s="115"/>
      <c r="AZ630" s="115"/>
      <c r="BA630" s="25"/>
      <c r="BB630" s="13"/>
      <c r="BG630" s="116"/>
      <c r="BH630" s="123"/>
      <c r="BI630" s="123"/>
      <c r="BJ630" s="123"/>
      <c r="BO630" s="115"/>
      <c r="BP630" s="115"/>
      <c r="BQ630" s="115"/>
      <c r="BR630" s="115"/>
      <c r="BS630" s="115"/>
      <c r="BT630" s="115"/>
      <c r="BU630" s="115"/>
      <c r="BV630" s="115"/>
      <c r="BW630" s="115"/>
      <c r="BX630" s="115"/>
      <c r="BY630" s="25"/>
      <c r="BZ630" s="13"/>
      <c r="CC630" s="114"/>
    </row>
    <row r="631" spans="1:81" ht="20.100000000000001" customHeight="1" x14ac:dyDescent="0.4">
      <c r="A631" s="117"/>
      <c r="B631" s="123"/>
      <c r="C631" s="123"/>
      <c r="D631" s="123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AC631" s="115"/>
      <c r="AD631" s="115"/>
      <c r="AE631" s="115"/>
      <c r="AF631" s="115"/>
      <c r="AG631" s="115"/>
      <c r="AH631" s="115"/>
      <c r="AI631" s="115"/>
      <c r="AJ631" s="115"/>
      <c r="AK631" s="115"/>
      <c r="AL631" s="115"/>
      <c r="AM631" s="115"/>
      <c r="AN631" s="115"/>
      <c r="AO631" s="115"/>
      <c r="AP631" s="29"/>
      <c r="AQ631" s="29"/>
      <c r="AW631" s="115"/>
      <c r="AX631" s="115"/>
      <c r="AY631" s="115"/>
      <c r="AZ631" s="115"/>
      <c r="BA631" s="25"/>
      <c r="BB631" s="13"/>
      <c r="BG631" s="116"/>
      <c r="BH631" s="123"/>
      <c r="BI631" s="123"/>
      <c r="BJ631" s="123"/>
      <c r="BO631" s="115"/>
      <c r="BP631" s="115"/>
      <c r="BQ631" s="115"/>
      <c r="BR631" s="115"/>
      <c r="BS631" s="115"/>
      <c r="BT631" s="115"/>
      <c r="BU631" s="115"/>
      <c r="BV631" s="115"/>
      <c r="BW631" s="115"/>
      <c r="BX631" s="115"/>
      <c r="BY631" s="25"/>
      <c r="BZ631" s="13"/>
      <c r="CC631" s="114"/>
    </row>
    <row r="632" spans="1:81" ht="20.100000000000001" customHeight="1" x14ac:dyDescent="0.4">
      <c r="A632" s="117"/>
      <c r="B632" s="123"/>
      <c r="C632" s="123"/>
      <c r="D632" s="123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AP632" s="127"/>
      <c r="AQ632" s="29"/>
      <c r="AU632" s="115"/>
      <c r="AV632" s="115"/>
      <c r="AW632" s="115"/>
      <c r="AX632" s="115"/>
      <c r="AY632" s="115"/>
      <c r="AZ632" s="115"/>
      <c r="BA632" s="25">
        <v>45671</v>
      </c>
      <c r="BB632" s="13" t="s">
        <v>148</v>
      </c>
      <c r="BG632" s="116"/>
      <c r="BH632" s="123"/>
      <c r="BI632" s="123"/>
      <c r="BJ632" s="123"/>
      <c r="BO632" s="115"/>
      <c r="BP632" s="115"/>
      <c r="BQ632" s="115"/>
      <c r="BR632" s="115"/>
      <c r="BS632" s="115"/>
      <c r="BT632" s="115"/>
      <c r="BU632" s="115"/>
      <c r="BV632" s="115"/>
      <c r="BW632" s="115"/>
      <c r="BX632" s="115"/>
      <c r="BY632" s="25"/>
      <c r="BZ632" s="13"/>
      <c r="CC632" s="114"/>
    </row>
    <row r="633" spans="1:81" ht="20.100000000000001" customHeight="1" x14ac:dyDescent="0.4">
      <c r="A633" s="117"/>
      <c r="B633" s="123"/>
      <c r="C633" s="123"/>
      <c r="D633" s="123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AN633" s="115"/>
      <c r="AO633" s="115"/>
      <c r="AP633" s="29"/>
      <c r="AQ633" s="29"/>
      <c r="AU633" s="115"/>
      <c r="AV633" s="115"/>
      <c r="AW633" s="115"/>
      <c r="AX633" s="115"/>
      <c r="AY633" s="115"/>
      <c r="AZ633" s="115"/>
      <c r="BA633" s="25"/>
      <c r="BB633" s="13"/>
      <c r="BG633" s="116"/>
      <c r="BH633" s="123"/>
      <c r="BI633" s="123"/>
      <c r="BJ633" s="123"/>
      <c r="BO633" s="115"/>
      <c r="BP633" s="115"/>
      <c r="BQ633" s="115"/>
      <c r="BR633" s="115"/>
      <c r="BS633" s="115"/>
      <c r="BT633" s="115"/>
      <c r="BU633" s="115"/>
      <c r="BV633" s="115"/>
      <c r="BW633" s="115"/>
      <c r="BX633" s="115"/>
      <c r="BY633" s="25"/>
      <c r="BZ633" s="13"/>
      <c r="CC633" s="114"/>
    </row>
    <row r="634" spans="1:81" ht="20.100000000000001" customHeight="1" x14ac:dyDescent="0.4">
      <c r="A634" s="117"/>
      <c r="B634" s="123"/>
      <c r="C634" s="123"/>
      <c r="D634" s="123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AJ634" s="115"/>
      <c r="AK634" s="115"/>
      <c r="AL634" s="115"/>
      <c r="AM634" s="115"/>
      <c r="AN634" s="115"/>
      <c r="AO634" s="115"/>
      <c r="AP634" s="127"/>
      <c r="AQ634" s="29"/>
      <c r="AU634" s="115"/>
      <c r="AV634" s="115"/>
      <c r="AW634" s="115"/>
      <c r="AX634" s="115"/>
      <c r="AY634" s="115"/>
      <c r="AZ634" s="115"/>
      <c r="BA634" s="25"/>
      <c r="BB634" s="13"/>
      <c r="BG634" s="116"/>
      <c r="BH634" s="123"/>
      <c r="BI634" s="123"/>
      <c r="BJ634" s="123"/>
      <c r="BO634" s="115"/>
      <c r="BP634" s="115"/>
      <c r="BQ634" s="115"/>
      <c r="BR634" s="115"/>
      <c r="BS634" s="115"/>
      <c r="BT634" s="115"/>
      <c r="BU634" s="115"/>
      <c r="BV634" s="115"/>
      <c r="BW634" s="115"/>
      <c r="BX634" s="115"/>
      <c r="BY634" s="25"/>
      <c r="BZ634" s="13"/>
      <c r="CC634" s="114"/>
    </row>
    <row r="635" spans="1:81" ht="20.100000000000001" customHeight="1" x14ac:dyDescent="0.4">
      <c r="A635" s="117"/>
      <c r="B635" s="123"/>
      <c r="C635" s="123"/>
      <c r="D635" s="123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AJ635" s="115"/>
      <c r="AK635" s="115"/>
      <c r="AL635" s="115"/>
      <c r="AM635" s="115"/>
      <c r="AN635" s="115"/>
      <c r="AO635" s="115"/>
      <c r="AP635" s="29"/>
      <c r="AQ635" s="29"/>
      <c r="AU635" s="115"/>
      <c r="AV635" s="115"/>
      <c r="AW635" s="115"/>
      <c r="AX635" s="115"/>
      <c r="AY635" s="115"/>
      <c r="AZ635" s="115"/>
      <c r="BA635" s="25"/>
      <c r="BB635" s="13"/>
      <c r="BG635" s="116"/>
      <c r="BH635" s="123"/>
      <c r="BI635" s="123"/>
      <c r="BJ635" s="123"/>
      <c r="BO635" s="115"/>
      <c r="BP635" s="115"/>
      <c r="BQ635" s="115"/>
      <c r="BR635" s="115"/>
      <c r="BS635" s="115"/>
      <c r="BT635" s="115"/>
      <c r="BU635" s="115"/>
      <c r="BV635" s="115"/>
      <c r="BW635" s="115"/>
      <c r="BX635" s="115"/>
      <c r="BY635" s="25"/>
      <c r="BZ635" s="13"/>
      <c r="CC635" s="114"/>
    </row>
    <row r="636" spans="1:81" ht="20.100000000000001" customHeight="1" x14ac:dyDescent="0.4">
      <c r="A636" s="117"/>
      <c r="B636" s="123"/>
      <c r="C636" s="123"/>
      <c r="D636" s="123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AJ636" s="115"/>
      <c r="AK636" s="115"/>
      <c r="AL636" s="115"/>
      <c r="AM636" s="115"/>
      <c r="AN636" s="115"/>
      <c r="AO636" s="115"/>
      <c r="AP636" s="29"/>
      <c r="AQ636" s="29"/>
      <c r="AU636" s="115"/>
      <c r="AV636" s="115"/>
      <c r="AW636" s="115"/>
      <c r="AX636" s="115"/>
      <c r="AY636" s="115"/>
      <c r="AZ636" s="115"/>
      <c r="BA636" s="25"/>
      <c r="BB636" s="13"/>
      <c r="BG636" s="116"/>
      <c r="BH636" s="123"/>
      <c r="BI636" s="123"/>
      <c r="BJ636" s="123"/>
      <c r="BO636" s="115"/>
      <c r="BP636" s="115"/>
      <c r="BQ636" s="115"/>
      <c r="BR636" s="115"/>
      <c r="BS636" s="115"/>
      <c r="BT636" s="115"/>
      <c r="BU636" s="115"/>
      <c r="BV636" s="115"/>
      <c r="BW636" s="115"/>
      <c r="BX636" s="115"/>
      <c r="BY636" s="25"/>
      <c r="BZ636" s="13"/>
      <c r="CC636" s="114"/>
    </row>
    <row r="637" spans="1:81" ht="20.100000000000001" customHeight="1" x14ac:dyDescent="0.4">
      <c r="A637" s="117"/>
      <c r="B637" s="123"/>
      <c r="C637" s="123"/>
      <c r="D637" s="123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AI637" s="115"/>
      <c r="AJ637" s="115"/>
      <c r="AK637" s="115"/>
      <c r="AL637" s="115"/>
      <c r="AM637" s="115"/>
      <c r="AN637" s="115"/>
      <c r="AO637" s="115"/>
      <c r="AP637" s="127"/>
      <c r="AQ637" s="29"/>
      <c r="AU637" s="115"/>
      <c r="AV637" s="115"/>
      <c r="AW637" s="115"/>
      <c r="AX637" s="115"/>
      <c r="AY637" s="115"/>
      <c r="AZ637" s="115"/>
      <c r="BA637" s="25"/>
      <c r="BB637" s="13"/>
      <c r="BG637" s="116"/>
      <c r="BH637" s="123"/>
      <c r="BI637" s="123"/>
      <c r="BJ637" s="123"/>
      <c r="BO637" s="115"/>
      <c r="BP637" s="115"/>
      <c r="BQ637" s="115"/>
      <c r="BR637" s="115"/>
      <c r="BS637" s="115"/>
      <c r="BT637" s="115"/>
      <c r="BU637" s="115"/>
      <c r="BV637" s="115"/>
      <c r="BW637" s="115"/>
      <c r="BX637" s="115"/>
      <c r="BY637" s="25"/>
      <c r="BZ637" s="13"/>
      <c r="CC637" s="114"/>
    </row>
    <row r="638" spans="1:81" ht="20.100000000000001" customHeight="1" x14ac:dyDescent="0.4">
      <c r="A638" s="117"/>
      <c r="B638" s="123"/>
      <c r="C638" s="123"/>
      <c r="D638" s="123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AI638" s="115"/>
      <c r="AJ638" s="115"/>
      <c r="AK638" s="115"/>
      <c r="AL638" s="115"/>
      <c r="AM638" s="115"/>
      <c r="AN638" s="115"/>
      <c r="AO638" s="115"/>
      <c r="AP638" s="127"/>
      <c r="AQ638" s="29"/>
      <c r="AU638" s="115"/>
      <c r="AV638" s="115"/>
      <c r="AW638" s="115"/>
      <c r="AX638" s="115"/>
      <c r="AY638" s="115"/>
      <c r="AZ638" s="115"/>
      <c r="BA638" s="25"/>
      <c r="BB638" s="13"/>
      <c r="BG638" s="116"/>
      <c r="BH638" s="123"/>
      <c r="BI638" s="123"/>
      <c r="BJ638" s="123"/>
      <c r="BO638" s="115"/>
      <c r="BP638" s="115"/>
      <c r="BQ638" s="115"/>
      <c r="BR638" s="115"/>
      <c r="BS638" s="115"/>
      <c r="BT638" s="115"/>
      <c r="BU638" s="115"/>
      <c r="BV638" s="115"/>
      <c r="BW638" s="115"/>
      <c r="BX638" s="115"/>
      <c r="BY638" s="25"/>
      <c r="BZ638" s="13"/>
      <c r="CC638" s="114"/>
    </row>
    <row r="639" spans="1:81" ht="20.100000000000001" customHeight="1" x14ac:dyDescent="0.4">
      <c r="A639" s="117"/>
      <c r="B639" s="123"/>
      <c r="C639" s="123"/>
      <c r="D639" s="123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AI639" s="115"/>
      <c r="AJ639" s="115"/>
      <c r="AK639" s="115"/>
      <c r="AL639" s="115"/>
      <c r="AM639" s="115"/>
      <c r="AN639" s="115"/>
      <c r="AO639" s="115"/>
      <c r="AP639" s="127"/>
      <c r="AQ639" s="29"/>
      <c r="AU639" s="115"/>
      <c r="AV639" s="115"/>
      <c r="AW639" s="115"/>
      <c r="AX639" s="115"/>
      <c r="AY639" s="115"/>
      <c r="AZ639" s="115"/>
      <c r="BA639" s="25"/>
      <c r="BB639" s="13"/>
      <c r="BG639" s="116"/>
      <c r="BH639" s="123"/>
      <c r="BI639" s="123"/>
      <c r="BJ639" s="123"/>
      <c r="BO639" s="115"/>
      <c r="BP639" s="115"/>
      <c r="BQ639" s="115"/>
      <c r="BR639" s="115"/>
      <c r="BS639" s="115"/>
      <c r="BT639" s="115"/>
      <c r="BU639" s="115"/>
      <c r="BV639" s="115"/>
      <c r="BW639" s="115"/>
      <c r="BX639" s="115"/>
      <c r="BY639" s="25"/>
      <c r="BZ639" s="13"/>
      <c r="CC639" s="114"/>
    </row>
    <row r="640" spans="1:81" ht="20.100000000000001" customHeight="1" x14ac:dyDescent="0.4">
      <c r="A640" s="117"/>
      <c r="B640" s="123"/>
      <c r="C640" s="123"/>
      <c r="D640" s="123"/>
      <c r="AP640" s="127"/>
      <c r="AQ640" s="29"/>
      <c r="AU640" s="115"/>
      <c r="AV640" s="115"/>
      <c r="AW640" s="115"/>
      <c r="AX640" s="115"/>
      <c r="AY640" s="115"/>
      <c r="AZ640" s="115"/>
      <c r="BA640" s="25"/>
      <c r="BB640" s="13"/>
      <c r="BG640" s="116"/>
      <c r="BH640" s="123"/>
      <c r="BI640" s="123"/>
      <c r="BJ640" s="123"/>
      <c r="BO640" s="115"/>
      <c r="BP640" s="115"/>
      <c r="BQ640" s="115"/>
      <c r="BR640" s="115"/>
      <c r="BS640" s="115"/>
      <c r="BT640" s="115"/>
      <c r="BU640" s="115"/>
      <c r="BV640" s="115"/>
      <c r="BW640" s="115"/>
      <c r="BX640" s="115"/>
      <c r="BY640" s="25"/>
      <c r="BZ640" s="13"/>
      <c r="CC640" s="114"/>
    </row>
    <row r="641" spans="1:81" ht="20.100000000000001" customHeight="1" x14ac:dyDescent="0.4">
      <c r="A641" s="117"/>
      <c r="B641" s="123"/>
      <c r="C641" s="123"/>
      <c r="D641" s="123"/>
      <c r="AG641" s="115"/>
      <c r="AH641" s="115"/>
      <c r="AI641" s="115"/>
      <c r="AJ641" s="115"/>
      <c r="AK641" s="115"/>
      <c r="AL641" s="115"/>
      <c r="AM641" s="115"/>
      <c r="AN641" s="115"/>
      <c r="AO641" s="115"/>
      <c r="AP641" s="127"/>
      <c r="AQ641" s="29"/>
      <c r="AU641" s="115"/>
      <c r="AV641" s="115"/>
      <c r="AW641" s="115"/>
      <c r="AX641" s="115"/>
      <c r="AY641" s="115"/>
      <c r="AZ641" s="115"/>
      <c r="BA641" s="25"/>
      <c r="BB641" s="13"/>
      <c r="BG641" s="116"/>
      <c r="BH641" s="123"/>
      <c r="BI641" s="123"/>
      <c r="BJ641" s="123"/>
      <c r="BO641" s="115"/>
      <c r="BP641" s="115"/>
      <c r="BQ641" s="115"/>
      <c r="BR641" s="115"/>
      <c r="BS641" s="115"/>
      <c r="BT641" s="115"/>
      <c r="BU641" s="115"/>
      <c r="BV641" s="115"/>
      <c r="BW641" s="115"/>
      <c r="BX641" s="115"/>
      <c r="BY641" s="25"/>
      <c r="BZ641" s="13"/>
      <c r="CC641" s="114"/>
    </row>
    <row r="642" spans="1:81" ht="20.100000000000001" customHeight="1" x14ac:dyDescent="0.4">
      <c r="A642" s="117"/>
      <c r="B642" s="123"/>
      <c r="C642" s="123"/>
      <c r="D642" s="123"/>
      <c r="AG642" s="115"/>
      <c r="AH642" s="115"/>
      <c r="AI642" s="115"/>
      <c r="AJ642" s="115"/>
      <c r="AK642" s="115"/>
      <c r="AL642" s="115"/>
      <c r="AM642" s="115"/>
      <c r="AN642" s="115"/>
      <c r="AO642" s="115"/>
      <c r="AP642" s="127"/>
      <c r="AQ642" s="29"/>
      <c r="AU642" s="115"/>
      <c r="AV642" s="115"/>
      <c r="AW642" s="115"/>
      <c r="AX642" s="115"/>
      <c r="AY642" s="115"/>
      <c r="AZ642" s="115"/>
      <c r="BA642" s="25"/>
      <c r="BB642" s="13"/>
      <c r="BG642" s="116"/>
      <c r="BH642" s="123"/>
      <c r="BI642" s="123"/>
      <c r="BJ642" s="123"/>
      <c r="BO642" s="115"/>
      <c r="BP642" s="115"/>
      <c r="BQ642" s="115"/>
      <c r="BR642" s="115"/>
      <c r="BS642" s="115"/>
      <c r="BT642" s="115"/>
      <c r="BU642" s="115"/>
      <c r="BV642" s="115"/>
      <c r="BW642" s="115"/>
      <c r="BX642" s="115"/>
      <c r="BY642" s="25"/>
      <c r="BZ642" s="13"/>
      <c r="CC642" s="114"/>
    </row>
    <row r="643" spans="1:81" ht="20.100000000000001" customHeight="1" x14ac:dyDescent="0.4">
      <c r="A643" s="117"/>
      <c r="B643" s="123"/>
      <c r="C643" s="123"/>
      <c r="D643" s="123"/>
      <c r="AG643" s="115"/>
      <c r="AH643" s="115"/>
      <c r="AI643" s="115"/>
      <c r="AJ643" s="115"/>
      <c r="AK643" s="115"/>
      <c r="AL643" s="115"/>
      <c r="AM643" s="115"/>
      <c r="AN643" s="115"/>
      <c r="AO643" s="115"/>
      <c r="AP643" s="127"/>
      <c r="AQ643" s="29"/>
      <c r="AU643" s="115"/>
      <c r="AV643" s="115"/>
      <c r="AW643" s="115"/>
      <c r="AX643" s="115"/>
      <c r="AY643" s="115"/>
      <c r="AZ643" s="115"/>
      <c r="BA643" s="25"/>
      <c r="BB643" s="13"/>
      <c r="BG643" s="116"/>
      <c r="BH643" s="123"/>
      <c r="BI643" s="123"/>
      <c r="BJ643" s="123"/>
      <c r="BO643" s="115"/>
      <c r="BP643" s="115"/>
      <c r="BQ643" s="115"/>
      <c r="BR643" s="115"/>
      <c r="BS643" s="115"/>
      <c r="BT643" s="115"/>
      <c r="BU643" s="115"/>
      <c r="BV643" s="115"/>
      <c r="BW643" s="115"/>
      <c r="BX643" s="115"/>
      <c r="BY643" s="25"/>
      <c r="BZ643" s="13"/>
      <c r="CC643" s="114"/>
    </row>
    <row r="644" spans="1:81" ht="20.100000000000001" customHeight="1" x14ac:dyDescent="0.4">
      <c r="A644" s="117"/>
      <c r="B644" s="123"/>
      <c r="C644" s="123"/>
      <c r="D644" s="123"/>
      <c r="AG644" s="115"/>
      <c r="AH644" s="115"/>
      <c r="AI644" s="115"/>
      <c r="AJ644" s="115"/>
      <c r="AK644" s="115"/>
      <c r="AL644" s="115"/>
      <c r="AM644" s="115"/>
      <c r="AN644" s="115"/>
      <c r="AO644" s="115"/>
      <c r="AP644" s="29"/>
      <c r="AQ644" s="29"/>
      <c r="AU644" s="115"/>
      <c r="AV644" s="115"/>
      <c r="AW644" s="115"/>
      <c r="AX644" s="115"/>
      <c r="AY644" s="115"/>
      <c r="AZ644" s="115"/>
      <c r="BA644" s="25"/>
      <c r="BB644" s="13"/>
      <c r="BG644" s="116"/>
      <c r="BH644" s="123"/>
      <c r="BI644" s="123"/>
      <c r="BJ644" s="123"/>
      <c r="BO644" s="115"/>
      <c r="BP644" s="115"/>
      <c r="BQ644" s="115"/>
      <c r="BR644" s="115"/>
      <c r="BS644" s="115"/>
      <c r="BT644" s="115"/>
      <c r="BU644" s="115"/>
      <c r="BV644" s="115"/>
      <c r="BW644" s="115"/>
      <c r="BX644" s="115"/>
      <c r="BY644" s="25"/>
      <c r="BZ644" s="13"/>
      <c r="CC644" s="114"/>
    </row>
    <row r="645" spans="1:81" ht="20.100000000000001" customHeight="1" x14ac:dyDescent="0.4">
      <c r="A645" s="117"/>
      <c r="B645" s="123"/>
      <c r="C645" s="123"/>
      <c r="D645" s="123"/>
      <c r="AG645" s="115"/>
      <c r="AH645" s="115"/>
      <c r="AI645" s="115"/>
      <c r="AJ645" s="115"/>
      <c r="AK645" s="115"/>
      <c r="AL645" s="115"/>
      <c r="AM645" s="115"/>
      <c r="AN645" s="115"/>
      <c r="AO645" s="115"/>
      <c r="AP645" s="127"/>
      <c r="AQ645" s="29"/>
      <c r="AU645" s="115"/>
      <c r="AV645" s="115"/>
      <c r="AW645" s="115"/>
      <c r="AX645" s="115"/>
      <c r="AY645" s="115"/>
      <c r="AZ645" s="115"/>
      <c r="BA645" s="25"/>
      <c r="BB645" s="13"/>
      <c r="BG645" s="116"/>
      <c r="BH645" s="123"/>
      <c r="BI645" s="123"/>
      <c r="BJ645" s="123"/>
      <c r="BO645" s="115"/>
      <c r="BP645" s="115"/>
      <c r="BQ645" s="115"/>
      <c r="BR645" s="115"/>
      <c r="BS645" s="115"/>
      <c r="BT645" s="115"/>
      <c r="BU645" s="115"/>
      <c r="BV645" s="115"/>
      <c r="BW645" s="115"/>
      <c r="BX645" s="115"/>
      <c r="BY645" s="25"/>
      <c r="BZ645" s="13"/>
      <c r="CC645" s="114"/>
    </row>
    <row r="646" spans="1:81" ht="20.100000000000001" customHeight="1" x14ac:dyDescent="0.4">
      <c r="A646" s="117"/>
      <c r="B646" s="123"/>
      <c r="C646" s="123"/>
      <c r="D646" s="123"/>
      <c r="AG646" s="115"/>
      <c r="AH646" s="115"/>
      <c r="AI646" s="115"/>
      <c r="AJ646" s="115"/>
      <c r="AK646" s="115"/>
      <c r="AL646" s="115"/>
      <c r="AM646" s="115"/>
      <c r="AN646" s="115"/>
      <c r="AO646" s="115"/>
      <c r="AP646" s="127"/>
      <c r="AQ646" s="29"/>
      <c r="AU646" s="115"/>
      <c r="AV646" s="115"/>
      <c r="AW646" s="115"/>
      <c r="AX646" s="115"/>
      <c r="AY646" s="115"/>
      <c r="AZ646" s="115"/>
      <c r="BA646" s="25"/>
      <c r="BB646" s="13"/>
      <c r="BG646" s="116"/>
      <c r="BH646" s="123"/>
      <c r="BI646" s="123"/>
      <c r="BJ646" s="123"/>
      <c r="BO646" s="115"/>
      <c r="BP646" s="115"/>
      <c r="BQ646" s="115"/>
      <c r="BR646" s="115"/>
      <c r="BS646" s="115"/>
      <c r="BT646" s="115"/>
      <c r="BU646" s="115"/>
      <c r="BV646" s="115"/>
      <c r="BW646" s="115"/>
      <c r="BX646" s="115"/>
      <c r="BY646" s="25"/>
      <c r="BZ646" s="13"/>
      <c r="CC646" s="114"/>
    </row>
    <row r="647" spans="1:81" ht="20.100000000000001" customHeight="1" x14ac:dyDescent="0.4">
      <c r="A647" s="117"/>
      <c r="B647" s="123"/>
      <c r="C647" s="123"/>
      <c r="D647" s="123"/>
      <c r="AP647" s="127"/>
      <c r="AQ647" s="29"/>
      <c r="AU647" s="115"/>
      <c r="AV647" s="115"/>
      <c r="AW647" s="115"/>
      <c r="AX647" s="115"/>
      <c r="AY647" s="115"/>
      <c r="AZ647" s="115"/>
      <c r="BA647" s="25"/>
      <c r="BB647" s="13"/>
      <c r="BG647" s="116"/>
      <c r="BH647" s="123"/>
      <c r="BI647" s="123"/>
      <c r="BJ647" s="123"/>
      <c r="BO647" s="115"/>
      <c r="BP647" s="115"/>
      <c r="BQ647" s="115"/>
      <c r="BR647" s="115"/>
      <c r="BS647" s="115"/>
      <c r="BT647" s="115"/>
      <c r="BU647" s="115"/>
      <c r="BV647" s="115"/>
      <c r="BW647" s="115"/>
      <c r="BX647" s="115"/>
      <c r="BY647" s="25"/>
      <c r="BZ647" s="13"/>
      <c r="CC647" s="114"/>
    </row>
    <row r="648" spans="1:81" ht="20.100000000000001" customHeight="1" x14ac:dyDescent="0.4">
      <c r="A648" s="117"/>
      <c r="B648" s="123"/>
      <c r="C648" s="123"/>
      <c r="D648" s="123"/>
      <c r="AL648" s="115"/>
      <c r="AM648" s="115"/>
      <c r="AN648" s="115"/>
      <c r="AO648" s="115"/>
      <c r="AP648" s="127"/>
      <c r="AQ648" s="29"/>
      <c r="AU648" s="115"/>
      <c r="AV648" s="115"/>
      <c r="AW648" s="115"/>
      <c r="AX648" s="115"/>
      <c r="AY648" s="115"/>
      <c r="AZ648" s="115"/>
      <c r="BA648" s="25"/>
      <c r="BB648" s="13"/>
      <c r="BG648" s="116"/>
      <c r="BH648" s="123"/>
      <c r="BI648" s="123"/>
      <c r="BJ648" s="123"/>
      <c r="BO648" s="115"/>
      <c r="BP648" s="115"/>
      <c r="BQ648" s="115"/>
      <c r="BR648" s="115"/>
      <c r="BS648" s="115"/>
      <c r="BT648" s="115"/>
      <c r="BU648" s="115"/>
      <c r="BV648" s="115"/>
      <c r="BW648" s="115"/>
      <c r="BX648" s="115"/>
      <c r="BY648" s="25"/>
      <c r="BZ648" s="13"/>
      <c r="CC648" s="114"/>
    </row>
    <row r="649" spans="1:81" ht="20.100000000000001" customHeight="1" x14ac:dyDescent="0.4">
      <c r="A649" s="117"/>
      <c r="B649" s="123"/>
      <c r="C649" s="123"/>
      <c r="D649" s="123"/>
      <c r="AF649" s="115"/>
      <c r="AG649" s="115"/>
      <c r="AH649" s="115"/>
      <c r="AI649" s="115"/>
      <c r="AJ649" s="115"/>
      <c r="AK649" s="115"/>
      <c r="AL649" s="115"/>
      <c r="AM649" s="115"/>
      <c r="AN649" s="115"/>
      <c r="AO649" s="115"/>
      <c r="AP649" s="127"/>
      <c r="AQ649" s="29"/>
      <c r="AU649" s="115"/>
      <c r="AV649" s="115"/>
      <c r="AW649" s="115"/>
      <c r="AX649" s="115"/>
      <c r="AY649" s="115"/>
      <c r="AZ649" s="115"/>
      <c r="BA649" s="25"/>
      <c r="BB649" s="13"/>
      <c r="BG649" s="116"/>
      <c r="BH649" s="123"/>
      <c r="BI649" s="123"/>
      <c r="BJ649" s="123"/>
      <c r="BO649" s="115"/>
      <c r="BP649" s="115"/>
      <c r="BQ649" s="115"/>
      <c r="BR649" s="115"/>
      <c r="BS649" s="115"/>
      <c r="BT649" s="115"/>
      <c r="BU649" s="115"/>
      <c r="BV649" s="115"/>
      <c r="BW649" s="115"/>
      <c r="BX649" s="115"/>
      <c r="BY649" s="25"/>
      <c r="BZ649" s="13"/>
      <c r="CC649" s="114"/>
    </row>
    <row r="650" spans="1:81" ht="20.100000000000001" customHeight="1" x14ac:dyDescent="0.4">
      <c r="A650" s="117"/>
      <c r="B650" s="123"/>
      <c r="C650" s="123"/>
      <c r="D650" s="123"/>
      <c r="AF650" s="115"/>
      <c r="AG650" s="115"/>
      <c r="AH650" s="115"/>
      <c r="AI650" s="115"/>
      <c r="AJ650" s="115"/>
      <c r="AK650" s="115"/>
      <c r="AL650" s="115"/>
      <c r="AM650" s="115"/>
      <c r="AN650" s="115"/>
      <c r="AO650" s="115"/>
      <c r="AP650" s="127"/>
      <c r="AQ650" s="29"/>
      <c r="AU650" s="115"/>
      <c r="AV650" s="115"/>
      <c r="AW650" s="115"/>
      <c r="AX650" s="115"/>
      <c r="AY650" s="115"/>
      <c r="AZ650" s="115"/>
      <c r="BA650" s="25"/>
      <c r="BB650" s="13"/>
      <c r="BG650" s="116"/>
      <c r="BH650" s="123"/>
      <c r="BI650" s="123"/>
      <c r="BJ650" s="123"/>
      <c r="BO650" s="115"/>
      <c r="BP650" s="115"/>
      <c r="BQ650" s="115"/>
      <c r="BR650" s="115"/>
      <c r="BS650" s="115"/>
      <c r="BT650" s="115"/>
      <c r="BU650" s="115"/>
      <c r="BV650" s="115"/>
      <c r="BW650" s="115"/>
      <c r="BX650" s="115"/>
      <c r="BY650" s="25"/>
      <c r="BZ650" s="13"/>
      <c r="CC650" s="114"/>
    </row>
    <row r="651" spans="1:81" ht="20.100000000000001" customHeight="1" x14ac:dyDescent="0.4">
      <c r="A651" s="117"/>
      <c r="B651" s="123"/>
      <c r="C651" s="123"/>
      <c r="D651" s="123"/>
      <c r="AF651" s="115"/>
      <c r="AG651" s="115"/>
      <c r="AH651" s="115"/>
      <c r="AI651" s="115"/>
      <c r="AJ651" s="115"/>
      <c r="AK651" s="115"/>
      <c r="AL651" s="115"/>
      <c r="AM651" s="115"/>
      <c r="AN651" s="115"/>
      <c r="AO651" s="115"/>
      <c r="AP651" s="127"/>
      <c r="AQ651" s="29"/>
      <c r="AU651" s="115"/>
      <c r="AV651" s="115"/>
      <c r="AW651" s="115"/>
      <c r="AX651" s="115"/>
      <c r="AY651" s="115"/>
      <c r="AZ651" s="115"/>
      <c r="BA651" s="25"/>
      <c r="BB651" s="13"/>
      <c r="BG651" s="116"/>
      <c r="BH651" s="123"/>
      <c r="BI651" s="123"/>
      <c r="BJ651" s="123"/>
      <c r="BO651" s="115"/>
      <c r="BP651" s="115"/>
      <c r="BQ651" s="115"/>
      <c r="BR651" s="115"/>
      <c r="BS651" s="115"/>
      <c r="BT651" s="115"/>
      <c r="BU651" s="115"/>
      <c r="BV651" s="115"/>
      <c r="BW651" s="115"/>
      <c r="BX651" s="115"/>
      <c r="BY651" s="25"/>
      <c r="BZ651" s="13"/>
      <c r="CC651" s="114"/>
    </row>
    <row r="652" spans="1:81" ht="20.100000000000001" customHeight="1" x14ac:dyDescent="0.4">
      <c r="A652" s="117"/>
      <c r="B652" s="123"/>
      <c r="C652" s="123"/>
      <c r="D652" s="123"/>
      <c r="AF652" s="115"/>
      <c r="AG652" s="115"/>
      <c r="AH652" s="115"/>
      <c r="AI652" s="115"/>
      <c r="AJ652" s="115"/>
      <c r="AK652" s="115"/>
      <c r="AL652" s="115"/>
      <c r="AM652" s="115"/>
      <c r="AN652" s="115"/>
      <c r="AO652" s="115"/>
      <c r="AP652" s="127"/>
      <c r="AQ652" s="29"/>
      <c r="AU652" s="115"/>
      <c r="AV652" s="115"/>
      <c r="AW652" s="115"/>
      <c r="AX652" s="115"/>
      <c r="AY652" s="115"/>
      <c r="AZ652" s="115"/>
      <c r="BA652" s="25"/>
      <c r="BB652" s="13"/>
      <c r="BG652" s="116"/>
      <c r="BH652" s="123"/>
      <c r="BI652" s="123"/>
      <c r="BJ652" s="123"/>
      <c r="BO652" s="115"/>
      <c r="BP652" s="115"/>
      <c r="BQ652" s="115"/>
      <c r="BR652" s="115"/>
      <c r="BS652" s="115"/>
      <c r="BT652" s="115"/>
      <c r="BU652" s="115"/>
      <c r="BV652" s="115"/>
      <c r="BW652" s="115"/>
      <c r="BX652" s="115"/>
      <c r="BY652" s="25"/>
      <c r="BZ652" s="13"/>
      <c r="CC652" s="114"/>
    </row>
    <row r="653" spans="1:81" ht="20.100000000000001" customHeight="1" x14ac:dyDescent="0.4">
      <c r="A653" s="117"/>
      <c r="B653" s="123"/>
      <c r="C653" s="123"/>
      <c r="D653" s="123"/>
      <c r="AP653" s="127"/>
      <c r="AQ653" s="29"/>
      <c r="AU653" s="115"/>
      <c r="AV653" s="115"/>
      <c r="AW653" s="115"/>
      <c r="AX653" s="115"/>
      <c r="AY653" s="115"/>
      <c r="AZ653" s="115"/>
      <c r="BA653" s="25"/>
      <c r="BB653" s="13"/>
      <c r="BG653" s="116"/>
      <c r="BH653" s="123"/>
      <c r="BI653" s="123"/>
      <c r="BJ653" s="123"/>
      <c r="BO653" s="115"/>
      <c r="BP653" s="115"/>
      <c r="BQ653" s="115"/>
      <c r="BR653" s="115"/>
      <c r="BS653" s="115"/>
      <c r="BT653" s="115"/>
      <c r="BU653" s="115"/>
      <c r="BV653" s="115"/>
      <c r="BW653" s="115"/>
      <c r="BX653" s="115"/>
      <c r="BY653" s="25"/>
      <c r="BZ653" s="13"/>
      <c r="CC653" s="114"/>
    </row>
    <row r="654" spans="1:81" ht="20.100000000000001" customHeight="1" x14ac:dyDescent="0.4">
      <c r="A654" s="117"/>
      <c r="B654" s="123"/>
      <c r="C654" s="123"/>
      <c r="D654" s="123"/>
      <c r="AL654" s="115"/>
      <c r="AM654" s="115"/>
      <c r="AN654" s="115"/>
      <c r="AO654" s="115"/>
      <c r="AP654" s="127"/>
      <c r="AQ654" s="29"/>
      <c r="AU654" s="115"/>
      <c r="AV654" s="115"/>
      <c r="AW654" s="115"/>
      <c r="AX654" s="115"/>
      <c r="AY654" s="115"/>
      <c r="AZ654" s="115"/>
      <c r="BA654" s="25"/>
      <c r="BB654" s="13"/>
      <c r="BG654" s="116"/>
      <c r="BH654" s="123"/>
      <c r="BI654" s="123"/>
      <c r="BJ654" s="123"/>
      <c r="BO654" s="115"/>
      <c r="BP654" s="115"/>
      <c r="BQ654" s="115"/>
      <c r="BR654" s="115"/>
      <c r="BS654" s="115"/>
      <c r="BT654" s="115"/>
      <c r="BU654" s="115"/>
      <c r="BV654" s="115"/>
      <c r="BW654" s="115"/>
      <c r="BX654" s="115"/>
      <c r="BY654" s="25"/>
      <c r="BZ654" s="13"/>
      <c r="CC654" s="114"/>
    </row>
    <row r="655" spans="1:81" ht="20.100000000000001" customHeight="1" x14ac:dyDescent="0.4">
      <c r="A655" s="117"/>
      <c r="B655" s="123"/>
      <c r="C655" s="123"/>
      <c r="D655" s="123"/>
      <c r="AL655" s="115"/>
      <c r="AM655" s="115"/>
      <c r="AN655" s="115"/>
      <c r="AO655" s="115"/>
      <c r="AP655" s="29"/>
      <c r="AQ655" s="29"/>
      <c r="AU655" s="115"/>
      <c r="AV655" s="115"/>
      <c r="AW655" s="115"/>
      <c r="AX655" s="115"/>
      <c r="AY655" s="115"/>
      <c r="AZ655" s="115"/>
      <c r="BA655" s="25"/>
      <c r="BB655" s="13"/>
      <c r="BG655" s="116"/>
      <c r="BH655" s="123"/>
      <c r="BI655" s="123"/>
      <c r="BJ655" s="123"/>
      <c r="BO655" s="115"/>
      <c r="BP655" s="115"/>
      <c r="BQ655" s="115"/>
      <c r="BR655" s="115"/>
      <c r="BS655" s="115"/>
      <c r="BT655" s="115"/>
      <c r="BU655" s="115"/>
      <c r="BV655" s="115"/>
      <c r="BW655" s="115"/>
      <c r="BX655" s="115"/>
      <c r="BY655" s="25"/>
      <c r="BZ655" s="13"/>
      <c r="CC655" s="114"/>
    </row>
    <row r="656" spans="1:81" ht="20.100000000000001" customHeight="1" x14ac:dyDescent="0.4">
      <c r="A656" s="117"/>
      <c r="B656" s="123"/>
      <c r="C656" s="123"/>
      <c r="D656" s="123"/>
      <c r="AL656" s="115"/>
      <c r="AM656" s="115"/>
      <c r="AN656" s="115"/>
      <c r="AO656" s="115"/>
      <c r="AP656" s="127"/>
      <c r="AQ656" s="29"/>
      <c r="AU656" s="115"/>
      <c r="AV656" s="115"/>
      <c r="AW656" s="115"/>
      <c r="AX656" s="115"/>
      <c r="AY656" s="115"/>
      <c r="AZ656" s="115"/>
      <c r="BA656" s="25"/>
      <c r="BB656" s="13"/>
      <c r="BG656" s="116"/>
      <c r="BH656" s="123"/>
      <c r="BI656" s="123"/>
      <c r="BJ656" s="123"/>
      <c r="BO656" s="115"/>
      <c r="BP656" s="115"/>
      <c r="BQ656" s="115"/>
      <c r="BR656" s="115"/>
      <c r="BS656" s="115"/>
      <c r="BT656" s="115"/>
      <c r="BU656" s="115"/>
      <c r="BV656" s="115"/>
      <c r="BW656" s="115"/>
      <c r="BX656" s="115"/>
      <c r="BY656" s="25"/>
      <c r="BZ656" s="13"/>
      <c r="CC656" s="114"/>
    </row>
    <row r="657" spans="1:81" ht="20.100000000000001" customHeight="1" x14ac:dyDescent="0.4">
      <c r="A657" s="117"/>
      <c r="B657" s="123"/>
      <c r="C657" s="123"/>
      <c r="D657" s="123"/>
      <c r="AL657" s="115"/>
      <c r="AM657" s="115"/>
      <c r="AN657" s="115"/>
      <c r="AO657" s="115"/>
      <c r="AP657" s="29"/>
      <c r="AQ657" s="29"/>
      <c r="AU657" s="115"/>
      <c r="AV657" s="115"/>
      <c r="AW657" s="115"/>
      <c r="AX657" s="115"/>
      <c r="AY657" s="115"/>
      <c r="AZ657" s="115"/>
      <c r="BA657" s="25"/>
      <c r="BB657" s="13"/>
      <c r="BG657" s="116"/>
      <c r="BH657" s="123"/>
      <c r="BI657" s="123"/>
      <c r="BJ657" s="123"/>
      <c r="BO657" s="115"/>
      <c r="BP657" s="115"/>
      <c r="BQ657" s="115"/>
      <c r="BR657" s="115"/>
      <c r="BS657" s="115"/>
      <c r="BT657" s="115"/>
      <c r="BU657" s="115"/>
      <c r="BV657" s="115"/>
      <c r="BW657" s="115"/>
      <c r="BX657" s="115"/>
      <c r="BY657" s="25"/>
      <c r="BZ657" s="13"/>
      <c r="CC657" s="114"/>
    </row>
    <row r="658" spans="1:81" ht="20.100000000000001" customHeight="1" x14ac:dyDescent="0.4">
      <c r="A658" s="117"/>
      <c r="B658" s="123"/>
      <c r="C658" s="123"/>
      <c r="D658" s="123"/>
      <c r="AD658" s="115"/>
      <c r="AE658" s="115"/>
      <c r="AF658" s="115"/>
      <c r="AG658" s="115"/>
      <c r="AH658" s="115"/>
      <c r="AI658" s="115"/>
      <c r="AJ658" s="115"/>
      <c r="AK658" s="115"/>
      <c r="AL658" s="115"/>
      <c r="AM658" s="115"/>
      <c r="AN658" s="115"/>
      <c r="AO658" s="115"/>
      <c r="AP658" s="127"/>
      <c r="AQ658" s="29"/>
      <c r="AU658" s="115"/>
      <c r="AV658" s="115"/>
      <c r="AW658" s="115"/>
      <c r="AX658" s="115"/>
      <c r="AY658" s="115"/>
      <c r="AZ658" s="115"/>
      <c r="BA658" s="25"/>
      <c r="BB658" s="13"/>
      <c r="BG658" s="116"/>
      <c r="BH658" s="123"/>
      <c r="BI658" s="123"/>
      <c r="BJ658" s="123"/>
      <c r="BO658" s="115"/>
      <c r="BP658" s="115"/>
      <c r="BQ658" s="115"/>
      <c r="BR658" s="115"/>
      <c r="BS658" s="115"/>
      <c r="BT658" s="115"/>
      <c r="BU658" s="115"/>
      <c r="BV658" s="115"/>
      <c r="BW658" s="115"/>
      <c r="BX658" s="115"/>
      <c r="BY658" s="25"/>
      <c r="BZ658" s="13"/>
      <c r="CC658" s="114"/>
    </row>
    <row r="659" spans="1:81" ht="20.100000000000001" customHeight="1" x14ac:dyDescent="0.4">
      <c r="A659" s="117"/>
      <c r="B659" s="123"/>
      <c r="C659" s="123"/>
      <c r="D659" s="123"/>
      <c r="AC659" s="115"/>
      <c r="AD659" s="115"/>
      <c r="AE659" s="115"/>
      <c r="AF659" s="115"/>
      <c r="AG659" s="115"/>
      <c r="AH659" s="115"/>
      <c r="AI659" s="115"/>
      <c r="AJ659" s="115"/>
      <c r="AK659" s="115"/>
      <c r="AL659" s="115"/>
      <c r="AM659" s="115"/>
      <c r="AN659" s="115"/>
      <c r="AO659" s="115"/>
      <c r="AP659" s="127"/>
      <c r="AQ659" s="29"/>
      <c r="AU659" s="115"/>
      <c r="AV659" s="115"/>
      <c r="AW659" s="115"/>
      <c r="AX659" s="115"/>
      <c r="AY659" s="115"/>
      <c r="AZ659" s="115"/>
      <c r="BA659" s="25"/>
      <c r="BB659" s="13"/>
      <c r="BG659" s="116"/>
      <c r="BH659" s="123"/>
      <c r="BI659" s="123"/>
      <c r="BJ659" s="123"/>
      <c r="BO659" s="115"/>
      <c r="BP659" s="115"/>
      <c r="BQ659" s="115"/>
      <c r="BR659" s="115"/>
      <c r="BS659" s="115"/>
      <c r="BT659" s="115"/>
      <c r="BU659" s="115"/>
      <c r="BV659" s="115"/>
      <c r="BW659" s="115"/>
      <c r="BX659" s="115"/>
      <c r="BY659" s="25"/>
      <c r="BZ659" s="13"/>
      <c r="CC659" s="114"/>
    </row>
    <row r="660" spans="1:81" ht="20.100000000000001" customHeight="1" x14ac:dyDescent="0.4">
      <c r="A660" s="117"/>
      <c r="B660" s="123"/>
      <c r="C660" s="123"/>
      <c r="D660" s="123"/>
      <c r="AC660" s="115"/>
      <c r="AD660" s="115"/>
      <c r="AE660" s="115"/>
      <c r="AF660" s="115"/>
      <c r="AG660" s="115"/>
      <c r="AH660" s="115"/>
      <c r="AI660" s="115"/>
      <c r="AJ660" s="115"/>
      <c r="AK660" s="115"/>
      <c r="AL660" s="115"/>
      <c r="AM660" s="115"/>
      <c r="AN660" s="115"/>
      <c r="AO660" s="115"/>
      <c r="AP660" s="127"/>
      <c r="AQ660" s="29"/>
      <c r="AU660" s="115"/>
      <c r="AV660" s="115"/>
      <c r="AW660" s="115"/>
      <c r="AX660" s="115"/>
      <c r="AY660" s="115"/>
      <c r="AZ660" s="115"/>
      <c r="BA660" s="25"/>
      <c r="BB660" s="13"/>
      <c r="BG660" s="116"/>
      <c r="BH660" s="123"/>
      <c r="BI660" s="123"/>
      <c r="BJ660" s="123"/>
      <c r="BO660" s="115"/>
      <c r="BP660" s="115"/>
      <c r="BQ660" s="115"/>
      <c r="BR660" s="115"/>
      <c r="BS660" s="115"/>
      <c r="BT660" s="115"/>
      <c r="BU660" s="115"/>
      <c r="BV660" s="115"/>
      <c r="BW660" s="115"/>
      <c r="BX660" s="115"/>
      <c r="BY660" s="25"/>
      <c r="BZ660" s="13"/>
      <c r="CC660" s="114"/>
    </row>
    <row r="661" spans="1:81" ht="20.100000000000001" customHeight="1" x14ac:dyDescent="0.4">
      <c r="A661" s="117"/>
      <c r="B661" s="123"/>
      <c r="C661" s="123"/>
      <c r="D661" s="123"/>
      <c r="AC661" s="115"/>
      <c r="AD661" s="115"/>
      <c r="AE661" s="115"/>
      <c r="AF661" s="115"/>
      <c r="AG661" s="115"/>
      <c r="AH661" s="115"/>
      <c r="AI661" s="115"/>
      <c r="AJ661" s="115"/>
      <c r="AK661" s="115"/>
      <c r="AL661" s="115"/>
      <c r="AM661" s="115"/>
      <c r="AN661" s="115"/>
      <c r="AO661" s="115"/>
      <c r="AP661" s="127"/>
      <c r="AQ661" s="29"/>
      <c r="AU661" s="115"/>
      <c r="AV661" s="115"/>
      <c r="AW661" s="115"/>
      <c r="AX661" s="115"/>
      <c r="AY661" s="115"/>
      <c r="AZ661" s="115"/>
      <c r="BA661" s="25"/>
      <c r="BB661" s="13"/>
      <c r="BG661" s="116"/>
      <c r="BH661" s="123"/>
      <c r="BI661" s="123"/>
      <c r="BJ661" s="123"/>
      <c r="BO661" s="115"/>
      <c r="BP661" s="115"/>
      <c r="BQ661" s="115"/>
      <c r="BR661" s="115"/>
      <c r="BS661" s="115"/>
      <c r="BT661" s="115"/>
      <c r="BU661" s="115"/>
      <c r="BV661" s="115"/>
      <c r="BW661" s="115"/>
      <c r="BX661" s="115"/>
      <c r="BY661" s="25"/>
      <c r="BZ661" s="13"/>
      <c r="CC661" s="114"/>
    </row>
    <row r="662" spans="1:81" ht="20.100000000000001" customHeight="1" x14ac:dyDescent="0.4">
      <c r="A662" s="117"/>
      <c r="B662" s="123"/>
      <c r="C662" s="123"/>
      <c r="D662" s="123"/>
      <c r="AC662" s="115"/>
      <c r="AD662" s="115"/>
      <c r="AE662" s="115"/>
      <c r="AF662" s="115"/>
      <c r="AG662" s="115"/>
      <c r="AH662" s="115"/>
      <c r="AI662" s="115"/>
      <c r="AJ662" s="115"/>
      <c r="AK662" s="115"/>
      <c r="AL662" s="115"/>
      <c r="AM662" s="115"/>
      <c r="AN662" s="115"/>
      <c r="AO662" s="115"/>
      <c r="AP662" s="29"/>
      <c r="AQ662" s="29"/>
      <c r="AU662" s="115"/>
      <c r="AV662" s="115"/>
      <c r="AW662" s="115"/>
      <c r="AX662" s="115"/>
      <c r="AY662" s="115"/>
      <c r="AZ662" s="115"/>
      <c r="BA662" s="25"/>
      <c r="BB662" s="13"/>
      <c r="BG662" s="116"/>
      <c r="BH662" s="123"/>
      <c r="BI662" s="123"/>
      <c r="BJ662" s="123"/>
      <c r="BO662" s="115"/>
      <c r="BP662" s="115"/>
      <c r="BQ662" s="115"/>
      <c r="BR662" s="115"/>
      <c r="BS662" s="115"/>
      <c r="BT662" s="115"/>
      <c r="BU662" s="115"/>
      <c r="BV662" s="115"/>
      <c r="BW662" s="115"/>
      <c r="BX662" s="115"/>
      <c r="BY662" s="25"/>
      <c r="BZ662" s="13"/>
      <c r="CC662" s="114"/>
    </row>
    <row r="663" spans="1:81" ht="20.100000000000001" customHeight="1" x14ac:dyDescent="0.4">
      <c r="A663" s="117"/>
      <c r="B663" s="123"/>
      <c r="C663" s="123"/>
      <c r="D663" s="123"/>
      <c r="AB663" s="115"/>
      <c r="AC663" s="115"/>
      <c r="AD663" s="115"/>
      <c r="AE663" s="115"/>
      <c r="AF663" s="115"/>
      <c r="AG663" s="115"/>
      <c r="AH663" s="115"/>
      <c r="AI663" s="115"/>
      <c r="AJ663" s="115"/>
      <c r="AK663" s="115"/>
      <c r="AL663" s="115"/>
      <c r="AM663" s="115"/>
      <c r="AN663" s="115"/>
      <c r="AO663" s="115"/>
      <c r="AP663" s="127"/>
      <c r="AQ663" s="29"/>
      <c r="AU663" s="115"/>
      <c r="AV663" s="115"/>
      <c r="AW663" s="115"/>
      <c r="AX663" s="115"/>
      <c r="AY663" s="115"/>
      <c r="AZ663" s="115"/>
      <c r="BA663" s="25"/>
      <c r="BB663" s="13"/>
      <c r="BG663" s="116"/>
      <c r="BH663" s="123"/>
      <c r="BI663" s="123"/>
      <c r="BJ663" s="123"/>
      <c r="BO663" s="115"/>
      <c r="BP663" s="115"/>
      <c r="BQ663" s="115"/>
      <c r="BR663" s="115"/>
      <c r="BS663" s="115"/>
      <c r="BT663" s="115"/>
      <c r="BU663" s="115"/>
      <c r="BV663" s="115"/>
      <c r="BW663" s="115"/>
      <c r="BX663" s="115"/>
      <c r="BY663" s="25"/>
      <c r="BZ663" s="13"/>
      <c r="CC663" s="114"/>
    </row>
    <row r="664" spans="1:81" ht="20.100000000000001" customHeight="1" x14ac:dyDescent="0.4">
      <c r="A664" s="117"/>
      <c r="B664" s="123"/>
      <c r="C664" s="123"/>
      <c r="D664" s="123"/>
      <c r="AB664" s="115"/>
      <c r="AC664" s="115"/>
      <c r="AD664" s="115"/>
      <c r="AE664" s="115"/>
      <c r="AF664" s="115"/>
      <c r="AG664" s="115"/>
      <c r="AH664" s="115"/>
      <c r="AI664" s="115"/>
      <c r="AJ664" s="115"/>
      <c r="AK664" s="115"/>
      <c r="AL664" s="115"/>
      <c r="AM664" s="115"/>
      <c r="AN664" s="115"/>
      <c r="AO664" s="115"/>
      <c r="AP664" s="127"/>
      <c r="AQ664" s="29"/>
      <c r="AU664" s="115"/>
      <c r="AV664" s="115"/>
      <c r="AW664" s="115"/>
      <c r="AX664" s="115"/>
      <c r="AY664" s="115"/>
      <c r="AZ664" s="115"/>
      <c r="BA664" s="25"/>
      <c r="BB664" s="13"/>
      <c r="BG664" s="116"/>
      <c r="BH664" s="123"/>
      <c r="BI664" s="123"/>
      <c r="BJ664" s="123"/>
      <c r="BO664" s="115"/>
      <c r="BP664" s="115"/>
      <c r="BQ664" s="115"/>
      <c r="BR664" s="115"/>
      <c r="BS664" s="115"/>
      <c r="BT664" s="115"/>
      <c r="BU664" s="115"/>
      <c r="BV664" s="115"/>
      <c r="BW664" s="115"/>
      <c r="BX664" s="115"/>
      <c r="BY664" s="25"/>
      <c r="BZ664" s="13"/>
      <c r="CC664" s="114"/>
    </row>
    <row r="665" spans="1:81" ht="20.100000000000001" customHeight="1" x14ac:dyDescent="0.4">
      <c r="A665" s="117"/>
      <c r="B665" s="123"/>
      <c r="C665" s="123"/>
      <c r="D665" s="123"/>
      <c r="AB665" s="115"/>
      <c r="AC665" s="115"/>
      <c r="AD665" s="115"/>
      <c r="AE665" s="115"/>
      <c r="AF665" s="115"/>
      <c r="AG665" s="115"/>
      <c r="AH665" s="115"/>
      <c r="AI665" s="115"/>
      <c r="AJ665" s="115"/>
      <c r="AK665" s="115"/>
      <c r="AL665" s="115"/>
      <c r="AM665" s="115"/>
      <c r="AN665" s="115"/>
      <c r="AO665" s="115"/>
      <c r="AP665" s="29"/>
      <c r="AQ665" s="29"/>
      <c r="AU665" s="115"/>
      <c r="AV665" s="115"/>
      <c r="AW665" s="115"/>
      <c r="AX665" s="115"/>
      <c r="AY665" s="115"/>
      <c r="AZ665" s="115"/>
      <c r="BA665" s="25"/>
      <c r="BB665" s="13"/>
      <c r="BG665" s="116"/>
      <c r="BH665" s="123"/>
      <c r="BI665" s="123"/>
      <c r="BJ665" s="123"/>
      <c r="BO665" s="115"/>
      <c r="BP665" s="115"/>
      <c r="BQ665" s="115"/>
      <c r="BR665" s="115"/>
      <c r="BS665" s="115"/>
      <c r="BT665" s="115"/>
      <c r="BU665" s="115"/>
      <c r="BV665" s="115"/>
      <c r="BW665" s="115"/>
      <c r="BX665" s="115"/>
      <c r="BY665" s="25"/>
      <c r="BZ665" s="13"/>
      <c r="CC665" s="114"/>
    </row>
    <row r="666" spans="1:81" ht="20.100000000000001" customHeight="1" x14ac:dyDescent="0.4">
      <c r="A666" s="117"/>
      <c r="B666" s="123"/>
      <c r="C666" s="123"/>
      <c r="D666" s="123"/>
      <c r="AB666" s="115"/>
      <c r="AC666" s="115"/>
      <c r="AD666" s="115"/>
      <c r="AE666" s="115"/>
      <c r="AF666" s="115"/>
      <c r="AG666" s="115"/>
      <c r="AH666" s="115"/>
      <c r="AI666" s="115"/>
      <c r="AJ666" s="115"/>
      <c r="AK666" s="115"/>
      <c r="AL666" s="115"/>
      <c r="AM666" s="115"/>
      <c r="AN666" s="115"/>
      <c r="AO666" s="115"/>
      <c r="AP666" s="127"/>
      <c r="AQ666" s="29"/>
      <c r="AU666" s="115"/>
      <c r="AV666" s="115"/>
      <c r="AW666" s="115"/>
      <c r="AX666" s="115"/>
      <c r="AY666" s="115"/>
      <c r="AZ666" s="115"/>
      <c r="BA666" s="25"/>
      <c r="BB666" s="13"/>
      <c r="BG666" s="116"/>
      <c r="BH666" s="123"/>
      <c r="BI666" s="123"/>
      <c r="BJ666" s="123"/>
      <c r="BO666" s="115"/>
      <c r="BP666" s="115"/>
      <c r="BQ666" s="115"/>
      <c r="BR666" s="115"/>
      <c r="BS666" s="115"/>
      <c r="BT666" s="115"/>
      <c r="BU666" s="115"/>
      <c r="BV666" s="115"/>
      <c r="BW666" s="115"/>
      <c r="BX666" s="115"/>
      <c r="BY666" s="25"/>
      <c r="BZ666" s="13"/>
      <c r="CC666" s="114"/>
    </row>
    <row r="667" spans="1:81" ht="20.100000000000001" customHeight="1" x14ac:dyDescent="0.4">
      <c r="A667" s="117"/>
      <c r="B667" s="123"/>
      <c r="C667" s="123"/>
      <c r="D667" s="123"/>
      <c r="AB667" s="115"/>
      <c r="AC667" s="115"/>
      <c r="AD667" s="115"/>
      <c r="AE667" s="115"/>
      <c r="AF667" s="115"/>
      <c r="AG667" s="115"/>
      <c r="AH667" s="115"/>
      <c r="AI667" s="115"/>
      <c r="AJ667" s="115"/>
      <c r="AK667" s="115"/>
      <c r="AL667" s="115"/>
      <c r="AM667" s="115"/>
      <c r="AN667" s="115"/>
      <c r="AO667" s="115"/>
      <c r="AP667" s="29"/>
      <c r="AQ667" s="29"/>
      <c r="AU667" s="115"/>
      <c r="AV667" s="115"/>
      <c r="AW667" s="115"/>
      <c r="AX667" s="115"/>
      <c r="AY667" s="115"/>
      <c r="AZ667" s="115"/>
      <c r="BA667" s="25"/>
      <c r="BB667" s="13"/>
      <c r="BG667" s="116"/>
      <c r="BH667" s="123"/>
      <c r="BI667" s="123"/>
      <c r="BJ667" s="123"/>
      <c r="BO667" s="115"/>
      <c r="BP667" s="115"/>
      <c r="BQ667" s="115"/>
      <c r="BR667" s="115"/>
      <c r="BS667" s="115"/>
      <c r="BT667" s="115"/>
      <c r="BU667" s="115"/>
      <c r="BV667" s="115"/>
      <c r="BW667" s="115"/>
      <c r="BX667" s="115"/>
      <c r="BY667" s="25"/>
      <c r="BZ667" s="13"/>
      <c r="CC667" s="114"/>
    </row>
    <row r="668" spans="1:81" ht="20.100000000000001" customHeight="1" x14ac:dyDescent="0.4">
      <c r="A668" s="117"/>
      <c r="B668" s="123"/>
      <c r="C668" s="123"/>
      <c r="D668" s="123"/>
      <c r="AB668" s="115"/>
      <c r="AC668" s="115"/>
      <c r="AD668" s="115"/>
      <c r="AE668" s="115"/>
      <c r="AF668" s="115"/>
      <c r="AG668" s="115"/>
      <c r="AH668" s="115"/>
      <c r="AI668" s="115"/>
      <c r="AJ668" s="115"/>
      <c r="AK668" s="115"/>
      <c r="AL668" s="115"/>
      <c r="AM668" s="115"/>
      <c r="AN668" s="115"/>
      <c r="AO668" s="115"/>
      <c r="AP668" s="29"/>
      <c r="AQ668" s="29"/>
      <c r="AU668" s="115"/>
      <c r="AV668" s="115"/>
      <c r="AW668" s="115"/>
      <c r="AX668" s="115"/>
      <c r="AY668" s="115"/>
      <c r="AZ668" s="115"/>
      <c r="BA668" s="25"/>
      <c r="BB668" s="13"/>
      <c r="BG668" s="116"/>
      <c r="BH668" s="123"/>
      <c r="BI668" s="123"/>
      <c r="BJ668" s="123"/>
      <c r="BO668" s="115"/>
      <c r="BP668" s="115"/>
      <c r="BQ668" s="115"/>
      <c r="BR668" s="115"/>
      <c r="BS668" s="115"/>
      <c r="BT668" s="115"/>
      <c r="BU668" s="115"/>
      <c r="BV668" s="115"/>
      <c r="BW668" s="115"/>
      <c r="BX668" s="115"/>
      <c r="BY668" s="25"/>
      <c r="BZ668" s="13"/>
      <c r="CC668" s="114"/>
    </row>
    <row r="669" spans="1:81" ht="20.100000000000001" customHeight="1" x14ac:dyDescent="0.4">
      <c r="A669" s="117"/>
      <c r="B669" s="123"/>
      <c r="C669" s="123"/>
      <c r="D669" s="123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  <c r="AK669" s="115"/>
      <c r="AL669" s="115"/>
      <c r="AM669" s="115"/>
      <c r="AN669" s="115"/>
      <c r="AO669" s="115"/>
      <c r="AP669" s="127"/>
      <c r="AQ669" s="29"/>
      <c r="AU669" s="115"/>
      <c r="AV669" s="115"/>
      <c r="AW669" s="115"/>
      <c r="AX669" s="115"/>
      <c r="AY669" s="115"/>
      <c r="AZ669" s="115"/>
      <c r="BA669" s="25"/>
      <c r="BB669" s="13"/>
      <c r="BG669" s="116"/>
      <c r="BH669" s="123"/>
      <c r="BI669" s="123"/>
      <c r="BJ669" s="123"/>
      <c r="BO669" s="115"/>
      <c r="BP669" s="115"/>
      <c r="BQ669" s="115"/>
      <c r="BR669" s="115"/>
      <c r="BS669" s="115"/>
      <c r="BT669" s="115"/>
      <c r="BU669" s="115"/>
      <c r="BV669" s="115"/>
      <c r="BW669" s="115"/>
      <c r="BX669" s="115"/>
      <c r="BY669" s="25"/>
      <c r="BZ669" s="13"/>
      <c r="CC669" s="114"/>
    </row>
    <row r="670" spans="1:81" ht="20.100000000000001" customHeight="1" x14ac:dyDescent="0.4">
      <c r="A670" s="117"/>
      <c r="B670" s="123"/>
      <c r="C670" s="123"/>
      <c r="D670" s="123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  <c r="AK670" s="115"/>
      <c r="AL670" s="115"/>
      <c r="AM670" s="115"/>
      <c r="AN670" s="115"/>
      <c r="AO670" s="115"/>
      <c r="AP670" s="29"/>
      <c r="AQ670" s="29"/>
      <c r="AU670" s="115"/>
      <c r="AV670" s="115"/>
      <c r="AW670" s="115"/>
      <c r="AX670" s="115"/>
      <c r="AY670" s="115"/>
      <c r="AZ670" s="115"/>
      <c r="BA670" s="25"/>
      <c r="BB670" s="13"/>
      <c r="BG670" s="116"/>
      <c r="BH670" s="123"/>
      <c r="BI670" s="123"/>
      <c r="BJ670" s="123"/>
      <c r="BO670" s="115"/>
      <c r="BP670" s="115"/>
      <c r="BQ670" s="115"/>
      <c r="BR670" s="115"/>
      <c r="BS670" s="115"/>
      <c r="BT670" s="115"/>
      <c r="BU670" s="115"/>
      <c r="BV670" s="115"/>
      <c r="BW670" s="115"/>
      <c r="BX670" s="115"/>
      <c r="BY670" s="25"/>
      <c r="BZ670" s="13"/>
      <c r="CC670" s="114"/>
    </row>
    <row r="671" spans="1:81" ht="20.100000000000001" customHeight="1" x14ac:dyDescent="0.4">
      <c r="A671" s="117"/>
      <c r="B671" s="123"/>
      <c r="C671" s="123"/>
      <c r="D671" s="123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  <c r="AK671" s="115"/>
      <c r="AL671" s="115"/>
      <c r="AM671" s="115"/>
      <c r="AN671" s="115"/>
      <c r="AO671" s="115"/>
      <c r="AP671" s="127"/>
      <c r="AQ671" s="29"/>
      <c r="AU671" s="115"/>
      <c r="AV671" s="115"/>
      <c r="AW671" s="115"/>
      <c r="AX671" s="115"/>
      <c r="AY671" s="115"/>
      <c r="AZ671" s="115"/>
      <c r="BA671" s="25"/>
      <c r="BB671" s="13"/>
      <c r="BG671" s="116"/>
      <c r="BH671" s="123"/>
      <c r="BI671" s="123"/>
      <c r="BJ671" s="123"/>
      <c r="BO671" s="115"/>
      <c r="BP671" s="115"/>
      <c r="BQ671" s="115"/>
      <c r="BR671" s="115"/>
      <c r="BS671" s="115"/>
      <c r="BT671" s="115"/>
      <c r="BU671" s="115"/>
      <c r="BV671" s="115"/>
      <c r="BW671" s="115"/>
      <c r="BX671" s="115"/>
      <c r="BY671" s="25"/>
      <c r="BZ671" s="13"/>
      <c r="CC671" s="114"/>
    </row>
    <row r="672" spans="1:81" ht="20.100000000000001" customHeight="1" x14ac:dyDescent="0.4">
      <c r="A672" s="117"/>
      <c r="B672" s="123"/>
      <c r="C672" s="123"/>
      <c r="D672" s="123"/>
      <c r="AP672" s="127"/>
      <c r="AQ672" s="127"/>
      <c r="AU672" s="115"/>
      <c r="AV672" s="115"/>
      <c r="AW672" s="115"/>
      <c r="AX672" s="115"/>
      <c r="AY672" s="115"/>
      <c r="AZ672" s="115"/>
      <c r="BA672" s="25">
        <v>45672</v>
      </c>
      <c r="BB672" s="13" t="s">
        <v>146</v>
      </c>
      <c r="BG672" s="116"/>
      <c r="BH672" s="123"/>
      <c r="BI672" s="123"/>
      <c r="BJ672" s="123"/>
      <c r="BO672" s="115"/>
      <c r="BP672" s="115"/>
      <c r="BQ672" s="115"/>
      <c r="BR672" s="115"/>
      <c r="BS672" s="115"/>
      <c r="BT672" s="115"/>
      <c r="BU672" s="115"/>
      <c r="BV672" s="115"/>
      <c r="BW672" s="115"/>
      <c r="BX672" s="115"/>
      <c r="BY672" s="25"/>
      <c r="BZ672" s="13"/>
      <c r="CC672" s="114"/>
    </row>
    <row r="673" spans="1:81" ht="20.100000000000001" customHeight="1" x14ac:dyDescent="0.4">
      <c r="A673" s="117"/>
      <c r="B673" s="123"/>
      <c r="C673" s="123"/>
      <c r="D673" s="123"/>
      <c r="AK673" s="115"/>
      <c r="AL673" s="115"/>
      <c r="AM673" s="115"/>
      <c r="AN673" s="115"/>
      <c r="AO673" s="115"/>
      <c r="AP673" s="29"/>
      <c r="AQ673" s="29"/>
      <c r="AU673" s="115"/>
      <c r="AV673" s="115"/>
      <c r="AW673" s="115"/>
      <c r="AX673" s="115"/>
      <c r="AY673" s="115"/>
      <c r="AZ673" s="115"/>
      <c r="BA673" s="25"/>
      <c r="BB673" s="13"/>
      <c r="BG673" s="116"/>
      <c r="BH673" s="123"/>
      <c r="BI673" s="123"/>
      <c r="BJ673" s="123"/>
      <c r="BO673" s="115"/>
      <c r="BP673" s="115"/>
      <c r="BQ673" s="115"/>
      <c r="BR673" s="115"/>
      <c r="BS673" s="115"/>
      <c r="BT673" s="115"/>
      <c r="BU673" s="115"/>
      <c r="BV673" s="115"/>
      <c r="BW673" s="115"/>
      <c r="BX673" s="115"/>
      <c r="BY673" s="25"/>
      <c r="BZ673" s="13"/>
      <c r="CC673" s="114"/>
    </row>
    <row r="674" spans="1:81" ht="20.100000000000001" customHeight="1" x14ac:dyDescent="0.4">
      <c r="A674" s="117"/>
      <c r="B674" s="123"/>
      <c r="C674" s="123"/>
      <c r="D674" s="123"/>
      <c r="AH674" s="115"/>
      <c r="AI674" s="115"/>
      <c r="AJ674" s="115"/>
      <c r="AK674" s="115"/>
      <c r="AL674" s="115"/>
      <c r="AM674" s="115"/>
      <c r="AN674" s="115"/>
      <c r="AO674" s="115"/>
      <c r="AP674" s="127"/>
      <c r="AQ674" s="29"/>
      <c r="AU674" s="115"/>
      <c r="AV674" s="115"/>
      <c r="AW674" s="115"/>
      <c r="AX674" s="115"/>
      <c r="AY674" s="115"/>
      <c r="AZ674" s="115"/>
      <c r="BA674" s="25"/>
      <c r="BB674" s="13"/>
      <c r="BG674" s="116"/>
      <c r="BH674" s="123"/>
      <c r="BI674" s="123"/>
      <c r="BJ674" s="123"/>
      <c r="BO674" s="115"/>
      <c r="BP674" s="115"/>
      <c r="BQ674" s="115"/>
      <c r="BR674" s="115"/>
      <c r="BS674" s="115"/>
      <c r="BT674" s="115"/>
      <c r="BU674" s="115"/>
      <c r="BV674" s="115"/>
      <c r="BW674" s="115"/>
      <c r="BX674" s="115"/>
      <c r="BY674" s="25"/>
      <c r="BZ674" s="13"/>
      <c r="CC674" s="114"/>
    </row>
    <row r="675" spans="1:81" ht="20.100000000000001" customHeight="1" x14ac:dyDescent="0.4">
      <c r="A675" s="117"/>
      <c r="B675" s="123"/>
      <c r="C675" s="123"/>
      <c r="D675" s="123"/>
      <c r="AH675" s="115"/>
      <c r="AI675" s="115"/>
      <c r="AJ675" s="115"/>
      <c r="AK675" s="115"/>
      <c r="AL675" s="115"/>
      <c r="AM675" s="115"/>
      <c r="AN675" s="115"/>
      <c r="AO675" s="115"/>
      <c r="AP675" s="29"/>
      <c r="AQ675" s="29"/>
      <c r="AU675" s="115"/>
      <c r="AV675" s="115"/>
      <c r="AW675" s="115"/>
      <c r="AX675" s="115"/>
      <c r="AY675" s="115"/>
      <c r="AZ675" s="115"/>
      <c r="BA675" s="25"/>
      <c r="BB675" s="13"/>
      <c r="BG675" s="116"/>
      <c r="BH675" s="123"/>
      <c r="BI675" s="123"/>
      <c r="BJ675" s="123"/>
      <c r="BO675" s="115"/>
      <c r="BP675" s="115"/>
      <c r="BQ675" s="115"/>
      <c r="BR675" s="115"/>
      <c r="BS675" s="115"/>
      <c r="BT675" s="115"/>
      <c r="BU675" s="115"/>
      <c r="BV675" s="115"/>
      <c r="BW675" s="115"/>
      <c r="BX675" s="115"/>
      <c r="BY675" s="25"/>
      <c r="BZ675" s="13"/>
      <c r="CC675" s="114"/>
    </row>
    <row r="676" spans="1:81" ht="20.100000000000001" customHeight="1" x14ac:dyDescent="0.4">
      <c r="A676" s="117"/>
      <c r="B676" s="123"/>
      <c r="C676" s="123"/>
      <c r="D676" s="123"/>
      <c r="AG676" s="115"/>
      <c r="AH676" s="115"/>
      <c r="AI676" s="115"/>
      <c r="AJ676" s="115"/>
      <c r="AK676" s="115"/>
      <c r="AL676" s="115"/>
      <c r="AM676" s="115"/>
      <c r="AN676" s="115"/>
      <c r="AO676" s="115"/>
      <c r="AP676" s="127"/>
      <c r="AQ676" s="29"/>
      <c r="AU676" s="115"/>
      <c r="AV676" s="115"/>
      <c r="AW676" s="115"/>
      <c r="AX676" s="115"/>
      <c r="AY676" s="115"/>
      <c r="AZ676" s="115"/>
      <c r="BA676" s="25"/>
      <c r="BB676" s="13"/>
      <c r="BG676" s="116"/>
      <c r="BH676" s="123"/>
      <c r="BI676" s="123"/>
      <c r="BJ676" s="123"/>
      <c r="BO676" s="115"/>
      <c r="BP676" s="115"/>
      <c r="BQ676" s="115"/>
      <c r="BR676" s="115"/>
      <c r="BS676" s="115"/>
      <c r="BT676" s="115"/>
      <c r="BU676" s="115"/>
      <c r="BV676" s="115"/>
      <c r="BW676" s="115"/>
      <c r="BX676" s="115"/>
      <c r="BY676" s="25"/>
      <c r="BZ676" s="13"/>
      <c r="CC676" s="114"/>
    </row>
    <row r="677" spans="1:81" ht="20.100000000000001" customHeight="1" x14ac:dyDescent="0.4">
      <c r="A677" s="117"/>
      <c r="B677" s="123"/>
      <c r="C677" s="123"/>
      <c r="D677" s="123"/>
      <c r="AP677" s="127"/>
      <c r="AQ677" s="29"/>
      <c r="AU677" s="115"/>
      <c r="AV677" s="115"/>
      <c r="AW677" s="115"/>
      <c r="AX677" s="115"/>
      <c r="AY677" s="115"/>
      <c r="AZ677" s="115"/>
      <c r="BA677" s="25">
        <v>45672</v>
      </c>
      <c r="BB677" s="13" t="s">
        <v>146</v>
      </c>
      <c r="BG677" s="116"/>
      <c r="BH677" s="123"/>
      <c r="BI677" s="123"/>
      <c r="BJ677" s="123"/>
      <c r="BO677" s="115"/>
      <c r="BP677" s="115"/>
      <c r="BQ677" s="115"/>
      <c r="BR677" s="115"/>
      <c r="BS677" s="115"/>
      <c r="BT677" s="115"/>
      <c r="BU677" s="115"/>
      <c r="BV677" s="115"/>
      <c r="BW677" s="115"/>
      <c r="BX677" s="115"/>
      <c r="BY677" s="25"/>
      <c r="BZ677" s="13"/>
      <c r="CC677" s="114"/>
    </row>
    <row r="678" spans="1:81" ht="20.100000000000001" customHeight="1" x14ac:dyDescent="0.4">
      <c r="A678" s="117"/>
      <c r="B678" s="123"/>
      <c r="C678" s="123"/>
      <c r="D678" s="123"/>
      <c r="AP678" s="127"/>
      <c r="AQ678" s="29"/>
      <c r="AU678" s="115"/>
      <c r="AV678" s="115"/>
      <c r="AW678" s="115"/>
      <c r="AX678" s="115"/>
      <c r="AY678" s="115"/>
      <c r="AZ678" s="115"/>
      <c r="BA678" s="25"/>
      <c r="BB678" s="13"/>
      <c r="BG678" s="116"/>
      <c r="BH678" s="123"/>
      <c r="BI678" s="123"/>
      <c r="BJ678" s="123"/>
      <c r="BO678" s="115"/>
      <c r="BP678" s="115"/>
      <c r="BQ678" s="115"/>
      <c r="BR678" s="115"/>
      <c r="BS678" s="115"/>
      <c r="BT678" s="115"/>
      <c r="BU678" s="115"/>
      <c r="BV678" s="115"/>
      <c r="BW678" s="115"/>
      <c r="BX678" s="115"/>
      <c r="BY678" s="25"/>
      <c r="BZ678" s="13"/>
      <c r="CC678" s="114"/>
    </row>
    <row r="679" spans="1:81" ht="20.100000000000001" customHeight="1" x14ac:dyDescent="0.4">
      <c r="A679" s="117"/>
      <c r="B679" s="123"/>
      <c r="C679" s="123"/>
      <c r="D679" s="123"/>
      <c r="AK679" s="115"/>
      <c r="AL679" s="115"/>
      <c r="AM679" s="115"/>
      <c r="AN679" s="115"/>
      <c r="AO679" s="115"/>
      <c r="AP679" s="29"/>
      <c r="AQ679" s="29"/>
      <c r="AU679" s="115"/>
      <c r="AV679" s="115"/>
      <c r="AW679" s="115"/>
      <c r="AX679" s="115"/>
      <c r="AY679" s="115"/>
      <c r="AZ679" s="115"/>
      <c r="BA679" s="25"/>
      <c r="BB679" s="13"/>
      <c r="BG679" s="116"/>
      <c r="BH679" s="123"/>
      <c r="BI679" s="123"/>
      <c r="BJ679" s="123"/>
      <c r="BO679" s="115"/>
      <c r="BP679" s="115"/>
      <c r="BQ679" s="115"/>
      <c r="BR679" s="115"/>
      <c r="BS679" s="115"/>
      <c r="BT679" s="115"/>
      <c r="BU679" s="115"/>
      <c r="BV679" s="115"/>
      <c r="BW679" s="115"/>
      <c r="BX679" s="115"/>
      <c r="BY679" s="25"/>
      <c r="BZ679" s="13"/>
      <c r="CC679" s="114"/>
    </row>
    <row r="680" spans="1:81" ht="20.100000000000001" customHeight="1" x14ac:dyDescent="0.4">
      <c r="A680" s="117"/>
      <c r="B680" s="123"/>
      <c r="C680" s="123"/>
      <c r="D680" s="123"/>
      <c r="AP680" s="127"/>
      <c r="AQ680" s="29"/>
      <c r="AU680" s="115"/>
      <c r="AV680" s="115"/>
      <c r="AW680" s="115"/>
      <c r="AX680" s="115"/>
      <c r="AY680" s="115"/>
      <c r="AZ680" s="115"/>
      <c r="BA680" s="25">
        <v>45672</v>
      </c>
      <c r="BB680" s="25" t="s">
        <v>147</v>
      </c>
      <c r="BG680" s="116"/>
      <c r="BH680" s="123"/>
      <c r="BI680" s="123"/>
      <c r="BJ680" s="123"/>
      <c r="BO680" s="115"/>
      <c r="BP680" s="115"/>
      <c r="BQ680" s="115"/>
      <c r="BR680" s="115"/>
      <c r="BS680" s="115"/>
      <c r="BT680" s="115"/>
      <c r="BU680" s="115"/>
      <c r="BV680" s="115"/>
      <c r="BW680" s="115"/>
      <c r="BX680" s="115"/>
      <c r="BY680" s="25"/>
      <c r="BZ680" s="13"/>
      <c r="CC680" s="114"/>
    </row>
    <row r="681" spans="1:81" ht="20.100000000000001" customHeight="1" x14ac:dyDescent="0.4">
      <c r="A681" s="117"/>
      <c r="B681" s="123"/>
      <c r="C681" s="123"/>
      <c r="D681" s="123"/>
      <c r="AP681" s="127"/>
      <c r="AQ681" s="29"/>
      <c r="AU681" s="115"/>
      <c r="AV681" s="115"/>
      <c r="AW681" s="115"/>
      <c r="AX681" s="115"/>
      <c r="AY681" s="115"/>
      <c r="AZ681" s="115"/>
      <c r="BA681" s="25"/>
      <c r="BB681" s="25"/>
      <c r="BG681" s="116"/>
      <c r="BH681" s="123"/>
      <c r="BI681" s="123"/>
      <c r="BJ681" s="123"/>
      <c r="BO681" s="115"/>
      <c r="BP681" s="115"/>
      <c r="BQ681" s="115"/>
      <c r="BR681" s="115"/>
      <c r="BS681" s="115"/>
      <c r="BT681" s="115"/>
      <c r="BU681" s="115"/>
      <c r="BV681" s="115"/>
      <c r="BW681" s="115"/>
      <c r="BX681" s="115"/>
      <c r="BY681" s="25"/>
      <c r="BZ681" s="13"/>
      <c r="CC681" s="114"/>
    </row>
    <row r="682" spans="1:81" ht="20.100000000000001" customHeight="1" x14ac:dyDescent="0.4">
      <c r="A682" s="117"/>
      <c r="B682" s="123"/>
      <c r="C682" s="123"/>
      <c r="D682" s="123"/>
      <c r="AK682" s="115"/>
      <c r="AL682" s="115"/>
      <c r="AM682" s="115"/>
      <c r="AN682" s="115"/>
      <c r="AO682" s="115"/>
      <c r="AP682" s="29"/>
      <c r="AQ682" s="29"/>
      <c r="AU682" s="115"/>
      <c r="AV682" s="115"/>
      <c r="AW682" s="115"/>
      <c r="AX682" s="115"/>
      <c r="AY682" s="115"/>
      <c r="AZ682" s="115"/>
      <c r="BA682" s="25"/>
      <c r="BB682" s="25"/>
      <c r="BG682" s="116"/>
      <c r="BH682" s="123"/>
      <c r="BI682" s="123"/>
      <c r="BJ682" s="123"/>
      <c r="BO682" s="115"/>
      <c r="BP682" s="115"/>
      <c r="BQ682" s="115"/>
      <c r="BR682" s="115"/>
      <c r="BS682" s="115"/>
      <c r="BT682" s="115"/>
      <c r="BU682" s="115"/>
      <c r="BV682" s="115"/>
      <c r="BW682" s="115"/>
      <c r="BX682" s="115"/>
      <c r="BY682" s="25"/>
      <c r="BZ682" s="13"/>
      <c r="CC682" s="114"/>
    </row>
    <row r="683" spans="1:81" ht="20.100000000000001" customHeight="1" x14ac:dyDescent="0.4">
      <c r="A683" s="117"/>
      <c r="B683" s="123"/>
      <c r="C683" s="123"/>
      <c r="D683" s="123"/>
      <c r="AK683" s="115"/>
      <c r="AL683" s="115"/>
      <c r="AM683" s="115"/>
      <c r="AN683" s="115"/>
      <c r="AO683" s="115"/>
      <c r="AP683" s="29"/>
      <c r="AQ683" s="29"/>
      <c r="AU683" s="115"/>
      <c r="AV683" s="115"/>
      <c r="AW683" s="115"/>
      <c r="AX683" s="115"/>
      <c r="AY683" s="115"/>
      <c r="AZ683" s="115"/>
      <c r="BA683" s="25"/>
      <c r="BB683" s="25"/>
      <c r="BG683" s="116"/>
      <c r="BH683" s="123"/>
      <c r="BI683" s="123"/>
      <c r="BJ683" s="123"/>
      <c r="BO683" s="115"/>
      <c r="BP683" s="115"/>
      <c r="BQ683" s="115"/>
      <c r="BR683" s="115"/>
      <c r="BS683" s="115"/>
      <c r="BT683" s="115"/>
      <c r="BU683" s="115"/>
      <c r="BV683" s="115"/>
      <c r="BW683" s="115"/>
      <c r="BX683" s="115"/>
      <c r="BY683" s="25"/>
      <c r="BZ683" s="13"/>
      <c r="CC683" s="114"/>
    </row>
    <row r="684" spans="1:81" ht="20.100000000000001" customHeight="1" x14ac:dyDescent="0.4">
      <c r="A684" s="117"/>
      <c r="B684" s="123"/>
      <c r="C684" s="123"/>
      <c r="D684" s="123"/>
      <c r="AH684" s="115"/>
      <c r="AI684" s="115"/>
      <c r="AJ684" s="115"/>
      <c r="AK684" s="115"/>
      <c r="AL684" s="115"/>
      <c r="AM684" s="115"/>
      <c r="AN684" s="115"/>
      <c r="AO684" s="115"/>
      <c r="AP684" s="127"/>
      <c r="AQ684" s="29"/>
      <c r="AU684" s="115"/>
      <c r="AV684" s="115"/>
      <c r="AW684" s="115"/>
      <c r="AX684" s="115"/>
      <c r="AY684" s="115"/>
      <c r="AZ684" s="115"/>
      <c r="BA684" s="25"/>
      <c r="BB684" s="25"/>
      <c r="BG684" s="116"/>
      <c r="BH684" s="123"/>
      <c r="BI684" s="123"/>
      <c r="BJ684" s="123"/>
      <c r="BO684" s="115"/>
      <c r="BP684" s="115"/>
      <c r="BQ684" s="115"/>
      <c r="BR684" s="115"/>
      <c r="BS684" s="115"/>
      <c r="BT684" s="115"/>
      <c r="BU684" s="115"/>
      <c r="BV684" s="115"/>
      <c r="BW684" s="115"/>
      <c r="BX684" s="115"/>
      <c r="BY684" s="25"/>
      <c r="BZ684" s="13"/>
      <c r="CC684" s="114"/>
    </row>
    <row r="685" spans="1:81" ht="20.100000000000001" customHeight="1" x14ac:dyDescent="0.4">
      <c r="A685" s="117"/>
      <c r="B685" s="123"/>
      <c r="C685" s="123"/>
      <c r="D685" s="123"/>
      <c r="AH685" s="115"/>
      <c r="AI685" s="115"/>
      <c r="AJ685" s="115"/>
      <c r="AK685" s="115"/>
      <c r="AL685" s="115"/>
      <c r="AM685" s="115"/>
      <c r="AN685" s="115"/>
      <c r="AO685" s="115"/>
      <c r="AP685" s="29"/>
      <c r="AQ685" s="29"/>
      <c r="AU685" s="115"/>
      <c r="AV685" s="115"/>
      <c r="AW685" s="115"/>
      <c r="AX685" s="115"/>
      <c r="AY685" s="115"/>
      <c r="AZ685" s="115"/>
      <c r="BA685" s="25"/>
      <c r="BB685" s="25"/>
      <c r="BG685" s="116"/>
      <c r="BH685" s="123"/>
      <c r="BI685" s="123"/>
      <c r="BJ685" s="123"/>
      <c r="BO685" s="115"/>
      <c r="BP685" s="115"/>
      <c r="BQ685" s="115"/>
      <c r="BR685" s="115"/>
      <c r="BS685" s="115"/>
      <c r="BT685" s="115"/>
      <c r="BU685" s="115"/>
      <c r="BV685" s="115"/>
      <c r="BW685" s="115"/>
      <c r="BX685" s="115"/>
      <c r="BY685" s="25"/>
      <c r="BZ685" s="13"/>
      <c r="CC685" s="114"/>
    </row>
    <row r="686" spans="1:81" ht="20.100000000000001" customHeight="1" x14ac:dyDescent="0.4">
      <c r="A686" s="117"/>
      <c r="B686" s="123"/>
      <c r="C686" s="123"/>
      <c r="D686" s="123"/>
      <c r="AG686" s="115"/>
      <c r="AH686" s="115"/>
      <c r="AI686" s="115"/>
      <c r="AJ686" s="115"/>
      <c r="AK686" s="115"/>
      <c r="AL686" s="115"/>
      <c r="AM686" s="115"/>
      <c r="AN686" s="115"/>
      <c r="AO686" s="115"/>
      <c r="AP686" s="127"/>
      <c r="AQ686" s="29"/>
      <c r="AU686" s="115"/>
      <c r="AV686" s="115"/>
      <c r="AW686" s="115"/>
      <c r="AX686" s="115"/>
      <c r="AY686" s="115"/>
      <c r="AZ686" s="115"/>
      <c r="BA686" s="25"/>
      <c r="BB686" s="25"/>
      <c r="BG686" s="116"/>
      <c r="BH686" s="123"/>
      <c r="BI686" s="123"/>
      <c r="BJ686" s="123"/>
      <c r="BO686" s="115"/>
      <c r="BP686" s="115"/>
      <c r="BQ686" s="115"/>
      <c r="BR686" s="115"/>
      <c r="BS686" s="115"/>
      <c r="BT686" s="115"/>
      <c r="BU686" s="115"/>
      <c r="BV686" s="115"/>
      <c r="BW686" s="115"/>
      <c r="BX686" s="115"/>
      <c r="BY686" s="25"/>
      <c r="BZ686" s="13"/>
      <c r="CC686" s="114"/>
    </row>
    <row r="687" spans="1:81" ht="20.100000000000001" customHeight="1" x14ac:dyDescent="0.4">
      <c r="A687" s="117"/>
      <c r="B687" s="123"/>
      <c r="C687" s="123"/>
      <c r="D687" s="123"/>
      <c r="AP687" s="127"/>
      <c r="AQ687" s="29"/>
      <c r="AU687" s="115"/>
      <c r="AV687" s="115"/>
      <c r="AW687" s="115"/>
      <c r="AX687" s="115"/>
      <c r="AY687" s="115"/>
      <c r="AZ687" s="115"/>
      <c r="BA687" s="25">
        <v>45673</v>
      </c>
      <c r="BB687" s="13" t="s">
        <v>147</v>
      </c>
      <c r="BG687" s="116"/>
      <c r="BH687" s="123"/>
      <c r="BI687" s="123"/>
      <c r="BJ687" s="123"/>
      <c r="BO687" s="115"/>
      <c r="BP687" s="115"/>
      <c r="BQ687" s="115"/>
      <c r="BR687" s="115"/>
      <c r="BS687" s="115"/>
      <c r="BT687" s="115"/>
      <c r="BU687" s="115"/>
      <c r="BV687" s="115"/>
      <c r="BW687" s="115"/>
      <c r="BX687" s="115"/>
      <c r="BY687" s="25"/>
      <c r="BZ687" s="13"/>
      <c r="CC687" s="114"/>
    </row>
    <row r="688" spans="1:81" ht="20.100000000000001" customHeight="1" x14ac:dyDescent="0.4">
      <c r="A688" s="117"/>
      <c r="B688" s="123"/>
      <c r="C688" s="123"/>
      <c r="D688" s="123"/>
      <c r="AI688" s="115"/>
      <c r="AJ688" s="115"/>
      <c r="AK688" s="115"/>
      <c r="AL688" s="115"/>
      <c r="AM688" s="115"/>
      <c r="AN688" s="115"/>
      <c r="AO688" s="115"/>
      <c r="AP688" s="127"/>
      <c r="AQ688" s="29"/>
      <c r="AU688" s="115"/>
      <c r="AV688" s="115"/>
      <c r="AW688" s="115"/>
      <c r="AX688" s="115"/>
      <c r="AY688" s="115"/>
      <c r="AZ688" s="115"/>
      <c r="BA688" s="25"/>
      <c r="BB688" s="13"/>
      <c r="BG688" s="116"/>
      <c r="BH688" s="123"/>
      <c r="BI688" s="123"/>
      <c r="BJ688" s="123"/>
      <c r="BO688" s="115"/>
      <c r="BP688" s="115"/>
      <c r="BQ688" s="115"/>
      <c r="BR688" s="115"/>
      <c r="BS688" s="115"/>
      <c r="BT688" s="115"/>
      <c r="BU688" s="115"/>
      <c r="BV688" s="115"/>
      <c r="BW688" s="115"/>
      <c r="BX688" s="115"/>
      <c r="BY688" s="25"/>
      <c r="BZ688" s="13"/>
      <c r="CC688" s="114"/>
    </row>
    <row r="689" spans="1:81" ht="20.100000000000001" customHeight="1" x14ac:dyDescent="0.4">
      <c r="A689" s="117"/>
      <c r="B689" s="123"/>
      <c r="C689" s="123"/>
      <c r="D689" s="123"/>
      <c r="AE689" s="115"/>
      <c r="AF689" s="115"/>
      <c r="AG689" s="115"/>
      <c r="AH689" s="115"/>
      <c r="AI689" s="115"/>
      <c r="AJ689" s="115"/>
      <c r="AK689" s="115"/>
      <c r="AL689" s="115"/>
      <c r="AM689" s="115"/>
      <c r="AN689" s="115"/>
      <c r="AO689" s="115"/>
      <c r="AP689" s="127"/>
      <c r="AQ689" s="29"/>
      <c r="AU689" s="115"/>
      <c r="AV689" s="115"/>
      <c r="AW689" s="115"/>
      <c r="AX689" s="115"/>
      <c r="AY689" s="115"/>
      <c r="AZ689" s="115"/>
      <c r="BA689" s="25"/>
      <c r="BB689" s="13"/>
      <c r="BG689" s="116"/>
      <c r="BH689" s="123"/>
      <c r="BI689" s="123"/>
      <c r="BJ689" s="123"/>
      <c r="BO689" s="115"/>
      <c r="BP689" s="115"/>
      <c r="BQ689" s="115"/>
      <c r="BR689" s="115"/>
      <c r="BS689" s="115"/>
      <c r="BT689" s="115"/>
      <c r="BU689" s="115"/>
      <c r="BV689" s="115"/>
      <c r="BW689" s="115"/>
      <c r="BX689" s="115"/>
      <c r="BY689" s="25"/>
      <c r="BZ689" s="13"/>
      <c r="CC689" s="114"/>
    </row>
    <row r="690" spans="1:81" ht="20.100000000000001" customHeight="1" x14ac:dyDescent="0.4">
      <c r="A690" s="117"/>
      <c r="B690" s="123"/>
      <c r="C690" s="123"/>
      <c r="D690" s="123"/>
      <c r="AE690" s="115"/>
      <c r="AF690" s="115"/>
      <c r="AG690" s="115"/>
      <c r="AH690" s="115"/>
      <c r="AI690" s="115"/>
      <c r="AJ690" s="115"/>
      <c r="AK690" s="115"/>
      <c r="AL690" s="115"/>
      <c r="AM690" s="115"/>
      <c r="AN690" s="115"/>
      <c r="AO690" s="115"/>
      <c r="AP690" s="29"/>
      <c r="AQ690" s="29"/>
      <c r="AU690" s="115"/>
      <c r="AV690" s="115"/>
      <c r="AW690" s="115"/>
      <c r="AX690" s="115"/>
      <c r="AY690" s="115"/>
      <c r="AZ690" s="115"/>
      <c r="BA690" s="25"/>
      <c r="BB690" s="13"/>
      <c r="BG690" s="116"/>
      <c r="BH690" s="123"/>
      <c r="BI690" s="123"/>
      <c r="BJ690" s="123"/>
      <c r="BO690" s="115"/>
      <c r="BP690" s="115"/>
      <c r="BQ690" s="115"/>
      <c r="BR690" s="115"/>
      <c r="BS690" s="115"/>
      <c r="BT690" s="115"/>
      <c r="BU690" s="115"/>
      <c r="BV690" s="115"/>
      <c r="BW690" s="115"/>
      <c r="BX690" s="115"/>
      <c r="BY690" s="25"/>
      <c r="BZ690" s="13"/>
      <c r="CC690" s="114"/>
    </row>
    <row r="691" spans="1:81" ht="20.100000000000001" customHeight="1" x14ac:dyDescent="0.4">
      <c r="A691" s="117"/>
      <c r="B691" s="123"/>
      <c r="C691" s="123"/>
      <c r="D691" s="123"/>
      <c r="AB691" s="115"/>
      <c r="AC691" s="115"/>
      <c r="AD691" s="115"/>
      <c r="AE691" s="115"/>
      <c r="AF691" s="115"/>
      <c r="AG691" s="115"/>
      <c r="AH691" s="115"/>
      <c r="AI691" s="115"/>
      <c r="AJ691" s="115"/>
      <c r="AK691" s="115"/>
      <c r="AL691" s="115"/>
      <c r="AM691" s="115"/>
      <c r="AN691" s="115"/>
      <c r="AO691" s="115"/>
      <c r="AP691" s="127"/>
      <c r="AQ691" s="29"/>
      <c r="AU691" s="115"/>
      <c r="AV691" s="115"/>
      <c r="AW691" s="115"/>
      <c r="AX691" s="115"/>
      <c r="AY691" s="115"/>
      <c r="AZ691" s="115"/>
      <c r="BA691" s="25"/>
      <c r="BB691" s="13"/>
      <c r="BG691" s="116"/>
      <c r="BH691" s="123"/>
      <c r="BI691" s="123"/>
      <c r="BJ691" s="123"/>
      <c r="BO691" s="115"/>
      <c r="BP691" s="115"/>
      <c r="BQ691" s="115"/>
      <c r="BR691" s="115"/>
      <c r="BS691" s="115"/>
      <c r="BT691" s="115"/>
      <c r="BU691" s="115"/>
      <c r="BV691" s="115"/>
      <c r="BW691" s="115"/>
      <c r="BX691" s="115"/>
      <c r="BY691" s="25"/>
      <c r="BZ691" s="13"/>
      <c r="CC691" s="114"/>
    </row>
    <row r="692" spans="1:81" ht="20.100000000000001" customHeight="1" x14ac:dyDescent="0.4">
      <c r="A692" s="117"/>
      <c r="B692" s="123"/>
      <c r="C692" s="123"/>
      <c r="D692" s="123"/>
      <c r="AB692" s="115"/>
      <c r="AC692" s="115"/>
      <c r="AD692" s="115"/>
      <c r="AE692" s="115"/>
      <c r="AF692" s="115"/>
      <c r="AG692" s="115"/>
      <c r="AH692" s="115"/>
      <c r="AI692" s="115"/>
      <c r="AJ692" s="115"/>
      <c r="AK692" s="115"/>
      <c r="AL692" s="115"/>
      <c r="AM692" s="115"/>
      <c r="AN692" s="115"/>
      <c r="AO692" s="115"/>
      <c r="AP692" s="29"/>
      <c r="AQ692" s="29"/>
      <c r="AU692" s="115"/>
      <c r="AV692" s="115"/>
      <c r="AW692" s="115"/>
      <c r="AX692" s="115"/>
      <c r="AY692" s="115"/>
      <c r="AZ692" s="115"/>
      <c r="BA692" s="25"/>
      <c r="BB692" s="13"/>
      <c r="BG692" s="116"/>
      <c r="BH692" s="123"/>
      <c r="BI692" s="123"/>
      <c r="BJ692" s="123"/>
      <c r="BO692" s="115"/>
      <c r="BP692" s="115"/>
      <c r="BQ692" s="115"/>
      <c r="BR692" s="115"/>
      <c r="BS692" s="115"/>
      <c r="BT692" s="115"/>
      <c r="BU692" s="115"/>
      <c r="BV692" s="115"/>
      <c r="BW692" s="115"/>
      <c r="BX692" s="115"/>
      <c r="BY692" s="25"/>
      <c r="BZ692" s="13"/>
      <c r="CC692" s="114"/>
    </row>
    <row r="693" spans="1:81" ht="20.100000000000001" customHeight="1" x14ac:dyDescent="0.4">
      <c r="A693" s="117"/>
      <c r="B693" s="123"/>
      <c r="C693" s="123"/>
      <c r="D693" s="123"/>
      <c r="AB693" s="115"/>
      <c r="AC693" s="115"/>
      <c r="AD693" s="115"/>
      <c r="AE693" s="115"/>
      <c r="AF693" s="115"/>
      <c r="AG693" s="115"/>
      <c r="AH693" s="115"/>
      <c r="AI693" s="115"/>
      <c r="AJ693" s="115"/>
      <c r="AK693" s="115"/>
      <c r="AL693" s="115"/>
      <c r="AM693" s="115"/>
      <c r="AN693" s="115"/>
      <c r="AO693" s="115"/>
      <c r="AP693" s="127"/>
      <c r="AQ693" s="29"/>
      <c r="AU693" s="115"/>
      <c r="AV693" s="115"/>
      <c r="AW693" s="115"/>
      <c r="AX693" s="115"/>
      <c r="AY693" s="115"/>
      <c r="AZ693" s="115"/>
      <c r="BA693" s="25"/>
      <c r="BB693" s="13"/>
      <c r="BG693" s="116"/>
      <c r="BH693" s="123"/>
      <c r="BI693" s="123"/>
      <c r="BJ693" s="123"/>
      <c r="BO693" s="115"/>
      <c r="BP693" s="115"/>
      <c r="BQ693" s="115"/>
      <c r="BR693" s="115"/>
      <c r="BS693" s="115"/>
      <c r="BT693" s="115"/>
      <c r="BU693" s="115"/>
      <c r="BV693" s="115"/>
      <c r="BW693" s="115"/>
      <c r="BX693" s="115"/>
      <c r="BY693" s="25"/>
      <c r="BZ693" s="13"/>
      <c r="CC693" s="114"/>
    </row>
    <row r="694" spans="1:81" ht="20.100000000000001" customHeight="1" x14ac:dyDescent="0.4">
      <c r="A694" s="117"/>
      <c r="B694" s="123"/>
      <c r="C694" s="123"/>
      <c r="D694" s="123"/>
      <c r="AB694" s="115"/>
      <c r="AC694" s="115"/>
      <c r="AD694" s="115"/>
      <c r="AE694" s="115"/>
      <c r="AF694" s="115"/>
      <c r="AG694" s="115"/>
      <c r="AH694" s="115"/>
      <c r="AI694" s="115"/>
      <c r="AJ694" s="115"/>
      <c r="AK694" s="115"/>
      <c r="AL694" s="115"/>
      <c r="AM694" s="115"/>
      <c r="AN694" s="115"/>
      <c r="AO694" s="115"/>
      <c r="AP694" s="29"/>
      <c r="AQ694" s="29"/>
      <c r="AU694" s="115"/>
      <c r="AV694" s="115"/>
      <c r="AW694" s="115"/>
      <c r="AX694" s="115"/>
      <c r="AY694" s="115"/>
      <c r="AZ694" s="115"/>
      <c r="BA694" s="25"/>
      <c r="BB694" s="13"/>
      <c r="BG694" s="116"/>
      <c r="BH694" s="123"/>
      <c r="BI694" s="123"/>
      <c r="BJ694" s="123"/>
      <c r="BO694" s="115"/>
      <c r="BP694" s="115"/>
      <c r="BQ694" s="115"/>
      <c r="BR694" s="115"/>
      <c r="BS694" s="115"/>
      <c r="BT694" s="115"/>
      <c r="BU694" s="115"/>
      <c r="BV694" s="115"/>
      <c r="BW694" s="115"/>
      <c r="BX694" s="115"/>
      <c r="BY694" s="25"/>
      <c r="BZ694" s="13"/>
      <c r="CC694" s="114"/>
    </row>
    <row r="695" spans="1:81" ht="20.100000000000001" customHeight="1" x14ac:dyDescent="0.4">
      <c r="A695" s="117"/>
      <c r="B695" s="123"/>
      <c r="C695" s="123"/>
      <c r="D695" s="123"/>
      <c r="AB695" s="115"/>
      <c r="AC695" s="115"/>
      <c r="AD695" s="115"/>
      <c r="AE695" s="115"/>
      <c r="AF695" s="115"/>
      <c r="AG695" s="115"/>
      <c r="AH695" s="115"/>
      <c r="AI695" s="115"/>
      <c r="AJ695" s="115"/>
      <c r="AK695" s="115"/>
      <c r="AL695" s="115"/>
      <c r="AM695" s="115"/>
      <c r="AN695" s="115"/>
      <c r="AO695" s="115"/>
      <c r="AP695" s="127"/>
      <c r="AQ695" s="127"/>
      <c r="AU695" s="115"/>
      <c r="AV695" s="115"/>
      <c r="AW695" s="115"/>
      <c r="AX695" s="115"/>
      <c r="AY695" s="115"/>
      <c r="AZ695" s="115"/>
      <c r="BA695" s="25"/>
      <c r="BB695" s="13"/>
      <c r="BG695" s="116"/>
      <c r="BH695" s="123"/>
      <c r="BI695" s="123"/>
      <c r="BJ695" s="123"/>
      <c r="BO695" s="115"/>
      <c r="BP695" s="115"/>
      <c r="BQ695" s="115"/>
      <c r="BR695" s="115"/>
      <c r="BS695" s="115"/>
      <c r="BT695" s="115"/>
      <c r="BU695" s="115"/>
      <c r="BV695" s="115"/>
      <c r="BW695" s="115"/>
      <c r="BX695" s="115"/>
      <c r="BY695" s="25"/>
      <c r="BZ695" s="13"/>
      <c r="CC695" s="114"/>
    </row>
    <row r="696" spans="1:81" ht="20.100000000000001" customHeight="1" x14ac:dyDescent="0.4">
      <c r="A696" s="117"/>
      <c r="B696" s="123"/>
      <c r="C696" s="123"/>
      <c r="D696" s="123"/>
      <c r="AP696" s="127"/>
      <c r="AQ696" s="127"/>
      <c r="AU696" s="115"/>
      <c r="AV696" s="115"/>
      <c r="AW696" s="115"/>
      <c r="AX696" s="115"/>
      <c r="AY696" s="115"/>
      <c r="AZ696" s="115"/>
      <c r="BA696" s="25">
        <v>45673</v>
      </c>
      <c r="BB696" s="13" t="s">
        <v>147</v>
      </c>
      <c r="BG696" s="116"/>
      <c r="BH696" s="123"/>
      <c r="BI696" s="123"/>
      <c r="BJ696" s="123"/>
      <c r="BO696" s="115"/>
      <c r="BP696" s="115"/>
      <c r="BQ696" s="115"/>
      <c r="BR696" s="115"/>
      <c r="BS696" s="115"/>
      <c r="BT696" s="115"/>
      <c r="BU696" s="115"/>
      <c r="BV696" s="115"/>
      <c r="BW696" s="115"/>
      <c r="BX696" s="115"/>
      <c r="BY696" s="25"/>
      <c r="BZ696" s="13"/>
      <c r="CC696" s="114"/>
    </row>
    <row r="697" spans="1:81" ht="20.100000000000001" customHeight="1" x14ac:dyDescent="0.4">
      <c r="A697" s="117"/>
      <c r="B697" s="123"/>
      <c r="C697" s="123"/>
      <c r="D697" s="123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  <c r="AK697" s="115"/>
      <c r="AL697" s="115"/>
      <c r="AM697" s="115"/>
      <c r="AN697" s="115"/>
      <c r="AO697" s="115"/>
      <c r="AP697" s="127"/>
      <c r="AQ697" s="29"/>
      <c r="AU697" s="115"/>
      <c r="AV697" s="115"/>
      <c r="AW697" s="115"/>
      <c r="AX697" s="115"/>
      <c r="AY697" s="115"/>
      <c r="AZ697" s="115"/>
      <c r="BA697" s="25"/>
      <c r="BB697" s="13"/>
      <c r="BG697" s="116"/>
      <c r="BH697" s="123"/>
      <c r="BI697" s="123"/>
      <c r="BJ697" s="123"/>
      <c r="BO697" s="115"/>
      <c r="BP697" s="115"/>
      <c r="BQ697" s="115"/>
      <c r="BR697" s="115"/>
      <c r="BS697" s="115"/>
      <c r="BT697" s="115"/>
      <c r="BU697" s="115"/>
      <c r="BV697" s="115"/>
      <c r="BW697" s="115"/>
      <c r="BX697" s="115"/>
      <c r="BY697" s="25"/>
      <c r="BZ697" s="13"/>
      <c r="CC697" s="114"/>
    </row>
    <row r="698" spans="1:81" ht="20.100000000000001" customHeight="1" x14ac:dyDescent="0.4">
      <c r="A698" s="117"/>
      <c r="B698" s="123"/>
      <c r="C698" s="123"/>
      <c r="D698" s="123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  <c r="AK698" s="115"/>
      <c r="AL698" s="115"/>
      <c r="AM698" s="115"/>
      <c r="AN698" s="115"/>
      <c r="AO698" s="115"/>
      <c r="AP698" s="127"/>
      <c r="AQ698" s="29"/>
      <c r="AU698" s="115"/>
      <c r="AV698" s="115"/>
      <c r="AW698" s="115"/>
      <c r="AX698" s="115"/>
      <c r="AY698" s="115"/>
      <c r="AZ698" s="115"/>
      <c r="BA698" s="25"/>
      <c r="BB698" s="13"/>
      <c r="BG698" s="116"/>
      <c r="BH698" s="123"/>
      <c r="BI698" s="123"/>
      <c r="BJ698" s="123"/>
      <c r="BO698" s="115"/>
      <c r="BP698" s="115"/>
      <c r="BQ698" s="115"/>
      <c r="BR698" s="115"/>
      <c r="BS698" s="115"/>
      <c r="BT698" s="115"/>
      <c r="BU698" s="115"/>
      <c r="BV698" s="115"/>
      <c r="BW698" s="115"/>
      <c r="BX698" s="115"/>
      <c r="BY698" s="25"/>
      <c r="BZ698" s="13"/>
      <c r="CC698" s="114"/>
    </row>
    <row r="699" spans="1:81" ht="20.100000000000001" customHeight="1" x14ac:dyDescent="0.4">
      <c r="A699" s="117"/>
      <c r="B699" s="123"/>
      <c r="C699" s="123"/>
      <c r="D699" s="123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  <c r="AK699" s="115"/>
      <c r="AL699" s="115"/>
      <c r="AM699" s="115"/>
      <c r="AN699" s="115"/>
      <c r="AO699" s="115"/>
      <c r="AP699" s="127"/>
      <c r="AQ699" s="29"/>
      <c r="AU699" s="115"/>
      <c r="AV699" s="115"/>
      <c r="AW699" s="115"/>
      <c r="AX699" s="115"/>
      <c r="AY699" s="115"/>
      <c r="AZ699" s="115"/>
      <c r="BA699" s="25"/>
      <c r="BB699" s="13"/>
      <c r="BG699" s="116"/>
      <c r="BH699" s="123"/>
      <c r="BI699" s="123"/>
      <c r="BJ699" s="123"/>
      <c r="BO699" s="115"/>
      <c r="BP699" s="115"/>
      <c r="BQ699" s="115"/>
      <c r="BR699" s="115"/>
      <c r="BS699" s="115"/>
      <c r="BT699" s="115"/>
      <c r="BU699" s="115"/>
      <c r="BV699" s="115"/>
      <c r="BW699" s="115"/>
      <c r="BX699" s="115"/>
      <c r="BY699" s="25"/>
      <c r="BZ699" s="13"/>
      <c r="CC699" s="114"/>
    </row>
    <row r="700" spans="1:81" ht="20.100000000000001" customHeight="1" x14ac:dyDescent="0.4">
      <c r="A700" s="117"/>
      <c r="B700" s="123"/>
      <c r="C700" s="123"/>
      <c r="D700" s="123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  <c r="AK700" s="115"/>
      <c r="AL700" s="115"/>
      <c r="AM700" s="115"/>
      <c r="AN700" s="115"/>
      <c r="AO700" s="115"/>
      <c r="AP700" s="127"/>
      <c r="AQ700" s="29"/>
      <c r="AU700" s="115"/>
      <c r="AV700" s="115"/>
      <c r="AW700" s="115"/>
      <c r="AX700" s="115"/>
      <c r="AY700" s="115"/>
      <c r="AZ700" s="115"/>
      <c r="BA700" s="25"/>
      <c r="BB700" s="13"/>
      <c r="BG700" s="116"/>
      <c r="BH700" s="123"/>
      <c r="BI700" s="123"/>
      <c r="BJ700" s="123"/>
      <c r="BO700" s="115"/>
      <c r="BP700" s="115"/>
      <c r="BQ700" s="115"/>
      <c r="BR700" s="115"/>
      <c r="BS700" s="115"/>
      <c r="BT700" s="115"/>
      <c r="BU700" s="115"/>
      <c r="BV700" s="115"/>
      <c r="BW700" s="115"/>
      <c r="BX700" s="115"/>
      <c r="BY700" s="25"/>
      <c r="BZ700" s="13"/>
      <c r="CC700" s="114"/>
    </row>
    <row r="701" spans="1:81" ht="20.100000000000001" customHeight="1" x14ac:dyDescent="0.4">
      <c r="A701" s="117"/>
      <c r="B701" s="123"/>
      <c r="C701" s="123"/>
      <c r="D701" s="123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  <c r="AK701" s="115"/>
      <c r="AL701" s="115"/>
      <c r="AM701" s="115"/>
      <c r="AN701" s="115"/>
      <c r="AO701" s="115"/>
      <c r="AP701" s="29"/>
      <c r="AQ701" s="29"/>
      <c r="AU701" s="115"/>
      <c r="AV701" s="115"/>
      <c r="AW701" s="115"/>
      <c r="AX701" s="115"/>
      <c r="AY701" s="115"/>
      <c r="AZ701" s="115"/>
      <c r="BA701" s="25"/>
      <c r="BB701" s="13"/>
      <c r="BG701" s="116"/>
      <c r="BH701" s="123"/>
      <c r="BI701" s="123"/>
      <c r="BJ701" s="123"/>
      <c r="BO701" s="115"/>
      <c r="BP701" s="115"/>
      <c r="BQ701" s="115"/>
      <c r="BR701" s="115"/>
      <c r="BS701" s="115"/>
      <c r="BT701" s="115"/>
      <c r="BU701" s="115"/>
      <c r="BV701" s="115"/>
      <c r="BW701" s="115"/>
      <c r="BX701" s="115"/>
      <c r="BY701" s="25"/>
      <c r="BZ701" s="13"/>
      <c r="CC701" s="114"/>
    </row>
    <row r="702" spans="1:81" ht="20.100000000000001" customHeight="1" x14ac:dyDescent="0.4">
      <c r="A702" s="117"/>
      <c r="B702" s="123"/>
      <c r="C702" s="123"/>
      <c r="D702" s="123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  <c r="AK702" s="115"/>
      <c r="AL702" s="115"/>
      <c r="AM702" s="115"/>
      <c r="AN702" s="115"/>
      <c r="AO702" s="115"/>
      <c r="AP702" s="29"/>
      <c r="AQ702" s="29"/>
      <c r="AU702" s="115"/>
      <c r="AV702" s="115"/>
      <c r="AW702" s="115"/>
      <c r="AX702" s="115"/>
      <c r="AY702" s="115"/>
      <c r="AZ702" s="115"/>
      <c r="BA702" s="25"/>
      <c r="BB702" s="13"/>
      <c r="BG702" s="116"/>
      <c r="BH702" s="123"/>
      <c r="BI702" s="123"/>
      <c r="BJ702" s="123"/>
      <c r="BO702" s="115"/>
      <c r="BP702" s="115"/>
      <c r="BQ702" s="115"/>
      <c r="BR702" s="115"/>
      <c r="BS702" s="115"/>
      <c r="BT702" s="115"/>
      <c r="BU702" s="115"/>
      <c r="BV702" s="115"/>
      <c r="BW702" s="115"/>
      <c r="BX702" s="115"/>
      <c r="BY702" s="25"/>
      <c r="BZ702" s="13"/>
      <c r="CC702" s="114"/>
    </row>
    <row r="703" spans="1:81" ht="20.100000000000001" customHeight="1" x14ac:dyDescent="0.4">
      <c r="A703" s="117"/>
      <c r="B703" s="123"/>
      <c r="C703" s="123"/>
      <c r="D703" s="123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  <c r="AK703" s="115"/>
      <c r="AL703" s="115"/>
      <c r="AM703" s="115"/>
      <c r="AN703" s="115"/>
      <c r="AO703" s="115"/>
      <c r="AP703" s="127"/>
      <c r="AQ703" s="29"/>
      <c r="AU703" s="115"/>
      <c r="AV703" s="115"/>
      <c r="AW703" s="115"/>
      <c r="AX703" s="115"/>
      <c r="AY703" s="115"/>
      <c r="AZ703" s="115"/>
      <c r="BA703" s="25"/>
      <c r="BB703" s="13"/>
      <c r="BG703" s="116"/>
      <c r="BH703" s="123"/>
      <c r="BI703" s="123"/>
      <c r="BJ703" s="123"/>
      <c r="BO703" s="115"/>
      <c r="BP703" s="115"/>
      <c r="BQ703" s="115"/>
      <c r="BR703" s="115"/>
      <c r="BS703" s="115"/>
      <c r="BT703" s="115"/>
      <c r="BU703" s="115"/>
      <c r="BV703" s="115"/>
      <c r="BW703" s="115"/>
      <c r="BX703" s="115"/>
      <c r="BY703" s="25"/>
      <c r="BZ703" s="13"/>
      <c r="CC703" s="114"/>
    </row>
    <row r="704" spans="1:81" ht="20.100000000000001" customHeight="1" x14ac:dyDescent="0.4">
      <c r="A704" s="117"/>
      <c r="B704" s="123"/>
      <c r="C704" s="123"/>
      <c r="D704" s="123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  <c r="AK704" s="115"/>
      <c r="AL704" s="115"/>
      <c r="AM704" s="115"/>
      <c r="AN704" s="115"/>
      <c r="AO704" s="115"/>
      <c r="AP704" s="127"/>
      <c r="AQ704" s="29"/>
      <c r="AU704" s="115"/>
      <c r="AV704" s="115"/>
      <c r="AW704" s="115"/>
      <c r="AX704" s="115"/>
      <c r="AY704" s="115"/>
      <c r="AZ704" s="115"/>
      <c r="BA704" s="25"/>
      <c r="BB704" s="13"/>
      <c r="BG704" s="116"/>
      <c r="BH704" s="123"/>
      <c r="BI704" s="123"/>
      <c r="BJ704" s="123"/>
      <c r="BO704" s="115"/>
      <c r="BP704" s="115"/>
      <c r="BQ704" s="115"/>
      <c r="BR704" s="115"/>
      <c r="BS704" s="115"/>
      <c r="BT704" s="115"/>
      <c r="BU704" s="115"/>
      <c r="BV704" s="115"/>
      <c r="BW704" s="115"/>
      <c r="BX704" s="115"/>
      <c r="BY704" s="25"/>
      <c r="BZ704" s="13"/>
      <c r="CC704" s="114"/>
    </row>
    <row r="705" spans="1:81" ht="20.100000000000001" customHeight="1" x14ac:dyDescent="0.4">
      <c r="A705" s="117"/>
      <c r="B705" s="123"/>
      <c r="C705" s="123"/>
      <c r="D705" s="123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  <c r="AK705" s="115"/>
      <c r="AL705" s="115"/>
      <c r="AM705" s="115"/>
      <c r="AN705" s="115"/>
      <c r="AO705" s="115"/>
      <c r="AP705" s="127"/>
      <c r="AQ705" s="29"/>
      <c r="AU705" s="115"/>
      <c r="AV705" s="115"/>
      <c r="AW705" s="115"/>
      <c r="AX705" s="115"/>
      <c r="AY705" s="115"/>
      <c r="AZ705" s="115"/>
      <c r="BA705" s="25"/>
      <c r="BB705" s="13"/>
      <c r="BG705" s="116"/>
      <c r="BH705" s="123"/>
      <c r="BI705" s="123"/>
      <c r="BJ705" s="123"/>
      <c r="BO705" s="115"/>
      <c r="BP705" s="115"/>
      <c r="BQ705" s="115"/>
      <c r="BR705" s="115"/>
      <c r="BS705" s="115"/>
      <c r="BT705" s="115"/>
      <c r="BU705" s="115"/>
      <c r="BV705" s="115"/>
      <c r="BW705" s="115"/>
      <c r="BX705" s="115"/>
      <c r="BY705" s="25"/>
      <c r="BZ705" s="13"/>
      <c r="CC705" s="114"/>
    </row>
    <row r="706" spans="1:81" ht="20.100000000000001" customHeight="1" x14ac:dyDescent="0.4">
      <c r="A706" s="117"/>
      <c r="B706" s="123"/>
      <c r="C706" s="123"/>
      <c r="D706" s="123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  <c r="AK706" s="115"/>
      <c r="AL706" s="115"/>
      <c r="AM706" s="115"/>
      <c r="AN706" s="115"/>
      <c r="AO706" s="115"/>
      <c r="AP706" s="127"/>
      <c r="AQ706" s="29"/>
      <c r="AU706" s="115"/>
      <c r="AV706" s="115"/>
      <c r="AW706" s="115"/>
      <c r="AX706" s="115"/>
      <c r="AY706" s="115"/>
      <c r="AZ706" s="115"/>
      <c r="BA706" s="25"/>
      <c r="BB706" s="13"/>
      <c r="BG706" s="116"/>
      <c r="BH706" s="123"/>
      <c r="BI706" s="123"/>
      <c r="BJ706" s="123"/>
      <c r="BO706" s="115"/>
      <c r="BP706" s="115"/>
      <c r="BQ706" s="115"/>
      <c r="BR706" s="115"/>
      <c r="BS706" s="115"/>
      <c r="BT706" s="115"/>
      <c r="BU706" s="115"/>
      <c r="BV706" s="115"/>
      <c r="BW706" s="115"/>
      <c r="BX706" s="115"/>
      <c r="BY706" s="25"/>
      <c r="BZ706" s="13"/>
      <c r="CC706" s="114"/>
    </row>
    <row r="707" spans="1:81" ht="20.100000000000001" customHeight="1" x14ac:dyDescent="0.4">
      <c r="A707" s="117"/>
      <c r="B707" s="123"/>
      <c r="C707" s="123"/>
      <c r="D707" s="123"/>
      <c r="AP707" s="127"/>
      <c r="AQ707" s="29"/>
      <c r="AS707" s="115"/>
      <c r="AT707" s="115"/>
      <c r="AU707" s="115"/>
      <c r="AV707" s="115"/>
      <c r="AW707" s="115"/>
      <c r="AX707" s="115"/>
      <c r="AY707" s="115"/>
      <c r="AZ707" s="115"/>
      <c r="BA707" s="25">
        <v>45673</v>
      </c>
      <c r="BB707" s="13" t="s">
        <v>148</v>
      </c>
      <c r="BG707" s="116"/>
      <c r="BH707" s="123"/>
      <c r="BI707" s="123"/>
      <c r="BJ707" s="123"/>
      <c r="BO707" s="115"/>
      <c r="BP707" s="115"/>
      <c r="BQ707" s="115"/>
      <c r="BR707" s="115"/>
      <c r="BS707" s="115"/>
      <c r="BT707" s="115"/>
      <c r="BU707" s="115"/>
      <c r="BV707" s="115"/>
      <c r="BW707" s="115"/>
      <c r="BX707" s="115"/>
      <c r="BY707" s="25"/>
      <c r="BZ707" s="13"/>
      <c r="CC707" s="114"/>
    </row>
    <row r="708" spans="1:81" ht="20.100000000000001" customHeight="1" x14ac:dyDescent="0.4">
      <c r="A708" s="117"/>
      <c r="B708" s="123"/>
      <c r="C708" s="123"/>
      <c r="D708" s="123"/>
      <c r="AI708" s="115"/>
      <c r="AJ708" s="115"/>
      <c r="AK708" s="115"/>
      <c r="AL708" s="115"/>
      <c r="AM708" s="115"/>
      <c r="AN708" s="115"/>
      <c r="AO708" s="115"/>
      <c r="AP708" s="29"/>
      <c r="AQ708" s="29"/>
      <c r="AS708" s="115"/>
      <c r="AT708" s="115"/>
      <c r="AU708" s="115"/>
      <c r="AV708" s="115"/>
      <c r="AW708" s="115"/>
      <c r="AX708" s="115"/>
      <c r="AY708" s="115"/>
      <c r="AZ708" s="115"/>
      <c r="BA708" s="25"/>
      <c r="BB708" s="13"/>
      <c r="BG708" s="116"/>
      <c r="BH708" s="123"/>
      <c r="BI708" s="123"/>
      <c r="BJ708" s="123"/>
      <c r="BO708" s="115"/>
      <c r="BP708" s="115"/>
      <c r="BQ708" s="115"/>
      <c r="BR708" s="115"/>
      <c r="BS708" s="115"/>
      <c r="BT708" s="115"/>
      <c r="BU708" s="115"/>
      <c r="BV708" s="115"/>
      <c r="BW708" s="115"/>
      <c r="BX708" s="115"/>
      <c r="BY708" s="25"/>
      <c r="BZ708" s="13"/>
      <c r="CC708" s="114"/>
    </row>
    <row r="709" spans="1:81" ht="20.100000000000001" customHeight="1" x14ac:dyDescent="0.4">
      <c r="A709" s="117"/>
      <c r="B709" s="123"/>
      <c r="C709" s="123"/>
      <c r="D709" s="123"/>
      <c r="AD709" s="115"/>
      <c r="AE709" s="115"/>
      <c r="AF709" s="115"/>
      <c r="AG709" s="115"/>
      <c r="AH709" s="115"/>
      <c r="AI709" s="115"/>
      <c r="AJ709" s="115"/>
      <c r="AK709" s="115"/>
      <c r="AL709" s="115"/>
      <c r="AM709" s="115"/>
      <c r="AN709" s="115"/>
      <c r="AO709" s="115"/>
      <c r="AP709" s="127"/>
      <c r="AQ709" s="29"/>
      <c r="AS709" s="115"/>
      <c r="AT709" s="115"/>
      <c r="AU709" s="115"/>
      <c r="AV709" s="115"/>
      <c r="AW709" s="115"/>
      <c r="AX709" s="115"/>
      <c r="AY709" s="115"/>
      <c r="AZ709" s="115"/>
      <c r="BA709" s="25"/>
      <c r="BB709" s="13"/>
      <c r="BG709" s="116"/>
      <c r="BH709" s="123"/>
      <c r="BI709" s="123"/>
      <c r="BJ709" s="123"/>
      <c r="BO709" s="115"/>
      <c r="BP709" s="115"/>
      <c r="BQ709" s="115"/>
      <c r="BR709" s="115"/>
      <c r="BS709" s="115"/>
      <c r="BT709" s="115"/>
      <c r="BU709" s="115"/>
      <c r="BV709" s="115"/>
      <c r="BW709" s="115"/>
      <c r="BX709" s="115"/>
      <c r="BY709" s="25"/>
      <c r="BZ709" s="13"/>
      <c r="CC709" s="114"/>
    </row>
    <row r="710" spans="1:81" ht="20.100000000000001" customHeight="1" x14ac:dyDescent="0.4">
      <c r="A710" s="117"/>
      <c r="B710" s="123"/>
      <c r="C710" s="123"/>
      <c r="D710" s="123"/>
      <c r="AB710" s="115"/>
      <c r="AC710" s="115"/>
      <c r="AD710" s="115"/>
      <c r="AE710" s="115"/>
      <c r="AF710" s="115"/>
      <c r="AG710" s="115"/>
      <c r="AH710" s="115"/>
      <c r="AI710" s="115"/>
      <c r="AJ710" s="115"/>
      <c r="AK710" s="115"/>
      <c r="AL710" s="115"/>
      <c r="AM710" s="115"/>
      <c r="AN710" s="115"/>
      <c r="AO710" s="115"/>
      <c r="AP710" s="127"/>
      <c r="AQ710" s="29"/>
      <c r="AS710" s="115"/>
      <c r="AT710" s="115"/>
      <c r="AU710" s="115"/>
      <c r="AV710" s="115"/>
      <c r="AW710" s="115"/>
      <c r="AX710" s="115"/>
      <c r="AY710" s="115"/>
      <c r="AZ710" s="115"/>
      <c r="BA710" s="25"/>
      <c r="BB710" s="13"/>
      <c r="BG710" s="116"/>
      <c r="BH710" s="123"/>
      <c r="BI710" s="123"/>
      <c r="BJ710" s="123"/>
      <c r="BO710" s="115"/>
      <c r="BP710" s="115"/>
      <c r="BQ710" s="115"/>
      <c r="BR710" s="115"/>
      <c r="BS710" s="115"/>
      <c r="BT710" s="115"/>
      <c r="BU710" s="115"/>
      <c r="BV710" s="115"/>
      <c r="BW710" s="115"/>
      <c r="BX710" s="115"/>
      <c r="BY710" s="25"/>
      <c r="BZ710" s="13"/>
      <c r="CC710" s="114"/>
    </row>
    <row r="711" spans="1:81" ht="20.100000000000001" customHeight="1" x14ac:dyDescent="0.4">
      <c r="A711" s="117"/>
      <c r="B711" s="123"/>
      <c r="C711" s="123"/>
      <c r="D711" s="123"/>
      <c r="AB711" s="115"/>
      <c r="AC711" s="115"/>
      <c r="AD711" s="115"/>
      <c r="AE711" s="115"/>
      <c r="AF711" s="115"/>
      <c r="AG711" s="115"/>
      <c r="AH711" s="115"/>
      <c r="AI711" s="115"/>
      <c r="AJ711" s="115"/>
      <c r="AK711" s="115"/>
      <c r="AL711" s="115"/>
      <c r="AM711" s="115"/>
      <c r="AN711" s="115"/>
      <c r="AO711" s="115"/>
      <c r="AP711" s="127"/>
      <c r="AQ711" s="29"/>
      <c r="AS711" s="115"/>
      <c r="AT711" s="115"/>
      <c r="AU711" s="115"/>
      <c r="AV711" s="115"/>
      <c r="AW711" s="115"/>
      <c r="AX711" s="115"/>
      <c r="AY711" s="115"/>
      <c r="AZ711" s="115"/>
      <c r="BA711" s="25"/>
      <c r="BB711" s="13"/>
      <c r="BG711" s="116"/>
      <c r="BH711" s="123"/>
      <c r="BI711" s="123"/>
      <c r="BJ711" s="123"/>
      <c r="BO711" s="115"/>
      <c r="BP711" s="115"/>
      <c r="BQ711" s="115"/>
      <c r="BR711" s="115"/>
      <c r="BS711" s="115"/>
      <c r="BT711" s="115"/>
      <c r="BU711" s="115"/>
      <c r="BV711" s="115"/>
      <c r="BW711" s="115"/>
      <c r="BX711" s="115"/>
      <c r="BY711" s="25"/>
      <c r="BZ711" s="13"/>
      <c r="CC711" s="114"/>
    </row>
    <row r="712" spans="1:81" ht="20.100000000000001" customHeight="1" x14ac:dyDescent="0.4">
      <c r="A712" s="117"/>
      <c r="B712" s="123"/>
      <c r="C712" s="123"/>
      <c r="D712" s="123"/>
      <c r="AB712" s="115"/>
      <c r="AC712" s="115"/>
      <c r="AD712" s="115"/>
      <c r="AE712" s="115"/>
      <c r="AF712" s="115"/>
      <c r="AG712" s="115"/>
      <c r="AH712" s="115"/>
      <c r="AI712" s="115"/>
      <c r="AJ712" s="115"/>
      <c r="AK712" s="115"/>
      <c r="AL712" s="115"/>
      <c r="AM712" s="115"/>
      <c r="AN712" s="115"/>
      <c r="AO712" s="115"/>
      <c r="AP712" s="127"/>
      <c r="AQ712" s="29"/>
      <c r="AS712" s="115"/>
      <c r="AT712" s="115"/>
      <c r="AU712" s="115"/>
      <c r="AV712" s="115"/>
      <c r="AW712" s="115"/>
      <c r="AX712" s="115"/>
      <c r="AY712" s="115"/>
      <c r="AZ712" s="115"/>
      <c r="BA712" s="25"/>
      <c r="BB712" s="13"/>
      <c r="BG712" s="116"/>
      <c r="BH712" s="123"/>
      <c r="BI712" s="123"/>
      <c r="BJ712" s="123"/>
      <c r="BO712" s="115"/>
      <c r="BP712" s="115"/>
      <c r="BQ712" s="115"/>
      <c r="BR712" s="115"/>
      <c r="BS712" s="115"/>
      <c r="BT712" s="115"/>
      <c r="BU712" s="115"/>
      <c r="BV712" s="115"/>
      <c r="BW712" s="115"/>
      <c r="BX712" s="115"/>
      <c r="BY712" s="25"/>
      <c r="BZ712" s="13"/>
      <c r="CC712" s="114"/>
    </row>
    <row r="713" spans="1:81" ht="20.100000000000001" customHeight="1" x14ac:dyDescent="0.4">
      <c r="A713" s="117"/>
      <c r="B713" s="123"/>
      <c r="C713" s="123"/>
      <c r="D713" s="123"/>
      <c r="AB713" s="115"/>
      <c r="AC713" s="115"/>
      <c r="AD713" s="115"/>
      <c r="AE713" s="115"/>
      <c r="AF713" s="115"/>
      <c r="AG713" s="115"/>
      <c r="AH713" s="115"/>
      <c r="AI713" s="115"/>
      <c r="AJ713" s="115"/>
      <c r="AK713" s="115"/>
      <c r="AL713" s="115"/>
      <c r="AM713" s="115"/>
      <c r="AN713" s="115"/>
      <c r="AO713" s="115"/>
      <c r="AP713" s="29"/>
      <c r="AQ713" s="29"/>
      <c r="AS713" s="115"/>
      <c r="AT713" s="115"/>
      <c r="AU713" s="115"/>
      <c r="AV713" s="115"/>
      <c r="AW713" s="115"/>
      <c r="AX713" s="115"/>
      <c r="AY713" s="115"/>
      <c r="AZ713" s="115"/>
      <c r="BA713" s="25"/>
      <c r="BB713" s="13"/>
      <c r="BG713" s="116"/>
      <c r="BH713" s="123"/>
      <c r="BI713" s="123"/>
      <c r="BJ713" s="123"/>
      <c r="BO713" s="115"/>
      <c r="BP713" s="115"/>
      <c r="BQ713" s="115"/>
      <c r="BR713" s="115"/>
      <c r="BS713" s="115"/>
      <c r="BT713" s="115"/>
      <c r="BU713" s="115"/>
      <c r="BV713" s="115"/>
      <c r="BW713" s="115"/>
      <c r="BX713" s="115"/>
      <c r="BY713" s="25"/>
      <c r="BZ713" s="13"/>
      <c r="CC713" s="114"/>
    </row>
    <row r="714" spans="1:81" ht="20.100000000000001" customHeight="1" x14ac:dyDescent="0.4">
      <c r="A714" s="117"/>
      <c r="B714" s="123"/>
      <c r="C714" s="123"/>
      <c r="D714" s="123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  <c r="AK714" s="115"/>
      <c r="AL714" s="115"/>
      <c r="AM714" s="115"/>
      <c r="AN714" s="115"/>
      <c r="AO714" s="115"/>
      <c r="AP714" s="127"/>
      <c r="AQ714" s="29"/>
      <c r="AS714" s="115"/>
      <c r="AT714" s="115"/>
      <c r="AU714" s="115"/>
      <c r="AV714" s="115"/>
      <c r="AW714" s="115"/>
      <c r="AX714" s="115"/>
      <c r="AY714" s="115"/>
      <c r="AZ714" s="115"/>
      <c r="BA714" s="25"/>
      <c r="BB714" s="13"/>
      <c r="BG714" s="116"/>
      <c r="BH714" s="123"/>
      <c r="BI714" s="123"/>
      <c r="BJ714" s="123"/>
      <c r="BO714" s="115"/>
      <c r="BP714" s="115"/>
      <c r="BQ714" s="115"/>
      <c r="BR714" s="115"/>
      <c r="BS714" s="115"/>
      <c r="BT714" s="115"/>
      <c r="BU714" s="115"/>
      <c r="BV714" s="115"/>
      <c r="BW714" s="115"/>
      <c r="BX714" s="115"/>
      <c r="BY714" s="25"/>
      <c r="BZ714" s="13"/>
      <c r="CC714" s="114"/>
    </row>
    <row r="715" spans="1:81" ht="20.100000000000001" customHeight="1" x14ac:dyDescent="0.4">
      <c r="A715" s="117"/>
      <c r="B715" s="123"/>
      <c r="C715" s="123"/>
      <c r="D715" s="123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  <c r="AK715" s="115"/>
      <c r="AL715" s="115"/>
      <c r="AM715" s="115"/>
      <c r="AN715" s="115"/>
      <c r="AO715" s="115"/>
      <c r="AP715" s="127"/>
      <c r="AQ715" s="29"/>
      <c r="AS715" s="115"/>
      <c r="AT715" s="115"/>
      <c r="AU715" s="115"/>
      <c r="AV715" s="115"/>
      <c r="AW715" s="115"/>
      <c r="AX715" s="115"/>
      <c r="AY715" s="115"/>
      <c r="AZ715" s="115"/>
      <c r="BA715" s="25"/>
      <c r="BB715" s="13"/>
      <c r="BG715" s="116"/>
      <c r="BH715" s="123"/>
      <c r="BI715" s="123"/>
      <c r="BJ715" s="123"/>
      <c r="BO715" s="115"/>
      <c r="BP715" s="115"/>
      <c r="BQ715" s="115"/>
      <c r="BR715" s="115"/>
      <c r="BS715" s="115"/>
      <c r="BT715" s="115"/>
      <c r="BU715" s="115"/>
      <c r="BV715" s="115"/>
      <c r="BW715" s="115"/>
      <c r="BX715" s="115"/>
      <c r="BY715" s="25"/>
      <c r="BZ715" s="13"/>
      <c r="CC715" s="114"/>
    </row>
    <row r="716" spans="1:81" ht="20.100000000000001" customHeight="1" x14ac:dyDescent="0.4">
      <c r="A716" s="117"/>
      <c r="B716" s="123"/>
      <c r="C716" s="123"/>
      <c r="D716" s="123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  <c r="AK716" s="115"/>
      <c r="AL716" s="115"/>
      <c r="AM716" s="115"/>
      <c r="AN716" s="115"/>
      <c r="AO716" s="115"/>
      <c r="AP716" s="127"/>
      <c r="AQ716" s="29"/>
      <c r="AS716" s="115"/>
      <c r="AT716" s="115"/>
      <c r="AU716" s="115"/>
      <c r="AV716" s="115"/>
      <c r="AW716" s="115"/>
      <c r="AX716" s="115"/>
      <c r="AY716" s="115"/>
      <c r="AZ716" s="115"/>
      <c r="BA716" s="25"/>
      <c r="BB716" s="13"/>
      <c r="BG716" s="116"/>
      <c r="BH716" s="123"/>
      <c r="BI716" s="123"/>
      <c r="BJ716" s="123"/>
      <c r="BO716" s="115"/>
      <c r="BP716" s="115"/>
      <c r="BQ716" s="115"/>
      <c r="BR716" s="115"/>
      <c r="BS716" s="115"/>
      <c r="BT716" s="115"/>
      <c r="BU716" s="115"/>
      <c r="BV716" s="115"/>
      <c r="BW716" s="115"/>
      <c r="BX716" s="115"/>
      <c r="BY716" s="25"/>
      <c r="BZ716" s="13"/>
      <c r="CC716" s="114"/>
    </row>
    <row r="717" spans="1:81" ht="20.100000000000001" customHeight="1" x14ac:dyDescent="0.4">
      <c r="A717" s="117"/>
      <c r="B717" s="123"/>
      <c r="C717" s="123"/>
      <c r="D717" s="123"/>
      <c r="AP717" s="127"/>
      <c r="AQ717" s="29"/>
      <c r="AS717" s="115"/>
      <c r="AT717" s="115"/>
      <c r="AU717" s="115"/>
      <c r="AV717" s="115"/>
      <c r="AW717" s="115"/>
      <c r="AX717" s="115"/>
      <c r="AY717" s="115"/>
      <c r="AZ717" s="115"/>
      <c r="BA717" s="25">
        <v>45673</v>
      </c>
      <c r="BB717" s="13" t="s">
        <v>147</v>
      </c>
      <c r="BG717" s="116"/>
      <c r="BH717" s="123"/>
      <c r="BI717" s="123"/>
      <c r="BJ717" s="123"/>
      <c r="BO717" s="115"/>
      <c r="BP717" s="115"/>
      <c r="BQ717" s="115"/>
      <c r="BR717" s="115"/>
      <c r="BS717" s="115"/>
      <c r="BT717" s="115"/>
      <c r="BU717" s="115"/>
      <c r="BV717" s="115"/>
      <c r="BW717" s="115"/>
      <c r="BX717" s="115"/>
      <c r="BY717" s="25"/>
      <c r="BZ717" s="13"/>
      <c r="CC717" s="114"/>
    </row>
    <row r="718" spans="1:81" ht="20.100000000000001" customHeight="1" x14ac:dyDescent="0.4">
      <c r="A718" s="117"/>
      <c r="B718" s="123"/>
      <c r="C718" s="123"/>
      <c r="D718" s="123"/>
      <c r="AI718" s="115"/>
      <c r="AJ718" s="115"/>
      <c r="AK718" s="115"/>
      <c r="AL718" s="115"/>
      <c r="AM718" s="115"/>
      <c r="AN718" s="115"/>
      <c r="AO718" s="115"/>
      <c r="AP718" s="29"/>
      <c r="AQ718" s="29"/>
      <c r="AS718" s="115"/>
      <c r="AT718" s="115"/>
      <c r="AU718" s="115"/>
      <c r="AV718" s="115"/>
      <c r="AW718" s="115"/>
      <c r="AX718" s="115"/>
      <c r="AY718" s="115"/>
      <c r="AZ718" s="115"/>
      <c r="BA718" s="25"/>
      <c r="BB718" s="13"/>
      <c r="BG718" s="116"/>
      <c r="BH718" s="123"/>
      <c r="BI718" s="123"/>
      <c r="BJ718" s="123"/>
      <c r="BO718" s="115"/>
      <c r="BP718" s="115"/>
      <c r="BQ718" s="115"/>
      <c r="BR718" s="115"/>
      <c r="BS718" s="115"/>
      <c r="BT718" s="115"/>
      <c r="BU718" s="115"/>
      <c r="BV718" s="115"/>
      <c r="BW718" s="115"/>
      <c r="BX718" s="115"/>
      <c r="BY718" s="25"/>
      <c r="BZ718" s="13"/>
      <c r="CC718" s="114"/>
    </row>
    <row r="719" spans="1:81" ht="20.100000000000001" customHeight="1" x14ac:dyDescent="0.4">
      <c r="A719" s="117"/>
      <c r="B719" s="123"/>
      <c r="C719" s="123"/>
      <c r="D719" s="123"/>
      <c r="AP719" s="127"/>
      <c r="AQ719" s="29"/>
      <c r="AS719" s="115"/>
      <c r="AT719" s="115"/>
      <c r="AU719" s="115"/>
      <c r="AV719" s="115"/>
      <c r="AW719" s="115"/>
      <c r="AX719" s="115"/>
      <c r="AY719" s="115"/>
      <c r="AZ719" s="115"/>
      <c r="BA719" s="25"/>
      <c r="BB719" s="13"/>
      <c r="BG719" s="116"/>
      <c r="BH719" s="123"/>
      <c r="BI719" s="123"/>
      <c r="BJ719" s="123"/>
      <c r="BO719" s="115"/>
      <c r="BP719" s="115"/>
      <c r="BQ719" s="115"/>
      <c r="BR719" s="115"/>
      <c r="BS719" s="115"/>
      <c r="BT719" s="115"/>
      <c r="BU719" s="115"/>
      <c r="BV719" s="115"/>
      <c r="BW719" s="115"/>
      <c r="BX719" s="115"/>
      <c r="BY719" s="25"/>
      <c r="BZ719" s="13"/>
      <c r="CC719" s="114"/>
    </row>
    <row r="720" spans="1:81" ht="20.100000000000001" customHeight="1" x14ac:dyDescent="0.4">
      <c r="A720" s="117"/>
      <c r="B720" s="123"/>
      <c r="C720" s="123"/>
      <c r="D720" s="123"/>
      <c r="AI720" s="115"/>
      <c r="AJ720" s="115"/>
      <c r="AK720" s="115"/>
      <c r="AL720" s="115"/>
      <c r="AM720" s="115"/>
      <c r="AN720" s="115"/>
      <c r="AO720" s="115"/>
      <c r="AP720" s="29"/>
      <c r="AQ720" s="29"/>
      <c r="AS720" s="115"/>
      <c r="AT720" s="115"/>
      <c r="AU720" s="115"/>
      <c r="AV720" s="115"/>
      <c r="AW720" s="115"/>
      <c r="AX720" s="115"/>
      <c r="AY720" s="115"/>
      <c r="AZ720" s="115"/>
      <c r="BA720" s="25"/>
      <c r="BB720" s="13"/>
      <c r="BG720" s="116"/>
      <c r="BH720" s="123"/>
      <c r="BI720" s="123"/>
      <c r="BJ720" s="123"/>
      <c r="BO720" s="115"/>
      <c r="BP720" s="115"/>
      <c r="BQ720" s="115"/>
      <c r="BR720" s="115"/>
      <c r="BS720" s="115"/>
      <c r="BT720" s="115"/>
      <c r="BU720" s="115"/>
      <c r="BV720" s="115"/>
      <c r="BW720" s="115"/>
      <c r="BX720" s="115"/>
      <c r="BY720" s="25"/>
      <c r="BZ720" s="13"/>
      <c r="CC720" s="114"/>
    </row>
    <row r="721" spans="1:81" ht="20.100000000000001" customHeight="1" x14ac:dyDescent="0.4">
      <c r="A721" s="117"/>
      <c r="B721" s="123"/>
      <c r="C721" s="123"/>
      <c r="D721" s="123"/>
      <c r="AD721" s="115"/>
      <c r="AE721" s="115"/>
      <c r="AF721" s="115"/>
      <c r="AG721" s="115"/>
      <c r="AH721" s="115"/>
      <c r="AI721" s="115"/>
      <c r="AJ721" s="115"/>
      <c r="AK721" s="115"/>
      <c r="AL721" s="115"/>
      <c r="AM721" s="115"/>
      <c r="AN721" s="115"/>
      <c r="AO721" s="115"/>
      <c r="AP721" s="127"/>
      <c r="AQ721" s="29"/>
      <c r="AS721" s="115"/>
      <c r="AT721" s="115"/>
      <c r="AU721" s="115"/>
      <c r="AV721" s="115"/>
      <c r="AW721" s="115"/>
      <c r="AX721" s="115"/>
      <c r="AY721" s="115"/>
      <c r="AZ721" s="115"/>
      <c r="BA721" s="25"/>
      <c r="BB721" s="13"/>
      <c r="BG721" s="116"/>
      <c r="BH721" s="123"/>
      <c r="BI721" s="123"/>
      <c r="BJ721" s="123"/>
      <c r="BO721" s="115"/>
      <c r="BP721" s="115"/>
      <c r="BQ721" s="115"/>
      <c r="BR721" s="115"/>
      <c r="BS721" s="115"/>
      <c r="BT721" s="115"/>
      <c r="BU721" s="115"/>
      <c r="BV721" s="115"/>
      <c r="BW721" s="115"/>
      <c r="BX721" s="115"/>
      <c r="BY721" s="25"/>
      <c r="BZ721" s="13"/>
      <c r="CC721" s="114"/>
    </row>
    <row r="722" spans="1:81" ht="20.100000000000001" customHeight="1" x14ac:dyDescent="0.4">
      <c r="A722" s="117"/>
      <c r="B722" s="123"/>
      <c r="C722" s="123"/>
      <c r="D722" s="123"/>
      <c r="AD722" s="115"/>
      <c r="AE722" s="115"/>
      <c r="AF722" s="115"/>
      <c r="AG722" s="115"/>
      <c r="AH722" s="115"/>
      <c r="AI722" s="115"/>
      <c r="AJ722" s="115"/>
      <c r="AK722" s="115"/>
      <c r="AL722" s="115"/>
      <c r="AM722" s="115"/>
      <c r="AN722" s="115"/>
      <c r="AO722" s="115"/>
      <c r="AP722" s="29"/>
      <c r="AQ722" s="29"/>
      <c r="AS722" s="115"/>
      <c r="AT722" s="115"/>
      <c r="AU722" s="115"/>
      <c r="AV722" s="115"/>
      <c r="AW722" s="115"/>
      <c r="AX722" s="115"/>
      <c r="AY722" s="115"/>
      <c r="AZ722" s="115"/>
      <c r="BA722" s="25"/>
      <c r="BB722" s="13"/>
      <c r="BG722" s="116"/>
      <c r="BH722" s="123"/>
      <c r="BI722" s="123"/>
      <c r="BJ722" s="123"/>
      <c r="BO722" s="115"/>
      <c r="BP722" s="115"/>
      <c r="BQ722" s="115"/>
      <c r="BR722" s="115"/>
      <c r="BS722" s="115"/>
      <c r="BT722" s="115"/>
      <c r="BU722" s="115"/>
      <c r="BV722" s="115"/>
      <c r="BW722" s="115"/>
      <c r="BX722" s="115"/>
      <c r="BY722" s="25"/>
      <c r="BZ722" s="13"/>
      <c r="CC722" s="114"/>
    </row>
    <row r="723" spans="1:81" ht="20.100000000000001" customHeight="1" x14ac:dyDescent="0.4">
      <c r="A723" s="117"/>
      <c r="B723" s="123"/>
      <c r="C723" s="123"/>
      <c r="D723" s="123"/>
      <c r="AD723" s="115"/>
      <c r="AE723" s="115"/>
      <c r="AF723" s="115"/>
      <c r="AG723" s="115"/>
      <c r="AH723" s="115"/>
      <c r="AI723" s="115"/>
      <c r="AJ723" s="115"/>
      <c r="AK723" s="115"/>
      <c r="AL723" s="115"/>
      <c r="AM723" s="115"/>
      <c r="AN723" s="115"/>
      <c r="AO723" s="115"/>
      <c r="AP723" s="29"/>
      <c r="AQ723" s="29"/>
      <c r="AS723" s="115"/>
      <c r="AT723" s="115"/>
      <c r="AU723" s="115"/>
      <c r="AV723" s="115"/>
      <c r="AW723" s="115"/>
      <c r="AX723" s="115"/>
      <c r="AY723" s="115"/>
      <c r="AZ723" s="115"/>
      <c r="BA723" s="25"/>
      <c r="BB723" s="13"/>
      <c r="BG723" s="116"/>
      <c r="BH723" s="123"/>
      <c r="BI723" s="123"/>
      <c r="BJ723" s="123"/>
      <c r="BO723" s="115"/>
      <c r="BP723" s="115"/>
      <c r="BQ723" s="115"/>
      <c r="BR723" s="115"/>
      <c r="BS723" s="115"/>
      <c r="BT723" s="115"/>
      <c r="BU723" s="115"/>
      <c r="BV723" s="115"/>
      <c r="BW723" s="115"/>
      <c r="BX723" s="115"/>
      <c r="BY723" s="25"/>
      <c r="BZ723" s="13"/>
      <c r="CC723" s="114"/>
    </row>
    <row r="724" spans="1:81" ht="20.100000000000001" customHeight="1" x14ac:dyDescent="0.4">
      <c r="A724" s="117"/>
      <c r="B724" s="123"/>
      <c r="C724" s="123"/>
      <c r="D724" s="123"/>
      <c r="AD724" s="115"/>
      <c r="AE724" s="115"/>
      <c r="AF724" s="115"/>
      <c r="AG724" s="115"/>
      <c r="AH724" s="115"/>
      <c r="AI724" s="115"/>
      <c r="AJ724" s="115"/>
      <c r="AK724" s="115"/>
      <c r="AL724" s="115"/>
      <c r="AM724" s="115"/>
      <c r="AN724" s="115"/>
      <c r="AO724" s="115"/>
      <c r="AP724" s="29"/>
      <c r="AQ724" s="29"/>
      <c r="AS724" s="115"/>
      <c r="AT724" s="115"/>
      <c r="AU724" s="115"/>
      <c r="AV724" s="115"/>
      <c r="AW724" s="115"/>
      <c r="AX724" s="115"/>
      <c r="AY724" s="115"/>
      <c r="AZ724" s="115"/>
      <c r="BA724" s="25"/>
      <c r="BB724" s="13"/>
      <c r="BG724" s="116"/>
      <c r="BH724" s="123"/>
      <c r="BI724" s="123"/>
      <c r="BJ724" s="123"/>
      <c r="BO724" s="115"/>
      <c r="BP724" s="115"/>
      <c r="BQ724" s="115"/>
      <c r="BR724" s="115"/>
      <c r="BS724" s="115"/>
      <c r="BT724" s="115"/>
      <c r="BU724" s="115"/>
      <c r="BV724" s="115"/>
      <c r="BW724" s="115"/>
      <c r="BX724" s="115"/>
      <c r="BY724" s="25"/>
      <c r="BZ724" s="13"/>
      <c r="CC724" s="114"/>
    </row>
    <row r="725" spans="1:81" ht="20.100000000000001" customHeight="1" x14ac:dyDescent="0.4">
      <c r="A725" s="117"/>
      <c r="B725" s="123"/>
      <c r="C725" s="123"/>
      <c r="D725" s="123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  <c r="AK725" s="115"/>
      <c r="AL725" s="115"/>
      <c r="AM725" s="115"/>
      <c r="AN725" s="115"/>
      <c r="AO725" s="115"/>
      <c r="AP725" s="127"/>
      <c r="AQ725" s="29"/>
      <c r="AS725" s="115"/>
      <c r="AT725" s="115"/>
      <c r="AU725" s="115"/>
      <c r="AV725" s="115"/>
      <c r="AW725" s="115"/>
      <c r="AX725" s="115"/>
      <c r="AY725" s="115"/>
      <c r="AZ725" s="115"/>
      <c r="BA725" s="25"/>
      <c r="BB725" s="13"/>
      <c r="BG725" s="116"/>
      <c r="BH725" s="123"/>
      <c r="BI725" s="123"/>
      <c r="BJ725" s="123"/>
      <c r="BO725" s="115"/>
      <c r="BP725" s="115"/>
      <c r="BQ725" s="115"/>
      <c r="BR725" s="115"/>
      <c r="BS725" s="115"/>
      <c r="BT725" s="115"/>
      <c r="BU725" s="115"/>
      <c r="BV725" s="115"/>
      <c r="BW725" s="115"/>
      <c r="BX725" s="115"/>
      <c r="BY725" s="25"/>
      <c r="BZ725" s="13"/>
      <c r="CC725" s="114"/>
    </row>
    <row r="726" spans="1:81" ht="20.100000000000001" customHeight="1" x14ac:dyDescent="0.4">
      <c r="A726" s="117"/>
      <c r="B726" s="123"/>
      <c r="C726" s="123"/>
      <c r="D726" s="123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  <c r="AK726" s="115"/>
      <c r="AL726" s="115"/>
      <c r="AM726" s="115"/>
      <c r="AN726" s="115"/>
      <c r="AO726" s="115"/>
      <c r="AP726" s="29"/>
      <c r="AQ726" s="29"/>
      <c r="AS726" s="115"/>
      <c r="AT726" s="115"/>
      <c r="AU726" s="115"/>
      <c r="AV726" s="115"/>
      <c r="AW726" s="115"/>
      <c r="AX726" s="115"/>
      <c r="AY726" s="115"/>
      <c r="AZ726" s="115"/>
      <c r="BA726" s="25"/>
      <c r="BB726" s="13"/>
      <c r="BG726" s="116"/>
      <c r="BH726" s="123"/>
      <c r="BI726" s="123"/>
      <c r="BJ726" s="123"/>
      <c r="BO726" s="115"/>
      <c r="BP726" s="115"/>
      <c r="BQ726" s="115"/>
      <c r="BR726" s="115"/>
      <c r="BS726" s="115"/>
      <c r="BT726" s="115"/>
      <c r="BU726" s="115"/>
      <c r="BV726" s="115"/>
      <c r="BW726" s="115"/>
      <c r="BX726" s="115"/>
      <c r="BY726" s="25"/>
      <c r="BZ726" s="13"/>
      <c r="CC726" s="114"/>
    </row>
    <row r="727" spans="1:81" ht="20.100000000000001" customHeight="1" x14ac:dyDescent="0.4">
      <c r="A727" s="117"/>
      <c r="B727" s="123"/>
      <c r="C727" s="123"/>
      <c r="D727" s="123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  <c r="AK727" s="115"/>
      <c r="AL727" s="115"/>
      <c r="AM727" s="115"/>
      <c r="AN727" s="115"/>
      <c r="AO727" s="115"/>
      <c r="AP727" s="127"/>
      <c r="AQ727" s="29"/>
      <c r="AS727" s="115"/>
      <c r="AT727" s="115"/>
      <c r="AU727" s="115"/>
      <c r="AV727" s="115"/>
      <c r="AW727" s="115"/>
      <c r="AX727" s="115"/>
      <c r="AY727" s="115"/>
      <c r="AZ727" s="115"/>
      <c r="BA727" s="25"/>
      <c r="BB727" s="13"/>
      <c r="BG727" s="116"/>
      <c r="BH727" s="123"/>
      <c r="BI727" s="123"/>
      <c r="BJ727" s="123"/>
      <c r="BO727" s="115"/>
      <c r="BP727" s="115"/>
      <c r="BQ727" s="115"/>
      <c r="BR727" s="115"/>
      <c r="BS727" s="115"/>
      <c r="BT727" s="115"/>
      <c r="BU727" s="115"/>
      <c r="BV727" s="115"/>
      <c r="BW727" s="115"/>
      <c r="BX727" s="115"/>
      <c r="BY727" s="25"/>
      <c r="BZ727" s="13"/>
      <c r="CC727" s="114"/>
    </row>
    <row r="728" spans="1:81" ht="20.100000000000001" customHeight="1" x14ac:dyDescent="0.4">
      <c r="A728" s="117"/>
      <c r="B728" s="123"/>
      <c r="C728" s="123"/>
      <c r="D728" s="123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  <c r="AK728" s="115"/>
      <c r="AL728" s="115"/>
      <c r="AM728" s="115"/>
      <c r="AN728" s="115"/>
      <c r="AO728" s="115"/>
      <c r="AP728" s="127"/>
      <c r="AQ728" s="29"/>
      <c r="AS728" s="115"/>
      <c r="AT728" s="115"/>
      <c r="AU728" s="115"/>
      <c r="AV728" s="115"/>
      <c r="AW728" s="115"/>
      <c r="AX728" s="115"/>
      <c r="AY728" s="115"/>
      <c r="AZ728" s="115"/>
      <c r="BA728" s="25"/>
      <c r="BB728" s="13"/>
      <c r="BG728" s="116"/>
      <c r="BH728" s="123"/>
      <c r="BI728" s="123"/>
      <c r="BJ728" s="123"/>
      <c r="BO728" s="115"/>
      <c r="BP728" s="115"/>
      <c r="BQ728" s="115"/>
      <c r="BR728" s="115"/>
      <c r="BS728" s="115"/>
      <c r="BT728" s="115"/>
      <c r="BU728" s="115"/>
      <c r="BV728" s="115"/>
      <c r="BW728" s="115"/>
      <c r="BX728" s="115"/>
      <c r="BY728" s="25"/>
      <c r="BZ728" s="13"/>
      <c r="CC728" s="114"/>
    </row>
    <row r="729" spans="1:81" ht="20.100000000000001" customHeight="1" x14ac:dyDescent="0.4">
      <c r="A729" s="117"/>
      <c r="B729" s="123"/>
      <c r="C729" s="123"/>
      <c r="D729" s="123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  <c r="AK729" s="115"/>
      <c r="AL729" s="115"/>
      <c r="AM729" s="115"/>
      <c r="AN729" s="115"/>
      <c r="AO729" s="115"/>
      <c r="AP729" s="127"/>
      <c r="AQ729" s="29"/>
      <c r="AS729" s="115"/>
      <c r="AT729" s="115"/>
      <c r="AU729" s="115"/>
      <c r="AV729" s="115"/>
      <c r="AW729" s="115"/>
      <c r="AX729" s="115"/>
      <c r="AY729" s="115"/>
      <c r="AZ729" s="115"/>
      <c r="BA729" s="25"/>
      <c r="BB729" s="13"/>
      <c r="BG729" s="116"/>
      <c r="BH729" s="123"/>
      <c r="BI729" s="123"/>
      <c r="BJ729" s="123"/>
      <c r="BO729" s="115"/>
      <c r="BP729" s="115"/>
      <c r="BQ729" s="115"/>
      <c r="BR729" s="115"/>
      <c r="BS729" s="115"/>
      <c r="BT729" s="115"/>
      <c r="BU729" s="115"/>
      <c r="BV729" s="115"/>
      <c r="BW729" s="115"/>
      <c r="BX729" s="115"/>
      <c r="BY729" s="25"/>
      <c r="BZ729" s="13"/>
      <c r="CC729" s="114"/>
    </row>
    <row r="730" spans="1:81" ht="20.100000000000001" customHeight="1" x14ac:dyDescent="0.4">
      <c r="A730" s="117"/>
      <c r="B730" s="123"/>
      <c r="C730" s="123"/>
      <c r="D730" s="123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15"/>
      <c r="AK730" s="115"/>
      <c r="AL730" s="115"/>
      <c r="AM730" s="115"/>
      <c r="AN730" s="115"/>
      <c r="AO730" s="115"/>
      <c r="AP730" s="127"/>
      <c r="AQ730" s="29"/>
      <c r="AS730" s="115"/>
      <c r="AT730" s="115"/>
      <c r="AU730" s="115"/>
      <c r="AV730" s="115"/>
      <c r="AW730" s="115"/>
      <c r="AX730" s="115"/>
      <c r="AY730" s="115"/>
      <c r="AZ730" s="115"/>
      <c r="BA730" s="25"/>
      <c r="BB730" s="13"/>
      <c r="BG730" s="116"/>
      <c r="BH730" s="123"/>
      <c r="BI730" s="123"/>
      <c r="BJ730" s="123"/>
      <c r="BO730" s="115"/>
      <c r="BP730" s="115"/>
      <c r="BQ730" s="115"/>
      <c r="BR730" s="115"/>
      <c r="BS730" s="115"/>
      <c r="BT730" s="115"/>
      <c r="BU730" s="115"/>
      <c r="BV730" s="115"/>
      <c r="BW730" s="115"/>
      <c r="BX730" s="115"/>
      <c r="BY730" s="25"/>
      <c r="BZ730" s="13"/>
      <c r="CC730" s="114"/>
    </row>
    <row r="731" spans="1:81" ht="20.100000000000001" customHeight="1" x14ac:dyDescent="0.4">
      <c r="A731" s="117"/>
      <c r="B731" s="123"/>
      <c r="C731" s="123"/>
      <c r="D731" s="123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  <c r="AK731" s="115"/>
      <c r="AL731" s="115"/>
      <c r="AM731" s="115"/>
      <c r="AN731" s="115"/>
      <c r="AO731" s="115"/>
      <c r="AP731" s="127"/>
      <c r="AQ731" s="29"/>
      <c r="AS731" s="115"/>
      <c r="AT731" s="115"/>
      <c r="AU731" s="115"/>
      <c r="AV731" s="115"/>
      <c r="AW731" s="115"/>
      <c r="AX731" s="115"/>
      <c r="AY731" s="115"/>
      <c r="AZ731" s="115"/>
      <c r="BA731" s="25"/>
      <c r="BB731" s="13"/>
      <c r="BG731" s="116"/>
      <c r="BH731" s="123"/>
      <c r="BI731" s="123"/>
      <c r="BJ731" s="123"/>
      <c r="BO731" s="115"/>
      <c r="BP731" s="115"/>
      <c r="BQ731" s="115"/>
      <c r="BR731" s="115"/>
      <c r="BS731" s="115"/>
      <c r="BT731" s="115"/>
      <c r="BU731" s="115"/>
      <c r="BV731" s="115"/>
      <c r="BW731" s="115"/>
      <c r="BX731" s="115"/>
      <c r="BY731" s="25"/>
      <c r="BZ731" s="13"/>
      <c r="CC731" s="114"/>
    </row>
    <row r="732" spans="1:81" ht="20.100000000000001" customHeight="1" x14ac:dyDescent="0.4">
      <c r="A732" s="117"/>
      <c r="B732" s="123"/>
      <c r="C732" s="123"/>
      <c r="D732" s="123"/>
      <c r="AP732" s="127"/>
      <c r="AQ732" s="29"/>
      <c r="AS732" s="115"/>
      <c r="AT732" s="115"/>
      <c r="AU732" s="115"/>
      <c r="AV732" s="115"/>
      <c r="AW732" s="115"/>
      <c r="AX732" s="115"/>
      <c r="AY732" s="115"/>
      <c r="AZ732" s="115"/>
      <c r="BA732" s="25">
        <v>45673</v>
      </c>
      <c r="BB732" s="13" t="s">
        <v>147</v>
      </c>
      <c r="BG732" s="116"/>
      <c r="BH732" s="123"/>
      <c r="BI732" s="123"/>
      <c r="BJ732" s="123"/>
      <c r="BO732" s="115"/>
      <c r="BP732" s="115"/>
      <c r="BQ732" s="115"/>
      <c r="BR732" s="115"/>
      <c r="BS732" s="115"/>
      <c r="BT732" s="115"/>
      <c r="BU732" s="115"/>
      <c r="BV732" s="115"/>
      <c r="BW732" s="115"/>
      <c r="BX732" s="115"/>
      <c r="BY732" s="25"/>
      <c r="BZ732" s="13"/>
      <c r="CC732" s="114"/>
    </row>
    <row r="733" spans="1:81" ht="20.100000000000001" customHeight="1" x14ac:dyDescent="0.4">
      <c r="A733" s="117"/>
      <c r="B733" s="123"/>
      <c r="C733" s="123"/>
      <c r="D733" s="123"/>
      <c r="AP733" s="127"/>
      <c r="AQ733" s="29"/>
      <c r="AS733" s="115"/>
      <c r="AT733" s="115"/>
      <c r="AU733" s="115"/>
      <c r="AV733" s="115"/>
      <c r="AW733" s="115"/>
      <c r="AX733" s="115"/>
      <c r="AY733" s="115"/>
      <c r="AZ733" s="115"/>
      <c r="BA733" s="25">
        <v>45673</v>
      </c>
      <c r="BB733" s="13" t="s">
        <v>147</v>
      </c>
      <c r="BG733" s="116"/>
      <c r="BH733" s="123"/>
      <c r="BI733" s="123"/>
      <c r="BJ733" s="123"/>
      <c r="BO733" s="115"/>
      <c r="BP733" s="115"/>
      <c r="BQ733" s="115"/>
      <c r="BR733" s="115"/>
      <c r="BS733" s="115"/>
      <c r="BT733" s="115"/>
      <c r="BU733" s="115"/>
      <c r="BV733" s="115"/>
      <c r="BW733" s="115"/>
      <c r="BX733" s="115"/>
      <c r="BY733" s="25"/>
      <c r="BZ733" s="13"/>
      <c r="CC733" s="114"/>
    </row>
    <row r="734" spans="1:81" ht="20.100000000000001" customHeight="1" x14ac:dyDescent="0.4">
      <c r="A734" s="117"/>
      <c r="B734" s="123"/>
      <c r="C734" s="123"/>
      <c r="D734" s="123"/>
      <c r="AP734" s="127"/>
      <c r="AQ734" s="29"/>
      <c r="AS734" s="115"/>
      <c r="AT734" s="115"/>
      <c r="AU734" s="115"/>
      <c r="AV734" s="115"/>
      <c r="AW734" s="115"/>
      <c r="AX734" s="115"/>
      <c r="AY734" s="115"/>
      <c r="AZ734" s="115"/>
      <c r="BA734" s="25">
        <v>45675</v>
      </c>
      <c r="BB734" s="13" t="s">
        <v>147</v>
      </c>
      <c r="BG734" s="116"/>
      <c r="BH734" s="123"/>
      <c r="BI734" s="123"/>
      <c r="BJ734" s="123"/>
      <c r="BO734" s="115"/>
      <c r="BP734" s="115"/>
      <c r="BQ734" s="115"/>
      <c r="BR734" s="115"/>
      <c r="BS734" s="115"/>
      <c r="BT734" s="115"/>
      <c r="BU734" s="115"/>
      <c r="BV734" s="115"/>
      <c r="BW734" s="115"/>
      <c r="BX734" s="115"/>
      <c r="BY734" s="25"/>
      <c r="BZ734" s="13"/>
      <c r="CC734" s="114"/>
    </row>
    <row r="735" spans="1:81" ht="20.100000000000001" customHeight="1" x14ac:dyDescent="0.4">
      <c r="A735" s="117"/>
      <c r="B735" s="123"/>
      <c r="C735" s="123"/>
      <c r="D735" s="123"/>
      <c r="AP735" s="127"/>
      <c r="AQ735" s="29"/>
      <c r="AS735" s="115"/>
      <c r="AT735" s="115"/>
      <c r="AU735" s="115"/>
      <c r="AV735" s="115"/>
      <c r="AW735" s="115"/>
      <c r="AX735" s="115"/>
      <c r="AY735" s="115"/>
      <c r="AZ735" s="115"/>
      <c r="BA735" s="25"/>
      <c r="BB735" s="13"/>
      <c r="BG735" s="116"/>
      <c r="BH735" s="123"/>
      <c r="BI735" s="123"/>
      <c r="BJ735" s="123"/>
      <c r="BO735" s="115"/>
      <c r="BP735" s="115"/>
      <c r="BQ735" s="115"/>
      <c r="BR735" s="115"/>
      <c r="BS735" s="115"/>
      <c r="BT735" s="115"/>
      <c r="BU735" s="115"/>
      <c r="BV735" s="115"/>
      <c r="BW735" s="115"/>
      <c r="BX735" s="115"/>
      <c r="BY735" s="25"/>
      <c r="BZ735" s="13"/>
      <c r="CC735" s="114"/>
    </row>
    <row r="736" spans="1:81" ht="20.100000000000001" customHeight="1" x14ac:dyDescent="0.4">
      <c r="A736" s="117"/>
      <c r="B736" s="123"/>
      <c r="C736" s="123"/>
      <c r="D736" s="123"/>
      <c r="AG736" s="115"/>
      <c r="AH736" s="115"/>
      <c r="AI736" s="115"/>
      <c r="AJ736" s="115"/>
      <c r="AK736" s="115"/>
      <c r="AL736" s="115"/>
      <c r="AM736" s="115"/>
      <c r="AN736" s="115"/>
      <c r="AO736" s="115"/>
      <c r="AP736" s="127"/>
      <c r="AQ736" s="29"/>
      <c r="AS736" s="115"/>
      <c r="AT736" s="115"/>
      <c r="AU736" s="115"/>
      <c r="AV736" s="115"/>
      <c r="AW736" s="115"/>
      <c r="AX736" s="115"/>
      <c r="AY736" s="115"/>
      <c r="AZ736" s="115"/>
      <c r="BA736" s="25"/>
      <c r="BB736" s="13"/>
      <c r="BG736" s="116"/>
      <c r="BH736" s="123"/>
      <c r="BI736" s="123"/>
      <c r="BJ736" s="123"/>
      <c r="BO736" s="115"/>
      <c r="BP736" s="115"/>
      <c r="BQ736" s="115"/>
      <c r="BR736" s="115"/>
      <c r="BS736" s="115"/>
      <c r="BT736" s="115"/>
      <c r="BU736" s="115"/>
      <c r="BV736" s="115"/>
      <c r="BW736" s="115"/>
      <c r="BX736" s="115"/>
      <c r="BY736" s="25"/>
      <c r="BZ736" s="13"/>
      <c r="CC736" s="114"/>
    </row>
    <row r="737" spans="1:81" ht="20.100000000000001" customHeight="1" x14ac:dyDescent="0.4">
      <c r="A737" s="117"/>
      <c r="B737" s="123"/>
      <c r="C737" s="123"/>
      <c r="D737" s="123"/>
      <c r="AP737" s="127"/>
      <c r="AQ737" s="29"/>
      <c r="AS737" s="115"/>
      <c r="AT737" s="115"/>
      <c r="AU737" s="115"/>
      <c r="AV737" s="115"/>
      <c r="AW737" s="115"/>
      <c r="AX737" s="115"/>
      <c r="AY737" s="115"/>
      <c r="AZ737" s="115"/>
      <c r="BA737" s="25">
        <v>45675</v>
      </c>
      <c r="BB737" s="15" t="s">
        <v>147</v>
      </c>
      <c r="BG737" s="116"/>
      <c r="BH737" s="123"/>
      <c r="BI737" s="123"/>
      <c r="BJ737" s="123"/>
      <c r="BO737" s="115"/>
      <c r="BP737" s="115"/>
      <c r="BQ737" s="115"/>
      <c r="BR737" s="115"/>
      <c r="BS737" s="115"/>
      <c r="BT737" s="115"/>
      <c r="BU737" s="115"/>
      <c r="BV737" s="115"/>
      <c r="BW737" s="115"/>
      <c r="BX737" s="115"/>
      <c r="BY737" s="25"/>
      <c r="BZ737" s="13"/>
      <c r="CC737" s="114"/>
    </row>
    <row r="738" spans="1:81" ht="20.100000000000001" customHeight="1" x14ac:dyDescent="0.4">
      <c r="A738" s="117"/>
      <c r="B738" s="123"/>
      <c r="C738" s="123"/>
      <c r="D738" s="123"/>
      <c r="AP738" s="127"/>
      <c r="AQ738" s="29"/>
      <c r="AS738" s="115"/>
      <c r="AT738" s="115"/>
      <c r="AU738" s="115"/>
      <c r="AV738" s="115"/>
      <c r="AW738" s="115"/>
      <c r="AX738" s="115"/>
      <c r="AY738" s="115"/>
      <c r="AZ738" s="115"/>
      <c r="BA738" s="25"/>
      <c r="BB738" s="13"/>
      <c r="BG738" s="116"/>
      <c r="BH738" s="123"/>
      <c r="BI738" s="123"/>
      <c r="BJ738" s="123"/>
      <c r="BO738" s="115"/>
      <c r="BP738" s="115"/>
      <c r="BQ738" s="115"/>
      <c r="BR738" s="115"/>
      <c r="BS738" s="115"/>
      <c r="BT738" s="115"/>
      <c r="BU738" s="115"/>
      <c r="BV738" s="115"/>
      <c r="BW738" s="115"/>
      <c r="BX738" s="115"/>
      <c r="BY738" s="25"/>
      <c r="BZ738" s="13"/>
      <c r="CC738" s="114"/>
    </row>
    <row r="739" spans="1:81" ht="20.100000000000001" customHeight="1" x14ac:dyDescent="0.4">
      <c r="A739" s="117"/>
      <c r="B739" s="123"/>
      <c r="C739" s="123"/>
      <c r="D739" s="123"/>
      <c r="AP739" s="127"/>
      <c r="AQ739" s="29"/>
      <c r="AS739" s="115"/>
      <c r="AT739" s="115"/>
      <c r="AU739" s="115"/>
      <c r="AV739" s="115"/>
      <c r="AW739" s="115"/>
      <c r="AX739" s="115"/>
      <c r="AY739" s="115"/>
      <c r="AZ739" s="115"/>
      <c r="BA739" s="25">
        <v>45675</v>
      </c>
      <c r="BB739" s="13" t="s">
        <v>147</v>
      </c>
      <c r="BG739" s="116"/>
      <c r="BH739" s="123"/>
      <c r="BI739" s="123"/>
      <c r="BJ739" s="123"/>
      <c r="BO739" s="115"/>
      <c r="BP739" s="115"/>
      <c r="BQ739" s="115"/>
      <c r="BR739" s="115"/>
      <c r="BS739" s="115"/>
      <c r="BT739" s="115"/>
      <c r="BU739" s="115"/>
      <c r="BV739" s="115"/>
      <c r="BW739" s="115"/>
      <c r="BX739" s="115"/>
      <c r="BY739" s="25"/>
      <c r="BZ739" s="13"/>
      <c r="CC739" s="114"/>
    </row>
    <row r="740" spans="1:81" ht="20.100000000000001" customHeight="1" x14ac:dyDescent="0.4">
      <c r="A740" s="117"/>
      <c r="B740" s="123"/>
      <c r="C740" s="123"/>
      <c r="D740" s="123"/>
      <c r="AD740" s="115"/>
      <c r="AE740" s="115"/>
      <c r="AF740" s="115"/>
      <c r="AG740" s="115"/>
      <c r="AH740" s="115"/>
      <c r="AI740" s="115"/>
      <c r="AJ740" s="115"/>
      <c r="AK740" s="115"/>
      <c r="AL740" s="115"/>
      <c r="AM740" s="115"/>
      <c r="AN740" s="115"/>
      <c r="AO740" s="115"/>
      <c r="AP740" s="127"/>
      <c r="AQ740" s="29"/>
      <c r="AS740" s="115"/>
      <c r="AT740" s="115"/>
      <c r="AU740" s="115"/>
      <c r="AV740" s="115"/>
      <c r="AW740" s="115"/>
      <c r="AX740" s="115"/>
      <c r="AY740" s="115"/>
      <c r="AZ740" s="115"/>
      <c r="BA740" s="25"/>
      <c r="BB740" s="13"/>
      <c r="BG740" s="116"/>
      <c r="BH740" s="123"/>
      <c r="BI740" s="123"/>
      <c r="BJ740" s="123"/>
      <c r="BO740" s="115"/>
      <c r="BP740" s="115"/>
      <c r="BQ740" s="115"/>
      <c r="BR740" s="115"/>
      <c r="BS740" s="115"/>
      <c r="BT740" s="115"/>
      <c r="BU740" s="115"/>
      <c r="BV740" s="115"/>
      <c r="BW740" s="115"/>
      <c r="BX740" s="115"/>
      <c r="BY740" s="25"/>
      <c r="BZ740" s="13"/>
      <c r="CC740" s="114"/>
    </row>
    <row r="741" spans="1:81" ht="20.100000000000001" customHeight="1" x14ac:dyDescent="0.4">
      <c r="A741" s="117"/>
      <c r="B741" s="123"/>
      <c r="C741" s="123"/>
      <c r="D741" s="123"/>
      <c r="AP741" s="127"/>
      <c r="AQ741" s="29"/>
      <c r="AS741" s="115"/>
      <c r="AT741" s="115"/>
      <c r="AU741" s="115"/>
      <c r="AV741" s="115"/>
      <c r="AW741" s="115"/>
      <c r="AX741" s="115"/>
      <c r="AY741" s="115"/>
      <c r="AZ741" s="115"/>
      <c r="BA741" s="25"/>
      <c r="BB741" s="13"/>
      <c r="BG741" s="116"/>
      <c r="BH741" s="123"/>
      <c r="BI741" s="123"/>
      <c r="BJ741" s="123"/>
      <c r="BO741" s="115"/>
      <c r="BP741" s="115"/>
      <c r="BQ741" s="115"/>
      <c r="BR741" s="115"/>
      <c r="BS741" s="115"/>
      <c r="BT741" s="115"/>
      <c r="BU741" s="115"/>
      <c r="BV741" s="115"/>
      <c r="BW741" s="115"/>
      <c r="BX741" s="115"/>
      <c r="BY741" s="25"/>
      <c r="BZ741" s="13"/>
      <c r="CC741" s="114"/>
    </row>
    <row r="742" spans="1:81" ht="20.100000000000001" customHeight="1" x14ac:dyDescent="0.4">
      <c r="A742" s="117"/>
      <c r="B742" s="123"/>
      <c r="C742" s="123"/>
      <c r="D742" s="123"/>
      <c r="AF742" s="115"/>
      <c r="AG742" s="115"/>
      <c r="AH742" s="115"/>
      <c r="AI742" s="115"/>
      <c r="AJ742" s="115"/>
      <c r="AK742" s="115"/>
      <c r="AL742" s="115"/>
      <c r="AM742" s="115"/>
      <c r="AN742" s="115"/>
      <c r="AO742" s="115"/>
      <c r="AP742" s="127"/>
      <c r="AQ742" s="29"/>
      <c r="AS742" s="115"/>
      <c r="AT742" s="115"/>
      <c r="AU742" s="115"/>
      <c r="AV742" s="115"/>
      <c r="AW742" s="115"/>
      <c r="AX742" s="115"/>
      <c r="AY742" s="115"/>
      <c r="AZ742" s="115"/>
      <c r="BA742" s="25"/>
      <c r="BB742" s="13"/>
      <c r="BG742" s="116"/>
      <c r="BH742" s="123"/>
      <c r="BI742" s="123"/>
      <c r="BJ742" s="123"/>
      <c r="BO742" s="115"/>
      <c r="BP742" s="115"/>
      <c r="BQ742" s="115"/>
      <c r="BR742" s="115"/>
      <c r="BS742" s="115"/>
      <c r="BT742" s="115"/>
      <c r="BU742" s="115"/>
      <c r="BV742" s="115"/>
      <c r="BW742" s="115"/>
      <c r="BX742" s="115"/>
      <c r="BY742" s="25"/>
      <c r="BZ742" s="13"/>
      <c r="CC742" s="114"/>
    </row>
    <row r="743" spans="1:81" ht="20.100000000000001" customHeight="1" x14ac:dyDescent="0.4">
      <c r="A743" s="117"/>
      <c r="B743" s="123"/>
      <c r="C743" s="123"/>
      <c r="D743" s="123"/>
      <c r="AF743" s="115"/>
      <c r="AG743" s="115"/>
      <c r="AH743" s="115"/>
      <c r="AI743" s="115"/>
      <c r="AJ743" s="115"/>
      <c r="AK743" s="115"/>
      <c r="AL743" s="115"/>
      <c r="AM743" s="115"/>
      <c r="AN743" s="115"/>
      <c r="AO743" s="115"/>
      <c r="AP743" s="29"/>
      <c r="AQ743" s="29"/>
      <c r="AS743" s="115"/>
      <c r="AT743" s="115"/>
      <c r="AU743" s="115"/>
      <c r="AV743" s="115"/>
      <c r="AW743" s="115"/>
      <c r="AX743" s="115"/>
      <c r="AY743" s="115"/>
      <c r="AZ743" s="115"/>
      <c r="BA743" s="25"/>
      <c r="BB743" s="13"/>
      <c r="BG743" s="116"/>
      <c r="BH743" s="123"/>
      <c r="BI743" s="123"/>
      <c r="BJ743" s="123"/>
      <c r="BO743" s="115"/>
      <c r="BP743" s="115"/>
      <c r="BQ743" s="115"/>
      <c r="BR743" s="115"/>
      <c r="BS743" s="115"/>
      <c r="BT743" s="115"/>
      <c r="BU743" s="115"/>
      <c r="BV743" s="115"/>
      <c r="BW743" s="115"/>
      <c r="BX743" s="115"/>
      <c r="BY743" s="25"/>
      <c r="BZ743" s="13"/>
      <c r="CC743" s="114"/>
    </row>
    <row r="744" spans="1:81" ht="20.100000000000001" customHeight="1" x14ac:dyDescent="0.4">
      <c r="A744" s="117"/>
      <c r="B744" s="123"/>
      <c r="C744" s="123"/>
      <c r="D744" s="123"/>
      <c r="AE744" s="115"/>
      <c r="AF744" s="115"/>
      <c r="AG744" s="115"/>
      <c r="AH744" s="115"/>
      <c r="AI744" s="115"/>
      <c r="AJ744" s="115"/>
      <c r="AK744" s="115"/>
      <c r="AL744" s="115"/>
      <c r="AM744" s="115"/>
      <c r="AN744" s="115"/>
      <c r="AO744" s="115"/>
      <c r="AP744" s="127"/>
      <c r="AQ744" s="127"/>
      <c r="AS744" s="115"/>
      <c r="AT744" s="115"/>
      <c r="AU744" s="115"/>
      <c r="AV744" s="115"/>
      <c r="AW744" s="115"/>
      <c r="AX744" s="115"/>
      <c r="AY744" s="115"/>
      <c r="AZ744" s="115"/>
      <c r="BA744" s="25"/>
      <c r="BB744" s="13"/>
      <c r="BG744" s="116"/>
      <c r="BH744" s="123"/>
      <c r="BI744" s="123"/>
      <c r="BJ744" s="123"/>
      <c r="BO744" s="115"/>
      <c r="BP744" s="115"/>
      <c r="BQ744" s="115"/>
      <c r="BR744" s="115"/>
      <c r="BS744" s="115"/>
      <c r="BT744" s="115"/>
      <c r="BU744" s="115"/>
      <c r="BV744" s="115"/>
      <c r="BW744" s="115"/>
      <c r="BX744" s="115"/>
      <c r="BY744" s="25"/>
      <c r="BZ744" s="13"/>
      <c r="CC744" s="114"/>
    </row>
    <row r="745" spans="1:81" ht="20.100000000000001" customHeight="1" x14ac:dyDescent="0.4">
      <c r="A745" s="117"/>
      <c r="B745" s="123"/>
      <c r="C745" s="123"/>
      <c r="D745" s="123"/>
      <c r="AP745" s="127"/>
      <c r="AQ745" s="127"/>
      <c r="AS745" s="115"/>
      <c r="AT745" s="115"/>
      <c r="AU745" s="115"/>
      <c r="AV745" s="115"/>
      <c r="AW745" s="115"/>
      <c r="AX745" s="115"/>
      <c r="AY745" s="115"/>
      <c r="AZ745" s="115"/>
      <c r="BA745" s="25"/>
      <c r="BB745" s="13"/>
      <c r="BG745" s="116"/>
      <c r="BH745" s="123"/>
      <c r="BI745" s="123"/>
      <c r="BJ745" s="123"/>
      <c r="BO745" s="115"/>
      <c r="BP745" s="115"/>
      <c r="BQ745" s="115"/>
      <c r="BR745" s="115"/>
      <c r="BS745" s="115"/>
      <c r="BT745" s="115"/>
      <c r="BU745" s="115"/>
      <c r="BV745" s="115"/>
      <c r="BW745" s="115"/>
      <c r="BX745" s="115"/>
      <c r="BY745" s="25"/>
      <c r="BZ745" s="13"/>
      <c r="CC745" s="114"/>
    </row>
    <row r="746" spans="1:81" ht="20.100000000000001" customHeight="1" x14ac:dyDescent="0.4">
      <c r="A746" s="117"/>
      <c r="B746" s="123"/>
      <c r="C746" s="123"/>
      <c r="D746" s="123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  <c r="AK746" s="115"/>
      <c r="AL746" s="115"/>
      <c r="AM746" s="115"/>
      <c r="AN746" s="115"/>
      <c r="AO746" s="115"/>
      <c r="AP746" s="127"/>
      <c r="AQ746" s="127"/>
      <c r="AS746" s="115"/>
      <c r="AT746" s="115"/>
      <c r="AU746" s="115"/>
      <c r="AV746" s="115"/>
      <c r="AW746" s="115"/>
      <c r="AX746" s="115"/>
      <c r="AY746" s="115"/>
      <c r="AZ746" s="115"/>
      <c r="BA746" s="25"/>
      <c r="BB746" s="13"/>
      <c r="BG746" s="116"/>
      <c r="BH746" s="123"/>
      <c r="BI746" s="123"/>
      <c r="BJ746" s="123"/>
      <c r="BO746" s="115"/>
      <c r="BP746" s="115"/>
      <c r="BQ746" s="115"/>
      <c r="BR746" s="115"/>
      <c r="BS746" s="115"/>
      <c r="BT746" s="115"/>
      <c r="BU746" s="115"/>
      <c r="BV746" s="115"/>
      <c r="BW746" s="115"/>
      <c r="BX746" s="115"/>
      <c r="BY746" s="25"/>
      <c r="BZ746" s="13"/>
      <c r="CC746" s="114"/>
    </row>
    <row r="747" spans="1:81" ht="20.100000000000001" customHeight="1" x14ac:dyDescent="0.4">
      <c r="A747" s="117"/>
      <c r="B747" s="123"/>
      <c r="C747" s="123"/>
      <c r="D747" s="123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  <c r="AK747" s="115"/>
      <c r="AL747" s="115"/>
      <c r="AM747" s="115"/>
      <c r="AN747" s="115"/>
      <c r="AO747" s="115"/>
      <c r="AP747" s="127"/>
      <c r="AQ747" s="29"/>
      <c r="AS747" s="115"/>
      <c r="AT747" s="115"/>
      <c r="AU747" s="115"/>
      <c r="AV747" s="115"/>
      <c r="AW747" s="115"/>
      <c r="AX747" s="115"/>
      <c r="AY747" s="115"/>
      <c r="AZ747" s="115"/>
      <c r="BA747" s="25"/>
      <c r="BB747" s="13"/>
      <c r="BG747" s="116"/>
      <c r="BH747" s="123"/>
      <c r="BI747" s="123"/>
      <c r="BJ747" s="123"/>
      <c r="BO747" s="115"/>
      <c r="BP747" s="115"/>
      <c r="BQ747" s="115"/>
      <c r="BR747" s="115"/>
      <c r="BS747" s="115"/>
      <c r="BT747" s="115"/>
      <c r="BU747" s="115"/>
      <c r="BV747" s="115"/>
      <c r="BW747" s="115"/>
      <c r="BX747" s="115"/>
      <c r="BY747" s="25"/>
      <c r="BZ747" s="13"/>
      <c r="CC747" s="114"/>
    </row>
    <row r="748" spans="1:81" ht="20.100000000000001" customHeight="1" x14ac:dyDescent="0.4">
      <c r="A748" s="117"/>
      <c r="B748" s="123"/>
      <c r="C748" s="123"/>
      <c r="D748" s="123"/>
      <c r="AP748" s="127"/>
      <c r="AQ748" s="29"/>
      <c r="AR748" s="115"/>
      <c r="AS748" s="115"/>
      <c r="AT748" s="115"/>
      <c r="AU748" s="115"/>
      <c r="AV748" s="115"/>
      <c r="AW748" s="115"/>
      <c r="AX748" s="115"/>
      <c r="AY748" s="115"/>
      <c r="AZ748" s="115"/>
      <c r="BA748" s="25">
        <v>45675</v>
      </c>
      <c r="BB748" s="13" t="s">
        <v>146</v>
      </c>
      <c r="BG748" s="116"/>
      <c r="BH748" s="123"/>
      <c r="BI748" s="123"/>
      <c r="BJ748" s="123"/>
      <c r="BO748" s="115"/>
      <c r="BP748" s="115"/>
      <c r="BQ748" s="115"/>
      <c r="BR748" s="115"/>
      <c r="BS748" s="115"/>
      <c r="BT748" s="115"/>
      <c r="BU748" s="115"/>
      <c r="BV748" s="115"/>
      <c r="BW748" s="115"/>
      <c r="BX748" s="115"/>
      <c r="BY748" s="25"/>
      <c r="BZ748" s="13"/>
      <c r="CC748" s="114"/>
    </row>
    <row r="749" spans="1:81" ht="20.100000000000001" customHeight="1" x14ac:dyDescent="0.4">
      <c r="A749" s="117"/>
      <c r="B749" s="123"/>
      <c r="C749" s="123"/>
      <c r="D749" s="123"/>
      <c r="AH749" s="115"/>
      <c r="AI749" s="115"/>
      <c r="AJ749" s="115"/>
      <c r="AK749" s="115"/>
      <c r="AL749" s="115"/>
      <c r="AM749" s="115"/>
      <c r="AN749" s="115"/>
      <c r="AO749" s="115"/>
      <c r="AP749" s="29"/>
      <c r="AQ749" s="29"/>
      <c r="AR749" s="115"/>
      <c r="AS749" s="115"/>
      <c r="AT749" s="115"/>
      <c r="AU749" s="115"/>
      <c r="AV749" s="115"/>
      <c r="AW749" s="115"/>
      <c r="AX749" s="115"/>
      <c r="AY749" s="115"/>
      <c r="AZ749" s="115"/>
      <c r="BA749" s="25"/>
      <c r="BB749" s="13"/>
      <c r="BG749" s="116"/>
      <c r="BH749" s="123"/>
      <c r="BI749" s="123"/>
      <c r="BJ749" s="123"/>
      <c r="BO749" s="115"/>
      <c r="BP749" s="115"/>
      <c r="BQ749" s="115"/>
      <c r="BR749" s="115"/>
      <c r="BS749" s="115"/>
      <c r="BT749" s="115"/>
      <c r="BU749" s="115"/>
      <c r="BV749" s="115"/>
      <c r="BW749" s="115"/>
      <c r="BX749" s="115"/>
      <c r="BY749" s="25"/>
      <c r="BZ749" s="13"/>
      <c r="CC749" s="114"/>
    </row>
    <row r="750" spans="1:81" ht="20.100000000000001" customHeight="1" x14ac:dyDescent="0.4">
      <c r="A750" s="117"/>
      <c r="B750" s="123"/>
      <c r="C750" s="123"/>
      <c r="D750" s="123"/>
      <c r="AP750" s="127"/>
      <c r="AQ750" s="29"/>
      <c r="AR750" s="115"/>
      <c r="AS750" s="115"/>
      <c r="AT750" s="115"/>
      <c r="AU750" s="115"/>
      <c r="AV750" s="115"/>
      <c r="AW750" s="115"/>
      <c r="AX750" s="115"/>
      <c r="AY750" s="115"/>
      <c r="AZ750" s="115"/>
      <c r="BA750" s="25">
        <v>45676</v>
      </c>
      <c r="BB750" s="13" t="s">
        <v>148</v>
      </c>
      <c r="BG750" s="116"/>
      <c r="BH750" s="123"/>
      <c r="BI750" s="123"/>
      <c r="BJ750" s="123"/>
      <c r="BO750" s="115"/>
      <c r="BP750" s="115"/>
      <c r="BQ750" s="115"/>
      <c r="BR750" s="115"/>
      <c r="BS750" s="115"/>
      <c r="BT750" s="115"/>
      <c r="BU750" s="115"/>
      <c r="BV750" s="115"/>
      <c r="BW750" s="115"/>
      <c r="BX750" s="115"/>
      <c r="BY750" s="25"/>
      <c r="BZ750" s="13"/>
      <c r="CC750" s="114"/>
    </row>
    <row r="751" spans="1:81" ht="20.100000000000001" customHeight="1" x14ac:dyDescent="0.4">
      <c r="A751" s="117"/>
      <c r="B751" s="123"/>
      <c r="C751" s="123"/>
      <c r="D751" s="123"/>
      <c r="AH751" s="115"/>
      <c r="AI751" s="115"/>
      <c r="AJ751" s="115"/>
      <c r="AK751" s="115"/>
      <c r="AL751" s="115"/>
      <c r="AM751" s="115"/>
      <c r="AN751" s="115"/>
      <c r="AO751" s="115"/>
      <c r="AP751" s="29"/>
      <c r="AQ751" s="29"/>
      <c r="AR751" s="115"/>
      <c r="AS751" s="115"/>
      <c r="AT751" s="115"/>
      <c r="AU751" s="115"/>
      <c r="AV751" s="115"/>
      <c r="AW751" s="115"/>
      <c r="AX751" s="115"/>
      <c r="AY751" s="115"/>
      <c r="AZ751" s="115"/>
      <c r="BA751" s="25"/>
      <c r="BB751" s="13"/>
      <c r="BG751" s="116"/>
      <c r="BH751" s="123"/>
      <c r="BI751" s="123"/>
      <c r="BJ751" s="123"/>
      <c r="BO751" s="115"/>
      <c r="BP751" s="115"/>
      <c r="BQ751" s="115"/>
      <c r="BR751" s="115"/>
      <c r="BS751" s="115"/>
      <c r="BT751" s="115"/>
      <c r="BU751" s="115"/>
      <c r="BV751" s="115"/>
      <c r="BW751" s="115"/>
      <c r="BX751" s="115"/>
      <c r="BY751" s="25"/>
      <c r="BZ751" s="13"/>
      <c r="CC751" s="114"/>
    </row>
    <row r="752" spans="1:81" ht="20.100000000000001" customHeight="1" x14ac:dyDescent="0.4">
      <c r="A752" s="117"/>
      <c r="B752" s="123"/>
      <c r="C752" s="123"/>
      <c r="D752" s="123"/>
      <c r="AG752" s="115"/>
      <c r="AH752" s="115"/>
      <c r="AI752" s="115"/>
      <c r="AJ752" s="115"/>
      <c r="AK752" s="115"/>
      <c r="AL752" s="115"/>
      <c r="AM752" s="115"/>
      <c r="AN752" s="115"/>
      <c r="AO752" s="115"/>
      <c r="AP752" s="127"/>
      <c r="AQ752" s="29"/>
      <c r="AR752" s="115"/>
      <c r="AS752" s="115"/>
      <c r="AT752" s="115"/>
      <c r="AU752" s="115"/>
      <c r="AV752" s="115"/>
      <c r="AW752" s="115"/>
      <c r="AX752" s="115"/>
      <c r="AY752" s="115"/>
      <c r="AZ752" s="115"/>
      <c r="BA752" s="25"/>
      <c r="BB752" s="13"/>
      <c r="BG752" s="116"/>
      <c r="BH752" s="123"/>
      <c r="BI752" s="123"/>
      <c r="BJ752" s="123"/>
      <c r="BO752" s="115"/>
      <c r="BP752" s="115"/>
      <c r="BQ752" s="115"/>
      <c r="BR752" s="115"/>
      <c r="BS752" s="115"/>
      <c r="BT752" s="115"/>
      <c r="BU752" s="115"/>
      <c r="BV752" s="115"/>
      <c r="BW752" s="115"/>
      <c r="BX752" s="115"/>
      <c r="BY752" s="25"/>
      <c r="BZ752" s="13"/>
      <c r="CC752" s="114"/>
    </row>
    <row r="753" spans="1:81" ht="20.100000000000001" customHeight="1" x14ac:dyDescent="0.4">
      <c r="A753" s="117"/>
      <c r="B753" s="123"/>
      <c r="C753" s="123"/>
      <c r="D753" s="123"/>
      <c r="AG753" s="115"/>
      <c r="AH753" s="115"/>
      <c r="AI753" s="115"/>
      <c r="AJ753" s="115"/>
      <c r="AK753" s="115"/>
      <c r="AL753" s="115"/>
      <c r="AM753" s="115"/>
      <c r="AN753" s="115"/>
      <c r="AO753" s="115"/>
      <c r="AP753" s="29"/>
      <c r="AQ753" s="29"/>
      <c r="AR753" s="115"/>
      <c r="AS753" s="115"/>
      <c r="AT753" s="115"/>
      <c r="AU753" s="115"/>
      <c r="AV753" s="115"/>
      <c r="AW753" s="115"/>
      <c r="AX753" s="115"/>
      <c r="AY753" s="115"/>
      <c r="AZ753" s="115"/>
      <c r="BA753" s="25"/>
      <c r="BB753" s="13"/>
      <c r="BG753" s="116"/>
      <c r="BH753" s="123"/>
      <c r="BI753" s="123"/>
      <c r="BJ753" s="123"/>
      <c r="BO753" s="115"/>
      <c r="BP753" s="115"/>
      <c r="BQ753" s="115"/>
      <c r="BR753" s="115"/>
      <c r="BS753" s="115"/>
      <c r="BT753" s="115"/>
      <c r="BU753" s="115"/>
      <c r="BV753" s="115"/>
      <c r="BW753" s="115"/>
      <c r="BX753" s="115"/>
      <c r="BY753" s="25"/>
      <c r="BZ753" s="13"/>
      <c r="CC753" s="114"/>
    </row>
    <row r="754" spans="1:81" ht="20.100000000000001" customHeight="1" x14ac:dyDescent="0.4">
      <c r="A754" s="117"/>
      <c r="B754" s="123"/>
      <c r="C754" s="123"/>
      <c r="D754" s="123"/>
      <c r="AC754" s="115"/>
      <c r="AD754" s="115"/>
      <c r="AE754" s="115"/>
      <c r="AF754" s="115"/>
      <c r="AG754" s="115"/>
      <c r="AH754" s="115"/>
      <c r="AI754" s="115"/>
      <c r="AJ754" s="115"/>
      <c r="AK754" s="115"/>
      <c r="AL754" s="115"/>
      <c r="AM754" s="115"/>
      <c r="AN754" s="115"/>
      <c r="AO754" s="115"/>
      <c r="AP754" s="127"/>
      <c r="AQ754" s="29"/>
      <c r="AR754" s="115"/>
      <c r="AS754" s="115"/>
      <c r="AT754" s="115"/>
      <c r="AU754" s="115"/>
      <c r="AV754" s="115"/>
      <c r="AW754" s="115"/>
      <c r="AX754" s="115"/>
      <c r="AY754" s="115"/>
      <c r="AZ754" s="115"/>
      <c r="BA754" s="25"/>
      <c r="BB754" s="13"/>
      <c r="BG754" s="116"/>
      <c r="BH754" s="123"/>
      <c r="BI754" s="123"/>
      <c r="BJ754" s="123"/>
      <c r="BO754" s="115"/>
      <c r="BP754" s="115"/>
      <c r="BQ754" s="115"/>
      <c r="BR754" s="115"/>
      <c r="BS754" s="115"/>
      <c r="BT754" s="115"/>
      <c r="BU754" s="115"/>
      <c r="BV754" s="115"/>
      <c r="BW754" s="115"/>
      <c r="BX754" s="115"/>
      <c r="BY754" s="25"/>
      <c r="BZ754" s="13"/>
      <c r="CC754" s="114"/>
    </row>
    <row r="755" spans="1:81" ht="20.100000000000001" customHeight="1" x14ac:dyDescent="0.4">
      <c r="A755" s="117"/>
      <c r="B755" s="123"/>
      <c r="C755" s="123"/>
      <c r="D755" s="123"/>
      <c r="AC755" s="115"/>
      <c r="AD755" s="115"/>
      <c r="AE755" s="115"/>
      <c r="AF755" s="115"/>
      <c r="AG755" s="115"/>
      <c r="AH755" s="115"/>
      <c r="AI755" s="115"/>
      <c r="AJ755" s="115"/>
      <c r="AK755" s="115"/>
      <c r="AL755" s="115"/>
      <c r="AM755" s="115"/>
      <c r="AN755" s="115"/>
      <c r="AO755" s="115"/>
      <c r="AP755" s="127"/>
      <c r="AQ755" s="29"/>
      <c r="AR755" s="115"/>
      <c r="AS755" s="115"/>
      <c r="AT755" s="115"/>
      <c r="AU755" s="115"/>
      <c r="AV755" s="115"/>
      <c r="AW755" s="115"/>
      <c r="AX755" s="115"/>
      <c r="AY755" s="115"/>
      <c r="AZ755" s="115"/>
      <c r="BA755" s="25"/>
      <c r="BB755" s="13"/>
      <c r="BG755" s="116"/>
      <c r="BH755" s="123"/>
      <c r="BI755" s="123"/>
      <c r="BJ755" s="123"/>
      <c r="BO755" s="115"/>
      <c r="BP755" s="115"/>
      <c r="BQ755" s="115"/>
      <c r="BR755" s="115"/>
      <c r="BS755" s="115"/>
      <c r="BT755" s="115"/>
      <c r="BU755" s="115"/>
      <c r="BV755" s="115"/>
      <c r="BW755" s="115"/>
      <c r="BX755" s="115"/>
      <c r="BY755" s="25"/>
      <c r="BZ755" s="13"/>
      <c r="CC755" s="114"/>
    </row>
    <row r="756" spans="1:81" ht="20.100000000000001" customHeight="1" x14ac:dyDescent="0.4">
      <c r="A756" s="117"/>
      <c r="B756" s="123"/>
      <c r="C756" s="123"/>
      <c r="D756" s="123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  <c r="AK756" s="115"/>
      <c r="AL756" s="115"/>
      <c r="AM756" s="115"/>
      <c r="AN756" s="115"/>
      <c r="AO756" s="115"/>
      <c r="AP756" s="127"/>
      <c r="AQ756" s="29"/>
      <c r="AR756" s="115"/>
      <c r="AS756" s="115"/>
      <c r="AT756" s="115"/>
      <c r="AU756" s="115"/>
      <c r="AV756" s="115"/>
      <c r="AW756" s="115"/>
      <c r="AX756" s="115"/>
      <c r="AY756" s="115"/>
      <c r="AZ756" s="115"/>
      <c r="BA756" s="25"/>
      <c r="BB756" s="13"/>
      <c r="BG756" s="116"/>
      <c r="BH756" s="123"/>
      <c r="BI756" s="123"/>
      <c r="BJ756" s="123"/>
      <c r="BO756" s="115"/>
      <c r="BP756" s="115"/>
      <c r="BQ756" s="115"/>
      <c r="BR756" s="115"/>
      <c r="BS756" s="115"/>
      <c r="BT756" s="115"/>
      <c r="BU756" s="115"/>
      <c r="BV756" s="115"/>
      <c r="BW756" s="115"/>
      <c r="BX756" s="115"/>
      <c r="BY756" s="25"/>
      <c r="BZ756" s="13"/>
      <c r="CC756" s="114"/>
    </row>
    <row r="757" spans="1:81" ht="20.100000000000001" customHeight="1" x14ac:dyDescent="0.4">
      <c r="A757" s="117"/>
      <c r="B757" s="123"/>
      <c r="C757" s="123"/>
      <c r="D757" s="123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  <c r="AK757" s="115"/>
      <c r="AL757" s="115"/>
      <c r="AM757" s="115"/>
      <c r="AN757" s="115"/>
      <c r="AO757" s="115"/>
      <c r="AP757" s="127"/>
      <c r="AQ757" s="29"/>
      <c r="AR757" s="115"/>
      <c r="AS757" s="115"/>
      <c r="AT757" s="115"/>
      <c r="AU757" s="115"/>
      <c r="AV757" s="115"/>
      <c r="AW757" s="115"/>
      <c r="AX757" s="115"/>
      <c r="AY757" s="115"/>
      <c r="AZ757" s="115"/>
      <c r="BA757" s="25"/>
      <c r="BB757" s="13"/>
      <c r="BG757" s="116"/>
      <c r="BH757" s="123"/>
      <c r="BI757" s="123"/>
      <c r="BJ757" s="123"/>
      <c r="BO757" s="115"/>
      <c r="BP757" s="115"/>
      <c r="BQ757" s="115"/>
      <c r="BR757" s="115"/>
      <c r="BS757" s="115"/>
      <c r="BT757" s="115"/>
      <c r="BU757" s="115"/>
      <c r="BV757" s="115"/>
      <c r="BW757" s="115"/>
      <c r="BX757" s="115"/>
      <c r="BY757" s="25"/>
      <c r="BZ757" s="13"/>
      <c r="CC757" s="114"/>
    </row>
    <row r="758" spans="1:81" ht="20.100000000000001" customHeight="1" x14ac:dyDescent="0.4">
      <c r="A758" s="117"/>
      <c r="B758" s="123"/>
      <c r="C758" s="123"/>
      <c r="D758" s="123"/>
      <c r="AP758" s="127"/>
      <c r="AQ758" s="29"/>
      <c r="AR758" s="115"/>
      <c r="AS758" s="115"/>
      <c r="AT758" s="115"/>
      <c r="AU758" s="115"/>
      <c r="AV758" s="115"/>
      <c r="AW758" s="115"/>
      <c r="AX758" s="115"/>
      <c r="AY758" s="115"/>
      <c r="AZ758" s="115"/>
      <c r="BA758" s="25">
        <v>45677</v>
      </c>
      <c r="BB758" s="13" t="s">
        <v>146</v>
      </c>
      <c r="BG758" s="116"/>
      <c r="BH758" s="123"/>
      <c r="BI758" s="123"/>
      <c r="BJ758" s="123"/>
      <c r="BO758" s="115"/>
      <c r="BP758" s="115"/>
      <c r="BQ758" s="115"/>
      <c r="BR758" s="115"/>
      <c r="BS758" s="115"/>
      <c r="BT758" s="115"/>
      <c r="BU758" s="115"/>
      <c r="BV758" s="115"/>
      <c r="BW758" s="115"/>
      <c r="BX758" s="115"/>
      <c r="BY758" s="25"/>
      <c r="BZ758" s="13"/>
      <c r="CC758" s="114"/>
    </row>
    <row r="759" spans="1:81" ht="20.100000000000001" customHeight="1" x14ac:dyDescent="0.4">
      <c r="A759" s="117"/>
      <c r="B759" s="123"/>
      <c r="C759" s="123"/>
      <c r="D759" s="123"/>
      <c r="AB759" s="115"/>
      <c r="AC759" s="115"/>
      <c r="AD759" s="115"/>
      <c r="AE759" s="115"/>
      <c r="AF759" s="115"/>
      <c r="AG759" s="115"/>
      <c r="AH759" s="115"/>
      <c r="AI759" s="115"/>
      <c r="AJ759" s="115"/>
      <c r="AK759" s="115"/>
      <c r="AL759" s="115"/>
      <c r="AM759" s="115"/>
      <c r="AN759" s="115"/>
      <c r="AO759" s="115"/>
      <c r="AP759" s="127"/>
      <c r="AQ759" s="29"/>
      <c r="AR759" s="115"/>
      <c r="AS759" s="115"/>
      <c r="AT759" s="115"/>
      <c r="AU759" s="115"/>
      <c r="AV759" s="115"/>
      <c r="AW759" s="115"/>
      <c r="AX759" s="115"/>
      <c r="AY759" s="115"/>
      <c r="AZ759" s="115"/>
      <c r="BA759" s="25"/>
      <c r="BB759" s="13"/>
      <c r="BG759" s="116"/>
      <c r="BH759" s="123"/>
      <c r="BI759" s="123"/>
      <c r="BJ759" s="123"/>
      <c r="BO759" s="115"/>
      <c r="BP759" s="115"/>
      <c r="BQ759" s="115"/>
      <c r="BR759" s="115"/>
      <c r="BS759" s="115"/>
      <c r="BT759" s="115"/>
      <c r="BU759" s="115"/>
      <c r="BV759" s="115"/>
      <c r="BW759" s="115"/>
      <c r="BX759" s="115"/>
      <c r="BY759" s="25"/>
      <c r="BZ759" s="13"/>
      <c r="CC759" s="114"/>
    </row>
    <row r="760" spans="1:81" ht="20.100000000000001" customHeight="1" x14ac:dyDescent="0.4">
      <c r="A760" s="117"/>
      <c r="B760" s="123"/>
      <c r="C760" s="123"/>
      <c r="D760" s="123"/>
      <c r="AP760" s="127"/>
      <c r="AQ760" s="29"/>
      <c r="AR760" s="115"/>
      <c r="AS760" s="115"/>
      <c r="AT760" s="115"/>
      <c r="AU760" s="115"/>
      <c r="AV760" s="115"/>
      <c r="AW760" s="115"/>
      <c r="AX760" s="115"/>
      <c r="AY760" s="115"/>
      <c r="AZ760" s="115"/>
      <c r="BA760" s="25"/>
      <c r="BB760" s="13"/>
      <c r="BG760" s="116"/>
      <c r="BH760" s="123"/>
      <c r="BI760" s="123"/>
      <c r="BJ760" s="123"/>
      <c r="BO760" s="115"/>
      <c r="BP760" s="115"/>
      <c r="BQ760" s="115"/>
      <c r="BR760" s="115"/>
      <c r="BS760" s="115"/>
      <c r="BT760" s="115"/>
      <c r="BU760" s="115"/>
      <c r="BV760" s="115"/>
      <c r="BW760" s="115"/>
      <c r="BX760" s="115"/>
      <c r="BY760" s="25"/>
      <c r="BZ760" s="13"/>
      <c r="CC760" s="114"/>
    </row>
    <row r="761" spans="1:81" ht="20.100000000000001" customHeight="1" x14ac:dyDescent="0.4">
      <c r="A761" s="117"/>
      <c r="B761" s="123"/>
      <c r="C761" s="123"/>
      <c r="D761" s="123"/>
      <c r="AD761" s="115"/>
      <c r="AE761" s="115"/>
      <c r="AF761" s="115"/>
      <c r="AG761" s="115"/>
      <c r="AH761" s="115"/>
      <c r="AI761" s="115"/>
      <c r="AJ761" s="115"/>
      <c r="AK761" s="115"/>
      <c r="AL761" s="115"/>
      <c r="AM761" s="115"/>
      <c r="AN761" s="115"/>
      <c r="AO761" s="115"/>
      <c r="AP761" s="127"/>
      <c r="AQ761" s="29"/>
      <c r="AR761" s="115"/>
      <c r="AS761" s="115"/>
      <c r="AT761" s="115"/>
      <c r="AU761" s="115"/>
      <c r="AV761" s="115"/>
      <c r="AW761" s="115"/>
      <c r="AX761" s="115"/>
      <c r="AY761" s="115"/>
      <c r="AZ761" s="115"/>
      <c r="BA761" s="25"/>
      <c r="BB761" s="13"/>
      <c r="BG761" s="116"/>
      <c r="BH761" s="123"/>
      <c r="BI761" s="123"/>
      <c r="BJ761" s="123"/>
      <c r="BO761" s="115"/>
      <c r="BP761" s="115"/>
      <c r="BQ761" s="115"/>
      <c r="BR761" s="115"/>
      <c r="BS761" s="115"/>
      <c r="BT761" s="115"/>
      <c r="BU761" s="115"/>
      <c r="BV761" s="115"/>
      <c r="BW761" s="115"/>
      <c r="BX761" s="115"/>
      <c r="BY761" s="25"/>
      <c r="BZ761" s="13"/>
      <c r="CC761" s="114"/>
    </row>
    <row r="762" spans="1:81" ht="20.100000000000001" customHeight="1" x14ac:dyDescent="0.4">
      <c r="A762" s="117"/>
      <c r="B762" s="123"/>
      <c r="C762" s="123"/>
      <c r="D762" s="123"/>
      <c r="AD762" s="115"/>
      <c r="AE762" s="115"/>
      <c r="AF762" s="115"/>
      <c r="AG762" s="115"/>
      <c r="AH762" s="115"/>
      <c r="AI762" s="115"/>
      <c r="AJ762" s="115"/>
      <c r="AK762" s="115"/>
      <c r="AL762" s="115"/>
      <c r="AM762" s="115"/>
      <c r="AN762" s="115"/>
      <c r="AO762" s="115"/>
      <c r="AP762" s="127"/>
      <c r="AQ762" s="29"/>
      <c r="AR762" s="115"/>
      <c r="AS762" s="115"/>
      <c r="AT762" s="115"/>
      <c r="AU762" s="115"/>
      <c r="AV762" s="115"/>
      <c r="AW762" s="115"/>
      <c r="AX762" s="115"/>
      <c r="AY762" s="115"/>
      <c r="AZ762" s="115"/>
      <c r="BA762" s="25"/>
      <c r="BB762" s="13"/>
      <c r="BG762" s="116"/>
      <c r="BH762" s="123"/>
      <c r="BI762" s="123"/>
      <c r="BJ762" s="123"/>
      <c r="BO762" s="115"/>
      <c r="BP762" s="115"/>
      <c r="BQ762" s="115"/>
      <c r="BR762" s="115"/>
      <c r="BS762" s="115"/>
      <c r="BT762" s="115"/>
      <c r="BU762" s="115"/>
      <c r="BV762" s="115"/>
      <c r="BW762" s="115"/>
      <c r="BX762" s="115"/>
      <c r="BY762" s="25"/>
      <c r="BZ762" s="13"/>
      <c r="CC762" s="114"/>
    </row>
    <row r="763" spans="1:81" ht="20.100000000000001" customHeight="1" x14ac:dyDescent="0.4">
      <c r="A763" s="117"/>
      <c r="B763" s="123"/>
      <c r="C763" s="123"/>
      <c r="D763" s="123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  <c r="AK763" s="115"/>
      <c r="AL763" s="115"/>
      <c r="AM763" s="115"/>
      <c r="AN763" s="115"/>
      <c r="AO763" s="115"/>
      <c r="AP763" s="127"/>
      <c r="AQ763" s="29"/>
      <c r="AR763" s="115"/>
      <c r="AS763" s="115"/>
      <c r="AT763" s="115"/>
      <c r="AU763" s="115"/>
      <c r="AV763" s="115"/>
      <c r="AW763" s="115"/>
      <c r="AX763" s="115"/>
      <c r="AY763" s="115"/>
      <c r="AZ763" s="115"/>
      <c r="BA763" s="25"/>
      <c r="BB763" s="13"/>
      <c r="BG763" s="116"/>
      <c r="BH763" s="123"/>
      <c r="BI763" s="123"/>
      <c r="BJ763" s="123"/>
      <c r="BO763" s="115"/>
      <c r="BP763" s="115"/>
      <c r="BQ763" s="115"/>
      <c r="BR763" s="115"/>
      <c r="BS763" s="115"/>
      <c r="BT763" s="115"/>
      <c r="BU763" s="115"/>
      <c r="BV763" s="115"/>
      <c r="BW763" s="115"/>
      <c r="BX763" s="115"/>
      <c r="BY763" s="25"/>
      <c r="BZ763" s="13"/>
      <c r="CC763" s="114"/>
    </row>
    <row r="764" spans="1:81" ht="20.100000000000001" customHeight="1" x14ac:dyDescent="0.4">
      <c r="A764" s="117"/>
      <c r="B764" s="123"/>
      <c r="C764" s="123"/>
      <c r="D764" s="123"/>
      <c r="AP764" s="127"/>
      <c r="AQ764" s="29"/>
      <c r="AR764" s="115"/>
      <c r="AS764" s="115"/>
      <c r="AT764" s="115"/>
      <c r="AU764" s="115"/>
      <c r="AV764" s="115"/>
      <c r="AW764" s="115"/>
      <c r="AX764" s="115"/>
      <c r="AY764" s="115"/>
      <c r="AZ764" s="115"/>
      <c r="BA764" s="25">
        <v>45677</v>
      </c>
      <c r="BB764" s="13" t="s">
        <v>146</v>
      </c>
      <c r="BG764" s="116"/>
      <c r="BH764" s="123"/>
      <c r="BI764" s="123"/>
      <c r="BJ764" s="123"/>
      <c r="BO764" s="115"/>
      <c r="BP764" s="115"/>
      <c r="BQ764" s="115"/>
      <c r="BR764" s="115"/>
      <c r="BS764" s="115"/>
      <c r="BT764" s="115"/>
      <c r="BU764" s="115"/>
      <c r="BV764" s="115"/>
      <c r="BW764" s="115"/>
      <c r="BX764" s="115"/>
      <c r="BY764" s="25"/>
      <c r="BZ764" s="13"/>
      <c r="CC764" s="114"/>
    </row>
    <row r="765" spans="1:81" ht="20.100000000000001" customHeight="1" x14ac:dyDescent="0.4">
      <c r="A765" s="117"/>
      <c r="B765" s="123"/>
      <c r="C765" s="123"/>
      <c r="D765" s="123"/>
      <c r="AG765" s="115"/>
      <c r="AH765" s="115"/>
      <c r="AI765" s="115"/>
      <c r="AJ765" s="115"/>
      <c r="AK765" s="115"/>
      <c r="AL765" s="115"/>
      <c r="AM765" s="115"/>
      <c r="AN765" s="115"/>
      <c r="AO765" s="115"/>
      <c r="AP765" s="127"/>
      <c r="AQ765" s="29"/>
      <c r="AR765" s="115"/>
      <c r="AS765" s="115"/>
      <c r="AT765" s="115"/>
      <c r="AU765" s="115"/>
      <c r="AV765" s="115"/>
      <c r="AW765" s="115"/>
      <c r="AX765" s="115"/>
      <c r="AY765" s="115"/>
      <c r="AZ765" s="115"/>
      <c r="BA765" s="25"/>
      <c r="BB765" s="13"/>
      <c r="BG765" s="116"/>
      <c r="BH765" s="123"/>
      <c r="BI765" s="123"/>
      <c r="BJ765" s="123"/>
      <c r="BO765" s="115"/>
      <c r="BP765" s="115"/>
      <c r="BQ765" s="115"/>
      <c r="BR765" s="115"/>
      <c r="BS765" s="115"/>
      <c r="BT765" s="115"/>
      <c r="BU765" s="115"/>
      <c r="BV765" s="115"/>
      <c r="BW765" s="115"/>
      <c r="BX765" s="115"/>
      <c r="BY765" s="25"/>
      <c r="BZ765" s="13"/>
      <c r="CC765" s="114"/>
    </row>
    <row r="766" spans="1:81" ht="20.100000000000001" customHeight="1" x14ac:dyDescent="0.4">
      <c r="A766" s="117"/>
      <c r="B766" s="123"/>
      <c r="C766" s="123"/>
      <c r="D766" s="123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  <c r="AK766" s="115"/>
      <c r="AL766" s="115"/>
      <c r="AM766" s="115"/>
      <c r="AN766" s="115"/>
      <c r="AO766" s="115"/>
      <c r="AP766" s="127"/>
      <c r="AQ766" s="29"/>
      <c r="AR766" s="115"/>
      <c r="AS766" s="115"/>
      <c r="AT766" s="115"/>
      <c r="AU766" s="115"/>
      <c r="AV766" s="115"/>
      <c r="AW766" s="115"/>
      <c r="AX766" s="115"/>
      <c r="AY766" s="115"/>
      <c r="AZ766" s="115"/>
      <c r="BA766" s="25"/>
      <c r="BB766" s="13"/>
      <c r="BG766" s="116"/>
      <c r="BH766" s="123"/>
      <c r="BI766" s="123"/>
      <c r="BJ766" s="123"/>
      <c r="BO766" s="115"/>
      <c r="BP766" s="115"/>
      <c r="BQ766" s="115"/>
      <c r="BR766" s="115"/>
      <c r="BS766" s="115"/>
      <c r="BT766" s="115"/>
      <c r="BU766" s="115"/>
      <c r="BV766" s="115"/>
      <c r="BW766" s="115"/>
      <c r="BX766" s="115"/>
      <c r="BY766" s="25"/>
      <c r="BZ766" s="13"/>
      <c r="CC766" s="114"/>
    </row>
    <row r="767" spans="1:81" ht="20.100000000000001" customHeight="1" x14ac:dyDescent="0.4">
      <c r="A767" s="117"/>
      <c r="B767" s="123"/>
      <c r="C767" s="123"/>
      <c r="D767" s="123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  <c r="AK767" s="115"/>
      <c r="AL767" s="115"/>
      <c r="AM767" s="115"/>
      <c r="AN767" s="115"/>
      <c r="AO767" s="115"/>
      <c r="AP767" s="29"/>
      <c r="AQ767" s="29"/>
      <c r="AR767" s="115"/>
      <c r="AS767" s="115"/>
      <c r="AT767" s="115"/>
      <c r="AU767" s="115"/>
      <c r="AV767" s="115"/>
      <c r="AW767" s="115"/>
      <c r="AX767" s="115"/>
      <c r="AY767" s="115"/>
      <c r="AZ767" s="115"/>
      <c r="BA767" s="25"/>
      <c r="BB767" s="13"/>
      <c r="BG767" s="116"/>
      <c r="BH767" s="123"/>
      <c r="BI767" s="123"/>
      <c r="BJ767" s="123"/>
      <c r="BO767" s="115"/>
      <c r="BP767" s="115"/>
      <c r="BQ767" s="115"/>
      <c r="BR767" s="115"/>
      <c r="BS767" s="115"/>
      <c r="BT767" s="115"/>
      <c r="BU767" s="115"/>
      <c r="BV767" s="115"/>
      <c r="BW767" s="115"/>
      <c r="BX767" s="115"/>
      <c r="BY767" s="25"/>
      <c r="BZ767" s="13"/>
      <c r="CC767" s="114"/>
    </row>
    <row r="768" spans="1:81" ht="20.100000000000001" customHeight="1" x14ac:dyDescent="0.4">
      <c r="A768" s="117"/>
      <c r="B768" s="123"/>
      <c r="C768" s="123"/>
      <c r="D768" s="123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  <c r="AK768" s="115"/>
      <c r="AL768" s="115"/>
      <c r="AM768" s="115"/>
      <c r="AN768" s="115"/>
      <c r="AO768" s="115"/>
      <c r="AP768" s="127"/>
      <c r="AQ768" s="29"/>
      <c r="AR768" s="115"/>
      <c r="AS768" s="115"/>
      <c r="AT768" s="115"/>
      <c r="AU768" s="115"/>
      <c r="AV768" s="115"/>
      <c r="AW768" s="115"/>
      <c r="AX768" s="115"/>
      <c r="AY768" s="115"/>
      <c r="AZ768" s="115"/>
      <c r="BA768" s="25"/>
      <c r="BB768" s="13"/>
      <c r="BG768" s="116"/>
      <c r="BH768" s="123"/>
      <c r="BI768" s="123"/>
      <c r="BJ768" s="123"/>
      <c r="BO768" s="115"/>
      <c r="BP768" s="115"/>
      <c r="BQ768" s="115"/>
      <c r="BR768" s="115"/>
      <c r="BS768" s="115"/>
      <c r="BT768" s="115"/>
      <c r="BU768" s="115"/>
      <c r="BV768" s="115"/>
      <c r="BW768" s="115"/>
      <c r="BX768" s="115"/>
      <c r="BY768" s="25"/>
      <c r="BZ768" s="13"/>
      <c r="CC768" s="114"/>
    </row>
    <row r="769" spans="1:81" ht="20.100000000000001" customHeight="1" x14ac:dyDescent="0.4">
      <c r="A769" s="117"/>
      <c r="B769" s="123"/>
      <c r="C769" s="123"/>
      <c r="D769" s="123"/>
      <c r="AP769" s="127"/>
      <c r="AQ769" s="29"/>
      <c r="AR769" s="115"/>
      <c r="AS769" s="115"/>
      <c r="AT769" s="115"/>
      <c r="AU769" s="115"/>
      <c r="AV769" s="115"/>
      <c r="AW769" s="115"/>
      <c r="AX769" s="115"/>
      <c r="AY769" s="115"/>
      <c r="AZ769" s="115"/>
      <c r="BA769" s="25">
        <v>45677</v>
      </c>
      <c r="BB769" s="13" t="s">
        <v>148</v>
      </c>
      <c r="BG769" s="116"/>
      <c r="BH769" s="123"/>
      <c r="BI769" s="123"/>
      <c r="BJ769" s="123"/>
      <c r="BO769" s="115"/>
      <c r="BP769" s="115"/>
      <c r="BQ769" s="115"/>
      <c r="BR769" s="115"/>
      <c r="BS769" s="115"/>
      <c r="BT769" s="115"/>
      <c r="BU769" s="115"/>
      <c r="BV769" s="115"/>
      <c r="BW769" s="115"/>
      <c r="BX769" s="115"/>
      <c r="BY769" s="25"/>
      <c r="BZ769" s="13"/>
      <c r="CC769" s="114"/>
    </row>
    <row r="770" spans="1:81" ht="19.5" x14ac:dyDescent="0.4">
      <c r="A770" s="117"/>
      <c r="B770" s="123"/>
      <c r="C770" s="123"/>
      <c r="D770" s="123"/>
      <c r="AP770" s="127"/>
      <c r="AQ770" s="29"/>
      <c r="AR770" s="115"/>
      <c r="AS770" s="115"/>
      <c r="AT770" s="115"/>
      <c r="AU770" s="115"/>
      <c r="AV770" s="115"/>
      <c r="AW770" s="115"/>
      <c r="AX770" s="115"/>
      <c r="AY770" s="115"/>
      <c r="AZ770" s="115"/>
      <c r="BA770" s="25"/>
      <c r="BB770" s="13"/>
      <c r="BG770" s="116"/>
      <c r="BH770" s="123"/>
      <c r="BI770" s="123"/>
      <c r="BJ770" s="123"/>
      <c r="BO770" s="115"/>
      <c r="BP770" s="115"/>
      <c r="BQ770" s="115"/>
      <c r="BR770" s="115"/>
      <c r="BS770" s="115"/>
      <c r="BT770" s="115"/>
      <c r="BU770" s="115"/>
      <c r="BV770" s="115"/>
      <c r="BW770" s="115"/>
      <c r="BX770" s="115"/>
      <c r="BY770" s="25"/>
      <c r="BZ770" s="13"/>
      <c r="CC770" s="114"/>
    </row>
    <row r="771" spans="1:81" ht="19.5" x14ac:dyDescent="0.4">
      <c r="A771" s="117"/>
      <c r="B771" s="123"/>
      <c r="C771" s="123"/>
      <c r="D771" s="123"/>
      <c r="AH771" s="115"/>
      <c r="AI771" s="115"/>
      <c r="AJ771" s="115"/>
      <c r="AK771" s="115"/>
      <c r="AL771" s="115"/>
      <c r="AM771" s="115"/>
      <c r="AN771" s="115"/>
      <c r="AO771" s="115"/>
      <c r="AP771" s="29"/>
      <c r="AQ771" s="29"/>
      <c r="AR771" s="115"/>
      <c r="AS771" s="115"/>
      <c r="AT771" s="115"/>
      <c r="AU771" s="115"/>
      <c r="AV771" s="115"/>
      <c r="AW771" s="115"/>
      <c r="AX771" s="115"/>
      <c r="AY771" s="115"/>
      <c r="AZ771" s="115"/>
      <c r="BA771" s="25"/>
      <c r="BB771" s="13"/>
      <c r="BG771" s="116"/>
      <c r="BH771" s="123"/>
      <c r="BI771" s="123"/>
      <c r="BJ771" s="123"/>
      <c r="BO771" s="115"/>
      <c r="BP771" s="115"/>
      <c r="BQ771" s="115"/>
      <c r="BR771" s="115"/>
      <c r="BS771" s="115"/>
      <c r="BT771" s="115"/>
      <c r="BU771" s="115"/>
      <c r="BV771" s="115"/>
      <c r="BW771" s="115"/>
      <c r="BX771" s="115"/>
      <c r="BY771" s="25"/>
      <c r="BZ771" s="13"/>
      <c r="CC771" s="114"/>
    </row>
    <row r="772" spans="1:81" ht="19.5" x14ac:dyDescent="0.4">
      <c r="A772" s="117"/>
      <c r="B772" s="123"/>
      <c r="C772" s="123"/>
      <c r="D772" s="123"/>
      <c r="AF772" s="115"/>
      <c r="AG772" s="115"/>
      <c r="AH772" s="115"/>
      <c r="AI772" s="115"/>
      <c r="AJ772" s="115"/>
      <c r="AK772" s="115"/>
      <c r="AL772" s="115"/>
      <c r="AM772" s="115"/>
      <c r="AN772" s="115"/>
      <c r="AO772" s="115"/>
      <c r="AP772" s="127"/>
      <c r="AQ772" s="29"/>
      <c r="AR772" s="115"/>
      <c r="AS772" s="115"/>
      <c r="AT772" s="115"/>
      <c r="AU772" s="115"/>
      <c r="AV772" s="115"/>
      <c r="AW772" s="115"/>
      <c r="AX772" s="115"/>
      <c r="AY772" s="115"/>
      <c r="AZ772" s="115"/>
      <c r="BA772" s="25"/>
      <c r="BB772" s="13"/>
      <c r="BG772" s="116"/>
      <c r="BH772" s="123"/>
      <c r="BI772" s="123"/>
      <c r="BJ772" s="123"/>
      <c r="BO772" s="115"/>
      <c r="BP772" s="115"/>
      <c r="BQ772" s="115"/>
      <c r="BR772" s="115"/>
      <c r="BS772" s="115"/>
      <c r="BT772" s="115"/>
      <c r="BU772" s="115"/>
      <c r="BV772" s="115"/>
      <c r="BW772" s="115"/>
      <c r="BX772" s="115"/>
      <c r="BY772" s="25"/>
      <c r="BZ772" s="13"/>
      <c r="CC772" s="114"/>
    </row>
    <row r="773" spans="1:81" ht="19.5" x14ac:dyDescent="0.4">
      <c r="A773" s="117"/>
      <c r="B773" s="123"/>
      <c r="C773" s="123"/>
      <c r="D773" s="123"/>
      <c r="AF773" s="115"/>
      <c r="AG773" s="115"/>
      <c r="AH773" s="115"/>
      <c r="AI773" s="115"/>
      <c r="AJ773" s="115"/>
      <c r="AK773" s="115"/>
      <c r="AL773" s="115"/>
      <c r="AM773" s="115"/>
      <c r="AN773" s="115"/>
      <c r="AO773" s="115"/>
      <c r="AP773" s="29"/>
      <c r="AQ773" s="29"/>
      <c r="AR773" s="115"/>
      <c r="AS773" s="115"/>
      <c r="AT773" s="115"/>
      <c r="AU773" s="115"/>
      <c r="AV773" s="115"/>
      <c r="AW773" s="115"/>
      <c r="AX773" s="115"/>
      <c r="AY773" s="115"/>
      <c r="AZ773" s="115"/>
      <c r="BA773" s="25"/>
      <c r="BB773" s="13"/>
      <c r="BG773" s="116"/>
      <c r="BH773" s="123"/>
      <c r="BI773" s="123"/>
      <c r="BJ773" s="123"/>
      <c r="BO773" s="115"/>
      <c r="BP773" s="115"/>
      <c r="BQ773" s="115"/>
      <c r="BR773" s="115"/>
      <c r="BS773" s="115"/>
      <c r="BT773" s="115"/>
      <c r="BU773" s="115"/>
      <c r="BV773" s="115"/>
      <c r="BW773" s="115"/>
      <c r="BX773" s="115"/>
      <c r="BY773" s="25"/>
      <c r="BZ773" s="13"/>
      <c r="CC773" s="114"/>
    </row>
    <row r="774" spans="1:81" ht="19.5" x14ac:dyDescent="0.4">
      <c r="A774" s="117"/>
      <c r="B774" s="123"/>
      <c r="C774" s="123"/>
      <c r="D774" s="123"/>
      <c r="AD774" s="115"/>
      <c r="AE774" s="115"/>
      <c r="AF774" s="115"/>
      <c r="AG774" s="115"/>
      <c r="AH774" s="115"/>
      <c r="AI774" s="115"/>
      <c r="AJ774" s="115"/>
      <c r="AK774" s="115"/>
      <c r="AL774" s="115"/>
      <c r="AM774" s="115"/>
      <c r="AN774" s="115"/>
      <c r="AO774" s="115"/>
      <c r="AP774" s="127"/>
      <c r="AQ774" s="29"/>
      <c r="AR774" s="115"/>
      <c r="AS774" s="115"/>
      <c r="AT774" s="115"/>
      <c r="AU774" s="115"/>
      <c r="AV774" s="115"/>
      <c r="AW774" s="115"/>
      <c r="AX774" s="115"/>
      <c r="AY774" s="115"/>
      <c r="AZ774" s="115"/>
      <c r="BA774" s="25"/>
      <c r="BB774" s="13"/>
      <c r="BG774" s="116"/>
      <c r="BH774" s="123"/>
      <c r="BI774" s="123"/>
      <c r="BJ774" s="123"/>
      <c r="BO774" s="115"/>
      <c r="BP774" s="115"/>
      <c r="BQ774" s="115"/>
      <c r="BR774" s="115"/>
      <c r="BS774" s="115"/>
      <c r="BT774" s="115"/>
      <c r="BU774" s="115"/>
      <c r="BV774" s="115"/>
      <c r="BW774" s="115"/>
      <c r="BX774" s="115"/>
      <c r="BY774" s="25"/>
      <c r="BZ774" s="13"/>
      <c r="CC774" s="114"/>
    </row>
    <row r="775" spans="1:81" ht="19.5" x14ac:dyDescent="0.4">
      <c r="A775" s="117"/>
      <c r="B775" s="123"/>
      <c r="C775" s="123"/>
      <c r="D775" s="123"/>
      <c r="AD775" s="115"/>
      <c r="AE775" s="115"/>
      <c r="AF775" s="115"/>
      <c r="AG775" s="115"/>
      <c r="AH775" s="115"/>
      <c r="AI775" s="115"/>
      <c r="AJ775" s="115"/>
      <c r="AK775" s="115"/>
      <c r="AL775" s="115"/>
      <c r="AM775" s="115"/>
      <c r="AN775" s="115"/>
      <c r="AO775" s="115"/>
      <c r="AP775" s="29"/>
      <c r="AQ775" s="29"/>
      <c r="AR775" s="115"/>
      <c r="AS775" s="115"/>
      <c r="AT775" s="115"/>
      <c r="AU775" s="115"/>
      <c r="AV775" s="115"/>
      <c r="AW775" s="115"/>
      <c r="AX775" s="115"/>
      <c r="AY775" s="115"/>
      <c r="AZ775" s="115"/>
      <c r="BA775" s="25"/>
      <c r="BB775" s="13"/>
      <c r="BG775" s="116"/>
      <c r="BH775" s="123"/>
      <c r="BI775" s="123"/>
      <c r="BJ775" s="123"/>
      <c r="BO775" s="115"/>
      <c r="BP775" s="115"/>
      <c r="BQ775" s="115"/>
      <c r="BR775" s="115"/>
      <c r="BS775" s="115"/>
      <c r="BT775" s="115"/>
      <c r="BU775" s="115"/>
      <c r="BV775" s="115"/>
      <c r="BW775" s="115"/>
      <c r="BX775" s="115"/>
      <c r="BY775" s="25"/>
      <c r="BZ775" s="13"/>
      <c r="CC775" s="114"/>
    </row>
    <row r="776" spans="1:81" ht="19.5" x14ac:dyDescent="0.4">
      <c r="A776" s="117"/>
      <c r="B776" s="123"/>
      <c r="C776" s="123"/>
      <c r="D776" s="123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  <c r="AK776" s="115"/>
      <c r="AL776" s="115"/>
      <c r="AM776" s="115"/>
      <c r="AN776" s="115"/>
      <c r="AO776" s="115"/>
      <c r="AP776" s="127"/>
      <c r="AQ776" s="29"/>
      <c r="AR776" s="115"/>
      <c r="AS776" s="115"/>
      <c r="AT776" s="115"/>
      <c r="AU776" s="115"/>
      <c r="AV776" s="115"/>
      <c r="AW776" s="115"/>
      <c r="AX776" s="115"/>
      <c r="AY776" s="115"/>
      <c r="AZ776" s="115"/>
      <c r="BA776" s="25"/>
      <c r="BB776" s="13"/>
      <c r="BG776" s="116"/>
      <c r="BH776" s="123"/>
      <c r="BI776" s="123"/>
      <c r="BJ776" s="123"/>
      <c r="BO776" s="115"/>
      <c r="BP776" s="115"/>
      <c r="BQ776" s="115"/>
      <c r="BR776" s="115"/>
      <c r="BS776" s="115"/>
      <c r="BT776" s="115"/>
      <c r="BU776" s="115"/>
      <c r="BV776" s="115"/>
      <c r="BW776" s="115"/>
      <c r="BX776" s="115"/>
      <c r="BY776" s="25"/>
      <c r="BZ776" s="13"/>
      <c r="CC776" s="114"/>
    </row>
    <row r="777" spans="1:81" ht="19.5" x14ac:dyDescent="0.4">
      <c r="A777" s="117"/>
      <c r="B777" s="123"/>
      <c r="C777" s="123"/>
      <c r="D777" s="123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  <c r="AK777" s="115"/>
      <c r="AL777" s="115"/>
      <c r="AM777" s="115"/>
      <c r="AN777" s="115"/>
      <c r="AO777" s="115"/>
      <c r="AP777" s="127"/>
      <c r="AQ777" s="29"/>
      <c r="AR777" s="115"/>
      <c r="AS777" s="115"/>
      <c r="AT777" s="115"/>
      <c r="AU777" s="115"/>
      <c r="AV777" s="115"/>
      <c r="AW777" s="115"/>
      <c r="AX777" s="115"/>
      <c r="AY777" s="115"/>
      <c r="AZ777" s="115"/>
      <c r="BA777" s="25"/>
      <c r="BB777" s="13"/>
      <c r="BG777" s="116"/>
      <c r="BH777" s="123"/>
      <c r="BI777" s="123"/>
      <c r="BJ777" s="123"/>
      <c r="BO777" s="115"/>
      <c r="BP777" s="115"/>
      <c r="BQ777" s="115"/>
      <c r="BR777" s="115"/>
      <c r="BS777" s="115"/>
      <c r="BT777" s="115"/>
      <c r="BU777" s="115"/>
      <c r="BV777" s="115"/>
      <c r="BW777" s="115"/>
      <c r="BX777" s="115"/>
      <c r="BY777" s="25"/>
      <c r="BZ777" s="13"/>
      <c r="CC777" s="114"/>
    </row>
    <row r="778" spans="1:81" ht="19.5" x14ac:dyDescent="0.4">
      <c r="A778" s="117"/>
      <c r="B778" s="123"/>
      <c r="C778" s="123"/>
      <c r="D778" s="123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  <c r="AK778" s="115"/>
      <c r="AL778" s="115"/>
      <c r="AM778" s="115"/>
      <c r="AN778" s="115"/>
      <c r="AO778" s="115"/>
      <c r="AP778" s="127"/>
      <c r="AQ778" s="29"/>
      <c r="AR778" s="115"/>
      <c r="AS778" s="115"/>
      <c r="AT778" s="115"/>
      <c r="AU778" s="115"/>
      <c r="AV778" s="115"/>
      <c r="AW778" s="115"/>
      <c r="AX778" s="115"/>
      <c r="AY778" s="115"/>
      <c r="AZ778" s="115"/>
      <c r="BA778" s="25"/>
      <c r="BB778" s="13"/>
      <c r="BG778" s="116"/>
      <c r="BH778" s="123"/>
      <c r="BI778" s="123"/>
      <c r="BJ778" s="123"/>
      <c r="BO778" s="115"/>
      <c r="BP778" s="115"/>
      <c r="BQ778" s="115"/>
      <c r="BR778" s="115"/>
      <c r="BS778" s="115"/>
      <c r="BT778" s="115"/>
      <c r="BU778" s="115"/>
      <c r="BV778" s="115"/>
      <c r="BW778" s="115"/>
      <c r="BX778" s="115"/>
      <c r="BY778" s="25"/>
      <c r="BZ778" s="13"/>
      <c r="CC778" s="114"/>
    </row>
    <row r="779" spans="1:81" ht="19.5" x14ac:dyDescent="0.4">
      <c r="A779" s="117"/>
      <c r="B779" s="123"/>
      <c r="C779" s="123"/>
      <c r="D779" s="123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  <c r="AK779" s="115"/>
      <c r="AL779" s="115"/>
      <c r="AM779" s="115"/>
      <c r="AN779" s="115"/>
      <c r="AO779" s="115"/>
      <c r="AP779" s="29"/>
      <c r="AQ779" s="29"/>
      <c r="AR779" s="115"/>
      <c r="AS779" s="115"/>
      <c r="AT779" s="115"/>
      <c r="AU779" s="115"/>
      <c r="AV779" s="115"/>
      <c r="AW779" s="115"/>
      <c r="AX779" s="115"/>
      <c r="AY779" s="115"/>
      <c r="AZ779" s="115"/>
      <c r="BA779" s="25"/>
      <c r="BB779" s="13"/>
      <c r="BG779" s="116"/>
      <c r="BH779" s="123"/>
      <c r="BI779" s="123"/>
      <c r="BJ779" s="123"/>
      <c r="BO779" s="115"/>
      <c r="BP779" s="115"/>
      <c r="BQ779" s="115"/>
      <c r="BR779" s="115"/>
      <c r="BS779" s="115"/>
      <c r="BT779" s="115"/>
      <c r="BU779" s="115"/>
      <c r="BV779" s="115"/>
      <c r="BW779" s="115"/>
      <c r="BX779" s="115"/>
      <c r="BY779" s="25"/>
      <c r="BZ779" s="13"/>
      <c r="CC779" s="114"/>
    </row>
    <row r="780" spans="1:81" ht="19.5" x14ac:dyDescent="0.4">
      <c r="A780" s="117"/>
      <c r="B780" s="123"/>
      <c r="C780" s="123"/>
      <c r="D780" s="123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  <c r="AK780" s="115"/>
      <c r="AL780" s="115"/>
      <c r="AM780" s="115"/>
      <c r="AN780" s="115"/>
      <c r="AO780" s="115"/>
      <c r="AP780" s="127"/>
      <c r="AQ780" s="29"/>
      <c r="AR780" s="115"/>
      <c r="AS780" s="115"/>
      <c r="AT780" s="115"/>
      <c r="AU780" s="115"/>
      <c r="AV780" s="115"/>
      <c r="AW780" s="115"/>
      <c r="AX780" s="115"/>
      <c r="AY780" s="115"/>
      <c r="AZ780" s="115"/>
      <c r="BA780" s="25"/>
      <c r="BB780" s="13"/>
      <c r="BG780" s="116"/>
      <c r="BH780" s="123"/>
      <c r="BI780" s="123"/>
      <c r="BJ780" s="123"/>
      <c r="BO780" s="115"/>
      <c r="BP780" s="115"/>
      <c r="BQ780" s="115"/>
      <c r="BR780" s="115"/>
      <c r="BS780" s="115"/>
      <c r="BT780" s="115"/>
      <c r="BU780" s="115"/>
      <c r="BV780" s="115"/>
      <c r="BW780" s="115"/>
      <c r="BX780" s="115"/>
      <c r="BY780" s="25"/>
      <c r="BZ780" s="13"/>
      <c r="CC780" s="114"/>
    </row>
    <row r="781" spans="1:81" ht="19.5" x14ac:dyDescent="0.4">
      <c r="A781" s="117"/>
      <c r="B781" s="123"/>
      <c r="C781" s="123"/>
      <c r="D781" s="123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  <c r="AK781" s="115"/>
      <c r="AL781" s="115"/>
      <c r="AM781" s="115"/>
      <c r="AN781" s="115"/>
      <c r="AO781" s="115"/>
      <c r="AP781" s="29"/>
      <c r="AQ781" s="29"/>
      <c r="AR781" s="115"/>
      <c r="AS781" s="115"/>
      <c r="AT781" s="115"/>
      <c r="AU781" s="115"/>
      <c r="AV781" s="115"/>
      <c r="AW781" s="115"/>
      <c r="AX781" s="115"/>
      <c r="AY781" s="115"/>
      <c r="AZ781" s="115"/>
      <c r="BA781" s="25"/>
      <c r="BB781" s="13"/>
      <c r="BG781" s="116"/>
      <c r="BH781" s="123"/>
      <c r="BI781" s="123"/>
      <c r="BJ781" s="123"/>
      <c r="BO781" s="115"/>
      <c r="BP781" s="115"/>
      <c r="BQ781" s="115"/>
      <c r="BR781" s="115"/>
      <c r="BS781" s="115"/>
      <c r="BT781" s="115"/>
      <c r="BU781" s="115"/>
      <c r="BV781" s="115"/>
      <c r="BW781" s="115"/>
      <c r="BX781" s="115"/>
      <c r="BY781" s="25"/>
      <c r="BZ781" s="13"/>
      <c r="CC781" s="114"/>
    </row>
    <row r="782" spans="1:81" ht="19.5" x14ac:dyDescent="0.4">
      <c r="A782" s="117"/>
      <c r="B782" s="123"/>
      <c r="C782" s="123"/>
      <c r="D782" s="123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  <c r="AK782" s="115"/>
      <c r="AL782" s="115"/>
      <c r="AM782" s="115"/>
      <c r="AN782" s="115"/>
      <c r="AO782" s="115"/>
      <c r="AP782" s="127"/>
      <c r="AQ782" s="29"/>
      <c r="AR782" s="115"/>
      <c r="AS782" s="115"/>
      <c r="AT782" s="115"/>
      <c r="AU782" s="115"/>
      <c r="AV782" s="115"/>
      <c r="AW782" s="115"/>
      <c r="AX782" s="115"/>
      <c r="AY782" s="115"/>
      <c r="AZ782" s="115"/>
      <c r="BA782" s="25"/>
      <c r="BB782" s="13"/>
      <c r="BG782" s="116"/>
      <c r="BH782" s="123"/>
      <c r="BI782" s="123"/>
      <c r="BJ782" s="123"/>
      <c r="BO782" s="115"/>
      <c r="BP782" s="115"/>
      <c r="BQ782" s="115"/>
      <c r="BR782" s="115"/>
      <c r="BS782" s="115"/>
      <c r="BT782" s="115"/>
      <c r="BU782" s="115"/>
      <c r="BV782" s="115"/>
      <c r="BW782" s="115"/>
      <c r="BX782" s="115"/>
      <c r="BY782" s="25"/>
      <c r="BZ782" s="13"/>
      <c r="CC782" s="114"/>
    </row>
    <row r="783" spans="1:81" ht="19.5" x14ac:dyDescent="0.4">
      <c r="A783" s="117"/>
      <c r="B783" s="123"/>
      <c r="C783" s="123"/>
      <c r="D783" s="123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  <c r="AK783" s="115"/>
      <c r="AL783" s="115"/>
      <c r="AM783" s="115"/>
      <c r="AN783" s="115"/>
      <c r="AO783" s="115"/>
      <c r="AP783" s="29"/>
      <c r="AQ783" s="29"/>
      <c r="AR783" s="115"/>
      <c r="AS783" s="115"/>
      <c r="AT783" s="115"/>
      <c r="AU783" s="115"/>
      <c r="AV783" s="115"/>
      <c r="AW783" s="115"/>
      <c r="AX783" s="115"/>
      <c r="AY783" s="115"/>
      <c r="AZ783" s="115"/>
      <c r="BA783" s="25"/>
      <c r="BB783" s="13"/>
      <c r="BG783" s="116"/>
      <c r="BH783" s="123"/>
      <c r="BI783" s="123"/>
      <c r="BJ783" s="123"/>
      <c r="BO783" s="115"/>
      <c r="BP783" s="115"/>
      <c r="BQ783" s="115"/>
      <c r="BR783" s="115"/>
      <c r="BS783" s="115"/>
      <c r="BT783" s="115"/>
      <c r="BU783" s="115"/>
      <c r="BV783" s="115"/>
      <c r="BW783" s="115"/>
      <c r="BX783" s="115"/>
      <c r="BY783" s="25"/>
      <c r="BZ783" s="13"/>
      <c r="CC783" s="114"/>
    </row>
    <row r="784" spans="1:81" ht="19.5" x14ac:dyDescent="0.4">
      <c r="A784" s="117"/>
      <c r="B784" s="123"/>
      <c r="C784" s="123"/>
      <c r="D784" s="123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  <c r="AK784" s="115"/>
      <c r="AL784" s="115"/>
      <c r="AM784" s="115"/>
      <c r="AN784" s="115"/>
      <c r="AO784" s="115"/>
      <c r="AP784" s="29"/>
      <c r="AQ784" s="29"/>
      <c r="AR784" s="115"/>
      <c r="AS784" s="115"/>
      <c r="AT784" s="115"/>
      <c r="AU784" s="115"/>
      <c r="AV784" s="115"/>
      <c r="AW784" s="115"/>
      <c r="AX784" s="115"/>
      <c r="AY784" s="115"/>
      <c r="AZ784" s="115"/>
      <c r="BA784" s="25"/>
      <c r="BB784" s="13"/>
      <c r="BG784" s="116"/>
      <c r="BH784" s="123"/>
      <c r="BI784" s="123"/>
      <c r="BJ784" s="123"/>
      <c r="BO784" s="115"/>
      <c r="BP784" s="115"/>
      <c r="BQ784" s="115"/>
      <c r="BR784" s="115"/>
      <c r="BS784" s="115"/>
      <c r="BT784" s="115"/>
      <c r="BU784" s="115"/>
      <c r="BV784" s="115"/>
      <c r="BW784" s="115"/>
      <c r="BX784" s="115"/>
      <c r="BY784" s="25"/>
      <c r="BZ784" s="13"/>
      <c r="CC784" s="114"/>
    </row>
    <row r="785" spans="1:81" ht="19.5" x14ac:dyDescent="0.4">
      <c r="A785" s="117"/>
      <c r="B785" s="123"/>
      <c r="C785" s="123"/>
      <c r="D785" s="123"/>
      <c r="AP785" s="127"/>
      <c r="AQ785" s="29"/>
      <c r="AR785" s="115"/>
      <c r="AS785" s="115"/>
      <c r="AT785" s="115"/>
      <c r="AU785" s="115"/>
      <c r="AV785" s="115"/>
      <c r="AW785" s="115"/>
      <c r="AX785" s="115"/>
      <c r="AY785" s="115"/>
      <c r="AZ785" s="115"/>
      <c r="BA785" s="25">
        <v>45677</v>
      </c>
      <c r="BB785" s="13" t="s">
        <v>146</v>
      </c>
      <c r="BG785" s="116"/>
      <c r="BH785" s="123"/>
      <c r="BI785" s="123"/>
      <c r="BJ785" s="123"/>
      <c r="BO785" s="115"/>
      <c r="BP785" s="115"/>
      <c r="BQ785" s="115"/>
      <c r="BR785" s="115"/>
      <c r="BS785" s="115"/>
      <c r="BT785" s="115"/>
      <c r="BU785" s="115"/>
      <c r="BV785" s="115"/>
      <c r="BW785" s="115"/>
      <c r="BX785" s="115"/>
      <c r="BY785" s="25"/>
      <c r="BZ785" s="13"/>
      <c r="CC785" s="114"/>
    </row>
    <row r="786" spans="1:81" ht="19.5" x14ac:dyDescent="0.4">
      <c r="A786" s="117"/>
      <c r="B786" s="123"/>
      <c r="C786" s="123"/>
      <c r="D786" s="123"/>
      <c r="AD786" s="115"/>
      <c r="AE786" s="115"/>
      <c r="AF786" s="115"/>
      <c r="AG786" s="115"/>
      <c r="AH786" s="115"/>
      <c r="AI786" s="115"/>
      <c r="AJ786" s="115"/>
      <c r="AK786" s="115"/>
      <c r="AL786" s="115"/>
      <c r="AM786" s="115"/>
      <c r="AN786" s="115"/>
      <c r="AO786" s="115"/>
      <c r="AP786" s="127"/>
      <c r="AQ786" s="29"/>
      <c r="AR786" s="115"/>
      <c r="AS786" s="115"/>
      <c r="AT786" s="115"/>
      <c r="AU786" s="115"/>
      <c r="AV786" s="115"/>
      <c r="AW786" s="115"/>
      <c r="AX786" s="115"/>
      <c r="AY786" s="115"/>
      <c r="AZ786" s="115"/>
      <c r="BA786" s="25"/>
      <c r="BB786" s="13"/>
      <c r="BG786" s="116"/>
      <c r="BH786" s="123"/>
      <c r="BI786" s="123"/>
      <c r="BJ786" s="123"/>
      <c r="BO786" s="115"/>
      <c r="BP786" s="115"/>
      <c r="BQ786" s="115"/>
      <c r="BR786" s="115"/>
      <c r="BS786" s="115"/>
      <c r="BT786" s="115"/>
      <c r="BU786" s="115"/>
      <c r="BV786" s="115"/>
      <c r="BW786" s="115"/>
      <c r="BX786" s="115"/>
      <c r="BY786" s="25"/>
      <c r="BZ786" s="13"/>
      <c r="CC786" s="114"/>
    </row>
    <row r="787" spans="1:81" ht="19.5" x14ac:dyDescent="0.4">
      <c r="A787" s="117"/>
      <c r="B787" s="123"/>
      <c r="C787" s="123"/>
      <c r="D787" s="123"/>
      <c r="AP787" s="127"/>
      <c r="AQ787" s="29"/>
      <c r="AR787" s="115"/>
      <c r="AS787" s="115"/>
      <c r="AT787" s="115"/>
      <c r="AU787" s="115"/>
      <c r="AV787" s="115"/>
      <c r="AW787" s="115"/>
      <c r="AX787" s="115"/>
      <c r="AY787" s="115"/>
      <c r="AZ787" s="115"/>
      <c r="BA787" s="25"/>
      <c r="BB787" s="13"/>
      <c r="BG787" s="116"/>
      <c r="BH787" s="123"/>
      <c r="BI787" s="123"/>
      <c r="BJ787" s="123"/>
      <c r="BO787" s="115"/>
      <c r="BP787" s="115"/>
      <c r="BQ787" s="115"/>
      <c r="BR787" s="115"/>
      <c r="BS787" s="115"/>
      <c r="BT787" s="115"/>
      <c r="BU787" s="115"/>
      <c r="BV787" s="115"/>
      <c r="BW787" s="115"/>
      <c r="BX787" s="115"/>
      <c r="BY787" s="25"/>
      <c r="BZ787" s="13"/>
      <c r="CC787" s="114"/>
    </row>
    <row r="788" spans="1:81" ht="19.5" x14ac:dyDescent="0.4">
      <c r="A788" s="117"/>
      <c r="B788" s="123"/>
      <c r="C788" s="123"/>
      <c r="D788" s="123"/>
      <c r="AD788" s="115"/>
      <c r="AE788" s="115"/>
      <c r="AF788" s="115"/>
      <c r="AG788" s="115"/>
      <c r="AH788" s="115"/>
      <c r="AI788" s="115"/>
      <c r="AJ788" s="115"/>
      <c r="AK788" s="115"/>
      <c r="AL788" s="115"/>
      <c r="AM788" s="115"/>
      <c r="AN788" s="115"/>
      <c r="AO788" s="115"/>
      <c r="AP788" s="127"/>
      <c r="AQ788" s="29"/>
      <c r="AR788" s="115"/>
      <c r="AS788" s="115"/>
      <c r="AT788" s="115"/>
      <c r="AU788" s="115"/>
      <c r="AV788" s="115"/>
      <c r="AW788" s="115"/>
      <c r="AX788" s="115"/>
      <c r="AY788" s="115"/>
      <c r="AZ788" s="115"/>
      <c r="BA788" s="25"/>
      <c r="BB788" s="13"/>
      <c r="BG788" s="116"/>
      <c r="BH788" s="123"/>
      <c r="BI788" s="123"/>
      <c r="BJ788" s="123"/>
      <c r="BO788" s="115"/>
      <c r="BP788" s="115"/>
      <c r="BQ788" s="115"/>
      <c r="BR788" s="115"/>
      <c r="BS788" s="115"/>
      <c r="BT788" s="115"/>
      <c r="BU788" s="115"/>
      <c r="BV788" s="115"/>
      <c r="BW788" s="115"/>
      <c r="BX788" s="115"/>
      <c r="BY788" s="25"/>
      <c r="BZ788" s="13"/>
      <c r="CC788" s="114"/>
    </row>
    <row r="789" spans="1:81" ht="19.5" x14ac:dyDescent="0.4">
      <c r="A789" s="117"/>
      <c r="B789" s="123"/>
      <c r="C789" s="123"/>
      <c r="D789" s="123"/>
      <c r="AD789" s="115"/>
      <c r="AE789" s="115"/>
      <c r="AF789" s="115"/>
      <c r="AG789" s="115"/>
      <c r="AH789" s="115"/>
      <c r="AI789" s="115"/>
      <c r="AJ789" s="115"/>
      <c r="AK789" s="115"/>
      <c r="AL789" s="115"/>
      <c r="AM789" s="115"/>
      <c r="AN789" s="115"/>
      <c r="AO789" s="115"/>
      <c r="AP789" s="127"/>
      <c r="AQ789" s="29"/>
      <c r="AR789" s="115"/>
      <c r="AS789" s="115"/>
      <c r="AT789" s="115"/>
      <c r="AU789" s="115"/>
      <c r="AV789" s="115"/>
      <c r="AW789" s="115"/>
      <c r="AX789" s="115"/>
      <c r="AY789" s="115"/>
      <c r="AZ789" s="115"/>
      <c r="BA789" s="25"/>
      <c r="BB789" s="13"/>
      <c r="BG789" s="116"/>
      <c r="BH789" s="123"/>
      <c r="BI789" s="123"/>
      <c r="BJ789" s="123"/>
      <c r="BO789" s="115"/>
      <c r="BP789" s="115"/>
      <c r="BQ789" s="115"/>
      <c r="BR789" s="115"/>
      <c r="BS789" s="115"/>
      <c r="BT789" s="115"/>
      <c r="BU789" s="115"/>
      <c r="BV789" s="115"/>
      <c r="BW789" s="115"/>
      <c r="BX789" s="115"/>
      <c r="BY789" s="25"/>
      <c r="BZ789" s="13"/>
      <c r="CC789" s="114"/>
    </row>
    <row r="790" spans="1:81" ht="19.5" x14ac:dyDescent="0.4">
      <c r="A790" s="117"/>
      <c r="B790" s="123"/>
      <c r="C790" s="123"/>
      <c r="D790" s="123"/>
      <c r="AP790" s="127"/>
      <c r="AQ790" s="29"/>
      <c r="AR790" s="115"/>
      <c r="AS790" s="115"/>
      <c r="AT790" s="115"/>
      <c r="AU790" s="115"/>
      <c r="AV790" s="115"/>
      <c r="AW790" s="115"/>
      <c r="AX790" s="115"/>
      <c r="AY790" s="115"/>
      <c r="AZ790" s="115"/>
      <c r="BA790" s="25"/>
      <c r="BB790" s="13"/>
      <c r="BG790" s="116"/>
      <c r="BH790" s="123"/>
      <c r="BI790" s="123"/>
      <c r="BJ790" s="123"/>
      <c r="BO790" s="115"/>
      <c r="BP790" s="115"/>
      <c r="BQ790" s="115"/>
      <c r="BR790" s="115"/>
      <c r="BS790" s="115"/>
      <c r="BT790" s="115"/>
      <c r="BU790" s="115"/>
      <c r="BV790" s="115"/>
      <c r="BW790" s="115"/>
      <c r="BX790" s="115"/>
      <c r="BY790" s="25"/>
      <c r="BZ790" s="13"/>
      <c r="CC790" s="114"/>
    </row>
    <row r="791" spans="1:81" ht="19.5" x14ac:dyDescent="0.4">
      <c r="A791" s="117"/>
      <c r="B791" s="123"/>
      <c r="C791" s="123"/>
      <c r="D791" s="123"/>
      <c r="AF791" s="115"/>
      <c r="AG791" s="115"/>
      <c r="AH791" s="115"/>
      <c r="AI791" s="115"/>
      <c r="AJ791" s="115"/>
      <c r="AK791" s="115"/>
      <c r="AL791" s="115"/>
      <c r="AM791" s="115"/>
      <c r="AN791" s="115"/>
      <c r="AO791" s="115"/>
      <c r="AP791" s="127"/>
      <c r="AQ791" s="29"/>
      <c r="AR791" s="115"/>
      <c r="AS791" s="115"/>
      <c r="AT791" s="115"/>
      <c r="AU791" s="115"/>
      <c r="AV791" s="115"/>
      <c r="AW791" s="115"/>
      <c r="AX791" s="115"/>
      <c r="AY791" s="115"/>
      <c r="AZ791" s="115"/>
      <c r="BA791" s="25"/>
      <c r="BB791" s="13"/>
      <c r="BG791" s="116"/>
      <c r="BH791" s="123"/>
      <c r="BI791" s="123"/>
      <c r="BJ791" s="123"/>
      <c r="BO791" s="115"/>
      <c r="BP791" s="115"/>
      <c r="BQ791" s="115"/>
      <c r="BR791" s="115"/>
      <c r="BS791" s="115"/>
      <c r="BT791" s="115"/>
      <c r="BU791" s="115"/>
      <c r="BV791" s="115"/>
      <c r="BW791" s="115"/>
      <c r="BX791" s="115"/>
      <c r="BY791" s="25"/>
      <c r="BZ791" s="13"/>
      <c r="CC791" s="114"/>
    </row>
    <row r="792" spans="1:81" ht="19.5" x14ac:dyDescent="0.4">
      <c r="A792" s="117"/>
      <c r="B792" s="123"/>
      <c r="C792" s="123"/>
      <c r="D792" s="123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  <c r="AK792" s="115"/>
      <c r="AL792" s="115"/>
      <c r="AM792" s="115"/>
      <c r="AN792" s="115"/>
      <c r="AO792" s="115"/>
      <c r="AP792" s="127"/>
      <c r="AQ792" s="29"/>
      <c r="AR792" s="115"/>
      <c r="AS792" s="115"/>
      <c r="AT792" s="115"/>
      <c r="AU792" s="115"/>
      <c r="AV792" s="115"/>
      <c r="AW792" s="115"/>
      <c r="AX792" s="115"/>
      <c r="AY792" s="115"/>
      <c r="AZ792" s="115"/>
      <c r="BA792" s="25"/>
      <c r="BB792" s="13"/>
      <c r="BG792" s="116"/>
      <c r="BH792" s="123"/>
      <c r="BI792" s="123"/>
      <c r="BJ792" s="123"/>
      <c r="BO792" s="115"/>
      <c r="BP792" s="115"/>
      <c r="BQ792" s="115"/>
      <c r="BR792" s="115"/>
      <c r="BS792" s="115"/>
      <c r="BT792" s="115"/>
      <c r="BU792" s="115"/>
      <c r="BV792" s="115"/>
      <c r="BW792" s="115"/>
      <c r="BX792" s="115"/>
      <c r="BY792" s="25"/>
      <c r="BZ792" s="13"/>
      <c r="CC792" s="114"/>
    </row>
    <row r="793" spans="1:81" ht="19.5" x14ac:dyDescent="0.4">
      <c r="A793" s="117"/>
      <c r="B793" s="123"/>
      <c r="C793" s="123"/>
      <c r="D793" s="123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  <c r="AK793" s="115"/>
      <c r="AL793" s="115"/>
      <c r="AM793" s="115"/>
      <c r="AN793" s="115"/>
      <c r="AO793" s="115"/>
      <c r="AP793" s="127"/>
      <c r="AQ793" s="29"/>
      <c r="AR793" s="115"/>
      <c r="AS793" s="115"/>
      <c r="AT793" s="115"/>
      <c r="AU793" s="115"/>
      <c r="AV793" s="115"/>
      <c r="AW793" s="115"/>
      <c r="AX793" s="115"/>
      <c r="AY793" s="115"/>
      <c r="AZ793" s="115"/>
      <c r="BA793" s="25"/>
      <c r="BB793" s="13"/>
      <c r="BG793" s="116"/>
      <c r="BH793" s="123"/>
      <c r="BI793" s="123"/>
      <c r="BJ793" s="123"/>
      <c r="BO793" s="115"/>
      <c r="BP793" s="115"/>
      <c r="BQ793" s="115"/>
      <c r="BR793" s="115"/>
      <c r="BS793" s="115"/>
      <c r="BT793" s="115"/>
      <c r="BU793" s="115"/>
      <c r="BV793" s="115"/>
      <c r="BW793" s="115"/>
      <c r="BX793" s="115"/>
      <c r="BY793" s="25"/>
      <c r="BZ793" s="13"/>
      <c r="CC793" s="114"/>
    </row>
    <row r="794" spans="1:81" ht="19.5" x14ac:dyDescent="0.4">
      <c r="A794" s="117"/>
      <c r="B794" s="123"/>
      <c r="C794" s="123"/>
      <c r="D794" s="123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  <c r="AK794" s="115"/>
      <c r="AL794" s="115"/>
      <c r="AM794" s="115"/>
      <c r="AN794" s="115"/>
      <c r="AO794" s="115"/>
      <c r="AP794" s="29"/>
      <c r="AQ794" s="29"/>
      <c r="AR794" s="115"/>
      <c r="AS794" s="115"/>
      <c r="AT794" s="115"/>
      <c r="AU794" s="115"/>
      <c r="AV794" s="115"/>
      <c r="AW794" s="115"/>
      <c r="AX794" s="115"/>
      <c r="AY794" s="115"/>
      <c r="AZ794" s="115"/>
      <c r="BA794" s="25"/>
      <c r="BB794" s="13"/>
      <c r="BG794" s="116"/>
      <c r="BH794" s="123"/>
      <c r="BI794" s="123"/>
      <c r="BJ794" s="123"/>
      <c r="BO794" s="115"/>
      <c r="BP794" s="115"/>
      <c r="BQ794" s="115"/>
      <c r="BR794" s="115"/>
      <c r="BS794" s="115"/>
      <c r="BT794" s="115"/>
      <c r="BU794" s="115"/>
      <c r="BV794" s="115"/>
      <c r="BW794" s="115"/>
      <c r="BX794" s="115"/>
      <c r="BY794" s="25"/>
      <c r="BZ794" s="13"/>
      <c r="CC794" s="114"/>
    </row>
    <row r="795" spans="1:81" ht="19.5" x14ac:dyDescent="0.4">
      <c r="A795" s="117"/>
      <c r="B795" s="123"/>
      <c r="C795" s="123"/>
      <c r="D795" s="123"/>
      <c r="AP795" s="127"/>
      <c r="AQ795" s="29"/>
      <c r="AR795" s="115"/>
      <c r="AS795" s="115"/>
      <c r="AT795" s="115"/>
      <c r="AU795" s="115"/>
      <c r="AV795" s="115"/>
      <c r="AW795" s="115"/>
      <c r="AX795" s="115"/>
      <c r="AY795" s="115"/>
      <c r="AZ795" s="115"/>
      <c r="BA795" s="25">
        <v>45677</v>
      </c>
      <c r="BB795" s="13" t="s">
        <v>147</v>
      </c>
      <c r="BG795" s="116"/>
      <c r="BH795" s="123"/>
      <c r="BI795" s="123"/>
      <c r="BJ795" s="123"/>
      <c r="BO795" s="115"/>
      <c r="BP795" s="115"/>
      <c r="BQ795" s="115"/>
      <c r="BR795" s="115"/>
      <c r="BS795" s="115"/>
      <c r="BT795" s="115"/>
      <c r="BU795" s="115"/>
      <c r="BV795" s="115"/>
      <c r="BW795" s="115"/>
      <c r="BX795" s="115"/>
      <c r="BY795" s="25"/>
      <c r="BZ795" s="13"/>
      <c r="CC795" s="114"/>
    </row>
    <row r="796" spans="1:81" ht="19.5" x14ac:dyDescent="0.4">
      <c r="A796" s="117"/>
      <c r="B796" s="123"/>
      <c r="C796" s="123"/>
      <c r="D796" s="123"/>
      <c r="AE796" s="115"/>
      <c r="AF796" s="115"/>
      <c r="AG796" s="115"/>
      <c r="AH796" s="115"/>
      <c r="AI796" s="115"/>
      <c r="AJ796" s="115"/>
      <c r="AK796" s="115"/>
      <c r="AL796" s="115"/>
      <c r="AM796" s="115"/>
      <c r="AN796" s="115"/>
      <c r="AO796" s="115"/>
      <c r="AP796" s="127"/>
      <c r="AQ796" s="29"/>
      <c r="AR796" s="115"/>
      <c r="AS796" s="115"/>
      <c r="AT796" s="115"/>
      <c r="AU796" s="115"/>
      <c r="AV796" s="115"/>
      <c r="AW796" s="115"/>
      <c r="AX796" s="115"/>
      <c r="AY796" s="115"/>
      <c r="AZ796" s="115"/>
      <c r="BA796" s="25"/>
      <c r="BB796" s="13"/>
      <c r="BG796" s="116"/>
      <c r="BH796" s="123"/>
      <c r="BI796" s="123"/>
      <c r="BJ796" s="123"/>
      <c r="BO796" s="115"/>
      <c r="BP796" s="115"/>
      <c r="BQ796" s="115"/>
      <c r="BR796" s="115"/>
      <c r="BS796" s="115"/>
      <c r="BT796" s="115"/>
      <c r="BU796" s="115"/>
      <c r="BV796" s="115"/>
      <c r="BW796" s="115"/>
      <c r="BX796" s="115"/>
      <c r="BY796" s="25"/>
      <c r="BZ796" s="13"/>
      <c r="CC796" s="114"/>
    </row>
    <row r="797" spans="1:81" ht="19.5" x14ac:dyDescent="0.4">
      <c r="A797" s="117"/>
      <c r="B797" s="123"/>
      <c r="C797" s="123"/>
      <c r="D797" s="123"/>
      <c r="AP797" s="127"/>
      <c r="AQ797" s="29"/>
      <c r="AR797" s="115"/>
      <c r="AS797" s="115"/>
      <c r="AT797" s="115"/>
      <c r="AU797" s="115"/>
      <c r="AV797" s="115"/>
      <c r="AW797" s="115"/>
      <c r="AX797" s="115"/>
      <c r="AY797" s="115"/>
      <c r="AZ797" s="115"/>
      <c r="BA797" s="25">
        <v>45677</v>
      </c>
      <c r="BB797" s="25" t="s">
        <v>147</v>
      </c>
      <c r="BG797" s="116"/>
      <c r="BH797" s="123"/>
      <c r="BI797" s="123"/>
      <c r="BJ797" s="123"/>
      <c r="BO797" s="115"/>
      <c r="BP797" s="115"/>
      <c r="BQ797" s="115"/>
      <c r="BR797" s="115"/>
      <c r="BS797" s="115"/>
      <c r="BT797" s="115"/>
      <c r="BU797" s="115"/>
      <c r="BV797" s="115"/>
      <c r="BW797" s="115"/>
      <c r="BX797" s="115"/>
      <c r="BY797" s="25"/>
      <c r="BZ797" s="13"/>
      <c r="CC797" s="114"/>
    </row>
    <row r="798" spans="1:81" ht="19.5" x14ac:dyDescent="0.4">
      <c r="A798" s="117"/>
      <c r="B798" s="123"/>
      <c r="C798" s="123"/>
      <c r="D798" s="123"/>
      <c r="AP798" s="127"/>
      <c r="AQ798" s="29"/>
      <c r="AR798" s="115"/>
      <c r="AS798" s="115"/>
      <c r="AT798" s="115"/>
      <c r="AU798" s="115"/>
      <c r="AV798" s="115"/>
      <c r="AW798" s="115"/>
      <c r="AX798" s="115"/>
      <c r="AY798" s="115"/>
      <c r="AZ798" s="115"/>
      <c r="BA798" s="25"/>
      <c r="BB798" s="25"/>
      <c r="BG798" s="116"/>
      <c r="BH798" s="123"/>
      <c r="BI798" s="123"/>
      <c r="BJ798" s="123"/>
      <c r="BO798" s="115"/>
      <c r="BP798" s="115"/>
      <c r="BQ798" s="115"/>
      <c r="BR798" s="115"/>
      <c r="BS798" s="115"/>
      <c r="BT798" s="115"/>
      <c r="BU798" s="115"/>
      <c r="BV798" s="115"/>
      <c r="BW798" s="115"/>
      <c r="BX798" s="115"/>
      <c r="BY798" s="25"/>
      <c r="BZ798" s="13"/>
      <c r="CC798" s="114"/>
    </row>
    <row r="799" spans="1:81" ht="19.5" x14ac:dyDescent="0.4">
      <c r="A799" s="117"/>
      <c r="B799" s="123"/>
      <c r="C799" s="123"/>
      <c r="D799" s="123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  <c r="AK799" s="115"/>
      <c r="AL799" s="115"/>
      <c r="AM799" s="115"/>
      <c r="AN799" s="115"/>
      <c r="AO799" s="115"/>
      <c r="AP799" s="127"/>
      <c r="AQ799" s="29"/>
      <c r="AR799" s="115"/>
      <c r="AS799" s="115"/>
      <c r="AT799" s="115"/>
      <c r="AU799" s="115"/>
      <c r="AV799" s="115"/>
      <c r="AW799" s="115"/>
      <c r="AX799" s="115"/>
      <c r="AY799" s="115"/>
      <c r="AZ799" s="115"/>
      <c r="BA799" s="25"/>
      <c r="BB799" s="25"/>
      <c r="BG799" s="116"/>
      <c r="BH799" s="123"/>
      <c r="BI799" s="123"/>
      <c r="BJ799" s="123"/>
      <c r="BO799" s="115"/>
      <c r="BP799" s="115"/>
      <c r="BQ799" s="115"/>
      <c r="BR799" s="115"/>
      <c r="BS799" s="115"/>
      <c r="BT799" s="115"/>
      <c r="BU799" s="115"/>
      <c r="BV799" s="115"/>
      <c r="BW799" s="115"/>
      <c r="BX799" s="115"/>
      <c r="BY799" s="25"/>
      <c r="BZ799" s="13"/>
      <c r="CC799" s="114"/>
    </row>
    <row r="800" spans="1:81" ht="19.5" x14ac:dyDescent="0.4">
      <c r="A800" s="117"/>
      <c r="B800" s="123"/>
      <c r="C800" s="123"/>
      <c r="D800" s="123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  <c r="AK800" s="115"/>
      <c r="AL800" s="115"/>
      <c r="AM800" s="115"/>
      <c r="AN800" s="115"/>
      <c r="AO800" s="115"/>
      <c r="AP800" s="127"/>
      <c r="AQ800" s="29"/>
      <c r="AR800" s="115"/>
      <c r="AS800" s="115"/>
      <c r="AT800" s="115"/>
      <c r="AU800" s="115"/>
      <c r="AV800" s="115"/>
      <c r="AW800" s="115"/>
      <c r="AX800" s="115"/>
      <c r="AY800" s="115"/>
      <c r="AZ800" s="115"/>
      <c r="BA800" s="25"/>
      <c r="BB800" s="25"/>
      <c r="BG800" s="116"/>
      <c r="BH800" s="123"/>
      <c r="BI800" s="123"/>
      <c r="BJ800" s="123"/>
      <c r="BO800" s="115"/>
      <c r="BP800" s="115"/>
      <c r="BQ800" s="115"/>
      <c r="BR800" s="115"/>
      <c r="BS800" s="115"/>
      <c r="BT800" s="115"/>
      <c r="BU800" s="115"/>
      <c r="BV800" s="115"/>
      <c r="BW800" s="115"/>
      <c r="BX800" s="115"/>
      <c r="BY800" s="25"/>
      <c r="BZ800" s="13"/>
      <c r="CC800" s="114"/>
    </row>
    <row r="801" spans="1:81" ht="19.5" x14ac:dyDescent="0.4">
      <c r="A801" s="117"/>
      <c r="B801" s="123"/>
      <c r="C801" s="123"/>
      <c r="D801" s="123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  <c r="AK801" s="115"/>
      <c r="AL801" s="115"/>
      <c r="AM801" s="115"/>
      <c r="AN801" s="115"/>
      <c r="AO801" s="115"/>
      <c r="AP801" s="127"/>
      <c r="AQ801" s="29"/>
      <c r="AR801" s="115"/>
      <c r="AS801" s="115"/>
      <c r="AT801" s="115"/>
      <c r="AU801" s="115"/>
      <c r="AV801" s="115"/>
      <c r="AW801" s="115"/>
      <c r="AX801" s="115"/>
      <c r="AY801" s="115"/>
      <c r="AZ801" s="115"/>
      <c r="BA801" s="25"/>
      <c r="BB801" s="25"/>
      <c r="BG801" s="116"/>
      <c r="BH801" s="123"/>
      <c r="BI801" s="123"/>
      <c r="BJ801" s="123"/>
      <c r="BO801" s="115"/>
      <c r="BP801" s="115"/>
      <c r="BQ801" s="115"/>
      <c r="BR801" s="115"/>
      <c r="BS801" s="115"/>
      <c r="BT801" s="115"/>
      <c r="BU801" s="115"/>
      <c r="BV801" s="115"/>
      <c r="BW801" s="115"/>
      <c r="BX801" s="115"/>
      <c r="BY801" s="25"/>
      <c r="BZ801" s="13"/>
      <c r="CC801" s="114"/>
    </row>
    <row r="802" spans="1:81" ht="19.5" x14ac:dyDescent="0.4">
      <c r="A802" s="117"/>
      <c r="B802" s="123"/>
      <c r="C802" s="123"/>
      <c r="D802" s="123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  <c r="AK802" s="115"/>
      <c r="AL802" s="115"/>
      <c r="AM802" s="115"/>
      <c r="AN802" s="115"/>
      <c r="AO802" s="115"/>
      <c r="AP802" s="29"/>
      <c r="AQ802" s="29"/>
      <c r="AR802" s="115"/>
      <c r="AS802" s="115"/>
      <c r="AT802" s="115"/>
      <c r="AU802" s="115"/>
      <c r="AV802" s="115"/>
      <c r="AW802" s="115"/>
      <c r="AX802" s="115"/>
      <c r="AY802" s="115"/>
      <c r="AZ802" s="115"/>
      <c r="BA802" s="25"/>
      <c r="BB802" s="25"/>
      <c r="BG802" s="116"/>
      <c r="BH802" s="123"/>
      <c r="BI802" s="123"/>
      <c r="BJ802" s="123"/>
      <c r="BO802" s="115"/>
      <c r="BP802" s="115"/>
      <c r="BQ802" s="115"/>
      <c r="BR802" s="115"/>
      <c r="BS802" s="115"/>
      <c r="BT802" s="115"/>
      <c r="BU802" s="115"/>
      <c r="BV802" s="115"/>
      <c r="BW802" s="115"/>
      <c r="BX802" s="115"/>
      <c r="BY802" s="25"/>
      <c r="BZ802" s="13"/>
      <c r="CC802" s="114"/>
    </row>
    <row r="803" spans="1:81" ht="19.5" x14ac:dyDescent="0.4">
      <c r="A803" s="117"/>
      <c r="B803" s="123"/>
      <c r="C803" s="123"/>
      <c r="D803" s="123"/>
      <c r="AP803" s="127"/>
      <c r="AQ803" s="29"/>
      <c r="AR803" s="115"/>
      <c r="AS803" s="115"/>
      <c r="AT803" s="115"/>
      <c r="AU803" s="115"/>
      <c r="AV803" s="115"/>
      <c r="AW803" s="115"/>
      <c r="AX803" s="115"/>
      <c r="AY803" s="115"/>
      <c r="AZ803" s="115"/>
      <c r="BA803" s="25">
        <v>45678</v>
      </c>
      <c r="BB803" s="13" t="s">
        <v>147</v>
      </c>
      <c r="BG803" s="116"/>
      <c r="BH803" s="123"/>
      <c r="BI803" s="123"/>
      <c r="BJ803" s="123"/>
      <c r="BO803" s="115"/>
      <c r="BP803" s="115"/>
      <c r="BQ803" s="115"/>
      <c r="BR803" s="115"/>
      <c r="BS803" s="115"/>
      <c r="BT803" s="115"/>
      <c r="BU803" s="115"/>
      <c r="BV803" s="115"/>
      <c r="BW803" s="115"/>
      <c r="BX803" s="115"/>
      <c r="BY803" s="25"/>
      <c r="BZ803" s="13"/>
      <c r="CC803" s="114"/>
    </row>
    <row r="804" spans="1:81" ht="19.5" x14ac:dyDescent="0.4">
      <c r="A804" s="117"/>
      <c r="B804" s="123"/>
      <c r="C804" s="123"/>
      <c r="D804" s="123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  <c r="AK804" s="115"/>
      <c r="AL804" s="115"/>
      <c r="AM804" s="115"/>
      <c r="AN804" s="115"/>
      <c r="AO804" s="115"/>
      <c r="AP804" s="127"/>
      <c r="AQ804" s="29"/>
      <c r="AR804" s="115"/>
      <c r="AS804" s="115"/>
      <c r="AT804" s="115"/>
      <c r="AU804" s="115"/>
      <c r="AV804" s="115"/>
      <c r="AW804" s="115"/>
      <c r="AX804" s="115"/>
      <c r="AY804" s="115"/>
      <c r="AZ804" s="115"/>
      <c r="BA804" s="25"/>
      <c r="BB804" s="13"/>
      <c r="BG804" s="116"/>
      <c r="BH804" s="123"/>
      <c r="BI804" s="123"/>
      <c r="BJ804" s="123"/>
      <c r="BO804" s="115"/>
      <c r="BP804" s="115"/>
      <c r="BQ804" s="115"/>
      <c r="BR804" s="115"/>
      <c r="BS804" s="115"/>
      <c r="BT804" s="115"/>
      <c r="BU804" s="115"/>
      <c r="BV804" s="115"/>
      <c r="BW804" s="115"/>
      <c r="BX804" s="115"/>
      <c r="BY804" s="25"/>
      <c r="BZ804" s="13"/>
      <c r="CC804" s="114"/>
    </row>
    <row r="805" spans="1:81" ht="19.5" x14ac:dyDescent="0.4">
      <c r="A805" s="117"/>
      <c r="B805" s="123"/>
      <c r="C805" s="123"/>
      <c r="D805" s="123"/>
      <c r="AP805" s="127"/>
      <c r="AQ805" s="29"/>
      <c r="AR805" s="115"/>
      <c r="AS805" s="115"/>
      <c r="AT805" s="115"/>
      <c r="AU805" s="115"/>
      <c r="AV805" s="115"/>
      <c r="AW805" s="115"/>
      <c r="AX805" s="115"/>
      <c r="AY805" s="115"/>
      <c r="AZ805" s="115"/>
      <c r="BA805" s="25">
        <v>45678</v>
      </c>
      <c r="BB805" s="13" t="s">
        <v>146</v>
      </c>
      <c r="BG805" s="116"/>
      <c r="BH805" s="123"/>
      <c r="BI805" s="123"/>
      <c r="BJ805" s="123"/>
      <c r="BO805" s="115"/>
      <c r="BP805" s="115"/>
      <c r="BQ805" s="115"/>
      <c r="BR805" s="115"/>
      <c r="BS805" s="115"/>
      <c r="BT805" s="115"/>
      <c r="BU805" s="115"/>
      <c r="BV805" s="115"/>
      <c r="BW805" s="115"/>
      <c r="BX805" s="115"/>
      <c r="BY805" s="25"/>
      <c r="BZ805" s="13"/>
      <c r="CC805" s="114"/>
    </row>
    <row r="806" spans="1:81" ht="19.5" x14ac:dyDescent="0.4">
      <c r="A806" s="117"/>
      <c r="B806" s="123"/>
      <c r="C806" s="123"/>
      <c r="D806" s="123"/>
      <c r="AB806" s="115"/>
      <c r="AC806" s="115"/>
      <c r="AD806" s="115"/>
      <c r="AE806" s="115"/>
      <c r="AF806" s="115"/>
      <c r="AG806" s="115"/>
      <c r="AH806" s="115"/>
      <c r="AI806" s="115"/>
      <c r="AJ806" s="115"/>
      <c r="AK806" s="115"/>
      <c r="AL806" s="115"/>
      <c r="AM806" s="115"/>
      <c r="AN806" s="115"/>
      <c r="AO806" s="115"/>
      <c r="AP806" s="127"/>
      <c r="AQ806" s="29"/>
      <c r="AR806" s="115"/>
      <c r="AS806" s="115"/>
      <c r="AT806" s="115"/>
      <c r="AU806" s="115"/>
      <c r="AV806" s="115"/>
      <c r="AW806" s="115"/>
      <c r="AX806" s="115"/>
      <c r="AY806" s="115"/>
      <c r="AZ806" s="115"/>
      <c r="BA806" s="25"/>
      <c r="BB806" s="13"/>
      <c r="BG806" s="116"/>
      <c r="BH806" s="123"/>
      <c r="BI806" s="123"/>
      <c r="BJ806" s="123"/>
      <c r="BO806" s="115"/>
      <c r="BP806" s="115"/>
      <c r="BQ806" s="115"/>
      <c r="BR806" s="115"/>
      <c r="BS806" s="115"/>
      <c r="BT806" s="115"/>
      <c r="BU806" s="115"/>
      <c r="BV806" s="115"/>
      <c r="BW806" s="115"/>
      <c r="BX806" s="115"/>
      <c r="BY806" s="25"/>
      <c r="BZ806" s="13"/>
      <c r="CC806" s="114"/>
    </row>
    <row r="807" spans="1:81" ht="19.5" x14ac:dyDescent="0.4">
      <c r="A807" s="117"/>
      <c r="B807" s="123"/>
      <c r="C807" s="123"/>
      <c r="D807" s="123"/>
      <c r="AB807" s="115"/>
      <c r="AC807" s="115"/>
      <c r="AD807" s="115"/>
      <c r="AE807" s="115"/>
      <c r="AF807" s="115"/>
      <c r="AG807" s="115"/>
      <c r="AH807" s="115"/>
      <c r="AI807" s="115"/>
      <c r="AJ807" s="115"/>
      <c r="AK807" s="115"/>
      <c r="AL807" s="115"/>
      <c r="AM807" s="115"/>
      <c r="AN807" s="115"/>
      <c r="AO807" s="115"/>
      <c r="AP807" s="127"/>
      <c r="AQ807" s="29"/>
      <c r="AR807" s="115"/>
      <c r="AS807" s="115"/>
      <c r="AT807" s="115"/>
      <c r="AU807" s="115"/>
      <c r="AV807" s="115"/>
      <c r="AW807" s="115"/>
      <c r="AX807" s="115"/>
      <c r="AY807" s="115"/>
      <c r="AZ807" s="115"/>
      <c r="BA807" s="25"/>
      <c r="BB807" s="13"/>
      <c r="BG807" s="116"/>
      <c r="BH807" s="123"/>
      <c r="BI807" s="123"/>
      <c r="BJ807" s="123"/>
      <c r="BO807" s="115"/>
      <c r="BP807" s="115"/>
      <c r="BQ807" s="115"/>
      <c r="BR807" s="115"/>
      <c r="BS807" s="115"/>
      <c r="BT807" s="115"/>
      <c r="BU807" s="115"/>
      <c r="BV807" s="115"/>
      <c r="BW807" s="115"/>
      <c r="BX807" s="115"/>
      <c r="BY807" s="25"/>
      <c r="BZ807" s="13"/>
      <c r="CC807" s="114"/>
    </row>
    <row r="808" spans="1:81" ht="19.5" x14ac:dyDescent="0.4">
      <c r="A808" s="117"/>
      <c r="B808" s="123"/>
      <c r="C808" s="123"/>
      <c r="D808" s="123"/>
      <c r="AB808" s="115"/>
      <c r="AC808" s="115"/>
      <c r="AD808" s="115"/>
      <c r="AE808" s="115"/>
      <c r="AF808" s="115"/>
      <c r="AG808" s="115"/>
      <c r="AH808" s="115"/>
      <c r="AI808" s="115"/>
      <c r="AJ808" s="115"/>
      <c r="AK808" s="115"/>
      <c r="AL808" s="115"/>
      <c r="AM808" s="115"/>
      <c r="AN808" s="115"/>
      <c r="AO808" s="115"/>
      <c r="AP808" s="127"/>
      <c r="AQ808" s="29"/>
      <c r="AR808" s="115"/>
      <c r="AS808" s="115"/>
      <c r="AT808" s="115"/>
      <c r="AU808" s="115"/>
      <c r="AV808" s="115"/>
      <c r="AW808" s="115"/>
      <c r="AX808" s="115"/>
      <c r="AY808" s="115"/>
      <c r="AZ808" s="115"/>
      <c r="BA808" s="25"/>
      <c r="BB808" s="13"/>
      <c r="BG808" s="116"/>
      <c r="BH808" s="123"/>
      <c r="BI808" s="123"/>
      <c r="BJ808" s="123"/>
      <c r="BO808" s="115"/>
      <c r="BP808" s="115"/>
      <c r="BQ808" s="115"/>
      <c r="BR808" s="115"/>
      <c r="BS808" s="115"/>
      <c r="BT808" s="115"/>
      <c r="BU808" s="115"/>
      <c r="BV808" s="115"/>
      <c r="BW808" s="115"/>
      <c r="BX808" s="115"/>
      <c r="BY808" s="25"/>
      <c r="BZ808" s="13"/>
      <c r="CC808" s="114"/>
    </row>
    <row r="809" spans="1:81" ht="19.5" x14ac:dyDescent="0.4">
      <c r="A809" s="117"/>
      <c r="B809" s="123"/>
      <c r="C809" s="123"/>
      <c r="D809" s="123"/>
      <c r="AB809" s="115"/>
      <c r="AC809" s="115"/>
      <c r="AD809" s="115"/>
      <c r="AE809" s="115"/>
      <c r="AF809" s="115"/>
      <c r="AG809" s="115"/>
      <c r="AH809" s="115"/>
      <c r="AI809" s="115"/>
      <c r="AJ809" s="115"/>
      <c r="AK809" s="115"/>
      <c r="AL809" s="115"/>
      <c r="AM809" s="115"/>
      <c r="AN809" s="115"/>
      <c r="AO809" s="115"/>
      <c r="AP809" s="127"/>
      <c r="AQ809" s="29"/>
      <c r="AR809" s="115"/>
      <c r="AS809" s="115"/>
      <c r="AT809" s="115"/>
      <c r="AU809" s="115"/>
      <c r="AV809" s="115"/>
      <c r="AW809" s="115"/>
      <c r="AX809" s="115"/>
      <c r="AY809" s="115"/>
      <c r="AZ809" s="115"/>
      <c r="BA809" s="25"/>
      <c r="BB809" s="13"/>
      <c r="BG809" s="116"/>
      <c r="BH809" s="123"/>
      <c r="BI809" s="123"/>
      <c r="BJ809" s="123"/>
      <c r="BO809" s="115"/>
      <c r="BP809" s="115"/>
      <c r="BQ809" s="115"/>
      <c r="BR809" s="115"/>
      <c r="BS809" s="115"/>
      <c r="BT809" s="115"/>
      <c r="BU809" s="115"/>
      <c r="BV809" s="115"/>
      <c r="BW809" s="115"/>
      <c r="BX809" s="115"/>
      <c r="BY809" s="25"/>
      <c r="BZ809" s="13"/>
      <c r="CC809" s="114"/>
    </row>
    <row r="810" spans="1:81" ht="19.5" x14ac:dyDescent="0.4">
      <c r="A810" s="117"/>
      <c r="B810" s="123"/>
      <c r="C810" s="123"/>
      <c r="D810" s="123"/>
      <c r="AP810" s="127"/>
      <c r="AQ810" s="29"/>
      <c r="AR810" s="115"/>
      <c r="AS810" s="115"/>
      <c r="AT810" s="115"/>
      <c r="AU810" s="115"/>
      <c r="AV810" s="115"/>
      <c r="AW810" s="115"/>
      <c r="AX810" s="115"/>
      <c r="AY810" s="115"/>
      <c r="AZ810" s="115"/>
      <c r="BA810" s="25">
        <v>45678</v>
      </c>
      <c r="BB810" s="13" t="s">
        <v>148</v>
      </c>
      <c r="BG810" s="116"/>
      <c r="BH810" s="123"/>
      <c r="BI810" s="123"/>
      <c r="BJ810" s="123"/>
      <c r="BO810" s="115"/>
      <c r="BP810" s="115"/>
      <c r="BQ810" s="115"/>
      <c r="BR810" s="115"/>
      <c r="BS810" s="115"/>
      <c r="BT810" s="115"/>
      <c r="BU810" s="115"/>
      <c r="BV810" s="115"/>
      <c r="BW810" s="115"/>
      <c r="BX810" s="115"/>
      <c r="BY810" s="25"/>
      <c r="BZ810" s="13"/>
      <c r="CC810" s="114"/>
    </row>
    <row r="811" spans="1:81" ht="19.5" x14ac:dyDescent="0.4">
      <c r="A811" s="117"/>
      <c r="B811" s="123"/>
      <c r="C811" s="123"/>
      <c r="D811" s="123"/>
      <c r="AD811" s="115"/>
      <c r="AE811" s="115"/>
      <c r="AF811" s="115"/>
      <c r="AG811" s="115"/>
      <c r="AH811" s="115"/>
      <c r="AI811" s="115"/>
      <c r="AJ811" s="115"/>
      <c r="AK811" s="115"/>
      <c r="AL811" s="115"/>
      <c r="AM811" s="115"/>
      <c r="AN811" s="115"/>
      <c r="AO811" s="115"/>
      <c r="AP811" s="127"/>
      <c r="AQ811" s="29"/>
      <c r="AR811" s="115"/>
      <c r="AS811" s="115"/>
      <c r="AT811" s="115"/>
      <c r="AU811" s="115"/>
      <c r="AV811" s="115"/>
      <c r="AW811" s="115"/>
      <c r="AX811" s="115"/>
      <c r="AY811" s="115"/>
      <c r="AZ811" s="115"/>
      <c r="BA811" s="25"/>
      <c r="BB811" s="13"/>
      <c r="BG811" s="116"/>
      <c r="BH811" s="123"/>
      <c r="BI811" s="123"/>
      <c r="BJ811" s="123"/>
      <c r="BO811" s="115"/>
      <c r="BP811" s="115"/>
      <c r="BQ811" s="115"/>
      <c r="BR811" s="115"/>
      <c r="BS811" s="115"/>
      <c r="BT811" s="115"/>
      <c r="BU811" s="115"/>
      <c r="BV811" s="115"/>
      <c r="BW811" s="115"/>
      <c r="BX811" s="115"/>
      <c r="BY811" s="25"/>
      <c r="BZ811" s="13"/>
      <c r="CC811" s="114"/>
    </row>
    <row r="812" spans="1:81" ht="19.5" x14ac:dyDescent="0.4">
      <c r="A812" s="117"/>
      <c r="B812" s="123"/>
      <c r="C812" s="123"/>
      <c r="D812" s="123"/>
      <c r="AD812" s="115"/>
      <c r="AE812" s="115"/>
      <c r="AF812" s="115"/>
      <c r="AG812" s="115"/>
      <c r="AH812" s="115"/>
      <c r="AI812" s="115"/>
      <c r="AJ812" s="115"/>
      <c r="AK812" s="115"/>
      <c r="AL812" s="115"/>
      <c r="AM812" s="115"/>
      <c r="AN812" s="115"/>
      <c r="AO812" s="115"/>
      <c r="AP812" s="29"/>
      <c r="AQ812" s="29"/>
      <c r="AR812" s="115"/>
      <c r="AS812" s="115"/>
      <c r="AT812" s="115"/>
      <c r="AU812" s="115"/>
      <c r="AV812" s="115"/>
      <c r="AW812" s="115"/>
      <c r="AX812" s="115"/>
      <c r="AY812" s="115"/>
      <c r="AZ812" s="115"/>
      <c r="BA812" s="25"/>
      <c r="BB812" s="13"/>
      <c r="BG812" s="116"/>
      <c r="BH812" s="123"/>
      <c r="BI812" s="123"/>
      <c r="BJ812" s="123"/>
      <c r="BO812" s="115"/>
      <c r="BP812" s="115"/>
      <c r="BQ812" s="115"/>
      <c r="BR812" s="115"/>
      <c r="BS812" s="115"/>
      <c r="BT812" s="115"/>
      <c r="BU812" s="115"/>
      <c r="BV812" s="115"/>
      <c r="BW812" s="115"/>
      <c r="BX812" s="115"/>
      <c r="BY812" s="25"/>
      <c r="BZ812" s="13"/>
      <c r="CC812" s="114"/>
    </row>
    <row r="813" spans="1:81" ht="19.5" x14ac:dyDescent="0.4">
      <c r="A813" s="117"/>
      <c r="B813" s="123"/>
      <c r="C813" s="123"/>
      <c r="D813" s="123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15"/>
      <c r="AK813" s="115"/>
      <c r="AL813" s="115"/>
      <c r="AM813" s="115"/>
      <c r="AN813" s="115"/>
      <c r="AO813" s="115"/>
      <c r="AP813" s="127"/>
      <c r="AQ813" s="134"/>
      <c r="AR813" s="115"/>
      <c r="AS813" s="115"/>
      <c r="AT813" s="115"/>
      <c r="AU813" s="115"/>
      <c r="AV813" s="115"/>
      <c r="AW813" s="115"/>
      <c r="AX813" s="115"/>
      <c r="AY813" s="115"/>
      <c r="AZ813" s="115"/>
      <c r="BA813" s="25"/>
      <c r="BB813" s="13"/>
      <c r="BG813" s="116"/>
      <c r="BH813" s="123"/>
      <c r="BI813" s="123"/>
      <c r="BJ813" s="123"/>
      <c r="BO813" s="115"/>
      <c r="BP813" s="115"/>
      <c r="BQ813" s="115"/>
      <c r="BR813" s="115"/>
      <c r="BS813" s="115"/>
      <c r="BT813" s="115"/>
      <c r="BU813" s="115"/>
      <c r="BV813" s="115"/>
      <c r="BW813" s="115"/>
      <c r="BX813" s="115"/>
      <c r="BY813" s="25"/>
      <c r="BZ813" s="13"/>
      <c r="CC813" s="114"/>
    </row>
    <row r="814" spans="1:81" ht="19.5" x14ac:dyDescent="0.4">
      <c r="A814" s="117"/>
      <c r="B814" s="123"/>
      <c r="C814" s="123"/>
      <c r="D814" s="123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  <c r="AK814" s="115"/>
      <c r="AL814" s="115"/>
      <c r="AM814" s="115"/>
      <c r="AN814" s="115"/>
      <c r="AO814" s="115"/>
      <c r="AP814" s="127"/>
      <c r="AQ814" s="29"/>
      <c r="AR814" s="115"/>
      <c r="AS814" s="115"/>
      <c r="AT814" s="115"/>
      <c r="AU814" s="115"/>
      <c r="AV814" s="115"/>
      <c r="AW814" s="115"/>
      <c r="AX814" s="115"/>
      <c r="AY814" s="115"/>
      <c r="AZ814" s="115"/>
      <c r="BA814" s="25"/>
      <c r="BB814" s="13"/>
      <c r="BG814" s="116"/>
      <c r="BH814" s="123"/>
      <c r="BI814" s="123"/>
      <c r="BJ814" s="123"/>
      <c r="BO814" s="115"/>
      <c r="BP814" s="115"/>
      <c r="BQ814" s="115"/>
      <c r="BR814" s="115"/>
      <c r="BS814" s="115"/>
      <c r="BT814" s="115"/>
      <c r="BU814" s="115"/>
      <c r="BV814" s="115"/>
      <c r="BW814" s="115"/>
      <c r="BX814" s="115"/>
      <c r="BY814" s="25"/>
      <c r="BZ814" s="13"/>
      <c r="CC814" s="114"/>
    </row>
    <row r="815" spans="1:81" ht="19.5" x14ac:dyDescent="0.4">
      <c r="A815" s="117"/>
      <c r="B815" s="123"/>
      <c r="C815" s="123"/>
      <c r="D815" s="123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  <c r="AK815" s="115"/>
      <c r="AL815" s="115"/>
      <c r="AM815" s="115"/>
      <c r="AN815" s="115"/>
      <c r="AO815" s="115"/>
      <c r="AP815" s="127"/>
      <c r="AQ815" s="29"/>
      <c r="AR815" s="115"/>
      <c r="AS815" s="115"/>
      <c r="AT815" s="115"/>
      <c r="AU815" s="115"/>
      <c r="AV815" s="115"/>
      <c r="AW815" s="115"/>
      <c r="AX815" s="115"/>
      <c r="AY815" s="115"/>
      <c r="AZ815" s="115"/>
      <c r="BA815" s="25"/>
      <c r="BB815" s="13"/>
      <c r="BG815" s="116"/>
      <c r="BH815" s="123"/>
      <c r="BI815" s="123"/>
      <c r="BJ815" s="123"/>
      <c r="BO815" s="115"/>
      <c r="BP815" s="115"/>
      <c r="BQ815" s="115"/>
      <c r="BR815" s="115"/>
      <c r="BS815" s="115"/>
      <c r="BT815" s="115"/>
      <c r="BU815" s="115"/>
      <c r="BV815" s="115"/>
      <c r="BW815" s="115"/>
      <c r="BX815" s="115"/>
      <c r="BY815" s="25"/>
      <c r="BZ815" s="13"/>
      <c r="CC815" s="114"/>
    </row>
    <row r="816" spans="1:81" ht="19.5" x14ac:dyDescent="0.4">
      <c r="A816" s="117"/>
      <c r="B816" s="123"/>
      <c r="C816" s="123"/>
      <c r="D816" s="123"/>
      <c r="AP816" s="127"/>
      <c r="AQ816" s="29"/>
      <c r="AR816" s="115"/>
      <c r="AS816" s="115"/>
      <c r="AT816" s="115"/>
      <c r="AU816" s="115"/>
      <c r="AV816" s="115"/>
      <c r="AW816" s="115"/>
      <c r="AX816" s="115"/>
      <c r="AY816" s="115"/>
      <c r="AZ816" s="115"/>
      <c r="BA816" s="25">
        <v>45678</v>
      </c>
      <c r="BB816" s="13" t="s">
        <v>148</v>
      </c>
      <c r="BG816" s="116"/>
      <c r="BH816" s="123"/>
      <c r="BI816" s="123"/>
      <c r="BJ816" s="123"/>
      <c r="BO816" s="115"/>
      <c r="BP816" s="115"/>
      <c r="BQ816" s="115"/>
      <c r="BR816" s="115"/>
      <c r="BS816" s="115"/>
      <c r="BT816" s="115"/>
      <c r="BU816" s="115"/>
      <c r="BV816" s="115"/>
      <c r="BW816" s="115"/>
      <c r="BX816" s="115"/>
      <c r="BY816" s="25"/>
      <c r="BZ816" s="13"/>
      <c r="CC816" s="114"/>
    </row>
    <row r="817" spans="1:81" ht="19.5" x14ac:dyDescent="0.4">
      <c r="A817" s="117"/>
      <c r="B817" s="123"/>
      <c r="C817" s="123"/>
      <c r="D817" s="123"/>
      <c r="AP817" s="127"/>
      <c r="AQ817" s="29"/>
      <c r="AR817" s="115"/>
      <c r="AS817" s="115"/>
      <c r="AT817" s="115"/>
      <c r="AU817" s="115"/>
      <c r="AV817" s="115"/>
      <c r="AW817" s="115"/>
      <c r="AX817" s="115"/>
      <c r="AY817" s="115"/>
      <c r="AZ817" s="115"/>
      <c r="BA817" s="25">
        <v>45678</v>
      </c>
      <c r="BB817" s="13" t="s">
        <v>148</v>
      </c>
      <c r="BG817" s="116"/>
      <c r="BH817" s="123"/>
      <c r="BI817" s="123"/>
      <c r="BJ817" s="123"/>
      <c r="BO817" s="115"/>
      <c r="BP817" s="115"/>
      <c r="BQ817" s="115"/>
      <c r="BR817" s="115"/>
      <c r="BS817" s="115"/>
      <c r="BT817" s="115"/>
      <c r="BU817" s="115"/>
      <c r="BV817" s="115"/>
      <c r="BW817" s="115"/>
      <c r="BX817" s="115"/>
      <c r="BY817" s="25"/>
      <c r="BZ817" s="13"/>
      <c r="CC817" s="114"/>
    </row>
    <row r="818" spans="1:81" ht="19.5" x14ac:dyDescent="0.4">
      <c r="A818" s="117"/>
      <c r="B818" s="123"/>
      <c r="C818" s="123"/>
      <c r="D818" s="123"/>
      <c r="AE818" s="115"/>
      <c r="AF818" s="115"/>
      <c r="AG818" s="115"/>
      <c r="AH818" s="115"/>
      <c r="AI818" s="115"/>
      <c r="AJ818" s="115"/>
      <c r="AK818" s="115"/>
      <c r="AL818" s="115"/>
      <c r="AM818" s="115"/>
      <c r="AN818" s="115"/>
      <c r="AO818" s="115"/>
      <c r="AP818" s="127"/>
      <c r="AQ818" s="29"/>
      <c r="AR818" s="115"/>
      <c r="AS818" s="115"/>
      <c r="AT818" s="115"/>
      <c r="AU818" s="115"/>
      <c r="AV818" s="115"/>
      <c r="AW818" s="115"/>
      <c r="AX818" s="115"/>
      <c r="AY818" s="115"/>
      <c r="AZ818" s="115"/>
      <c r="BA818" s="25"/>
      <c r="BB818" s="13"/>
      <c r="BG818" s="116"/>
      <c r="BH818" s="123"/>
      <c r="BI818" s="123"/>
      <c r="BJ818" s="123"/>
      <c r="BO818" s="115"/>
      <c r="BP818" s="115"/>
      <c r="BQ818" s="115"/>
      <c r="BR818" s="115"/>
      <c r="BS818" s="115"/>
      <c r="BT818" s="115"/>
      <c r="BU818" s="115"/>
      <c r="BV818" s="115"/>
      <c r="BW818" s="115"/>
      <c r="BX818" s="115"/>
      <c r="BY818" s="25"/>
      <c r="BZ818" s="13"/>
      <c r="CC818" s="114"/>
    </row>
    <row r="819" spans="1:81" ht="19.5" x14ac:dyDescent="0.4">
      <c r="A819" s="117"/>
      <c r="B819" s="123"/>
      <c r="C819" s="123"/>
      <c r="D819" s="123"/>
      <c r="AE819" s="115"/>
      <c r="AF819" s="115"/>
      <c r="AG819" s="115"/>
      <c r="AH819" s="115"/>
      <c r="AI819" s="115"/>
      <c r="AJ819" s="115"/>
      <c r="AK819" s="115"/>
      <c r="AL819" s="115"/>
      <c r="AM819" s="115"/>
      <c r="AN819" s="115"/>
      <c r="AO819" s="115"/>
      <c r="AP819" s="127"/>
      <c r="AQ819" s="29"/>
      <c r="AR819" s="115"/>
      <c r="AS819" s="115"/>
      <c r="AT819" s="115"/>
      <c r="AU819" s="115"/>
      <c r="AV819" s="115"/>
      <c r="AW819" s="115"/>
      <c r="AX819" s="115"/>
      <c r="AY819" s="115"/>
      <c r="AZ819" s="115"/>
      <c r="BA819" s="25"/>
      <c r="BB819" s="13"/>
      <c r="BG819" s="116"/>
      <c r="BH819" s="123"/>
      <c r="BI819" s="123"/>
      <c r="BJ819" s="123"/>
      <c r="BO819" s="115"/>
      <c r="BP819" s="115"/>
      <c r="BQ819" s="115"/>
      <c r="BR819" s="115"/>
      <c r="BS819" s="115"/>
      <c r="BT819" s="115"/>
      <c r="BU819" s="115"/>
      <c r="BV819" s="115"/>
      <c r="BW819" s="115"/>
      <c r="BX819" s="115"/>
      <c r="BY819" s="25"/>
      <c r="BZ819" s="13"/>
      <c r="CC819" s="114"/>
    </row>
    <row r="820" spans="1:81" ht="19.5" x14ac:dyDescent="0.4">
      <c r="A820" s="117"/>
      <c r="B820" s="123"/>
      <c r="C820" s="123"/>
      <c r="D820" s="123"/>
      <c r="AC820" s="115"/>
      <c r="AD820" s="115"/>
      <c r="AE820" s="115"/>
      <c r="AF820" s="115"/>
      <c r="AG820" s="115"/>
      <c r="AH820" s="115"/>
      <c r="AI820" s="115"/>
      <c r="AJ820" s="115"/>
      <c r="AK820" s="115"/>
      <c r="AL820" s="115"/>
      <c r="AM820" s="115"/>
      <c r="AN820" s="115"/>
      <c r="AO820" s="115"/>
      <c r="AP820" s="127"/>
      <c r="AQ820" s="29"/>
      <c r="AR820" s="115"/>
      <c r="AS820" s="115"/>
      <c r="AT820" s="115"/>
      <c r="AU820" s="115"/>
      <c r="AV820" s="115"/>
      <c r="AW820" s="115"/>
      <c r="AX820" s="115"/>
      <c r="AY820" s="115"/>
      <c r="AZ820" s="115"/>
      <c r="BA820" s="25"/>
      <c r="BB820" s="13"/>
      <c r="BG820" s="116"/>
      <c r="BH820" s="123"/>
      <c r="BI820" s="123"/>
      <c r="BJ820" s="123"/>
      <c r="BO820" s="115"/>
      <c r="BP820" s="115"/>
      <c r="BQ820" s="115"/>
      <c r="BR820" s="115"/>
      <c r="BS820" s="115"/>
      <c r="BT820" s="115"/>
      <c r="BU820" s="115"/>
      <c r="BV820" s="115"/>
      <c r="BW820" s="115"/>
      <c r="BX820" s="115"/>
      <c r="BY820" s="25"/>
      <c r="BZ820" s="13"/>
      <c r="CC820" s="114"/>
    </row>
    <row r="821" spans="1:81" ht="19.5" x14ac:dyDescent="0.4">
      <c r="A821" s="117"/>
      <c r="B821" s="123"/>
      <c r="C821" s="123"/>
      <c r="D821" s="123"/>
      <c r="AC821" s="115"/>
      <c r="AD821" s="115"/>
      <c r="AE821" s="115"/>
      <c r="AF821" s="115"/>
      <c r="AG821" s="115"/>
      <c r="AH821" s="115"/>
      <c r="AI821" s="115"/>
      <c r="AJ821" s="115"/>
      <c r="AK821" s="115"/>
      <c r="AL821" s="115"/>
      <c r="AM821" s="115"/>
      <c r="AN821" s="115"/>
      <c r="AO821" s="115"/>
      <c r="AP821" s="127"/>
      <c r="AQ821" s="29"/>
      <c r="AR821" s="115"/>
      <c r="AS821" s="115"/>
      <c r="AT821" s="115"/>
      <c r="AU821" s="115"/>
      <c r="AV821" s="115"/>
      <c r="AW821" s="115"/>
      <c r="AX821" s="115"/>
      <c r="AY821" s="115"/>
      <c r="AZ821" s="115"/>
      <c r="BA821" s="25"/>
      <c r="BB821" s="13"/>
      <c r="BG821" s="116"/>
      <c r="BH821" s="123"/>
      <c r="BI821" s="123"/>
      <c r="BJ821" s="123"/>
      <c r="BO821" s="115"/>
      <c r="BP821" s="115"/>
      <c r="BQ821" s="115"/>
      <c r="BR821" s="115"/>
      <c r="BS821" s="115"/>
      <c r="BT821" s="115"/>
      <c r="BU821" s="115"/>
      <c r="BV821" s="115"/>
      <c r="BW821" s="115"/>
      <c r="BX821" s="115"/>
      <c r="BY821" s="25"/>
      <c r="BZ821" s="13"/>
      <c r="CC821" s="114"/>
    </row>
    <row r="822" spans="1:81" ht="19.5" x14ac:dyDescent="0.4">
      <c r="A822" s="117"/>
      <c r="B822" s="123"/>
      <c r="C822" s="123"/>
      <c r="D822" s="123"/>
      <c r="AP822" s="127"/>
      <c r="AQ822" s="29"/>
      <c r="AR822" s="115"/>
      <c r="AS822" s="115"/>
      <c r="AT822" s="115"/>
      <c r="AU822" s="115"/>
      <c r="AV822" s="115"/>
      <c r="AW822" s="115"/>
      <c r="AX822" s="115"/>
      <c r="AY822" s="115"/>
      <c r="AZ822" s="115"/>
      <c r="BA822" s="25">
        <v>45679</v>
      </c>
      <c r="BB822" s="15" t="s">
        <v>146</v>
      </c>
      <c r="BG822" s="116"/>
      <c r="BH822" s="123"/>
      <c r="BI822" s="123"/>
      <c r="BJ822" s="123"/>
      <c r="BO822" s="115"/>
      <c r="BP822" s="115"/>
      <c r="BQ822" s="115"/>
      <c r="BR822" s="115"/>
      <c r="BS822" s="115"/>
      <c r="BT822" s="115"/>
      <c r="BU822" s="115"/>
      <c r="BV822" s="115"/>
      <c r="BW822" s="115"/>
      <c r="BX822" s="115"/>
      <c r="BY822" s="25"/>
      <c r="BZ822" s="13"/>
      <c r="CC822" s="114"/>
    </row>
    <row r="823" spans="1:81" ht="19.5" x14ac:dyDescent="0.4">
      <c r="A823" s="117"/>
      <c r="B823" s="123"/>
      <c r="C823" s="123"/>
      <c r="D823" s="123"/>
      <c r="AF823" s="115"/>
      <c r="AG823" s="115"/>
      <c r="AH823" s="115"/>
      <c r="AI823" s="115"/>
      <c r="AJ823" s="115"/>
      <c r="AK823" s="115"/>
      <c r="AL823" s="115"/>
      <c r="AM823" s="115"/>
      <c r="AN823" s="115"/>
      <c r="AO823" s="115"/>
      <c r="AP823" s="127"/>
      <c r="AQ823" s="29"/>
      <c r="AR823" s="115"/>
      <c r="AS823" s="115"/>
      <c r="AT823" s="115"/>
      <c r="AU823" s="115"/>
      <c r="AV823" s="115"/>
      <c r="AW823" s="115"/>
      <c r="AX823" s="115"/>
      <c r="AY823" s="115"/>
      <c r="AZ823" s="115"/>
      <c r="BA823" s="25"/>
      <c r="BB823" s="15"/>
      <c r="BG823" s="116"/>
      <c r="BH823" s="123"/>
      <c r="BI823" s="123"/>
      <c r="BJ823" s="123"/>
      <c r="BO823" s="115"/>
      <c r="BP823" s="115"/>
      <c r="BQ823" s="115"/>
      <c r="BR823" s="115"/>
      <c r="BS823" s="115"/>
      <c r="BT823" s="115"/>
      <c r="BU823" s="115"/>
      <c r="BV823" s="115"/>
      <c r="BW823" s="115"/>
      <c r="BX823" s="115"/>
      <c r="BY823" s="25"/>
      <c r="BZ823" s="13"/>
      <c r="CC823" s="114"/>
    </row>
    <row r="824" spans="1:81" ht="19.5" x14ac:dyDescent="0.4">
      <c r="A824" s="117"/>
      <c r="B824" s="123"/>
      <c r="C824" s="123"/>
      <c r="D824" s="123"/>
      <c r="AF824" s="115"/>
      <c r="AG824" s="115"/>
      <c r="AH824" s="115"/>
      <c r="AI824" s="115"/>
      <c r="AJ824" s="115"/>
      <c r="AK824" s="115"/>
      <c r="AL824" s="115"/>
      <c r="AM824" s="115"/>
      <c r="AN824" s="115"/>
      <c r="AO824" s="115"/>
      <c r="AP824" s="29"/>
      <c r="AQ824" s="29"/>
      <c r="AR824" s="115"/>
      <c r="AS824" s="115"/>
      <c r="AT824" s="115"/>
      <c r="AU824" s="115"/>
      <c r="AV824" s="115"/>
      <c r="AW824" s="115"/>
      <c r="AX824" s="115"/>
      <c r="AY824" s="115"/>
      <c r="AZ824" s="115"/>
      <c r="BA824" s="25"/>
      <c r="BB824" s="15"/>
      <c r="BG824" s="116"/>
      <c r="BH824" s="123"/>
      <c r="BI824" s="123"/>
      <c r="BJ824" s="123"/>
      <c r="BO824" s="115"/>
      <c r="BP824" s="115"/>
      <c r="BQ824" s="115"/>
      <c r="BR824" s="115"/>
      <c r="BS824" s="115"/>
      <c r="BT824" s="115"/>
      <c r="BU824" s="115"/>
      <c r="BV824" s="115"/>
      <c r="BW824" s="115"/>
      <c r="BX824" s="115"/>
      <c r="BY824" s="25"/>
      <c r="BZ824" s="13"/>
      <c r="CC824" s="114"/>
    </row>
    <row r="825" spans="1:81" ht="19.5" x14ac:dyDescent="0.4">
      <c r="A825" s="117"/>
      <c r="B825" s="123"/>
      <c r="C825" s="123"/>
      <c r="D825" s="123"/>
      <c r="AP825" s="127"/>
      <c r="AQ825" s="29"/>
      <c r="AR825" s="115"/>
      <c r="AS825" s="115"/>
      <c r="AT825" s="115"/>
      <c r="AU825" s="115"/>
      <c r="AV825" s="115"/>
      <c r="AW825" s="115"/>
      <c r="AX825" s="115"/>
      <c r="AY825" s="115"/>
      <c r="AZ825" s="115"/>
      <c r="BA825" s="25"/>
      <c r="BB825" s="15"/>
      <c r="BG825" s="116"/>
      <c r="BH825" s="123"/>
      <c r="BI825" s="123"/>
      <c r="BJ825" s="123"/>
      <c r="BO825" s="115"/>
      <c r="BP825" s="115"/>
      <c r="BQ825" s="115"/>
      <c r="BR825" s="115"/>
      <c r="BS825" s="115"/>
      <c r="BT825" s="115"/>
      <c r="BU825" s="115"/>
      <c r="BV825" s="115"/>
      <c r="BW825" s="115"/>
      <c r="BX825" s="115"/>
      <c r="BY825" s="25"/>
      <c r="BZ825" s="13"/>
      <c r="CC825" s="114"/>
    </row>
    <row r="826" spans="1:81" ht="19.5" x14ac:dyDescent="0.4">
      <c r="A826" s="117"/>
      <c r="B826" s="123"/>
      <c r="C826" s="123"/>
      <c r="D826" s="123"/>
      <c r="AF826" s="115"/>
      <c r="AG826" s="115"/>
      <c r="AH826" s="115"/>
      <c r="AI826" s="115"/>
      <c r="AJ826" s="115"/>
      <c r="AK826" s="115"/>
      <c r="AL826" s="115"/>
      <c r="AM826" s="115"/>
      <c r="AN826" s="115"/>
      <c r="AO826" s="115"/>
      <c r="AP826" s="127"/>
      <c r="AQ826" s="29"/>
      <c r="AR826" s="115"/>
      <c r="AS826" s="115"/>
      <c r="AT826" s="115"/>
      <c r="AU826" s="115"/>
      <c r="AV826" s="115"/>
      <c r="AW826" s="115"/>
      <c r="AX826" s="115"/>
      <c r="AY826" s="115"/>
      <c r="AZ826" s="115"/>
      <c r="BA826" s="25"/>
      <c r="BB826" s="15"/>
      <c r="BG826" s="116"/>
      <c r="BH826" s="123"/>
      <c r="BI826" s="123"/>
      <c r="BJ826" s="123"/>
      <c r="BO826" s="115"/>
      <c r="BP826" s="115"/>
      <c r="BQ826" s="115"/>
      <c r="BR826" s="115"/>
      <c r="BS826" s="115"/>
      <c r="BT826" s="115"/>
      <c r="BU826" s="115"/>
      <c r="BV826" s="115"/>
      <c r="BW826" s="115"/>
      <c r="BX826" s="115"/>
      <c r="BY826" s="25"/>
      <c r="BZ826" s="13"/>
      <c r="CC826" s="114"/>
    </row>
    <row r="827" spans="1:81" ht="19.5" x14ac:dyDescent="0.4">
      <c r="A827" s="117"/>
      <c r="B827" s="123"/>
      <c r="C827" s="123"/>
      <c r="D827" s="123"/>
      <c r="AF827" s="115"/>
      <c r="AG827" s="115"/>
      <c r="AH827" s="115"/>
      <c r="AI827" s="115"/>
      <c r="AJ827" s="115"/>
      <c r="AK827" s="115"/>
      <c r="AL827" s="115"/>
      <c r="AM827" s="115"/>
      <c r="AN827" s="115"/>
      <c r="AO827" s="115"/>
      <c r="AP827" s="29"/>
      <c r="AQ827" s="29"/>
      <c r="AR827" s="115"/>
      <c r="AS827" s="115"/>
      <c r="AT827" s="115"/>
      <c r="AU827" s="115"/>
      <c r="AV827" s="115"/>
      <c r="AW827" s="115"/>
      <c r="AX827" s="115"/>
      <c r="AY827" s="115"/>
      <c r="AZ827" s="115"/>
      <c r="BA827" s="25"/>
      <c r="BB827" s="15"/>
      <c r="BG827" s="116"/>
      <c r="BH827" s="123"/>
      <c r="BI827" s="123"/>
      <c r="BJ827" s="123"/>
      <c r="BO827" s="115"/>
      <c r="BP827" s="115"/>
      <c r="BQ827" s="115"/>
      <c r="BR827" s="115"/>
      <c r="BS827" s="115"/>
      <c r="BT827" s="115"/>
      <c r="BU827" s="115"/>
      <c r="BV827" s="115"/>
      <c r="BW827" s="115"/>
      <c r="BX827" s="115"/>
      <c r="BY827" s="25"/>
      <c r="BZ827" s="13"/>
      <c r="CC827" s="114"/>
    </row>
    <row r="828" spans="1:81" ht="19.5" x14ac:dyDescent="0.4">
      <c r="A828" s="117"/>
      <c r="B828" s="123"/>
      <c r="C828" s="123"/>
      <c r="D828" s="123"/>
      <c r="AE828" s="115"/>
      <c r="AF828" s="115"/>
      <c r="AG828" s="115"/>
      <c r="AH828" s="115"/>
      <c r="AI828" s="115"/>
      <c r="AJ828" s="115"/>
      <c r="AK828" s="115"/>
      <c r="AL828" s="115"/>
      <c r="AM828" s="115"/>
      <c r="AN828" s="115"/>
      <c r="AO828" s="115"/>
      <c r="AP828" s="127"/>
      <c r="AQ828" s="29"/>
      <c r="AR828" s="115"/>
      <c r="AS828" s="115"/>
      <c r="AT828" s="115"/>
      <c r="AU828" s="115"/>
      <c r="AV828" s="115"/>
      <c r="AW828" s="115"/>
      <c r="AX828" s="115"/>
      <c r="AY828" s="115"/>
      <c r="AZ828" s="115"/>
      <c r="BA828" s="25"/>
      <c r="BB828" s="15"/>
      <c r="BG828" s="116"/>
      <c r="BH828" s="123"/>
      <c r="BI828" s="123"/>
      <c r="BJ828" s="123"/>
      <c r="BO828" s="115"/>
      <c r="BP828" s="115"/>
      <c r="BQ828" s="115"/>
      <c r="BR828" s="115"/>
      <c r="BS828" s="115"/>
      <c r="BT828" s="115"/>
      <c r="BU828" s="115"/>
      <c r="BV828" s="115"/>
      <c r="BW828" s="115"/>
      <c r="BX828" s="115"/>
      <c r="BY828" s="25"/>
      <c r="BZ828" s="13"/>
      <c r="CC828" s="114"/>
    </row>
    <row r="829" spans="1:81" ht="19.5" x14ac:dyDescent="0.4">
      <c r="A829" s="117"/>
      <c r="B829" s="123"/>
      <c r="C829" s="123"/>
      <c r="D829" s="123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  <c r="AK829" s="115"/>
      <c r="AL829" s="115"/>
      <c r="AM829" s="115"/>
      <c r="AN829" s="115"/>
      <c r="AO829" s="115"/>
      <c r="AP829" s="127"/>
      <c r="AQ829" s="29"/>
      <c r="AR829" s="115"/>
      <c r="AS829" s="115"/>
      <c r="AT829" s="115"/>
      <c r="AU829" s="115"/>
      <c r="AV829" s="115"/>
      <c r="AW829" s="115"/>
      <c r="AX829" s="115"/>
      <c r="AY829" s="115"/>
      <c r="AZ829" s="115"/>
      <c r="BA829" s="25"/>
      <c r="BB829" s="15"/>
      <c r="BG829" s="116"/>
      <c r="BH829" s="123"/>
      <c r="BI829" s="123"/>
      <c r="BJ829" s="123"/>
      <c r="BO829" s="115"/>
      <c r="BP829" s="115"/>
      <c r="BQ829" s="115"/>
      <c r="BR829" s="115"/>
      <c r="BS829" s="115"/>
      <c r="BT829" s="115"/>
      <c r="BU829" s="115"/>
      <c r="BV829" s="115"/>
      <c r="BW829" s="115"/>
      <c r="BX829" s="115"/>
      <c r="BY829" s="25"/>
      <c r="BZ829" s="13"/>
      <c r="CC829" s="114"/>
    </row>
    <row r="830" spans="1:81" ht="19.5" x14ac:dyDescent="0.4">
      <c r="A830" s="117"/>
      <c r="B830" s="123"/>
      <c r="C830" s="123"/>
      <c r="D830" s="123"/>
      <c r="AA830" s="115"/>
      <c r="AB830" s="115"/>
      <c r="AC830" s="115"/>
      <c r="AD830" s="115"/>
      <c r="AE830" s="115"/>
      <c r="AF830" s="115"/>
      <c r="AG830" s="115"/>
      <c r="AH830" s="115"/>
      <c r="AI830" s="115"/>
      <c r="AJ830" s="115"/>
      <c r="AK830" s="115"/>
      <c r="AL830" s="115"/>
      <c r="AM830" s="115"/>
      <c r="AN830" s="115"/>
      <c r="AO830" s="115"/>
      <c r="AP830" s="127"/>
      <c r="AQ830" s="29"/>
      <c r="AR830" s="115"/>
      <c r="AS830" s="115"/>
      <c r="AT830" s="115"/>
      <c r="AU830" s="115"/>
      <c r="AV830" s="115"/>
      <c r="AW830" s="115"/>
      <c r="AX830" s="115"/>
      <c r="AY830" s="115"/>
      <c r="AZ830" s="115"/>
      <c r="BA830" s="25"/>
      <c r="BB830" s="15"/>
      <c r="BG830" s="116"/>
      <c r="BH830" s="123"/>
      <c r="BI830" s="123"/>
      <c r="BJ830" s="123"/>
      <c r="BO830" s="115"/>
      <c r="BP830" s="115"/>
      <c r="BQ830" s="115"/>
      <c r="BR830" s="115"/>
      <c r="BS830" s="115"/>
      <c r="BT830" s="115"/>
      <c r="BU830" s="115"/>
      <c r="BV830" s="115"/>
      <c r="BW830" s="115"/>
      <c r="BX830" s="115"/>
      <c r="BY830" s="25"/>
      <c r="BZ830" s="13"/>
      <c r="CC830" s="114"/>
    </row>
    <row r="831" spans="1:81" ht="19.5" x14ac:dyDescent="0.4">
      <c r="A831" s="117"/>
      <c r="B831" s="123"/>
      <c r="C831" s="123"/>
      <c r="D831" s="123"/>
      <c r="AP831" s="127"/>
      <c r="AQ831" s="29"/>
      <c r="AR831" s="115"/>
      <c r="AS831" s="115"/>
      <c r="AT831" s="115"/>
      <c r="AU831" s="115"/>
      <c r="AV831" s="115"/>
      <c r="AW831" s="115"/>
      <c r="AX831" s="115"/>
      <c r="AY831" s="115"/>
      <c r="AZ831" s="115"/>
      <c r="BA831" s="25">
        <v>45679</v>
      </c>
      <c r="BB831" s="15" t="s">
        <v>148</v>
      </c>
      <c r="BG831" s="116"/>
      <c r="BH831" s="123"/>
      <c r="BI831" s="123"/>
      <c r="BJ831" s="123"/>
      <c r="BO831" s="115"/>
      <c r="BP831" s="115"/>
      <c r="BQ831" s="115"/>
      <c r="BR831" s="115"/>
      <c r="BS831" s="115"/>
      <c r="BT831" s="115"/>
      <c r="BU831" s="115"/>
      <c r="BV831" s="115"/>
      <c r="BW831" s="115"/>
      <c r="BX831" s="115"/>
      <c r="BY831" s="25"/>
      <c r="BZ831" s="13"/>
      <c r="CC831" s="114"/>
    </row>
    <row r="832" spans="1:81" ht="19.5" x14ac:dyDescent="0.4">
      <c r="A832" s="117"/>
      <c r="B832" s="123"/>
      <c r="C832" s="123"/>
      <c r="D832" s="123"/>
      <c r="AF832" s="115"/>
      <c r="AG832" s="115"/>
      <c r="AH832" s="115"/>
      <c r="AI832" s="115"/>
      <c r="AJ832" s="115"/>
      <c r="AK832" s="115"/>
      <c r="AL832" s="115"/>
      <c r="AM832" s="115"/>
      <c r="AN832" s="115"/>
      <c r="AO832" s="115"/>
      <c r="AP832" s="127"/>
      <c r="AQ832" s="29"/>
      <c r="AR832" s="115"/>
      <c r="AS832" s="115"/>
      <c r="AT832" s="115"/>
      <c r="AU832" s="115"/>
      <c r="AV832" s="115"/>
      <c r="AW832" s="115"/>
      <c r="AX832" s="115"/>
      <c r="AY832" s="115"/>
      <c r="AZ832" s="115"/>
      <c r="BA832" s="25"/>
      <c r="BB832" s="13"/>
      <c r="BG832" s="116"/>
      <c r="BH832" s="123"/>
      <c r="BI832" s="123"/>
      <c r="BJ832" s="123"/>
      <c r="BO832" s="115"/>
      <c r="BP832" s="115"/>
      <c r="BQ832" s="115"/>
      <c r="BR832" s="115"/>
      <c r="BS832" s="115"/>
      <c r="BT832" s="115"/>
      <c r="BU832" s="115"/>
      <c r="BV832" s="115"/>
      <c r="BW832" s="115"/>
      <c r="BX832" s="115"/>
      <c r="BY832" s="25"/>
      <c r="BZ832" s="13"/>
      <c r="CC832" s="114"/>
    </row>
    <row r="833" spans="1:81" ht="19.5" x14ac:dyDescent="0.4">
      <c r="A833" s="117"/>
      <c r="B833" s="123"/>
      <c r="C833" s="123"/>
      <c r="D833" s="123"/>
      <c r="AE833" s="115"/>
      <c r="AF833" s="115"/>
      <c r="AG833" s="115"/>
      <c r="AH833" s="115"/>
      <c r="AI833" s="115"/>
      <c r="AJ833" s="115"/>
      <c r="AK833" s="115"/>
      <c r="AL833" s="115"/>
      <c r="AM833" s="115"/>
      <c r="AN833" s="115"/>
      <c r="AO833" s="115"/>
      <c r="AP833" s="127"/>
      <c r="AQ833" s="29"/>
      <c r="AR833" s="115"/>
      <c r="AS833" s="115"/>
      <c r="AT833" s="115"/>
      <c r="AU833" s="115"/>
      <c r="AV833" s="115"/>
      <c r="AW833" s="115"/>
      <c r="AX833" s="115"/>
      <c r="AY833" s="115"/>
      <c r="AZ833" s="115"/>
      <c r="BA833" s="25"/>
      <c r="BB833" s="13"/>
      <c r="BG833" s="116"/>
      <c r="BH833" s="123"/>
      <c r="BI833" s="123"/>
      <c r="BJ833" s="123"/>
      <c r="BO833" s="115"/>
      <c r="BP833" s="115"/>
      <c r="BQ833" s="115"/>
      <c r="BR833" s="115"/>
      <c r="BS833" s="115"/>
      <c r="BT833" s="115"/>
      <c r="BU833" s="115"/>
      <c r="BV833" s="115"/>
      <c r="BW833" s="115"/>
      <c r="BX833" s="115"/>
      <c r="BY833" s="25"/>
      <c r="BZ833" s="13"/>
      <c r="CC833" s="114"/>
    </row>
    <row r="834" spans="1:81" ht="19.5" x14ac:dyDescent="0.4">
      <c r="A834" s="117"/>
      <c r="B834" s="123"/>
      <c r="C834" s="123"/>
      <c r="D834" s="123"/>
      <c r="AE834" s="115"/>
      <c r="AF834" s="115"/>
      <c r="AG834" s="115"/>
      <c r="AH834" s="115"/>
      <c r="AI834" s="115"/>
      <c r="AJ834" s="115"/>
      <c r="AK834" s="115"/>
      <c r="AL834" s="115"/>
      <c r="AM834" s="115"/>
      <c r="AN834" s="115"/>
      <c r="AO834" s="115"/>
      <c r="AP834" s="127"/>
      <c r="AQ834" s="29"/>
      <c r="AR834" s="115"/>
      <c r="AS834" s="115"/>
      <c r="AT834" s="115"/>
      <c r="AU834" s="115"/>
      <c r="AV834" s="115"/>
      <c r="AW834" s="115"/>
      <c r="AX834" s="115"/>
      <c r="AY834" s="115"/>
      <c r="AZ834" s="115"/>
      <c r="BA834" s="25"/>
      <c r="BB834" s="13"/>
      <c r="BG834" s="116"/>
      <c r="BH834" s="123"/>
      <c r="BI834" s="123"/>
      <c r="BJ834" s="123"/>
      <c r="BO834" s="115"/>
      <c r="BP834" s="115"/>
      <c r="BQ834" s="115"/>
      <c r="BR834" s="115"/>
      <c r="BS834" s="115"/>
      <c r="BT834" s="115"/>
      <c r="BU834" s="115"/>
      <c r="BV834" s="115"/>
      <c r="BW834" s="115"/>
      <c r="BX834" s="115"/>
      <c r="BY834" s="25"/>
      <c r="BZ834" s="13"/>
      <c r="CC834" s="114"/>
    </row>
    <row r="835" spans="1:81" ht="19.5" x14ac:dyDescent="0.4">
      <c r="A835" s="117"/>
      <c r="B835" s="123"/>
      <c r="C835" s="123"/>
      <c r="D835" s="123"/>
      <c r="AE835" s="115"/>
      <c r="AF835" s="115"/>
      <c r="AG835" s="115"/>
      <c r="AH835" s="115"/>
      <c r="AI835" s="115"/>
      <c r="AJ835" s="115"/>
      <c r="AK835" s="115"/>
      <c r="AL835" s="115"/>
      <c r="AM835" s="115"/>
      <c r="AN835" s="115"/>
      <c r="AO835" s="115"/>
      <c r="AP835" s="29"/>
      <c r="AQ835" s="29"/>
      <c r="AR835" s="115"/>
      <c r="AS835" s="115"/>
      <c r="AT835" s="115"/>
      <c r="AU835" s="115"/>
      <c r="AV835" s="115"/>
      <c r="AW835" s="115"/>
      <c r="AX835" s="115"/>
      <c r="AY835" s="115"/>
      <c r="AZ835" s="115"/>
      <c r="BA835" s="25"/>
      <c r="BB835" s="13"/>
      <c r="BG835" s="116"/>
      <c r="BH835" s="123"/>
      <c r="BI835" s="123"/>
      <c r="BJ835" s="123"/>
      <c r="BO835" s="115"/>
      <c r="BP835" s="115"/>
      <c r="BQ835" s="115"/>
      <c r="BR835" s="115"/>
      <c r="BS835" s="115"/>
      <c r="BT835" s="115"/>
      <c r="BU835" s="115"/>
      <c r="BV835" s="115"/>
      <c r="BW835" s="115"/>
      <c r="BX835" s="115"/>
      <c r="BY835" s="25"/>
      <c r="BZ835" s="13"/>
      <c r="CC835" s="114"/>
    </row>
    <row r="836" spans="1:81" ht="19.5" x14ac:dyDescent="0.4">
      <c r="A836" s="117"/>
      <c r="B836" s="123"/>
      <c r="C836" s="123"/>
      <c r="D836" s="123"/>
      <c r="AD836" s="115"/>
      <c r="AE836" s="115"/>
      <c r="AF836" s="115"/>
      <c r="AG836" s="115"/>
      <c r="AH836" s="115"/>
      <c r="AI836" s="115"/>
      <c r="AJ836" s="115"/>
      <c r="AK836" s="115"/>
      <c r="AL836" s="115"/>
      <c r="AM836" s="115"/>
      <c r="AN836" s="115"/>
      <c r="AO836" s="115"/>
      <c r="AP836" s="127"/>
      <c r="AQ836" s="29"/>
      <c r="AR836" s="115"/>
      <c r="AS836" s="115"/>
      <c r="AT836" s="115"/>
      <c r="AU836" s="115"/>
      <c r="AV836" s="115"/>
      <c r="AW836" s="115"/>
      <c r="AX836" s="115"/>
      <c r="AY836" s="115"/>
      <c r="AZ836" s="115"/>
      <c r="BA836" s="25"/>
      <c r="BB836" s="13"/>
      <c r="BG836" s="116"/>
      <c r="BH836" s="123"/>
      <c r="BI836" s="123"/>
      <c r="BJ836" s="123"/>
      <c r="BO836" s="115"/>
      <c r="BP836" s="115"/>
      <c r="BQ836" s="115"/>
      <c r="BR836" s="115"/>
      <c r="BS836" s="115"/>
      <c r="BT836" s="115"/>
      <c r="BU836" s="115"/>
      <c r="BV836" s="115"/>
      <c r="BW836" s="115"/>
      <c r="BX836" s="115"/>
      <c r="BY836" s="25"/>
      <c r="BZ836" s="13"/>
      <c r="CC836" s="114"/>
    </row>
    <row r="837" spans="1:81" ht="19.5" x14ac:dyDescent="0.4">
      <c r="A837" s="117"/>
      <c r="B837" s="123"/>
      <c r="C837" s="123"/>
      <c r="D837" s="123"/>
      <c r="AD837" s="115"/>
      <c r="AE837" s="115"/>
      <c r="AF837" s="115"/>
      <c r="AG837" s="115"/>
      <c r="AH837" s="115"/>
      <c r="AI837" s="115"/>
      <c r="AJ837" s="115"/>
      <c r="AK837" s="115"/>
      <c r="AL837" s="115"/>
      <c r="AM837" s="115"/>
      <c r="AN837" s="115"/>
      <c r="AO837" s="115"/>
      <c r="AP837" s="29"/>
      <c r="AQ837" s="29"/>
      <c r="AR837" s="115"/>
      <c r="AS837" s="115"/>
      <c r="AT837" s="115"/>
      <c r="AU837" s="115"/>
      <c r="AV837" s="115"/>
      <c r="AW837" s="115"/>
      <c r="AX837" s="115"/>
      <c r="AY837" s="115"/>
      <c r="AZ837" s="115"/>
      <c r="BA837" s="25"/>
      <c r="BB837" s="13"/>
      <c r="BG837" s="116"/>
      <c r="BH837" s="123"/>
      <c r="BI837" s="123"/>
      <c r="BJ837" s="123"/>
      <c r="BO837" s="115"/>
      <c r="BP837" s="115"/>
      <c r="BQ837" s="115"/>
      <c r="BR837" s="115"/>
      <c r="BS837" s="115"/>
      <c r="BT837" s="115"/>
      <c r="BU837" s="115"/>
      <c r="BV837" s="115"/>
      <c r="BW837" s="115"/>
      <c r="BX837" s="115"/>
      <c r="BY837" s="25"/>
      <c r="BZ837" s="13"/>
      <c r="CC837" s="114"/>
    </row>
    <row r="838" spans="1:81" ht="19.5" x14ac:dyDescent="0.4">
      <c r="A838" s="117"/>
      <c r="B838" s="123"/>
      <c r="C838" s="123"/>
      <c r="D838" s="123"/>
      <c r="AD838" s="115"/>
      <c r="AE838" s="115"/>
      <c r="AF838" s="115"/>
      <c r="AG838" s="115"/>
      <c r="AH838" s="115"/>
      <c r="AI838" s="115"/>
      <c r="AJ838" s="115"/>
      <c r="AK838" s="115"/>
      <c r="AL838" s="115"/>
      <c r="AM838" s="115"/>
      <c r="AN838" s="115"/>
      <c r="AO838" s="115"/>
      <c r="AP838" s="127"/>
      <c r="AQ838" s="29"/>
      <c r="AR838" s="115"/>
      <c r="AS838" s="115"/>
      <c r="AT838" s="115"/>
      <c r="AU838" s="115"/>
      <c r="AV838" s="115"/>
      <c r="AW838" s="115"/>
      <c r="AX838" s="115"/>
      <c r="AY838" s="115"/>
      <c r="AZ838" s="115"/>
      <c r="BA838" s="25"/>
      <c r="BB838" s="13"/>
      <c r="BG838" s="116"/>
      <c r="BH838" s="123"/>
      <c r="BI838" s="123"/>
      <c r="BJ838" s="123"/>
      <c r="BO838" s="115"/>
      <c r="BP838" s="115"/>
      <c r="BQ838" s="115"/>
      <c r="BR838" s="115"/>
      <c r="BS838" s="115"/>
      <c r="BT838" s="115"/>
      <c r="BU838" s="115"/>
      <c r="BV838" s="115"/>
      <c r="BW838" s="115"/>
      <c r="BX838" s="115"/>
      <c r="BY838" s="25"/>
      <c r="BZ838" s="13"/>
      <c r="CC838" s="114"/>
    </row>
    <row r="839" spans="1:81" ht="19.5" x14ac:dyDescent="0.4">
      <c r="A839" s="117"/>
      <c r="B839" s="123"/>
      <c r="C839" s="123"/>
      <c r="D839" s="123"/>
      <c r="AD839" s="115"/>
      <c r="AE839" s="115"/>
      <c r="AF839" s="115"/>
      <c r="AG839" s="115"/>
      <c r="AH839" s="115"/>
      <c r="AI839" s="115"/>
      <c r="AJ839" s="115"/>
      <c r="AK839" s="115"/>
      <c r="AL839" s="115"/>
      <c r="AM839" s="115"/>
      <c r="AN839" s="115"/>
      <c r="AO839" s="115"/>
      <c r="AP839" s="29"/>
      <c r="AQ839" s="29"/>
      <c r="AR839" s="115"/>
      <c r="AS839" s="115"/>
      <c r="AT839" s="115"/>
      <c r="AU839" s="115"/>
      <c r="AV839" s="115"/>
      <c r="AW839" s="115"/>
      <c r="AX839" s="115"/>
      <c r="AY839" s="115"/>
      <c r="AZ839" s="115"/>
      <c r="BA839" s="25"/>
      <c r="BB839" s="13"/>
      <c r="BG839" s="116"/>
      <c r="BH839" s="123"/>
      <c r="BI839" s="123"/>
      <c r="BJ839" s="123"/>
      <c r="BO839" s="115"/>
      <c r="BP839" s="115"/>
      <c r="BQ839" s="115"/>
      <c r="BR839" s="115"/>
      <c r="BS839" s="115"/>
      <c r="BT839" s="115"/>
      <c r="BU839" s="115"/>
      <c r="BV839" s="115"/>
      <c r="BW839" s="115"/>
      <c r="BX839" s="115"/>
      <c r="BY839" s="25"/>
      <c r="BZ839" s="13"/>
      <c r="CC839" s="114"/>
    </row>
    <row r="840" spans="1:81" ht="19.5" x14ac:dyDescent="0.4">
      <c r="A840" s="117"/>
      <c r="B840" s="123"/>
      <c r="C840" s="123"/>
      <c r="D840" s="123"/>
      <c r="AD840" s="115"/>
      <c r="AE840" s="115"/>
      <c r="AF840" s="115"/>
      <c r="AG840" s="115"/>
      <c r="AH840" s="115"/>
      <c r="AI840" s="115"/>
      <c r="AJ840" s="115"/>
      <c r="AK840" s="115"/>
      <c r="AL840" s="115"/>
      <c r="AM840" s="115"/>
      <c r="AN840" s="115"/>
      <c r="AO840" s="115"/>
      <c r="AP840" s="127"/>
      <c r="AQ840" s="29"/>
      <c r="AR840" s="115"/>
      <c r="AS840" s="115"/>
      <c r="AT840" s="115"/>
      <c r="AU840" s="115"/>
      <c r="AV840" s="115"/>
      <c r="AW840" s="115"/>
      <c r="AX840" s="115"/>
      <c r="AY840" s="115"/>
      <c r="AZ840" s="115"/>
      <c r="BA840" s="25"/>
      <c r="BB840" s="13"/>
      <c r="BG840" s="116"/>
      <c r="BH840" s="123"/>
      <c r="BI840" s="123"/>
      <c r="BJ840" s="123"/>
      <c r="BO840" s="115"/>
      <c r="BP840" s="115"/>
      <c r="BQ840" s="115"/>
      <c r="BR840" s="115"/>
      <c r="BS840" s="115"/>
      <c r="BT840" s="115"/>
      <c r="BU840" s="115"/>
      <c r="BV840" s="115"/>
      <c r="BW840" s="115"/>
      <c r="BX840" s="115"/>
      <c r="BY840" s="25"/>
      <c r="BZ840" s="13"/>
      <c r="CC840" s="114"/>
    </row>
    <row r="841" spans="1:81" ht="19.5" x14ac:dyDescent="0.4">
      <c r="A841" s="117"/>
      <c r="B841" s="123"/>
      <c r="C841" s="123"/>
      <c r="D841" s="123"/>
      <c r="AP841" s="127"/>
      <c r="AQ841" s="29"/>
      <c r="AR841" s="115"/>
      <c r="AS841" s="115"/>
      <c r="AT841" s="115"/>
      <c r="AU841" s="115"/>
      <c r="AV841" s="115"/>
      <c r="AW841" s="115"/>
      <c r="AX841" s="115"/>
      <c r="AY841" s="115"/>
      <c r="AZ841" s="115"/>
      <c r="BA841" s="25">
        <v>45679</v>
      </c>
      <c r="BB841" s="13" t="s">
        <v>147</v>
      </c>
      <c r="BG841" s="116"/>
      <c r="BH841" s="123"/>
      <c r="BI841" s="123"/>
      <c r="BJ841" s="123"/>
      <c r="BO841" s="115"/>
      <c r="BP841" s="115"/>
      <c r="BQ841" s="115"/>
      <c r="BR841" s="115"/>
      <c r="BS841" s="115"/>
      <c r="BT841" s="115"/>
      <c r="BU841" s="115"/>
      <c r="BV841" s="115"/>
      <c r="BW841" s="115"/>
      <c r="BX841" s="115"/>
      <c r="BY841" s="25"/>
      <c r="BZ841" s="13"/>
      <c r="CC841" s="114"/>
    </row>
    <row r="842" spans="1:81" ht="19.5" x14ac:dyDescent="0.4">
      <c r="A842" s="117"/>
      <c r="B842" s="123"/>
      <c r="C842" s="123"/>
      <c r="D842" s="123"/>
      <c r="AG842" s="115"/>
      <c r="AH842" s="115"/>
      <c r="AI842" s="115"/>
      <c r="AJ842" s="115"/>
      <c r="AK842" s="115"/>
      <c r="AL842" s="115"/>
      <c r="AM842" s="115"/>
      <c r="AN842" s="115"/>
      <c r="AO842" s="115"/>
      <c r="AP842" s="29"/>
      <c r="AQ842" s="29"/>
      <c r="AR842" s="115"/>
      <c r="AS842" s="115"/>
      <c r="AT842" s="115"/>
      <c r="AU842" s="115"/>
      <c r="AV842" s="115"/>
      <c r="AW842" s="115"/>
      <c r="AX842" s="115"/>
      <c r="AY842" s="115"/>
      <c r="AZ842" s="115"/>
      <c r="BA842" s="25"/>
      <c r="BB842" s="13"/>
      <c r="BG842" s="116"/>
      <c r="BH842" s="123"/>
      <c r="BI842" s="123"/>
      <c r="BJ842" s="123"/>
      <c r="BO842" s="115"/>
      <c r="BP842" s="115"/>
      <c r="BQ842" s="115"/>
      <c r="BR842" s="115"/>
      <c r="BS842" s="115"/>
      <c r="BT842" s="115"/>
      <c r="BU842" s="115"/>
      <c r="BV842" s="115"/>
      <c r="BW842" s="115"/>
      <c r="BX842" s="115"/>
      <c r="BY842" s="25"/>
      <c r="BZ842" s="13"/>
      <c r="CC842" s="114"/>
    </row>
    <row r="843" spans="1:81" ht="19.5" x14ac:dyDescent="0.4">
      <c r="A843" s="117"/>
      <c r="B843" s="123"/>
      <c r="C843" s="123"/>
      <c r="D843" s="123"/>
      <c r="AD843" s="115"/>
      <c r="AE843" s="115"/>
      <c r="AF843" s="115"/>
      <c r="AG843" s="115"/>
      <c r="AH843" s="115"/>
      <c r="AI843" s="115"/>
      <c r="AJ843" s="115"/>
      <c r="AK843" s="115"/>
      <c r="AL843" s="115"/>
      <c r="AM843" s="115"/>
      <c r="AN843" s="115"/>
      <c r="AO843" s="115"/>
      <c r="AP843" s="127"/>
      <c r="AQ843" s="29"/>
      <c r="AR843" s="115"/>
      <c r="AS843" s="115"/>
      <c r="AT843" s="115"/>
      <c r="AU843" s="115"/>
      <c r="AV843" s="115"/>
      <c r="AW843" s="115"/>
      <c r="AX843" s="115"/>
      <c r="AY843" s="115"/>
      <c r="AZ843" s="115"/>
      <c r="BA843" s="25"/>
      <c r="BB843" s="13"/>
      <c r="BG843" s="116"/>
      <c r="BH843" s="123"/>
      <c r="BI843" s="123"/>
      <c r="BJ843" s="123"/>
      <c r="BO843" s="115"/>
      <c r="BP843" s="115"/>
      <c r="BQ843" s="115"/>
      <c r="BR843" s="115"/>
      <c r="BS843" s="115"/>
      <c r="BT843" s="115"/>
      <c r="BU843" s="115"/>
      <c r="BV843" s="115"/>
      <c r="BW843" s="115"/>
      <c r="BX843" s="115"/>
      <c r="BY843" s="25"/>
      <c r="BZ843" s="13"/>
      <c r="CC843" s="114"/>
    </row>
    <row r="844" spans="1:81" ht="19.5" x14ac:dyDescent="0.4">
      <c r="A844" s="117"/>
      <c r="B844" s="123"/>
      <c r="C844" s="123"/>
      <c r="D844" s="123"/>
      <c r="AD844" s="115"/>
      <c r="AE844" s="115"/>
      <c r="AF844" s="115"/>
      <c r="AG844" s="115"/>
      <c r="AH844" s="115"/>
      <c r="AI844" s="115"/>
      <c r="AJ844" s="115"/>
      <c r="AK844" s="115"/>
      <c r="AL844" s="115"/>
      <c r="AM844" s="115"/>
      <c r="AN844" s="115"/>
      <c r="AO844" s="115"/>
      <c r="AP844" s="127"/>
      <c r="AQ844" s="29"/>
      <c r="AR844" s="115"/>
      <c r="AS844" s="115"/>
      <c r="AT844" s="115"/>
      <c r="AU844" s="115"/>
      <c r="AV844" s="115"/>
      <c r="AW844" s="115"/>
      <c r="AX844" s="115"/>
      <c r="AY844" s="115"/>
      <c r="AZ844" s="115"/>
      <c r="BA844" s="25"/>
      <c r="BB844" s="13"/>
      <c r="BG844" s="116"/>
      <c r="BH844" s="123"/>
      <c r="BI844" s="123"/>
      <c r="BJ844" s="123"/>
      <c r="BO844" s="115"/>
      <c r="BP844" s="115"/>
      <c r="BQ844" s="115"/>
      <c r="BR844" s="115"/>
      <c r="BS844" s="115"/>
      <c r="BT844" s="115"/>
      <c r="BU844" s="115"/>
      <c r="BV844" s="115"/>
      <c r="BW844" s="115"/>
      <c r="BX844" s="115"/>
      <c r="BY844" s="25"/>
      <c r="BZ844" s="13"/>
      <c r="CC844" s="114"/>
    </row>
    <row r="845" spans="1:81" ht="19.5" x14ac:dyDescent="0.4">
      <c r="A845" s="117"/>
      <c r="B845" s="123"/>
      <c r="C845" s="123"/>
      <c r="D845" s="123"/>
      <c r="AD845" s="115"/>
      <c r="AE845" s="115"/>
      <c r="AF845" s="115"/>
      <c r="AG845" s="115"/>
      <c r="AH845" s="115"/>
      <c r="AI845" s="115"/>
      <c r="AJ845" s="115"/>
      <c r="AK845" s="115"/>
      <c r="AL845" s="115"/>
      <c r="AM845" s="115"/>
      <c r="AN845" s="115"/>
      <c r="AO845" s="115"/>
      <c r="AP845" s="29"/>
      <c r="AQ845" s="29"/>
      <c r="AR845" s="115"/>
      <c r="AS845" s="115"/>
      <c r="AT845" s="115"/>
      <c r="AU845" s="115"/>
      <c r="AV845" s="115"/>
      <c r="AW845" s="115"/>
      <c r="AX845" s="115"/>
      <c r="AY845" s="115"/>
      <c r="AZ845" s="115"/>
      <c r="BA845" s="25"/>
      <c r="BB845" s="13"/>
      <c r="BG845" s="116"/>
      <c r="BH845" s="123"/>
      <c r="BI845" s="123"/>
      <c r="BJ845" s="123"/>
      <c r="BO845" s="115"/>
      <c r="BP845" s="115"/>
      <c r="BQ845" s="115"/>
      <c r="BR845" s="115"/>
      <c r="BS845" s="115"/>
      <c r="BT845" s="115"/>
      <c r="BU845" s="115"/>
      <c r="BV845" s="115"/>
      <c r="BW845" s="115"/>
      <c r="BX845" s="115"/>
      <c r="BY845" s="25"/>
      <c r="BZ845" s="13"/>
      <c r="CC845" s="114"/>
    </row>
    <row r="846" spans="1:81" ht="19.5" x14ac:dyDescent="0.4">
      <c r="A846" s="117"/>
      <c r="B846" s="123"/>
      <c r="C846" s="123"/>
      <c r="D846" s="123"/>
      <c r="AD846" s="115"/>
      <c r="AE846" s="115"/>
      <c r="AF846" s="115"/>
      <c r="AG846" s="115"/>
      <c r="AH846" s="115"/>
      <c r="AI846" s="115"/>
      <c r="AJ846" s="115"/>
      <c r="AK846" s="115"/>
      <c r="AL846" s="115"/>
      <c r="AM846" s="115"/>
      <c r="AN846" s="115"/>
      <c r="AO846" s="115"/>
      <c r="AP846" s="29"/>
      <c r="AQ846" s="29"/>
      <c r="AR846" s="115"/>
      <c r="AS846" s="115"/>
      <c r="AT846" s="115"/>
      <c r="AU846" s="115"/>
      <c r="AV846" s="115"/>
      <c r="AW846" s="115"/>
      <c r="AX846" s="115"/>
      <c r="AY846" s="115"/>
      <c r="AZ846" s="115"/>
      <c r="BA846" s="25"/>
      <c r="BB846" s="13"/>
      <c r="BG846" s="116"/>
      <c r="BH846" s="123"/>
      <c r="BI846" s="123"/>
      <c r="BJ846" s="123"/>
      <c r="BO846" s="115"/>
      <c r="BP846" s="115"/>
      <c r="BQ846" s="115"/>
      <c r="BR846" s="115"/>
      <c r="BS846" s="115"/>
      <c r="BT846" s="115"/>
      <c r="BU846" s="115"/>
      <c r="BV846" s="115"/>
      <c r="BW846" s="115"/>
      <c r="BX846" s="115"/>
      <c r="BY846" s="25"/>
      <c r="BZ846" s="13"/>
      <c r="CC846" s="114"/>
    </row>
    <row r="847" spans="1:81" ht="19.5" x14ac:dyDescent="0.4">
      <c r="A847" s="117"/>
      <c r="B847" s="123"/>
      <c r="C847" s="123"/>
      <c r="D847" s="123"/>
      <c r="AD847" s="115"/>
      <c r="AE847" s="115"/>
      <c r="AF847" s="115"/>
      <c r="AG847" s="115"/>
      <c r="AH847" s="115"/>
      <c r="AI847" s="115"/>
      <c r="AJ847" s="115"/>
      <c r="AK847" s="115"/>
      <c r="AL847" s="115"/>
      <c r="AM847" s="115"/>
      <c r="AN847" s="115"/>
      <c r="AO847" s="115"/>
      <c r="AP847" s="127"/>
      <c r="AQ847" s="29"/>
      <c r="AR847" s="115"/>
      <c r="AS847" s="115"/>
      <c r="AT847" s="115"/>
      <c r="AU847" s="115"/>
      <c r="AV847" s="115"/>
      <c r="AW847" s="115"/>
      <c r="AX847" s="115"/>
      <c r="AY847" s="115"/>
      <c r="AZ847" s="115"/>
      <c r="BA847" s="25"/>
      <c r="BB847" s="13"/>
      <c r="BG847" s="116"/>
      <c r="BH847" s="123"/>
      <c r="BI847" s="123"/>
      <c r="BJ847" s="123"/>
      <c r="BO847" s="115"/>
      <c r="BP847" s="115"/>
      <c r="BQ847" s="115"/>
      <c r="BR847" s="115"/>
      <c r="BS847" s="115"/>
      <c r="BT847" s="115"/>
      <c r="BU847" s="115"/>
      <c r="BV847" s="115"/>
      <c r="BW847" s="115"/>
      <c r="BX847" s="115"/>
      <c r="BY847" s="25"/>
      <c r="BZ847" s="13"/>
      <c r="CC847" s="114"/>
    </row>
    <row r="848" spans="1:81" ht="19.5" x14ac:dyDescent="0.4">
      <c r="A848" s="117"/>
      <c r="B848" s="123"/>
      <c r="C848" s="123"/>
      <c r="D848" s="123"/>
      <c r="AD848" s="115"/>
      <c r="AE848" s="115"/>
      <c r="AF848" s="115"/>
      <c r="AG848" s="115"/>
      <c r="AH848" s="115"/>
      <c r="AI848" s="115"/>
      <c r="AJ848" s="115"/>
      <c r="AK848" s="115"/>
      <c r="AL848" s="115"/>
      <c r="AM848" s="115"/>
      <c r="AN848" s="115"/>
      <c r="AO848" s="115"/>
      <c r="AP848" s="29"/>
      <c r="AQ848" s="29"/>
      <c r="AR848" s="115"/>
      <c r="AS848" s="115"/>
      <c r="AT848" s="115"/>
      <c r="AU848" s="115"/>
      <c r="AV848" s="115"/>
      <c r="AW848" s="115"/>
      <c r="AX848" s="115"/>
      <c r="AY848" s="115"/>
      <c r="AZ848" s="115"/>
      <c r="BA848" s="25"/>
      <c r="BB848" s="13"/>
      <c r="BG848" s="116"/>
      <c r="BH848" s="123"/>
      <c r="BI848" s="123"/>
      <c r="BJ848" s="123"/>
      <c r="BO848" s="115"/>
      <c r="BP848" s="115"/>
      <c r="BQ848" s="115"/>
      <c r="BR848" s="115"/>
      <c r="BS848" s="115"/>
      <c r="BT848" s="115"/>
      <c r="BU848" s="115"/>
      <c r="BV848" s="115"/>
      <c r="BW848" s="115"/>
      <c r="BX848" s="115"/>
      <c r="BY848" s="25"/>
      <c r="BZ848" s="13"/>
      <c r="CC848" s="114"/>
    </row>
    <row r="849" spans="1:81" ht="19.5" x14ac:dyDescent="0.4">
      <c r="A849" s="117"/>
      <c r="B849" s="123"/>
      <c r="C849" s="123"/>
      <c r="D849" s="123"/>
      <c r="AC849" s="115"/>
      <c r="AD849" s="115"/>
      <c r="AE849" s="115"/>
      <c r="AF849" s="115"/>
      <c r="AG849" s="115"/>
      <c r="AH849" s="115"/>
      <c r="AI849" s="115"/>
      <c r="AJ849" s="115"/>
      <c r="AK849" s="115"/>
      <c r="AL849" s="115"/>
      <c r="AM849" s="115"/>
      <c r="AN849" s="115"/>
      <c r="AO849" s="115"/>
      <c r="AP849" s="127"/>
      <c r="AQ849" s="29"/>
      <c r="AR849" s="115"/>
      <c r="AS849" s="115"/>
      <c r="AT849" s="115"/>
      <c r="AU849" s="115"/>
      <c r="AV849" s="115"/>
      <c r="AW849" s="115"/>
      <c r="AX849" s="115"/>
      <c r="AY849" s="115"/>
      <c r="AZ849" s="115"/>
      <c r="BA849" s="25"/>
      <c r="BB849" s="13"/>
      <c r="BG849" s="116"/>
      <c r="BH849" s="123"/>
      <c r="BI849" s="123"/>
      <c r="BJ849" s="123"/>
      <c r="BO849" s="115"/>
      <c r="BP849" s="115"/>
      <c r="BQ849" s="115"/>
      <c r="BR849" s="115"/>
      <c r="BS849" s="115"/>
      <c r="BT849" s="115"/>
      <c r="BU849" s="115"/>
      <c r="BV849" s="115"/>
      <c r="BW849" s="115"/>
      <c r="BX849" s="115"/>
      <c r="BY849" s="25"/>
      <c r="BZ849" s="13"/>
      <c r="CC849" s="114"/>
    </row>
    <row r="850" spans="1:81" ht="19.5" x14ac:dyDescent="0.4">
      <c r="A850" s="117"/>
      <c r="B850" s="123"/>
      <c r="C850" s="123"/>
      <c r="D850" s="123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  <c r="AK850" s="115"/>
      <c r="AL850" s="115"/>
      <c r="AM850" s="115"/>
      <c r="AN850" s="115"/>
      <c r="AO850" s="115"/>
      <c r="AP850" s="127"/>
      <c r="AQ850" s="29"/>
      <c r="AR850" s="115"/>
      <c r="AS850" s="115"/>
      <c r="AT850" s="115"/>
      <c r="AU850" s="115"/>
      <c r="AV850" s="115"/>
      <c r="AW850" s="115"/>
      <c r="AX850" s="115"/>
      <c r="AY850" s="115"/>
      <c r="AZ850" s="115"/>
      <c r="BA850" s="25"/>
      <c r="BB850" s="13"/>
      <c r="BG850" s="116"/>
      <c r="BH850" s="123"/>
      <c r="BI850" s="123"/>
      <c r="BJ850" s="123"/>
      <c r="BO850" s="115"/>
      <c r="BP850" s="115"/>
      <c r="BQ850" s="115"/>
      <c r="BR850" s="115"/>
      <c r="BS850" s="115"/>
      <c r="BT850" s="115"/>
      <c r="BU850" s="115"/>
      <c r="BV850" s="115"/>
      <c r="BW850" s="115"/>
      <c r="BX850" s="115"/>
      <c r="BY850" s="25"/>
      <c r="BZ850" s="13"/>
      <c r="CC850" s="114"/>
    </row>
    <row r="851" spans="1:81" ht="19.5" x14ac:dyDescent="0.4">
      <c r="A851" s="117"/>
      <c r="B851" s="123"/>
      <c r="C851" s="123"/>
      <c r="D851" s="123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  <c r="AK851" s="115"/>
      <c r="AL851" s="115"/>
      <c r="AM851" s="115"/>
      <c r="AN851" s="115"/>
      <c r="AO851" s="115"/>
      <c r="AP851" s="127"/>
      <c r="AQ851" s="29"/>
      <c r="AR851" s="115"/>
      <c r="AS851" s="115"/>
      <c r="AT851" s="115"/>
      <c r="AU851" s="115"/>
      <c r="AV851" s="115"/>
      <c r="AW851" s="115"/>
      <c r="AX851" s="115"/>
      <c r="AY851" s="115"/>
      <c r="AZ851" s="115"/>
      <c r="BA851" s="25"/>
      <c r="BB851" s="13"/>
      <c r="BG851" s="116"/>
      <c r="BH851" s="123"/>
      <c r="BI851" s="123"/>
      <c r="BJ851" s="123"/>
      <c r="BO851" s="115"/>
      <c r="BP851" s="115"/>
      <c r="BQ851" s="115"/>
      <c r="BR851" s="115"/>
      <c r="BS851" s="115"/>
      <c r="BT851" s="115"/>
      <c r="BU851" s="115"/>
      <c r="BV851" s="115"/>
      <c r="BW851" s="115"/>
      <c r="BX851" s="115"/>
      <c r="BY851" s="25"/>
      <c r="BZ851" s="13"/>
      <c r="CC851" s="114"/>
    </row>
    <row r="852" spans="1:81" ht="19.5" x14ac:dyDescent="0.4">
      <c r="A852" s="117"/>
      <c r="B852" s="123"/>
      <c r="C852" s="123"/>
      <c r="D852" s="123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5"/>
      <c r="AK852" s="115"/>
      <c r="AL852" s="115"/>
      <c r="AM852" s="115"/>
      <c r="AN852" s="115"/>
      <c r="AO852" s="115"/>
      <c r="AP852" s="127"/>
      <c r="AQ852" s="29"/>
      <c r="AR852" s="115"/>
      <c r="AS852" s="115"/>
      <c r="AT852" s="115"/>
      <c r="AU852" s="115"/>
      <c r="AV852" s="115"/>
      <c r="AW852" s="115"/>
      <c r="AX852" s="115"/>
      <c r="AY852" s="115"/>
      <c r="AZ852" s="115"/>
      <c r="BA852" s="25"/>
      <c r="BB852" s="13"/>
      <c r="BG852" s="116"/>
      <c r="BH852" s="123"/>
      <c r="BI852" s="123"/>
      <c r="BJ852" s="123"/>
      <c r="BO852" s="115"/>
      <c r="BP852" s="115"/>
      <c r="BQ852" s="115"/>
      <c r="BR852" s="115"/>
      <c r="BS852" s="115"/>
      <c r="BT852" s="115"/>
      <c r="BU852" s="115"/>
      <c r="BV852" s="115"/>
      <c r="BW852" s="115"/>
      <c r="BX852" s="115"/>
      <c r="BY852" s="25"/>
      <c r="BZ852" s="13"/>
      <c r="CC852" s="114"/>
    </row>
    <row r="853" spans="1:81" ht="19.5" x14ac:dyDescent="0.4">
      <c r="A853" s="117"/>
      <c r="B853" s="123"/>
      <c r="C853" s="123"/>
      <c r="D853" s="123"/>
      <c r="AP853" s="127"/>
      <c r="AQ853" s="29"/>
      <c r="BA853" s="25">
        <v>45679</v>
      </c>
      <c r="BB853" s="13" t="s">
        <v>147</v>
      </c>
      <c r="BG853" s="116"/>
      <c r="BH853" s="123"/>
      <c r="BI853" s="123"/>
      <c r="BJ853" s="123"/>
      <c r="BO853" s="115"/>
      <c r="BP853" s="115"/>
      <c r="BQ853" s="115"/>
      <c r="BR853" s="115"/>
      <c r="BS853" s="115"/>
      <c r="BT853" s="115"/>
      <c r="BU853" s="115"/>
      <c r="BV853" s="115"/>
      <c r="BW853" s="115"/>
      <c r="BX853" s="115"/>
      <c r="BY853" s="25"/>
      <c r="BZ853" s="13"/>
      <c r="CC853" s="114"/>
    </row>
    <row r="854" spans="1:81" ht="19.5" x14ac:dyDescent="0.4">
      <c r="A854" s="117"/>
      <c r="B854" s="123"/>
      <c r="C854" s="123"/>
      <c r="D854" s="123"/>
      <c r="AD854" s="115"/>
      <c r="AE854" s="115"/>
      <c r="AF854" s="115"/>
      <c r="AG854" s="115"/>
      <c r="AH854" s="115"/>
      <c r="AI854" s="115"/>
      <c r="AJ854" s="115"/>
      <c r="AK854" s="115"/>
      <c r="AL854" s="115"/>
      <c r="AM854" s="115"/>
      <c r="AN854" s="115"/>
      <c r="AO854" s="115"/>
      <c r="AP854" s="127"/>
      <c r="AQ854" s="29"/>
      <c r="BA854" s="25"/>
      <c r="BB854" s="13"/>
      <c r="BG854" s="116"/>
      <c r="BH854" s="123"/>
      <c r="BI854" s="123"/>
      <c r="BJ854" s="123"/>
      <c r="BO854" s="115"/>
      <c r="BP854" s="115"/>
      <c r="BQ854" s="115"/>
      <c r="BR854" s="115"/>
      <c r="BS854" s="115"/>
      <c r="BT854" s="115"/>
      <c r="BU854" s="115"/>
      <c r="BV854" s="115"/>
      <c r="BW854" s="115"/>
      <c r="BX854" s="115"/>
      <c r="BY854" s="25"/>
      <c r="BZ854" s="13"/>
      <c r="CC854" s="114"/>
    </row>
    <row r="855" spans="1:81" ht="19.5" x14ac:dyDescent="0.4">
      <c r="A855" s="117"/>
      <c r="B855" s="123"/>
      <c r="C855" s="123"/>
      <c r="D855" s="123"/>
      <c r="AP855" s="127"/>
      <c r="AQ855" s="29"/>
      <c r="BA855" s="25"/>
      <c r="BB855" s="13"/>
      <c r="BG855" s="116"/>
      <c r="BH855" s="123"/>
      <c r="BI855" s="123"/>
      <c r="BJ855" s="123"/>
      <c r="BO855" s="115"/>
      <c r="BP855" s="115"/>
      <c r="BQ855" s="115"/>
      <c r="BR855" s="115"/>
      <c r="BS855" s="115"/>
      <c r="BT855" s="115"/>
      <c r="BU855" s="115"/>
      <c r="BV855" s="115"/>
      <c r="BW855" s="115"/>
      <c r="BX855" s="115"/>
      <c r="BY855" s="25"/>
      <c r="BZ855" s="13"/>
      <c r="CC855" s="114"/>
    </row>
    <row r="856" spans="1:81" ht="19.5" x14ac:dyDescent="0.4">
      <c r="A856" s="117"/>
      <c r="B856" s="123"/>
      <c r="C856" s="123"/>
      <c r="D856" s="123"/>
      <c r="AD856" s="115"/>
      <c r="AE856" s="115"/>
      <c r="AF856" s="115"/>
      <c r="AG856" s="115"/>
      <c r="AH856" s="115"/>
      <c r="AI856" s="115"/>
      <c r="AJ856" s="115"/>
      <c r="AK856" s="115"/>
      <c r="AL856" s="115"/>
      <c r="AM856" s="115"/>
      <c r="AN856" s="115"/>
      <c r="AO856" s="115"/>
      <c r="AP856" s="127"/>
      <c r="AQ856" s="29"/>
      <c r="BA856" s="25"/>
      <c r="BB856" s="13"/>
      <c r="BG856" s="116"/>
      <c r="BH856" s="123"/>
      <c r="BI856" s="123"/>
      <c r="BJ856" s="123"/>
      <c r="BO856" s="115"/>
      <c r="BP856" s="115"/>
      <c r="BQ856" s="115"/>
      <c r="BR856" s="115"/>
      <c r="BS856" s="115"/>
      <c r="BT856" s="115"/>
      <c r="BU856" s="115"/>
      <c r="BV856" s="115"/>
      <c r="BW856" s="115"/>
      <c r="BX856" s="115"/>
      <c r="BY856" s="25"/>
      <c r="BZ856" s="13"/>
      <c r="CC856" s="114"/>
    </row>
    <row r="857" spans="1:81" ht="19.5" x14ac:dyDescent="0.4">
      <c r="A857" s="117"/>
      <c r="B857" s="123"/>
      <c r="C857" s="123"/>
      <c r="D857" s="123"/>
      <c r="AD857" s="115"/>
      <c r="AE857" s="115"/>
      <c r="AF857" s="115"/>
      <c r="AG857" s="115"/>
      <c r="AH857" s="115"/>
      <c r="AI857" s="115"/>
      <c r="AJ857" s="115"/>
      <c r="AK857" s="115"/>
      <c r="AL857" s="115"/>
      <c r="AM857" s="115"/>
      <c r="AN857" s="115"/>
      <c r="AO857" s="115"/>
      <c r="AP857" s="29"/>
      <c r="AQ857" s="29"/>
      <c r="BA857" s="25"/>
      <c r="BB857" s="13"/>
      <c r="BG857" s="116"/>
      <c r="BH857" s="123"/>
      <c r="BI857" s="123"/>
      <c r="BJ857" s="123"/>
      <c r="BO857" s="115"/>
      <c r="BP857" s="115"/>
      <c r="BQ857" s="115"/>
      <c r="BR857" s="115"/>
      <c r="BS857" s="115"/>
      <c r="BT857" s="115"/>
      <c r="BU857" s="115"/>
      <c r="BV857" s="115"/>
      <c r="BW857" s="115"/>
      <c r="BX857" s="115"/>
      <c r="BY857" s="25"/>
      <c r="BZ857" s="13"/>
      <c r="CC857" s="114"/>
    </row>
    <row r="858" spans="1:81" ht="19.5" x14ac:dyDescent="0.4">
      <c r="A858" s="117"/>
      <c r="B858" s="123"/>
      <c r="C858" s="123"/>
      <c r="D858" s="123"/>
      <c r="AP858" s="127"/>
      <c r="AQ858" s="29"/>
      <c r="AR858" s="115"/>
      <c r="AS858" s="115"/>
      <c r="AT858" s="115"/>
      <c r="AU858" s="115"/>
      <c r="AV858" s="115"/>
      <c r="AW858" s="115"/>
      <c r="AX858" s="115"/>
      <c r="AY858" s="115"/>
      <c r="AZ858" s="115"/>
      <c r="BA858" s="25">
        <v>45679</v>
      </c>
      <c r="BB858" s="13" t="s">
        <v>146</v>
      </c>
      <c r="BG858" s="116"/>
      <c r="BH858" s="123"/>
      <c r="BI858" s="123"/>
      <c r="BJ858" s="123"/>
      <c r="BO858" s="115"/>
      <c r="BP858" s="115"/>
      <c r="BQ858" s="115"/>
      <c r="BR858" s="115"/>
      <c r="BS858" s="115"/>
      <c r="BT858" s="115"/>
      <c r="BU858" s="115"/>
      <c r="BV858" s="115"/>
      <c r="BW858" s="115"/>
      <c r="BX858" s="115"/>
      <c r="BY858" s="25"/>
      <c r="BZ858" s="13"/>
      <c r="CC858" s="114"/>
    </row>
    <row r="859" spans="1:81" ht="19.5" x14ac:dyDescent="0.4">
      <c r="A859" s="117"/>
      <c r="B859" s="123"/>
      <c r="C859" s="123"/>
      <c r="D859" s="123"/>
      <c r="AD859" s="115"/>
      <c r="AE859" s="115"/>
      <c r="AF859" s="115"/>
      <c r="AG859" s="115"/>
      <c r="AH859" s="115"/>
      <c r="AI859" s="115"/>
      <c r="AJ859" s="115"/>
      <c r="AK859" s="115"/>
      <c r="AL859" s="115"/>
      <c r="AM859" s="115"/>
      <c r="AN859" s="115"/>
      <c r="AO859" s="115"/>
      <c r="AP859" s="127"/>
      <c r="AQ859" s="29"/>
      <c r="AR859" s="115"/>
      <c r="AS859" s="115"/>
      <c r="AT859" s="115"/>
      <c r="AU859" s="115"/>
      <c r="AV859" s="115"/>
      <c r="AW859" s="115"/>
      <c r="AX859" s="115"/>
      <c r="AY859" s="115"/>
      <c r="AZ859" s="115"/>
      <c r="BA859" s="25"/>
      <c r="BB859" s="13"/>
      <c r="BG859" s="116"/>
      <c r="BH859" s="123"/>
      <c r="BI859" s="123"/>
      <c r="BJ859" s="123"/>
      <c r="BO859" s="115"/>
      <c r="BP859" s="115"/>
      <c r="BQ859" s="115"/>
      <c r="BR859" s="115"/>
      <c r="BS859" s="115"/>
      <c r="BT859" s="115"/>
      <c r="BU859" s="115"/>
      <c r="BV859" s="115"/>
      <c r="BW859" s="115"/>
      <c r="BX859" s="115"/>
      <c r="BY859" s="25"/>
      <c r="BZ859" s="13"/>
      <c r="CC859" s="114"/>
    </row>
    <row r="860" spans="1:81" ht="19.5" x14ac:dyDescent="0.4">
      <c r="A860" s="117"/>
      <c r="B860" s="123"/>
      <c r="C860" s="123"/>
      <c r="D860" s="123"/>
      <c r="AP860" s="127"/>
      <c r="AQ860" s="29"/>
      <c r="AR860" s="115"/>
      <c r="AS860" s="115"/>
      <c r="AT860" s="115"/>
      <c r="AU860" s="115"/>
      <c r="AV860" s="115"/>
      <c r="AW860" s="115"/>
      <c r="AX860" s="115"/>
      <c r="AY860" s="115"/>
      <c r="AZ860" s="115"/>
      <c r="BA860" s="25"/>
      <c r="BB860" s="13"/>
      <c r="BG860" s="116"/>
      <c r="BH860" s="123"/>
      <c r="BI860" s="123"/>
      <c r="BJ860" s="123"/>
      <c r="BO860" s="115"/>
      <c r="BP860" s="115"/>
      <c r="BQ860" s="115"/>
      <c r="BR860" s="115"/>
      <c r="BS860" s="115"/>
      <c r="BT860" s="115"/>
      <c r="BU860" s="115"/>
      <c r="BV860" s="115"/>
      <c r="BW860" s="115"/>
      <c r="BX860" s="115"/>
      <c r="BY860" s="25"/>
      <c r="BZ860" s="13"/>
      <c r="CC860" s="114"/>
    </row>
    <row r="861" spans="1:81" ht="19.5" x14ac:dyDescent="0.4">
      <c r="A861" s="117"/>
      <c r="B861" s="123"/>
      <c r="C861" s="123"/>
      <c r="D861" s="123"/>
      <c r="AD861" s="115"/>
      <c r="AE861" s="115"/>
      <c r="AF861" s="115"/>
      <c r="AG861" s="115"/>
      <c r="AH861" s="115"/>
      <c r="AI861" s="115"/>
      <c r="AJ861" s="115"/>
      <c r="AK861" s="115"/>
      <c r="AL861" s="115"/>
      <c r="AM861" s="115"/>
      <c r="AN861" s="115"/>
      <c r="AO861" s="115"/>
      <c r="AP861" s="127"/>
      <c r="AQ861" s="29"/>
      <c r="AR861" s="115"/>
      <c r="AS861" s="115"/>
      <c r="AT861" s="115"/>
      <c r="AU861" s="115"/>
      <c r="AV861" s="115"/>
      <c r="AW861" s="115"/>
      <c r="AX861" s="115"/>
      <c r="AY861" s="115"/>
      <c r="AZ861" s="115"/>
      <c r="BA861" s="25"/>
      <c r="BB861" s="13"/>
      <c r="BG861" s="116"/>
      <c r="BH861" s="123"/>
      <c r="BI861" s="123"/>
      <c r="BJ861" s="123"/>
      <c r="BO861" s="115"/>
      <c r="BP861" s="115"/>
      <c r="BQ861" s="115"/>
      <c r="BR861" s="115"/>
      <c r="BS861" s="115"/>
      <c r="BT861" s="115"/>
      <c r="BU861" s="115"/>
      <c r="BV861" s="115"/>
      <c r="BW861" s="115"/>
      <c r="BX861" s="115"/>
      <c r="BY861" s="25"/>
      <c r="BZ861" s="13"/>
      <c r="CC861" s="114"/>
    </row>
    <row r="862" spans="1:81" ht="19.5" x14ac:dyDescent="0.4">
      <c r="A862" s="117"/>
      <c r="B862" s="123"/>
      <c r="C862" s="123"/>
      <c r="D862" s="123"/>
      <c r="AD862" s="115"/>
      <c r="AE862" s="115"/>
      <c r="AF862" s="115"/>
      <c r="AG862" s="115"/>
      <c r="AH862" s="115"/>
      <c r="AI862" s="115"/>
      <c r="AJ862" s="115"/>
      <c r="AK862" s="115"/>
      <c r="AL862" s="115"/>
      <c r="AM862" s="115"/>
      <c r="AN862" s="115"/>
      <c r="AO862" s="115"/>
      <c r="AP862" s="127"/>
      <c r="AQ862" s="29"/>
      <c r="AR862" s="115"/>
      <c r="AS862" s="115"/>
      <c r="AT862" s="115"/>
      <c r="AU862" s="115"/>
      <c r="AV862" s="115"/>
      <c r="AW862" s="115"/>
      <c r="AX862" s="115"/>
      <c r="AY862" s="115"/>
      <c r="AZ862" s="115"/>
      <c r="BA862" s="25"/>
      <c r="BB862" s="13"/>
      <c r="BG862" s="116"/>
      <c r="BH862" s="123"/>
      <c r="BI862" s="123"/>
      <c r="BJ862" s="123"/>
      <c r="BO862" s="115"/>
      <c r="BP862" s="115"/>
      <c r="BQ862" s="115"/>
      <c r="BR862" s="115"/>
      <c r="BS862" s="115"/>
      <c r="BT862" s="115"/>
      <c r="BU862" s="115"/>
      <c r="BV862" s="115"/>
      <c r="BW862" s="115"/>
      <c r="BX862" s="115"/>
      <c r="BY862" s="25"/>
      <c r="BZ862" s="13"/>
      <c r="CC862" s="114"/>
    </row>
    <row r="863" spans="1:81" ht="19.5" x14ac:dyDescent="0.4">
      <c r="A863" s="117"/>
      <c r="B863" s="123"/>
      <c r="C863" s="123"/>
      <c r="D863" s="123"/>
      <c r="AP863" s="127"/>
      <c r="AQ863" s="29"/>
      <c r="AR863" s="115"/>
      <c r="AS863" s="115"/>
      <c r="AT863" s="115"/>
      <c r="AU863" s="115"/>
      <c r="AV863" s="115"/>
      <c r="AW863" s="115"/>
      <c r="AX863" s="115"/>
      <c r="AY863" s="115"/>
      <c r="AZ863" s="115"/>
      <c r="BA863" s="25">
        <v>45679</v>
      </c>
      <c r="BB863" s="13" t="s">
        <v>147</v>
      </c>
      <c r="BG863" s="116"/>
      <c r="BH863" s="123"/>
      <c r="BI863" s="123"/>
      <c r="BJ863" s="123"/>
      <c r="BO863" s="115"/>
      <c r="BP863" s="115"/>
      <c r="BQ863" s="115"/>
      <c r="BR863" s="115"/>
      <c r="BS863" s="115"/>
      <c r="BT863" s="115"/>
      <c r="BU863" s="115"/>
      <c r="BV863" s="115"/>
      <c r="BW863" s="115"/>
      <c r="BX863" s="115"/>
      <c r="BY863" s="25"/>
      <c r="BZ863" s="13"/>
      <c r="CC863" s="114"/>
    </row>
    <row r="864" spans="1:81" ht="19.5" x14ac:dyDescent="0.4">
      <c r="A864" s="117"/>
      <c r="B864" s="123"/>
      <c r="C864" s="123"/>
      <c r="D864" s="123"/>
      <c r="AP864" s="127"/>
      <c r="AQ864" s="29"/>
      <c r="AR864" s="115"/>
      <c r="AS864" s="115"/>
      <c r="AT864" s="115"/>
      <c r="AU864" s="115"/>
      <c r="AV864" s="115"/>
      <c r="AW864" s="115"/>
      <c r="AX864" s="115"/>
      <c r="AY864" s="115"/>
      <c r="AZ864" s="115"/>
      <c r="BA864" s="25">
        <v>45680</v>
      </c>
      <c r="BB864" s="13" t="s">
        <v>148</v>
      </c>
      <c r="BG864" s="116"/>
      <c r="BH864" s="123"/>
      <c r="BI864" s="123"/>
      <c r="BJ864" s="123"/>
      <c r="BO864" s="115"/>
      <c r="BP864" s="115"/>
      <c r="BQ864" s="115"/>
      <c r="BR864" s="115"/>
      <c r="BS864" s="115"/>
      <c r="BT864" s="115"/>
      <c r="BU864" s="115"/>
      <c r="BV864" s="115"/>
      <c r="BW864" s="115"/>
      <c r="BX864" s="115"/>
      <c r="BY864" s="25"/>
      <c r="BZ864" s="13"/>
      <c r="CC864" s="114"/>
    </row>
    <row r="865" spans="1:81" ht="19.5" x14ac:dyDescent="0.4">
      <c r="A865" s="117"/>
      <c r="B865" s="123"/>
      <c r="C865" s="123"/>
      <c r="D865" s="123"/>
      <c r="AF865" s="115"/>
      <c r="AG865" s="115"/>
      <c r="AH865" s="115"/>
      <c r="AI865" s="115"/>
      <c r="AJ865" s="115"/>
      <c r="AK865" s="115"/>
      <c r="AL865" s="115"/>
      <c r="AM865" s="115"/>
      <c r="AN865" s="115"/>
      <c r="AO865" s="115"/>
      <c r="AP865" s="29"/>
      <c r="AQ865" s="29"/>
      <c r="AR865" s="115"/>
      <c r="AS865" s="115"/>
      <c r="AT865" s="115"/>
      <c r="AU865" s="115"/>
      <c r="AV865" s="115"/>
      <c r="AW865" s="115"/>
      <c r="AX865" s="115"/>
      <c r="AY865" s="115"/>
      <c r="AZ865" s="115"/>
      <c r="BA865" s="25"/>
      <c r="BB865" s="13"/>
      <c r="BG865" s="116"/>
      <c r="BH865" s="123"/>
      <c r="BI865" s="123"/>
      <c r="BJ865" s="123"/>
      <c r="BO865" s="115"/>
      <c r="BP865" s="115"/>
      <c r="BQ865" s="115"/>
      <c r="BR865" s="115"/>
      <c r="BS865" s="115"/>
      <c r="BT865" s="115"/>
      <c r="BU865" s="115"/>
      <c r="BV865" s="115"/>
      <c r="BW865" s="115"/>
      <c r="BX865" s="115"/>
      <c r="BY865" s="25"/>
      <c r="BZ865" s="13"/>
      <c r="CC865" s="114"/>
    </row>
    <row r="866" spans="1:81" ht="19.5" x14ac:dyDescent="0.4">
      <c r="A866" s="117"/>
      <c r="B866" s="123"/>
      <c r="C866" s="123"/>
      <c r="D866" s="123"/>
      <c r="AB866" s="115"/>
      <c r="AC866" s="115"/>
      <c r="AD866" s="115"/>
      <c r="AE866" s="115"/>
      <c r="AF866" s="115"/>
      <c r="AG866" s="115"/>
      <c r="AH866" s="115"/>
      <c r="AI866" s="115"/>
      <c r="AJ866" s="115"/>
      <c r="AK866" s="115"/>
      <c r="AL866" s="115"/>
      <c r="AM866" s="115"/>
      <c r="AN866" s="115"/>
      <c r="AO866" s="115"/>
      <c r="AP866" s="127"/>
      <c r="AQ866" s="29"/>
      <c r="AR866" s="115"/>
      <c r="AS866" s="115"/>
      <c r="AT866" s="115"/>
      <c r="AU866" s="115"/>
      <c r="AV866" s="115"/>
      <c r="AW866" s="115"/>
      <c r="AX866" s="115"/>
      <c r="AY866" s="115"/>
      <c r="AZ866" s="115"/>
      <c r="BA866" s="25"/>
      <c r="BB866" s="13"/>
      <c r="BG866" s="116"/>
      <c r="BH866" s="123"/>
      <c r="BI866" s="123"/>
      <c r="BJ866" s="123"/>
      <c r="BO866" s="115"/>
      <c r="BP866" s="115"/>
      <c r="BQ866" s="115"/>
      <c r="BR866" s="115"/>
      <c r="BS866" s="115"/>
      <c r="BT866" s="115"/>
      <c r="BU866" s="115"/>
      <c r="BV866" s="115"/>
      <c r="BW866" s="115"/>
      <c r="BX866" s="115"/>
      <c r="BY866" s="25"/>
      <c r="BZ866" s="13"/>
      <c r="CC866" s="114"/>
    </row>
    <row r="867" spans="1:81" ht="19.5" x14ac:dyDescent="0.4">
      <c r="A867" s="117"/>
      <c r="B867" s="123"/>
      <c r="C867" s="123"/>
      <c r="D867" s="123"/>
      <c r="AP867" s="127"/>
      <c r="AQ867" s="29"/>
      <c r="AR867" s="115"/>
      <c r="AS867" s="115"/>
      <c r="AT867" s="115"/>
      <c r="AU867" s="115"/>
      <c r="AV867" s="115"/>
      <c r="AW867" s="115"/>
      <c r="AX867" s="115"/>
      <c r="AY867" s="115"/>
      <c r="AZ867" s="115"/>
      <c r="BA867" s="25">
        <v>45680</v>
      </c>
      <c r="BB867" s="13" t="s">
        <v>147</v>
      </c>
      <c r="BG867" s="116"/>
      <c r="BH867" s="123"/>
      <c r="BI867" s="123"/>
      <c r="BJ867" s="123"/>
      <c r="BO867" s="115"/>
      <c r="BP867" s="115"/>
      <c r="BQ867" s="115"/>
      <c r="BR867" s="115"/>
      <c r="BS867" s="115"/>
      <c r="BT867" s="115"/>
      <c r="BU867" s="115"/>
      <c r="BV867" s="115"/>
      <c r="BW867" s="115"/>
      <c r="BX867" s="115"/>
      <c r="BY867" s="25"/>
      <c r="BZ867" s="13"/>
      <c r="CC867" s="114"/>
    </row>
    <row r="868" spans="1:81" ht="19.5" x14ac:dyDescent="0.4">
      <c r="A868" s="117"/>
      <c r="B868" s="123"/>
      <c r="C868" s="123"/>
      <c r="D868" s="123"/>
      <c r="AB868" s="115"/>
      <c r="AC868" s="115"/>
      <c r="AD868" s="115"/>
      <c r="AE868" s="115"/>
      <c r="AF868" s="115"/>
      <c r="AG868" s="115"/>
      <c r="AH868" s="115"/>
      <c r="AI868" s="115"/>
      <c r="AJ868" s="115"/>
      <c r="AK868" s="115"/>
      <c r="AL868" s="115"/>
      <c r="AM868" s="115"/>
      <c r="AN868" s="115"/>
      <c r="AO868" s="115"/>
      <c r="AP868" s="127"/>
      <c r="AQ868" s="29"/>
      <c r="AR868" s="115"/>
      <c r="AS868" s="115"/>
      <c r="AT868" s="115"/>
      <c r="AU868" s="115"/>
      <c r="AV868" s="115"/>
      <c r="AW868" s="115"/>
      <c r="AX868" s="115"/>
      <c r="AY868" s="115"/>
      <c r="AZ868" s="115"/>
      <c r="BA868" s="25"/>
      <c r="BB868" s="13"/>
      <c r="BG868" s="116"/>
      <c r="BH868" s="123"/>
      <c r="BI868" s="123"/>
      <c r="BJ868" s="123"/>
      <c r="BO868" s="115"/>
      <c r="BP868" s="115"/>
      <c r="BQ868" s="115"/>
      <c r="BR868" s="115"/>
      <c r="BS868" s="115"/>
      <c r="BT868" s="115"/>
      <c r="BU868" s="115"/>
      <c r="BV868" s="115"/>
      <c r="BW868" s="115"/>
      <c r="BX868" s="115"/>
      <c r="BY868" s="25"/>
      <c r="BZ868" s="13"/>
      <c r="CC868" s="114"/>
    </row>
    <row r="869" spans="1:81" ht="19.5" x14ac:dyDescent="0.4">
      <c r="A869" s="117"/>
      <c r="B869" s="123"/>
      <c r="C869" s="123"/>
      <c r="D869" s="123"/>
      <c r="AB869" s="115"/>
      <c r="AC869" s="115"/>
      <c r="AD869" s="115"/>
      <c r="AE869" s="115"/>
      <c r="AF869" s="115"/>
      <c r="AG869" s="115"/>
      <c r="AH869" s="115"/>
      <c r="AI869" s="115"/>
      <c r="AJ869" s="115"/>
      <c r="AK869" s="115"/>
      <c r="AL869" s="115"/>
      <c r="AM869" s="115"/>
      <c r="AN869" s="115"/>
      <c r="AO869" s="115"/>
      <c r="AP869" s="127"/>
      <c r="AQ869" s="29"/>
      <c r="AR869" s="115"/>
      <c r="AS869" s="115"/>
      <c r="AT869" s="115"/>
      <c r="AU869" s="115"/>
      <c r="AV869" s="115"/>
      <c r="AW869" s="115"/>
      <c r="AX869" s="115"/>
      <c r="AY869" s="115"/>
      <c r="AZ869" s="115"/>
      <c r="BA869" s="25"/>
      <c r="BB869" s="13"/>
      <c r="BG869" s="116"/>
      <c r="BH869" s="123"/>
      <c r="BI869" s="123"/>
      <c r="BJ869" s="123"/>
      <c r="BO869" s="115"/>
      <c r="BP869" s="115"/>
      <c r="BQ869" s="115"/>
      <c r="BR869" s="115"/>
      <c r="BS869" s="115"/>
      <c r="BT869" s="115"/>
      <c r="BU869" s="115"/>
      <c r="BV869" s="115"/>
      <c r="BW869" s="115"/>
      <c r="BX869" s="115"/>
      <c r="BY869" s="25"/>
      <c r="BZ869" s="13"/>
      <c r="CC869" s="114"/>
    </row>
    <row r="870" spans="1:81" ht="19.5" x14ac:dyDescent="0.4">
      <c r="A870" s="117"/>
      <c r="B870" s="123"/>
      <c r="C870" s="123"/>
      <c r="D870" s="123"/>
      <c r="AP870" s="127"/>
      <c r="AQ870" s="29"/>
      <c r="AR870" s="115"/>
      <c r="AS870" s="115"/>
      <c r="AT870" s="115"/>
      <c r="AU870" s="115"/>
      <c r="AV870" s="115"/>
      <c r="AW870" s="115"/>
      <c r="AX870" s="115"/>
      <c r="AY870" s="115"/>
      <c r="AZ870" s="115"/>
      <c r="BA870" s="25">
        <v>45680</v>
      </c>
      <c r="BB870" s="13" t="s">
        <v>147</v>
      </c>
      <c r="BG870" s="116"/>
      <c r="BH870" s="123"/>
      <c r="BI870" s="123"/>
      <c r="BJ870" s="123"/>
      <c r="BO870" s="115"/>
      <c r="BP870" s="115"/>
      <c r="BQ870" s="115"/>
      <c r="BR870" s="115"/>
      <c r="BS870" s="115"/>
      <c r="BT870" s="115"/>
      <c r="BU870" s="115"/>
      <c r="BV870" s="115"/>
      <c r="BW870" s="115"/>
      <c r="BX870" s="115"/>
      <c r="BY870" s="25"/>
      <c r="BZ870" s="13"/>
      <c r="CC870" s="114"/>
    </row>
    <row r="871" spans="1:81" ht="19.5" x14ac:dyDescent="0.4">
      <c r="A871" s="117"/>
      <c r="B871" s="123"/>
      <c r="C871" s="123"/>
      <c r="D871" s="123"/>
      <c r="AP871" s="127"/>
      <c r="AQ871" s="29"/>
      <c r="AR871" s="115"/>
      <c r="AS871" s="115"/>
      <c r="AT871" s="115"/>
      <c r="AU871" s="115"/>
      <c r="AV871" s="115"/>
      <c r="AW871" s="115"/>
      <c r="AX871" s="115"/>
      <c r="AY871" s="115"/>
      <c r="AZ871" s="115"/>
      <c r="BA871" s="25"/>
      <c r="BB871" s="13"/>
      <c r="BG871" s="116"/>
      <c r="BH871" s="123"/>
      <c r="BI871" s="123"/>
      <c r="BJ871" s="123"/>
      <c r="BO871" s="115"/>
      <c r="BP871" s="115"/>
      <c r="BQ871" s="115"/>
      <c r="BR871" s="115"/>
      <c r="BS871" s="115"/>
      <c r="BT871" s="115"/>
      <c r="BU871" s="115"/>
      <c r="BV871" s="115"/>
      <c r="BW871" s="115"/>
      <c r="BX871" s="115"/>
      <c r="BY871" s="25"/>
      <c r="BZ871" s="13"/>
      <c r="CC871" s="114"/>
    </row>
    <row r="872" spans="1:81" ht="19.5" x14ac:dyDescent="0.4">
      <c r="A872" s="117"/>
      <c r="B872" s="123"/>
      <c r="C872" s="123"/>
      <c r="D872" s="123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5"/>
      <c r="AK872" s="115"/>
      <c r="AL872" s="115"/>
      <c r="AM872" s="115"/>
      <c r="AN872" s="115"/>
      <c r="AO872" s="115"/>
      <c r="AP872" s="127"/>
      <c r="AQ872" s="29"/>
      <c r="AR872" s="115"/>
      <c r="AS872" s="115"/>
      <c r="AT872" s="115"/>
      <c r="AU872" s="115"/>
      <c r="AV872" s="115"/>
      <c r="AW872" s="115"/>
      <c r="AX872" s="115"/>
      <c r="AY872" s="115"/>
      <c r="AZ872" s="115"/>
      <c r="BA872" s="25"/>
      <c r="BB872" s="13"/>
      <c r="BG872" s="116"/>
      <c r="BH872" s="123"/>
      <c r="BI872" s="123"/>
      <c r="BJ872" s="123"/>
      <c r="BO872" s="115"/>
      <c r="BP872" s="115"/>
      <c r="BQ872" s="115"/>
      <c r="BR872" s="115"/>
      <c r="BS872" s="115"/>
      <c r="BT872" s="115"/>
      <c r="BU872" s="115"/>
      <c r="BV872" s="115"/>
      <c r="BW872" s="115"/>
      <c r="BX872" s="115"/>
      <c r="BY872" s="25"/>
      <c r="BZ872" s="13"/>
      <c r="CC872" s="114"/>
    </row>
    <row r="873" spans="1:81" ht="19.5" x14ac:dyDescent="0.4">
      <c r="A873" s="117"/>
      <c r="B873" s="123"/>
      <c r="C873" s="123"/>
      <c r="D873" s="123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  <c r="AK873" s="115"/>
      <c r="AL873" s="115"/>
      <c r="AM873" s="115"/>
      <c r="AN873" s="115"/>
      <c r="AO873" s="115"/>
      <c r="AP873" s="127"/>
      <c r="AQ873" s="29"/>
      <c r="AR873" s="115"/>
      <c r="AS873" s="115"/>
      <c r="AT873" s="115"/>
      <c r="AU873" s="115"/>
      <c r="AV873" s="115"/>
      <c r="AW873" s="115"/>
      <c r="AX873" s="115"/>
      <c r="AY873" s="115"/>
      <c r="AZ873" s="115"/>
      <c r="BA873" s="25"/>
      <c r="BB873" s="13"/>
      <c r="BG873" s="116"/>
      <c r="BH873" s="123"/>
      <c r="BI873" s="123"/>
      <c r="BJ873" s="123"/>
      <c r="BO873" s="115"/>
      <c r="BP873" s="115"/>
      <c r="BQ873" s="115"/>
      <c r="BR873" s="115"/>
      <c r="BS873" s="115"/>
      <c r="BT873" s="115"/>
      <c r="BU873" s="115"/>
      <c r="BV873" s="115"/>
      <c r="BW873" s="115"/>
      <c r="BX873" s="115"/>
      <c r="BY873" s="25"/>
      <c r="BZ873" s="13"/>
      <c r="CC873" s="114"/>
    </row>
    <row r="874" spans="1:81" ht="19.5" x14ac:dyDescent="0.4">
      <c r="A874" s="117"/>
      <c r="B874" s="123"/>
      <c r="C874" s="123"/>
      <c r="D874" s="123"/>
      <c r="AP874" s="127"/>
      <c r="AQ874" s="29"/>
      <c r="AR874" s="115"/>
      <c r="AS874" s="115"/>
      <c r="AT874" s="115"/>
      <c r="AU874" s="115"/>
      <c r="AV874" s="115"/>
      <c r="AW874" s="115"/>
      <c r="AX874" s="115"/>
      <c r="AY874" s="115"/>
      <c r="AZ874" s="115"/>
      <c r="BA874" s="25">
        <v>45680</v>
      </c>
      <c r="BB874" s="13" t="s">
        <v>146</v>
      </c>
      <c r="BG874" s="116"/>
      <c r="BH874" s="123"/>
      <c r="BI874" s="123"/>
      <c r="BJ874" s="123"/>
      <c r="BO874" s="115"/>
      <c r="BP874" s="115"/>
      <c r="BQ874" s="115"/>
      <c r="BR874" s="115"/>
      <c r="BS874" s="115"/>
      <c r="BT874" s="115"/>
      <c r="BU874" s="115"/>
      <c r="BV874" s="115"/>
      <c r="BW874" s="115"/>
      <c r="BX874" s="115"/>
      <c r="BY874" s="25"/>
      <c r="BZ874" s="13"/>
      <c r="CC874" s="114"/>
    </row>
    <row r="875" spans="1:81" ht="19.5" x14ac:dyDescent="0.4">
      <c r="A875" s="117"/>
      <c r="B875" s="123"/>
      <c r="C875" s="123"/>
      <c r="D875" s="123"/>
      <c r="AP875" s="127"/>
      <c r="AQ875" s="29"/>
      <c r="AR875" s="115"/>
      <c r="AS875" s="115"/>
      <c r="AT875" s="115"/>
      <c r="AU875" s="115"/>
      <c r="AV875" s="115"/>
      <c r="AW875" s="115"/>
      <c r="AX875" s="115"/>
      <c r="AY875" s="115"/>
      <c r="AZ875" s="115"/>
      <c r="BA875" s="25">
        <v>45680</v>
      </c>
      <c r="BB875" s="13" t="s">
        <v>146</v>
      </c>
      <c r="BG875" s="116"/>
      <c r="BH875" s="123"/>
      <c r="BI875" s="123"/>
      <c r="BJ875" s="123"/>
      <c r="BO875" s="115"/>
      <c r="BP875" s="115"/>
      <c r="BQ875" s="115"/>
      <c r="BR875" s="115"/>
      <c r="BS875" s="115"/>
      <c r="BT875" s="115"/>
      <c r="BU875" s="115"/>
      <c r="BV875" s="115"/>
      <c r="BW875" s="115"/>
      <c r="BX875" s="115"/>
      <c r="BY875" s="25"/>
      <c r="BZ875" s="13"/>
      <c r="CC875" s="114"/>
    </row>
    <row r="876" spans="1:81" ht="19.5" x14ac:dyDescent="0.4">
      <c r="A876" s="117"/>
      <c r="B876" s="123"/>
      <c r="C876" s="123"/>
      <c r="D876" s="123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  <c r="AK876" s="115"/>
      <c r="AL876" s="115"/>
      <c r="AM876" s="115"/>
      <c r="AN876" s="115"/>
      <c r="AO876" s="115"/>
      <c r="AP876" s="127"/>
      <c r="AQ876" s="29"/>
      <c r="AR876" s="115"/>
      <c r="AS876" s="115"/>
      <c r="AT876" s="115"/>
      <c r="AU876" s="115"/>
      <c r="AV876" s="115"/>
      <c r="AW876" s="115"/>
      <c r="AX876" s="115"/>
      <c r="AY876" s="115"/>
      <c r="AZ876" s="115"/>
      <c r="BA876" s="25">
        <v>45680</v>
      </c>
      <c r="BB876" s="13" t="s">
        <v>147</v>
      </c>
      <c r="BG876" s="116"/>
      <c r="BH876" s="123"/>
      <c r="BI876" s="123"/>
      <c r="BJ876" s="123"/>
      <c r="BO876" s="115"/>
      <c r="BP876" s="115"/>
      <c r="BQ876" s="115"/>
      <c r="BR876" s="115"/>
      <c r="BS876" s="115"/>
      <c r="BT876" s="115"/>
      <c r="BU876" s="115"/>
      <c r="BV876" s="115"/>
      <c r="BW876" s="115"/>
      <c r="BX876" s="115"/>
      <c r="BY876" s="25"/>
      <c r="BZ876" s="13"/>
      <c r="CC876" s="114"/>
    </row>
    <row r="877" spans="1:81" ht="19.5" x14ac:dyDescent="0.4">
      <c r="A877" s="117"/>
      <c r="B877" s="123"/>
      <c r="C877" s="123"/>
      <c r="D877" s="123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  <c r="AK877" s="115"/>
      <c r="AL877" s="115"/>
      <c r="AM877" s="115"/>
      <c r="AN877" s="115"/>
      <c r="AO877" s="115"/>
      <c r="AP877" s="127"/>
      <c r="AQ877" s="29"/>
      <c r="AR877" s="115"/>
      <c r="AS877" s="115"/>
      <c r="AT877" s="115"/>
      <c r="AU877" s="115"/>
      <c r="AV877" s="115"/>
      <c r="AW877" s="115"/>
      <c r="AX877" s="115"/>
      <c r="AY877" s="115"/>
      <c r="AZ877" s="115"/>
      <c r="BA877" s="25"/>
      <c r="BB877" s="13"/>
      <c r="BG877" s="116"/>
      <c r="BH877" s="123"/>
      <c r="BI877" s="123"/>
      <c r="BJ877" s="123"/>
      <c r="BO877" s="115"/>
      <c r="BP877" s="115"/>
      <c r="BQ877" s="115"/>
      <c r="BR877" s="115"/>
      <c r="BS877" s="115"/>
      <c r="BT877" s="115"/>
      <c r="BU877" s="115"/>
      <c r="BV877" s="115"/>
      <c r="BW877" s="115"/>
      <c r="BX877" s="115"/>
      <c r="BY877" s="25"/>
      <c r="BZ877" s="13"/>
      <c r="CC877" s="114"/>
    </row>
    <row r="878" spans="1:81" ht="19.5" x14ac:dyDescent="0.4">
      <c r="A878" s="117"/>
      <c r="B878" s="123"/>
      <c r="C878" s="123"/>
      <c r="D878" s="123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  <c r="AK878" s="115"/>
      <c r="AL878" s="115"/>
      <c r="AM878" s="115"/>
      <c r="AN878" s="115"/>
      <c r="AO878" s="115"/>
      <c r="AP878" s="29"/>
      <c r="AQ878" s="29"/>
      <c r="AR878" s="115"/>
      <c r="AS878" s="115"/>
      <c r="AT878" s="115"/>
      <c r="AU878" s="115"/>
      <c r="AV878" s="115"/>
      <c r="AW878" s="115"/>
      <c r="AX878" s="115"/>
      <c r="AY878" s="115"/>
      <c r="AZ878" s="115"/>
      <c r="BA878" s="25"/>
      <c r="BB878" s="13"/>
      <c r="BG878" s="116"/>
      <c r="BH878" s="123"/>
      <c r="BI878" s="123"/>
      <c r="BJ878" s="123"/>
      <c r="BO878" s="115"/>
      <c r="BP878" s="115"/>
      <c r="BQ878" s="115"/>
      <c r="BR878" s="115"/>
      <c r="BS878" s="115"/>
      <c r="BT878" s="115"/>
      <c r="BU878" s="115"/>
      <c r="BV878" s="115"/>
      <c r="BW878" s="115"/>
      <c r="BX878" s="115"/>
      <c r="BY878" s="25"/>
      <c r="BZ878" s="13"/>
      <c r="CC878" s="114"/>
    </row>
    <row r="879" spans="1:81" ht="19.5" x14ac:dyDescent="0.4">
      <c r="A879" s="117"/>
      <c r="B879" s="123"/>
      <c r="C879" s="123"/>
      <c r="D879" s="123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5"/>
      <c r="AJ879" s="115"/>
      <c r="AK879" s="115"/>
      <c r="AL879" s="115"/>
      <c r="AM879" s="115"/>
      <c r="AN879" s="115"/>
      <c r="AO879" s="115"/>
      <c r="AP879" s="127"/>
      <c r="AQ879" s="29"/>
      <c r="AR879" s="115"/>
      <c r="AS879" s="115"/>
      <c r="AT879" s="115"/>
      <c r="AU879" s="115"/>
      <c r="AV879" s="115"/>
      <c r="AW879" s="115"/>
      <c r="AX879" s="115"/>
      <c r="AY879" s="115"/>
      <c r="AZ879" s="115"/>
      <c r="BA879" s="25"/>
      <c r="BB879" s="13"/>
      <c r="BG879" s="116"/>
      <c r="BH879" s="123"/>
      <c r="BI879" s="123"/>
      <c r="BJ879" s="123"/>
      <c r="BO879" s="115"/>
      <c r="BP879" s="115"/>
      <c r="BQ879" s="115"/>
      <c r="BR879" s="115"/>
      <c r="BS879" s="115"/>
      <c r="BT879" s="115"/>
      <c r="BU879" s="115"/>
      <c r="BV879" s="115"/>
      <c r="BW879" s="115"/>
      <c r="BX879" s="115"/>
      <c r="BY879" s="25"/>
      <c r="BZ879" s="13"/>
      <c r="CC879" s="114"/>
    </row>
    <row r="880" spans="1:81" ht="19.5" x14ac:dyDescent="0.4">
      <c r="A880" s="117"/>
      <c r="B880" s="123"/>
      <c r="C880" s="123"/>
      <c r="D880" s="123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  <c r="AK880" s="115"/>
      <c r="AL880" s="115"/>
      <c r="AM880" s="115"/>
      <c r="AN880" s="115"/>
      <c r="AO880" s="115"/>
      <c r="AP880" s="29"/>
      <c r="AQ880" s="29"/>
      <c r="AR880" s="115"/>
      <c r="AS880" s="115"/>
      <c r="AT880" s="115"/>
      <c r="AU880" s="115"/>
      <c r="AV880" s="115"/>
      <c r="AW880" s="115"/>
      <c r="AX880" s="115"/>
      <c r="AY880" s="115"/>
      <c r="AZ880" s="115"/>
      <c r="BA880" s="25"/>
      <c r="BB880" s="13"/>
      <c r="BG880" s="116"/>
      <c r="BH880" s="123"/>
      <c r="BI880" s="123"/>
      <c r="BJ880" s="123"/>
      <c r="BO880" s="115"/>
      <c r="BP880" s="115"/>
      <c r="BQ880" s="115"/>
      <c r="BR880" s="115"/>
      <c r="BS880" s="115"/>
      <c r="BT880" s="115"/>
      <c r="BU880" s="115"/>
      <c r="BV880" s="115"/>
      <c r="BW880" s="115"/>
      <c r="BX880" s="115"/>
      <c r="BY880" s="25"/>
      <c r="BZ880" s="13"/>
      <c r="CC880" s="114"/>
    </row>
    <row r="881" spans="1:81" ht="19.5" x14ac:dyDescent="0.4">
      <c r="A881" s="117"/>
      <c r="B881" s="123"/>
      <c r="C881" s="123"/>
      <c r="D881" s="123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  <c r="AK881" s="115"/>
      <c r="AL881" s="115"/>
      <c r="AM881" s="115"/>
      <c r="AN881" s="115"/>
      <c r="AO881" s="115"/>
      <c r="AP881" s="127"/>
      <c r="AQ881" s="29"/>
      <c r="AR881" s="115"/>
      <c r="AS881" s="115"/>
      <c r="AT881" s="115"/>
      <c r="AU881" s="115"/>
      <c r="AV881" s="115"/>
      <c r="AW881" s="115"/>
      <c r="AX881" s="115"/>
      <c r="AY881" s="115"/>
      <c r="AZ881" s="115"/>
      <c r="BA881" s="25">
        <v>45680</v>
      </c>
      <c r="BB881" s="15" t="s">
        <v>142</v>
      </c>
      <c r="BG881" s="116"/>
      <c r="BH881" s="123"/>
      <c r="BI881" s="123"/>
      <c r="BJ881" s="123"/>
      <c r="BO881" s="115"/>
      <c r="BP881" s="115"/>
      <c r="BQ881" s="115"/>
      <c r="BR881" s="115"/>
      <c r="BS881" s="115"/>
      <c r="BT881" s="115"/>
      <c r="BU881" s="115"/>
      <c r="BV881" s="115"/>
      <c r="BW881" s="115"/>
      <c r="BX881" s="115"/>
      <c r="BY881" s="25"/>
      <c r="BZ881" s="13"/>
      <c r="CC881" s="114"/>
    </row>
    <row r="882" spans="1:81" ht="19.5" x14ac:dyDescent="0.4">
      <c r="A882" s="117"/>
      <c r="B882" s="123"/>
      <c r="C882" s="123"/>
      <c r="D882" s="123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  <c r="AK882" s="115"/>
      <c r="AL882" s="115"/>
      <c r="AM882" s="115"/>
      <c r="AN882" s="115"/>
      <c r="AO882" s="115"/>
      <c r="AP882" s="29"/>
      <c r="AQ882" s="29"/>
      <c r="AR882" s="115"/>
      <c r="AS882" s="115"/>
      <c r="AT882" s="115"/>
      <c r="AU882" s="115"/>
      <c r="AV882" s="115"/>
      <c r="AW882" s="115"/>
      <c r="AX882" s="115"/>
      <c r="AY882" s="115"/>
      <c r="AZ882" s="115"/>
      <c r="BA882" s="25"/>
      <c r="BB882" s="15"/>
      <c r="BG882" s="116"/>
      <c r="BH882" s="123"/>
      <c r="BI882" s="123"/>
      <c r="BJ882" s="123"/>
      <c r="BO882" s="115"/>
      <c r="BP882" s="115"/>
      <c r="BQ882" s="115"/>
      <c r="BR882" s="115"/>
      <c r="BS882" s="115"/>
      <c r="BT882" s="115"/>
      <c r="BU882" s="115"/>
      <c r="BV882" s="115"/>
      <c r="BW882" s="115"/>
      <c r="BX882" s="115"/>
      <c r="BY882" s="25"/>
      <c r="BZ882" s="13"/>
      <c r="CC882" s="114"/>
    </row>
    <row r="883" spans="1:81" ht="19.5" x14ac:dyDescent="0.4">
      <c r="A883" s="117"/>
      <c r="B883" s="123"/>
      <c r="C883" s="123"/>
      <c r="D883" s="123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  <c r="AK883" s="115"/>
      <c r="AL883" s="115"/>
      <c r="AM883" s="115"/>
      <c r="AN883" s="115"/>
      <c r="AO883" s="115"/>
      <c r="AP883" s="127"/>
      <c r="AQ883" s="29"/>
      <c r="AR883" s="115"/>
      <c r="AS883" s="115"/>
      <c r="AT883" s="115"/>
      <c r="AU883" s="115"/>
      <c r="AV883" s="115"/>
      <c r="AW883" s="115"/>
      <c r="AX883" s="115"/>
      <c r="AY883" s="115"/>
      <c r="AZ883" s="115"/>
      <c r="BA883" s="25"/>
      <c r="BB883" s="15"/>
      <c r="BG883" s="116"/>
      <c r="BH883" s="123"/>
      <c r="BI883" s="123"/>
      <c r="BJ883" s="123"/>
      <c r="BO883" s="115"/>
      <c r="BP883" s="115"/>
      <c r="BQ883" s="115"/>
      <c r="BR883" s="115"/>
      <c r="BS883" s="115"/>
      <c r="BT883" s="115"/>
      <c r="BU883" s="115"/>
      <c r="BV883" s="115"/>
      <c r="BW883" s="115"/>
      <c r="BX883" s="115"/>
      <c r="BY883" s="25"/>
      <c r="BZ883" s="13"/>
      <c r="CC883" s="114"/>
    </row>
    <row r="884" spans="1:81" ht="19.5" x14ac:dyDescent="0.4">
      <c r="A884" s="117"/>
      <c r="B884" s="123"/>
      <c r="C884" s="123"/>
      <c r="D884" s="123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  <c r="AK884" s="115"/>
      <c r="AL884" s="115"/>
      <c r="AM884" s="115"/>
      <c r="AN884" s="115"/>
      <c r="AO884" s="115"/>
      <c r="AP884" s="127"/>
      <c r="AQ884" s="29"/>
      <c r="AR884" s="115"/>
      <c r="AS884" s="115"/>
      <c r="AT884" s="115"/>
      <c r="AU884" s="115"/>
      <c r="AV884" s="115"/>
      <c r="AW884" s="115"/>
      <c r="AX884" s="115"/>
      <c r="AY884" s="115"/>
      <c r="AZ884" s="115"/>
      <c r="BA884" s="25">
        <v>45680</v>
      </c>
      <c r="BB884" s="15" t="s">
        <v>146</v>
      </c>
      <c r="BG884" s="116"/>
      <c r="BH884" s="123"/>
      <c r="BI884" s="123"/>
      <c r="BJ884" s="123"/>
      <c r="BO884" s="115"/>
      <c r="BP884" s="115"/>
      <c r="BQ884" s="115"/>
      <c r="BR884" s="115"/>
      <c r="BS884" s="115"/>
      <c r="BT884" s="115"/>
      <c r="BU884" s="115"/>
      <c r="BV884" s="115"/>
      <c r="BW884" s="115"/>
      <c r="BX884" s="115"/>
      <c r="BY884" s="25"/>
      <c r="BZ884" s="13"/>
      <c r="CC884" s="114"/>
    </row>
    <row r="885" spans="1:81" ht="19.5" x14ac:dyDescent="0.4">
      <c r="A885" s="117"/>
      <c r="B885" s="123"/>
      <c r="C885" s="123"/>
      <c r="D885" s="123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  <c r="AK885" s="115"/>
      <c r="AL885" s="115"/>
      <c r="AM885" s="115"/>
      <c r="AN885" s="115"/>
      <c r="AO885" s="115"/>
      <c r="AP885" s="127"/>
      <c r="AQ885" s="29"/>
      <c r="AR885" s="115"/>
      <c r="AS885" s="115"/>
      <c r="AT885" s="115"/>
      <c r="AU885" s="115"/>
      <c r="AV885" s="115"/>
      <c r="AW885" s="115"/>
      <c r="AX885" s="115"/>
      <c r="AY885" s="115"/>
      <c r="AZ885" s="115"/>
      <c r="BA885" s="25"/>
      <c r="BB885" s="15"/>
      <c r="BG885" s="116"/>
      <c r="BH885" s="123"/>
      <c r="BI885" s="123"/>
      <c r="BJ885" s="123"/>
      <c r="BO885" s="115"/>
      <c r="BP885" s="115"/>
      <c r="BQ885" s="115"/>
      <c r="BR885" s="115"/>
      <c r="BS885" s="115"/>
      <c r="BT885" s="115"/>
      <c r="BU885" s="115"/>
      <c r="BV885" s="115"/>
      <c r="BW885" s="115"/>
      <c r="BX885" s="115"/>
      <c r="BY885" s="25"/>
      <c r="BZ885" s="13"/>
      <c r="CC885" s="114"/>
    </row>
    <row r="886" spans="1:81" ht="19.5" x14ac:dyDescent="0.4">
      <c r="A886" s="117"/>
      <c r="B886" s="123"/>
      <c r="C886" s="123"/>
      <c r="D886" s="123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15"/>
      <c r="AK886" s="115"/>
      <c r="AL886" s="115"/>
      <c r="AM886" s="115"/>
      <c r="AN886" s="115"/>
      <c r="AO886" s="115"/>
      <c r="AP886" s="127"/>
      <c r="AQ886" s="29"/>
      <c r="AR886" s="115"/>
      <c r="AS886" s="115"/>
      <c r="AT886" s="115"/>
      <c r="AU886" s="115"/>
      <c r="AV886" s="115"/>
      <c r="AW886" s="115"/>
      <c r="AX886" s="115"/>
      <c r="AY886" s="115"/>
      <c r="AZ886" s="115"/>
      <c r="BA886" s="25">
        <v>45680</v>
      </c>
      <c r="BB886" s="15" t="s">
        <v>146</v>
      </c>
      <c r="BG886" s="116"/>
      <c r="BH886" s="123"/>
      <c r="BI886" s="123"/>
      <c r="BJ886" s="123"/>
      <c r="BO886" s="115"/>
      <c r="BP886" s="115"/>
      <c r="BQ886" s="115"/>
      <c r="BR886" s="115"/>
      <c r="BS886" s="115"/>
      <c r="BT886" s="115"/>
      <c r="BU886" s="115"/>
      <c r="BV886" s="115"/>
      <c r="BW886" s="115"/>
      <c r="BX886" s="115"/>
      <c r="BY886" s="25"/>
      <c r="BZ886" s="13"/>
      <c r="CC886" s="114"/>
    </row>
    <row r="887" spans="1:81" ht="19.5" x14ac:dyDescent="0.4">
      <c r="A887" s="117"/>
      <c r="B887" s="123"/>
      <c r="C887" s="123"/>
      <c r="D887" s="123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  <c r="AK887" s="115"/>
      <c r="AL887" s="115"/>
      <c r="AM887" s="115"/>
      <c r="AN887" s="115"/>
      <c r="AO887" s="115"/>
      <c r="AP887" s="127"/>
      <c r="AQ887" s="29"/>
      <c r="AR887" s="115"/>
      <c r="AS887" s="115"/>
      <c r="AT887" s="115"/>
      <c r="AU887" s="115"/>
      <c r="AV887" s="115"/>
      <c r="AW887" s="115"/>
      <c r="AX887" s="115"/>
      <c r="AY887" s="115"/>
      <c r="AZ887" s="115"/>
      <c r="BA887" s="25"/>
      <c r="BB887" s="15"/>
      <c r="BG887" s="116"/>
      <c r="BH887" s="123"/>
      <c r="BI887" s="123"/>
      <c r="BJ887" s="123"/>
      <c r="BO887" s="115"/>
      <c r="BP887" s="115"/>
      <c r="BQ887" s="115"/>
      <c r="BR887" s="115"/>
      <c r="BS887" s="115"/>
      <c r="BT887" s="115"/>
      <c r="BU887" s="115"/>
      <c r="BV887" s="115"/>
      <c r="BW887" s="115"/>
      <c r="BX887" s="115"/>
      <c r="BY887" s="25"/>
      <c r="BZ887" s="13"/>
      <c r="CC887" s="114"/>
    </row>
    <row r="888" spans="1:81" ht="19.5" x14ac:dyDescent="0.4">
      <c r="A888" s="117"/>
      <c r="B888" s="123"/>
      <c r="C888" s="123"/>
      <c r="D888" s="123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  <c r="AK888" s="115"/>
      <c r="AL888" s="115"/>
      <c r="AM888" s="115"/>
      <c r="AN888" s="115"/>
      <c r="AO888" s="115"/>
      <c r="AP888" s="127"/>
      <c r="AQ888" s="29"/>
      <c r="AR888" s="115"/>
      <c r="AS888" s="115"/>
      <c r="AT888" s="115"/>
      <c r="AU888" s="115"/>
      <c r="AV888" s="115"/>
      <c r="AW888" s="115"/>
      <c r="AX888" s="115"/>
      <c r="AY888" s="115"/>
      <c r="AZ888" s="115"/>
      <c r="BA888" s="25"/>
      <c r="BB888" s="15"/>
      <c r="BG888" s="116"/>
      <c r="BH888" s="123"/>
      <c r="BI888" s="123"/>
      <c r="BJ888" s="123"/>
      <c r="BO888" s="115"/>
      <c r="BP888" s="115"/>
      <c r="BQ888" s="115"/>
      <c r="BR888" s="115"/>
      <c r="BS888" s="115"/>
      <c r="BT888" s="115"/>
      <c r="BU888" s="115"/>
      <c r="BV888" s="115"/>
      <c r="BW888" s="115"/>
      <c r="BX888" s="115"/>
      <c r="BY888" s="25"/>
      <c r="BZ888" s="13"/>
      <c r="CC888" s="114"/>
    </row>
    <row r="889" spans="1:81" ht="19.5" x14ac:dyDescent="0.4">
      <c r="A889" s="117"/>
      <c r="B889" s="123"/>
      <c r="C889" s="123"/>
      <c r="D889" s="123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  <c r="AK889" s="115"/>
      <c r="AL889" s="115"/>
      <c r="AM889" s="115"/>
      <c r="AN889" s="115"/>
      <c r="AO889" s="115"/>
      <c r="AP889" s="127"/>
      <c r="AQ889" s="29"/>
      <c r="AR889" s="115"/>
      <c r="AS889" s="115"/>
      <c r="AT889" s="115"/>
      <c r="AU889" s="115"/>
      <c r="AV889" s="115"/>
      <c r="AW889" s="115"/>
      <c r="AX889" s="115"/>
      <c r="AY889" s="115"/>
      <c r="AZ889" s="115"/>
      <c r="BA889" s="25"/>
      <c r="BB889" s="15"/>
      <c r="BG889" s="116"/>
      <c r="BH889" s="123"/>
      <c r="BI889" s="123"/>
      <c r="BJ889" s="123"/>
      <c r="BO889" s="115"/>
      <c r="BP889" s="115"/>
      <c r="BQ889" s="115"/>
      <c r="BR889" s="115"/>
      <c r="BS889" s="115"/>
      <c r="BT889" s="115"/>
      <c r="BU889" s="115"/>
      <c r="BV889" s="115"/>
      <c r="BW889" s="115"/>
      <c r="BX889" s="115"/>
      <c r="BY889" s="25"/>
      <c r="BZ889" s="13"/>
      <c r="CC889" s="114"/>
    </row>
    <row r="890" spans="1:81" ht="19.5" x14ac:dyDescent="0.4">
      <c r="A890" s="117"/>
      <c r="B890" s="123"/>
      <c r="C890" s="123"/>
      <c r="D890" s="123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115"/>
      <c r="AK890" s="115"/>
      <c r="AL890" s="115"/>
      <c r="AM890" s="115"/>
      <c r="AN890" s="115"/>
      <c r="AO890" s="115"/>
      <c r="AP890" s="127"/>
      <c r="AQ890" s="29"/>
      <c r="AR890" s="115"/>
      <c r="AS890" s="115"/>
      <c r="AT890" s="115"/>
      <c r="AU890" s="115"/>
      <c r="AV890" s="115"/>
      <c r="AW890" s="115"/>
      <c r="AX890" s="115"/>
      <c r="AY890" s="115"/>
      <c r="AZ890" s="115"/>
      <c r="BA890" s="25">
        <v>45680</v>
      </c>
      <c r="BB890" s="15" t="s">
        <v>146</v>
      </c>
      <c r="BG890" s="116"/>
      <c r="BH890" s="123"/>
      <c r="BI890" s="123"/>
      <c r="BJ890" s="123"/>
      <c r="BO890" s="115"/>
      <c r="BP890" s="115"/>
      <c r="BQ890" s="115"/>
      <c r="BR890" s="115"/>
      <c r="BS890" s="115"/>
      <c r="BT890" s="115"/>
      <c r="BU890" s="115"/>
      <c r="BV890" s="115"/>
      <c r="BW890" s="115"/>
      <c r="BX890" s="115"/>
      <c r="BY890" s="25"/>
      <c r="BZ890" s="13"/>
      <c r="CC890" s="114"/>
    </row>
    <row r="891" spans="1:81" ht="19.5" x14ac:dyDescent="0.4">
      <c r="A891" s="117"/>
      <c r="B891" s="123"/>
      <c r="C891" s="123"/>
      <c r="D891" s="123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  <c r="AK891" s="115"/>
      <c r="AL891" s="115"/>
      <c r="AM891" s="115"/>
      <c r="AN891" s="115"/>
      <c r="AO891" s="115"/>
      <c r="AP891" s="127"/>
      <c r="AQ891" s="29"/>
      <c r="AR891" s="115"/>
      <c r="AS891" s="115"/>
      <c r="AT891" s="115"/>
      <c r="AU891" s="115"/>
      <c r="AV891" s="115"/>
      <c r="AW891" s="115"/>
      <c r="AX891" s="115"/>
      <c r="AY891" s="115"/>
      <c r="AZ891" s="115"/>
      <c r="BA891" s="25"/>
      <c r="BB891" s="15"/>
      <c r="BG891" s="116"/>
      <c r="BH891" s="123"/>
      <c r="BI891" s="123"/>
      <c r="BJ891" s="123"/>
      <c r="BO891" s="115"/>
      <c r="BP891" s="115"/>
      <c r="BQ891" s="115"/>
      <c r="BR891" s="115"/>
      <c r="BS891" s="115"/>
      <c r="BT891" s="115"/>
      <c r="BU891" s="115"/>
      <c r="BV891" s="115"/>
      <c r="BW891" s="115"/>
      <c r="BX891" s="115"/>
      <c r="BY891" s="25"/>
      <c r="BZ891" s="13"/>
      <c r="CC891" s="114"/>
    </row>
    <row r="892" spans="1:81" ht="19.5" x14ac:dyDescent="0.4">
      <c r="A892" s="117"/>
      <c r="B892" s="123"/>
      <c r="C892" s="123"/>
      <c r="D892" s="123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5"/>
      <c r="AK892" s="115"/>
      <c r="AL892" s="115"/>
      <c r="AM892" s="115"/>
      <c r="AN892" s="115"/>
      <c r="AO892" s="115"/>
      <c r="AP892" s="29"/>
      <c r="AQ892" s="29"/>
      <c r="AR892" s="115"/>
      <c r="AS892" s="115"/>
      <c r="AT892" s="115"/>
      <c r="AU892" s="115"/>
      <c r="AV892" s="115"/>
      <c r="AW892" s="115"/>
      <c r="AX892" s="115"/>
      <c r="AY892" s="115"/>
      <c r="AZ892" s="115"/>
      <c r="BA892" s="25"/>
      <c r="BB892" s="15"/>
      <c r="BG892" s="116"/>
      <c r="BH892" s="123"/>
      <c r="BI892" s="123"/>
      <c r="BJ892" s="123"/>
      <c r="BO892" s="115"/>
      <c r="BP892" s="115"/>
      <c r="BQ892" s="115"/>
      <c r="BR892" s="115"/>
      <c r="BS892" s="115"/>
      <c r="BT892" s="115"/>
      <c r="BU892" s="115"/>
      <c r="BV892" s="115"/>
      <c r="BW892" s="115"/>
      <c r="BX892" s="115"/>
      <c r="BY892" s="25"/>
      <c r="BZ892" s="13"/>
      <c r="CC892" s="114"/>
    </row>
    <row r="893" spans="1:81" ht="19.5" x14ac:dyDescent="0.4">
      <c r="A893" s="117"/>
      <c r="B893" s="123"/>
      <c r="C893" s="123"/>
      <c r="D893" s="123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  <c r="AK893" s="115"/>
      <c r="AL893" s="115"/>
      <c r="AM893" s="115"/>
      <c r="AN893" s="115"/>
      <c r="AO893" s="115"/>
      <c r="AP893" s="127"/>
      <c r="AQ893" s="29"/>
      <c r="AR893" s="115"/>
      <c r="AS893" s="115"/>
      <c r="AT893" s="115"/>
      <c r="AU893" s="115"/>
      <c r="AV893" s="115"/>
      <c r="AW893" s="115"/>
      <c r="AX893" s="115"/>
      <c r="AY893" s="115"/>
      <c r="AZ893" s="115"/>
      <c r="BA893" s="25">
        <v>45680</v>
      </c>
      <c r="BB893" s="15" t="s">
        <v>147</v>
      </c>
      <c r="BG893" s="116"/>
      <c r="BH893" s="123"/>
      <c r="BI893" s="123"/>
      <c r="BJ893" s="123"/>
      <c r="BO893" s="115"/>
      <c r="BP893" s="115"/>
      <c r="BQ893" s="115"/>
      <c r="BR893" s="115"/>
      <c r="BS893" s="115"/>
      <c r="BT893" s="115"/>
      <c r="BU893" s="115"/>
      <c r="BV893" s="115"/>
      <c r="BW893" s="115"/>
      <c r="BX893" s="115"/>
      <c r="BY893" s="25"/>
      <c r="BZ893" s="13"/>
      <c r="CC893" s="114"/>
    </row>
    <row r="894" spans="1:81" ht="19.5" x14ac:dyDescent="0.4">
      <c r="A894" s="117"/>
      <c r="B894" s="123"/>
      <c r="C894" s="123"/>
      <c r="D894" s="123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  <c r="AK894" s="115"/>
      <c r="AL894" s="115"/>
      <c r="AM894" s="115"/>
      <c r="AN894" s="115"/>
      <c r="AO894" s="115"/>
      <c r="AP894" s="29"/>
      <c r="AQ894" s="29"/>
      <c r="AR894" s="115"/>
      <c r="AS894" s="115"/>
      <c r="AT894" s="115"/>
      <c r="AU894" s="115"/>
      <c r="AV894" s="115"/>
      <c r="AW894" s="115"/>
      <c r="AX894" s="115"/>
      <c r="AY894" s="115"/>
      <c r="AZ894" s="115"/>
      <c r="BA894" s="25"/>
      <c r="BB894" s="13"/>
      <c r="BG894" s="116"/>
      <c r="BH894" s="123"/>
      <c r="BI894" s="123"/>
      <c r="BJ894" s="123"/>
      <c r="BO894" s="115"/>
      <c r="BP894" s="115"/>
      <c r="BQ894" s="115"/>
      <c r="BR894" s="115"/>
      <c r="BS894" s="115"/>
      <c r="BT894" s="115"/>
      <c r="BU894" s="115"/>
      <c r="BV894" s="115"/>
      <c r="BW894" s="115"/>
      <c r="BX894" s="115"/>
      <c r="BY894" s="25"/>
      <c r="BZ894" s="13"/>
      <c r="CC894" s="114"/>
    </row>
    <row r="895" spans="1:81" ht="19.5" x14ac:dyDescent="0.4">
      <c r="A895" s="117"/>
      <c r="B895" s="123"/>
      <c r="C895" s="123"/>
      <c r="D895" s="123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  <c r="AK895" s="115"/>
      <c r="AL895" s="115"/>
      <c r="AM895" s="115"/>
      <c r="AN895" s="115"/>
      <c r="AO895" s="115"/>
      <c r="AP895" s="127"/>
      <c r="AQ895" s="29"/>
      <c r="AR895" s="115"/>
      <c r="AS895" s="115"/>
      <c r="AT895" s="115"/>
      <c r="AU895" s="115"/>
      <c r="AV895" s="115"/>
      <c r="AW895" s="115"/>
      <c r="AX895" s="115"/>
      <c r="AY895" s="115"/>
      <c r="AZ895" s="115"/>
      <c r="BA895" s="25"/>
      <c r="BB895" s="13"/>
      <c r="BG895" s="116"/>
      <c r="BH895" s="123"/>
      <c r="BI895" s="123"/>
      <c r="BJ895" s="123"/>
      <c r="BO895" s="115"/>
      <c r="BP895" s="115"/>
      <c r="BQ895" s="115"/>
      <c r="BR895" s="115"/>
      <c r="BS895" s="115"/>
      <c r="BT895" s="115"/>
      <c r="BU895" s="115"/>
      <c r="BV895" s="115"/>
      <c r="BW895" s="115"/>
      <c r="BX895" s="115"/>
      <c r="BY895" s="25"/>
      <c r="BZ895" s="13"/>
      <c r="CC895" s="114"/>
    </row>
    <row r="896" spans="1:81" ht="19.5" x14ac:dyDescent="0.4">
      <c r="A896" s="117"/>
      <c r="B896" s="123"/>
      <c r="C896" s="123"/>
      <c r="D896" s="123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  <c r="AK896" s="115"/>
      <c r="AL896" s="115"/>
      <c r="AM896" s="115"/>
      <c r="AN896" s="115"/>
      <c r="AO896" s="115"/>
      <c r="AP896" s="127"/>
      <c r="AQ896" s="29"/>
      <c r="AR896" s="115"/>
      <c r="AS896" s="115"/>
      <c r="AT896" s="115"/>
      <c r="AU896" s="115"/>
      <c r="AV896" s="115"/>
      <c r="AW896" s="115"/>
      <c r="AX896" s="115"/>
      <c r="AY896" s="115"/>
      <c r="AZ896" s="115"/>
      <c r="BA896" s="25"/>
      <c r="BB896" s="13"/>
      <c r="BG896" s="116"/>
      <c r="BH896" s="123"/>
      <c r="BI896" s="123"/>
      <c r="BJ896" s="123"/>
      <c r="BO896" s="115"/>
      <c r="BP896" s="115"/>
      <c r="BQ896" s="115"/>
      <c r="BR896" s="115"/>
      <c r="BS896" s="115"/>
      <c r="BT896" s="115"/>
      <c r="BU896" s="115"/>
      <c r="BV896" s="115"/>
      <c r="BW896" s="115"/>
      <c r="BX896" s="115"/>
      <c r="BY896" s="25"/>
      <c r="BZ896" s="13"/>
      <c r="CC896" s="114"/>
    </row>
    <row r="897" spans="1:81" ht="19.5" x14ac:dyDescent="0.4">
      <c r="A897" s="117"/>
      <c r="B897" s="123"/>
      <c r="C897" s="123"/>
      <c r="D897" s="123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  <c r="AK897" s="115"/>
      <c r="AL897" s="115"/>
      <c r="AM897" s="115"/>
      <c r="AN897" s="115"/>
      <c r="AO897" s="115"/>
      <c r="AP897" s="29"/>
      <c r="AQ897" s="29"/>
      <c r="AR897" s="115"/>
      <c r="AS897" s="115"/>
      <c r="AT897" s="115"/>
      <c r="AU897" s="115"/>
      <c r="AV897" s="115"/>
      <c r="AW897" s="115"/>
      <c r="AX897" s="115"/>
      <c r="AY897" s="115"/>
      <c r="AZ897" s="115"/>
      <c r="BA897" s="25"/>
      <c r="BB897" s="13"/>
      <c r="BG897" s="116"/>
      <c r="BH897" s="123"/>
      <c r="BI897" s="123"/>
      <c r="BJ897" s="123"/>
      <c r="BO897" s="115"/>
      <c r="BP897" s="115"/>
      <c r="BQ897" s="115"/>
      <c r="BR897" s="115"/>
      <c r="BS897" s="115"/>
      <c r="BT897" s="115"/>
      <c r="BU897" s="115"/>
      <c r="BV897" s="115"/>
      <c r="BW897" s="115"/>
      <c r="BX897" s="115"/>
      <c r="BY897" s="25"/>
      <c r="BZ897" s="13"/>
      <c r="CC897" s="114"/>
    </row>
    <row r="898" spans="1:81" ht="19.5" x14ac:dyDescent="0.4">
      <c r="A898" s="117"/>
      <c r="B898" s="123"/>
      <c r="C898" s="123"/>
      <c r="D898" s="123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  <c r="AK898" s="115"/>
      <c r="AL898" s="115"/>
      <c r="AM898" s="115"/>
      <c r="AN898" s="115"/>
      <c r="AO898" s="115"/>
      <c r="AP898" s="29"/>
      <c r="AQ898" s="29"/>
      <c r="AR898" s="115"/>
      <c r="AS898" s="115"/>
      <c r="AT898" s="115"/>
      <c r="AU898" s="115"/>
      <c r="AV898" s="115"/>
      <c r="AW898" s="115"/>
      <c r="AX898" s="115"/>
      <c r="AY898" s="115"/>
      <c r="AZ898" s="115"/>
      <c r="BA898" s="25"/>
      <c r="BB898" s="13"/>
      <c r="BG898" s="116"/>
      <c r="BH898" s="123"/>
      <c r="BI898" s="123"/>
      <c r="BJ898" s="123"/>
      <c r="BO898" s="115"/>
      <c r="BP898" s="115"/>
      <c r="BQ898" s="115"/>
      <c r="BR898" s="115"/>
      <c r="BS898" s="115"/>
      <c r="BT898" s="115"/>
      <c r="BU898" s="115"/>
      <c r="BV898" s="115"/>
      <c r="BW898" s="115"/>
      <c r="BX898" s="115"/>
      <c r="BY898" s="25"/>
      <c r="BZ898" s="13"/>
      <c r="CC898" s="114"/>
    </row>
    <row r="899" spans="1:81" ht="19.5" x14ac:dyDescent="0.4">
      <c r="A899" s="117"/>
      <c r="B899" s="123"/>
      <c r="C899" s="123"/>
      <c r="D899" s="123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  <c r="AK899" s="115"/>
      <c r="AL899" s="115"/>
      <c r="AM899" s="115"/>
      <c r="AN899" s="115"/>
      <c r="AO899" s="115"/>
      <c r="AP899" s="127"/>
      <c r="AQ899" s="29"/>
      <c r="AR899" s="115"/>
      <c r="AS899" s="115"/>
      <c r="AT899" s="115"/>
      <c r="AU899" s="115"/>
      <c r="AV899" s="115"/>
      <c r="AW899" s="115"/>
      <c r="AX899" s="115"/>
      <c r="AY899" s="115"/>
      <c r="AZ899" s="115"/>
      <c r="BA899" s="25"/>
      <c r="BB899" s="13"/>
      <c r="BG899" s="116"/>
      <c r="BH899" s="123"/>
      <c r="BI899" s="123"/>
      <c r="BJ899" s="123"/>
      <c r="BO899" s="115"/>
      <c r="BP899" s="115"/>
      <c r="BQ899" s="115"/>
      <c r="BR899" s="115"/>
      <c r="BS899" s="115"/>
      <c r="BT899" s="115"/>
      <c r="BU899" s="115"/>
      <c r="BV899" s="115"/>
      <c r="BW899" s="115"/>
      <c r="BX899" s="115"/>
      <c r="BY899" s="25"/>
      <c r="BZ899" s="13"/>
      <c r="CC899" s="114"/>
    </row>
    <row r="900" spans="1:81" ht="19.5" x14ac:dyDescent="0.4">
      <c r="A900" s="117"/>
      <c r="B900" s="123"/>
      <c r="C900" s="123"/>
      <c r="D900" s="123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  <c r="AK900" s="115"/>
      <c r="AL900" s="115"/>
      <c r="AM900" s="115"/>
      <c r="AN900" s="115"/>
      <c r="AO900" s="115"/>
      <c r="AP900" s="127"/>
      <c r="AQ900" s="29"/>
      <c r="AR900" s="115"/>
      <c r="AS900" s="115"/>
      <c r="AT900" s="115"/>
      <c r="AU900" s="115"/>
      <c r="AV900" s="115"/>
      <c r="AW900" s="115"/>
      <c r="AX900" s="115"/>
      <c r="AY900" s="115"/>
      <c r="AZ900" s="115"/>
      <c r="BA900" s="25"/>
      <c r="BB900" s="13"/>
      <c r="BG900" s="116"/>
      <c r="BH900" s="123"/>
      <c r="BI900" s="123"/>
      <c r="BJ900" s="123"/>
      <c r="BO900" s="115"/>
      <c r="BP900" s="115"/>
      <c r="BQ900" s="115"/>
      <c r="BR900" s="115"/>
      <c r="BS900" s="115"/>
      <c r="BT900" s="115"/>
      <c r="BU900" s="115"/>
      <c r="BV900" s="115"/>
      <c r="BW900" s="115"/>
      <c r="BX900" s="115"/>
      <c r="BY900" s="25"/>
      <c r="BZ900" s="13"/>
      <c r="CC900" s="114"/>
    </row>
    <row r="901" spans="1:81" ht="19.5" x14ac:dyDescent="0.4">
      <c r="A901" s="117"/>
      <c r="B901" s="123"/>
      <c r="C901" s="123"/>
      <c r="D901" s="123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  <c r="AK901" s="115"/>
      <c r="AL901" s="115"/>
      <c r="AM901" s="115"/>
      <c r="AN901" s="115"/>
      <c r="AO901" s="115"/>
      <c r="AP901" s="127"/>
      <c r="AQ901" s="29"/>
      <c r="AR901" s="115"/>
      <c r="AS901" s="115"/>
      <c r="AT901" s="115"/>
      <c r="AU901" s="115"/>
      <c r="AV901" s="115"/>
      <c r="AW901" s="115"/>
      <c r="AX901" s="115"/>
      <c r="AY901" s="115"/>
      <c r="AZ901" s="115"/>
      <c r="BA901" s="25"/>
      <c r="BB901" s="13"/>
      <c r="BG901" s="116"/>
      <c r="BH901" s="123"/>
      <c r="BI901" s="123"/>
      <c r="BJ901" s="123"/>
      <c r="BO901" s="115"/>
      <c r="BP901" s="115"/>
      <c r="BQ901" s="115"/>
      <c r="BR901" s="115"/>
      <c r="BS901" s="115"/>
      <c r="BT901" s="115"/>
      <c r="BU901" s="115"/>
      <c r="BV901" s="115"/>
      <c r="BW901" s="115"/>
      <c r="BX901" s="115"/>
      <c r="BY901" s="25"/>
      <c r="BZ901" s="13"/>
      <c r="CC901" s="114"/>
    </row>
    <row r="902" spans="1:81" ht="19.5" x14ac:dyDescent="0.4">
      <c r="A902" s="117"/>
      <c r="B902" s="123"/>
      <c r="C902" s="123"/>
      <c r="D902" s="123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15"/>
      <c r="AK902" s="115"/>
      <c r="AL902" s="115"/>
      <c r="AM902" s="115"/>
      <c r="AN902" s="115"/>
      <c r="AO902" s="115"/>
      <c r="AP902" s="127"/>
      <c r="AQ902" s="29"/>
      <c r="AR902" s="115"/>
      <c r="AS902" s="115"/>
      <c r="AT902" s="115"/>
      <c r="AU902" s="115"/>
      <c r="AV902" s="115"/>
      <c r="AW902" s="115"/>
      <c r="AX902" s="115"/>
      <c r="AY902" s="115"/>
      <c r="AZ902" s="115"/>
      <c r="BA902" s="25"/>
      <c r="BB902" s="13"/>
      <c r="BG902" s="116"/>
      <c r="BH902" s="123"/>
      <c r="BI902" s="123"/>
      <c r="BJ902" s="123"/>
      <c r="BO902" s="115"/>
      <c r="BP902" s="115"/>
      <c r="BQ902" s="115"/>
      <c r="BR902" s="115"/>
      <c r="BS902" s="115"/>
      <c r="BT902" s="115"/>
      <c r="BU902" s="115"/>
      <c r="BV902" s="115"/>
      <c r="BW902" s="115"/>
      <c r="BX902" s="115"/>
      <c r="BY902" s="25"/>
      <c r="BZ902" s="13"/>
      <c r="CC902" s="114"/>
    </row>
    <row r="903" spans="1:81" ht="19.5" x14ac:dyDescent="0.4">
      <c r="A903" s="117"/>
      <c r="B903" s="123"/>
      <c r="C903" s="123"/>
      <c r="D903" s="123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  <c r="AK903" s="115"/>
      <c r="AL903" s="115"/>
      <c r="AM903" s="115"/>
      <c r="AN903" s="115"/>
      <c r="AO903" s="115"/>
      <c r="AP903" s="127"/>
      <c r="AQ903" s="29"/>
      <c r="AR903" s="115"/>
      <c r="AS903" s="115"/>
      <c r="AT903" s="115"/>
      <c r="AU903" s="115"/>
      <c r="AV903" s="115"/>
      <c r="AW903" s="115"/>
      <c r="AX903" s="115"/>
      <c r="AY903" s="115"/>
      <c r="AZ903" s="115"/>
      <c r="BA903" s="25">
        <v>45680</v>
      </c>
      <c r="BB903" s="13" t="s">
        <v>146</v>
      </c>
      <c r="BG903" s="116"/>
      <c r="BH903" s="123"/>
      <c r="BI903" s="123"/>
      <c r="BJ903" s="123"/>
      <c r="BO903" s="115"/>
      <c r="BP903" s="115"/>
      <c r="BQ903" s="115"/>
      <c r="BR903" s="115"/>
      <c r="BS903" s="115"/>
      <c r="BT903" s="115"/>
      <c r="BU903" s="115"/>
      <c r="BV903" s="115"/>
      <c r="BW903" s="115"/>
      <c r="BX903" s="115"/>
      <c r="BY903" s="25"/>
      <c r="BZ903" s="13"/>
      <c r="CC903" s="114"/>
    </row>
    <row r="904" spans="1:81" ht="19.5" x14ac:dyDescent="0.4">
      <c r="A904" s="117"/>
      <c r="B904" s="123"/>
      <c r="C904" s="123"/>
      <c r="D904" s="123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  <c r="AK904" s="115"/>
      <c r="AL904" s="115"/>
      <c r="AM904" s="115"/>
      <c r="AN904" s="115"/>
      <c r="AO904" s="115"/>
      <c r="AP904" s="29"/>
      <c r="AQ904" s="29"/>
      <c r="AR904" s="115"/>
      <c r="AS904" s="115"/>
      <c r="AT904" s="115"/>
      <c r="AU904" s="115"/>
      <c r="AV904" s="115"/>
      <c r="AW904" s="115"/>
      <c r="AX904" s="115"/>
      <c r="AY904" s="115"/>
      <c r="AZ904" s="115"/>
      <c r="BA904" s="25"/>
      <c r="BB904" s="13"/>
      <c r="BG904" s="116"/>
      <c r="BH904" s="123"/>
      <c r="BI904" s="123"/>
      <c r="BJ904" s="123"/>
      <c r="BO904" s="115"/>
      <c r="BP904" s="115"/>
      <c r="BQ904" s="115"/>
      <c r="BR904" s="115"/>
      <c r="BS904" s="115"/>
      <c r="BT904" s="115"/>
      <c r="BU904" s="115"/>
      <c r="BV904" s="115"/>
      <c r="BW904" s="115"/>
      <c r="BX904" s="115"/>
      <c r="BY904" s="25"/>
      <c r="BZ904" s="13"/>
      <c r="CC904" s="114"/>
    </row>
    <row r="905" spans="1:81" ht="19.5" x14ac:dyDescent="0.4">
      <c r="A905" s="117"/>
      <c r="B905" s="123"/>
      <c r="C905" s="123"/>
      <c r="D905" s="123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  <c r="AK905" s="115"/>
      <c r="AL905" s="115"/>
      <c r="AM905" s="115"/>
      <c r="AN905" s="115"/>
      <c r="AO905" s="115"/>
      <c r="AP905" s="127"/>
      <c r="AQ905" s="29"/>
      <c r="AR905" s="115"/>
      <c r="AS905" s="115"/>
      <c r="AT905" s="115"/>
      <c r="AU905" s="115"/>
      <c r="AV905" s="115"/>
      <c r="AW905" s="115"/>
      <c r="AX905" s="115"/>
      <c r="AY905" s="115"/>
      <c r="AZ905" s="115"/>
      <c r="BA905" s="25">
        <v>45680</v>
      </c>
      <c r="BB905" s="13" t="s">
        <v>147</v>
      </c>
      <c r="BG905" s="116"/>
      <c r="BH905" s="123"/>
      <c r="BI905" s="123"/>
      <c r="BJ905" s="123"/>
      <c r="BO905" s="115"/>
      <c r="BP905" s="115"/>
      <c r="BQ905" s="115"/>
      <c r="BR905" s="115"/>
      <c r="BS905" s="115"/>
      <c r="BT905" s="115"/>
      <c r="BU905" s="115"/>
      <c r="BV905" s="115"/>
      <c r="BW905" s="115"/>
      <c r="BX905" s="115"/>
      <c r="BY905" s="25"/>
      <c r="BZ905" s="13"/>
      <c r="CC905" s="114"/>
    </row>
    <row r="906" spans="1:81" ht="19.5" x14ac:dyDescent="0.4">
      <c r="A906" s="117"/>
      <c r="B906" s="123"/>
      <c r="C906" s="123"/>
      <c r="D906" s="123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  <c r="AK906" s="115"/>
      <c r="AL906" s="115"/>
      <c r="AM906" s="115"/>
      <c r="AN906" s="115"/>
      <c r="AO906" s="115"/>
      <c r="AP906" s="127"/>
      <c r="AQ906" s="29"/>
      <c r="AR906" s="115"/>
      <c r="AS906" s="115"/>
      <c r="AT906" s="115"/>
      <c r="AU906" s="115"/>
      <c r="AV906" s="115"/>
      <c r="AW906" s="115"/>
      <c r="AX906" s="115"/>
      <c r="AY906" s="115"/>
      <c r="AZ906" s="115"/>
      <c r="BA906" s="25">
        <v>45680</v>
      </c>
      <c r="BB906" s="13" t="s">
        <v>146</v>
      </c>
      <c r="BG906" s="116"/>
      <c r="BH906" s="123"/>
      <c r="BI906" s="123"/>
      <c r="BJ906" s="123"/>
      <c r="BO906" s="115"/>
      <c r="BP906" s="115"/>
      <c r="BQ906" s="115"/>
      <c r="BR906" s="115"/>
      <c r="BS906" s="115"/>
      <c r="BT906" s="115"/>
      <c r="BU906" s="115"/>
      <c r="BV906" s="115"/>
      <c r="BW906" s="115"/>
      <c r="BX906" s="115"/>
      <c r="BY906" s="25"/>
      <c r="BZ906" s="13"/>
      <c r="CC906" s="114"/>
    </row>
    <row r="907" spans="1:81" ht="19.5" x14ac:dyDescent="0.4">
      <c r="A907" s="117"/>
      <c r="B907" s="123"/>
      <c r="C907" s="123"/>
      <c r="D907" s="123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  <c r="AK907" s="115"/>
      <c r="AL907" s="115"/>
      <c r="AM907" s="115"/>
      <c r="AN907" s="115"/>
      <c r="AO907" s="115"/>
      <c r="AP907" s="29"/>
      <c r="AQ907" s="29"/>
      <c r="AR907" s="115"/>
      <c r="AS907" s="115"/>
      <c r="AT907" s="115"/>
      <c r="AU907" s="115"/>
      <c r="AV907" s="115"/>
      <c r="AW907" s="115"/>
      <c r="AX907" s="115"/>
      <c r="AY907" s="115"/>
      <c r="AZ907" s="115"/>
      <c r="BA907" s="25"/>
      <c r="BB907" s="13"/>
      <c r="BG907" s="116"/>
      <c r="BH907" s="123"/>
      <c r="BI907" s="123"/>
      <c r="BJ907" s="123"/>
      <c r="BO907" s="115"/>
      <c r="BP907" s="115"/>
      <c r="BQ907" s="115"/>
      <c r="BR907" s="115"/>
      <c r="BS907" s="115"/>
      <c r="BT907" s="115"/>
      <c r="BU907" s="115"/>
      <c r="BV907" s="115"/>
      <c r="BW907" s="115"/>
      <c r="BX907" s="115"/>
      <c r="BY907" s="25"/>
      <c r="BZ907" s="13"/>
      <c r="CC907" s="114"/>
    </row>
    <row r="908" spans="1:81" ht="19.5" x14ac:dyDescent="0.4">
      <c r="A908" s="117"/>
      <c r="B908" s="123"/>
      <c r="C908" s="123"/>
      <c r="D908" s="123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15"/>
      <c r="AK908" s="115"/>
      <c r="AL908" s="115"/>
      <c r="AM908" s="115"/>
      <c r="AN908" s="115"/>
      <c r="AO908" s="115"/>
      <c r="AP908" s="127"/>
      <c r="AQ908" s="29"/>
      <c r="AR908" s="115"/>
      <c r="AS908" s="115"/>
      <c r="AT908" s="115"/>
      <c r="AU908" s="115"/>
      <c r="AV908" s="115"/>
      <c r="AW908" s="115"/>
      <c r="AX908" s="115"/>
      <c r="AY908" s="115"/>
      <c r="AZ908" s="115"/>
      <c r="BA908" s="25"/>
      <c r="BB908" s="13"/>
      <c r="BG908" s="116"/>
      <c r="BH908" s="123"/>
      <c r="BI908" s="123"/>
      <c r="BJ908" s="123"/>
      <c r="BO908" s="115"/>
      <c r="BP908" s="115"/>
      <c r="BQ908" s="115"/>
      <c r="BR908" s="115"/>
      <c r="BS908" s="115"/>
      <c r="BT908" s="115"/>
      <c r="BU908" s="115"/>
      <c r="BV908" s="115"/>
      <c r="BW908" s="115"/>
      <c r="BX908" s="115"/>
      <c r="BY908" s="25"/>
      <c r="BZ908" s="13"/>
      <c r="CC908" s="114"/>
    </row>
    <row r="909" spans="1:81" ht="19.5" x14ac:dyDescent="0.4">
      <c r="A909" s="117"/>
      <c r="B909" s="123"/>
      <c r="C909" s="123"/>
      <c r="D909" s="123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  <c r="AK909" s="115"/>
      <c r="AL909" s="115"/>
      <c r="AM909" s="115"/>
      <c r="AN909" s="115"/>
      <c r="AO909" s="115"/>
      <c r="AP909" s="29"/>
      <c r="AQ909" s="29"/>
      <c r="AR909" s="115"/>
      <c r="AS909" s="115"/>
      <c r="AT909" s="115"/>
      <c r="AU909" s="115"/>
      <c r="AV909" s="115"/>
      <c r="AW909" s="115"/>
      <c r="AX909" s="115"/>
      <c r="AY909" s="115"/>
      <c r="AZ909" s="115"/>
      <c r="BA909" s="25"/>
      <c r="BB909" s="13"/>
      <c r="BG909" s="116"/>
      <c r="BH909" s="123"/>
      <c r="BI909" s="123"/>
      <c r="BJ909" s="123"/>
      <c r="BO909" s="115"/>
      <c r="BP909" s="115"/>
      <c r="BQ909" s="115"/>
      <c r="BR909" s="115"/>
      <c r="BS909" s="115"/>
      <c r="BT909" s="115"/>
      <c r="BU909" s="115"/>
      <c r="BV909" s="115"/>
      <c r="BW909" s="115"/>
      <c r="BX909" s="115"/>
      <c r="BY909" s="25"/>
      <c r="BZ909" s="13"/>
      <c r="CC909" s="114"/>
    </row>
    <row r="910" spans="1:81" ht="19.5" x14ac:dyDescent="0.4">
      <c r="A910" s="117"/>
      <c r="B910" s="123"/>
      <c r="C910" s="123"/>
      <c r="D910" s="123"/>
      <c r="AP910" s="127"/>
      <c r="AQ910" s="29"/>
      <c r="BA910" s="25">
        <v>45680</v>
      </c>
      <c r="BB910" s="13" t="s">
        <v>146</v>
      </c>
      <c r="BG910" s="117"/>
      <c r="BH910" s="123"/>
      <c r="BI910" s="123"/>
      <c r="BJ910" s="123"/>
      <c r="BO910" s="115"/>
      <c r="BP910" s="115"/>
      <c r="BQ910" s="115"/>
      <c r="BR910" s="115"/>
      <c r="BS910" s="115"/>
      <c r="BT910" s="115"/>
      <c r="BU910" s="115"/>
      <c r="BV910" s="115"/>
      <c r="BW910" s="115"/>
      <c r="BX910" s="115" t="s">
        <v>149</v>
      </c>
      <c r="BY910" s="13">
        <f>SUBTOTAL(3,BY2:BY2)</f>
        <v>1</v>
      </c>
      <c r="BZ910" s="13">
        <f>SUBTOTAL(3,BZ2:BZ2)</f>
        <v>1</v>
      </c>
      <c r="CC910" s="114"/>
    </row>
    <row r="911" spans="1:81" ht="19.5" x14ac:dyDescent="0.4">
      <c r="A911" s="117"/>
      <c r="B911" s="123"/>
      <c r="C911" s="123"/>
      <c r="D911" s="123"/>
      <c r="AC911" s="115"/>
      <c r="AD911" s="115"/>
      <c r="AE911" s="115"/>
      <c r="AF911" s="115"/>
      <c r="AG911" s="115"/>
      <c r="AH911" s="115"/>
      <c r="AI911" s="115"/>
      <c r="AJ911" s="115"/>
      <c r="AK911" s="115"/>
      <c r="AL911" s="115"/>
      <c r="AM911" s="115"/>
      <c r="AN911" s="115"/>
      <c r="AO911" s="115"/>
      <c r="AP911" s="29"/>
      <c r="AQ911" s="29"/>
      <c r="BA911" s="25"/>
      <c r="BB911" s="13"/>
      <c r="BG911" s="117"/>
      <c r="BH911" s="123"/>
      <c r="BI911" s="123"/>
      <c r="BJ911" s="123"/>
      <c r="BO911" s="115"/>
      <c r="BP911" s="115"/>
      <c r="BQ911" s="115"/>
      <c r="BR911" s="115"/>
      <c r="BS911" s="115"/>
      <c r="BT911" s="115"/>
      <c r="BU911" s="115"/>
      <c r="BV911" s="115"/>
      <c r="BW911" s="115"/>
      <c r="BX911" s="115"/>
      <c r="BY911" s="13"/>
      <c r="BZ911" s="13"/>
      <c r="CC911" s="114"/>
    </row>
    <row r="912" spans="1:81" ht="19.5" x14ac:dyDescent="0.4">
      <c r="A912" s="117"/>
      <c r="B912" s="123"/>
      <c r="C912" s="123"/>
      <c r="D912" s="123"/>
      <c r="AP912" s="127"/>
      <c r="AQ912" s="29"/>
      <c r="BA912" s="25"/>
      <c r="BB912" s="13"/>
      <c r="BG912" s="117"/>
      <c r="BH912" s="123"/>
      <c r="BI912" s="123"/>
      <c r="BJ912" s="123"/>
      <c r="BO912" s="115"/>
      <c r="BP912" s="115"/>
      <c r="BQ912" s="115"/>
      <c r="BR912" s="115"/>
      <c r="BS912" s="115"/>
      <c r="BT912" s="115"/>
      <c r="BU912" s="115"/>
      <c r="BV912" s="115"/>
      <c r="BW912" s="115"/>
      <c r="BX912" s="115"/>
      <c r="BY912" s="13"/>
      <c r="BZ912" s="13"/>
      <c r="CC912" s="114"/>
    </row>
    <row r="913" spans="1:81" ht="19.5" x14ac:dyDescent="0.4">
      <c r="A913" s="117"/>
      <c r="B913" s="123"/>
      <c r="C913" s="123"/>
      <c r="D913" s="123"/>
      <c r="AP913" s="127"/>
      <c r="AQ913" s="29"/>
      <c r="AR913" s="115"/>
      <c r="AS913" s="115"/>
      <c r="AT913" s="115"/>
      <c r="AU913" s="115"/>
      <c r="AV913" s="115"/>
      <c r="AW913" s="115"/>
      <c r="AX913" s="115"/>
      <c r="AY913" s="115"/>
      <c r="AZ913" s="115"/>
      <c r="BA913" s="25">
        <v>45682</v>
      </c>
      <c r="BB913" s="13" t="s">
        <v>147</v>
      </c>
      <c r="BG913" s="117"/>
      <c r="BH913" s="123"/>
      <c r="BI913" s="123"/>
      <c r="BJ913" s="123"/>
      <c r="BO913" s="115"/>
      <c r="BP913" s="115"/>
      <c r="BQ913" s="115"/>
      <c r="BR913" s="115"/>
      <c r="BS913" s="115"/>
      <c r="BT913" s="115"/>
      <c r="BU913" s="115"/>
      <c r="BV913" s="115"/>
      <c r="BW913" s="115"/>
      <c r="BX913" s="115"/>
      <c r="BY913" s="13"/>
      <c r="BZ913" s="13"/>
      <c r="CC913" s="114"/>
    </row>
    <row r="914" spans="1:81" ht="19.5" x14ac:dyDescent="0.4">
      <c r="A914" s="117"/>
      <c r="B914" s="123"/>
      <c r="C914" s="123"/>
      <c r="D914" s="123"/>
      <c r="AP914" s="127"/>
      <c r="AQ914" s="29"/>
      <c r="AR914" s="115"/>
      <c r="AS914" s="115"/>
      <c r="AT914" s="115"/>
      <c r="AU914" s="115"/>
      <c r="AV914" s="115"/>
      <c r="AW914" s="115"/>
      <c r="AX914" s="115"/>
      <c r="AY914" s="115"/>
      <c r="AZ914" s="115"/>
      <c r="BA914" s="25">
        <v>45682</v>
      </c>
      <c r="BB914" s="13" t="s">
        <v>146</v>
      </c>
      <c r="BG914" s="117"/>
      <c r="BH914" s="123"/>
      <c r="BI914" s="123"/>
      <c r="BJ914" s="123"/>
      <c r="BO914" s="115"/>
      <c r="BP914" s="115"/>
      <c r="BQ914" s="115"/>
      <c r="BR914" s="115"/>
      <c r="BS914" s="115"/>
      <c r="BT914" s="115"/>
      <c r="BU914" s="115"/>
      <c r="BV914" s="115"/>
      <c r="BW914" s="115"/>
      <c r="BX914" s="115"/>
      <c r="BY914" s="13"/>
      <c r="BZ914" s="13"/>
      <c r="CC914" s="114"/>
    </row>
    <row r="915" spans="1:81" ht="19.5" x14ac:dyDescent="0.4">
      <c r="A915" s="117"/>
      <c r="B915" s="123"/>
      <c r="C915" s="123"/>
      <c r="D915" s="123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  <c r="AK915" s="115"/>
      <c r="AL915" s="115"/>
      <c r="AM915" s="115"/>
      <c r="AN915" s="115"/>
      <c r="AO915" s="115"/>
      <c r="AP915" s="127"/>
      <c r="AQ915" s="29"/>
      <c r="AR915" s="115"/>
      <c r="AS915" s="115"/>
      <c r="AT915" s="115"/>
      <c r="AU915" s="115"/>
      <c r="AV915" s="115"/>
      <c r="AW915" s="115"/>
      <c r="AX915" s="115"/>
      <c r="AY915" s="115"/>
      <c r="AZ915" s="115"/>
      <c r="BA915" s="25"/>
      <c r="BB915" s="13"/>
      <c r="BG915" s="117"/>
      <c r="BH915" s="123"/>
      <c r="BI915" s="123"/>
      <c r="BJ915" s="123"/>
      <c r="BO915" s="115"/>
      <c r="BP915" s="115"/>
      <c r="BQ915" s="115"/>
      <c r="BR915" s="115"/>
      <c r="BS915" s="115"/>
      <c r="BT915" s="115"/>
      <c r="BU915" s="115"/>
      <c r="BV915" s="115"/>
      <c r="BW915" s="115"/>
      <c r="BX915" s="115"/>
      <c r="BY915" s="13"/>
      <c r="BZ915" s="13"/>
      <c r="CC915" s="114"/>
    </row>
    <row r="916" spans="1:81" ht="19.5" x14ac:dyDescent="0.4">
      <c r="A916" s="117"/>
      <c r="B916" s="123"/>
      <c r="C916" s="123"/>
      <c r="D916" s="123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  <c r="AK916" s="115"/>
      <c r="AL916" s="115"/>
      <c r="AM916" s="115"/>
      <c r="AN916" s="115"/>
      <c r="AO916" s="115"/>
      <c r="AP916" s="127"/>
      <c r="AQ916" s="29"/>
      <c r="AR916" s="115"/>
      <c r="AS916" s="115"/>
      <c r="AT916" s="115"/>
      <c r="AU916" s="115"/>
      <c r="AV916" s="115"/>
      <c r="AW916" s="115"/>
      <c r="AX916" s="115"/>
      <c r="AY916" s="115"/>
      <c r="AZ916" s="115"/>
      <c r="BA916" s="25"/>
      <c r="BB916" s="13"/>
      <c r="BG916" s="117"/>
      <c r="BH916" s="123"/>
      <c r="BI916" s="123"/>
      <c r="BJ916" s="123"/>
      <c r="BO916" s="115"/>
      <c r="BP916" s="115"/>
      <c r="BQ916" s="115"/>
      <c r="BR916" s="115"/>
      <c r="BS916" s="115"/>
      <c r="BT916" s="115"/>
      <c r="BU916" s="115"/>
      <c r="BV916" s="115"/>
      <c r="BW916" s="115"/>
      <c r="BX916" s="115"/>
      <c r="BY916" s="13"/>
      <c r="BZ916" s="13"/>
      <c r="CC916" s="114"/>
    </row>
    <row r="917" spans="1:81" ht="19.5" x14ac:dyDescent="0.4">
      <c r="A917" s="117"/>
      <c r="B917" s="123"/>
      <c r="C917" s="123"/>
      <c r="D917" s="123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  <c r="AK917" s="115"/>
      <c r="AL917" s="115"/>
      <c r="AM917" s="115"/>
      <c r="AN917" s="115"/>
      <c r="AO917" s="115"/>
      <c r="AP917" s="29"/>
      <c r="AQ917" s="29"/>
      <c r="AR917" s="115"/>
      <c r="AS917" s="115"/>
      <c r="AT917" s="115"/>
      <c r="AU917" s="115"/>
      <c r="AV917" s="115"/>
      <c r="AW917" s="115"/>
      <c r="AX917" s="115"/>
      <c r="AY917" s="115"/>
      <c r="AZ917" s="115"/>
      <c r="BA917" s="25"/>
      <c r="BB917" s="13"/>
      <c r="BG917" s="117"/>
      <c r="BH917" s="123"/>
      <c r="BI917" s="123"/>
      <c r="BJ917" s="123"/>
      <c r="BO917" s="115"/>
      <c r="BP917" s="115"/>
      <c r="BQ917" s="115"/>
      <c r="BR917" s="115"/>
      <c r="BS917" s="115"/>
      <c r="BT917" s="115"/>
      <c r="BU917" s="115"/>
      <c r="BV917" s="115"/>
      <c r="BW917" s="115"/>
      <c r="BX917" s="115"/>
      <c r="BY917" s="13"/>
      <c r="BZ917" s="13"/>
      <c r="CC917" s="114"/>
    </row>
    <row r="918" spans="1:81" ht="19.5" x14ac:dyDescent="0.4">
      <c r="A918" s="117"/>
      <c r="B918" s="123"/>
      <c r="C918" s="123"/>
      <c r="D918" s="123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  <c r="AK918" s="115"/>
      <c r="AL918" s="115"/>
      <c r="AM918" s="115"/>
      <c r="AN918" s="115"/>
      <c r="AO918" s="115"/>
      <c r="AP918" s="127"/>
      <c r="AQ918" s="29"/>
      <c r="AR918" s="115"/>
      <c r="AS918" s="115"/>
      <c r="AT918" s="115"/>
      <c r="AU918" s="115"/>
      <c r="AV918" s="115"/>
      <c r="AW918" s="115"/>
      <c r="AX918" s="115"/>
      <c r="AY918" s="115"/>
      <c r="AZ918" s="115"/>
      <c r="BA918" s="25"/>
      <c r="BB918" s="13"/>
      <c r="BG918" s="117"/>
      <c r="BH918" s="123"/>
      <c r="BI918" s="123"/>
      <c r="BJ918" s="123"/>
      <c r="BO918" s="115"/>
      <c r="BP918" s="115"/>
      <c r="BQ918" s="115"/>
      <c r="BR918" s="115"/>
      <c r="BS918" s="115"/>
      <c r="BT918" s="115"/>
      <c r="BU918" s="115"/>
      <c r="BV918" s="115"/>
      <c r="BW918" s="115"/>
      <c r="BX918" s="115"/>
      <c r="BY918" s="13"/>
      <c r="BZ918" s="13"/>
      <c r="CC918" s="114"/>
    </row>
    <row r="919" spans="1:81" ht="19.5" x14ac:dyDescent="0.4">
      <c r="A919" s="117"/>
      <c r="B919" s="123"/>
      <c r="C919" s="123"/>
      <c r="D919" s="123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  <c r="AK919" s="115"/>
      <c r="AL919" s="115"/>
      <c r="AM919" s="115"/>
      <c r="AN919" s="115"/>
      <c r="AO919" s="115"/>
      <c r="AP919" s="29"/>
      <c r="AQ919" s="29"/>
      <c r="AR919" s="115"/>
      <c r="AS919" s="115"/>
      <c r="AT919" s="115"/>
      <c r="AU919" s="115"/>
      <c r="AV919" s="115"/>
      <c r="AW919" s="115"/>
      <c r="AX919" s="115"/>
      <c r="AY919" s="115"/>
      <c r="AZ919" s="115"/>
      <c r="BA919" s="25"/>
      <c r="BB919" s="13"/>
      <c r="BG919" s="117"/>
      <c r="BH919" s="123"/>
      <c r="BI919" s="123"/>
      <c r="BJ919" s="123"/>
      <c r="BO919" s="115"/>
      <c r="BP919" s="115"/>
      <c r="BQ919" s="115"/>
      <c r="BR919" s="115"/>
      <c r="BS919" s="115"/>
      <c r="BT919" s="115"/>
      <c r="BU919" s="115"/>
      <c r="BV919" s="115"/>
      <c r="BW919" s="115"/>
      <c r="BX919" s="115"/>
      <c r="BY919" s="13"/>
      <c r="BZ919" s="13"/>
      <c r="CC919" s="114"/>
    </row>
    <row r="920" spans="1:81" ht="19.5" x14ac:dyDescent="0.4">
      <c r="A920" s="117"/>
      <c r="B920" s="123"/>
      <c r="C920" s="123"/>
      <c r="D920" s="123"/>
      <c r="AP920" s="127"/>
      <c r="AQ920" s="29"/>
      <c r="AR920" s="115"/>
      <c r="AS920" s="115"/>
      <c r="AT920" s="115"/>
      <c r="AU920" s="115"/>
      <c r="AV920" s="115"/>
      <c r="AW920" s="115"/>
      <c r="AX920" s="115"/>
      <c r="AY920" s="115"/>
      <c r="AZ920" s="115"/>
      <c r="BA920" s="25">
        <v>45682</v>
      </c>
      <c r="BB920" s="13" t="s">
        <v>147</v>
      </c>
      <c r="BG920" s="117"/>
      <c r="BH920" s="123"/>
      <c r="BI920" s="123"/>
      <c r="BJ920" s="123"/>
      <c r="BO920" s="115"/>
      <c r="BP920" s="115"/>
      <c r="BQ920" s="115"/>
      <c r="BR920" s="115"/>
      <c r="BS920" s="115"/>
      <c r="BT920" s="115"/>
      <c r="BU920" s="115"/>
      <c r="BV920" s="115"/>
      <c r="BW920" s="115"/>
      <c r="BX920" s="115"/>
      <c r="BY920" s="13"/>
      <c r="BZ920" s="13"/>
      <c r="CC920" s="114"/>
    </row>
    <row r="921" spans="1:81" ht="19.5" x14ac:dyDescent="0.4">
      <c r="A921" s="117"/>
      <c r="B921" s="123"/>
      <c r="C921" s="123"/>
      <c r="D921" s="123"/>
      <c r="AC921" s="115"/>
      <c r="AD921" s="115"/>
      <c r="AE921" s="115"/>
      <c r="AF921" s="115"/>
      <c r="AG921" s="115"/>
      <c r="AH921" s="115"/>
      <c r="AI921" s="115"/>
      <c r="AJ921" s="115"/>
      <c r="AK921" s="115"/>
      <c r="AL921" s="115"/>
      <c r="AM921" s="115"/>
      <c r="AN921" s="115"/>
      <c r="AO921" s="115"/>
      <c r="AP921" s="29"/>
      <c r="AQ921" s="29"/>
      <c r="AR921" s="115"/>
      <c r="AS921" s="115"/>
      <c r="AT921" s="115"/>
      <c r="AU921" s="115"/>
      <c r="AV921" s="115"/>
      <c r="AW921" s="115"/>
      <c r="AX921" s="115"/>
      <c r="AY921" s="115"/>
      <c r="AZ921" s="115"/>
      <c r="BA921" s="25"/>
      <c r="BB921" s="13"/>
      <c r="BG921" s="117"/>
      <c r="BH921" s="123"/>
      <c r="BI921" s="123"/>
      <c r="BJ921" s="123"/>
      <c r="BO921" s="115"/>
      <c r="BP921" s="115"/>
      <c r="BQ921" s="115"/>
      <c r="BR921" s="115"/>
      <c r="BS921" s="115"/>
      <c r="BT921" s="115"/>
      <c r="BU921" s="115"/>
      <c r="BV921" s="115"/>
      <c r="BW921" s="115"/>
      <c r="BX921" s="115"/>
      <c r="BY921" s="13"/>
      <c r="BZ921" s="13"/>
      <c r="CC921" s="114"/>
    </row>
    <row r="922" spans="1:81" ht="19.5" x14ac:dyDescent="0.4">
      <c r="A922" s="117"/>
      <c r="B922" s="123"/>
      <c r="C922" s="123"/>
      <c r="D922" s="123"/>
      <c r="AC922" s="115"/>
      <c r="AD922" s="115"/>
      <c r="AE922" s="115"/>
      <c r="AF922" s="115"/>
      <c r="AG922" s="115"/>
      <c r="AH922" s="115"/>
      <c r="AI922" s="115"/>
      <c r="AJ922" s="115"/>
      <c r="AK922" s="115"/>
      <c r="AL922" s="115"/>
      <c r="AM922" s="115"/>
      <c r="AN922" s="115"/>
      <c r="AO922" s="115"/>
      <c r="AP922" s="29"/>
      <c r="AQ922" s="29"/>
      <c r="AR922" s="115"/>
      <c r="AS922" s="115"/>
      <c r="AT922" s="115"/>
      <c r="AU922" s="115"/>
      <c r="AV922" s="115"/>
      <c r="AW922" s="115"/>
      <c r="AX922" s="115"/>
      <c r="AY922" s="115"/>
      <c r="AZ922" s="115"/>
      <c r="BA922" s="25"/>
      <c r="BB922" s="13"/>
      <c r="BG922" s="117"/>
      <c r="BH922" s="123"/>
      <c r="BI922" s="123"/>
      <c r="BJ922" s="123"/>
      <c r="BO922" s="115"/>
      <c r="BP922" s="115"/>
      <c r="BQ922" s="115"/>
      <c r="BR922" s="115"/>
      <c r="BS922" s="115"/>
      <c r="BT922" s="115"/>
      <c r="BU922" s="115"/>
      <c r="BV922" s="115"/>
      <c r="BW922" s="115"/>
      <c r="BX922" s="115"/>
      <c r="BY922" s="13"/>
      <c r="BZ922" s="13"/>
      <c r="CC922" s="114"/>
    </row>
    <row r="923" spans="1:81" ht="19.5" x14ac:dyDescent="0.4">
      <c r="A923" s="117"/>
      <c r="B923" s="123"/>
      <c r="C923" s="123"/>
      <c r="D923" s="123"/>
      <c r="AP923" s="128"/>
      <c r="AQ923" s="29"/>
      <c r="AR923" s="115"/>
      <c r="AS923" s="115"/>
      <c r="AT923" s="115"/>
      <c r="AU923" s="115"/>
      <c r="AV923" s="115"/>
      <c r="AW923" s="115"/>
      <c r="AX923" s="115"/>
      <c r="AY923" s="115"/>
      <c r="AZ923" s="115"/>
      <c r="BA923" s="25"/>
      <c r="BB923" s="13"/>
      <c r="BG923" s="117"/>
      <c r="BH923" s="123"/>
      <c r="BI923" s="123"/>
      <c r="BJ923" s="123"/>
      <c r="BO923" s="115"/>
      <c r="BP923" s="115"/>
      <c r="BQ923" s="115"/>
      <c r="BR923" s="115"/>
      <c r="BS923" s="115"/>
      <c r="BT923" s="115"/>
      <c r="BU923" s="115"/>
      <c r="BV923" s="115"/>
      <c r="BW923" s="115"/>
      <c r="BX923" s="115"/>
      <c r="BY923" s="13"/>
      <c r="BZ923" s="13"/>
      <c r="CC923" s="114"/>
    </row>
    <row r="924" spans="1:81" ht="19.5" x14ac:dyDescent="0.4">
      <c r="A924" s="117"/>
      <c r="B924" s="123"/>
      <c r="C924" s="123"/>
      <c r="D924" s="123"/>
      <c r="AP924" s="127"/>
      <c r="AQ924" s="29"/>
      <c r="AR924" s="115"/>
      <c r="AS924" s="115"/>
      <c r="AT924" s="115"/>
      <c r="AU924" s="115"/>
      <c r="AV924" s="115"/>
      <c r="AW924" s="115"/>
      <c r="AX924" s="115"/>
      <c r="AY924" s="115"/>
      <c r="AZ924" s="115"/>
      <c r="BA924" s="25"/>
      <c r="BB924" s="13"/>
      <c r="BG924" s="117"/>
      <c r="BH924" s="123"/>
      <c r="BI924" s="123"/>
      <c r="BJ924" s="123"/>
      <c r="BO924" s="115"/>
      <c r="BP924" s="115"/>
      <c r="BQ924" s="115"/>
      <c r="BR924" s="115"/>
      <c r="BS924" s="115"/>
      <c r="BT924" s="115"/>
      <c r="BU924" s="115"/>
      <c r="BV924" s="115"/>
      <c r="BW924" s="115"/>
      <c r="BX924" s="115"/>
      <c r="BY924" s="13"/>
      <c r="BZ924" s="13"/>
      <c r="CC924" s="114"/>
    </row>
    <row r="925" spans="1:81" ht="19.5" x14ac:dyDescent="0.4">
      <c r="A925" s="117"/>
      <c r="B925" s="123"/>
      <c r="C925" s="123"/>
      <c r="D925" s="123"/>
      <c r="AP925" s="127"/>
      <c r="AQ925" s="29"/>
      <c r="BA925" s="25">
        <v>45682</v>
      </c>
      <c r="BB925" s="15" t="s">
        <v>146</v>
      </c>
      <c r="BG925" s="117"/>
      <c r="BH925" s="123"/>
      <c r="BI925" s="123"/>
      <c r="BJ925" s="123"/>
      <c r="BO925" s="115"/>
      <c r="BP925" s="115"/>
      <c r="BQ925" s="115"/>
      <c r="BR925" s="115"/>
      <c r="BS925" s="115"/>
      <c r="BT925" s="115"/>
      <c r="BU925" s="115"/>
      <c r="BV925" s="115"/>
      <c r="BW925" s="115"/>
      <c r="BX925" s="115"/>
      <c r="BY925" s="13"/>
      <c r="BZ925" s="13"/>
      <c r="CC925" s="114"/>
    </row>
    <row r="926" spans="1:81" ht="19.5" x14ac:dyDescent="0.4">
      <c r="A926" s="117"/>
      <c r="B926" s="123"/>
      <c r="C926" s="123"/>
      <c r="D926" s="123"/>
      <c r="AP926" s="128"/>
      <c r="AQ926" s="29"/>
      <c r="BA926" s="25"/>
      <c r="BB926" s="15"/>
      <c r="BG926" s="117"/>
      <c r="BH926" s="123"/>
      <c r="BI926" s="123"/>
      <c r="BJ926" s="123"/>
      <c r="BO926" s="115"/>
      <c r="BP926" s="115"/>
      <c r="BQ926" s="115"/>
      <c r="BR926" s="115"/>
      <c r="BS926" s="115"/>
      <c r="BT926" s="115"/>
      <c r="BU926" s="115"/>
      <c r="BV926" s="115"/>
      <c r="BW926" s="115"/>
      <c r="BX926" s="115"/>
      <c r="BY926" s="13"/>
      <c r="BZ926" s="13"/>
      <c r="CC926" s="114"/>
    </row>
    <row r="927" spans="1:81" ht="19.5" x14ac:dyDescent="0.4">
      <c r="A927" s="117"/>
      <c r="B927" s="123"/>
      <c r="C927" s="123"/>
      <c r="D927" s="123"/>
      <c r="AP927" s="127"/>
      <c r="AQ927" s="29"/>
      <c r="BA927" s="25"/>
      <c r="BB927" s="15"/>
      <c r="BG927" s="117"/>
      <c r="BH927" s="123"/>
      <c r="BI927" s="123"/>
      <c r="BJ927" s="123"/>
      <c r="BO927" s="115"/>
      <c r="BP927" s="115"/>
      <c r="BQ927" s="115"/>
      <c r="BR927" s="115"/>
      <c r="BS927" s="115"/>
      <c r="BT927" s="115"/>
      <c r="BU927" s="115"/>
      <c r="BV927" s="115"/>
      <c r="BW927" s="115"/>
      <c r="BX927" s="115"/>
      <c r="BY927" s="13"/>
      <c r="BZ927" s="13"/>
      <c r="CC927" s="114"/>
    </row>
    <row r="928" spans="1:81" ht="19.5" x14ac:dyDescent="0.4">
      <c r="A928" s="117"/>
      <c r="B928" s="123"/>
      <c r="C928" s="123"/>
      <c r="D928" s="123"/>
      <c r="AB928" s="115"/>
      <c r="AC928" s="115"/>
      <c r="AD928" s="115"/>
      <c r="AE928" s="115"/>
      <c r="AF928" s="115"/>
      <c r="AG928" s="115"/>
      <c r="AH928" s="115"/>
      <c r="AI928" s="115"/>
      <c r="AJ928" s="115"/>
      <c r="AK928" s="115"/>
      <c r="AL928" s="115"/>
      <c r="AM928" s="115"/>
      <c r="AN928" s="115"/>
      <c r="AO928" s="115"/>
      <c r="AP928" s="127"/>
      <c r="AQ928" s="29"/>
      <c r="BA928" s="25"/>
      <c r="BB928" s="15"/>
      <c r="BG928" s="117"/>
      <c r="BH928" s="123"/>
      <c r="BI928" s="123"/>
      <c r="BJ928" s="123"/>
      <c r="BO928" s="115"/>
      <c r="BP928" s="115"/>
      <c r="BQ928" s="115"/>
      <c r="BR928" s="115"/>
      <c r="BS928" s="115"/>
      <c r="BT928" s="115"/>
      <c r="BU928" s="115"/>
      <c r="BV928" s="115"/>
      <c r="BW928" s="115"/>
      <c r="BX928" s="115"/>
      <c r="BY928" s="13"/>
      <c r="BZ928" s="13"/>
      <c r="CC928" s="114"/>
    </row>
    <row r="929" spans="1:81" ht="19.5" x14ac:dyDescent="0.4">
      <c r="A929" s="117"/>
      <c r="B929" s="123"/>
      <c r="C929" s="123"/>
      <c r="D929" s="123"/>
      <c r="AP929" s="127"/>
      <c r="AQ929" s="29"/>
      <c r="AR929" s="115"/>
      <c r="AS929" s="115"/>
      <c r="AT929" s="115"/>
      <c r="AU929" s="115"/>
      <c r="AV929" s="115"/>
      <c r="AW929" s="115"/>
      <c r="AX929" s="115"/>
      <c r="AY929" s="115"/>
      <c r="AZ929" s="115"/>
      <c r="BA929" s="25">
        <v>45682</v>
      </c>
      <c r="BB929" s="15" t="s">
        <v>146</v>
      </c>
      <c r="BG929" s="117"/>
      <c r="BH929" s="123"/>
      <c r="BI929" s="123"/>
      <c r="BJ929" s="123"/>
      <c r="BO929" s="115"/>
      <c r="BP929" s="115"/>
      <c r="BQ929" s="115"/>
      <c r="BR929" s="115"/>
      <c r="BS929" s="115"/>
      <c r="BT929" s="115"/>
      <c r="BU929" s="115"/>
      <c r="BV929" s="115"/>
      <c r="BW929" s="115"/>
      <c r="BX929" s="115"/>
      <c r="BY929" s="13"/>
      <c r="BZ929" s="13"/>
      <c r="CC929" s="114"/>
    </row>
    <row r="930" spans="1:81" ht="19.5" x14ac:dyDescent="0.4">
      <c r="A930" s="117"/>
      <c r="B930" s="123"/>
      <c r="C930" s="123"/>
      <c r="D930" s="123"/>
      <c r="AP930" s="128"/>
      <c r="AQ930" s="29"/>
      <c r="AR930" s="115"/>
      <c r="AS930" s="115"/>
      <c r="AT930" s="115"/>
      <c r="AU930" s="115"/>
      <c r="AV930" s="115"/>
      <c r="AW930" s="115"/>
      <c r="AX930" s="115"/>
      <c r="AY930" s="115"/>
      <c r="AZ930" s="115"/>
      <c r="BA930" s="25"/>
      <c r="BB930" s="15"/>
      <c r="BG930" s="117"/>
      <c r="BH930" s="123"/>
      <c r="BI930" s="123"/>
      <c r="BJ930" s="123"/>
      <c r="BO930" s="115"/>
      <c r="BP930" s="115"/>
      <c r="BQ930" s="115"/>
      <c r="BR930" s="115"/>
      <c r="BS930" s="115"/>
      <c r="BT930" s="115"/>
      <c r="BU930" s="115"/>
      <c r="BV930" s="115"/>
      <c r="BW930" s="115"/>
      <c r="BX930" s="115"/>
      <c r="BY930" s="13"/>
      <c r="BZ930" s="13"/>
      <c r="CC930" s="114"/>
    </row>
    <row r="931" spans="1:81" ht="19.5" x14ac:dyDescent="0.4">
      <c r="A931" s="117"/>
      <c r="B931" s="123"/>
      <c r="C931" s="123"/>
      <c r="D931" s="123"/>
      <c r="AP931" s="127"/>
      <c r="AQ931" s="29"/>
      <c r="AR931" s="115"/>
      <c r="AS931" s="115"/>
      <c r="AT931" s="115"/>
      <c r="AU931" s="115"/>
      <c r="AV931" s="115"/>
      <c r="AW931" s="115"/>
      <c r="AX931" s="115"/>
      <c r="AY931" s="115"/>
      <c r="AZ931" s="115"/>
      <c r="BA931" s="25">
        <v>45682</v>
      </c>
      <c r="BB931" s="15" t="s">
        <v>148</v>
      </c>
      <c r="BG931" s="117"/>
      <c r="BH931" s="123"/>
      <c r="BI931" s="123"/>
      <c r="BJ931" s="123"/>
      <c r="BO931" s="115"/>
      <c r="BP931" s="115"/>
      <c r="BQ931" s="115"/>
      <c r="BR931" s="115"/>
      <c r="BS931" s="115"/>
      <c r="BT931" s="115"/>
      <c r="BU931" s="115"/>
      <c r="BV931" s="115"/>
      <c r="BW931" s="115"/>
      <c r="BX931" s="115"/>
      <c r="BY931" s="13"/>
      <c r="BZ931" s="13"/>
      <c r="CC931" s="114"/>
    </row>
    <row r="932" spans="1:81" ht="19.5" x14ac:dyDescent="0.4">
      <c r="A932" s="117"/>
      <c r="B932" s="123"/>
      <c r="C932" s="123"/>
      <c r="D932" s="123"/>
      <c r="AP932" s="127"/>
      <c r="AQ932" s="29"/>
      <c r="AR932" s="115"/>
      <c r="AS932" s="115"/>
      <c r="AT932" s="115"/>
      <c r="AU932" s="115"/>
      <c r="AV932" s="115"/>
      <c r="AW932" s="115"/>
      <c r="AX932" s="115"/>
      <c r="AY932" s="115"/>
      <c r="AZ932" s="115"/>
      <c r="BA932" s="25">
        <v>45682</v>
      </c>
      <c r="BB932" s="15" t="s">
        <v>146</v>
      </c>
      <c r="BG932" s="117"/>
      <c r="BH932" s="123"/>
      <c r="BI932" s="123"/>
      <c r="BJ932" s="123"/>
      <c r="BO932" s="115"/>
      <c r="BP932" s="115"/>
      <c r="BQ932" s="115"/>
      <c r="BR932" s="115"/>
      <c r="BS932" s="115"/>
      <c r="BT932" s="115"/>
      <c r="BU932" s="115"/>
      <c r="BV932" s="115"/>
      <c r="BW932" s="115"/>
      <c r="BX932" s="115"/>
      <c r="BY932" s="13"/>
      <c r="BZ932" s="13"/>
      <c r="CC932" s="114"/>
    </row>
    <row r="933" spans="1:81" ht="19.5" x14ac:dyDescent="0.4">
      <c r="A933" s="117"/>
      <c r="B933" s="123"/>
      <c r="C933" s="123"/>
      <c r="D933" s="123"/>
      <c r="AP933" s="127"/>
      <c r="AQ933" s="29"/>
      <c r="AR933" s="115"/>
      <c r="AS933" s="115"/>
      <c r="AT933" s="115"/>
      <c r="AU933" s="115"/>
      <c r="AV933" s="115"/>
      <c r="AW933" s="115"/>
      <c r="AX933" s="115"/>
      <c r="AY933" s="115"/>
      <c r="AZ933" s="115"/>
      <c r="BA933" s="25">
        <v>45682</v>
      </c>
      <c r="BB933" s="15" t="s">
        <v>148</v>
      </c>
      <c r="BG933" s="117"/>
      <c r="BH933" s="123"/>
      <c r="BI933" s="123"/>
      <c r="BJ933" s="123"/>
      <c r="BO933" s="115"/>
      <c r="BP933" s="115"/>
      <c r="BQ933" s="115"/>
      <c r="BR933" s="115"/>
      <c r="BS933" s="115"/>
      <c r="BT933" s="115"/>
      <c r="BU933" s="115"/>
      <c r="BV933" s="115"/>
      <c r="BW933" s="115"/>
      <c r="BX933" s="115"/>
      <c r="BY933" s="13"/>
      <c r="BZ933" s="13"/>
      <c r="CC933" s="114"/>
    </row>
    <row r="934" spans="1:81" ht="19.5" x14ac:dyDescent="0.4">
      <c r="A934" s="117"/>
      <c r="B934" s="123"/>
      <c r="C934" s="123"/>
      <c r="D934" s="123"/>
      <c r="AB934" s="115"/>
      <c r="AC934" s="115"/>
      <c r="AD934" s="115"/>
      <c r="AE934" s="115"/>
      <c r="AF934" s="115"/>
      <c r="AG934" s="115"/>
      <c r="AH934" s="115"/>
      <c r="AI934" s="115"/>
      <c r="AJ934" s="115"/>
      <c r="AK934" s="115"/>
      <c r="AL934" s="115"/>
      <c r="AM934" s="115"/>
      <c r="AN934" s="115"/>
      <c r="AO934" s="115"/>
      <c r="AP934" s="127"/>
      <c r="AQ934" s="29"/>
      <c r="AR934" s="115"/>
      <c r="AS934" s="115"/>
      <c r="AT934" s="115"/>
      <c r="AU934" s="115"/>
      <c r="AV934" s="115"/>
      <c r="AW934" s="115"/>
      <c r="AX934" s="115"/>
      <c r="AY934" s="115"/>
      <c r="AZ934" s="115"/>
      <c r="BA934" s="25"/>
      <c r="BB934" s="15"/>
      <c r="BG934" s="117"/>
      <c r="BH934" s="123"/>
      <c r="BI934" s="123"/>
      <c r="BJ934" s="123"/>
      <c r="BO934" s="115"/>
      <c r="BP934" s="115"/>
      <c r="BQ934" s="115"/>
      <c r="BR934" s="115"/>
      <c r="BS934" s="115"/>
      <c r="BT934" s="115"/>
      <c r="BU934" s="115"/>
      <c r="BV934" s="115"/>
      <c r="BW934" s="115"/>
      <c r="BX934" s="115"/>
      <c r="BY934" s="13"/>
      <c r="BZ934" s="13"/>
      <c r="CC934" s="114"/>
    </row>
    <row r="935" spans="1:81" ht="19.5" x14ac:dyDescent="0.4">
      <c r="A935" s="117"/>
      <c r="B935" s="123"/>
      <c r="C935" s="123"/>
      <c r="D935" s="123"/>
      <c r="AP935" s="127"/>
      <c r="AQ935" s="29"/>
      <c r="AR935" s="115"/>
      <c r="AS935" s="115"/>
      <c r="AT935" s="115"/>
      <c r="AU935" s="115"/>
      <c r="AV935" s="115"/>
      <c r="AW935" s="115"/>
      <c r="AX935" s="115"/>
      <c r="AY935" s="115"/>
      <c r="AZ935" s="115"/>
      <c r="BA935" s="25">
        <v>45682</v>
      </c>
      <c r="BB935" s="15" t="s">
        <v>148</v>
      </c>
      <c r="BG935" s="117"/>
      <c r="BH935" s="123"/>
      <c r="BI935" s="123"/>
      <c r="BJ935" s="123"/>
      <c r="BO935" s="115"/>
      <c r="BP935" s="115"/>
      <c r="BQ935" s="115"/>
      <c r="BR935" s="115"/>
      <c r="BS935" s="115"/>
      <c r="BT935" s="115"/>
      <c r="BU935" s="115"/>
      <c r="BV935" s="115"/>
      <c r="BW935" s="115"/>
      <c r="BX935" s="115"/>
      <c r="BY935" s="13"/>
      <c r="BZ935" s="13"/>
      <c r="CC935" s="114"/>
    </row>
    <row r="936" spans="1:81" ht="19.5" x14ac:dyDescent="0.4">
      <c r="A936" s="117"/>
      <c r="B936" s="123"/>
      <c r="C936" s="123"/>
      <c r="D936" s="123"/>
      <c r="AP936" s="127"/>
      <c r="AQ936" s="29"/>
      <c r="AR936" s="115"/>
      <c r="AS936" s="115"/>
      <c r="AT936" s="115"/>
      <c r="AU936" s="115"/>
      <c r="AV936" s="115"/>
      <c r="AW936" s="115"/>
      <c r="AX936" s="115"/>
      <c r="AY936" s="115"/>
      <c r="AZ936" s="115"/>
      <c r="BA936" s="25">
        <v>45682</v>
      </c>
      <c r="BB936" s="105" t="s">
        <v>148</v>
      </c>
      <c r="BG936" s="117"/>
      <c r="BH936" s="123"/>
      <c r="BI936" s="123"/>
      <c r="BJ936" s="123"/>
      <c r="BO936" s="115"/>
      <c r="BP936" s="115"/>
      <c r="BQ936" s="115"/>
      <c r="BR936" s="115"/>
      <c r="BS936" s="115"/>
      <c r="BT936" s="115"/>
      <c r="BU936" s="115"/>
      <c r="BV936" s="115"/>
      <c r="BW936" s="115"/>
      <c r="BX936" s="115"/>
      <c r="BY936" s="13"/>
      <c r="BZ936" s="13"/>
      <c r="CC936" s="114"/>
    </row>
    <row r="937" spans="1:81" ht="19.5" x14ac:dyDescent="0.4">
      <c r="A937" s="117"/>
      <c r="B937" s="123"/>
      <c r="C937" s="123"/>
      <c r="D937" s="123"/>
      <c r="AP937" s="127"/>
      <c r="AQ937" s="29"/>
      <c r="AR937" s="115"/>
      <c r="AS937" s="115"/>
      <c r="AT937" s="115"/>
      <c r="AU937" s="115"/>
      <c r="AV937" s="115"/>
      <c r="AW937" s="115"/>
      <c r="AX937" s="115"/>
      <c r="AY937" s="115"/>
      <c r="AZ937" s="115"/>
      <c r="BA937" s="25">
        <v>45682</v>
      </c>
      <c r="BB937" s="105" t="s">
        <v>146</v>
      </c>
      <c r="BG937" s="117"/>
      <c r="BH937" s="123"/>
      <c r="BI937" s="123"/>
      <c r="BJ937" s="123"/>
      <c r="BO937" s="115"/>
      <c r="BP937" s="115"/>
      <c r="BQ937" s="115"/>
      <c r="BR937" s="115"/>
      <c r="BS937" s="115"/>
      <c r="BT937" s="115"/>
      <c r="BU937" s="115"/>
      <c r="BV937" s="115"/>
      <c r="BW937" s="115"/>
      <c r="BX937" s="115"/>
      <c r="BY937" s="13"/>
      <c r="BZ937" s="13"/>
      <c r="CC937" s="114"/>
    </row>
    <row r="938" spans="1:81" ht="19.5" x14ac:dyDescent="0.4">
      <c r="A938" s="117"/>
      <c r="B938" s="123"/>
      <c r="C938" s="123"/>
      <c r="D938" s="123"/>
      <c r="AP938" s="128"/>
      <c r="AQ938" s="29"/>
      <c r="AR938" s="115"/>
      <c r="AS938" s="115"/>
      <c r="AT938" s="115"/>
      <c r="AU938" s="115"/>
      <c r="AV938" s="115"/>
      <c r="AW938" s="115"/>
      <c r="AX938" s="115"/>
      <c r="AY938" s="115"/>
      <c r="AZ938" s="115"/>
      <c r="BA938" s="25"/>
      <c r="BB938" s="105"/>
      <c r="BG938" s="117"/>
      <c r="BH938" s="123"/>
      <c r="BI938" s="123"/>
      <c r="BJ938" s="123"/>
      <c r="BO938" s="115"/>
      <c r="BP938" s="115"/>
      <c r="BQ938" s="115"/>
      <c r="BR938" s="115"/>
      <c r="BS938" s="115"/>
      <c r="BT938" s="115"/>
      <c r="BU938" s="115"/>
      <c r="BV938" s="115"/>
      <c r="BW938" s="115"/>
      <c r="BX938" s="115"/>
      <c r="BY938" s="13"/>
      <c r="BZ938" s="13"/>
      <c r="CC938" s="114"/>
    </row>
    <row r="939" spans="1:81" ht="19.5" x14ac:dyDescent="0.4">
      <c r="A939" s="117"/>
      <c r="B939" s="123"/>
      <c r="C939" s="123"/>
      <c r="D939" s="123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  <c r="AK939" s="115"/>
      <c r="AL939" s="115"/>
      <c r="AM939" s="115"/>
      <c r="AN939" s="115"/>
      <c r="AO939" s="115"/>
      <c r="AP939" s="127"/>
      <c r="AQ939" s="29"/>
      <c r="AR939" s="115"/>
      <c r="AS939" s="115"/>
      <c r="AT939" s="115"/>
      <c r="AU939" s="115"/>
      <c r="AV939" s="115"/>
      <c r="AW939" s="115"/>
      <c r="AX939" s="115"/>
      <c r="AY939" s="115"/>
      <c r="AZ939" s="115"/>
      <c r="BA939" s="25">
        <v>45682</v>
      </c>
      <c r="BB939" s="15" t="s">
        <v>146</v>
      </c>
      <c r="BG939" s="117"/>
      <c r="BH939" s="123"/>
      <c r="BI939" s="123"/>
      <c r="BJ939" s="123"/>
      <c r="BO939" s="115"/>
      <c r="BP939" s="115"/>
      <c r="BQ939" s="115"/>
      <c r="BR939" s="115"/>
      <c r="BS939" s="115"/>
      <c r="BT939" s="115"/>
      <c r="BU939" s="115"/>
      <c r="BV939" s="115"/>
      <c r="BW939" s="115"/>
      <c r="BX939" s="115"/>
      <c r="BY939" s="13"/>
      <c r="BZ939" s="13"/>
      <c r="CC939" s="114"/>
    </row>
    <row r="940" spans="1:81" ht="19.5" x14ac:dyDescent="0.4">
      <c r="A940" s="117"/>
      <c r="B940" s="123"/>
      <c r="C940" s="123"/>
      <c r="D940" s="123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  <c r="AK940" s="115"/>
      <c r="AL940" s="115"/>
      <c r="AM940" s="115"/>
      <c r="AN940" s="115"/>
      <c r="AO940" s="115"/>
      <c r="AP940" s="127"/>
      <c r="AQ940" s="29"/>
      <c r="AR940" s="115"/>
      <c r="AS940" s="115"/>
      <c r="AT940" s="115"/>
      <c r="AU940" s="115"/>
      <c r="AV940" s="115"/>
      <c r="AW940" s="115"/>
      <c r="AX940" s="115"/>
      <c r="AY940" s="115"/>
      <c r="AZ940" s="115"/>
      <c r="BA940" s="25">
        <v>45683</v>
      </c>
      <c r="BB940" s="13" t="s">
        <v>147</v>
      </c>
      <c r="BG940" s="117"/>
      <c r="BH940" s="123"/>
      <c r="BI940" s="123"/>
      <c r="BJ940" s="123"/>
      <c r="BO940" s="115"/>
      <c r="BP940" s="115"/>
      <c r="BQ940" s="115"/>
      <c r="BR940" s="115"/>
      <c r="BS940" s="115"/>
      <c r="BT940" s="115"/>
      <c r="BU940" s="115"/>
      <c r="BV940" s="115"/>
      <c r="BW940" s="115"/>
      <c r="BX940" s="115"/>
      <c r="BY940" s="13"/>
      <c r="BZ940" s="13"/>
      <c r="CC940" s="114"/>
    </row>
    <row r="941" spans="1:81" ht="19.5" x14ac:dyDescent="0.4">
      <c r="A941" s="117"/>
      <c r="B941" s="123"/>
      <c r="C941" s="123"/>
      <c r="D941" s="123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  <c r="AK941" s="115"/>
      <c r="AL941" s="115"/>
      <c r="AM941" s="115"/>
      <c r="AN941" s="115"/>
      <c r="AO941" s="115"/>
      <c r="AP941" s="127"/>
      <c r="AQ941" s="29"/>
      <c r="AR941" s="115"/>
      <c r="AS941" s="115"/>
      <c r="AT941" s="115"/>
      <c r="AU941" s="115"/>
      <c r="AV941" s="115"/>
      <c r="AW941" s="115"/>
      <c r="AX941" s="115"/>
      <c r="AY941" s="115"/>
      <c r="AZ941" s="115"/>
      <c r="BA941" s="25">
        <v>45683</v>
      </c>
      <c r="BB941" s="13" t="s">
        <v>147</v>
      </c>
      <c r="BG941" s="117"/>
      <c r="BH941" s="123"/>
      <c r="BI941" s="123"/>
      <c r="BJ941" s="123"/>
      <c r="BO941" s="115"/>
      <c r="BP941" s="115"/>
      <c r="BQ941" s="115"/>
      <c r="BR941" s="115"/>
      <c r="BS941" s="115"/>
      <c r="BT941" s="115"/>
      <c r="BU941" s="115"/>
      <c r="BV941" s="115"/>
      <c r="BW941" s="115"/>
      <c r="BX941" s="115"/>
      <c r="BY941" s="13"/>
      <c r="BZ941" s="13"/>
      <c r="CC941" s="114"/>
    </row>
    <row r="942" spans="1:81" ht="19.5" x14ac:dyDescent="0.4">
      <c r="A942" s="117"/>
      <c r="B942" s="123"/>
      <c r="C942" s="123"/>
      <c r="D942" s="123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  <c r="AK942" s="115"/>
      <c r="AL942" s="115"/>
      <c r="AM942" s="115"/>
      <c r="AN942" s="115"/>
      <c r="AO942" s="115"/>
      <c r="AP942" s="127"/>
      <c r="AQ942" s="29"/>
      <c r="AR942" s="115"/>
      <c r="AS942" s="115"/>
      <c r="AT942" s="115"/>
      <c r="AU942" s="115"/>
      <c r="AV942" s="115"/>
      <c r="AW942" s="115"/>
      <c r="AX942" s="115"/>
      <c r="AY942" s="115"/>
      <c r="AZ942" s="115"/>
      <c r="BA942" s="25"/>
      <c r="BB942" s="13"/>
      <c r="BG942" s="117"/>
      <c r="BH942" s="123"/>
      <c r="BI942" s="123"/>
      <c r="BJ942" s="123"/>
      <c r="BO942" s="115"/>
      <c r="BP942" s="115"/>
      <c r="BQ942" s="115"/>
      <c r="BR942" s="115"/>
      <c r="BS942" s="115"/>
      <c r="BT942" s="115"/>
      <c r="BU942" s="115"/>
      <c r="BV942" s="115"/>
      <c r="BW942" s="115"/>
      <c r="BX942" s="115"/>
      <c r="BY942" s="13"/>
      <c r="BZ942" s="13"/>
      <c r="CC942" s="114"/>
    </row>
    <row r="943" spans="1:81" ht="19.5" x14ac:dyDescent="0.4">
      <c r="A943" s="117"/>
      <c r="B943" s="123"/>
      <c r="C943" s="123"/>
      <c r="D943" s="123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  <c r="AK943" s="115"/>
      <c r="AL943" s="115"/>
      <c r="AM943" s="115"/>
      <c r="AN943" s="115"/>
      <c r="AO943" s="115"/>
      <c r="AP943" s="127"/>
      <c r="AQ943" s="29"/>
      <c r="AR943" s="115"/>
      <c r="AS943" s="115"/>
      <c r="AT943" s="115"/>
      <c r="AU943" s="115"/>
      <c r="AV943" s="115"/>
      <c r="AW943" s="115"/>
      <c r="AX943" s="115"/>
      <c r="AY943" s="115"/>
      <c r="AZ943" s="115"/>
      <c r="BA943" s="25">
        <v>45684</v>
      </c>
      <c r="BB943" s="13" t="s">
        <v>146</v>
      </c>
      <c r="BG943" s="117"/>
      <c r="BH943" s="123"/>
      <c r="BI943" s="123"/>
      <c r="BJ943" s="123"/>
      <c r="BO943" s="115"/>
      <c r="BP943" s="115"/>
      <c r="BQ943" s="115"/>
      <c r="BR943" s="115"/>
      <c r="BS943" s="115"/>
      <c r="BT943" s="115"/>
      <c r="BU943" s="115"/>
      <c r="BV943" s="115"/>
      <c r="BW943" s="115"/>
      <c r="BX943" s="115"/>
      <c r="BY943" s="13"/>
      <c r="BZ943" s="13"/>
      <c r="CC943" s="114"/>
    </row>
    <row r="944" spans="1:81" ht="19.5" x14ac:dyDescent="0.4">
      <c r="A944" s="117"/>
      <c r="B944" s="123"/>
      <c r="C944" s="123"/>
      <c r="D944" s="123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  <c r="AK944" s="115"/>
      <c r="AL944" s="115"/>
      <c r="AM944" s="115"/>
      <c r="AN944" s="115"/>
      <c r="AO944" s="115"/>
      <c r="AP944" s="127"/>
      <c r="AQ944" s="29"/>
      <c r="AR944" s="115"/>
      <c r="AS944" s="115"/>
      <c r="AT944" s="115"/>
      <c r="AU944" s="115"/>
      <c r="AV944" s="115"/>
      <c r="AW944" s="115"/>
      <c r="AX944" s="115"/>
      <c r="AY944" s="115"/>
      <c r="AZ944" s="115"/>
      <c r="BA944" s="25"/>
      <c r="BB944" s="13"/>
      <c r="BG944" s="117"/>
      <c r="BH944" s="123"/>
      <c r="BI944" s="123"/>
      <c r="BJ944" s="123"/>
      <c r="BO944" s="115"/>
      <c r="BP944" s="115"/>
      <c r="BQ944" s="115"/>
      <c r="BR944" s="115"/>
      <c r="BS944" s="115"/>
      <c r="BT944" s="115"/>
      <c r="BU944" s="115"/>
      <c r="BV944" s="115"/>
      <c r="BW944" s="115"/>
      <c r="BX944" s="115"/>
      <c r="BY944" s="13"/>
      <c r="BZ944" s="13"/>
      <c r="CC944" s="114"/>
    </row>
    <row r="945" spans="1:81" ht="19.5" x14ac:dyDescent="0.4">
      <c r="A945" s="117"/>
      <c r="B945" s="123"/>
      <c r="C945" s="123"/>
      <c r="D945" s="123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  <c r="AK945" s="115"/>
      <c r="AL945" s="115"/>
      <c r="AM945" s="115"/>
      <c r="AN945" s="115"/>
      <c r="AO945" s="115"/>
      <c r="AP945" s="128"/>
      <c r="AQ945" s="29"/>
      <c r="AR945" s="115"/>
      <c r="AS945" s="115"/>
      <c r="AT945" s="115"/>
      <c r="AU945" s="115"/>
      <c r="AV945" s="115"/>
      <c r="AW945" s="115"/>
      <c r="AX945" s="115"/>
      <c r="AY945" s="115"/>
      <c r="AZ945" s="115"/>
      <c r="BA945" s="25"/>
      <c r="BB945" s="13"/>
      <c r="BG945" s="117"/>
      <c r="BH945" s="123"/>
      <c r="BI945" s="123"/>
      <c r="BJ945" s="123"/>
      <c r="BO945" s="115"/>
      <c r="BP945" s="115"/>
      <c r="BQ945" s="115"/>
      <c r="BR945" s="115"/>
      <c r="BS945" s="115"/>
      <c r="BT945" s="115"/>
      <c r="BU945" s="115"/>
      <c r="BV945" s="115"/>
      <c r="BW945" s="115"/>
      <c r="BX945" s="115"/>
      <c r="BY945" s="13"/>
      <c r="BZ945" s="13"/>
      <c r="CC945" s="114"/>
    </row>
    <row r="946" spans="1:81" ht="19.5" x14ac:dyDescent="0.4">
      <c r="A946" s="117"/>
      <c r="B946" s="123"/>
      <c r="C946" s="123"/>
      <c r="D946" s="123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  <c r="AK946" s="115"/>
      <c r="AL946" s="115"/>
      <c r="AM946" s="115"/>
      <c r="AN946" s="115"/>
      <c r="AO946" s="115"/>
      <c r="AP946" s="127"/>
      <c r="AQ946" s="29"/>
      <c r="AR946" s="115"/>
      <c r="AS946" s="115"/>
      <c r="AT946" s="115"/>
      <c r="AU946" s="115"/>
      <c r="AV946" s="115"/>
      <c r="AW946" s="115"/>
      <c r="AX946" s="115"/>
      <c r="AY946" s="115"/>
      <c r="AZ946" s="115"/>
      <c r="BA946" s="25">
        <v>45684</v>
      </c>
      <c r="BB946" s="13" t="s">
        <v>148</v>
      </c>
      <c r="BG946" s="117"/>
      <c r="BH946" s="123"/>
      <c r="BI946" s="123"/>
      <c r="BJ946" s="123"/>
      <c r="BO946" s="115"/>
      <c r="BP946" s="115"/>
      <c r="BQ946" s="115"/>
      <c r="BR946" s="115"/>
      <c r="BS946" s="115"/>
      <c r="BT946" s="115"/>
      <c r="BU946" s="115"/>
      <c r="BV946" s="115"/>
      <c r="BW946" s="115"/>
      <c r="BX946" s="115"/>
      <c r="BY946" s="13"/>
      <c r="BZ946" s="13"/>
      <c r="CC946" s="114"/>
    </row>
    <row r="947" spans="1:81" ht="19.5" x14ac:dyDescent="0.4">
      <c r="A947" s="117"/>
      <c r="B947" s="123"/>
      <c r="C947" s="123"/>
      <c r="D947" s="123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  <c r="AK947" s="115"/>
      <c r="AL947" s="115"/>
      <c r="AM947" s="115"/>
      <c r="AN947" s="115"/>
      <c r="AO947" s="115"/>
      <c r="AP947" s="127"/>
      <c r="AQ947" s="29"/>
      <c r="AR947" s="115"/>
      <c r="AS947" s="115"/>
      <c r="AT947" s="115"/>
      <c r="AU947" s="115"/>
      <c r="AV947" s="115"/>
      <c r="AW947" s="115"/>
      <c r="AX947" s="115"/>
      <c r="AY947" s="115"/>
      <c r="AZ947" s="115"/>
      <c r="BA947" s="25"/>
      <c r="BB947" s="13"/>
      <c r="BG947" s="117"/>
      <c r="BH947" s="123"/>
      <c r="BI947" s="123"/>
      <c r="BJ947" s="123"/>
      <c r="BO947" s="115"/>
      <c r="BP947" s="115"/>
      <c r="BQ947" s="115"/>
      <c r="BR947" s="115"/>
      <c r="BS947" s="115"/>
      <c r="BT947" s="115"/>
      <c r="BU947" s="115"/>
      <c r="BV947" s="115"/>
      <c r="BW947" s="115"/>
      <c r="BX947" s="115"/>
      <c r="BY947" s="13"/>
      <c r="BZ947" s="13"/>
      <c r="CC947" s="114"/>
    </row>
    <row r="948" spans="1:81" ht="19.5" x14ac:dyDescent="0.4">
      <c r="A948" s="117"/>
      <c r="B948" s="123"/>
      <c r="C948" s="123"/>
      <c r="D948" s="123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  <c r="AK948" s="115"/>
      <c r="AL948" s="115"/>
      <c r="AM948" s="115"/>
      <c r="AN948" s="115"/>
      <c r="AO948" s="115"/>
      <c r="AP948" s="127"/>
      <c r="AQ948" s="29"/>
      <c r="AR948" s="115"/>
      <c r="AS948" s="115"/>
      <c r="AT948" s="115"/>
      <c r="AU948" s="115"/>
      <c r="AV948" s="115"/>
      <c r="AW948" s="115"/>
      <c r="AX948" s="115"/>
      <c r="AY948" s="115"/>
      <c r="AZ948" s="115"/>
      <c r="BA948" s="25"/>
      <c r="BB948" s="13"/>
      <c r="BG948" s="117"/>
      <c r="BH948" s="123"/>
      <c r="BI948" s="123"/>
      <c r="BJ948" s="123"/>
      <c r="BO948" s="115"/>
      <c r="BP948" s="115"/>
      <c r="BQ948" s="115"/>
      <c r="BR948" s="115"/>
      <c r="BS948" s="115"/>
      <c r="BT948" s="115"/>
      <c r="BU948" s="115"/>
      <c r="BV948" s="115"/>
      <c r="BW948" s="115"/>
      <c r="BX948" s="115"/>
      <c r="BY948" s="13"/>
      <c r="BZ948" s="13"/>
      <c r="CC948" s="114"/>
    </row>
    <row r="949" spans="1:81" ht="19.5" x14ac:dyDescent="0.4">
      <c r="A949" s="117"/>
      <c r="B949" s="123"/>
      <c r="C949" s="123"/>
      <c r="D949" s="123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  <c r="AK949" s="115"/>
      <c r="AL949" s="115"/>
      <c r="AM949" s="115"/>
      <c r="AN949" s="115"/>
      <c r="AO949" s="115"/>
      <c r="AP949" s="128"/>
      <c r="AQ949" s="29"/>
      <c r="AR949" s="115"/>
      <c r="AS949" s="115"/>
      <c r="AT949" s="115"/>
      <c r="AU949" s="115"/>
      <c r="AV949" s="115"/>
      <c r="AW949" s="115"/>
      <c r="AX949" s="115"/>
      <c r="AY949" s="115"/>
      <c r="AZ949" s="115"/>
      <c r="BA949" s="25"/>
      <c r="BB949" s="13"/>
      <c r="BG949" s="117"/>
      <c r="BH949" s="123"/>
      <c r="BI949" s="123"/>
      <c r="BJ949" s="123"/>
      <c r="BO949" s="115"/>
      <c r="BP949" s="115"/>
      <c r="BQ949" s="115"/>
      <c r="BR949" s="115"/>
      <c r="BS949" s="115"/>
      <c r="BT949" s="115"/>
      <c r="BU949" s="115"/>
      <c r="BV949" s="115"/>
      <c r="BW949" s="115"/>
      <c r="BX949" s="115"/>
      <c r="BY949" s="13"/>
      <c r="BZ949" s="13"/>
      <c r="CC949" s="114"/>
    </row>
    <row r="950" spans="1:81" ht="19.5" x14ac:dyDescent="0.4">
      <c r="A950" s="117"/>
      <c r="B950" s="123"/>
      <c r="C950" s="123"/>
      <c r="D950" s="123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  <c r="AK950" s="115"/>
      <c r="AL950" s="115"/>
      <c r="AM950" s="115"/>
      <c r="AN950" s="115"/>
      <c r="AO950" s="115"/>
      <c r="AP950" s="127"/>
      <c r="AQ950" s="127"/>
      <c r="AR950" s="115"/>
      <c r="AS950" s="115"/>
      <c r="AT950" s="115"/>
      <c r="AU950" s="115"/>
      <c r="AV950" s="115"/>
      <c r="AW950" s="115"/>
      <c r="AX950" s="115"/>
      <c r="AY950" s="115"/>
      <c r="AZ950" s="115"/>
      <c r="BA950" s="25"/>
      <c r="BB950" s="13"/>
      <c r="BG950" s="117"/>
      <c r="BH950" s="123"/>
      <c r="BI950" s="123"/>
      <c r="BJ950" s="123"/>
      <c r="BO950" s="115"/>
      <c r="BP950" s="115"/>
      <c r="BQ950" s="115"/>
      <c r="BR950" s="115"/>
      <c r="BS950" s="115"/>
      <c r="BT950" s="115"/>
      <c r="BU950" s="115"/>
      <c r="BV950" s="115"/>
      <c r="BW950" s="115"/>
      <c r="BX950" s="115"/>
      <c r="BY950" s="13"/>
      <c r="BZ950" s="13"/>
      <c r="CC950" s="114"/>
    </row>
    <row r="951" spans="1:81" ht="19.5" x14ac:dyDescent="0.4">
      <c r="A951" s="117"/>
      <c r="B951" s="123"/>
      <c r="C951" s="123"/>
      <c r="D951" s="123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  <c r="AK951" s="115"/>
      <c r="AL951" s="115"/>
      <c r="AM951" s="115"/>
      <c r="AN951" s="115"/>
      <c r="AO951" s="115"/>
      <c r="AP951" s="127"/>
      <c r="AQ951" s="29"/>
      <c r="AR951" s="115"/>
      <c r="AS951" s="115"/>
      <c r="AT951" s="115"/>
      <c r="AU951" s="115"/>
      <c r="AV951" s="115"/>
      <c r="AW951" s="115"/>
      <c r="AX951" s="115"/>
      <c r="AY951" s="115"/>
      <c r="AZ951" s="115"/>
      <c r="BA951" s="25"/>
      <c r="BB951" s="13"/>
      <c r="BG951" s="117"/>
      <c r="BH951" s="123"/>
      <c r="BI951" s="123"/>
      <c r="BJ951" s="123"/>
      <c r="BO951" s="115"/>
      <c r="BP951" s="115"/>
      <c r="BQ951" s="115"/>
      <c r="BR951" s="115"/>
      <c r="BS951" s="115"/>
      <c r="BT951" s="115"/>
      <c r="BU951" s="115"/>
      <c r="BV951" s="115"/>
      <c r="BW951" s="115"/>
      <c r="BX951" s="115"/>
      <c r="BY951" s="13"/>
      <c r="BZ951" s="13"/>
      <c r="CC951" s="114"/>
    </row>
    <row r="952" spans="1:81" ht="19.5" x14ac:dyDescent="0.4">
      <c r="A952" s="117"/>
      <c r="B952" s="123"/>
      <c r="C952" s="123"/>
      <c r="D952" s="123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  <c r="AK952" s="115"/>
      <c r="AL952" s="115"/>
      <c r="AM952" s="115"/>
      <c r="AN952" s="115"/>
      <c r="AO952" s="115"/>
      <c r="AP952" s="127"/>
      <c r="AQ952" s="29"/>
      <c r="AR952" s="115"/>
      <c r="AS952" s="115"/>
      <c r="AT952" s="115"/>
      <c r="AU952" s="115"/>
      <c r="AV952" s="115"/>
      <c r="AW952" s="115"/>
      <c r="AX952" s="115"/>
      <c r="AY952" s="115"/>
      <c r="AZ952" s="115"/>
      <c r="BA952" s="25"/>
      <c r="BB952" s="13"/>
      <c r="BG952" s="117"/>
      <c r="BH952" s="123"/>
      <c r="BI952" s="123"/>
      <c r="BJ952" s="123"/>
      <c r="BO952" s="115"/>
      <c r="BP952" s="115"/>
      <c r="BQ952" s="115"/>
      <c r="BR952" s="115"/>
      <c r="BS952" s="115"/>
      <c r="BT952" s="115"/>
      <c r="BU952" s="115"/>
      <c r="BV952" s="115"/>
      <c r="BW952" s="115"/>
      <c r="BX952" s="115"/>
      <c r="BY952" s="13"/>
      <c r="BZ952" s="13"/>
      <c r="CC952" s="114"/>
    </row>
    <row r="953" spans="1:81" ht="19.5" x14ac:dyDescent="0.4">
      <c r="A953" s="117"/>
      <c r="B953" s="123"/>
      <c r="C953" s="123"/>
      <c r="D953" s="123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  <c r="AK953" s="115"/>
      <c r="AL953" s="115"/>
      <c r="AM953" s="115"/>
      <c r="AN953" s="115"/>
      <c r="AO953" s="115"/>
      <c r="AP953" s="128"/>
      <c r="AQ953" s="29"/>
      <c r="AR953" s="115"/>
      <c r="AS953" s="115"/>
      <c r="AT953" s="115"/>
      <c r="AU953" s="115"/>
      <c r="AV953" s="115"/>
      <c r="AW953" s="115"/>
      <c r="AX953" s="115"/>
      <c r="AY953" s="115"/>
      <c r="AZ953" s="115"/>
      <c r="BA953" s="25"/>
      <c r="BB953" s="13"/>
      <c r="BG953" s="117"/>
      <c r="BH953" s="123"/>
      <c r="BI953" s="123"/>
      <c r="BJ953" s="123"/>
      <c r="BO953" s="115"/>
      <c r="BP953" s="115"/>
      <c r="BQ953" s="115"/>
      <c r="BR953" s="115"/>
      <c r="BS953" s="115"/>
      <c r="BT953" s="115"/>
      <c r="BU953" s="115"/>
      <c r="BV953" s="115"/>
      <c r="BW953" s="115"/>
      <c r="BX953" s="115"/>
      <c r="BY953" s="13"/>
      <c r="BZ953" s="13"/>
      <c r="CC953" s="114"/>
    </row>
    <row r="954" spans="1:81" ht="19.5" x14ac:dyDescent="0.4">
      <c r="A954" s="117"/>
      <c r="B954" s="123"/>
      <c r="C954" s="123"/>
      <c r="D954" s="123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  <c r="AK954" s="115"/>
      <c r="AL954" s="115"/>
      <c r="AM954" s="115"/>
      <c r="AN954" s="115"/>
      <c r="AO954" s="115"/>
      <c r="AP954" s="127"/>
      <c r="AQ954" s="134"/>
      <c r="AR954" s="115"/>
      <c r="AS954" s="115"/>
      <c r="AT954" s="115"/>
      <c r="AU954" s="115"/>
      <c r="AV954" s="115"/>
      <c r="AW954" s="115"/>
      <c r="AX954" s="115"/>
      <c r="AY954" s="115"/>
      <c r="AZ954" s="115"/>
      <c r="BA954" s="25"/>
      <c r="BB954" s="13"/>
      <c r="BG954" s="117"/>
      <c r="BH954" s="123"/>
      <c r="BI954" s="123"/>
      <c r="BJ954" s="123"/>
      <c r="BO954" s="115"/>
      <c r="BP954" s="115"/>
      <c r="BQ954" s="115"/>
      <c r="BR954" s="115"/>
      <c r="BS954" s="115"/>
      <c r="BT954" s="115"/>
      <c r="BU954" s="115"/>
      <c r="BV954" s="115"/>
      <c r="BW954" s="115"/>
      <c r="BX954" s="115"/>
      <c r="BY954" s="13"/>
      <c r="BZ954" s="13"/>
      <c r="CC954" s="114"/>
    </row>
    <row r="955" spans="1:81" ht="19.5" x14ac:dyDescent="0.4">
      <c r="A955" s="117"/>
      <c r="B955" s="123"/>
      <c r="C955" s="123"/>
      <c r="D955" s="123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  <c r="AK955" s="115"/>
      <c r="AL955" s="115"/>
      <c r="AM955" s="115"/>
      <c r="AN955" s="115"/>
      <c r="AO955" s="115"/>
      <c r="AP955" s="127"/>
      <c r="AQ955" s="29"/>
      <c r="AR955" s="115"/>
      <c r="AS955" s="115"/>
      <c r="AT955" s="115"/>
      <c r="AU955" s="115"/>
      <c r="AV955" s="115"/>
      <c r="AW955" s="115"/>
      <c r="AX955" s="115"/>
      <c r="AY955" s="115"/>
      <c r="AZ955" s="115"/>
      <c r="BA955" s="25">
        <v>45684</v>
      </c>
      <c r="BB955" s="13" t="s">
        <v>147</v>
      </c>
      <c r="BG955" s="117"/>
      <c r="BH955" s="123"/>
      <c r="BI955" s="123"/>
      <c r="BJ955" s="123"/>
      <c r="BO955" s="115"/>
      <c r="BP955" s="115"/>
      <c r="BQ955" s="115"/>
      <c r="BR955" s="115"/>
      <c r="BS955" s="115"/>
      <c r="BT955" s="115"/>
      <c r="BU955" s="115"/>
      <c r="BV955" s="115"/>
      <c r="BW955" s="115"/>
      <c r="BX955" s="115"/>
      <c r="BY955" s="13"/>
      <c r="BZ955" s="13"/>
      <c r="CC955" s="114"/>
    </row>
    <row r="956" spans="1:81" ht="19.5" x14ac:dyDescent="0.4">
      <c r="A956" s="117"/>
      <c r="B956" s="123"/>
      <c r="C956" s="123"/>
      <c r="D956" s="123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  <c r="AK956" s="115"/>
      <c r="AL956" s="115"/>
      <c r="AM956" s="115"/>
      <c r="AN956" s="115"/>
      <c r="AO956" s="115"/>
      <c r="AP956" s="128"/>
      <c r="AQ956" s="29"/>
      <c r="AR956" s="115"/>
      <c r="AS956" s="115"/>
      <c r="AT956" s="115"/>
      <c r="AU956" s="115"/>
      <c r="AV956" s="115"/>
      <c r="AW956" s="115"/>
      <c r="AX956" s="115"/>
      <c r="AY956" s="115"/>
      <c r="AZ956" s="115"/>
      <c r="BA956" s="25"/>
      <c r="BB956" s="13"/>
      <c r="BG956" s="117"/>
      <c r="BH956" s="123"/>
      <c r="BI956" s="123"/>
      <c r="BJ956" s="123"/>
      <c r="BO956" s="115"/>
      <c r="BP956" s="115"/>
      <c r="BQ956" s="115"/>
      <c r="BR956" s="115"/>
      <c r="BS956" s="115"/>
      <c r="BT956" s="115"/>
      <c r="BU956" s="115"/>
      <c r="BV956" s="115"/>
      <c r="BW956" s="115"/>
      <c r="BX956" s="115"/>
      <c r="BY956" s="13"/>
      <c r="BZ956" s="13"/>
      <c r="CC956" s="114"/>
    </row>
    <row r="957" spans="1:81" ht="19.5" x14ac:dyDescent="0.4">
      <c r="A957" s="117"/>
      <c r="B957" s="123"/>
      <c r="C957" s="123"/>
      <c r="D957" s="123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  <c r="AK957" s="115"/>
      <c r="AL957" s="115"/>
      <c r="AM957" s="115"/>
      <c r="AN957" s="115"/>
      <c r="AO957" s="115"/>
      <c r="AP957" s="127"/>
      <c r="AQ957" s="29"/>
      <c r="AR957" s="115"/>
      <c r="AS957" s="115"/>
      <c r="AT957" s="115"/>
      <c r="AU957" s="115"/>
      <c r="AV957" s="115"/>
      <c r="AW957" s="115"/>
      <c r="AX957" s="115"/>
      <c r="AY957" s="115"/>
      <c r="AZ957" s="115"/>
      <c r="BA957" s="25"/>
      <c r="BB957" s="13"/>
      <c r="BG957" s="117"/>
      <c r="BH957" s="123"/>
      <c r="BI957" s="123"/>
      <c r="BJ957" s="123"/>
      <c r="BO957" s="115"/>
      <c r="BP957" s="115"/>
      <c r="BQ957" s="115"/>
      <c r="BR957" s="115"/>
      <c r="BS957" s="115"/>
      <c r="BT957" s="115"/>
      <c r="BU957" s="115"/>
      <c r="BV957" s="115"/>
      <c r="BW957" s="115"/>
      <c r="BX957" s="115"/>
      <c r="BY957" s="13"/>
      <c r="BZ957" s="13"/>
      <c r="CC957" s="114"/>
    </row>
    <row r="958" spans="1:81" ht="19.5" x14ac:dyDescent="0.4">
      <c r="A958" s="117"/>
      <c r="B958" s="123"/>
      <c r="C958" s="123"/>
      <c r="D958" s="123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  <c r="AK958" s="115"/>
      <c r="AL958" s="115"/>
      <c r="AM958" s="115"/>
      <c r="AN958" s="115"/>
      <c r="AO958" s="115"/>
      <c r="AP958" s="127"/>
      <c r="AQ958" s="29"/>
      <c r="AR958" s="115"/>
      <c r="AS958" s="115"/>
      <c r="AT958" s="115"/>
      <c r="AU958" s="115"/>
      <c r="AV958" s="115"/>
      <c r="AW958" s="115"/>
      <c r="AX958" s="115"/>
      <c r="AY958" s="115"/>
      <c r="AZ958" s="115"/>
      <c r="BA958" s="25">
        <v>45684</v>
      </c>
      <c r="BB958" s="13" t="s">
        <v>146</v>
      </c>
      <c r="BG958" s="117"/>
      <c r="BH958" s="123"/>
      <c r="BI958" s="123"/>
      <c r="BJ958" s="123"/>
      <c r="BO958" s="115"/>
      <c r="BP958" s="115"/>
      <c r="BQ958" s="115"/>
      <c r="BR958" s="115"/>
      <c r="BS958" s="115"/>
      <c r="BT958" s="115"/>
      <c r="BU958" s="115"/>
      <c r="BV958" s="115"/>
      <c r="BW958" s="115"/>
      <c r="BX958" s="115"/>
      <c r="BY958" s="13"/>
      <c r="BZ958" s="13"/>
      <c r="CC958" s="114"/>
    </row>
    <row r="959" spans="1:81" ht="19.5" x14ac:dyDescent="0.4">
      <c r="A959" s="117"/>
      <c r="B959" s="123"/>
      <c r="C959" s="123"/>
      <c r="D959" s="123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  <c r="AK959" s="115"/>
      <c r="AL959" s="115"/>
      <c r="AM959" s="115"/>
      <c r="AN959" s="115"/>
      <c r="AO959" s="115"/>
      <c r="AP959" s="128"/>
      <c r="AQ959" s="29"/>
      <c r="AR959" s="115"/>
      <c r="AS959" s="115"/>
      <c r="AT959" s="115"/>
      <c r="AU959" s="115"/>
      <c r="AV959" s="115"/>
      <c r="AW959" s="115"/>
      <c r="AX959" s="115"/>
      <c r="AY959" s="115"/>
      <c r="AZ959" s="115"/>
      <c r="BA959" s="25"/>
      <c r="BB959" s="13"/>
      <c r="BG959" s="117"/>
      <c r="BH959" s="123"/>
      <c r="BI959" s="123"/>
      <c r="BJ959" s="123"/>
      <c r="BO959" s="115"/>
      <c r="BP959" s="115"/>
      <c r="BQ959" s="115"/>
      <c r="BR959" s="115"/>
      <c r="BS959" s="115"/>
      <c r="BT959" s="115"/>
      <c r="BU959" s="115"/>
      <c r="BV959" s="115"/>
      <c r="BW959" s="115"/>
      <c r="BX959" s="115"/>
      <c r="BY959" s="13"/>
      <c r="BZ959" s="13"/>
      <c r="CC959" s="114"/>
    </row>
    <row r="960" spans="1:81" ht="19.5" x14ac:dyDescent="0.4">
      <c r="A960" s="117"/>
      <c r="B960" s="123"/>
      <c r="C960" s="123"/>
      <c r="D960" s="123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  <c r="AK960" s="115"/>
      <c r="AL960" s="115"/>
      <c r="AM960" s="115"/>
      <c r="AN960" s="115"/>
      <c r="AO960" s="115"/>
      <c r="AP960" s="127"/>
      <c r="AQ960" s="29"/>
      <c r="AR960" s="115"/>
      <c r="AS960" s="115"/>
      <c r="AT960" s="115"/>
      <c r="AU960" s="115"/>
      <c r="AV960" s="115"/>
      <c r="AW960" s="115"/>
      <c r="AX960" s="115"/>
      <c r="AY960" s="115"/>
      <c r="AZ960" s="115"/>
      <c r="BA960" s="25"/>
      <c r="BB960" s="13"/>
      <c r="BG960" s="117"/>
      <c r="BH960" s="123"/>
      <c r="BI960" s="123"/>
      <c r="BJ960" s="123"/>
      <c r="BO960" s="115"/>
      <c r="BP960" s="115"/>
      <c r="BQ960" s="115"/>
      <c r="BR960" s="115"/>
      <c r="BS960" s="115"/>
      <c r="BT960" s="115"/>
      <c r="BU960" s="115"/>
      <c r="BV960" s="115"/>
      <c r="BW960" s="115"/>
      <c r="BX960" s="115"/>
      <c r="BY960" s="13"/>
      <c r="BZ960" s="13"/>
      <c r="CC960" s="114"/>
    </row>
    <row r="961" spans="1:81" ht="19.5" x14ac:dyDescent="0.4">
      <c r="A961" s="117"/>
      <c r="B961" s="123"/>
      <c r="C961" s="123"/>
      <c r="D961" s="123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  <c r="AK961" s="115"/>
      <c r="AL961" s="115"/>
      <c r="AM961" s="115"/>
      <c r="AN961" s="115"/>
      <c r="AO961" s="115"/>
      <c r="AP961" s="128"/>
      <c r="AQ961" s="29"/>
      <c r="AR961" s="115"/>
      <c r="AS961" s="115"/>
      <c r="AT961" s="115"/>
      <c r="AU961" s="115"/>
      <c r="AV961" s="115"/>
      <c r="AW961" s="115"/>
      <c r="AX961" s="115"/>
      <c r="AY961" s="115"/>
      <c r="AZ961" s="115"/>
      <c r="BA961" s="25"/>
      <c r="BB961" s="13"/>
      <c r="BG961" s="117"/>
      <c r="BH961" s="123"/>
      <c r="BI961" s="123"/>
      <c r="BJ961" s="123"/>
      <c r="BO961" s="115"/>
      <c r="BP961" s="115"/>
      <c r="BQ961" s="115"/>
      <c r="BR961" s="115"/>
      <c r="BS961" s="115"/>
      <c r="BT961" s="115"/>
      <c r="BU961" s="115"/>
      <c r="BV961" s="115"/>
      <c r="BW961" s="115"/>
      <c r="BX961" s="115"/>
      <c r="BY961" s="13"/>
      <c r="BZ961" s="13"/>
      <c r="CC961" s="114"/>
    </row>
    <row r="962" spans="1:81" ht="19.5" x14ac:dyDescent="0.4">
      <c r="A962" s="117"/>
      <c r="B962" s="123"/>
      <c r="C962" s="123"/>
      <c r="D962" s="123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  <c r="AK962" s="115"/>
      <c r="AL962" s="115"/>
      <c r="AM962" s="115"/>
      <c r="AN962" s="115"/>
      <c r="AO962" s="115"/>
      <c r="AP962" s="127"/>
      <c r="AQ962" s="29"/>
      <c r="AR962" s="115"/>
      <c r="AS962" s="115"/>
      <c r="AT962" s="115"/>
      <c r="AU962" s="115"/>
      <c r="AV962" s="115"/>
      <c r="AW962" s="115"/>
      <c r="AX962" s="115"/>
      <c r="AY962" s="115"/>
      <c r="AZ962" s="115"/>
      <c r="BA962" s="25"/>
      <c r="BB962" s="13"/>
      <c r="BG962" s="117"/>
      <c r="BH962" s="123"/>
      <c r="BI962" s="123"/>
      <c r="BJ962" s="123"/>
      <c r="BO962" s="115"/>
      <c r="BP962" s="115"/>
      <c r="BQ962" s="115"/>
      <c r="BR962" s="115"/>
      <c r="BS962" s="115"/>
      <c r="BT962" s="115"/>
      <c r="BU962" s="115"/>
      <c r="BV962" s="115"/>
      <c r="BW962" s="115"/>
      <c r="BX962" s="115"/>
      <c r="BY962" s="13"/>
      <c r="BZ962" s="13"/>
      <c r="CC962" s="114"/>
    </row>
    <row r="963" spans="1:81" ht="19.5" x14ac:dyDescent="0.4">
      <c r="A963" s="117"/>
      <c r="B963" s="123"/>
      <c r="C963" s="123"/>
      <c r="D963" s="123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  <c r="AK963" s="115"/>
      <c r="AL963" s="115"/>
      <c r="AM963" s="115"/>
      <c r="AN963" s="115"/>
      <c r="AO963" s="115"/>
      <c r="AP963" s="128"/>
      <c r="AQ963" s="29"/>
      <c r="AR963" s="115"/>
      <c r="AS963" s="115"/>
      <c r="AT963" s="115"/>
      <c r="AU963" s="115"/>
      <c r="AV963" s="115"/>
      <c r="AW963" s="115"/>
      <c r="AX963" s="115"/>
      <c r="AY963" s="115"/>
      <c r="AZ963" s="115"/>
      <c r="BA963" s="25"/>
      <c r="BB963" s="13"/>
      <c r="BG963" s="117"/>
      <c r="BH963" s="123"/>
      <c r="BI963" s="123"/>
      <c r="BJ963" s="123"/>
      <c r="BO963" s="115"/>
      <c r="BP963" s="115"/>
      <c r="BQ963" s="115"/>
      <c r="BR963" s="115"/>
      <c r="BS963" s="115"/>
      <c r="BT963" s="115"/>
      <c r="BU963" s="115"/>
      <c r="BV963" s="115"/>
      <c r="BW963" s="115"/>
      <c r="BX963" s="115"/>
      <c r="BY963" s="13"/>
      <c r="BZ963" s="13"/>
      <c r="CC963" s="114"/>
    </row>
    <row r="964" spans="1:81" ht="19.5" x14ac:dyDescent="0.4">
      <c r="A964" s="117"/>
      <c r="B964" s="123"/>
      <c r="C964" s="123"/>
      <c r="D964" s="123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  <c r="AK964" s="115"/>
      <c r="AL964" s="115"/>
      <c r="AM964" s="115"/>
      <c r="AN964" s="115"/>
      <c r="AO964" s="115"/>
      <c r="AP964" s="128"/>
      <c r="AQ964" s="29"/>
      <c r="AR964" s="115"/>
      <c r="AS964" s="115"/>
      <c r="AT964" s="115"/>
      <c r="AU964" s="115"/>
      <c r="AV964" s="115"/>
      <c r="AW964" s="115"/>
      <c r="AX964" s="115"/>
      <c r="AY964" s="115"/>
      <c r="AZ964" s="115"/>
      <c r="BA964" s="25"/>
      <c r="BB964" s="13"/>
      <c r="BG964" s="117"/>
      <c r="BH964" s="123"/>
      <c r="BI964" s="123"/>
      <c r="BJ964" s="123"/>
      <c r="BO964" s="115"/>
      <c r="BP964" s="115"/>
      <c r="BQ964" s="115"/>
      <c r="BR964" s="115"/>
      <c r="BS964" s="115"/>
      <c r="BT964" s="115"/>
      <c r="BU964" s="115"/>
      <c r="BV964" s="115"/>
      <c r="BW964" s="115"/>
      <c r="BX964" s="115"/>
      <c r="BY964" s="13"/>
      <c r="BZ964" s="13"/>
      <c r="CC964" s="114"/>
    </row>
    <row r="965" spans="1:81" ht="19.5" x14ac:dyDescent="0.4">
      <c r="A965" s="117"/>
      <c r="B965" s="123"/>
      <c r="C965" s="123"/>
      <c r="D965" s="123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  <c r="AK965" s="115"/>
      <c r="AL965" s="115"/>
      <c r="AM965" s="115"/>
      <c r="AN965" s="115"/>
      <c r="AO965" s="115"/>
      <c r="AP965" s="127"/>
      <c r="AQ965" s="29"/>
      <c r="AR965" s="115"/>
      <c r="AS965" s="115"/>
      <c r="AT965" s="115"/>
      <c r="AU965" s="115"/>
      <c r="AV965" s="115"/>
      <c r="AW965" s="115"/>
      <c r="AX965" s="115"/>
      <c r="AY965" s="115"/>
      <c r="AZ965" s="115"/>
      <c r="BA965" s="25">
        <v>45684</v>
      </c>
      <c r="BB965" s="13" t="s">
        <v>147</v>
      </c>
      <c r="BG965" s="117"/>
      <c r="BH965" s="123"/>
      <c r="BI965" s="123"/>
      <c r="BJ965" s="123"/>
      <c r="BO965" s="115"/>
      <c r="BP965" s="115"/>
      <c r="BQ965" s="115"/>
      <c r="BR965" s="115"/>
      <c r="BS965" s="115"/>
      <c r="BT965" s="115"/>
      <c r="BU965" s="115"/>
      <c r="BV965" s="115"/>
      <c r="BW965" s="115"/>
      <c r="BX965" s="115"/>
      <c r="BY965" s="13"/>
      <c r="BZ965" s="13"/>
      <c r="CC965" s="114"/>
    </row>
    <row r="966" spans="1:81" ht="19.5" x14ac:dyDescent="0.4">
      <c r="A966" s="117"/>
      <c r="B966" s="123"/>
      <c r="C966" s="123"/>
      <c r="D966" s="123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  <c r="AK966" s="115"/>
      <c r="AL966" s="115"/>
      <c r="AM966" s="115"/>
      <c r="AN966" s="115"/>
      <c r="AO966" s="115"/>
      <c r="AP966" s="127"/>
      <c r="AQ966" s="29"/>
      <c r="AR966" s="115"/>
      <c r="AS966" s="115"/>
      <c r="AT966" s="115"/>
      <c r="AU966" s="115"/>
      <c r="AV966" s="115"/>
      <c r="AW966" s="115"/>
      <c r="AX966" s="115"/>
      <c r="AY966" s="115"/>
      <c r="AZ966" s="115"/>
      <c r="BA966" s="25">
        <v>45684</v>
      </c>
      <c r="BB966" s="13" t="s">
        <v>146</v>
      </c>
      <c r="BG966" s="117"/>
      <c r="BH966" s="123"/>
      <c r="BI966" s="123"/>
      <c r="BJ966" s="123"/>
      <c r="BO966" s="115"/>
      <c r="BP966" s="115"/>
      <c r="BQ966" s="115"/>
      <c r="BR966" s="115"/>
      <c r="BS966" s="115"/>
      <c r="BT966" s="115"/>
      <c r="BU966" s="115"/>
      <c r="BV966" s="115"/>
      <c r="BW966" s="115"/>
      <c r="BX966" s="115"/>
      <c r="BY966" s="13"/>
      <c r="BZ966" s="13"/>
      <c r="CC966" s="114"/>
    </row>
    <row r="967" spans="1:81" ht="19.5" x14ac:dyDescent="0.4">
      <c r="A967" s="117"/>
      <c r="B967" s="123"/>
      <c r="C967" s="123"/>
      <c r="D967" s="123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  <c r="AK967" s="115"/>
      <c r="AL967" s="115"/>
      <c r="AM967" s="115"/>
      <c r="AN967" s="115"/>
      <c r="AO967" s="115"/>
      <c r="AP967" s="127"/>
      <c r="AQ967" s="29"/>
      <c r="AR967" s="115"/>
      <c r="AS967" s="115"/>
      <c r="AT967" s="115"/>
      <c r="AU967" s="115"/>
      <c r="AV967" s="115"/>
      <c r="AW967" s="115"/>
      <c r="AX967" s="115"/>
      <c r="AY967" s="115"/>
      <c r="AZ967" s="115"/>
      <c r="BA967" s="25">
        <v>45684</v>
      </c>
      <c r="BB967" s="13" t="s">
        <v>146</v>
      </c>
      <c r="BG967" s="117"/>
      <c r="BH967" s="123"/>
      <c r="BI967" s="123"/>
      <c r="BJ967" s="123"/>
      <c r="BO967" s="115"/>
      <c r="BP967" s="115"/>
      <c r="BQ967" s="115"/>
      <c r="BR967" s="115"/>
      <c r="BS967" s="115"/>
      <c r="BT967" s="115"/>
      <c r="BU967" s="115"/>
      <c r="BV967" s="115"/>
      <c r="BW967" s="115"/>
      <c r="BX967" s="115"/>
      <c r="BY967" s="13"/>
      <c r="BZ967" s="13"/>
      <c r="CC967" s="114"/>
    </row>
    <row r="968" spans="1:81" ht="19.5" x14ac:dyDescent="0.4">
      <c r="A968" s="117"/>
      <c r="B968" s="123"/>
      <c r="C968" s="123"/>
      <c r="D968" s="123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  <c r="AK968" s="115"/>
      <c r="AL968" s="115"/>
      <c r="AM968" s="115"/>
      <c r="AN968" s="115"/>
      <c r="AO968" s="115"/>
      <c r="AP968" s="29"/>
      <c r="AQ968" s="29"/>
      <c r="AR968" s="115"/>
      <c r="AS968" s="115"/>
      <c r="AT968" s="115"/>
      <c r="AU968" s="115"/>
      <c r="AV968" s="115"/>
      <c r="AW968" s="115"/>
      <c r="AX968" s="115"/>
      <c r="AY968" s="115"/>
      <c r="AZ968" s="115"/>
      <c r="BA968" s="25"/>
      <c r="BB968" s="13"/>
      <c r="BG968" s="117"/>
      <c r="BH968" s="123"/>
      <c r="BI968" s="123"/>
      <c r="BJ968" s="123"/>
      <c r="BO968" s="115"/>
      <c r="BP968" s="115"/>
      <c r="BQ968" s="115"/>
      <c r="BR968" s="115"/>
      <c r="BS968" s="115"/>
      <c r="BT968" s="115"/>
      <c r="BU968" s="115"/>
      <c r="BV968" s="115"/>
      <c r="BW968" s="115"/>
      <c r="BX968" s="115"/>
      <c r="BY968" s="13"/>
      <c r="BZ968" s="13"/>
      <c r="CC968" s="114"/>
    </row>
    <row r="969" spans="1:81" ht="19.5" x14ac:dyDescent="0.4">
      <c r="A969" s="117"/>
      <c r="B969" s="123"/>
      <c r="C969" s="123"/>
      <c r="D969" s="123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  <c r="AK969" s="115"/>
      <c r="AL969" s="115"/>
      <c r="AM969" s="115"/>
      <c r="AN969" s="115"/>
      <c r="AO969" s="115"/>
      <c r="AP969" s="29"/>
      <c r="AQ969" s="29"/>
      <c r="AR969" s="115"/>
      <c r="AS969" s="115"/>
      <c r="AT969" s="115"/>
      <c r="AU969" s="115"/>
      <c r="AV969" s="115"/>
      <c r="AW969" s="115"/>
      <c r="AX969" s="115"/>
      <c r="AY969" s="115"/>
      <c r="AZ969" s="115"/>
      <c r="BA969" s="25"/>
      <c r="BB969" s="13"/>
      <c r="BG969" s="117"/>
      <c r="BH969" s="123"/>
      <c r="BI969" s="123"/>
      <c r="BJ969" s="123"/>
      <c r="BO969" s="115"/>
      <c r="BP969" s="115"/>
      <c r="BQ969" s="115"/>
      <c r="BR969" s="115"/>
      <c r="BS969" s="115"/>
      <c r="BT969" s="115"/>
      <c r="BU969" s="115"/>
      <c r="BV969" s="115"/>
      <c r="BW969" s="115"/>
      <c r="BX969" s="115"/>
      <c r="BY969" s="13"/>
      <c r="BZ969" s="13"/>
      <c r="CC969" s="114"/>
    </row>
    <row r="970" spans="1:81" ht="19.5" x14ac:dyDescent="0.4">
      <c r="A970" s="117"/>
      <c r="B970" s="123"/>
      <c r="C970" s="123"/>
      <c r="D970" s="123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  <c r="AK970" s="115"/>
      <c r="AL970" s="115"/>
      <c r="AM970" s="115"/>
      <c r="AN970" s="115"/>
      <c r="AO970" s="115"/>
      <c r="AP970" s="127"/>
      <c r="AQ970" s="29"/>
      <c r="AR970" s="115"/>
      <c r="AS970" s="115"/>
      <c r="AT970" s="115"/>
      <c r="AU970" s="115"/>
      <c r="AV970" s="115"/>
      <c r="AW970" s="115"/>
      <c r="AX970" s="115"/>
      <c r="AY970" s="115"/>
      <c r="AZ970" s="115"/>
      <c r="BA970" s="25">
        <v>45684</v>
      </c>
      <c r="BB970" s="13" t="s">
        <v>147</v>
      </c>
      <c r="BG970" s="117"/>
      <c r="BH970" s="123"/>
      <c r="BI970" s="123"/>
      <c r="BJ970" s="123"/>
      <c r="BO970" s="115"/>
      <c r="BP970" s="115"/>
      <c r="BQ970" s="115"/>
      <c r="BR970" s="115"/>
      <c r="BS970" s="115"/>
      <c r="BT970" s="115"/>
      <c r="BU970" s="115"/>
      <c r="BV970" s="115"/>
      <c r="BW970" s="115"/>
      <c r="BX970" s="115"/>
      <c r="BY970" s="13"/>
      <c r="BZ970" s="13"/>
      <c r="CC970" s="114"/>
    </row>
    <row r="971" spans="1:81" ht="19.5" x14ac:dyDescent="0.4">
      <c r="A971" s="117"/>
      <c r="B971" s="123"/>
      <c r="C971" s="123"/>
      <c r="D971" s="123"/>
      <c r="AP971" s="127"/>
      <c r="AQ971" s="29"/>
      <c r="BA971" s="25">
        <v>45685</v>
      </c>
      <c r="BB971" s="13" t="s">
        <v>146</v>
      </c>
      <c r="BG971" s="117"/>
      <c r="BH971" s="123"/>
      <c r="BI971" s="123"/>
      <c r="BJ971" s="123"/>
      <c r="BO971" s="115"/>
      <c r="BP971" s="115"/>
      <c r="BQ971" s="115"/>
      <c r="BR971" s="115"/>
      <c r="BS971" s="115"/>
      <c r="BT971" s="115"/>
      <c r="BU971" s="115"/>
      <c r="BV971" s="115"/>
      <c r="BW971" s="115"/>
      <c r="BX971" s="115"/>
      <c r="BY971" s="25">
        <v>45263</v>
      </c>
      <c r="BZ971" s="13" t="s">
        <v>162</v>
      </c>
      <c r="CC971" s="114"/>
    </row>
    <row r="972" spans="1:81" ht="19.5" x14ac:dyDescent="0.4">
      <c r="A972" s="117"/>
      <c r="B972" s="123"/>
      <c r="C972" s="123"/>
      <c r="D972" s="123"/>
      <c r="AP972" s="127"/>
      <c r="AQ972" s="29"/>
      <c r="AX972" s="115"/>
      <c r="AY972" s="115"/>
      <c r="AZ972" s="115"/>
      <c r="BA972" s="25">
        <v>45685</v>
      </c>
      <c r="BB972" s="13" t="s">
        <v>147</v>
      </c>
      <c r="BG972" s="117"/>
      <c r="BH972" s="123"/>
      <c r="BI972" s="123"/>
      <c r="BJ972" s="123"/>
      <c r="BO972" s="115"/>
      <c r="BP972" s="115"/>
      <c r="BQ972" s="115"/>
      <c r="BR972" s="115"/>
      <c r="BS972" s="115"/>
      <c r="BT972" s="115"/>
      <c r="BU972" s="115"/>
      <c r="BV972" s="115"/>
      <c r="BW972" s="115"/>
      <c r="BX972" s="115"/>
      <c r="BY972" s="25"/>
      <c r="BZ972" s="13"/>
      <c r="CC972" s="114"/>
    </row>
    <row r="973" spans="1:81" ht="19.5" x14ac:dyDescent="0.4">
      <c r="A973" s="117"/>
      <c r="B973" s="123"/>
      <c r="C973" s="123"/>
      <c r="D973" s="123"/>
      <c r="AP973" s="128"/>
      <c r="AQ973" s="29"/>
      <c r="AX973" s="115"/>
      <c r="AY973" s="115"/>
      <c r="AZ973" s="115"/>
      <c r="BA973" s="25"/>
      <c r="BB973" s="13"/>
      <c r="BG973" s="117"/>
      <c r="BH973" s="123"/>
      <c r="BI973" s="123"/>
      <c r="BJ973" s="123"/>
      <c r="BO973" s="115"/>
      <c r="BP973" s="115"/>
      <c r="BQ973" s="115"/>
      <c r="BR973" s="115"/>
      <c r="BS973" s="115"/>
      <c r="BT973" s="115"/>
      <c r="BU973" s="115"/>
      <c r="BV973" s="115"/>
      <c r="BW973" s="115"/>
      <c r="BX973" s="115"/>
      <c r="BY973" s="25"/>
      <c r="BZ973" s="13"/>
      <c r="CC973" s="114"/>
    </row>
    <row r="974" spans="1:81" ht="19.5" x14ac:dyDescent="0.4">
      <c r="A974" s="117"/>
      <c r="B974" s="123"/>
      <c r="C974" s="123"/>
      <c r="D974" s="123"/>
      <c r="AP974" s="127"/>
      <c r="AQ974" s="29"/>
      <c r="AR974" s="115"/>
      <c r="AS974" s="115"/>
      <c r="AT974" s="115"/>
      <c r="AU974" s="115"/>
      <c r="AV974" s="115"/>
      <c r="AW974" s="115"/>
      <c r="AX974" s="115"/>
      <c r="AY974" s="115"/>
      <c r="AZ974" s="115"/>
      <c r="BA974" s="25">
        <v>45685</v>
      </c>
      <c r="BB974" s="13" t="s">
        <v>147</v>
      </c>
      <c r="BG974" s="117"/>
      <c r="BH974" s="123"/>
      <c r="BI974" s="123"/>
      <c r="BJ974" s="123"/>
      <c r="BO974" s="115"/>
      <c r="BP974" s="115"/>
      <c r="BQ974" s="115"/>
      <c r="BR974" s="115"/>
      <c r="BS974" s="115"/>
      <c r="BT974" s="115"/>
      <c r="BU974" s="115"/>
      <c r="BV974" s="115"/>
      <c r="BW974" s="115"/>
      <c r="BX974" s="115"/>
      <c r="BY974" s="25"/>
      <c r="BZ974" s="13"/>
      <c r="CC974" s="114"/>
    </row>
    <row r="975" spans="1:81" ht="19.5" x14ac:dyDescent="0.4">
      <c r="A975" s="117"/>
      <c r="B975" s="123"/>
      <c r="C975" s="123"/>
      <c r="D975" s="123"/>
      <c r="AP975" s="127"/>
      <c r="AQ975" s="29"/>
      <c r="AR975" s="115"/>
      <c r="AS975" s="115"/>
      <c r="AT975" s="115"/>
      <c r="AU975" s="115"/>
      <c r="AV975" s="115"/>
      <c r="AW975" s="115"/>
      <c r="AX975" s="115"/>
      <c r="AY975" s="115"/>
      <c r="AZ975" s="115"/>
      <c r="BA975" s="25">
        <v>45685</v>
      </c>
      <c r="BB975" s="13" t="s">
        <v>148</v>
      </c>
      <c r="BG975" s="117"/>
      <c r="BH975" s="123"/>
      <c r="BI975" s="123"/>
      <c r="BJ975" s="123"/>
      <c r="BO975" s="115"/>
      <c r="BP975" s="115"/>
      <c r="BQ975" s="115"/>
      <c r="BR975" s="115"/>
      <c r="BS975" s="115"/>
      <c r="BT975" s="115"/>
      <c r="BU975" s="115"/>
      <c r="BV975" s="115"/>
      <c r="BW975" s="115"/>
      <c r="BX975" s="115"/>
      <c r="BY975" s="25"/>
      <c r="BZ975" s="13"/>
      <c r="CC975" s="114"/>
    </row>
    <row r="976" spans="1:81" ht="19.5" x14ac:dyDescent="0.4">
      <c r="A976" s="117"/>
      <c r="B976" s="123"/>
      <c r="C976" s="123"/>
      <c r="D976" s="123"/>
      <c r="AP976" s="127"/>
      <c r="AQ976" s="29"/>
      <c r="AR976" s="115"/>
      <c r="AS976" s="115"/>
      <c r="AT976" s="115"/>
      <c r="AU976" s="115"/>
      <c r="AV976" s="115"/>
      <c r="AW976" s="115"/>
      <c r="AX976" s="115"/>
      <c r="AY976" s="115"/>
      <c r="AZ976" s="115"/>
      <c r="BA976" s="25">
        <v>45685</v>
      </c>
      <c r="BB976" s="13" t="s">
        <v>148</v>
      </c>
      <c r="BG976" s="117"/>
      <c r="BH976" s="123"/>
      <c r="BI976" s="123"/>
      <c r="BJ976" s="123"/>
      <c r="BO976" s="115"/>
      <c r="BP976" s="115"/>
      <c r="BQ976" s="115"/>
      <c r="BR976" s="115"/>
      <c r="BS976" s="115"/>
      <c r="BT976" s="115"/>
      <c r="BU976" s="115"/>
      <c r="BV976" s="115"/>
      <c r="BW976" s="115"/>
      <c r="BX976" s="115"/>
      <c r="BY976" s="25"/>
      <c r="BZ976" s="13"/>
      <c r="CC976" s="114"/>
    </row>
    <row r="977" spans="1:81" ht="19.5" x14ac:dyDescent="0.4">
      <c r="A977" s="117"/>
      <c r="B977" s="123"/>
      <c r="C977" s="123"/>
      <c r="D977" s="123"/>
      <c r="AP977" s="128"/>
      <c r="AQ977" s="29"/>
      <c r="AR977" s="115"/>
      <c r="AS977" s="115"/>
      <c r="AT977" s="115"/>
      <c r="AU977" s="115"/>
      <c r="AV977" s="115"/>
      <c r="AW977" s="115"/>
      <c r="AX977" s="115"/>
      <c r="AY977" s="115"/>
      <c r="AZ977" s="115"/>
      <c r="BA977" s="25"/>
      <c r="BB977" s="13"/>
      <c r="BG977" s="117"/>
      <c r="BH977" s="123"/>
      <c r="BI977" s="123"/>
      <c r="BJ977" s="123"/>
      <c r="BO977" s="115"/>
      <c r="BP977" s="115"/>
      <c r="BQ977" s="115"/>
      <c r="BR977" s="115"/>
      <c r="BS977" s="115"/>
      <c r="BT977" s="115"/>
      <c r="BU977" s="115"/>
      <c r="BV977" s="115"/>
      <c r="BW977" s="115"/>
      <c r="BX977" s="115"/>
      <c r="BY977" s="25"/>
      <c r="BZ977" s="13"/>
      <c r="CC977" s="114"/>
    </row>
    <row r="978" spans="1:81" ht="19.5" x14ac:dyDescent="0.4">
      <c r="A978" s="117"/>
      <c r="B978" s="123"/>
      <c r="C978" s="123"/>
      <c r="D978" s="123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  <c r="AK978" s="115"/>
      <c r="AL978" s="115"/>
      <c r="AM978" s="115"/>
      <c r="AN978" s="115"/>
      <c r="AO978" s="115"/>
      <c r="AP978" s="127"/>
      <c r="AQ978" s="29"/>
      <c r="AR978" s="115"/>
      <c r="AS978" s="115"/>
      <c r="AT978" s="115"/>
      <c r="AU978" s="115"/>
      <c r="AV978" s="115"/>
      <c r="AW978" s="115"/>
      <c r="AX978" s="115"/>
      <c r="AY978" s="115"/>
      <c r="AZ978" s="115"/>
      <c r="BA978" s="25"/>
      <c r="BB978" s="13"/>
      <c r="BG978" s="117"/>
      <c r="BH978" s="123"/>
      <c r="BI978" s="123"/>
      <c r="BJ978" s="123"/>
      <c r="BO978" s="115"/>
      <c r="BP978" s="115"/>
      <c r="BQ978" s="115"/>
      <c r="BR978" s="115"/>
      <c r="BS978" s="115"/>
      <c r="BT978" s="115"/>
      <c r="BU978" s="115"/>
      <c r="BV978" s="115"/>
      <c r="BW978" s="115"/>
      <c r="BX978" s="115"/>
      <c r="BY978" s="25"/>
      <c r="BZ978" s="13"/>
      <c r="CC978" s="114"/>
    </row>
    <row r="979" spans="1:81" ht="19.5" x14ac:dyDescent="0.4">
      <c r="A979" s="117"/>
      <c r="B979" s="123"/>
      <c r="C979" s="123"/>
      <c r="D979" s="123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  <c r="AK979" s="115"/>
      <c r="AL979" s="115"/>
      <c r="AM979" s="115"/>
      <c r="AN979" s="115"/>
      <c r="AO979" s="115"/>
      <c r="AP979" s="128"/>
      <c r="AQ979" s="29"/>
      <c r="AR979" s="115"/>
      <c r="AS979" s="115"/>
      <c r="AT979" s="115"/>
      <c r="AU979" s="115"/>
      <c r="AV979" s="115"/>
      <c r="AW979" s="115"/>
      <c r="AX979" s="115"/>
      <c r="AY979" s="115"/>
      <c r="AZ979" s="115"/>
      <c r="BA979" s="25"/>
      <c r="BB979" s="13"/>
      <c r="BG979" s="117"/>
      <c r="BH979" s="123"/>
      <c r="BI979" s="123"/>
      <c r="BJ979" s="123"/>
      <c r="BO979" s="115"/>
      <c r="BP979" s="115"/>
      <c r="BQ979" s="115"/>
      <c r="BR979" s="115"/>
      <c r="BS979" s="115"/>
      <c r="BT979" s="115"/>
      <c r="BU979" s="115"/>
      <c r="BV979" s="115"/>
      <c r="BW979" s="115"/>
      <c r="BX979" s="115"/>
      <c r="BY979" s="25"/>
      <c r="BZ979" s="13"/>
      <c r="CC979" s="114"/>
    </row>
    <row r="980" spans="1:81" ht="19.5" x14ac:dyDescent="0.4">
      <c r="A980" s="117"/>
      <c r="B980" s="123"/>
      <c r="C980" s="123"/>
      <c r="D980" s="123"/>
      <c r="AP980" s="127"/>
      <c r="AQ980" s="29"/>
      <c r="AR980" s="115"/>
      <c r="AS980" s="115"/>
      <c r="AT980" s="115"/>
      <c r="AU980" s="115"/>
      <c r="AV980" s="115"/>
      <c r="AW980" s="115"/>
      <c r="AX980" s="115"/>
      <c r="AY980" s="115"/>
      <c r="AZ980" s="115"/>
      <c r="BA980" s="25">
        <v>45685</v>
      </c>
      <c r="BB980" s="13" t="s">
        <v>148</v>
      </c>
      <c r="BG980" s="117"/>
      <c r="BH980" s="123"/>
      <c r="BI980" s="123"/>
      <c r="BJ980" s="123"/>
      <c r="BO980" s="115"/>
      <c r="BP980" s="115"/>
      <c r="BQ980" s="115"/>
      <c r="BR980" s="115"/>
      <c r="BS980" s="115"/>
      <c r="BT980" s="115"/>
      <c r="BU980" s="115"/>
      <c r="BV980" s="115"/>
      <c r="BW980" s="115"/>
      <c r="BX980" s="115"/>
      <c r="BY980" s="25"/>
      <c r="BZ980" s="13"/>
      <c r="CC980" s="114"/>
    </row>
    <row r="981" spans="1:81" ht="19.5" x14ac:dyDescent="0.4">
      <c r="A981" s="117"/>
      <c r="B981" s="123"/>
      <c r="C981" s="123"/>
      <c r="D981" s="123"/>
      <c r="AP981" s="127"/>
      <c r="AQ981" s="29"/>
      <c r="AR981" s="115"/>
      <c r="AS981" s="115"/>
      <c r="AT981" s="115"/>
      <c r="AU981" s="115"/>
      <c r="AV981" s="115"/>
      <c r="AW981" s="115"/>
      <c r="AX981" s="115"/>
      <c r="AY981" s="115"/>
      <c r="AZ981" s="115"/>
      <c r="BA981" s="25">
        <v>45685</v>
      </c>
      <c r="BB981" s="13" t="s">
        <v>148</v>
      </c>
      <c r="BG981" s="117"/>
      <c r="BH981" s="123"/>
      <c r="BI981" s="123"/>
      <c r="BJ981" s="123"/>
      <c r="BO981" s="115"/>
      <c r="BP981" s="115"/>
      <c r="BQ981" s="115"/>
      <c r="BR981" s="115"/>
      <c r="BS981" s="115"/>
      <c r="BT981" s="115"/>
      <c r="BU981" s="115"/>
      <c r="BV981" s="115"/>
      <c r="BW981" s="115"/>
      <c r="BX981" s="115"/>
      <c r="BY981" s="25"/>
      <c r="BZ981" s="13"/>
      <c r="CC981" s="114"/>
    </row>
    <row r="982" spans="1:81" ht="19.5" x14ac:dyDescent="0.4">
      <c r="A982" s="117"/>
      <c r="B982" s="123"/>
      <c r="C982" s="123"/>
      <c r="D982" s="123"/>
      <c r="AP982" s="127"/>
      <c r="AQ982" s="29"/>
      <c r="AR982" s="115"/>
      <c r="AS982" s="115"/>
      <c r="AT982" s="115"/>
      <c r="AU982" s="115"/>
      <c r="AV982" s="115"/>
      <c r="AW982" s="115"/>
      <c r="AX982" s="115"/>
      <c r="AY982" s="115"/>
      <c r="AZ982" s="115"/>
      <c r="BA982" s="25">
        <v>45685</v>
      </c>
      <c r="BB982" s="13" t="s">
        <v>146</v>
      </c>
      <c r="BG982" s="117"/>
      <c r="BH982" s="123"/>
      <c r="BI982" s="123"/>
      <c r="BJ982" s="123"/>
      <c r="BO982" s="115"/>
      <c r="BP982" s="115"/>
      <c r="BQ982" s="115"/>
      <c r="BR982" s="115"/>
      <c r="BS982" s="115"/>
      <c r="BT982" s="115"/>
      <c r="BU982" s="115"/>
      <c r="BV982" s="115"/>
      <c r="BW982" s="115"/>
      <c r="BX982" s="115"/>
      <c r="BY982" s="25"/>
      <c r="BZ982" s="13"/>
      <c r="CC982" s="114"/>
    </row>
    <row r="983" spans="1:81" ht="19.5" x14ac:dyDescent="0.4">
      <c r="A983" s="117"/>
      <c r="B983" s="123"/>
      <c r="C983" s="123"/>
      <c r="D983" s="123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  <c r="AK983" s="115"/>
      <c r="AL983" s="115"/>
      <c r="AM983" s="115"/>
      <c r="AN983" s="115"/>
      <c r="AO983" s="115"/>
      <c r="AP983" s="127"/>
      <c r="AQ983" s="29"/>
      <c r="AR983" s="115"/>
      <c r="AS983" s="115"/>
      <c r="AT983" s="115"/>
      <c r="AU983" s="115"/>
      <c r="AV983" s="115"/>
      <c r="AW983" s="115"/>
      <c r="AX983" s="115"/>
      <c r="AY983" s="115"/>
      <c r="AZ983" s="115"/>
      <c r="BA983" s="25"/>
      <c r="BB983" s="13"/>
      <c r="BG983" s="117"/>
      <c r="BH983" s="123"/>
      <c r="BI983" s="123"/>
      <c r="BJ983" s="123"/>
      <c r="BO983" s="115"/>
      <c r="BP983" s="115"/>
      <c r="BQ983" s="115"/>
      <c r="BR983" s="115"/>
      <c r="BS983" s="115"/>
      <c r="BT983" s="115"/>
      <c r="BU983" s="115"/>
      <c r="BV983" s="115"/>
      <c r="BW983" s="115"/>
      <c r="BX983" s="115"/>
      <c r="BY983" s="25"/>
      <c r="BZ983" s="13"/>
      <c r="CC983" s="114"/>
    </row>
    <row r="984" spans="1:81" ht="19.5" x14ac:dyDescent="0.4">
      <c r="A984" s="117"/>
      <c r="B984" s="123"/>
      <c r="C984" s="123"/>
      <c r="D984" s="123"/>
      <c r="AP984" s="127"/>
      <c r="AQ984" s="29"/>
      <c r="BA984" s="25">
        <v>45685</v>
      </c>
      <c r="BB984" s="13" t="s">
        <v>148</v>
      </c>
      <c r="BG984" s="117"/>
      <c r="BH984" s="123"/>
      <c r="BI984" s="123"/>
      <c r="BJ984" s="123"/>
      <c r="BO984" s="115"/>
      <c r="BP984" s="115"/>
      <c r="BQ984" s="115"/>
      <c r="BR984" s="115"/>
      <c r="BS984" s="115"/>
      <c r="BT984" s="115"/>
      <c r="BU984" s="115"/>
      <c r="BV984" s="115"/>
      <c r="BW984" s="115"/>
      <c r="BX984" s="115" t="s">
        <v>150</v>
      </c>
      <c r="BY984" s="13">
        <f>SUBTOTAL(3,BY971:BY971)</f>
        <v>1</v>
      </c>
      <c r="BZ984" s="13">
        <f>SUBTOTAL(3,BZ971:BZ971)</f>
        <v>1</v>
      </c>
      <c r="CC984" s="114"/>
    </row>
    <row r="985" spans="1:81" ht="19.5" x14ac:dyDescent="0.4">
      <c r="A985" s="117"/>
      <c r="B985" s="123"/>
      <c r="C985" s="123"/>
      <c r="D985" s="123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  <c r="AK985" s="115"/>
      <c r="AL985" s="115"/>
      <c r="AM985" s="115"/>
      <c r="AN985" s="115"/>
      <c r="AO985" s="115"/>
      <c r="AP985" s="127"/>
      <c r="AQ985" s="29"/>
      <c r="BA985" s="25"/>
      <c r="BB985" s="13"/>
      <c r="BG985" s="117"/>
      <c r="BH985" s="123"/>
      <c r="BI985" s="123"/>
      <c r="BJ985" s="123"/>
      <c r="BO985" s="115"/>
      <c r="BP985" s="115"/>
      <c r="BQ985" s="115"/>
      <c r="BR985" s="115"/>
      <c r="BS985" s="115"/>
      <c r="BT985" s="115"/>
      <c r="BU985" s="115"/>
      <c r="BV985" s="115"/>
      <c r="BW985" s="115"/>
      <c r="BX985" s="115"/>
      <c r="BY985" s="13"/>
      <c r="BZ985" s="13"/>
      <c r="CC985" s="114"/>
    </row>
    <row r="986" spans="1:81" ht="19.5" x14ac:dyDescent="0.4">
      <c r="A986" s="117"/>
      <c r="B986" s="123"/>
      <c r="C986" s="123"/>
      <c r="D986" s="123"/>
      <c r="AP986" s="127"/>
      <c r="AQ986" s="29"/>
      <c r="AR986" s="115"/>
      <c r="AS986" s="115"/>
      <c r="AT986" s="115"/>
      <c r="AU986" s="115"/>
      <c r="AV986" s="115"/>
      <c r="AW986" s="115"/>
      <c r="AX986" s="115"/>
      <c r="AY986" s="115"/>
      <c r="AZ986" s="115"/>
      <c r="BA986" s="25">
        <v>45685</v>
      </c>
      <c r="BB986" s="15" t="s">
        <v>146</v>
      </c>
      <c r="BG986" s="117"/>
      <c r="BH986" s="123"/>
      <c r="BI986" s="123"/>
      <c r="BJ986" s="123"/>
      <c r="BO986" s="115"/>
      <c r="BP986" s="115"/>
      <c r="BQ986" s="115"/>
      <c r="BR986" s="115"/>
      <c r="BS986" s="115"/>
      <c r="BT986" s="115"/>
      <c r="BU986" s="115"/>
      <c r="BV986" s="115"/>
      <c r="BW986" s="115"/>
      <c r="BX986" s="115"/>
      <c r="BY986" s="13"/>
      <c r="BZ986" s="13"/>
      <c r="CC986" s="114"/>
    </row>
    <row r="987" spans="1:81" ht="19.5" x14ac:dyDescent="0.4">
      <c r="A987" s="117"/>
      <c r="B987" s="123"/>
      <c r="C987" s="123"/>
      <c r="D987" s="123"/>
      <c r="AP987" s="127"/>
      <c r="AQ987" s="29"/>
      <c r="BA987" s="25">
        <v>45685</v>
      </c>
      <c r="BB987" s="15" t="s">
        <v>146</v>
      </c>
      <c r="BG987" s="117"/>
      <c r="BH987" s="123"/>
      <c r="BI987" s="123"/>
      <c r="BJ987" s="123"/>
      <c r="BO987" s="115"/>
      <c r="BP987" s="115"/>
      <c r="BQ987" s="115"/>
      <c r="BR987" s="115"/>
      <c r="BS987" s="115"/>
      <c r="BT987" s="115"/>
      <c r="BU987" s="115"/>
      <c r="BV987" s="115"/>
      <c r="BW987" s="115"/>
      <c r="BX987" s="115"/>
      <c r="BY987" s="25">
        <v>45264</v>
      </c>
      <c r="BZ987" s="13" t="s">
        <v>162</v>
      </c>
      <c r="CC987" s="114"/>
    </row>
    <row r="988" spans="1:81" ht="19.5" x14ac:dyDescent="0.4">
      <c r="A988" s="117"/>
      <c r="B988" s="123"/>
      <c r="C988" s="123"/>
      <c r="D988" s="123"/>
      <c r="AP988" s="127"/>
      <c r="AQ988" s="29"/>
      <c r="AW988" s="115"/>
      <c r="AX988" s="115"/>
      <c r="AY988" s="115"/>
      <c r="AZ988" s="115"/>
      <c r="BA988" s="25">
        <v>45686</v>
      </c>
      <c r="BB988" s="15" t="s">
        <v>148</v>
      </c>
      <c r="BG988" s="117"/>
      <c r="BH988" s="123"/>
      <c r="BI988" s="123"/>
      <c r="BJ988" s="123"/>
      <c r="BO988" s="115"/>
      <c r="BP988" s="115"/>
      <c r="BQ988" s="115"/>
      <c r="BR988" s="115"/>
      <c r="BS988" s="115"/>
      <c r="BT988" s="115"/>
      <c r="BU988" s="115"/>
      <c r="BV988" s="115"/>
      <c r="BW988" s="115"/>
      <c r="BX988" s="115"/>
      <c r="BY988" s="25"/>
      <c r="BZ988" s="13"/>
      <c r="CC988" s="114"/>
    </row>
    <row r="989" spans="1:81" ht="19.5" x14ac:dyDescent="0.4">
      <c r="A989" s="117"/>
      <c r="B989" s="123"/>
      <c r="C989" s="123"/>
      <c r="D989" s="123"/>
      <c r="AP989" s="127"/>
      <c r="AQ989" s="29"/>
      <c r="AU989" s="115"/>
      <c r="AV989" s="115"/>
      <c r="AW989" s="115"/>
      <c r="AX989" s="115"/>
      <c r="AY989" s="115"/>
      <c r="AZ989" s="115"/>
      <c r="BA989" s="25">
        <v>45686</v>
      </c>
      <c r="BB989" s="15" t="s">
        <v>146</v>
      </c>
      <c r="BG989" s="117"/>
      <c r="BH989" s="123"/>
      <c r="BI989" s="123"/>
      <c r="BJ989" s="123"/>
      <c r="BO989" s="115"/>
      <c r="BP989" s="115"/>
      <c r="BQ989" s="115"/>
      <c r="BR989" s="115"/>
      <c r="BS989" s="115"/>
      <c r="BT989" s="115"/>
      <c r="BU989" s="115"/>
      <c r="BV989" s="115"/>
      <c r="BW989" s="115"/>
      <c r="BX989" s="115"/>
      <c r="BY989" s="25"/>
      <c r="BZ989" s="13"/>
      <c r="CC989" s="114"/>
    </row>
    <row r="990" spans="1:81" ht="19.5" x14ac:dyDescent="0.4">
      <c r="A990" s="117"/>
      <c r="B990" s="123"/>
      <c r="C990" s="123"/>
      <c r="D990" s="123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  <c r="AK990" s="115"/>
      <c r="AL990" s="115"/>
      <c r="AM990" s="115"/>
      <c r="AN990" s="115"/>
      <c r="AO990" s="115"/>
      <c r="AP990" s="127"/>
      <c r="AQ990" s="29"/>
      <c r="AU990" s="115"/>
      <c r="AV990" s="115"/>
      <c r="AW990" s="115"/>
      <c r="AX990" s="115"/>
      <c r="AY990" s="115"/>
      <c r="AZ990" s="115"/>
      <c r="BA990" s="25"/>
      <c r="BB990" s="15"/>
      <c r="BG990" s="117"/>
      <c r="BH990" s="123"/>
      <c r="BI990" s="123"/>
      <c r="BJ990" s="123"/>
      <c r="BO990" s="115"/>
      <c r="BP990" s="115"/>
      <c r="BQ990" s="115"/>
      <c r="BR990" s="115"/>
      <c r="BS990" s="115"/>
      <c r="BT990" s="115"/>
      <c r="BU990" s="115"/>
      <c r="BV990" s="115"/>
      <c r="BW990" s="115"/>
      <c r="BX990" s="115"/>
      <c r="BY990" s="25"/>
      <c r="BZ990" s="13"/>
      <c r="CC990" s="114"/>
    </row>
    <row r="991" spans="1:81" ht="19.5" x14ac:dyDescent="0.4">
      <c r="A991" s="117"/>
      <c r="B991" s="123"/>
      <c r="C991" s="123"/>
      <c r="D991" s="123"/>
      <c r="AP991" s="127"/>
      <c r="AQ991" s="29"/>
      <c r="AU991" s="115"/>
      <c r="AV991" s="115"/>
      <c r="AW991" s="115"/>
      <c r="AX991" s="115"/>
      <c r="AY991" s="115"/>
      <c r="AZ991" s="115"/>
      <c r="BA991" s="25">
        <v>45686</v>
      </c>
      <c r="BB991" s="15" t="s">
        <v>148</v>
      </c>
      <c r="BG991" s="117"/>
      <c r="BH991" s="123"/>
      <c r="BI991" s="123"/>
      <c r="BJ991" s="123"/>
      <c r="BO991" s="115"/>
      <c r="BP991" s="115"/>
      <c r="BQ991" s="115"/>
      <c r="BR991" s="115"/>
      <c r="BS991" s="115"/>
      <c r="BT991" s="115"/>
      <c r="BU991" s="115"/>
      <c r="BV991" s="115"/>
      <c r="BW991" s="115"/>
      <c r="BX991" s="115"/>
      <c r="BY991" s="25"/>
      <c r="BZ991" s="13"/>
      <c r="CC991" s="114"/>
    </row>
    <row r="992" spans="1:81" ht="19.5" x14ac:dyDescent="0.4">
      <c r="A992" s="117"/>
      <c r="B992" s="123"/>
      <c r="C992" s="123"/>
      <c r="D992" s="123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  <c r="AK992" s="115"/>
      <c r="AL992" s="115"/>
      <c r="AM992" s="115"/>
      <c r="AN992" s="115"/>
      <c r="AO992" s="115"/>
      <c r="AP992" s="127"/>
      <c r="AQ992" s="29"/>
      <c r="AU992" s="115"/>
      <c r="AV992" s="115"/>
      <c r="AW992" s="115"/>
      <c r="AX992" s="115"/>
      <c r="AY992" s="115"/>
      <c r="AZ992" s="115"/>
      <c r="BA992" s="25"/>
      <c r="BB992" s="15"/>
      <c r="BG992" s="117"/>
      <c r="BH992" s="123"/>
      <c r="BI992" s="123"/>
      <c r="BJ992" s="123"/>
      <c r="BO992" s="115"/>
      <c r="BP992" s="115"/>
      <c r="BQ992" s="115"/>
      <c r="BR992" s="115"/>
      <c r="BS992" s="115"/>
      <c r="BT992" s="115"/>
      <c r="BU992" s="115"/>
      <c r="BV992" s="115"/>
      <c r="BW992" s="115"/>
      <c r="BX992" s="115"/>
      <c r="BY992" s="25"/>
      <c r="BZ992" s="13"/>
      <c r="CC992" s="114"/>
    </row>
    <row r="993" spans="1:81" ht="19.5" x14ac:dyDescent="0.4">
      <c r="A993" s="117"/>
      <c r="B993" s="123"/>
      <c r="C993" s="123"/>
      <c r="D993" s="123"/>
      <c r="AP993" s="127"/>
      <c r="AQ993" s="29"/>
      <c r="BA993" s="25">
        <v>45686</v>
      </c>
      <c r="BB993" s="15" t="s">
        <v>146</v>
      </c>
      <c r="BG993" s="117"/>
      <c r="BH993" s="123"/>
      <c r="BI993" s="123"/>
      <c r="BJ993" s="123"/>
      <c r="BO993" s="115"/>
      <c r="BP993" s="115"/>
      <c r="BQ993" s="115"/>
      <c r="BR993" s="115"/>
      <c r="BS993" s="115"/>
      <c r="BT993" s="115"/>
      <c r="BU993" s="115"/>
      <c r="BV993" s="115"/>
      <c r="BW993" s="115"/>
      <c r="BX993" s="115" t="s">
        <v>154</v>
      </c>
      <c r="BY993" s="13">
        <f>SUBTOTAL(3,BY987:BY987)</f>
        <v>1</v>
      </c>
      <c r="BZ993" s="13">
        <f>SUBTOTAL(3,BZ987:BZ987)</f>
        <v>1</v>
      </c>
      <c r="CC993" s="114"/>
    </row>
    <row r="994" spans="1:81" ht="19.5" x14ac:dyDescent="0.4">
      <c r="A994" s="117"/>
      <c r="B994" s="123"/>
      <c r="C994" s="123"/>
      <c r="D994" s="123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  <c r="AK994" s="115"/>
      <c r="AL994" s="115"/>
      <c r="AM994" s="115"/>
      <c r="AN994" s="115"/>
      <c r="AO994" s="115"/>
      <c r="AP994" s="127"/>
      <c r="AQ994" s="29"/>
      <c r="BA994" s="25"/>
      <c r="BB994" s="15"/>
      <c r="BG994" s="117"/>
      <c r="BH994" s="123"/>
      <c r="BI994" s="123"/>
      <c r="BJ994" s="123"/>
      <c r="BO994" s="115"/>
      <c r="BP994" s="115"/>
      <c r="BQ994" s="115"/>
      <c r="BR994" s="115"/>
      <c r="BS994" s="115"/>
      <c r="BT994" s="115"/>
      <c r="BU994" s="115"/>
      <c r="BV994" s="115"/>
      <c r="BW994" s="115"/>
      <c r="BX994" s="115"/>
      <c r="BY994" s="13"/>
      <c r="BZ994" s="13"/>
      <c r="CC994" s="114"/>
    </row>
    <row r="995" spans="1:81" ht="19.5" x14ac:dyDescent="0.4">
      <c r="A995" s="117"/>
      <c r="B995" s="123"/>
      <c r="C995" s="123"/>
      <c r="D995" s="123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  <c r="AK995" s="115"/>
      <c r="AL995" s="115"/>
      <c r="AM995" s="115"/>
      <c r="AN995" s="115"/>
      <c r="AO995" s="115"/>
      <c r="AP995" s="127"/>
      <c r="AQ995" s="29"/>
      <c r="BA995" s="25"/>
      <c r="BB995" s="15"/>
      <c r="BG995" s="117"/>
      <c r="BH995" s="123"/>
      <c r="BI995" s="123"/>
      <c r="BJ995" s="123"/>
      <c r="BO995" s="115"/>
      <c r="BP995" s="115"/>
      <c r="BQ995" s="115"/>
      <c r="BR995" s="115"/>
      <c r="BS995" s="115"/>
      <c r="BT995" s="115"/>
      <c r="BU995" s="115"/>
      <c r="BV995" s="115"/>
      <c r="BW995" s="115"/>
      <c r="BX995" s="115"/>
      <c r="BY995" s="13"/>
      <c r="BZ995" s="13"/>
      <c r="CC995" s="114"/>
    </row>
    <row r="996" spans="1:81" ht="19.5" x14ac:dyDescent="0.4">
      <c r="A996" s="117"/>
      <c r="B996" s="123"/>
      <c r="C996" s="123"/>
      <c r="D996" s="123"/>
      <c r="AP996" s="127"/>
      <c r="AQ996" s="29"/>
      <c r="BA996" s="25">
        <v>45686</v>
      </c>
      <c r="BB996" s="15" t="s">
        <v>146</v>
      </c>
      <c r="BG996" s="117"/>
      <c r="BH996" s="123"/>
      <c r="BI996" s="123"/>
      <c r="BJ996" s="123"/>
      <c r="BO996" s="115"/>
      <c r="BP996" s="115"/>
      <c r="BQ996" s="115"/>
      <c r="BR996" s="115"/>
      <c r="BS996" s="115"/>
      <c r="BT996" s="115"/>
      <c r="BU996" s="115"/>
      <c r="BV996" s="115"/>
      <c r="BW996" s="115"/>
      <c r="BX996" s="115"/>
      <c r="BY996" s="25">
        <v>45265</v>
      </c>
      <c r="BZ996" s="13" t="s">
        <v>162</v>
      </c>
      <c r="CC996" s="114"/>
    </row>
    <row r="997" spans="1:81" ht="19.5" x14ac:dyDescent="0.4">
      <c r="A997" s="117"/>
      <c r="B997" s="123"/>
      <c r="C997" s="123"/>
      <c r="D997" s="123"/>
      <c r="AP997" s="127"/>
      <c r="AQ997" s="29"/>
      <c r="BA997" s="25">
        <v>45686</v>
      </c>
      <c r="BB997" s="15" t="s">
        <v>146</v>
      </c>
      <c r="BG997" s="117"/>
      <c r="BH997" s="123"/>
      <c r="BI997" s="123"/>
      <c r="BJ997" s="123"/>
      <c r="BO997" s="115"/>
      <c r="BP997" s="115"/>
      <c r="BQ997" s="115"/>
      <c r="BR997" s="115"/>
      <c r="BS997" s="115"/>
      <c r="BT997" s="115"/>
      <c r="BU997" s="115"/>
      <c r="BV997" s="115"/>
      <c r="BW997" s="115"/>
      <c r="BX997" s="115"/>
      <c r="BY997" s="25">
        <v>45265</v>
      </c>
      <c r="BZ997" s="25" t="s">
        <v>162</v>
      </c>
      <c r="CC997" s="114"/>
    </row>
    <row r="998" spans="1:81" ht="19.5" x14ac:dyDescent="0.4">
      <c r="A998" s="117"/>
      <c r="B998" s="123"/>
      <c r="C998" s="123"/>
      <c r="D998" s="123"/>
      <c r="AP998" s="127"/>
      <c r="AQ998" s="29"/>
      <c r="AR998" s="115"/>
      <c r="AS998" s="115"/>
      <c r="AT998" s="115"/>
      <c r="AU998" s="115"/>
      <c r="AV998" s="115"/>
      <c r="AW998" s="115"/>
      <c r="AX998" s="115"/>
      <c r="AY998" s="115"/>
      <c r="AZ998" s="115"/>
      <c r="BA998" s="25">
        <v>45686</v>
      </c>
      <c r="BB998" s="15" t="s">
        <v>146</v>
      </c>
      <c r="BG998" s="117"/>
      <c r="BH998" s="123"/>
      <c r="BI998" s="123"/>
      <c r="BJ998" s="123"/>
      <c r="BO998" s="115"/>
      <c r="BP998" s="115"/>
      <c r="BQ998" s="115"/>
      <c r="BR998" s="115"/>
      <c r="BS998" s="115"/>
      <c r="BT998" s="115"/>
      <c r="BU998" s="115"/>
      <c r="BV998" s="115"/>
      <c r="BW998" s="115"/>
      <c r="BX998" s="115"/>
      <c r="BY998" s="25"/>
      <c r="BZ998" s="25"/>
      <c r="CC998" s="114"/>
    </row>
    <row r="999" spans="1:81" ht="19.5" x14ac:dyDescent="0.4">
      <c r="A999" s="117"/>
      <c r="B999" s="123"/>
      <c r="C999" s="123"/>
      <c r="D999" s="123"/>
      <c r="AP999" s="128"/>
      <c r="AQ999" s="29"/>
      <c r="AR999" s="115"/>
      <c r="AS999" s="115"/>
      <c r="AT999" s="115"/>
      <c r="AU999" s="115"/>
      <c r="AV999" s="115"/>
      <c r="AW999" s="115"/>
      <c r="AX999" s="115"/>
      <c r="AY999" s="115"/>
      <c r="AZ999" s="115"/>
      <c r="BA999" s="25"/>
      <c r="BB999" s="13"/>
      <c r="BG999" s="117"/>
      <c r="BH999" s="123"/>
      <c r="BI999" s="123"/>
      <c r="BJ999" s="123"/>
      <c r="BO999" s="115"/>
      <c r="BP999" s="115"/>
      <c r="BQ999" s="115"/>
      <c r="BR999" s="115"/>
      <c r="BS999" s="115"/>
      <c r="BT999" s="115"/>
      <c r="BU999" s="115"/>
      <c r="BV999" s="115"/>
      <c r="BW999" s="115"/>
      <c r="BX999" s="115"/>
      <c r="BY999" s="25"/>
      <c r="BZ999" s="25"/>
      <c r="CC999" s="114"/>
    </row>
    <row r="1000" spans="1:81" ht="19.5" x14ac:dyDescent="0.4">
      <c r="A1000" s="117"/>
      <c r="B1000" s="123"/>
      <c r="C1000" s="123"/>
      <c r="D1000" s="123"/>
      <c r="AP1000" s="127"/>
      <c r="AQ1000" s="29"/>
      <c r="BA1000" s="25">
        <v>45686</v>
      </c>
      <c r="BB1000" s="13" t="s">
        <v>146</v>
      </c>
      <c r="BG1000" s="117"/>
      <c r="BH1000" s="123"/>
      <c r="BI1000" s="123"/>
      <c r="BJ1000" s="123"/>
      <c r="BO1000" s="115"/>
      <c r="BP1000" s="115"/>
      <c r="BQ1000" s="115"/>
      <c r="BR1000" s="115"/>
      <c r="BS1000" s="115"/>
      <c r="BT1000" s="115"/>
      <c r="BU1000" s="115"/>
      <c r="BV1000" s="115"/>
      <c r="BW1000" s="115"/>
      <c r="BX1000" s="115"/>
      <c r="BY1000" s="25">
        <v>45265</v>
      </c>
      <c r="BZ1000" s="13" t="s">
        <v>162</v>
      </c>
      <c r="CC1000" s="114"/>
    </row>
    <row r="1001" spans="1:81" ht="19.5" x14ac:dyDescent="0.4">
      <c r="A1001" s="117"/>
      <c r="B1001" s="123"/>
      <c r="C1001" s="123"/>
      <c r="D1001" s="123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  <c r="AK1001" s="115"/>
      <c r="AL1001" s="115"/>
      <c r="AM1001" s="115"/>
      <c r="AN1001" s="115"/>
      <c r="AO1001" s="115"/>
      <c r="AP1001" s="127"/>
      <c r="AQ1001" s="29"/>
      <c r="BA1001" s="25"/>
      <c r="BB1001" s="13"/>
      <c r="BG1001" s="117"/>
      <c r="BH1001" s="123"/>
      <c r="BI1001" s="123"/>
      <c r="BJ1001" s="123"/>
      <c r="BO1001" s="115"/>
      <c r="BP1001" s="115"/>
      <c r="BQ1001" s="115"/>
      <c r="BR1001" s="115"/>
      <c r="BS1001" s="115"/>
      <c r="BT1001" s="115"/>
      <c r="BU1001" s="115"/>
      <c r="BV1001" s="115"/>
      <c r="BW1001" s="115"/>
      <c r="BX1001" s="115"/>
      <c r="BY1001" s="25"/>
      <c r="BZ1001" s="13"/>
      <c r="CC1001" s="114"/>
    </row>
    <row r="1002" spans="1:81" ht="19.5" x14ac:dyDescent="0.4">
      <c r="A1002" s="117"/>
      <c r="B1002" s="123"/>
      <c r="C1002" s="123"/>
      <c r="D1002" s="123"/>
      <c r="AP1002" s="127"/>
      <c r="AQ1002" s="29"/>
      <c r="AW1002" s="115"/>
      <c r="AX1002" s="115"/>
      <c r="AY1002" s="115"/>
      <c r="AZ1002" s="115"/>
      <c r="BA1002" s="25">
        <v>45686</v>
      </c>
      <c r="BB1002" s="15" t="s">
        <v>146</v>
      </c>
      <c r="BG1002" s="117"/>
      <c r="BH1002" s="123"/>
      <c r="BI1002" s="123"/>
      <c r="BJ1002" s="123"/>
      <c r="BO1002" s="115"/>
      <c r="BP1002" s="115"/>
      <c r="BQ1002" s="115"/>
      <c r="BR1002" s="115"/>
      <c r="BS1002" s="115"/>
      <c r="BT1002" s="115"/>
      <c r="BU1002" s="115"/>
      <c r="BV1002" s="115"/>
      <c r="BW1002" s="115"/>
      <c r="BX1002" s="115"/>
      <c r="BY1002" s="25"/>
      <c r="BZ1002" s="13"/>
      <c r="CC1002" s="114"/>
    </row>
    <row r="1003" spans="1:81" ht="19.5" x14ac:dyDescent="0.4">
      <c r="A1003" s="117"/>
      <c r="B1003" s="123"/>
      <c r="C1003" s="123"/>
      <c r="D1003" s="123"/>
      <c r="AP1003" s="127"/>
      <c r="AQ1003" s="29"/>
      <c r="BA1003" s="25">
        <v>45686</v>
      </c>
      <c r="BB1003" s="15" t="s">
        <v>147</v>
      </c>
      <c r="BG1003" s="117"/>
      <c r="BH1003" s="123"/>
      <c r="BI1003" s="123"/>
      <c r="BJ1003" s="123"/>
      <c r="BO1003" s="115"/>
      <c r="BP1003" s="115"/>
      <c r="BQ1003" s="115"/>
      <c r="BR1003" s="115"/>
      <c r="BS1003" s="115"/>
      <c r="BT1003" s="115"/>
      <c r="BU1003" s="115"/>
      <c r="BV1003" s="115"/>
      <c r="BW1003" s="115"/>
      <c r="BX1003" s="115"/>
      <c r="BY1003" s="25">
        <v>45265</v>
      </c>
      <c r="BZ1003" s="13" t="s">
        <v>162</v>
      </c>
      <c r="CC1003" s="114"/>
    </row>
    <row r="1004" spans="1:81" ht="19.5" x14ac:dyDescent="0.4">
      <c r="A1004" s="117"/>
      <c r="B1004" s="123"/>
      <c r="C1004" s="123"/>
      <c r="D1004" s="123"/>
      <c r="AP1004" s="127"/>
      <c r="AQ1004" s="29"/>
      <c r="AX1004" s="115"/>
      <c r="AY1004" s="115"/>
      <c r="AZ1004" s="115"/>
      <c r="BA1004" s="25">
        <v>45686</v>
      </c>
      <c r="BB1004" s="15" t="s">
        <v>147</v>
      </c>
      <c r="BG1004" s="117"/>
      <c r="BH1004" s="123"/>
      <c r="BI1004" s="123"/>
      <c r="BJ1004" s="123"/>
      <c r="BO1004" s="115"/>
      <c r="BP1004" s="115"/>
      <c r="BQ1004" s="115"/>
      <c r="BR1004" s="115"/>
      <c r="BS1004" s="115"/>
      <c r="BT1004" s="115"/>
      <c r="BU1004" s="115"/>
      <c r="BV1004" s="115"/>
      <c r="BW1004" s="115"/>
      <c r="BX1004" s="115"/>
      <c r="BY1004" s="25"/>
      <c r="BZ1004" s="13"/>
      <c r="CC1004" s="114"/>
    </row>
    <row r="1005" spans="1:81" ht="19.5" x14ac:dyDescent="0.4">
      <c r="A1005" s="117"/>
      <c r="B1005" s="123"/>
      <c r="C1005" s="123"/>
      <c r="D1005" s="123"/>
      <c r="AP1005" s="127"/>
      <c r="AQ1005" s="29"/>
      <c r="AR1005" s="115"/>
      <c r="AS1005" s="115"/>
      <c r="AT1005" s="115"/>
      <c r="AU1005" s="115"/>
      <c r="AV1005" s="115"/>
      <c r="AW1005" s="115"/>
      <c r="AX1005" s="115"/>
      <c r="AY1005" s="115"/>
      <c r="AZ1005" s="115"/>
      <c r="BA1005" s="25">
        <v>45686</v>
      </c>
      <c r="BB1005" s="13" t="s">
        <v>146</v>
      </c>
      <c r="BG1005" s="117"/>
      <c r="BH1005" s="123"/>
      <c r="BI1005" s="123"/>
      <c r="BJ1005" s="123"/>
      <c r="BO1005" s="115"/>
      <c r="BP1005" s="115"/>
      <c r="BQ1005" s="115"/>
      <c r="BR1005" s="115"/>
      <c r="BS1005" s="115"/>
      <c r="BT1005" s="115"/>
      <c r="BU1005" s="115"/>
      <c r="BV1005" s="115"/>
      <c r="BW1005" s="115"/>
      <c r="BX1005" s="115"/>
      <c r="BY1005" s="25"/>
      <c r="BZ1005" s="13"/>
      <c r="CC1005" s="114"/>
    </row>
    <row r="1006" spans="1:81" ht="19.5" x14ac:dyDescent="0.4">
      <c r="A1006" s="117"/>
      <c r="B1006" s="123"/>
      <c r="C1006" s="123"/>
      <c r="D1006" s="123"/>
      <c r="AP1006" s="127"/>
      <c r="AQ1006" s="29"/>
      <c r="BA1006" s="25">
        <v>45686</v>
      </c>
      <c r="BB1006" s="25" t="s">
        <v>146</v>
      </c>
      <c r="BG1006" s="117"/>
      <c r="BH1006" s="123"/>
      <c r="BI1006" s="123"/>
      <c r="BJ1006" s="123"/>
      <c r="BO1006" s="115"/>
      <c r="BP1006" s="115"/>
      <c r="BQ1006" s="115"/>
      <c r="BR1006" s="115"/>
      <c r="BS1006" s="115"/>
      <c r="BT1006" s="115"/>
      <c r="BU1006" s="115"/>
      <c r="BV1006" s="115"/>
      <c r="BW1006" s="115"/>
      <c r="BX1006" s="115"/>
      <c r="BY1006" s="25">
        <v>45265</v>
      </c>
      <c r="BZ1006" s="13" t="s">
        <v>163</v>
      </c>
      <c r="CC1006" s="114"/>
    </row>
    <row r="1007" spans="1:81" ht="19.5" x14ac:dyDescent="0.4">
      <c r="A1007" s="117"/>
      <c r="B1007" s="123"/>
      <c r="C1007" s="123"/>
      <c r="D1007" s="123"/>
      <c r="AP1007" s="127"/>
      <c r="AQ1007" s="29"/>
      <c r="BA1007" s="25">
        <v>45686</v>
      </c>
      <c r="BB1007" s="25" t="s">
        <v>147</v>
      </c>
      <c r="BG1007" s="117"/>
      <c r="BH1007" s="123"/>
      <c r="BI1007" s="123"/>
      <c r="BJ1007" s="123"/>
      <c r="BO1007" s="115"/>
      <c r="BP1007" s="115"/>
      <c r="BQ1007" s="115"/>
      <c r="BR1007" s="115"/>
      <c r="BS1007" s="115"/>
      <c r="BT1007" s="115"/>
      <c r="BU1007" s="115"/>
      <c r="BV1007" s="115"/>
      <c r="BW1007" s="115"/>
      <c r="BX1007" s="115" t="s">
        <v>155</v>
      </c>
      <c r="BY1007" s="13">
        <f>SUBTOTAL(3,BY996:BY1006)</f>
        <v>5</v>
      </c>
      <c r="BZ1007" s="13">
        <f>SUBTOTAL(3,BZ996:BZ1006)</f>
        <v>5</v>
      </c>
      <c r="CC1007" s="114"/>
    </row>
    <row r="1008" spans="1:81" ht="19.5" x14ac:dyDescent="0.4">
      <c r="A1008" s="117"/>
      <c r="B1008" s="123"/>
      <c r="C1008" s="123"/>
      <c r="D1008" s="123"/>
      <c r="AP1008" s="127"/>
      <c r="AQ1008" s="29"/>
      <c r="AR1008" s="115"/>
      <c r="AS1008" s="115"/>
      <c r="AT1008" s="115"/>
      <c r="AU1008" s="115"/>
      <c r="AV1008" s="115"/>
      <c r="AW1008" s="115"/>
      <c r="AX1008" s="115"/>
      <c r="AY1008" s="115"/>
      <c r="AZ1008" s="115"/>
      <c r="BA1008" s="25">
        <v>45686</v>
      </c>
      <c r="BB1008" s="25" t="s">
        <v>148</v>
      </c>
      <c r="BG1008" s="117"/>
      <c r="BH1008" s="123"/>
      <c r="BI1008" s="123"/>
      <c r="BJ1008" s="123"/>
      <c r="BO1008" s="115"/>
      <c r="BP1008" s="115"/>
      <c r="BQ1008" s="115"/>
      <c r="BR1008" s="115"/>
      <c r="BS1008" s="115"/>
      <c r="BT1008" s="115"/>
      <c r="BU1008" s="115"/>
      <c r="BV1008" s="115"/>
      <c r="BW1008" s="115"/>
      <c r="BX1008" s="115"/>
      <c r="BY1008" s="13"/>
      <c r="BZ1008" s="13"/>
      <c r="CC1008" s="114"/>
    </row>
    <row r="1009" spans="1:81" ht="19.5" x14ac:dyDescent="0.4">
      <c r="A1009" s="117"/>
      <c r="B1009" s="123"/>
      <c r="C1009" s="123"/>
      <c r="D1009" s="123"/>
      <c r="AP1009" s="127"/>
      <c r="AQ1009" s="29"/>
      <c r="AR1009" s="115"/>
      <c r="AS1009" s="115"/>
      <c r="AT1009" s="115"/>
      <c r="AU1009" s="115"/>
      <c r="AV1009" s="115"/>
      <c r="AW1009" s="115"/>
      <c r="AX1009" s="115"/>
      <c r="AY1009" s="115"/>
      <c r="AZ1009" s="115"/>
      <c r="BA1009" s="25">
        <v>45686</v>
      </c>
      <c r="BB1009" s="13" t="s">
        <v>146</v>
      </c>
      <c r="BG1009" s="117"/>
      <c r="BH1009" s="123"/>
      <c r="BI1009" s="123"/>
      <c r="BJ1009" s="123"/>
      <c r="BO1009" s="115"/>
      <c r="BP1009" s="115"/>
      <c r="BQ1009" s="115"/>
      <c r="BR1009" s="115"/>
      <c r="BS1009" s="115"/>
      <c r="BT1009" s="115"/>
      <c r="BU1009" s="115"/>
      <c r="BV1009" s="115"/>
      <c r="BW1009" s="115"/>
      <c r="BX1009" s="115"/>
      <c r="BY1009" s="13"/>
      <c r="BZ1009" s="13"/>
      <c r="CC1009" s="114"/>
    </row>
    <row r="1010" spans="1:81" ht="19.5" x14ac:dyDescent="0.4">
      <c r="A1010" s="117"/>
      <c r="B1010" s="123"/>
      <c r="C1010" s="123"/>
      <c r="D1010" s="123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  <c r="AK1010" s="115"/>
      <c r="AL1010" s="115"/>
      <c r="AM1010" s="115"/>
      <c r="AN1010" s="115"/>
      <c r="AO1010" s="115"/>
      <c r="AP1010" s="127"/>
      <c r="AQ1010" s="29"/>
      <c r="AR1010" s="115"/>
      <c r="AS1010" s="115"/>
      <c r="AT1010" s="115"/>
      <c r="AU1010" s="115"/>
      <c r="AV1010" s="115"/>
      <c r="AW1010" s="115"/>
      <c r="AX1010" s="115"/>
      <c r="AY1010" s="115"/>
      <c r="AZ1010" s="115"/>
      <c r="BA1010" s="25">
        <v>45686</v>
      </c>
      <c r="BB1010" s="13" t="s">
        <v>146</v>
      </c>
      <c r="BG1010" s="117"/>
      <c r="BH1010" s="123"/>
      <c r="BI1010" s="123"/>
      <c r="BJ1010" s="123"/>
      <c r="BO1010" s="115"/>
      <c r="BP1010" s="115"/>
      <c r="BQ1010" s="115"/>
      <c r="BR1010" s="115"/>
      <c r="BS1010" s="115"/>
      <c r="BT1010" s="115"/>
      <c r="BU1010" s="115"/>
      <c r="BV1010" s="115"/>
      <c r="BW1010" s="115"/>
      <c r="BX1010" s="115"/>
      <c r="BY1010" s="13"/>
      <c r="BZ1010" s="13"/>
      <c r="CC1010" s="114"/>
    </row>
    <row r="1011" spans="1:81" ht="19.5" x14ac:dyDescent="0.4">
      <c r="A1011" s="117"/>
      <c r="B1011" s="123"/>
      <c r="C1011" s="123"/>
      <c r="D1011" s="123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  <c r="AK1011" s="115"/>
      <c r="AL1011" s="115"/>
      <c r="AM1011" s="115"/>
      <c r="AN1011" s="115"/>
      <c r="AO1011" s="115"/>
      <c r="AP1011" s="127"/>
      <c r="AQ1011" s="29"/>
      <c r="AR1011" s="115"/>
      <c r="AS1011" s="115"/>
      <c r="AT1011" s="115"/>
      <c r="AU1011" s="115"/>
      <c r="AV1011" s="115"/>
      <c r="AW1011" s="115"/>
      <c r="AX1011" s="115"/>
      <c r="AY1011" s="115"/>
      <c r="AZ1011" s="115"/>
      <c r="BA1011" s="25">
        <v>45686</v>
      </c>
      <c r="BB1011" s="15" t="s">
        <v>148</v>
      </c>
      <c r="BG1011" s="117"/>
      <c r="BH1011" s="123"/>
      <c r="BI1011" s="123"/>
      <c r="BJ1011" s="123"/>
      <c r="BO1011" s="115"/>
      <c r="BP1011" s="115"/>
      <c r="BQ1011" s="115"/>
      <c r="BR1011" s="115"/>
      <c r="BS1011" s="115"/>
      <c r="BT1011" s="115"/>
      <c r="BU1011" s="115"/>
      <c r="BV1011" s="115"/>
      <c r="BW1011" s="115"/>
      <c r="BX1011" s="115"/>
      <c r="BY1011" s="13"/>
      <c r="BZ1011" s="13"/>
      <c r="CC1011" s="114"/>
    </row>
    <row r="1012" spans="1:81" ht="19.5" x14ac:dyDescent="0.4">
      <c r="A1012" s="117"/>
      <c r="B1012" s="123"/>
      <c r="C1012" s="123"/>
      <c r="D1012" s="123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5"/>
      <c r="AK1012" s="115"/>
      <c r="AL1012" s="115"/>
      <c r="AM1012" s="115"/>
      <c r="AN1012" s="115"/>
      <c r="AO1012" s="115"/>
      <c r="AP1012" s="127"/>
      <c r="AQ1012" s="29"/>
      <c r="AR1012" s="115"/>
      <c r="AS1012" s="115"/>
      <c r="AT1012" s="115"/>
      <c r="AU1012" s="115"/>
      <c r="AV1012" s="115"/>
      <c r="AW1012" s="115"/>
      <c r="AX1012" s="115"/>
      <c r="AY1012" s="115"/>
      <c r="AZ1012" s="115"/>
      <c r="BA1012" s="25">
        <v>45686</v>
      </c>
      <c r="BB1012" s="15" t="s">
        <v>148</v>
      </c>
      <c r="BG1012" s="117"/>
      <c r="BH1012" s="123"/>
      <c r="BI1012" s="123"/>
      <c r="BJ1012" s="123"/>
      <c r="BO1012" s="115"/>
      <c r="BP1012" s="115"/>
      <c r="BQ1012" s="115"/>
      <c r="BR1012" s="115"/>
      <c r="BS1012" s="115"/>
      <c r="BT1012" s="115"/>
      <c r="BU1012" s="115"/>
      <c r="BV1012" s="115"/>
      <c r="BW1012" s="115"/>
      <c r="BX1012" s="115"/>
      <c r="BY1012" s="13"/>
      <c r="BZ1012" s="13"/>
      <c r="CC1012" s="114"/>
    </row>
    <row r="1013" spans="1:81" ht="19.5" x14ac:dyDescent="0.4">
      <c r="A1013" s="117"/>
      <c r="B1013" s="123"/>
      <c r="C1013" s="123"/>
      <c r="D1013" s="123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  <c r="AK1013" s="115"/>
      <c r="AL1013" s="115"/>
      <c r="AM1013" s="115"/>
      <c r="AN1013" s="115"/>
      <c r="AO1013" s="115"/>
      <c r="AP1013" s="127"/>
      <c r="AQ1013" s="29"/>
      <c r="AR1013" s="115"/>
      <c r="AS1013" s="115"/>
      <c r="AT1013" s="115"/>
      <c r="AU1013" s="115"/>
      <c r="AV1013" s="115"/>
      <c r="AW1013" s="115"/>
      <c r="AX1013" s="115"/>
      <c r="AY1013" s="115"/>
      <c r="AZ1013" s="115"/>
      <c r="BA1013" s="25">
        <v>45686</v>
      </c>
      <c r="BB1013" s="15" t="s">
        <v>148</v>
      </c>
      <c r="BG1013" s="117"/>
      <c r="BH1013" s="123"/>
      <c r="BI1013" s="123"/>
      <c r="BJ1013" s="123"/>
      <c r="BO1013" s="115"/>
      <c r="BP1013" s="115"/>
      <c r="BQ1013" s="115"/>
      <c r="BR1013" s="115"/>
      <c r="BS1013" s="115"/>
      <c r="BT1013" s="115"/>
      <c r="BU1013" s="115"/>
      <c r="BV1013" s="115"/>
      <c r="BW1013" s="115"/>
      <c r="BX1013" s="115"/>
      <c r="BY1013" s="13"/>
      <c r="BZ1013" s="13"/>
      <c r="CC1013" s="114"/>
    </row>
    <row r="1014" spans="1:81" ht="19.5" x14ac:dyDescent="0.4">
      <c r="A1014" s="117"/>
      <c r="B1014" s="123"/>
      <c r="C1014" s="123"/>
      <c r="D1014" s="123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  <c r="AK1014" s="115"/>
      <c r="AL1014" s="115"/>
      <c r="AM1014" s="115"/>
      <c r="AN1014" s="115"/>
      <c r="AO1014" s="115"/>
      <c r="AP1014" s="127"/>
      <c r="AQ1014" s="29"/>
      <c r="AR1014" s="115"/>
      <c r="AS1014" s="115"/>
      <c r="AT1014" s="115"/>
      <c r="AU1014" s="115"/>
      <c r="AV1014" s="115"/>
      <c r="AW1014" s="115"/>
      <c r="AX1014" s="115"/>
      <c r="AY1014" s="115"/>
      <c r="AZ1014" s="115"/>
      <c r="BA1014" s="25">
        <v>45686</v>
      </c>
      <c r="BB1014" s="15" t="s">
        <v>146</v>
      </c>
      <c r="BG1014" s="117"/>
      <c r="BH1014" s="123"/>
      <c r="BI1014" s="123"/>
      <c r="BJ1014" s="123"/>
      <c r="BO1014" s="115"/>
      <c r="BP1014" s="115"/>
      <c r="BQ1014" s="115"/>
      <c r="BR1014" s="115"/>
      <c r="BS1014" s="115"/>
      <c r="BT1014" s="115"/>
      <c r="BU1014" s="115"/>
      <c r="BV1014" s="115"/>
      <c r="BW1014" s="115"/>
      <c r="BX1014" s="115"/>
      <c r="BY1014" s="13"/>
      <c r="BZ1014" s="13"/>
      <c r="CC1014" s="114"/>
    </row>
    <row r="1015" spans="1:81" ht="19.5" x14ac:dyDescent="0.4">
      <c r="A1015" s="117"/>
      <c r="B1015" s="123"/>
      <c r="C1015" s="123"/>
      <c r="D1015" s="123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  <c r="AK1015" s="115"/>
      <c r="AL1015" s="115"/>
      <c r="AM1015" s="115"/>
      <c r="AN1015" s="115"/>
      <c r="AO1015" s="115"/>
      <c r="AP1015" s="127"/>
      <c r="AQ1015" s="29"/>
      <c r="AR1015" s="115"/>
      <c r="AS1015" s="115"/>
      <c r="AT1015" s="115"/>
      <c r="AU1015" s="115"/>
      <c r="AV1015" s="115"/>
      <c r="AW1015" s="115"/>
      <c r="AX1015" s="115"/>
      <c r="AY1015" s="115"/>
      <c r="AZ1015" s="115"/>
      <c r="BA1015" s="25">
        <v>45686</v>
      </c>
      <c r="BB1015" s="15" t="s">
        <v>148</v>
      </c>
      <c r="BG1015" s="117"/>
      <c r="BH1015" s="123"/>
      <c r="BI1015" s="123"/>
      <c r="BJ1015" s="123"/>
      <c r="BO1015" s="115"/>
      <c r="BP1015" s="115"/>
      <c r="BQ1015" s="115"/>
      <c r="BR1015" s="115"/>
      <c r="BS1015" s="115"/>
      <c r="BT1015" s="115"/>
      <c r="BU1015" s="115"/>
      <c r="BV1015" s="115"/>
      <c r="BW1015" s="115"/>
      <c r="BX1015" s="115"/>
      <c r="BY1015" s="13"/>
      <c r="BZ1015" s="13"/>
      <c r="CC1015" s="114"/>
    </row>
    <row r="1016" spans="1:81" ht="19.5" x14ac:dyDescent="0.4">
      <c r="A1016" s="117"/>
      <c r="B1016" s="123"/>
      <c r="C1016" s="123"/>
      <c r="D1016" s="123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  <c r="AK1016" s="115"/>
      <c r="AL1016" s="115"/>
      <c r="AM1016" s="115"/>
      <c r="AN1016" s="115"/>
      <c r="AO1016" s="115"/>
      <c r="AP1016" s="127"/>
      <c r="AQ1016" s="29"/>
      <c r="AR1016" s="115"/>
      <c r="AS1016" s="115"/>
      <c r="AT1016" s="115"/>
      <c r="AU1016" s="115"/>
      <c r="AV1016" s="115"/>
      <c r="AW1016" s="115"/>
      <c r="AX1016" s="115"/>
      <c r="AY1016" s="115"/>
      <c r="AZ1016" s="115"/>
      <c r="BA1016" s="25">
        <v>45689</v>
      </c>
      <c r="BB1016" s="15" t="s">
        <v>147</v>
      </c>
      <c r="BG1016" s="117"/>
      <c r="BH1016" s="123"/>
      <c r="BI1016" s="123"/>
      <c r="BJ1016" s="123"/>
      <c r="BO1016" s="115"/>
      <c r="BP1016" s="115"/>
      <c r="BQ1016" s="115"/>
      <c r="BR1016" s="115"/>
      <c r="BS1016" s="115"/>
      <c r="BT1016" s="115"/>
      <c r="BU1016" s="115"/>
      <c r="BV1016" s="115"/>
      <c r="BW1016" s="115"/>
      <c r="BX1016" s="115"/>
      <c r="BY1016" s="13"/>
      <c r="BZ1016" s="13"/>
      <c r="CC1016" s="114"/>
    </row>
    <row r="1017" spans="1:81" ht="19.5" x14ac:dyDescent="0.4">
      <c r="A1017" s="117"/>
      <c r="B1017" s="123"/>
      <c r="C1017" s="123"/>
      <c r="D1017" s="123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  <c r="AK1017" s="115"/>
      <c r="AL1017" s="115"/>
      <c r="AM1017" s="115"/>
      <c r="AN1017" s="115"/>
      <c r="AO1017" s="115"/>
      <c r="AP1017" s="127"/>
      <c r="AQ1017" s="29"/>
      <c r="AR1017" s="115"/>
      <c r="AS1017" s="115"/>
      <c r="AT1017" s="115"/>
      <c r="AU1017" s="115"/>
      <c r="AV1017" s="115"/>
      <c r="AW1017" s="115"/>
      <c r="AX1017" s="115"/>
      <c r="AY1017" s="115"/>
      <c r="AZ1017" s="115"/>
      <c r="BA1017" s="25"/>
      <c r="BB1017" s="15"/>
      <c r="BG1017" s="117"/>
      <c r="BH1017" s="123"/>
      <c r="BI1017" s="123"/>
      <c r="BJ1017" s="123"/>
      <c r="BO1017" s="115"/>
      <c r="BP1017" s="115"/>
      <c r="BQ1017" s="115"/>
      <c r="BR1017" s="115"/>
      <c r="BS1017" s="115"/>
      <c r="BT1017" s="115"/>
      <c r="BU1017" s="115"/>
      <c r="BV1017" s="115"/>
      <c r="BW1017" s="115"/>
      <c r="BX1017" s="115"/>
      <c r="BY1017" s="13"/>
      <c r="BZ1017" s="13"/>
      <c r="CC1017" s="114"/>
    </row>
    <row r="1018" spans="1:81" ht="19.5" x14ac:dyDescent="0.4">
      <c r="A1018" s="117"/>
      <c r="B1018" s="123"/>
      <c r="C1018" s="123"/>
      <c r="D1018" s="123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15"/>
      <c r="AK1018" s="115"/>
      <c r="AL1018" s="115"/>
      <c r="AM1018" s="115"/>
      <c r="AN1018" s="115"/>
      <c r="AO1018" s="115"/>
      <c r="AP1018" s="127"/>
      <c r="AQ1018" s="29"/>
      <c r="AR1018" s="115"/>
      <c r="AS1018" s="115"/>
      <c r="AT1018" s="115"/>
      <c r="AU1018" s="115"/>
      <c r="AV1018" s="115"/>
      <c r="AW1018" s="115"/>
      <c r="AX1018" s="115"/>
      <c r="AY1018" s="115"/>
      <c r="AZ1018" s="115"/>
      <c r="BA1018" s="25">
        <v>45689</v>
      </c>
      <c r="BB1018" s="15" t="s">
        <v>147</v>
      </c>
      <c r="BG1018" s="117"/>
      <c r="BH1018" s="123"/>
      <c r="BI1018" s="123"/>
      <c r="BJ1018" s="123"/>
      <c r="BO1018" s="115"/>
      <c r="BP1018" s="115"/>
      <c r="BQ1018" s="115"/>
      <c r="BR1018" s="115"/>
      <c r="BS1018" s="115"/>
      <c r="BT1018" s="115"/>
      <c r="BU1018" s="115"/>
      <c r="BV1018" s="115"/>
      <c r="BW1018" s="115"/>
      <c r="BX1018" s="115"/>
      <c r="BY1018" s="13"/>
      <c r="BZ1018" s="13"/>
      <c r="CC1018" s="114"/>
    </row>
    <row r="1019" spans="1:81" ht="19.5" x14ac:dyDescent="0.4">
      <c r="A1019" s="117"/>
      <c r="B1019" s="123"/>
      <c r="C1019" s="123"/>
      <c r="D1019" s="123"/>
      <c r="AP1019" s="127"/>
      <c r="AQ1019" s="29"/>
      <c r="BA1019" s="25">
        <v>45689</v>
      </c>
      <c r="BB1019" s="15" t="s">
        <v>146</v>
      </c>
      <c r="BG1019" s="117"/>
      <c r="BH1019" s="123"/>
      <c r="BI1019" s="123"/>
      <c r="BJ1019" s="123"/>
      <c r="BL1019" s="115"/>
      <c r="BM1019" s="115"/>
      <c r="BN1019" s="115"/>
      <c r="BO1019" s="115"/>
      <c r="BP1019" s="115"/>
      <c r="BQ1019" s="115"/>
      <c r="BR1019" s="115"/>
      <c r="BS1019" s="115"/>
      <c r="BT1019" s="115"/>
      <c r="BU1019" s="115"/>
      <c r="BV1019" s="115"/>
      <c r="BW1019" s="115"/>
      <c r="BX1019" s="115"/>
      <c r="BY1019" s="25">
        <v>45266</v>
      </c>
      <c r="BZ1019" s="25" t="s">
        <v>162</v>
      </c>
      <c r="CC1019" s="114"/>
    </row>
    <row r="1020" spans="1:81" ht="19.5" x14ac:dyDescent="0.4">
      <c r="A1020" s="117"/>
      <c r="B1020" s="123"/>
      <c r="C1020" s="123"/>
      <c r="D1020" s="123"/>
      <c r="AP1020" s="128"/>
      <c r="AQ1020" s="29"/>
      <c r="BA1020" s="25"/>
      <c r="BB1020" s="15"/>
      <c r="BG1020" s="117"/>
      <c r="BH1020" s="123"/>
      <c r="BI1020" s="123"/>
      <c r="BJ1020" s="123"/>
      <c r="BL1020" s="115"/>
      <c r="BM1020" s="115"/>
      <c r="BN1020" s="115"/>
      <c r="BO1020" s="115"/>
      <c r="BP1020" s="115"/>
      <c r="BQ1020" s="115"/>
      <c r="BR1020" s="115"/>
      <c r="BS1020" s="115"/>
      <c r="BT1020" s="115"/>
      <c r="BU1020" s="115"/>
      <c r="BV1020" s="115"/>
      <c r="BW1020" s="115"/>
      <c r="BX1020" s="115"/>
      <c r="BY1020" s="25"/>
      <c r="BZ1020" s="25"/>
      <c r="CC1020" s="114"/>
    </row>
    <row r="1021" spans="1:81" ht="19.5" x14ac:dyDescent="0.4">
      <c r="A1021" s="117"/>
      <c r="B1021" s="123"/>
      <c r="C1021" s="123"/>
      <c r="D1021" s="123"/>
      <c r="AP1021" s="127"/>
      <c r="AQ1021" s="29"/>
      <c r="AR1021" s="115"/>
      <c r="AS1021" s="115"/>
      <c r="AT1021" s="115"/>
      <c r="AU1021" s="115"/>
      <c r="AV1021" s="115"/>
      <c r="AW1021" s="115"/>
      <c r="AX1021" s="115"/>
      <c r="AY1021" s="115"/>
      <c r="AZ1021" s="115"/>
      <c r="BA1021" s="25">
        <v>45689</v>
      </c>
      <c r="BB1021" s="15" t="s">
        <v>146</v>
      </c>
      <c r="BG1021" s="117"/>
      <c r="BH1021" s="123"/>
      <c r="BI1021" s="123"/>
      <c r="BJ1021" s="123"/>
      <c r="BL1021" s="115"/>
      <c r="BM1021" s="115"/>
      <c r="BN1021" s="115"/>
      <c r="BO1021" s="115"/>
      <c r="BP1021" s="115"/>
      <c r="BQ1021" s="115"/>
      <c r="BR1021" s="115"/>
      <c r="BS1021" s="115"/>
      <c r="BT1021" s="115"/>
      <c r="BU1021" s="115"/>
      <c r="BV1021" s="115"/>
      <c r="BW1021" s="115"/>
      <c r="BX1021" s="115"/>
      <c r="BY1021" s="25"/>
      <c r="BZ1021" s="25"/>
      <c r="CC1021" s="114"/>
    </row>
    <row r="1022" spans="1:81" ht="19.5" x14ac:dyDescent="0.4">
      <c r="A1022" s="117"/>
      <c r="B1022" s="123"/>
      <c r="C1022" s="123"/>
      <c r="D1022" s="123"/>
      <c r="Z1022" s="115"/>
      <c r="AA1022" s="115"/>
      <c r="AB1022" s="115"/>
      <c r="AC1022" s="115"/>
      <c r="AD1022" s="115"/>
      <c r="AE1022" s="115"/>
      <c r="AF1022" s="115"/>
      <c r="AG1022" s="115"/>
      <c r="AH1022" s="115"/>
      <c r="AI1022" s="115"/>
      <c r="AJ1022" s="115"/>
      <c r="AK1022" s="115"/>
      <c r="AL1022" s="115"/>
      <c r="AM1022" s="115"/>
      <c r="AN1022" s="115"/>
      <c r="AO1022" s="115"/>
      <c r="AP1022" s="127"/>
      <c r="AQ1022" s="29"/>
      <c r="AR1022" s="115"/>
      <c r="AS1022" s="115"/>
      <c r="AT1022" s="115"/>
      <c r="AU1022" s="115"/>
      <c r="AV1022" s="115"/>
      <c r="AW1022" s="115"/>
      <c r="AX1022" s="115"/>
      <c r="AY1022" s="115"/>
      <c r="AZ1022" s="115"/>
      <c r="BA1022" s="25"/>
      <c r="BB1022" s="15"/>
      <c r="BG1022" s="117"/>
      <c r="BH1022" s="123"/>
      <c r="BI1022" s="123"/>
      <c r="BJ1022" s="123"/>
      <c r="BL1022" s="115"/>
      <c r="BM1022" s="115"/>
      <c r="BN1022" s="115"/>
      <c r="BO1022" s="115"/>
      <c r="BP1022" s="115"/>
      <c r="BQ1022" s="115"/>
      <c r="BR1022" s="115"/>
      <c r="BS1022" s="115"/>
      <c r="BT1022" s="115"/>
      <c r="BU1022" s="115"/>
      <c r="BV1022" s="115"/>
      <c r="BW1022" s="115"/>
      <c r="BX1022" s="115"/>
      <c r="BY1022" s="25"/>
      <c r="BZ1022" s="25"/>
      <c r="CC1022" s="114"/>
    </row>
    <row r="1023" spans="1:81" ht="19.5" x14ac:dyDescent="0.4">
      <c r="A1023" s="117"/>
      <c r="B1023" s="123"/>
      <c r="C1023" s="123"/>
      <c r="D1023" s="123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15"/>
      <c r="AK1023" s="115"/>
      <c r="AL1023" s="115"/>
      <c r="AM1023" s="115"/>
      <c r="AN1023" s="115"/>
      <c r="AO1023" s="115"/>
      <c r="AP1023" s="127"/>
      <c r="AQ1023" s="29"/>
      <c r="AR1023" s="115"/>
      <c r="AS1023" s="115"/>
      <c r="AT1023" s="115"/>
      <c r="AU1023" s="115"/>
      <c r="AV1023" s="115"/>
      <c r="AW1023" s="115"/>
      <c r="AX1023" s="115"/>
      <c r="AY1023" s="115"/>
      <c r="AZ1023" s="115"/>
      <c r="BA1023" s="25"/>
      <c r="BB1023" s="15"/>
      <c r="BG1023" s="117"/>
      <c r="BH1023" s="123"/>
      <c r="BI1023" s="123"/>
      <c r="BJ1023" s="123"/>
      <c r="BL1023" s="115"/>
      <c r="BM1023" s="115"/>
      <c r="BN1023" s="115"/>
      <c r="BO1023" s="115"/>
      <c r="BP1023" s="115"/>
      <c r="BQ1023" s="115"/>
      <c r="BR1023" s="115"/>
      <c r="BS1023" s="115"/>
      <c r="BT1023" s="115"/>
      <c r="BU1023" s="115"/>
      <c r="BV1023" s="115"/>
      <c r="BW1023" s="115"/>
      <c r="BX1023" s="115"/>
      <c r="BY1023" s="25"/>
      <c r="BZ1023" s="25"/>
      <c r="CC1023" s="114"/>
    </row>
    <row r="1024" spans="1:81" ht="19.5" x14ac:dyDescent="0.4">
      <c r="A1024" s="117"/>
      <c r="B1024" s="123"/>
      <c r="C1024" s="123"/>
      <c r="D1024" s="123"/>
      <c r="AP1024" s="127"/>
      <c r="AQ1024" s="29"/>
      <c r="AR1024" s="115"/>
      <c r="AS1024" s="115"/>
      <c r="AT1024" s="115"/>
      <c r="AU1024" s="115"/>
      <c r="AV1024" s="115"/>
      <c r="AW1024" s="115"/>
      <c r="AX1024" s="115"/>
      <c r="AY1024" s="115"/>
      <c r="AZ1024" s="115"/>
      <c r="BA1024" s="25">
        <v>45690</v>
      </c>
      <c r="BB1024" s="15" t="s">
        <v>146</v>
      </c>
      <c r="BG1024" s="117"/>
      <c r="BH1024" s="123"/>
      <c r="BI1024" s="123"/>
      <c r="BJ1024" s="123"/>
      <c r="BL1024" s="115"/>
      <c r="BM1024" s="115"/>
      <c r="BN1024" s="115"/>
      <c r="BO1024" s="115"/>
      <c r="BP1024" s="115"/>
      <c r="BQ1024" s="115"/>
      <c r="BR1024" s="115"/>
      <c r="BS1024" s="115"/>
      <c r="BT1024" s="115"/>
      <c r="BU1024" s="115"/>
      <c r="BV1024" s="115"/>
      <c r="BW1024" s="115"/>
      <c r="BX1024" s="115"/>
      <c r="BY1024" s="25"/>
      <c r="BZ1024" s="25"/>
      <c r="CC1024" s="114"/>
    </row>
    <row r="1025" spans="1:81" ht="19.5" x14ac:dyDescent="0.4">
      <c r="A1025" s="117"/>
      <c r="B1025" s="123"/>
      <c r="C1025" s="123"/>
      <c r="D1025" s="123"/>
      <c r="Z1025" s="115"/>
      <c r="AA1025" s="115"/>
      <c r="AB1025" s="115"/>
      <c r="AC1025" s="115"/>
      <c r="AD1025" s="115"/>
      <c r="AE1025" s="115"/>
      <c r="AF1025" s="115"/>
      <c r="AG1025" s="115"/>
      <c r="AH1025" s="115"/>
      <c r="AI1025" s="115"/>
      <c r="AJ1025" s="115"/>
      <c r="AK1025" s="115"/>
      <c r="AL1025" s="115"/>
      <c r="AM1025" s="115"/>
      <c r="AN1025" s="115"/>
      <c r="AO1025" s="115"/>
      <c r="AP1025" s="127"/>
      <c r="AQ1025" s="29"/>
      <c r="AR1025" s="115"/>
      <c r="AS1025" s="115"/>
      <c r="AT1025" s="115"/>
      <c r="AU1025" s="115"/>
      <c r="AV1025" s="115"/>
      <c r="AW1025" s="115"/>
      <c r="AX1025" s="115"/>
      <c r="AY1025" s="115"/>
      <c r="AZ1025" s="115"/>
      <c r="BA1025" s="25"/>
      <c r="BB1025" s="15"/>
      <c r="BG1025" s="117"/>
      <c r="BH1025" s="123"/>
      <c r="BI1025" s="123"/>
      <c r="BJ1025" s="123"/>
      <c r="BL1025" s="115"/>
      <c r="BM1025" s="115"/>
      <c r="BN1025" s="115"/>
      <c r="BO1025" s="115"/>
      <c r="BP1025" s="115"/>
      <c r="BQ1025" s="115"/>
      <c r="BR1025" s="115"/>
      <c r="BS1025" s="115"/>
      <c r="BT1025" s="115"/>
      <c r="BU1025" s="115"/>
      <c r="BV1025" s="115"/>
      <c r="BW1025" s="115"/>
      <c r="BX1025" s="115"/>
      <c r="BY1025" s="25"/>
      <c r="BZ1025" s="25"/>
      <c r="CC1025" s="114"/>
    </row>
    <row r="1026" spans="1:81" ht="19.5" x14ac:dyDescent="0.4">
      <c r="A1026" s="117"/>
      <c r="B1026" s="123"/>
      <c r="C1026" s="123"/>
      <c r="D1026" s="123"/>
      <c r="AP1026" s="127"/>
      <c r="AQ1026" s="29"/>
      <c r="AR1026" s="115"/>
      <c r="AS1026" s="115"/>
      <c r="AT1026" s="115"/>
      <c r="AU1026" s="115"/>
      <c r="AV1026" s="115"/>
      <c r="AW1026" s="115"/>
      <c r="AX1026" s="115"/>
      <c r="AY1026" s="115"/>
      <c r="AZ1026" s="115"/>
      <c r="BA1026" s="25">
        <v>45691</v>
      </c>
      <c r="BB1026" s="15" t="s">
        <v>146</v>
      </c>
      <c r="BG1026" s="117"/>
      <c r="BH1026" s="123"/>
      <c r="BI1026" s="123"/>
      <c r="BJ1026" s="123"/>
      <c r="BL1026" s="115"/>
      <c r="BM1026" s="115"/>
      <c r="BN1026" s="115"/>
      <c r="BO1026" s="115"/>
      <c r="BP1026" s="115"/>
      <c r="BQ1026" s="115"/>
      <c r="BR1026" s="115"/>
      <c r="BS1026" s="115"/>
      <c r="BT1026" s="115"/>
      <c r="BU1026" s="115"/>
      <c r="BV1026" s="115"/>
      <c r="BW1026" s="115"/>
      <c r="BX1026" s="115"/>
      <c r="BY1026" s="25"/>
      <c r="BZ1026" s="25"/>
      <c r="CC1026" s="114"/>
    </row>
    <row r="1027" spans="1:81" ht="19.5" x14ac:dyDescent="0.4">
      <c r="A1027" s="117"/>
      <c r="B1027" s="123"/>
      <c r="C1027" s="123"/>
      <c r="D1027" s="123"/>
      <c r="AP1027" s="127"/>
      <c r="AQ1027" s="29"/>
      <c r="BA1027" s="25">
        <v>45691</v>
      </c>
      <c r="BB1027" s="15" t="s">
        <v>146</v>
      </c>
      <c r="BG1027" s="117"/>
      <c r="BH1027" s="123"/>
      <c r="BI1027" s="123"/>
      <c r="BJ1027" s="123"/>
      <c r="BL1027" s="115"/>
      <c r="BM1027" s="115"/>
      <c r="BN1027" s="115"/>
      <c r="BO1027" s="115"/>
      <c r="BP1027" s="115"/>
      <c r="BQ1027" s="115"/>
      <c r="BR1027" s="115"/>
      <c r="BS1027" s="115"/>
      <c r="BT1027" s="115"/>
      <c r="BU1027" s="115"/>
      <c r="BV1027" s="115"/>
      <c r="BW1027" s="115"/>
      <c r="BX1027" s="115" t="s">
        <v>156</v>
      </c>
      <c r="BY1027" s="13">
        <f>SUBTOTAL(3,BY1019:BY1019)</f>
        <v>1</v>
      </c>
      <c r="BZ1027" s="13">
        <f>SUBTOTAL(3,BZ1019:BZ1019)</f>
        <v>1</v>
      </c>
      <c r="CC1027" s="114"/>
    </row>
    <row r="1028" spans="1:81" ht="19.5" x14ac:dyDescent="0.4">
      <c r="A1028" s="117"/>
      <c r="B1028" s="123"/>
      <c r="C1028" s="123"/>
      <c r="D1028" s="123"/>
      <c r="AP1028" s="127"/>
      <c r="AQ1028" s="29"/>
      <c r="AW1028" s="115"/>
      <c r="AX1028" s="115"/>
      <c r="AY1028" s="115"/>
      <c r="AZ1028" s="115"/>
      <c r="BA1028" s="25">
        <v>45691</v>
      </c>
      <c r="BB1028" s="15" t="s">
        <v>146</v>
      </c>
      <c r="BG1028" s="117"/>
      <c r="BH1028" s="123"/>
      <c r="BI1028" s="123"/>
      <c r="BJ1028" s="123"/>
      <c r="BL1028" s="115"/>
      <c r="BM1028" s="115"/>
      <c r="BN1028" s="115"/>
      <c r="BO1028" s="115"/>
      <c r="BP1028" s="115"/>
      <c r="BQ1028" s="115"/>
      <c r="BR1028" s="115"/>
      <c r="BS1028" s="115"/>
      <c r="BT1028" s="115"/>
      <c r="BU1028" s="115"/>
      <c r="BV1028" s="115"/>
      <c r="BW1028" s="115"/>
      <c r="BX1028" s="115"/>
      <c r="BY1028" s="13"/>
      <c r="BZ1028" s="13"/>
      <c r="CC1028" s="114"/>
    </row>
    <row r="1029" spans="1:81" ht="19.5" x14ac:dyDescent="0.4">
      <c r="A1029" s="117"/>
      <c r="B1029" s="123"/>
      <c r="C1029" s="123"/>
      <c r="D1029" s="123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5"/>
      <c r="AK1029" s="115"/>
      <c r="AL1029" s="115"/>
      <c r="AM1029" s="115"/>
      <c r="AN1029" s="115"/>
      <c r="AO1029" s="115"/>
      <c r="AP1029" s="127"/>
      <c r="AQ1029" s="29"/>
      <c r="AW1029" s="115"/>
      <c r="AX1029" s="115"/>
      <c r="AY1029" s="115"/>
      <c r="AZ1029" s="115"/>
      <c r="BA1029" s="25"/>
      <c r="BB1029" s="15"/>
      <c r="BG1029" s="117"/>
      <c r="BH1029" s="123"/>
      <c r="BI1029" s="123"/>
      <c r="BJ1029" s="123"/>
      <c r="BL1029" s="115"/>
      <c r="BM1029" s="115"/>
      <c r="BN1029" s="115"/>
      <c r="BO1029" s="115"/>
      <c r="BP1029" s="115"/>
      <c r="BQ1029" s="115"/>
      <c r="BR1029" s="115"/>
      <c r="BS1029" s="115"/>
      <c r="BT1029" s="115"/>
      <c r="BU1029" s="115"/>
      <c r="BV1029" s="115"/>
      <c r="BW1029" s="115"/>
      <c r="BX1029" s="115"/>
      <c r="BY1029" s="13"/>
      <c r="BZ1029" s="13"/>
      <c r="CC1029" s="114"/>
    </row>
    <row r="1030" spans="1:81" ht="19.5" x14ac:dyDescent="0.4">
      <c r="A1030" s="117"/>
      <c r="B1030" s="123"/>
      <c r="C1030" s="123"/>
      <c r="D1030" s="123"/>
      <c r="AP1030" s="127"/>
      <c r="AQ1030" s="29"/>
      <c r="AR1030" s="115"/>
      <c r="AS1030" s="115"/>
      <c r="AT1030" s="115"/>
      <c r="AU1030" s="115"/>
      <c r="AV1030" s="115"/>
      <c r="AW1030" s="115"/>
      <c r="AX1030" s="115"/>
      <c r="AY1030" s="115"/>
      <c r="AZ1030" s="115"/>
      <c r="BA1030" s="25">
        <v>45691</v>
      </c>
      <c r="BB1030" s="15" t="s">
        <v>146</v>
      </c>
      <c r="BG1030" s="117"/>
      <c r="BH1030" s="123"/>
      <c r="BI1030" s="123"/>
      <c r="BJ1030" s="123"/>
      <c r="BL1030" s="115"/>
      <c r="BM1030" s="115"/>
      <c r="BN1030" s="115"/>
      <c r="BO1030" s="115"/>
      <c r="BP1030" s="115"/>
      <c r="BQ1030" s="115"/>
      <c r="BR1030" s="115"/>
      <c r="BS1030" s="115"/>
      <c r="BT1030" s="115"/>
      <c r="BU1030" s="115"/>
      <c r="BV1030" s="115"/>
      <c r="BW1030" s="115"/>
      <c r="BX1030" s="115"/>
      <c r="BY1030" s="13"/>
      <c r="BZ1030" s="13"/>
      <c r="CC1030" s="114"/>
    </row>
    <row r="1031" spans="1:81" ht="19.5" x14ac:dyDescent="0.4">
      <c r="A1031" s="117"/>
      <c r="B1031" s="123"/>
      <c r="C1031" s="123"/>
      <c r="D1031" s="123"/>
      <c r="AA1031" s="115"/>
      <c r="AB1031" s="115"/>
      <c r="AC1031" s="115"/>
      <c r="AD1031" s="115"/>
      <c r="AE1031" s="115"/>
      <c r="AF1031" s="115"/>
      <c r="AG1031" s="115"/>
      <c r="AH1031" s="115"/>
      <c r="AI1031" s="115"/>
      <c r="AJ1031" s="115"/>
      <c r="AK1031" s="115"/>
      <c r="AL1031" s="115"/>
      <c r="AM1031" s="115"/>
      <c r="AN1031" s="115"/>
      <c r="AO1031" s="115"/>
      <c r="AP1031" s="127"/>
      <c r="AQ1031" s="29"/>
      <c r="AR1031" s="115"/>
      <c r="AS1031" s="115"/>
      <c r="AT1031" s="115"/>
      <c r="AU1031" s="115"/>
      <c r="AV1031" s="115"/>
      <c r="AW1031" s="115"/>
      <c r="AX1031" s="115"/>
      <c r="AY1031" s="115"/>
      <c r="AZ1031" s="115"/>
      <c r="BA1031" s="25"/>
      <c r="BB1031" s="15"/>
      <c r="BG1031" s="117"/>
      <c r="BH1031" s="123"/>
      <c r="BI1031" s="123"/>
      <c r="BJ1031" s="123"/>
      <c r="BL1031" s="115"/>
      <c r="BM1031" s="115"/>
      <c r="BN1031" s="115"/>
      <c r="BO1031" s="115"/>
      <c r="BP1031" s="115"/>
      <c r="BQ1031" s="115"/>
      <c r="BR1031" s="115"/>
      <c r="BS1031" s="115"/>
      <c r="BT1031" s="115"/>
      <c r="BU1031" s="115"/>
      <c r="BV1031" s="115"/>
      <c r="BW1031" s="115"/>
      <c r="BX1031" s="115"/>
      <c r="BY1031" s="13"/>
      <c r="BZ1031" s="13"/>
      <c r="CC1031" s="114"/>
    </row>
    <row r="1032" spans="1:81" ht="19.5" x14ac:dyDescent="0.4">
      <c r="A1032" s="117"/>
      <c r="B1032" s="123"/>
      <c r="C1032" s="123"/>
      <c r="D1032" s="123"/>
      <c r="Z1032" s="115"/>
      <c r="AA1032" s="115"/>
      <c r="AB1032" s="115"/>
      <c r="AC1032" s="115"/>
      <c r="AD1032" s="115"/>
      <c r="AE1032" s="115"/>
      <c r="AF1032" s="115"/>
      <c r="AG1032" s="115"/>
      <c r="AH1032" s="115"/>
      <c r="AI1032" s="115"/>
      <c r="AJ1032" s="115"/>
      <c r="AK1032" s="115"/>
      <c r="AL1032" s="115"/>
      <c r="AM1032" s="115"/>
      <c r="AN1032" s="115"/>
      <c r="AO1032" s="115"/>
      <c r="AP1032" s="127"/>
      <c r="AQ1032" s="29"/>
      <c r="AR1032" s="115"/>
      <c r="AS1032" s="115"/>
      <c r="AT1032" s="115"/>
      <c r="AU1032" s="115"/>
      <c r="AV1032" s="115"/>
      <c r="AW1032" s="115"/>
      <c r="AX1032" s="115"/>
      <c r="AY1032" s="115"/>
      <c r="AZ1032" s="115"/>
      <c r="BA1032" s="25"/>
      <c r="BB1032" s="15"/>
      <c r="BG1032" s="117"/>
      <c r="BH1032" s="123"/>
      <c r="BI1032" s="123"/>
      <c r="BJ1032" s="123"/>
      <c r="BL1032" s="115"/>
      <c r="BM1032" s="115"/>
      <c r="BN1032" s="115"/>
      <c r="BO1032" s="115"/>
      <c r="BP1032" s="115"/>
      <c r="BQ1032" s="115"/>
      <c r="BR1032" s="115"/>
      <c r="BS1032" s="115"/>
      <c r="BT1032" s="115"/>
      <c r="BU1032" s="115"/>
      <c r="BV1032" s="115"/>
      <c r="BW1032" s="115"/>
      <c r="BX1032" s="115"/>
      <c r="BY1032" s="13"/>
      <c r="BZ1032" s="13"/>
      <c r="CC1032" s="114"/>
    </row>
    <row r="1033" spans="1:81" ht="19.5" x14ac:dyDescent="0.4">
      <c r="A1033" s="117"/>
      <c r="B1033" s="123"/>
      <c r="C1033" s="123"/>
      <c r="D1033" s="123"/>
      <c r="Z1033" s="115"/>
      <c r="AA1033" s="115"/>
      <c r="AB1033" s="115"/>
      <c r="AC1033" s="115"/>
      <c r="AD1033" s="115"/>
      <c r="AE1033" s="115"/>
      <c r="AF1033" s="115"/>
      <c r="AG1033" s="115"/>
      <c r="AH1033" s="115"/>
      <c r="AI1033" s="115"/>
      <c r="AJ1033" s="115"/>
      <c r="AK1033" s="115"/>
      <c r="AL1033" s="115"/>
      <c r="AM1033" s="115"/>
      <c r="AN1033" s="115"/>
      <c r="AO1033" s="115"/>
      <c r="AP1033" s="127"/>
      <c r="AQ1033" s="29"/>
      <c r="AR1033" s="115"/>
      <c r="AS1033" s="115"/>
      <c r="AT1033" s="115"/>
      <c r="AU1033" s="115"/>
      <c r="AV1033" s="115"/>
      <c r="AW1033" s="115"/>
      <c r="AX1033" s="115"/>
      <c r="AY1033" s="115"/>
      <c r="AZ1033" s="115"/>
      <c r="BA1033" s="25"/>
      <c r="BB1033" s="15"/>
      <c r="BG1033" s="117"/>
      <c r="BH1033" s="123"/>
      <c r="BI1033" s="123"/>
      <c r="BJ1033" s="123"/>
      <c r="BL1033" s="115"/>
      <c r="BM1033" s="115"/>
      <c r="BN1033" s="115"/>
      <c r="BO1033" s="115"/>
      <c r="BP1033" s="115"/>
      <c r="BQ1033" s="115"/>
      <c r="BR1033" s="115"/>
      <c r="BS1033" s="115"/>
      <c r="BT1033" s="115"/>
      <c r="BU1033" s="115"/>
      <c r="BV1033" s="115"/>
      <c r="BW1033" s="115"/>
      <c r="BX1033" s="115"/>
      <c r="BY1033" s="13"/>
      <c r="BZ1033" s="13"/>
      <c r="CC1033" s="114"/>
    </row>
    <row r="1034" spans="1:81" ht="19.5" x14ac:dyDescent="0.4">
      <c r="A1034" s="117"/>
      <c r="B1034" s="123"/>
      <c r="C1034" s="123"/>
      <c r="D1034" s="123"/>
      <c r="Z1034" s="115"/>
      <c r="AA1034" s="115"/>
      <c r="AB1034" s="115"/>
      <c r="AC1034" s="115"/>
      <c r="AD1034" s="115"/>
      <c r="AE1034" s="115"/>
      <c r="AF1034" s="115"/>
      <c r="AG1034" s="115"/>
      <c r="AH1034" s="115"/>
      <c r="AI1034" s="115"/>
      <c r="AJ1034" s="115"/>
      <c r="AK1034" s="115"/>
      <c r="AL1034" s="115"/>
      <c r="AM1034" s="115"/>
      <c r="AN1034" s="115"/>
      <c r="AO1034" s="115"/>
      <c r="AP1034" s="128"/>
      <c r="AQ1034" s="29"/>
      <c r="AR1034" s="115"/>
      <c r="AS1034" s="115"/>
      <c r="AT1034" s="115"/>
      <c r="AU1034" s="115"/>
      <c r="AV1034" s="115"/>
      <c r="AW1034" s="115"/>
      <c r="AX1034" s="115"/>
      <c r="AY1034" s="115"/>
      <c r="AZ1034" s="115"/>
      <c r="BA1034" s="25"/>
      <c r="BB1034" s="15"/>
      <c r="BG1034" s="117"/>
      <c r="BH1034" s="123"/>
      <c r="BI1034" s="123"/>
      <c r="BJ1034" s="123"/>
      <c r="BL1034" s="115"/>
      <c r="BM1034" s="115"/>
      <c r="BN1034" s="115"/>
      <c r="BO1034" s="115"/>
      <c r="BP1034" s="115"/>
      <c r="BQ1034" s="115"/>
      <c r="BR1034" s="115"/>
      <c r="BS1034" s="115"/>
      <c r="BT1034" s="115"/>
      <c r="BU1034" s="115"/>
      <c r="BV1034" s="115"/>
      <c r="BW1034" s="115"/>
      <c r="BX1034" s="115"/>
      <c r="BY1034" s="13"/>
      <c r="BZ1034" s="13"/>
      <c r="CC1034" s="114"/>
    </row>
    <row r="1035" spans="1:81" ht="19.5" x14ac:dyDescent="0.4">
      <c r="A1035" s="117"/>
      <c r="B1035" s="123"/>
      <c r="C1035" s="123"/>
      <c r="D1035" s="123"/>
      <c r="AP1035" s="127"/>
      <c r="AQ1035" s="29"/>
      <c r="AR1035" s="115"/>
      <c r="AS1035" s="115"/>
      <c r="AT1035" s="115"/>
      <c r="AU1035" s="115"/>
      <c r="AV1035" s="115"/>
      <c r="AW1035" s="115"/>
      <c r="AX1035" s="115"/>
      <c r="AY1035" s="115"/>
      <c r="AZ1035" s="115"/>
      <c r="BA1035" s="25">
        <v>45692</v>
      </c>
      <c r="BB1035" s="15" t="s">
        <v>146</v>
      </c>
      <c r="BG1035" s="117"/>
      <c r="BH1035" s="123"/>
      <c r="BI1035" s="123"/>
      <c r="BJ1035" s="123"/>
      <c r="BL1035" s="115"/>
      <c r="BM1035" s="115"/>
      <c r="BN1035" s="115"/>
      <c r="BO1035" s="115"/>
      <c r="BP1035" s="115"/>
      <c r="BQ1035" s="115"/>
      <c r="BR1035" s="115"/>
      <c r="BS1035" s="115"/>
      <c r="BT1035" s="115"/>
      <c r="BU1035" s="115"/>
      <c r="BV1035" s="115"/>
      <c r="BW1035" s="115"/>
      <c r="BX1035" s="115"/>
      <c r="BY1035" s="13"/>
      <c r="BZ1035" s="13"/>
      <c r="CC1035" s="114"/>
    </row>
    <row r="1036" spans="1:81" ht="19.5" x14ac:dyDescent="0.4">
      <c r="A1036" s="117"/>
      <c r="B1036" s="123"/>
      <c r="C1036" s="123"/>
      <c r="D1036" s="123"/>
      <c r="AP1036" s="128"/>
      <c r="AQ1036" s="29"/>
      <c r="AR1036" s="115"/>
      <c r="AS1036" s="115"/>
      <c r="AT1036" s="115"/>
      <c r="AU1036" s="115"/>
      <c r="AV1036" s="115"/>
      <c r="AW1036" s="115"/>
      <c r="AX1036" s="115"/>
      <c r="AY1036" s="115"/>
      <c r="AZ1036" s="115"/>
      <c r="BA1036" s="25"/>
      <c r="BB1036" s="15"/>
      <c r="BG1036" s="117"/>
      <c r="BH1036" s="123"/>
      <c r="BI1036" s="123"/>
      <c r="BJ1036" s="123"/>
      <c r="BL1036" s="115"/>
      <c r="BM1036" s="115"/>
      <c r="BN1036" s="115"/>
      <c r="BO1036" s="115"/>
      <c r="BP1036" s="115"/>
      <c r="BQ1036" s="115"/>
      <c r="BR1036" s="115"/>
      <c r="BS1036" s="115"/>
      <c r="BT1036" s="115"/>
      <c r="BU1036" s="115"/>
      <c r="BV1036" s="115"/>
      <c r="BW1036" s="115"/>
      <c r="BX1036" s="115"/>
      <c r="BY1036" s="13"/>
      <c r="BZ1036" s="13"/>
      <c r="CC1036" s="114"/>
    </row>
    <row r="1037" spans="1:81" ht="19.5" x14ac:dyDescent="0.4">
      <c r="A1037" s="117"/>
      <c r="B1037" s="123"/>
      <c r="C1037" s="123"/>
      <c r="D1037" s="123"/>
      <c r="AP1037" s="127"/>
      <c r="AQ1037" s="29"/>
      <c r="BA1037" s="25">
        <v>45692</v>
      </c>
      <c r="BB1037" s="15" t="s">
        <v>146</v>
      </c>
      <c r="BG1037" s="117"/>
      <c r="BH1037" s="123"/>
      <c r="BI1037" s="123"/>
      <c r="BJ1037" s="123"/>
      <c r="BL1037" s="115"/>
      <c r="BM1037" s="115"/>
      <c r="BN1037" s="115"/>
      <c r="BO1037" s="115"/>
      <c r="BP1037" s="115"/>
      <c r="BQ1037" s="115"/>
      <c r="BR1037" s="115"/>
      <c r="BS1037" s="115"/>
      <c r="BT1037" s="115"/>
      <c r="BU1037" s="115"/>
      <c r="BV1037" s="115"/>
      <c r="BW1037" s="115"/>
      <c r="BX1037" s="115"/>
      <c r="BY1037" s="25">
        <v>45267</v>
      </c>
      <c r="BZ1037" s="13" t="s">
        <v>142</v>
      </c>
      <c r="CC1037" s="114"/>
    </row>
    <row r="1038" spans="1:81" ht="19.5" x14ac:dyDescent="0.4">
      <c r="A1038" s="117"/>
      <c r="B1038" s="123"/>
      <c r="C1038" s="123"/>
      <c r="D1038" s="123"/>
      <c r="AP1038" s="127"/>
      <c r="AQ1038" s="29"/>
      <c r="AW1038" s="115"/>
      <c r="AX1038" s="115"/>
      <c r="AY1038" s="115"/>
      <c r="AZ1038" s="115"/>
      <c r="BA1038" s="25">
        <v>45692</v>
      </c>
      <c r="BB1038" s="15" t="s">
        <v>146</v>
      </c>
      <c r="BG1038" s="117"/>
      <c r="BH1038" s="123"/>
      <c r="BI1038" s="123"/>
      <c r="BJ1038" s="123"/>
      <c r="BL1038" s="115"/>
      <c r="BM1038" s="115"/>
      <c r="BN1038" s="115"/>
      <c r="BO1038" s="115"/>
      <c r="BP1038" s="115"/>
      <c r="BQ1038" s="115"/>
      <c r="BR1038" s="115"/>
      <c r="BS1038" s="115"/>
      <c r="BT1038" s="115"/>
      <c r="BU1038" s="115"/>
      <c r="BV1038" s="115"/>
      <c r="BW1038" s="115"/>
      <c r="BX1038" s="115"/>
      <c r="BY1038" s="25"/>
      <c r="BZ1038" s="13"/>
      <c r="CC1038" s="114"/>
    </row>
    <row r="1039" spans="1:81" ht="19.5" x14ac:dyDescent="0.4">
      <c r="A1039" s="117"/>
      <c r="B1039" s="123"/>
      <c r="C1039" s="123"/>
      <c r="D1039" s="123"/>
      <c r="AP1039" s="127"/>
      <c r="AQ1039" s="29"/>
      <c r="AS1039" s="115"/>
      <c r="AT1039" s="115"/>
      <c r="AU1039" s="115"/>
      <c r="AV1039" s="115"/>
      <c r="AW1039" s="115"/>
      <c r="AX1039" s="115"/>
      <c r="AY1039" s="115"/>
      <c r="AZ1039" s="115"/>
      <c r="BA1039" s="25">
        <v>45692</v>
      </c>
      <c r="BB1039" s="15" t="s">
        <v>146</v>
      </c>
      <c r="BG1039" s="117"/>
      <c r="BH1039" s="123"/>
      <c r="BI1039" s="123"/>
      <c r="BJ1039" s="123"/>
      <c r="BL1039" s="115"/>
      <c r="BM1039" s="115"/>
      <c r="BN1039" s="115"/>
      <c r="BO1039" s="115"/>
      <c r="BP1039" s="115"/>
      <c r="BQ1039" s="115"/>
      <c r="BR1039" s="115"/>
      <c r="BS1039" s="115"/>
      <c r="BT1039" s="115"/>
      <c r="BU1039" s="115"/>
      <c r="BV1039" s="115"/>
      <c r="BW1039" s="115"/>
      <c r="BX1039" s="115"/>
      <c r="BY1039" s="25"/>
      <c r="BZ1039" s="13"/>
      <c r="CC1039" s="114"/>
    </row>
    <row r="1040" spans="1:81" ht="19.5" x14ac:dyDescent="0.4">
      <c r="A1040" s="117"/>
      <c r="B1040" s="123"/>
      <c r="C1040" s="123"/>
      <c r="D1040" s="123"/>
      <c r="AA1040" s="115"/>
      <c r="AB1040" s="115"/>
      <c r="AC1040" s="115"/>
      <c r="AD1040" s="115"/>
      <c r="AE1040" s="115"/>
      <c r="AF1040" s="115"/>
      <c r="AG1040" s="115"/>
      <c r="AH1040" s="115"/>
      <c r="AI1040" s="115"/>
      <c r="AJ1040" s="115"/>
      <c r="AK1040" s="115"/>
      <c r="AL1040" s="115"/>
      <c r="AM1040" s="115"/>
      <c r="AN1040" s="115"/>
      <c r="AO1040" s="115"/>
      <c r="AP1040" s="127"/>
      <c r="AQ1040" s="29"/>
      <c r="AS1040" s="115"/>
      <c r="AT1040" s="115"/>
      <c r="AU1040" s="115"/>
      <c r="AV1040" s="115"/>
      <c r="AW1040" s="115"/>
      <c r="AX1040" s="115"/>
      <c r="AY1040" s="115"/>
      <c r="AZ1040" s="115"/>
      <c r="BA1040" s="25"/>
      <c r="BB1040" s="15"/>
      <c r="BG1040" s="117"/>
      <c r="BH1040" s="123"/>
      <c r="BI1040" s="123"/>
      <c r="BJ1040" s="123"/>
      <c r="BL1040" s="115"/>
      <c r="BM1040" s="115"/>
      <c r="BN1040" s="115"/>
      <c r="BO1040" s="115"/>
      <c r="BP1040" s="115"/>
      <c r="BQ1040" s="115"/>
      <c r="BR1040" s="115"/>
      <c r="BS1040" s="115"/>
      <c r="BT1040" s="115"/>
      <c r="BU1040" s="115"/>
      <c r="BV1040" s="115"/>
      <c r="BW1040" s="115"/>
      <c r="BX1040" s="115"/>
      <c r="BY1040" s="25"/>
      <c r="BZ1040" s="13"/>
      <c r="CC1040" s="114"/>
    </row>
    <row r="1041" spans="1:81" ht="19.5" x14ac:dyDescent="0.4">
      <c r="A1041" s="117"/>
      <c r="B1041" s="123"/>
      <c r="C1041" s="123"/>
      <c r="D1041" s="123"/>
      <c r="AA1041" s="115"/>
      <c r="AB1041" s="115"/>
      <c r="AC1041" s="115"/>
      <c r="AD1041" s="115"/>
      <c r="AE1041" s="115"/>
      <c r="AF1041" s="115"/>
      <c r="AG1041" s="115"/>
      <c r="AH1041" s="115"/>
      <c r="AI1041" s="115"/>
      <c r="AJ1041" s="115"/>
      <c r="AK1041" s="115"/>
      <c r="AL1041" s="115"/>
      <c r="AM1041" s="115"/>
      <c r="AN1041" s="115"/>
      <c r="AO1041" s="115"/>
      <c r="AP1041" s="128"/>
      <c r="AQ1041" s="29"/>
      <c r="AS1041" s="115"/>
      <c r="AT1041" s="115"/>
      <c r="AU1041" s="115"/>
      <c r="AV1041" s="115"/>
      <c r="AW1041" s="115"/>
      <c r="AX1041" s="115"/>
      <c r="AY1041" s="115"/>
      <c r="AZ1041" s="115"/>
      <c r="BA1041" s="25"/>
      <c r="BB1041" s="15"/>
      <c r="BG1041" s="117"/>
      <c r="BH1041" s="123"/>
      <c r="BI1041" s="123"/>
      <c r="BJ1041" s="123"/>
      <c r="BL1041" s="115"/>
      <c r="BM1041" s="115"/>
      <c r="BN1041" s="115"/>
      <c r="BO1041" s="115"/>
      <c r="BP1041" s="115"/>
      <c r="BQ1041" s="115"/>
      <c r="BR1041" s="115"/>
      <c r="BS1041" s="115"/>
      <c r="BT1041" s="115"/>
      <c r="BU1041" s="115"/>
      <c r="BV1041" s="115"/>
      <c r="BW1041" s="115"/>
      <c r="BX1041" s="115"/>
      <c r="BY1041" s="25"/>
      <c r="BZ1041" s="13"/>
      <c r="CC1041" s="114"/>
    </row>
    <row r="1042" spans="1:81" ht="19.5" x14ac:dyDescent="0.4">
      <c r="A1042" s="117"/>
      <c r="B1042" s="123"/>
      <c r="C1042" s="123"/>
      <c r="D1042" s="123"/>
      <c r="AP1042" s="127"/>
      <c r="AQ1042" s="29"/>
      <c r="AR1042" s="115"/>
      <c r="AS1042" s="115"/>
      <c r="AT1042" s="115"/>
      <c r="AU1042" s="115"/>
      <c r="AV1042" s="115"/>
      <c r="AW1042" s="115"/>
      <c r="AX1042" s="115"/>
      <c r="AY1042" s="115"/>
      <c r="AZ1042" s="115"/>
      <c r="BA1042" s="25">
        <v>45693</v>
      </c>
      <c r="BB1042" s="15" t="s">
        <v>146</v>
      </c>
      <c r="BG1042" s="117"/>
      <c r="BH1042" s="123"/>
      <c r="BI1042" s="123"/>
      <c r="BJ1042" s="123"/>
      <c r="BL1042" s="115"/>
      <c r="BM1042" s="115"/>
      <c r="BN1042" s="115"/>
      <c r="BO1042" s="115"/>
      <c r="BP1042" s="115"/>
      <c r="BQ1042" s="115"/>
      <c r="BR1042" s="115"/>
      <c r="BS1042" s="115"/>
      <c r="BT1042" s="115"/>
      <c r="BU1042" s="115"/>
      <c r="BV1042" s="115"/>
      <c r="BW1042" s="115"/>
      <c r="BX1042" s="115"/>
      <c r="BY1042" s="25"/>
      <c r="BZ1042" s="13"/>
      <c r="CC1042" s="114"/>
    </row>
    <row r="1043" spans="1:81" ht="19.5" x14ac:dyDescent="0.4">
      <c r="A1043" s="117"/>
      <c r="B1043" s="123"/>
      <c r="C1043" s="123"/>
      <c r="D1043" s="123"/>
      <c r="AP1043" s="128"/>
      <c r="AQ1043" s="29"/>
      <c r="AR1043" s="115"/>
      <c r="AS1043" s="115"/>
      <c r="AT1043" s="115"/>
      <c r="AU1043" s="115"/>
      <c r="AV1043" s="115"/>
      <c r="AW1043" s="115"/>
      <c r="AX1043" s="115"/>
      <c r="AY1043" s="115"/>
      <c r="AZ1043" s="115"/>
      <c r="BA1043" s="25"/>
      <c r="BB1043" s="15"/>
      <c r="BG1043" s="117"/>
      <c r="BH1043" s="123"/>
      <c r="BI1043" s="123"/>
      <c r="BJ1043" s="123"/>
      <c r="BL1043" s="115"/>
      <c r="BM1043" s="115"/>
      <c r="BN1043" s="115"/>
      <c r="BO1043" s="115"/>
      <c r="BP1043" s="115"/>
      <c r="BQ1043" s="115"/>
      <c r="BR1043" s="115"/>
      <c r="BS1043" s="115"/>
      <c r="BT1043" s="115"/>
      <c r="BU1043" s="115"/>
      <c r="BV1043" s="115"/>
      <c r="BW1043" s="115"/>
      <c r="BX1043" s="115"/>
      <c r="BY1043" s="25"/>
      <c r="BZ1043" s="13"/>
      <c r="CC1043" s="114"/>
    </row>
    <row r="1044" spans="1:81" ht="19.5" x14ac:dyDescent="0.4">
      <c r="A1044" s="117"/>
      <c r="B1044" s="123"/>
      <c r="C1044" s="123"/>
      <c r="D1044" s="123"/>
      <c r="AA1044" s="115"/>
      <c r="AB1044" s="115"/>
      <c r="AC1044" s="115"/>
      <c r="AD1044" s="115"/>
      <c r="AE1044" s="115"/>
      <c r="AF1044" s="115"/>
      <c r="AG1044" s="115"/>
      <c r="AH1044" s="115"/>
      <c r="AI1044" s="115"/>
      <c r="AJ1044" s="115"/>
      <c r="AK1044" s="115"/>
      <c r="AL1044" s="115"/>
      <c r="AM1044" s="115"/>
      <c r="AN1044" s="115"/>
      <c r="AO1044" s="115"/>
      <c r="AP1044" s="127"/>
      <c r="AQ1044" s="29"/>
      <c r="AR1044" s="115"/>
      <c r="AS1044" s="115"/>
      <c r="AT1044" s="115"/>
      <c r="AU1044" s="115"/>
      <c r="AV1044" s="115"/>
      <c r="AW1044" s="115"/>
      <c r="AX1044" s="115"/>
      <c r="AY1044" s="115"/>
      <c r="AZ1044" s="115"/>
      <c r="BA1044" s="25"/>
      <c r="BB1044" s="15"/>
      <c r="BG1044" s="117"/>
      <c r="BH1044" s="123"/>
      <c r="BI1044" s="123"/>
      <c r="BJ1044" s="123"/>
      <c r="BL1044" s="115"/>
      <c r="BM1044" s="115"/>
      <c r="BN1044" s="115"/>
      <c r="BO1044" s="115"/>
      <c r="BP1044" s="115"/>
      <c r="BQ1044" s="115"/>
      <c r="BR1044" s="115"/>
      <c r="BS1044" s="115"/>
      <c r="BT1044" s="115"/>
      <c r="BU1044" s="115"/>
      <c r="BV1044" s="115"/>
      <c r="BW1044" s="115"/>
      <c r="BX1044" s="115"/>
      <c r="BY1044" s="25"/>
      <c r="BZ1044" s="13"/>
      <c r="CC1044" s="114"/>
    </row>
    <row r="1045" spans="1:81" ht="19.5" x14ac:dyDescent="0.4">
      <c r="A1045" s="117"/>
      <c r="B1045" s="123"/>
      <c r="C1045" s="123"/>
      <c r="D1045" s="123"/>
      <c r="AP1045" s="127"/>
      <c r="AQ1045" s="29"/>
      <c r="BA1045" s="25">
        <v>45693</v>
      </c>
      <c r="BB1045" s="15" t="s">
        <v>146</v>
      </c>
      <c r="BG1045" s="117"/>
      <c r="BH1045" s="123"/>
      <c r="BI1045" s="123"/>
      <c r="BJ1045" s="123"/>
      <c r="BL1045" s="115"/>
      <c r="BM1045" s="115"/>
      <c r="BN1045" s="115"/>
      <c r="BO1045" s="115"/>
      <c r="BP1045" s="115"/>
      <c r="BQ1045" s="115"/>
      <c r="BR1045" s="115"/>
      <c r="BS1045" s="115"/>
      <c r="BT1045" s="115"/>
      <c r="BU1045" s="115"/>
      <c r="BV1045" s="115"/>
      <c r="BW1045" s="115"/>
      <c r="BX1045" s="115" t="s">
        <v>157</v>
      </c>
      <c r="BY1045" s="13">
        <f>SUBTOTAL(3,BY1037:BY1037)</f>
        <v>1</v>
      </c>
      <c r="BZ1045" s="13">
        <f>SUBTOTAL(3,BZ1037:BZ1037)</f>
        <v>1</v>
      </c>
      <c r="CC1045" s="114"/>
    </row>
    <row r="1046" spans="1:81" ht="19.5" x14ac:dyDescent="0.4">
      <c r="A1046" s="117"/>
      <c r="B1046" s="123"/>
      <c r="C1046" s="123"/>
      <c r="D1046" s="123"/>
      <c r="AP1046" s="127"/>
      <c r="AQ1046" s="29"/>
      <c r="AS1046" s="115"/>
      <c r="AT1046" s="115"/>
      <c r="AU1046" s="115"/>
      <c r="AV1046" s="115"/>
      <c r="AW1046" s="115"/>
      <c r="AX1046" s="115"/>
      <c r="AY1046" s="115"/>
      <c r="AZ1046" s="115"/>
      <c r="BA1046" s="25">
        <v>45693</v>
      </c>
      <c r="BB1046" s="15" t="s">
        <v>146</v>
      </c>
      <c r="BG1046" s="117"/>
      <c r="BH1046" s="123"/>
      <c r="BI1046" s="123"/>
      <c r="BJ1046" s="123"/>
      <c r="BL1046" s="115"/>
      <c r="BM1046" s="115"/>
      <c r="BN1046" s="115"/>
      <c r="BO1046" s="115"/>
      <c r="BP1046" s="115"/>
      <c r="BQ1046" s="115"/>
      <c r="BR1046" s="115"/>
      <c r="BS1046" s="115"/>
      <c r="BT1046" s="115"/>
      <c r="BU1046" s="115"/>
      <c r="BV1046" s="115"/>
      <c r="BW1046" s="115"/>
      <c r="BX1046" s="115"/>
      <c r="BY1046" s="13"/>
      <c r="BZ1046" s="13"/>
      <c r="CC1046" s="114"/>
    </row>
    <row r="1047" spans="1:81" ht="19.5" x14ac:dyDescent="0.4">
      <c r="A1047" s="117"/>
      <c r="B1047" s="123"/>
      <c r="C1047" s="123"/>
      <c r="D1047" s="123"/>
      <c r="AP1047" s="128"/>
      <c r="AQ1047" s="29"/>
      <c r="AS1047" s="115"/>
      <c r="AT1047" s="115"/>
      <c r="AU1047" s="115"/>
      <c r="AV1047" s="115"/>
      <c r="AW1047" s="115"/>
      <c r="AX1047" s="115"/>
      <c r="AY1047" s="115"/>
      <c r="AZ1047" s="115"/>
      <c r="BA1047" s="25"/>
      <c r="BB1047" s="15"/>
      <c r="BG1047" s="117"/>
      <c r="BH1047" s="123"/>
      <c r="BI1047" s="123"/>
      <c r="BJ1047" s="123"/>
      <c r="BL1047" s="115"/>
      <c r="BM1047" s="115"/>
      <c r="BN1047" s="115"/>
      <c r="BO1047" s="115"/>
      <c r="BP1047" s="115"/>
      <c r="BQ1047" s="115"/>
      <c r="BR1047" s="115"/>
      <c r="BS1047" s="115"/>
      <c r="BT1047" s="115"/>
      <c r="BU1047" s="115"/>
      <c r="BV1047" s="115"/>
      <c r="BW1047" s="115"/>
      <c r="BX1047" s="115"/>
      <c r="BY1047" s="13"/>
      <c r="BZ1047" s="13"/>
      <c r="CC1047" s="114"/>
    </row>
    <row r="1048" spans="1:81" ht="19.5" x14ac:dyDescent="0.4">
      <c r="A1048" s="117"/>
      <c r="B1048" s="123"/>
      <c r="C1048" s="123"/>
      <c r="D1048" s="123"/>
      <c r="AP1048" s="128"/>
      <c r="AQ1048" s="29"/>
      <c r="AS1048" s="115"/>
      <c r="AT1048" s="115"/>
      <c r="AU1048" s="115"/>
      <c r="AV1048" s="115"/>
      <c r="AW1048" s="115"/>
      <c r="AX1048" s="115"/>
      <c r="AY1048" s="115"/>
      <c r="AZ1048" s="115"/>
      <c r="BA1048" s="25"/>
      <c r="BB1048" s="15"/>
      <c r="BG1048" s="117"/>
      <c r="BH1048" s="123"/>
      <c r="BI1048" s="123"/>
      <c r="BJ1048" s="123"/>
      <c r="BL1048" s="115"/>
      <c r="BM1048" s="115"/>
      <c r="BN1048" s="115"/>
      <c r="BO1048" s="115"/>
      <c r="BP1048" s="115"/>
      <c r="BQ1048" s="115"/>
      <c r="BR1048" s="115"/>
      <c r="BS1048" s="115"/>
      <c r="BT1048" s="115"/>
      <c r="BU1048" s="115"/>
      <c r="BV1048" s="115"/>
      <c r="BW1048" s="115"/>
      <c r="BX1048" s="115"/>
      <c r="BY1048" s="13"/>
      <c r="BZ1048" s="13"/>
      <c r="CC1048" s="114"/>
    </row>
    <row r="1049" spans="1:81" ht="19.5" x14ac:dyDescent="0.4">
      <c r="A1049" s="117"/>
      <c r="B1049" s="123"/>
      <c r="C1049" s="123"/>
      <c r="D1049" s="123"/>
      <c r="AP1049" s="127"/>
      <c r="AQ1049" s="29"/>
      <c r="AS1049" s="115"/>
      <c r="AT1049" s="115"/>
      <c r="AU1049" s="115"/>
      <c r="AV1049" s="115"/>
      <c r="AW1049" s="115"/>
      <c r="AX1049" s="115"/>
      <c r="AY1049" s="115"/>
      <c r="AZ1049" s="115"/>
      <c r="BA1049" s="25">
        <v>45694</v>
      </c>
      <c r="BB1049" s="15" t="s">
        <v>147</v>
      </c>
      <c r="BG1049" s="117"/>
      <c r="BH1049" s="123"/>
      <c r="BI1049" s="123"/>
      <c r="BJ1049" s="123"/>
      <c r="BL1049" s="115"/>
      <c r="BM1049" s="115"/>
      <c r="BN1049" s="115"/>
      <c r="BO1049" s="115"/>
      <c r="BP1049" s="115"/>
      <c r="BQ1049" s="115"/>
      <c r="BR1049" s="115"/>
      <c r="BS1049" s="115"/>
      <c r="BT1049" s="115"/>
      <c r="BU1049" s="115"/>
      <c r="BV1049" s="115"/>
      <c r="BW1049" s="115"/>
      <c r="BX1049" s="115"/>
      <c r="BY1049" s="13"/>
      <c r="BZ1049" s="13"/>
      <c r="CC1049" s="114"/>
    </row>
    <row r="1050" spans="1:81" ht="19.5" x14ac:dyDescent="0.4">
      <c r="A1050" s="117"/>
      <c r="B1050" s="123"/>
      <c r="C1050" s="123"/>
      <c r="D1050" s="123"/>
      <c r="AA1050" s="115"/>
      <c r="AB1050" s="115"/>
      <c r="AC1050" s="115"/>
      <c r="AD1050" s="115"/>
      <c r="AE1050" s="115"/>
      <c r="AF1050" s="115"/>
      <c r="AG1050" s="115"/>
      <c r="AH1050" s="115"/>
      <c r="AI1050" s="115"/>
      <c r="AJ1050" s="115"/>
      <c r="AK1050" s="115"/>
      <c r="AL1050" s="115"/>
      <c r="AM1050" s="115"/>
      <c r="AN1050" s="115"/>
      <c r="AO1050" s="115"/>
      <c r="AP1050" s="29"/>
      <c r="AQ1050" s="29"/>
      <c r="AS1050" s="115"/>
      <c r="AT1050" s="115"/>
      <c r="AU1050" s="115"/>
      <c r="AV1050" s="115"/>
      <c r="AW1050" s="115"/>
      <c r="AX1050" s="115"/>
      <c r="AY1050" s="115"/>
      <c r="AZ1050" s="115"/>
      <c r="BA1050" s="25"/>
      <c r="BB1050" s="15"/>
      <c r="BG1050" s="117"/>
      <c r="BH1050" s="123"/>
      <c r="BI1050" s="123"/>
      <c r="BJ1050" s="123"/>
      <c r="BL1050" s="115"/>
      <c r="BM1050" s="115"/>
      <c r="BN1050" s="115"/>
      <c r="BO1050" s="115"/>
      <c r="BP1050" s="115"/>
      <c r="BQ1050" s="115"/>
      <c r="BR1050" s="115"/>
      <c r="BS1050" s="115"/>
      <c r="BT1050" s="115"/>
      <c r="BU1050" s="115"/>
      <c r="BV1050" s="115"/>
      <c r="BW1050" s="115"/>
      <c r="BX1050" s="115"/>
      <c r="BY1050" s="13"/>
      <c r="BZ1050" s="13"/>
      <c r="CC1050" s="114"/>
    </row>
    <row r="1051" spans="1:81" ht="19.5" x14ac:dyDescent="0.4">
      <c r="A1051" s="117"/>
      <c r="B1051" s="123"/>
      <c r="C1051" s="123"/>
      <c r="D1051" s="123"/>
      <c r="AA1051" s="115"/>
      <c r="AB1051" s="115"/>
      <c r="AC1051" s="115"/>
      <c r="AD1051" s="115"/>
      <c r="AE1051" s="115"/>
      <c r="AF1051" s="115"/>
      <c r="AG1051" s="115"/>
      <c r="AH1051" s="115"/>
      <c r="AI1051" s="115"/>
      <c r="AJ1051" s="115"/>
      <c r="AK1051" s="115"/>
      <c r="AL1051" s="115"/>
      <c r="AM1051" s="115"/>
      <c r="AN1051" s="115"/>
      <c r="AO1051" s="115"/>
      <c r="AP1051" s="29"/>
      <c r="AQ1051" s="29"/>
      <c r="AS1051" s="115"/>
      <c r="AT1051" s="115"/>
      <c r="AU1051" s="115"/>
      <c r="AV1051" s="115"/>
      <c r="AW1051" s="115"/>
      <c r="AX1051" s="115"/>
      <c r="AY1051" s="115"/>
      <c r="AZ1051" s="115"/>
      <c r="BA1051" s="25"/>
      <c r="BB1051" s="15"/>
      <c r="BG1051" s="117"/>
      <c r="BH1051" s="123"/>
      <c r="BI1051" s="123"/>
      <c r="BJ1051" s="123"/>
      <c r="BL1051" s="115"/>
      <c r="BM1051" s="115"/>
      <c r="BN1051" s="115"/>
      <c r="BO1051" s="115"/>
      <c r="BP1051" s="115"/>
      <c r="BQ1051" s="115"/>
      <c r="BR1051" s="115"/>
      <c r="BS1051" s="115"/>
      <c r="BT1051" s="115"/>
      <c r="BU1051" s="115"/>
      <c r="BV1051" s="115"/>
      <c r="BW1051" s="115"/>
      <c r="BX1051" s="115"/>
      <c r="BY1051" s="13"/>
      <c r="BZ1051" s="13"/>
      <c r="CC1051" s="114"/>
    </row>
    <row r="1052" spans="1:81" ht="19.5" x14ac:dyDescent="0.4">
      <c r="A1052" s="117"/>
      <c r="B1052" s="123"/>
      <c r="C1052" s="123"/>
      <c r="D1052" s="123"/>
      <c r="AP1052" s="127"/>
      <c r="AQ1052" s="29"/>
      <c r="AS1052" s="115"/>
      <c r="AT1052" s="115"/>
      <c r="AU1052" s="115"/>
      <c r="AV1052" s="115"/>
      <c r="AW1052" s="115"/>
      <c r="AX1052" s="115"/>
      <c r="AY1052" s="115"/>
      <c r="AZ1052" s="115"/>
      <c r="BA1052" s="25">
        <v>45694</v>
      </c>
      <c r="BB1052" s="105" t="s">
        <v>147</v>
      </c>
      <c r="BG1052" s="117"/>
      <c r="BH1052" s="123"/>
      <c r="BI1052" s="123"/>
      <c r="BJ1052" s="123"/>
      <c r="BL1052" s="115"/>
      <c r="BM1052" s="115"/>
      <c r="BN1052" s="115"/>
      <c r="BO1052" s="115"/>
      <c r="BP1052" s="115"/>
      <c r="BQ1052" s="115"/>
      <c r="BR1052" s="115"/>
      <c r="BS1052" s="115"/>
      <c r="BT1052" s="115"/>
      <c r="BU1052" s="115"/>
      <c r="BV1052" s="115"/>
      <c r="BW1052" s="115"/>
      <c r="BX1052" s="115"/>
      <c r="BY1052" s="13"/>
      <c r="BZ1052" s="13"/>
      <c r="CC1052" s="114"/>
    </row>
    <row r="1053" spans="1:81" ht="19.5" x14ac:dyDescent="0.4">
      <c r="A1053" s="117"/>
      <c r="B1053" s="123"/>
      <c r="C1053" s="123"/>
      <c r="D1053" s="123"/>
      <c r="AP1053" s="127"/>
      <c r="AQ1053" s="29"/>
      <c r="AR1053" s="115"/>
      <c r="AS1053" s="115"/>
      <c r="AT1053" s="115"/>
      <c r="AU1053" s="115"/>
      <c r="AV1053" s="115"/>
      <c r="AW1053" s="115"/>
      <c r="AX1053" s="115"/>
      <c r="AY1053" s="115"/>
      <c r="AZ1053" s="115"/>
      <c r="BA1053" s="25">
        <v>45694</v>
      </c>
      <c r="BB1053" s="15" t="s">
        <v>147</v>
      </c>
      <c r="BG1053" s="117"/>
      <c r="BH1053" s="123"/>
      <c r="BI1053" s="123"/>
      <c r="BJ1053" s="123"/>
      <c r="BL1053" s="115"/>
      <c r="BM1053" s="115"/>
      <c r="BN1053" s="115"/>
      <c r="BO1053" s="115"/>
      <c r="BP1053" s="115"/>
      <c r="BQ1053" s="115"/>
      <c r="BR1053" s="115"/>
      <c r="BS1053" s="115"/>
      <c r="BT1053" s="115"/>
      <c r="BU1053" s="115"/>
      <c r="BV1053" s="115"/>
      <c r="BW1053" s="115"/>
      <c r="BX1053" s="115"/>
      <c r="BY1053" s="13"/>
      <c r="BZ1053" s="13"/>
      <c r="CC1053" s="114"/>
    </row>
    <row r="1054" spans="1:81" ht="19.5" x14ac:dyDescent="0.4">
      <c r="A1054" s="117"/>
      <c r="B1054" s="123"/>
      <c r="C1054" s="123"/>
      <c r="D1054" s="123"/>
      <c r="AP1054" s="127"/>
      <c r="AQ1054" s="29"/>
      <c r="AR1054" s="115"/>
      <c r="AS1054" s="115"/>
      <c r="AT1054" s="115"/>
      <c r="AU1054" s="115"/>
      <c r="AV1054" s="115"/>
      <c r="AW1054" s="115"/>
      <c r="AX1054" s="115"/>
      <c r="AY1054" s="115"/>
      <c r="AZ1054" s="115"/>
      <c r="BA1054" s="26">
        <v>45694</v>
      </c>
      <c r="BB1054" s="15" t="s">
        <v>148</v>
      </c>
      <c r="BG1054" s="117"/>
      <c r="BH1054" s="123"/>
      <c r="BI1054" s="123"/>
      <c r="BJ1054" s="123"/>
      <c r="BL1054" s="115"/>
      <c r="BM1054" s="115"/>
      <c r="BN1054" s="115"/>
      <c r="BO1054" s="115"/>
      <c r="BP1054" s="115"/>
      <c r="BQ1054" s="115"/>
      <c r="BR1054" s="115"/>
      <c r="BS1054" s="115"/>
      <c r="BT1054" s="115"/>
      <c r="BU1054" s="115"/>
      <c r="BV1054" s="115"/>
      <c r="BW1054" s="115"/>
      <c r="BX1054" s="115"/>
      <c r="BY1054" s="13"/>
      <c r="BZ1054" s="13"/>
      <c r="CC1054" s="114"/>
    </row>
    <row r="1055" spans="1:81" ht="19.5" x14ac:dyDescent="0.4">
      <c r="A1055" s="117"/>
      <c r="B1055" s="123"/>
      <c r="C1055" s="123"/>
      <c r="D1055" s="123"/>
      <c r="AP1055" s="127"/>
      <c r="AQ1055" s="29"/>
      <c r="BA1055" s="26">
        <v>45694</v>
      </c>
      <c r="BB1055" s="13" t="s">
        <v>147</v>
      </c>
      <c r="BG1055" s="117"/>
      <c r="BH1055" s="123"/>
      <c r="BI1055" s="123"/>
      <c r="BJ1055" s="123"/>
      <c r="BL1055" s="115"/>
      <c r="BM1055" s="115"/>
      <c r="BN1055" s="115"/>
      <c r="BO1055" s="115"/>
      <c r="BP1055" s="115"/>
      <c r="BQ1055" s="115"/>
      <c r="BR1055" s="115"/>
      <c r="BS1055" s="115"/>
      <c r="BT1055" s="115"/>
      <c r="BU1055" s="115"/>
      <c r="BV1055" s="115"/>
      <c r="BW1055" s="115"/>
      <c r="BX1055" s="115"/>
      <c r="BY1055" s="25">
        <v>45268</v>
      </c>
      <c r="BZ1055" s="13" t="s">
        <v>162</v>
      </c>
      <c r="CC1055" s="114"/>
    </row>
    <row r="1056" spans="1:81" ht="19.5" x14ac:dyDescent="0.4">
      <c r="A1056" s="117"/>
      <c r="B1056" s="123"/>
      <c r="C1056" s="123"/>
      <c r="D1056" s="123"/>
      <c r="AP1056" s="127"/>
      <c r="AQ1056" s="29"/>
      <c r="AS1056" s="115"/>
      <c r="AT1056" s="115"/>
      <c r="AU1056" s="115"/>
      <c r="AV1056" s="115"/>
      <c r="AW1056" s="115"/>
      <c r="AX1056" s="115"/>
      <c r="AY1056" s="115"/>
      <c r="AZ1056" s="115"/>
      <c r="BA1056" s="26">
        <v>45694</v>
      </c>
      <c r="BB1056" s="13" t="s">
        <v>147</v>
      </c>
      <c r="BG1056" s="117"/>
      <c r="BH1056" s="123"/>
      <c r="BI1056" s="123"/>
      <c r="BJ1056" s="123"/>
      <c r="BL1056" s="115"/>
      <c r="BM1056" s="115"/>
      <c r="BN1056" s="115"/>
      <c r="BO1056" s="115"/>
      <c r="BP1056" s="115"/>
      <c r="BQ1056" s="115"/>
      <c r="BR1056" s="115"/>
      <c r="BS1056" s="115"/>
      <c r="BT1056" s="115"/>
      <c r="BU1056" s="115"/>
      <c r="BV1056" s="115"/>
      <c r="BW1056" s="115"/>
      <c r="BX1056" s="115"/>
      <c r="BY1056" s="25"/>
      <c r="BZ1056" s="13"/>
      <c r="CC1056" s="114"/>
    </row>
    <row r="1057" spans="1:81" ht="19.5" x14ac:dyDescent="0.4">
      <c r="A1057" s="117"/>
      <c r="B1057" s="123"/>
      <c r="C1057" s="123"/>
      <c r="D1057" s="123"/>
      <c r="AP1057" s="127"/>
      <c r="AQ1057" s="29"/>
      <c r="BA1057" s="26">
        <v>45694</v>
      </c>
      <c r="BB1057" s="13" t="s">
        <v>147</v>
      </c>
      <c r="BG1057" s="117"/>
      <c r="BH1057" s="123"/>
      <c r="BI1057" s="123"/>
      <c r="BJ1057" s="123"/>
      <c r="BL1057" s="115"/>
      <c r="BM1057" s="115"/>
      <c r="BN1057" s="115"/>
      <c r="BO1057" s="115"/>
      <c r="BP1057" s="115"/>
      <c r="BQ1057" s="115"/>
      <c r="BR1057" s="115"/>
      <c r="BS1057" s="115"/>
      <c r="BT1057" s="115"/>
      <c r="BU1057" s="115"/>
      <c r="BV1057" s="115"/>
      <c r="BW1057" s="115"/>
      <c r="BX1057" s="115"/>
      <c r="BY1057" s="25">
        <v>45268</v>
      </c>
      <c r="BZ1057" s="13" t="s">
        <v>162</v>
      </c>
      <c r="CC1057" s="114"/>
    </row>
    <row r="1058" spans="1:81" ht="19.5" x14ac:dyDescent="0.4">
      <c r="A1058" s="117"/>
      <c r="B1058" s="123"/>
      <c r="C1058" s="123"/>
      <c r="D1058" s="123"/>
      <c r="AP1058" s="127"/>
      <c r="AQ1058" s="29"/>
      <c r="AX1058" s="115"/>
      <c r="AY1058" s="115"/>
      <c r="AZ1058" s="115"/>
      <c r="BA1058" s="26">
        <v>45696</v>
      </c>
      <c r="BB1058" s="13" t="s">
        <v>147</v>
      </c>
      <c r="BG1058" s="117"/>
      <c r="BH1058" s="123"/>
      <c r="BI1058" s="123"/>
      <c r="BJ1058" s="123"/>
      <c r="BL1058" s="115"/>
      <c r="BM1058" s="115"/>
      <c r="BN1058" s="115"/>
      <c r="BO1058" s="115"/>
      <c r="BP1058" s="115"/>
      <c r="BQ1058" s="115"/>
      <c r="BR1058" s="115"/>
      <c r="BS1058" s="115"/>
      <c r="BT1058" s="115"/>
      <c r="BU1058" s="115"/>
      <c r="BV1058" s="115"/>
      <c r="BW1058" s="115"/>
      <c r="BX1058" s="115"/>
      <c r="BY1058" s="25"/>
      <c r="BZ1058" s="13"/>
      <c r="CC1058" s="114"/>
    </row>
    <row r="1059" spans="1:81" ht="19.5" x14ac:dyDescent="0.4">
      <c r="A1059" s="117"/>
      <c r="B1059" s="123"/>
      <c r="C1059" s="123"/>
      <c r="D1059" s="123"/>
      <c r="AP1059" s="127"/>
      <c r="AQ1059" s="29"/>
      <c r="BA1059" s="26">
        <v>45698</v>
      </c>
      <c r="BB1059" s="13" t="s">
        <v>147</v>
      </c>
      <c r="BG1059" s="117"/>
      <c r="BH1059" s="123"/>
      <c r="BI1059" s="123"/>
      <c r="BJ1059" s="123"/>
      <c r="BL1059" s="115"/>
      <c r="BM1059" s="115"/>
      <c r="BN1059" s="115"/>
      <c r="BO1059" s="115"/>
      <c r="BP1059" s="115"/>
      <c r="BQ1059" s="115"/>
      <c r="BR1059" s="115"/>
      <c r="BS1059" s="115"/>
      <c r="BT1059" s="115"/>
      <c r="BU1059" s="115"/>
      <c r="BV1059" s="115"/>
      <c r="BW1059" s="115"/>
      <c r="BX1059" s="115"/>
      <c r="BY1059" s="25">
        <v>45268</v>
      </c>
      <c r="BZ1059" s="13" t="s">
        <v>163</v>
      </c>
      <c r="CC1059" s="114"/>
    </row>
    <row r="1060" spans="1:81" ht="19.5" x14ac:dyDescent="0.4">
      <c r="A1060" s="117"/>
      <c r="B1060" s="123"/>
      <c r="C1060" s="123"/>
      <c r="D1060" s="123"/>
      <c r="Z1060" s="115"/>
      <c r="AA1060" s="115"/>
      <c r="AB1060" s="115"/>
      <c r="AC1060" s="115"/>
      <c r="AD1060" s="115"/>
      <c r="AE1060" s="115"/>
      <c r="AF1060" s="115"/>
      <c r="AG1060" s="115"/>
      <c r="AH1060" s="115"/>
      <c r="AI1060" s="115"/>
      <c r="AJ1060" s="115"/>
      <c r="AK1060" s="115"/>
      <c r="AL1060" s="115"/>
      <c r="AM1060" s="115"/>
      <c r="AN1060" s="115"/>
      <c r="AO1060" s="115"/>
      <c r="AP1060" s="29"/>
      <c r="AQ1060" s="29"/>
      <c r="BA1060" s="26"/>
      <c r="BB1060" s="13"/>
      <c r="BG1060" s="117"/>
      <c r="BH1060" s="123"/>
      <c r="BI1060" s="123"/>
      <c r="BJ1060" s="123"/>
      <c r="BL1060" s="115"/>
      <c r="BM1060" s="115"/>
      <c r="BN1060" s="115"/>
      <c r="BO1060" s="115"/>
      <c r="BP1060" s="115"/>
      <c r="BQ1060" s="115"/>
      <c r="BR1060" s="115"/>
      <c r="BS1060" s="115"/>
      <c r="BT1060" s="115"/>
      <c r="BU1060" s="115"/>
      <c r="BV1060" s="115"/>
      <c r="BW1060" s="115"/>
      <c r="BX1060" s="115"/>
      <c r="BY1060" s="25"/>
      <c r="BZ1060" s="13"/>
      <c r="CC1060" s="114"/>
    </row>
    <row r="1061" spans="1:81" ht="19.5" x14ac:dyDescent="0.4">
      <c r="A1061" s="117"/>
      <c r="B1061" s="123"/>
      <c r="C1061" s="123"/>
      <c r="D1061" s="123"/>
      <c r="AP1061" s="127"/>
      <c r="AQ1061" s="29"/>
      <c r="AX1061" s="115"/>
      <c r="AY1061" s="115"/>
      <c r="AZ1061" s="115"/>
      <c r="BA1061" s="26">
        <v>45698</v>
      </c>
      <c r="BB1061" s="13" t="s">
        <v>147</v>
      </c>
      <c r="BG1061" s="117"/>
      <c r="BH1061" s="123"/>
      <c r="BI1061" s="123"/>
      <c r="BJ1061" s="123"/>
      <c r="BL1061" s="115"/>
      <c r="BM1061" s="115"/>
      <c r="BN1061" s="115"/>
      <c r="BO1061" s="115"/>
      <c r="BP1061" s="115"/>
      <c r="BQ1061" s="115"/>
      <c r="BR1061" s="115"/>
      <c r="BS1061" s="115"/>
      <c r="BT1061" s="115"/>
      <c r="BU1061" s="115"/>
      <c r="BV1061" s="115"/>
      <c r="BW1061" s="115"/>
      <c r="BX1061" s="115"/>
      <c r="BY1061" s="25"/>
      <c r="BZ1061" s="13"/>
      <c r="CC1061" s="114"/>
    </row>
    <row r="1062" spans="1:81" ht="19.5" x14ac:dyDescent="0.4">
      <c r="A1062" s="117"/>
      <c r="B1062" s="123"/>
      <c r="C1062" s="123"/>
      <c r="D1062" s="123"/>
      <c r="AP1062" s="127"/>
      <c r="AQ1062" s="29"/>
      <c r="AR1062" s="115"/>
      <c r="AS1062" s="115"/>
      <c r="AT1062" s="115"/>
      <c r="AU1062" s="115"/>
      <c r="AV1062" s="115"/>
      <c r="AW1062" s="115"/>
      <c r="AX1062" s="115"/>
      <c r="AY1062" s="115"/>
      <c r="AZ1062" s="115"/>
      <c r="BA1062" s="26">
        <v>45699</v>
      </c>
      <c r="BB1062" s="13" t="s">
        <v>148</v>
      </c>
      <c r="BG1062" s="117"/>
      <c r="BH1062" s="123"/>
      <c r="BI1062" s="123"/>
      <c r="BJ1062" s="123"/>
      <c r="BL1062" s="115"/>
      <c r="BM1062" s="115"/>
      <c r="BN1062" s="115"/>
      <c r="BO1062" s="115"/>
      <c r="BP1062" s="115"/>
      <c r="BQ1062" s="115"/>
      <c r="BR1062" s="115"/>
      <c r="BS1062" s="115"/>
      <c r="BT1062" s="115"/>
      <c r="BU1062" s="115"/>
      <c r="BV1062" s="115"/>
      <c r="BW1062" s="115"/>
      <c r="BX1062" s="115"/>
      <c r="BY1062" s="25"/>
      <c r="BZ1062" s="13"/>
      <c r="CC1062" s="114"/>
    </row>
    <row r="1063" spans="1:81" ht="19.5" x14ac:dyDescent="0.4">
      <c r="A1063" s="117"/>
      <c r="B1063" s="123"/>
      <c r="C1063" s="123"/>
      <c r="D1063" s="123"/>
      <c r="Z1063" s="115"/>
      <c r="AA1063" s="115"/>
      <c r="AB1063" s="115"/>
      <c r="AC1063" s="115"/>
      <c r="AD1063" s="115"/>
      <c r="AE1063" s="115"/>
      <c r="AF1063" s="115"/>
      <c r="AG1063" s="115"/>
      <c r="AH1063" s="115"/>
      <c r="AI1063" s="115"/>
      <c r="AJ1063" s="115"/>
      <c r="AK1063" s="115"/>
      <c r="AL1063" s="115"/>
      <c r="AM1063" s="115"/>
      <c r="AN1063" s="115"/>
      <c r="AO1063" s="115"/>
      <c r="AP1063" s="29"/>
      <c r="AQ1063" s="29"/>
      <c r="AR1063" s="115"/>
      <c r="AS1063" s="115"/>
      <c r="AT1063" s="115"/>
      <c r="AU1063" s="115"/>
      <c r="AV1063" s="115"/>
      <c r="AW1063" s="115"/>
      <c r="AX1063" s="115"/>
      <c r="AY1063" s="115"/>
      <c r="AZ1063" s="115"/>
      <c r="BA1063" s="26"/>
      <c r="BB1063" s="13"/>
      <c r="BG1063" s="117"/>
      <c r="BH1063" s="123"/>
      <c r="BI1063" s="123"/>
      <c r="BJ1063" s="123"/>
      <c r="BL1063" s="115"/>
      <c r="BM1063" s="115"/>
      <c r="BN1063" s="115"/>
      <c r="BO1063" s="115"/>
      <c r="BP1063" s="115"/>
      <c r="BQ1063" s="115"/>
      <c r="BR1063" s="115"/>
      <c r="BS1063" s="115"/>
      <c r="BT1063" s="115"/>
      <c r="BU1063" s="115"/>
      <c r="BV1063" s="115"/>
      <c r="BW1063" s="115"/>
      <c r="BX1063" s="115"/>
      <c r="BY1063" s="25"/>
      <c r="BZ1063" s="13"/>
      <c r="CC1063" s="114"/>
    </row>
    <row r="1064" spans="1:81" ht="19.5" x14ac:dyDescent="0.4">
      <c r="A1064" s="117"/>
      <c r="B1064" s="123"/>
      <c r="C1064" s="123"/>
      <c r="D1064" s="123"/>
      <c r="AP1064" s="127"/>
      <c r="AQ1064" s="29"/>
      <c r="BA1064" s="26">
        <v>45699</v>
      </c>
      <c r="BB1064" s="13" t="s">
        <v>148</v>
      </c>
      <c r="BG1064" s="117"/>
      <c r="BH1064" s="123"/>
      <c r="BI1064" s="123"/>
      <c r="BJ1064" s="123"/>
      <c r="BK1064" s="115"/>
      <c r="BL1064" s="115"/>
      <c r="BM1064" s="115"/>
      <c r="BN1064" s="115"/>
      <c r="BO1064" s="115"/>
      <c r="BP1064" s="115"/>
      <c r="BQ1064" s="115"/>
      <c r="BR1064" s="115"/>
      <c r="BS1064" s="115"/>
      <c r="BT1064" s="115"/>
      <c r="BU1064" s="115"/>
      <c r="BV1064" s="115"/>
      <c r="BW1064" s="115"/>
      <c r="BX1064" s="115"/>
      <c r="BY1064" s="25">
        <v>45268</v>
      </c>
      <c r="BZ1064" s="13" t="s">
        <v>163</v>
      </c>
      <c r="CC1064" s="114"/>
    </row>
    <row r="1065" spans="1:81" ht="19.5" x14ac:dyDescent="0.4">
      <c r="A1065" s="117"/>
      <c r="B1065" s="123"/>
      <c r="C1065" s="123"/>
      <c r="D1065" s="123"/>
      <c r="Z1065" s="115"/>
      <c r="AA1065" s="115"/>
      <c r="AB1065" s="115"/>
      <c r="AC1065" s="115"/>
      <c r="AD1065" s="115"/>
      <c r="AE1065" s="115"/>
      <c r="AF1065" s="115"/>
      <c r="AG1065" s="115"/>
      <c r="AH1065" s="115"/>
      <c r="AI1065" s="115"/>
      <c r="AJ1065" s="115"/>
      <c r="AK1065" s="115"/>
      <c r="AL1065" s="115"/>
      <c r="AM1065" s="115"/>
      <c r="AN1065" s="115"/>
      <c r="AO1065" s="115"/>
      <c r="AP1065" s="29"/>
      <c r="AQ1065" s="29"/>
      <c r="BA1065" s="26"/>
      <c r="BB1065" s="13"/>
      <c r="BG1065" s="117"/>
      <c r="BH1065" s="123"/>
      <c r="BI1065" s="123"/>
      <c r="BJ1065" s="123"/>
      <c r="BK1065" s="115"/>
      <c r="BL1065" s="115"/>
      <c r="BM1065" s="115"/>
      <c r="BN1065" s="115"/>
      <c r="BO1065" s="115"/>
      <c r="BP1065" s="115"/>
      <c r="BQ1065" s="115"/>
      <c r="BR1065" s="115"/>
      <c r="BS1065" s="115"/>
      <c r="BT1065" s="115"/>
      <c r="BU1065" s="115"/>
      <c r="BV1065" s="115"/>
      <c r="BW1065" s="115"/>
      <c r="BX1065" s="115"/>
      <c r="BY1065" s="25"/>
      <c r="BZ1065" s="13"/>
      <c r="CC1065" s="114"/>
    </row>
    <row r="1066" spans="1:81" ht="19.5" x14ac:dyDescent="0.4">
      <c r="A1066" s="117"/>
      <c r="B1066" s="123"/>
      <c r="C1066" s="123"/>
      <c r="D1066" s="123"/>
      <c r="AP1066" s="127"/>
      <c r="AQ1066" s="29"/>
      <c r="AT1066" s="115"/>
      <c r="AU1066" s="115"/>
      <c r="AV1066" s="115"/>
      <c r="AW1066" s="115"/>
      <c r="AX1066" s="115"/>
      <c r="AY1066" s="115"/>
      <c r="AZ1066" s="115"/>
      <c r="BA1066" s="26">
        <v>45699</v>
      </c>
      <c r="BB1066" s="13" t="s">
        <v>148</v>
      </c>
      <c r="BG1066" s="117"/>
      <c r="BH1066" s="123"/>
      <c r="BI1066" s="123"/>
      <c r="BJ1066" s="123"/>
      <c r="BK1066" s="115"/>
      <c r="BL1066" s="115"/>
      <c r="BM1066" s="115"/>
      <c r="BN1066" s="115"/>
      <c r="BO1066" s="115"/>
      <c r="BP1066" s="115"/>
      <c r="BQ1066" s="115"/>
      <c r="BR1066" s="115"/>
      <c r="BS1066" s="115"/>
      <c r="BT1066" s="115"/>
      <c r="BU1066" s="115"/>
      <c r="BV1066" s="115"/>
      <c r="BW1066" s="115"/>
      <c r="BX1066" s="115"/>
      <c r="BY1066" s="25"/>
      <c r="BZ1066" s="13"/>
      <c r="CC1066" s="114"/>
    </row>
    <row r="1067" spans="1:81" ht="19.5" x14ac:dyDescent="0.4">
      <c r="A1067" s="117"/>
      <c r="B1067" s="123"/>
      <c r="C1067" s="123"/>
      <c r="D1067" s="123"/>
      <c r="AP1067" s="127"/>
      <c r="AQ1067" s="29"/>
      <c r="AT1067" s="115"/>
      <c r="AU1067" s="115"/>
      <c r="AV1067" s="115"/>
      <c r="AW1067" s="115"/>
      <c r="AX1067" s="115"/>
      <c r="AY1067" s="115"/>
      <c r="AZ1067" s="115"/>
      <c r="BA1067" s="26">
        <v>45699</v>
      </c>
      <c r="BB1067" s="13" t="s">
        <v>148</v>
      </c>
      <c r="BG1067" s="117"/>
      <c r="BH1067" s="123"/>
      <c r="BI1067" s="123"/>
      <c r="BJ1067" s="123"/>
      <c r="BK1067" s="115"/>
      <c r="BL1067" s="115"/>
      <c r="BM1067" s="115"/>
      <c r="BN1067" s="115"/>
      <c r="BO1067" s="115"/>
      <c r="BP1067" s="115"/>
      <c r="BQ1067" s="115"/>
      <c r="BR1067" s="115"/>
      <c r="BS1067" s="115"/>
      <c r="BT1067" s="115"/>
      <c r="BU1067" s="115"/>
      <c r="BV1067" s="115"/>
      <c r="BW1067" s="115"/>
      <c r="BX1067" s="115"/>
      <c r="BY1067" s="25"/>
      <c r="BZ1067" s="13"/>
      <c r="CC1067" s="114"/>
    </row>
    <row r="1068" spans="1:81" ht="19.5" x14ac:dyDescent="0.4">
      <c r="A1068" s="117"/>
      <c r="B1068" s="123"/>
      <c r="C1068" s="123"/>
      <c r="D1068" s="123"/>
      <c r="AP1068" s="127"/>
      <c r="AQ1068" s="29"/>
      <c r="AT1068" s="115"/>
      <c r="AU1068" s="115"/>
      <c r="AV1068" s="115"/>
      <c r="AW1068" s="115"/>
      <c r="AX1068" s="115"/>
      <c r="AY1068" s="115"/>
      <c r="AZ1068" s="115"/>
      <c r="BA1068" s="26">
        <v>45699</v>
      </c>
      <c r="BB1068" s="13" t="s">
        <v>148</v>
      </c>
      <c r="BG1068" s="117"/>
      <c r="BH1068" s="123"/>
      <c r="BI1068" s="123"/>
      <c r="BJ1068" s="123"/>
      <c r="BK1068" s="115"/>
      <c r="BL1068" s="115"/>
      <c r="BM1068" s="115"/>
      <c r="BN1068" s="115"/>
      <c r="BO1068" s="115"/>
      <c r="BP1068" s="115"/>
      <c r="BQ1068" s="115"/>
      <c r="BR1068" s="115"/>
      <c r="BS1068" s="115"/>
      <c r="BT1068" s="115"/>
      <c r="BU1068" s="115"/>
      <c r="BV1068" s="115"/>
      <c r="BW1068" s="115"/>
      <c r="BX1068" s="115"/>
      <c r="BY1068" s="25"/>
      <c r="BZ1068" s="13"/>
      <c r="CC1068" s="114"/>
    </row>
    <row r="1069" spans="1:81" ht="19.5" x14ac:dyDescent="0.4">
      <c r="A1069" s="117"/>
      <c r="B1069" s="123"/>
      <c r="C1069" s="123"/>
      <c r="D1069" s="123"/>
      <c r="AP1069" s="127"/>
      <c r="AQ1069" s="29"/>
      <c r="BA1069" s="26">
        <v>45699</v>
      </c>
      <c r="BB1069" s="13" t="s">
        <v>148</v>
      </c>
      <c r="BG1069" s="117"/>
      <c r="BH1069" s="123"/>
      <c r="BI1069" s="123"/>
      <c r="BJ1069" s="123"/>
      <c r="BK1069" s="115"/>
      <c r="BL1069" s="115"/>
      <c r="BM1069" s="115"/>
      <c r="BN1069" s="115"/>
      <c r="BO1069" s="115"/>
      <c r="BP1069" s="115"/>
      <c r="BQ1069" s="115"/>
      <c r="BR1069" s="115"/>
      <c r="BS1069" s="115"/>
      <c r="BT1069" s="115"/>
      <c r="BU1069" s="115"/>
      <c r="BV1069" s="115"/>
      <c r="BW1069" s="115"/>
      <c r="BX1069" s="115" t="s">
        <v>158</v>
      </c>
      <c r="BY1069" s="13">
        <f>SUBTOTAL(3,BY1055:BY1064)</f>
        <v>4</v>
      </c>
      <c r="BZ1069" s="13">
        <f>SUBTOTAL(3,BZ1055:BZ1064)</f>
        <v>4</v>
      </c>
      <c r="CC1069" s="114"/>
    </row>
    <row r="1070" spans="1:81" ht="19.5" x14ac:dyDescent="0.4">
      <c r="A1070" s="117"/>
      <c r="B1070" s="123"/>
      <c r="C1070" s="123"/>
      <c r="D1070" s="123"/>
      <c r="AP1070" s="127"/>
      <c r="AQ1070" s="29"/>
      <c r="AX1070" s="115"/>
      <c r="AY1070" s="115"/>
      <c r="AZ1070" s="115"/>
      <c r="BA1070" s="26">
        <v>45706</v>
      </c>
      <c r="BB1070" s="13" t="s">
        <v>146</v>
      </c>
      <c r="BG1070" s="117"/>
      <c r="BH1070" s="123"/>
      <c r="BI1070" s="123"/>
      <c r="BJ1070" s="123"/>
      <c r="BK1070" s="115"/>
      <c r="BL1070" s="115"/>
      <c r="BM1070" s="115"/>
      <c r="BN1070" s="115"/>
      <c r="BO1070" s="115"/>
      <c r="BP1070" s="115"/>
      <c r="BQ1070" s="115"/>
      <c r="BR1070" s="115"/>
      <c r="BS1070" s="115"/>
      <c r="BT1070" s="115"/>
      <c r="BU1070" s="115"/>
      <c r="BV1070" s="115"/>
      <c r="BW1070" s="115"/>
      <c r="BX1070" s="115"/>
      <c r="BY1070" s="13"/>
      <c r="BZ1070" s="13"/>
      <c r="CC1070" s="114"/>
    </row>
    <row r="1071" spans="1:81" ht="19.5" x14ac:dyDescent="0.4">
      <c r="A1071" s="117"/>
      <c r="B1071" s="123"/>
      <c r="C1071" s="123"/>
      <c r="D1071" s="123"/>
      <c r="AP1071" s="127"/>
      <c r="AQ1071" s="29"/>
      <c r="AW1071" s="115"/>
      <c r="AX1071" s="115"/>
      <c r="AY1071" s="115"/>
      <c r="AZ1071" s="115"/>
      <c r="BA1071" s="26">
        <v>45709</v>
      </c>
      <c r="BB1071" s="13" t="s">
        <v>148</v>
      </c>
      <c r="BG1071" s="117"/>
      <c r="BH1071" s="123"/>
      <c r="BI1071" s="123"/>
      <c r="BJ1071" s="123"/>
      <c r="BK1071" s="115"/>
      <c r="BL1071" s="115"/>
      <c r="BM1071" s="115"/>
      <c r="BN1071" s="115"/>
      <c r="BO1071" s="115"/>
      <c r="BP1071" s="115"/>
      <c r="BQ1071" s="115"/>
      <c r="BR1071" s="115"/>
      <c r="BS1071" s="115"/>
      <c r="BT1071" s="115"/>
      <c r="BU1071" s="115"/>
      <c r="BV1071" s="115"/>
      <c r="BW1071" s="115"/>
      <c r="BX1071" s="115"/>
      <c r="BY1071" s="13"/>
      <c r="BZ1071" s="13"/>
      <c r="CC1071" s="114"/>
    </row>
    <row r="1072" spans="1:81" ht="19.5" x14ac:dyDescent="0.4">
      <c r="A1072" s="117"/>
      <c r="B1072" s="123"/>
      <c r="C1072" s="123"/>
      <c r="D1072" s="123"/>
      <c r="Z1072" s="115"/>
      <c r="AA1072" s="115"/>
      <c r="AB1072" s="115"/>
      <c r="AC1072" s="115"/>
      <c r="AD1072" s="115"/>
      <c r="AE1072" s="115"/>
      <c r="AF1072" s="115"/>
      <c r="AG1072" s="115"/>
      <c r="AH1072" s="115"/>
      <c r="AI1072" s="115"/>
      <c r="AJ1072" s="115"/>
      <c r="AK1072" s="115"/>
      <c r="AL1072" s="115"/>
      <c r="AM1072" s="115"/>
      <c r="AN1072" s="115"/>
      <c r="AO1072" s="115"/>
      <c r="AP1072" s="29"/>
      <c r="AQ1072" s="29"/>
      <c r="AW1072" s="115"/>
      <c r="AX1072" s="115"/>
      <c r="AY1072" s="115"/>
      <c r="AZ1072" s="115"/>
      <c r="BA1072" s="26"/>
      <c r="BB1072" s="13"/>
      <c r="BG1072" s="117"/>
      <c r="BH1072" s="123"/>
      <c r="BI1072" s="123"/>
      <c r="BJ1072" s="123"/>
      <c r="BK1072" s="115"/>
      <c r="BL1072" s="115"/>
      <c r="BM1072" s="115"/>
      <c r="BN1072" s="115"/>
      <c r="BO1072" s="115"/>
      <c r="BP1072" s="115"/>
      <c r="BQ1072" s="115"/>
      <c r="BR1072" s="115"/>
      <c r="BS1072" s="115"/>
      <c r="BT1072" s="115"/>
      <c r="BU1072" s="115"/>
      <c r="BV1072" s="115"/>
      <c r="BW1072" s="115"/>
      <c r="BX1072" s="115"/>
      <c r="BY1072" s="13"/>
      <c r="BZ1072" s="13"/>
      <c r="CC1072" s="114"/>
    </row>
    <row r="1073" spans="1:81" ht="19.5" x14ac:dyDescent="0.4">
      <c r="A1073" s="117"/>
      <c r="B1073" s="123"/>
      <c r="C1073" s="123"/>
      <c r="D1073" s="123"/>
      <c r="AP1073" s="127"/>
      <c r="AQ1073" s="29"/>
      <c r="AW1073" s="115"/>
      <c r="AX1073" s="115"/>
      <c r="AY1073" s="115"/>
      <c r="AZ1073" s="115"/>
      <c r="BA1073" s="26">
        <v>45709</v>
      </c>
      <c r="BB1073" s="13" t="s">
        <v>147</v>
      </c>
      <c r="BG1073" s="117"/>
      <c r="BH1073" s="123"/>
      <c r="BI1073" s="123"/>
      <c r="BJ1073" s="123"/>
      <c r="BK1073" s="115"/>
      <c r="BL1073" s="115"/>
      <c r="BM1073" s="115"/>
      <c r="BN1073" s="115"/>
      <c r="BO1073" s="115"/>
      <c r="BP1073" s="115"/>
      <c r="BQ1073" s="115"/>
      <c r="BR1073" s="115"/>
      <c r="BS1073" s="115"/>
      <c r="BT1073" s="115"/>
      <c r="BU1073" s="115"/>
      <c r="BV1073" s="115"/>
      <c r="BW1073" s="115"/>
      <c r="BX1073" s="115"/>
      <c r="BY1073" s="13"/>
      <c r="BZ1073" s="13"/>
      <c r="CC1073" s="114"/>
    </row>
    <row r="1074" spans="1:81" ht="19.5" x14ac:dyDescent="0.4">
      <c r="A1074" s="117"/>
      <c r="B1074" s="123"/>
      <c r="C1074" s="123"/>
      <c r="D1074" s="123"/>
      <c r="Z1074" s="115"/>
      <c r="AA1074" s="115"/>
      <c r="AB1074" s="115"/>
      <c r="AC1074" s="115"/>
      <c r="AD1074" s="115"/>
      <c r="AE1074" s="115"/>
      <c r="AF1074" s="115"/>
      <c r="AG1074" s="115"/>
      <c r="AH1074" s="115"/>
      <c r="AI1074" s="115"/>
      <c r="AJ1074" s="115"/>
      <c r="AK1074" s="115"/>
      <c r="AL1074" s="115"/>
      <c r="AM1074" s="115"/>
      <c r="AN1074" s="115"/>
      <c r="AO1074" s="115"/>
      <c r="AP1074" s="29"/>
      <c r="AQ1074" s="29"/>
      <c r="AW1074" s="115"/>
      <c r="AX1074" s="115"/>
      <c r="AY1074" s="115"/>
      <c r="AZ1074" s="115"/>
      <c r="BA1074" s="26"/>
      <c r="BB1074" s="13"/>
      <c r="BG1074" s="117"/>
      <c r="BH1074" s="123"/>
      <c r="BI1074" s="123"/>
      <c r="BJ1074" s="123"/>
      <c r="BK1074" s="115"/>
      <c r="BL1074" s="115"/>
      <c r="BM1074" s="115"/>
      <c r="BN1074" s="115"/>
      <c r="BO1074" s="115"/>
      <c r="BP1074" s="115"/>
      <c r="BQ1074" s="115"/>
      <c r="BR1074" s="115"/>
      <c r="BS1074" s="115"/>
      <c r="BT1074" s="115"/>
      <c r="BU1074" s="115"/>
      <c r="BV1074" s="115"/>
      <c r="BW1074" s="115"/>
      <c r="BX1074" s="115"/>
      <c r="BY1074" s="13"/>
      <c r="BZ1074" s="13"/>
      <c r="CC1074" s="114"/>
    </row>
    <row r="1075" spans="1:81" ht="19.5" x14ac:dyDescent="0.4">
      <c r="A1075" s="117"/>
      <c r="B1075" s="123"/>
      <c r="C1075" s="123"/>
      <c r="D1075" s="123"/>
      <c r="AP1075" s="127"/>
      <c r="AQ1075" s="29"/>
      <c r="AW1075" s="115"/>
      <c r="AX1075" s="115"/>
      <c r="AY1075" s="115"/>
      <c r="AZ1075" s="115"/>
      <c r="BA1075" s="26">
        <v>45712</v>
      </c>
      <c r="BB1075" s="13" t="s">
        <v>146</v>
      </c>
      <c r="BG1075" s="117"/>
      <c r="BH1075" s="123"/>
      <c r="BI1075" s="123"/>
      <c r="BJ1075" s="123"/>
      <c r="BK1075" s="115"/>
      <c r="BL1075" s="115"/>
      <c r="BM1075" s="115"/>
      <c r="BN1075" s="115"/>
      <c r="BO1075" s="115"/>
      <c r="BP1075" s="115"/>
      <c r="BQ1075" s="115"/>
      <c r="BR1075" s="115"/>
      <c r="BS1075" s="115"/>
      <c r="BT1075" s="115"/>
      <c r="BU1075" s="115"/>
      <c r="BV1075" s="115"/>
      <c r="BW1075" s="115"/>
      <c r="BX1075" s="115"/>
      <c r="BY1075" s="13"/>
      <c r="BZ1075" s="13"/>
      <c r="CC1075" s="114"/>
    </row>
    <row r="1076" spans="1:81" ht="19.5" x14ac:dyDescent="0.4">
      <c r="A1076" s="117"/>
      <c r="B1076" s="123"/>
      <c r="C1076" s="123"/>
      <c r="D1076" s="123"/>
      <c r="AP1076" s="127"/>
      <c r="AQ1076" s="29"/>
      <c r="AW1076" s="115"/>
      <c r="AX1076" s="115"/>
      <c r="AY1076" s="115"/>
      <c r="AZ1076" s="115"/>
      <c r="BA1076" s="26">
        <v>45712</v>
      </c>
      <c r="BB1076" s="13" t="s">
        <v>148</v>
      </c>
      <c r="BG1076" s="117"/>
      <c r="BH1076" s="123"/>
      <c r="BI1076" s="123"/>
      <c r="BJ1076" s="123"/>
      <c r="BK1076" s="115"/>
      <c r="BL1076" s="115"/>
      <c r="BM1076" s="115"/>
      <c r="BN1076" s="115"/>
      <c r="BO1076" s="115"/>
      <c r="BP1076" s="115"/>
      <c r="BQ1076" s="115"/>
      <c r="BR1076" s="115"/>
      <c r="BS1076" s="115"/>
      <c r="BT1076" s="115"/>
      <c r="BU1076" s="115"/>
      <c r="BV1076" s="115"/>
      <c r="BW1076" s="115"/>
      <c r="BX1076" s="115"/>
      <c r="BY1076" s="13"/>
      <c r="BZ1076" s="13"/>
      <c r="CC1076" s="114"/>
    </row>
    <row r="1077" spans="1:81" ht="19.5" x14ac:dyDescent="0.4">
      <c r="A1077" s="117"/>
      <c r="B1077" s="123"/>
      <c r="C1077" s="123"/>
      <c r="D1077" s="123"/>
      <c r="Z1077" s="115"/>
      <c r="AA1077" s="115"/>
      <c r="AB1077" s="115"/>
      <c r="AC1077" s="115"/>
      <c r="AD1077" s="115"/>
      <c r="AE1077" s="115"/>
      <c r="AF1077" s="115"/>
      <c r="AG1077" s="115"/>
      <c r="AH1077" s="115"/>
      <c r="AI1077" s="115"/>
      <c r="AJ1077" s="115"/>
      <c r="AK1077" s="115"/>
      <c r="AL1077" s="115"/>
      <c r="AM1077" s="115"/>
      <c r="AN1077" s="115"/>
      <c r="AO1077" s="115"/>
      <c r="AP1077" s="29"/>
      <c r="AQ1077" s="29"/>
      <c r="AW1077" s="115"/>
      <c r="AX1077" s="115"/>
      <c r="AY1077" s="115"/>
      <c r="AZ1077" s="115"/>
      <c r="BA1077" s="26"/>
      <c r="BB1077" s="13"/>
      <c r="BG1077" s="117"/>
      <c r="BH1077" s="123"/>
      <c r="BI1077" s="123"/>
      <c r="BJ1077" s="123"/>
      <c r="BK1077" s="115"/>
      <c r="BL1077" s="115"/>
      <c r="BM1077" s="115"/>
      <c r="BN1077" s="115"/>
      <c r="BO1077" s="115"/>
      <c r="BP1077" s="115"/>
      <c r="BQ1077" s="115"/>
      <c r="BR1077" s="115"/>
      <c r="BS1077" s="115"/>
      <c r="BT1077" s="115"/>
      <c r="BU1077" s="115"/>
      <c r="BV1077" s="115"/>
      <c r="BW1077" s="115"/>
      <c r="BX1077" s="115"/>
      <c r="BY1077" s="13"/>
      <c r="BZ1077" s="13"/>
      <c r="CC1077" s="114"/>
    </row>
    <row r="1078" spans="1:81" ht="19.5" x14ac:dyDescent="0.4">
      <c r="A1078" s="117"/>
      <c r="B1078" s="123"/>
      <c r="C1078" s="123"/>
      <c r="D1078" s="123"/>
      <c r="AP1078" s="127"/>
      <c r="AQ1078" s="29"/>
      <c r="AU1078" s="115"/>
      <c r="AV1078" s="115"/>
      <c r="AW1078" s="115"/>
      <c r="AX1078" s="115"/>
      <c r="AY1078" s="115"/>
      <c r="AZ1078" s="115"/>
      <c r="BA1078" s="26">
        <v>45714</v>
      </c>
      <c r="BB1078" s="13" t="s">
        <v>147</v>
      </c>
      <c r="BG1078" s="117"/>
      <c r="BH1078" s="123"/>
      <c r="BI1078" s="123"/>
      <c r="BJ1078" s="123"/>
      <c r="BK1078" s="115"/>
      <c r="BL1078" s="115"/>
      <c r="BM1078" s="115"/>
      <c r="BN1078" s="115"/>
      <c r="BO1078" s="115"/>
      <c r="BP1078" s="115"/>
      <c r="BQ1078" s="115"/>
      <c r="BR1078" s="115"/>
      <c r="BS1078" s="115"/>
      <c r="BT1078" s="115"/>
      <c r="BU1078" s="115"/>
      <c r="BV1078" s="115"/>
      <c r="BW1078" s="115"/>
      <c r="BX1078" s="115"/>
      <c r="BY1078" s="13"/>
      <c r="BZ1078" s="13"/>
      <c r="CC1078" s="114"/>
    </row>
    <row r="1079" spans="1:81" ht="19.5" x14ac:dyDescent="0.4">
      <c r="A1079" s="117"/>
      <c r="B1079" s="123"/>
      <c r="C1079" s="123"/>
      <c r="D1079" s="123"/>
      <c r="AP1079" s="127"/>
      <c r="AQ1079" s="29"/>
      <c r="BA1079" s="26">
        <v>45714</v>
      </c>
      <c r="BB1079" s="13" t="s">
        <v>147</v>
      </c>
      <c r="BG1079" s="117"/>
      <c r="BH1079" s="123"/>
      <c r="BI1079" s="123"/>
      <c r="BJ1079" s="123"/>
      <c r="BK1079" s="115"/>
      <c r="BL1079" s="115"/>
      <c r="BM1079" s="115"/>
      <c r="BN1079" s="115"/>
      <c r="BO1079" s="115"/>
      <c r="BP1079" s="115"/>
      <c r="BQ1079" s="115"/>
      <c r="BR1079" s="115"/>
      <c r="BS1079" s="115"/>
      <c r="BT1079" s="115"/>
      <c r="BU1079" s="115"/>
      <c r="BV1079" s="115"/>
      <c r="BW1079" s="115"/>
      <c r="BX1079" s="115"/>
      <c r="BY1079" s="25">
        <v>45269</v>
      </c>
      <c r="BZ1079" s="13" t="s">
        <v>163</v>
      </c>
      <c r="CC1079" s="114"/>
    </row>
    <row r="1080" spans="1:81" ht="19.5" x14ac:dyDescent="0.4">
      <c r="A1080" s="117"/>
      <c r="B1080" s="123"/>
      <c r="C1080" s="123"/>
      <c r="D1080" s="123"/>
      <c r="AP1080" s="127"/>
      <c r="AQ1080" s="29"/>
      <c r="AR1080" s="115"/>
      <c r="AS1080" s="115"/>
      <c r="AT1080" s="115"/>
      <c r="AU1080" s="115"/>
      <c r="AV1080" s="115"/>
      <c r="AW1080" s="115"/>
      <c r="AX1080" s="115"/>
      <c r="AY1080" s="115"/>
      <c r="AZ1080" s="115"/>
      <c r="BA1080" s="26">
        <v>45714</v>
      </c>
      <c r="BB1080" s="13" t="s">
        <v>147</v>
      </c>
      <c r="BG1080" s="117"/>
      <c r="BH1080" s="123"/>
      <c r="BI1080" s="123"/>
      <c r="BJ1080" s="123"/>
      <c r="BK1080" s="115"/>
      <c r="BL1080" s="115"/>
      <c r="BM1080" s="115"/>
      <c r="BN1080" s="115"/>
      <c r="BO1080" s="115"/>
      <c r="BP1080" s="115"/>
      <c r="BQ1080" s="115"/>
      <c r="BR1080" s="115"/>
      <c r="BS1080" s="115"/>
      <c r="BT1080" s="115"/>
      <c r="BU1080" s="115"/>
      <c r="BV1080" s="115"/>
      <c r="BW1080" s="115"/>
      <c r="BX1080" s="115"/>
      <c r="BY1080" s="25"/>
      <c r="BZ1080" s="13"/>
      <c r="CC1080" s="114"/>
    </row>
    <row r="1081" spans="1:81" ht="19.5" x14ac:dyDescent="0.4">
      <c r="A1081" s="117"/>
      <c r="B1081" s="123"/>
      <c r="C1081" s="123"/>
      <c r="D1081" s="123"/>
      <c r="AP1081" s="127"/>
      <c r="AQ1081" s="29"/>
      <c r="AR1081" s="115"/>
      <c r="AS1081" s="115"/>
      <c r="AT1081" s="115"/>
      <c r="AU1081" s="115"/>
      <c r="AV1081" s="115"/>
      <c r="AW1081" s="115"/>
      <c r="AX1081" s="115"/>
      <c r="AY1081" s="115" t="s">
        <v>145</v>
      </c>
      <c r="AZ1081" s="115">
        <f>SUBTOTAL(3,AZ2:AZ1080)</f>
        <v>0</v>
      </c>
      <c r="BA1081" s="26"/>
      <c r="BB1081" s="13">
        <f>SUBTOTAL(3,BB2:BB1080)</f>
        <v>145</v>
      </c>
      <c r="BG1081" s="117"/>
      <c r="BH1081" s="123"/>
      <c r="BI1081" s="123"/>
      <c r="BJ1081" s="123"/>
      <c r="BK1081" s="115"/>
      <c r="BL1081" s="115"/>
      <c r="BM1081" s="115"/>
      <c r="BN1081" s="115"/>
      <c r="BO1081" s="115"/>
      <c r="BP1081" s="115"/>
      <c r="BQ1081" s="115"/>
      <c r="BR1081" s="115"/>
      <c r="BS1081" s="115"/>
      <c r="BT1081" s="115"/>
      <c r="BU1081" s="115"/>
      <c r="BV1081" s="115"/>
      <c r="BW1081" s="115"/>
      <c r="BX1081" s="115"/>
      <c r="BY1081" s="25"/>
      <c r="BZ1081" s="13"/>
      <c r="CC1081" s="114"/>
    </row>
    <row r="1082" spans="1:81" ht="19.5" x14ac:dyDescent="0.4">
      <c r="A1082" s="117"/>
      <c r="B1082" s="123"/>
      <c r="C1082" s="123"/>
      <c r="D1082" s="123"/>
      <c r="AP1082" s="127"/>
      <c r="AQ1082" s="29"/>
      <c r="BA1082" s="26"/>
      <c r="BB1082" s="13"/>
      <c r="BG1082" s="117"/>
      <c r="BH1082" s="123"/>
      <c r="BI1082" s="123"/>
      <c r="BJ1082" s="123"/>
      <c r="BK1082" s="115"/>
      <c r="BL1082" s="115"/>
      <c r="BM1082" s="115"/>
      <c r="BN1082" s="115"/>
      <c r="BO1082" s="115"/>
      <c r="BP1082" s="115"/>
      <c r="BQ1082" s="115"/>
      <c r="BR1082" s="115"/>
      <c r="BS1082" s="115"/>
      <c r="BT1082" s="115"/>
      <c r="BU1082" s="115"/>
      <c r="BV1082" s="115"/>
      <c r="BW1082" s="115"/>
      <c r="BX1082" s="115"/>
      <c r="BY1082" s="25">
        <v>45269</v>
      </c>
      <c r="BZ1082" s="13" t="s">
        <v>163</v>
      </c>
      <c r="CC1082" s="114"/>
    </row>
    <row r="1083" spans="1:81" ht="19.5" x14ac:dyDescent="0.4">
      <c r="A1083" s="117"/>
      <c r="B1083" s="123"/>
      <c r="C1083" s="123"/>
      <c r="D1083" s="123"/>
      <c r="AP1083" s="127"/>
      <c r="AQ1083" s="29"/>
      <c r="AT1083" s="115"/>
      <c r="AU1083" s="115"/>
      <c r="AV1083" s="115"/>
      <c r="AW1083" s="115"/>
      <c r="AX1083" s="115"/>
      <c r="AY1083" s="115"/>
      <c r="AZ1083" s="115"/>
      <c r="BA1083" s="26"/>
      <c r="BB1083" s="13"/>
      <c r="BG1083" s="117"/>
      <c r="BH1083" s="123"/>
      <c r="BI1083" s="123"/>
      <c r="BJ1083" s="123"/>
      <c r="BK1083" s="115"/>
      <c r="BL1083" s="115"/>
      <c r="BM1083" s="115"/>
      <c r="BN1083" s="115"/>
      <c r="BO1083" s="115"/>
      <c r="BP1083" s="115"/>
      <c r="BQ1083" s="115"/>
      <c r="BR1083" s="115"/>
      <c r="BS1083" s="115"/>
      <c r="BT1083" s="115"/>
      <c r="BU1083" s="115"/>
      <c r="BV1083" s="115"/>
      <c r="BW1083" s="115"/>
      <c r="BX1083" s="115"/>
      <c r="BY1083" s="25"/>
      <c r="BZ1083" s="13"/>
      <c r="CC1083" s="114"/>
    </row>
    <row r="1084" spans="1:81" ht="19.5" x14ac:dyDescent="0.4">
      <c r="A1084" s="117"/>
      <c r="B1084" s="123"/>
      <c r="C1084" s="123"/>
      <c r="D1084" s="123"/>
      <c r="AP1084" s="127"/>
      <c r="AQ1084" s="29"/>
      <c r="BA1084" s="26"/>
      <c r="BB1084" s="13"/>
      <c r="BG1084" s="117"/>
      <c r="BH1084" s="123"/>
      <c r="BI1084" s="123"/>
      <c r="BJ1084" s="123"/>
      <c r="BK1084" s="115"/>
      <c r="BL1084" s="115"/>
      <c r="BM1084" s="115"/>
      <c r="BN1084" s="115"/>
      <c r="BO1084" s="115"/>
      <c r="BP1084" s="115"/>
      <c r="BQ1084" s="115"/>
      <c r="BR1084" s="115"/>
      <c r="BS1084" s="115"/>
      <c r="BT1084" s="115"/>
      <c r="BU1084" s="115"/>
      <c r="BV1084" s="115"/>
      <c r="BW1084" s="115"/>
      <c r="BX1084" s="115" t="s">
        <v>159</v>
      </c>
      <c r="BY1084" s="13">
        <f>SUBTOTAL(3,BY1079:BY1082)</f>
        <v>2</v>
      </c>
      <c r="BZ1084" s="13">
        <f>SUBTOTAL(3,BZ1079:BZ1082)</f>
        <v>2</v>
      </c>
      <c r="CC1084" s="114"/>
    </row>
    <row r="1085" spans="1:81" ht="19.5" x14ac:dyDescent="0.4">
      <c r="A1085" s="117"/>
      <c r="B1085" s="123"/>
      <c r="C1085" s="123"/>
      <c r="D1085" s="123"/>
      <c r="AP1085" s="127"/>
      <c r="AQ1085" s="29"/>
      <c r="AR1085" s="115"/>
      <c r="AS1085" s="115"/>
      <c r="AT1085" s="115"/>
      <c r="AU1085" s="115"/>
      <c r="AV1085" s="115"/>
      <c r="AW1085" s="115"/>
      <c r="AX1085" s="115"/>
      <c r="AY1085" s="115"/>
      <c r="AZ1085" s="115"/>
      <c r="BA1085" s="26"/>
      <c r="BB1085" s="13"/>
      <c r="BG1085" s="117"/>
      <c r="BH1085" s="123"/>
      <c r="BI1085" s="123"/>
      <c r="BJ1085" s="123"/>
      <c r="BK1085" s="115"/>
      <c r="BL1085" s="115"/>
      <c r="BM1085" s="115"/>
      <c r="BN1085" s="115"/>
      <c r="BO1085" s="115"/>
      <c r="BP1085" s="115"/>
      <c r="BQ1085" s="115"/>
      <c r="BR1085" s="115"/>
      <c r="BS1085" s="115"/>
      <c r="BT1085" s="115"/>
      <c r="BU1085" s="115"/>
      <c r="BV1085" s="115"/>
      <c r="BW1085" s="115"/>
      <c r="BX1085" s="115"/>
      <c r="BY1085" s="13"/>
      <c r="BZ1085" s="13"/>
      <c r="CC1085" s="114"/>
    </row>
    <row r="1086" spans="1:81" ht="19.5" x14ac:dyDescent="0.4">
      <c r="A1086" s="117"/>
      <c r="B1086" s="123"/>
      <c r="C1086" s="123"/>
      <c r="D1086" s="123"/>
      <c r="AP1086" s="127"/>
      <c r="AQ1086" s="29"/>
      <c r="AR1086" s="115"/>
      <c r="AS1086" s="115"/>
      <c r="AT1086" s="115"/>
      <c r="AU1086" s="115"/>
      <c r="AV1086" s="115"/>
      <c r="AW1086" s="115"/>
      <c r="AX1086" s="115"/>
      <c r="AY1086" s="115"/>
      <c r="AZ1086" s="115"/>
      <c r="BA1086" s="26"/>
      <c r="BB1086" s="13"/>
      <c r="BG1086" s="117"/>
      <c r="BH1086" s="123"/>
      <c r="BI1086" s="123"/>
      <c r="BJ1086" s="123"/>
      <c r="BK1086" s="115"/>
      <c r="BL1086" s="115"/>
      <c r="BM1086" s="115"/>
      <c r="BN1086" s="115"/>
      <c r="BO1086" s="115"/>
      <c r="BP1086" s="115"/>
      <c r="BQ1086" s="115"/>
      <c r="BR1086" s="115"/>
      <c r="BS1086" s="115"/>
      <c r="BT1086" s="115"/>
      <c r="BU1086" s="115"/>
      <c r="BV1086" s="115"/>
      <c r="BW1086" s="115"/>
      <c r="BX1086" s="115"/>
      <c r="BY1086" s="13"/>
      <c r="BZ1086" s="13"/>
      <c r="CC1086" s="114"/>
    </row>
    <row r="1087" spans="1:81" ht="19.5" x14ac:dyDescent="0.4">
      <c r="A1087" s="117"/>
      <c r="B1087" s="123"/>
      <c r="C1087" s="123"/>
      <c r="D1087" s="123"/>
      <c r="F1087" s="115"/>
      <c r="G1087" s="115"/>
      <c r="H1087" s="115"/>
      <c r="I1087" s="115"/>
      <c r="J1087" s="115"/>
      <c r="K1087" s="115"/>
      <c r="L1087" s="115"/>
      <c r="M1087" s="115"/>
      <c r="N1087" s="115"/>
      <c r="O1087" s="115"/>
      <c r="P1087" s="115"/>
      <c r="Q1087" s="115"/>
      <c r="R1087" s="115"/>
      <c r="S1087" s="115"/>
      <c r="T1087" s="115"/>
      <c r="U1087" s="115"/>
      <c r="V1087" s="115"/>
      <c r="W1087" s="115"/>
      <c r="X1087" s="115"/>
      <c r="Y1087" s="115"/>
      <c r="Z1087" s="115"/>
      <c r="AA1087" s="115"/>
      <c r="AB1087" s="115"/>
      <c r="AC1087" s="115"/>
      <c r="AD1087" s="115"/>
      <c r="AE1087" s="115"/>
      <c r="AF1087" s="115"/>
      <c r="AG1087" s="115"/>
      <c r="AH1087" s="115"/>
      <c r="AI1087" s="115"/>
      <c r="AJ1087" s="115"/>
      <c r="AK1087" s="115"/>
      <c r="AL1087" s="115"/>
      <c r="AM1087" s="115"/>
      <c r="AN1087" s="115"/>
      <c r="AO1087" s="115"/>
      <c r="AP1087" s="127"/>
      <c r="AQ1087" s="29"/>
      <c r="AR1087" s="115"/>
      <c r="AS1087" s="115"/>
      <c r="AT1087" s="115"/>
      <c r="AU1087" s="115"/>
      <c r="AV1087" s="115"/>
      <c r="AW1087" s="115"/>
      <c r="AX1087" s="115"/>
      <c r="AY1087" s="115"/>
      <c r="AZ1087" s="115"/>
      <c r="BA1087" s="26"/>
      <c r="BB1087" s="13"/>
      <c r="BG1087" s="117"/>
      <c r="BH1087" s="123"/>
      <c r="BI1087" s="123"/>
      <c r="BJ1087" s="123"/>
      <c r="BK1087" s="115"/>
      <c r="BL1087" s="115"/>
      <c r="BM1087" s="115"/>
      <c r="BN1087" s="115"/>
      <c r="BO1087" s="115"/>
      <c r="BP1087" s="115"/>
      <c r="BQ1087" s="115"/>
      <c r="BR1087" s="115"/>
      <c r="BS1087" s="115"/>
      <c r="BT1087" s="115"/>
      <c r="BU1087" s="115"/>
      <c r="BV1087" s="115"/>
      <c r="BW1087" s="115"/>
      <c r="BX1087" s="115"/>
      <c r="BY1087" s="13"/>
      <c r="BZ1087" s="13"/>
      <c r="CC1087" s="114"/>
    </row>
    <row r="1088" spans="1:81" ht="19.5" x14ac:dyDescent="0.4">
      <c r="A1088" s="117"/>
      <c r="B1088" s="123"/>
      <c r="C1088" s="123"/>
      <c r="D1088" s="123"/>
      <c r="AP1088" s="127"/>
      <c r="AQ1088" s="29"/>
      <c r="BA1088" s="26"/>
      <c r="BB1088" s="13"/>
      <c r="BG1088" s="117"/>
      <c r="BH1088" s="123"/>
      <c r="BI1088" s="123"/>
      <c r="BJ1088" s="123"/>
      <c r="BK1088" s="115"/>
      <c r="BL1088" s="115"/>
      <c r="BM1088" s="115"/>
      <c r="BN1088" s="115"/>
      <c r="BO1088" s="115"/>
      <c r="BP1088" s="115"/>
      <c r="BQ1088" s="115"/>
      <c r="BR1088" s="115"/>
      <c r="BS1088" s="115"/>
      <c r="BT1088" s="115"/>
      <c r="BU1088" s="115"/>
      <c r="BV1088" s="115"/>
      <c r="BW1088" s="115"/>
      <c r="BX1088" s="115"/>
      <c r="BY1088" s="25">
        <v>45270</v>
      </c>
      <c r="BZ1088" s="13" t="s">
        <v>164</v>
      </c>
      <c r="CC1088" s="114"/>
    </row>
    <row r="1089" spans="1:81" ht="19.5" x14ac:dyDescent="0.4">
      <c r="A1089" s="117"/>
      <c r="B1089" s="123"/>
      <c r="C1089" s="123"/>
      <c r="D1089" s="123"/>
      <c r="AP1089" s="127"/>
      <c r="AQ1089" s="29"/>
      <c r="AV1089" s="115"/>
      <c r="AW1089" s="115"/>
      <c r="AX1089" s="115"/>
      <c r="AY1089" s="115"/>
      <c r="AZ1089" s="115"/>
      <c r="BA1089" s="17"/>
      <c r="BB1089" s="13"/>
      <c r="BG1089" s="117"/>
      <c r="BH1089" s="123"/>
      <c r="BI1089" s="123"/>
      <c r="BJ1089" s="123"/>
      <c r="BK1089" s="115"/>
      <c r="BL1089" s="115"/>
      <c r="BM1089" s="115"/>
      <c r="BN1089" s="115"/>
      <c r="BO1089" s="115"/>
      <c r="BP1089" s="115"/>
      <c r="BQ1089" s="115"/>
      <c r="BR1089" s="115"/>
      <c r="BS1089" s="115"/>
      <c r="BT1089" s="115"/>
      <c r="BU1089" s="115"/>
      <c r="BV1089" s="115"/>
      <c r="BW1089" s="115"/>
      <c r="BX1089" s="115"/>
      <c r="BY1089" s="25"/>
      <c r="BZ1089" s="13"/>
      <c r="CC1089" s="114"/>
    </row>
    <row r="1090" spans="1:81" ht="19.5" x14ac:dyDescent="0.4">
      <c r="A1090" s="117"/>
      <c r="B1090" s="123"/>
      <c r="C1090" s="123"/>
      <c r="D1090" s="123"/>
      <c r="AP1090" s="127"/>
      <c r="AQ1090" s="29"/>
      <c r="BA1090" s="26"/>
      <c r="BB1090" s="13"/>
      <c r="BG1090" s="117"/>
      <c r="BH1090" s="123"/>
      <c r="BI1090" s="123"/>
      <c r="BJ1090" s="123"/>
      <c r="BK1090" s="115"/>
      <c r="BL1090" s="115"/>
      <c r="BM1090" s="115"/>
      <c r="BN1090" s="115"/>
      <c r="BO1090" s="115"/>
      <c r="BP1090" s="115"/>
      <c r="BQ1090" s="115"/>
      <c r="BR1090" s="115"/>
      <c r="BS1090" s="115"/>
      <c r="BT1090" s="115"/>
      <c r="BU1090" s="115"/>
      <c r="BV1090" s="115"/>
      <c r="BW1090" s="115"/>
      <c r="BX1090" s="115"/>
      <c r="BY1090" s="25"/>
      <c r="BZ1090" s="13"/>
      <c r="CC1090" s="114"/>
    </row>
    <row r="1091" spans="1:81" ht="19.5" x14ac:dyDescent="0.4">
      <c r="A1091" s="117"/>
      <c r="B1091" s="123"/>
      <c r="C1091" s="123"/>
      <c r="D1091" s="123"/>
      <c r="AP1091" s="127"/>
      <c r="AQ1091" s="29"/>
      <c r="AS1091" s="115"/>
      <c r="AT1091" s="115"/>
      <c r="AU1091" s="115"/>
      <c r="AV1091" s="115"/>
      <c r="AW1091" s="115"/>
      <c r="AX1091" s="115"/>
      <c r="AY1091" s="115"/>
      <c r="AZ1091" s="115"/>
      <c r="BA1091" s="26"/>
      <c r="BB1091" s="13"/>
      <c r="BG1091" s="117"/>
      <c r="BH1091" s="123"/>
      <c r="BI1091" s="123"/>
      <c r="BJ1091" s="123"/>
      <c r="BK1091" s="115"/>
      <c r="BL1091" s="115"/>
      <c r="BM1091" s="115"/>
      <c r="BN1091" s="115"/>
      <c r="BO1091" s="115"/>
      <c r="BP1091" s="115"/>
      <c r="BQ1091" s="115"/>
      <c r="BR1091" s="115"/>
      <c r="BS1091" s="115"/>
      <c r="BT1091" s="115"/>
      <c r="BU1091" s="115"/>
      <c r="BV1091" s="115"/>
      <c r="BW1091" s="115"/>
      <c r="BX1091" s="115"/>
      <c r="BY1091" s="25"/>
      <c r="BZ1091" s="13"/>
      <c r="CC1091" s="114"/>
    </row>
    <row r="1092" spans="1:81" ht="19.5" x14ac:dyDescent="0.4">
      <c r="A1092" s="117"/>
      <c r="B1092" s="123"/>
      <c r="C1092" s="123"/>
      <c r="D1092" s="123"/>
      <c r="AP1092" s="127"/>
      <c r="AQ1092" s="29"/>
      <c r="BA1092" s="26"/>
      <c r="BB1092" s="13"/>
      <c r="BG1092" s="117"/>
      <c r="BH1092" s="123"/>
      <c r="BI1092" s="123"/>
      <c r="BJ1092" s="123"/>
      <c r="BK1092" s="115"/>
      <c r="BL1092" s="115"/>
      <c r="BM1092" s="115"/>
      <c r="BN1092" s="115"/>
      <c r="BO1092" s="115"/>
      <c r="BP1092" s="115"/>
      <c r="BQ1092" s="115"/>
      <c r="BR1092" s="115"/>
      <c r="BS1092" s="115"/>
      <c r="BT1092" s="115"/>
      <c r="BU1092" s="115"/>
      <c r="BV1092" s="115"/>
      <c r="BW1092" s="115"/>
      <c r="BX1092" s="115"/>
      <c r="BY1092" s="25">
        <v>45270</v>
      </c>
      <c r="BZ1092" s="13" t="s">
        <v>164</v>
      </c>
      <c r="CC1092" s="114"/>
    </row>
    <row r="1093" spans="1:81" ht="19.5" x14ac:dyDescent="0.4">
      <c r="A1093" s="117"/>
      <c r="B1093" s="123"/>
      <c r="C1093" s="123"/>
      <c r="D1093" s="123"/>
      <c r="AP1093" s="127"/>
      <c r="AQ1093" s="29"/>
      <c r="AU1093" s="115"/>
      <c r="AV1093" s="115"/>
      <c r="AW1093" s="115"/>
      <c r="AX1093" s="115"/>
      <c r="AY1093" s="115"/>
      <c r="AZ1093" s="115"/>
      <c r="BA1093" s="26"/>
      <c r="BB1093" s="13"/>
      <c r="BG1093" s="117"/>
      <c r="BH1093" s="123"/>
      <c r="BI1093" s="123"/>
      <c r="BJ1093" s="123"/>
      <c r="BK1093" s="115"/>
      <c r="BL1093" s="115"/>
      <c r="BM1093" s="115"/>
      <c r="BN1093" s="115"/>
      <c r="BO1093" s="115"/>
      <c r="BP1093" s="115"/>
      <c r="BQ1093" s="115"/>
      <c r="BR1093" s="115"/>
      <c r="BS1093" s="115"/>
      <c r="BT1093" s="115"/>
      <c r="BU1093" s="115"/>
      <c r="BV1093" s="115"/>
      <c r="BW1093" s="115"/>
      <c r="BX1093" s="115"/>
      <c r="BY1093" s="25"/>
      <c r="BZ1093" s="13"/>
      <c r="CC1093" s="114"/>
    </row>
    <row r="1094" spans="1:81" ht="19.5" x14ac:dyDescent="0.4">
      <c r="A1094" s="117"/>
      <c r="B1094" s="123"/>
      <c r="C1094" s="123"/>
      <c r="D1094" s="123"/>
      <c r="F1094" s="115"/>
      <c r="G1094" s="115"/>
      <c r="H1094" s="115"/>
      <c r="I1094" s="115"/>
      <c r="J1094" s="115"/>
      <c r="K1094" s="115"/>
      <c r="L1094" s="115"/>
      <c r="M1094" s="115"/>
      <c r="N1094" s="115"/>
      <c r="O1094" s="115"/>
      <c r="P1094" s="115"/>
      <c r="Q1094" s="115"/>
      <c r="R1094" s="115"/>
      <c r="S1094" s="115"/>
      <c r="T1094" s="115"/>
      <c r="U1094" s="115"/>
      <c r="V1094" s="115"/>
      <c r="W1094" s="115"/>
      <c r="X1094" s="115"/>
      <c r="Y1094" s="115"/>
      <c r="Z1094" s="115"/>
      <c r="AA1094" s="115"/>
      <c r="AB1094" s="115"/>
      <c r="AC1094" s="115"/>
      <c r="AD1094" s="115"/>
      <c r="AE1094" s="115"/>
      <c r="AF1094" s="115"/>
      <c r="AG1094" s="115"/>
      <c r="AH1094" s="115"/>
      <c r="AI1094" s="115"/>
      <c r="AJ1094" s="115"/>
      <c r="AK1094" s="115"/>
      <c r="AL1094" s="115"/>
      <c r="AM1094" s="115"/>
      <c r="AN1094" s="115"/>
      <c r="AO1094" s="115"/>
      <c r="AP1094" s="127"/>
      <c r="AQ1094" s="29"/>
      <c r="AR1094" s="115"/>
      <c r="AS1094" s="115"/>
      <c r="AT1094" s="115"/>
      <c r="AU1094" s="115"/>
      <c r="AV1094" s="115"/>
      <c r="AW1094" s="115"/>
      <c r="AX1094" s="115"/>
      <c r="AY1094" s="115"/>
      <c r="AZ1094" s="115"/>
      <c r="BA1094" s="26"/>
      <c r="BB1094" s="13"/>
      <c r="BG1094" s="117"/>
      <c r="BH1094" s="123"/>
      <c r="BI1094" s="123"/>
      <c r="BJ1094" s="123"/>
      <c r="BK1094" s="115"/>
      <c r="BL1094" s="115"/>
      <c r="BM1094" s="115"/>
      <c r="BN1094" s="115"/>
      <c r="BO1094" s="115"/>
      <c r="BP1094" s="115"/>
      <c r="BQ1094" s="115"/>
      <c r="BR1094" s="115"/>
      <c r="BS1094" s="115"/>
      <c r="BT1094" s="115"/>
      <c r="BU1094" s="115"/>
      <c r="BV1094" s="115"/>
      <c r="BW1094" s="115"/>
      <c r="BX1094" s="115"/>
      <c r="BY1094" s="25"/>
      <c r="BZ1094" s="13"/>
      <c r="CC1094" s="114"/>
    </row>
    <row r="1095" spans="1:81" ht="19.5" x14ac:dyDescent="0.4">
      <c r="A1095" s="117"/>
      <c r="B1095" s="123"/>
      <c r="C1095" s="123"/>
      <c r="D1095" s="123"/>
      <c r="AP1095" s="127"/>
      <c r="AQ1095" s="29"/>
      <c r="BA1095" s="26"/>
      <c r="BB1095" s="13"/>
      <c r="BG1095" s="117"/>
      <c r="BH1095" s="123"/>
      <c r="BI1095" s="123"/>
      <c r="BJ1095" s="123"/>
      <c r="BK1095" s="115"/>
      <c r="BL1095" s="115"/>
      <c r="BM1095" s="115"/>
      <c r="BN1095" s="115"/>
      <c r="BO1095" s="115"/>
      <c r="BP1095" s="115"/>
      <c r="BQ1095" s="115"/>
      <c r="BR1095" s="115"/>
      <c r="BS1095" s="115"/>
      <c r="BT1095" s="115"/>
      <c r="BU1095" s="115"/>
      <c r="BV1095" s="115"/>
      <c r="BW1095" s="115"/>
      <c r="BX1095" s="115"/>
      <c r="BY1095" s="25">
        <v>45270</v>
      </c>
      <c r="BZ1095" s="13" t="s">
        <v>162</v>
      </c>
      <c r="CC1095" s="114"/>
    </row>
    <row r="1096" spans="1:81" ht="19.5" x14ac:dyDescent="0.4">
      <c r="A1096" s="117"/>
      <c r="B1096" s="123"/>
      <c r="C1096" s="123"/>
      <c r="D1096" s="123"/>
      <c r="AP1096" s="127"/>
      <c r="AQ1096" s="29"/>
      <c r="AT1096" s="115"/>
      <c r="AU1096" s="115"/>
      <c r="AV1096" s="115"/>
      <c r="AW1096" s="115"/>
      <c r="AX1096" s="115"/>
      <c r="AY1096" s="115"/>
      <c r="AZ1096" s="115"/>
      <c r="BA1096" s="26"/>
      <c r="BB1096" s="15"/>
      <c r="BG1096" s="117"/>
      <c r="BH1096" s="123"/>
      <c r="BI1096" s="123"/>
      <c r="BJ1096" s="123"/>
      <c r="BK1096" s="115"/>
      <c r="BL1096" s="115"/>
      <c r="BM1096" s="115"/>
      <c r="BN1096" s="115"/>
      <c r="BO1096" s="115"/>
      <c r="BP1096" s="115"/>
      <c r="BQ1096" s="115"/>
      <c r="BR1096" s="115"/>
      <c r="BS1096" s="115"/>
      <c r="BT1096" s="115"/>
      <c r="BU1096" s="115"/>
      <c r="BV1096" s="115"/>
      <c r="BW1096" s="115"/>
      <c r="BX1096" s="115"/>
      <c r="BY1096" s="25"/>
      <c r="BZ1096" s="13"/>
      <c r="CC1096" s="114"/>
    </row>
    <row r="1097" spans="1:81" ht="19.5" x14ac:dyDescent="0.4">
      <c r="A1097" s="117"/>
      <c r="B1097" s="123"/>
      <c r="C1097" s="123"/>
      <c r="D1097" s="123"/>
      <c r="Z1097" s="115"/>
      <c r="AA1097" s="115"/>
      <c r="AB1097" s="115"/>
      <c r="AC1097" s="115"/>
      <c r="AD1097" s="115"/>
      <c r="AE1097" s="115"/>
      <c r="AF1097" s="115"/>
      <c r="AG1097" s="115"/>
      <c r="AH1097" s="115"/>
      <c r="AI1097" s="115"/>
      <c r="AJ1097" s="115"/>
      <c r="AK1097" s="115"/>
      <c r="AL1097" s="115"/>
      <c r="AM1097" s="115"/>
      <c r="AN1097" s="115"/>
      <c r="AO1097" s="115"/>
      <c r="AP1097" s="29"/>
      <c r="AQ1097" s="29"/>
      <c r="AT1097" s="115"/>
      <c r="AU1097" s="115"/>
      <c r="AV1097" s="115"/>
      <c r="AW1097" s="115"/>
      <c r="AX1097" s="115"/>
      <c r="AY1097" s="115"/>
      <c r="AZ1097" s="115"/>
      <c r="BA1097" s="26"/>
      <c r="BB1097" s="13"/>
      <c r="BG1097" s="117"/>
      <c r="BH1097" s="123"/>
      <c r="BI1097" s="123"/>
      <c r="BJ1097" s="123"/>
      <c r="BK1097" s="115"/>
      <c r="BL1097" s="115"/>
      <c r="BM1097" s="115"/>
      <c r="BN1097" s="115"/>
      <c r="BO1097" s="115"/>
      <c r="BP1097" s="115"/>
      <c r="BQ1097" s="115"/>
      <c r="BR1097" s="115"/>
      <c r="BS1097" s="115"/>
      <c r="BT1097" s="115"/>
      <c r="BU1097" s="115"/>
      <c r="BV1097" s="115"/>
      <c r="BW1097" s="115"/>
      <c r="BX1097" s="115"/>
      <c r="BY1097" s="25"/>
      <c r="BZ1097" s="13"/>
      <c r="CC1097" s="114"/>
    </row>
    <row r="1098" spans="1:81" ht="19.5" x14ac:dyDescent="0.4">
      <c r="A1098" s="117"/>
      <c r="B1098" s="123"/>
      <c r="C1098" s="123"/>
      <c r="D1098" s="123"/>
      <c r="AP1098" s="127"/>
      <c r="AQ1098" s="29"/>
      <c r="BA1098" s="26"/>
      <c r="BB1098" s="13"/>
      <c r="BG1098" s="117"/>
      <c r="BH1098" s="123"/>
      <c r="BI1098" s="123"/>
      <c r="BJ1098" s="123"/>
      <c r="BK1098" s="115"/>
      <c r="BL1098" s="115"/>
      <c r="BM1098" s="115"/>
      <c r="BN1098" s="115"/>
      <c r="BO1098" s="115"/>
      <c r="BP1098" s="115"/>
      <c r="BQ1098" s="115"/>
      <c r="BR1098" s="115"/>
      <c r="BS1098" s="115"/>
      <c r="BT1098" s="115"/>
      <c r="BU1098" s="115"/>
      <c r="BV1098" s="115"/>
      <c r="BW1098" s="115"/>
      <c r="BX1098" s="115"/>
      <c r="BY1098" s="25">
        <v>45270</v>
      </c>
      <c r="BZ1098" s="13" t="s">
        <v>162</v>
      </c>
      <c r="CC1098" s="114"/>
    </row>
    <row r="1099" spans="1:81" ht="19.5" x14ac:dyDescent="0.4">
      <c r="A1099" s="117"/>
      <c r="B1099" s="123"/>
      <c r="C1099" s="123"/>
      <c r="D1099" s="123"/>
      <c r="Z1099" s="115"/>
      <c r="AA1099" s="115"/>
      <c r="AB1099" s="115"/>
      <c r="AC1099" s="115"/>
      <c r="AD1099" s="115"/>
      <c r="AE1099" s="115"/>
      <c r="AF1099" s="115"/>
      <c r="AG1099" s="115"/>
      <c r="AH1099" s="115"/>
      <c r="AI1099" s="115"/>
      <c r="AJ1099" s="115"/>
      <c r="AK1099" s="115"/>
      <c r="AL1099" s="115"/>
      <c r="AM1099" s="115"/>
      <c r="AN1099" s="115"/>
      <c r="AO1099" s="115"/>
      <c r="AP1099" s="29"/>
      <c r="AQ1099" s="29"/>
      <c r="BA1099" s="26"/>
      <c r="BB1099" s="13"/>
      <c r="BG1099" s="117"/>
      <c r="BH1099" s="123"/>
      <c r="BI1099" s="123"/>
      <c r="BJ1099" s="123"/>
      <c r="BK1099" s="115"/>
      <c r="BL1099" s="115"/>
      <c r="BM1099" s="115"/>
      <c r="BN1099" s="115"/>
      <c r="BO1099" s="115"/>
      <c r="BP1099" s="115"/>
      <c r="BQ1099" s="115"/>
      <c r="BR1099" s="115"/>
      <c r="BS1099" s="115"/>
      <c r="BT1099" s="115"/>
      <c r="BU1099" s="115"/>
      <c r="BV1099" s="115"/>
      <c r="BW1099" s="115"/>
      <c r="BX1099" s="115"/>
      <c r="BY1099" s="25"/>
      <c r="BZ1099" s="13"/>
      <c r="CC1099" s="114"/>
    </row>
    <row r="1100" spans="1:81" ht="19.5" x14ac:dyDescent="0.4">
      <c r="A1100" s="117"/>
      <c r="B1100" s="123"/>
      <c r="C1100" s="123"/>
      <c r="D1100" s="123"/>
      <c r="AP1100" s="127"/>
      <c r="AQ1100" s="29"/>
      <c r="AV1100" s="115"/>
      <c r="AW1100" s="115"/>
      <c r="AX1100" s="115"/>
      <c r="AY1100" s="115"/>
      <c r="AZ1100" s="115"/>
      <c r="BA1100" s="17"/>
      <c r="BB1100" s="13"/>
      <c r="BG1100" s="117"/>
      <c r="BH1100" s="123"/>
      <c r="BI1100" s="123"/>
      <c r="BJ1100" s="123"/>
      <c r="BK1100" s="115"/>
      <c r="BL1100" s="115"/>
      <c r="BM1100" s="115"/>
      <c r="BN1100" s="115"/>
      <c r="BO1100" s="115"/>
      <c r="BP1100" s="115"/>
      <c r="BQ1100" s="115"/>
      <c r="BR1100" s="115"/>
      <c r="BS1100" s="115"/>
      <c r="BT1100" s="115"/>
      <c r="BU1100" s="115"/>
      <c r="BV1100" s="115"/>
      <c r="BW1100" s="115"/>
      <c r="BX1100" s="115"/>
      <c r="BY1100" s="25"/>
      <c r="BZ1100" s="13"/>
      <c r="CC1100" s="114"/>
    </row>
    <row r="1101" spans="1:81" ht="19.5" x14ac:dyDescent="0.4">
      <c r="A1101" s="117"/>
      <c r="B1101" s="123"/>
      <c r="C1101" s="123"/>
      <c r="D1101" s="123"/>
      <c r="Z1101" s="115"/>
      <c r="AA1101" s="115"/>
      <c r="AB1101" s="115"/>
      <c r="AC1101" s="115"/>
      <c r="AD1101" s="115"/>
      <c r="AE1101" s="115"/>
      <c r="AF1101" s="115"/>
      <c r="AG1101" s="115"/>
      <c r="AH1101" s="115"/>
      <c r="AI1101" s="115"/>
      <c r="AJ1101" s="115"/>
      <c r="AK1101" s="115"/>
      <c r="AL1101" s="115"/>
      <c r="AM1101" s="115"/>
      <c r="AN1101" s="115"/>
      <c r="AO1101" s="115"/>
      <c r="AP1101" s="29"/>
      <c r="AQ1101" s="29"/>
      <c r="AV1101" s="115"/>
      <c r="AW1101" s="115"/>
      <c r="AX1101" s="115"/>
      <c r="AY1101" s="115"/>
      <c r="AZ1101" s="115"/>
      <c r="BA1101" s="17"/>
      <c r="BB1101" s="13"/>
      <c r="BG1101" s="117"/>
      <c r="BH1101" s="123"/>
      <c r="BI1101" s="123"/>
      <c r="BJ1101" s="123"/>
      <c r="BK1101" s="115"/>
      <c r="BL1101" s="115"/>
      <c r="BM1101" s="115"/>
      <c r="BN1101" s="115"/>
      <c r="BO1101" s="115"/>
      <c r="BP1101" s="115"/>
      <c r="BQ1101" s="115"/>
      <c r="BR1101" s="115"/>
      <c r="BS1101" s="115"/>
      <c r="BT1101" s="115"/>
      <c r="BU1101" s="115"/>
      <c r="BV1101" s="115"/>
      <c r="BW1101" s="115"/>
      <c r="BX1101" s="115"/>
      <c r="BY1101" s="25"/>
      <c r="BZ1101" s="13"/>
      <c r="CC1101" s="114"/>
    </row>
    <row r="1102" spans="1:81" ht="19.5" x14ac:dyDescent="0.4">
      <c r="A1102" s="117"/>
      <c r="B1102" s="123"/>
      <c r="C1102" s="123"/>
      <c r="D1102" s="123"/>
      <c r="Z1102" s="115"/>
      <c r="AA1102" s="115"/>
      <c r="AB1102" s="115"/>
      <c r="AC1102" s="115"/>
      <c r="AD1102" s="115"/>
      <c r="AE1102" s="115"/>
      <c r="AF1102" s="115"/>
      <c r="AG1102" s="115"/>
      <c r="AH1102" s="115"/>
      <c r="AI1102" s="115"/>
      <c r="AJ1102" s="115"/>
      <c r="AK1102" s="115"/>
      <c r="AL1102" s="115"/>
      <c r="AM1102" s="115"/>
      <c r="AN1102" s="115"/>
      <c r="AO1102" s="115"/>
      <c r="AP1102" s="29"/>
      <c r="AQ1102" s="29"/>
      <c r="AV1102" s="115"/>
      <c r="AW1102" s="115"/>
      <c r="AX1102" s="115"/>
      <c r="AY1102" s="115"/>
      <c r="AZ1102" s="115"/>
      <c r="BA1102" s="17"/>
      <c r="BB1102" s="13"/>
      <c r="BG1102" s="117"/>
      <c r="BH1102" s="123"/>
      <c r="BI1102" s="123"/>
      <c r="BJ1102" s="123"/>
      <c r="BK1102" s="115"/>
      <c r="BL1102" s="115"/>
      <c r="BM1102" s="115"/>
      <c r="BN1102" s="115"/>
      <c r="BO1102" s="115"/>
      <c r="BP1102" s="115"/>
      <c r="BQ1102" s="115"/>
      <c r="BR1102" s="115"/>
      <c r="BS1102" s="115"/>
      <c r="BT1102" s="115"/>
      <c r="BU1102" s="115"/>
      <c r="BV1102" s="115"/>
      <c r="BW1102" s="115"/>
      <c r="BX1102" s="115"/>
      <c r="BY1102" s="25"/>
      <c r="BZ1102" s="13"/>
      <c r="CC1102" s="114"/>
    </row>
    <row r="1103" spans="1:81" ht="19.5" x14ac:dyDescent="0.4">
      <c r="A1103" s="117"/>
      <c r="B1103" s="123"/>
      <c r="C1103" s="123"/>
      <c r="D1103" s="123"/>
      <c r="AP1103" s="115"/>
      <c r="AQ1103" s="115"/>
      <c r="AR1103" s="115"/>
      <c r="AS1103" s="115"/>
      <c r="AT1103" s="115"/>
      <c r="AU1103" s="115"/>
      <c r="AV1103" s="115"/>
      <c r="AW1103" s="115"/>
      <c r="AX1103" s="115"/>
      <c r="AY1103" s="115"/>
      <c r="AZ1103" s="115"/>
      <c r="BA1103" s="26"/>
      <c r="BB1103" s="13"/>
      <c r="BG1103" s="117"/>
      <c r="BH1103" s="123"/>
      <c r="BI1103" s="123"/>
      <c r="BJ1103" s="123"/>
      <c r="BK1103" s="115"/>
      <c r="BL1103" s="115"/>
      <c r="BM1103" s="115"/>
      <c r="BN1103" s="115"/>
      <c r="BO1103" s="115"/>
      <c r="BP1103" s="115"/>
      <c r="BQ1103" s="115"/>
      <c r="BR1103" s="115"/>
      <c r="BS1103" s="115"/>
      <c r="BT1103" s="115"/>
      <c r="BU1103" s="115"/>
      <c r="BV1103" s="115"/>
      <c r="BW1103" s="115"/>
      <c r="BX1103" s="115"/>
      <c r="BY1103" s="25"/>
      <c r="BZ1103" s="13"/>
      <c r="CC1103" s="114"/>
    </row>
    <row r="1104" spans="1:81" ht="19.5" x14ac:dyDescent="0.4">
      <c r="A1104" s="117"/>
      <c r="B1104" s="123"/>
      <c r="C1104" s="123"/>
      <c r="D1104" s="123"/>
      <c r="BA1104" s="26"/>
      <c r="BB1104" s="13"/>
      <c r="BG1104" s="117"/>
      <c r="BH1104" s="123"/>
      <c r="BI1104" s="123"/>
      <c r="BJ1104" s="123"/>
      <c r="BK1104" s="115"/>
      <c r="BL1104" s="115"/>
      <c r="BM1104" s="115"/>
      <c r="BN1104" s="115"/>
      <c r="BO1104" s="115"/>
      <c r="BP1104" s="115"/>
      <c r="BQ1104" s="115"/>
      <c r="BR1104" s="115"/>
      <c r="BS1104" s="115"/>
      <c r="BT1104" s="115"/>
      <c r="BU1104" s="115"/>
      <c r="BV1104" s="115"/>
      <c r="BW1104" s="115"/>
      <c r="BX1104" s="115"/>
      <c r="BY1104" s="25"/>
      <c r="BZ1104" s="13"/>
      <c r="CC1104" s="114"/>
    </row>
    <row r="1105" spans="1:81" ht="19.5" x14ac:dyDescent="0.4">
      <c r="A1105" s="117"/>
      <c r="B1105" s="123"/>
      <c r="C1105" s="123"/>
      <c r="D1105" s="123"/>
      <c r="BA1105" s="26"/>
      <c r="BB1105" s="13"/>
      <c r="BG1105" s="117"/>
      <c r="BH1105" s="123"/>
      <c r="BI1105" s="123"/>
      <c r="BJ1105" s="123"/>
      <c r="BK1105" s="115"/>
      <c r="BL1105" s="115"/>
      <c r="BM1105" s="115"/>
      <c r="BN1105" s="115"/>
      <c r="BO1105" s="115"/>
      <c r="BP1105" s="115"/>
      <c r="BQ1105" s="115"/>
      <c r="BR1105" s="115"/>
      <c r="BS1105" s="115"/>
      <c r="BT1105" s="115"/>
      <c r="BU1105" s="115"/>
      <c r="BV1105" s="115"/>
      <c r="BW1105" s="115"/>
      <c r="BX1105" s="115"/>
      <c r="BY1105" s="25">
        <v>45270</v>
      </c>
      <c r="BZ1105" s="13" t="s">
        <v>163</v>
      </c>
      <c r="CC1105" s="114"/>
    </row>
    <row r="1106" spans="1:81" ht="19.5" x14ac:dyDescent="0.4">
      <c r="A1106" s="117"/>
      <c r="B1106" s="123"/>
      <c r="C1106" s="123"/>
      <c r="D1106" s="123"/>
      <c r="AV1106" s="115"/>
      <c r="AW1106" s="115"/>
      <c r="AX1106" s="115"/>
      <c r="AY1106" s="115"/>
      <c r="AZ1106" s="115"/>
      <c r="BA1106" s="17"/>
      <c r="BB1106" s="13"/>
      <c r="BG1106" s="117"/>
      <c r="BH1106" s="123"/>
      <c r="BI1106" s="123"/>
      <c r="BJ1106" s="123"/>
      <c r="BK1106" s="115"/>
      <c r="BL1106" s="115"/>
      <c r="BM1106" s="115"/>
      <c r="BN1106" s="115"/>
      <c r="BO1106" s="115"/>
      <c r="BP1106" s="115"/>
      <c r="BQ1106" s="115"/>
      <c r="BR1106" s="115"/>
      <c r="BS1106" s="115"/>
      <c r="BT1106" s="115"/>
      <c r="BU1106" s="115"/>
      <c r="BV1106" s="115"/>
      <c r="BW1106" s="115"/>
      <c r="BX1106" s="115"/>
      <c r="BY1106" s="25"/>
      <c r="BZ1106" s="13"/>
      <c r="CC1106" s="114"/>
    </row>
    <row r="1107" spans="1:81" ht="19.5" x14ac:dyDescent="0.4">
      <c r="A1107" s="117"/>
      <c r="B1107" s="123"/>
      <c r="C1107" s="123"/>
      <c r="D1107" s="123"/>
      <c r="BA1107" s="26"/>
      <c r="BB1107" s="13"/>
      <c r="BG1107" s="117"/>
      <c r="BH1107" s="123"/>
      <c r="BI1107" s="123"/>
      <c r="BJ1107" s="123"/>
      <c r="BK1107" s="115"/>
      <c r="BL1107" s="115"/>
      <c r="BM1107" s="115"/>
      <c r="BN1107" s="115"/>
      <c r="BO1107" s="115"/>
      <c r="BP1107" s="115"/>
      <c r="BQ1107" s="115"/>
      <c r="BR1107" s="115"/>
      <c r="BS1107" s="115"/>
      <c r="BT1107" s="115"/>
      <c r="BU1107" s="115"/>
      <c r="BV1107" s="115"/>
      <c r="BW1107" s="115"/>
      <c r="BX1107" s="115" t="s">
        <v>151</v>
      </c>
      <c r="BY1107" s="13">
        <f>SUBTOTAL(3,BY1088:BY1105)</f>
        <v>5</v>
      </c>
      <c r="BZ1107" s="13">
        <f>SUBTOTAL(3,BZ1088:BZ1105)</f>
        <v>5</v>
      </c>
      <c r="CC1107" s="114"/>
    </row>
    <row r="1108" spans="1:81" ht="19.5" x14ac:dyDescent="0.4">
      <c r="A1108" s="117"/>
      <c r="B1108" s="123"/>
      <c r="C1108" s="123"/>
      <c r="D1108" s="123"/>
      <c r="AU1108" s="115"/>
      <c r="AV1108" s="115"/>
      <c r="AW1108" s="115"/>
      <c r="AX1108" s="115"/>
      <c r="AY1108" s="115"/>
      <c r="AZ1108" s="115"/>
      <c r="BA1108" s="26"/>
      <c r="BB1108" s="13"/>
      <c r="BG1108" s="117"/>
      <c r="BH1108" s="123"/>
      <c r="BI1108" s="123"/>
      <c r="BJ1108" s="123"/>
      <c r="BK1108" s="115"/>
      <c r="BL1108" s="115"/>
      <c r="BM1108" s="115"/>
      <c r="BN1108" s="115"/>
      <c r="BO1108" s="115"/>
      <c r="BP1108" s="115"/>
      <c r="BQ1108" s="115"/>
      <c r="BR1108" s="115"/>
      <c r="BS1108" s="115"/>
      <c r="BT1108" s="115"/>
      <c r="BU1108" s="115"/>
      <c r="BV1108" s="115"/>
      <c r="BW1108" s="115"/>
      <c r="BX1108" s="115"/>
      <c r="BY1108" s="13"/>
      <c r="BZ1108" s="13"/>
      <c r="CC1108" s="114"/>
    </row>
    <row r="1109" spans="1:81" ht="19.5" x14ac:dyDescent="0.4">
      <c r="A1109" s="117"/>
      <c r="B1109" s="123"/>
      <c r="C1109" s="123"/>
      <c r="D1109" s="123"/>
      <c r="BA1109" s="26"/>
      <c r="BB1109" s="13"/>
      <c r="BG1109" s="117"/>
      <c r="BH1109" s="123"/>
      <c r="BI1109" s="123"/>
      <c r="BJ1109" s="123"/>
      <c r="BK1109" s="115"/>
      <c r="BL1109" s="115"/>
      <c r="BM1109" s="115"/>
      <c r="BN1109" s="115"/>
      <c r="BO1109" s="115"/>
      <c r="BP1109" s="115"/>
      <c r="BQ1109" s="115"/>
      <c r="BR1109" s="115"/>
      <c r="BS1109" s="115"/>
      <c r="BT1109" s="115"/>
      <c r="BU1109" s="115"/>
      <c r="BV1109" s="115"/>
      <c r="BW1109" s="115"/>
      <c r="BX1109" s="115"/>
      <c r="BY1109" s="25">
        <v>45271</v>
      </c>
      <c r="BZ1109" s="13" t="s">
        <v>162</v>
      </c>
      <c r="CC1109" s="114"/>
    </row>
    <row r="1110" spans="1:81" ht="19.5" x14ac:dyDescent="0.4">
      <c r="A1110" s="117"/>
      <c r="B1110" s="123"/>
      <c r="C1110" s="123"/>
      <c r="D1110" s="123"/>
      <c r="BA1110" s="26"/>
      <c r="BB1110" s="13"/>
      <c r="BG1110" s="117"/>
      <c r="BH1110" s="123"/>
      <c r="BI1110" s="123"/>
      <c r="BJ1110" s="123"/>
      <c r="BK1110" s="115"/>
      <c r="BL1110" s="115"/>
      <c r="BM1110" s="115"/>
      <c r="BN1110" s="115"/>
      <c r="BO1110" s="115"/>
      <c r="BP1110" s="115"/>
      <c r="BQ1110" s="115"/>
      <c r="BR1110" s="115"/>
      <c r="BS1110" s="115"/>
      <c r="BT1110" s="115"/>
      <c r="BU1110" s="115"/>
      <c r="BV1110" s="115"/>
      <c r="BW1110" s="115"/>
      <c r="BX1110" s="115"/>
      <c r="BY1110" s="25">
        <v>45271</v>
      </c>
      <c r="BZ1110" s="13" t="s">
        <v>163</v>
      </c>
      <c r="CC1110" s="114"/>
    </row>
    <row r="1111" spans="1:81" ht="19.5" x14ac:dyDescent="0.4">
      <c r="A1111" s="117"/>
      <c r="B1111" s="123"/>
      <c r="C1111" s="123"/>
      <c r="D1111" s="123"/>
      <c r="AU1111" s="115"/>
      <c r="AV1111" s="115"/>
      <c r="AW1111" s="115"/>
      <c r="AX1111" s="115"/>
      <c r="AY1111" s="115"/>
      <c r="AZ1111" s="115"/>
      <c r="BA1111" s="26"/>
      <c r="BB1111" s="13"/>
      <c r="BG1111" s="117"/>
      <c r="BH1111" s="123"/>
      <c r="BI1111" s="123"/>
      <c r="BJ1111" s="123"/>
      <c r="BK1111" s="115"/>
      <c r="BL1111" s="115"/>
      <c r="BM1111" s="115"/>
      <c r="BN1111" s="115"/>
      <c r="BO1111" s="115"/>
      <c r="BP1111" s="115"/>
      <c r="BQ1111" s="115"/>
      <c r="BR1111" s="115"/>
      <c r="BS1111" s="115"/>
      <c r="BT1111" s="115"/>
      <c r="BU1111" s="115"/>
      <c r="BV1111" s="115"/>
      <c r="BW1111" s="115"/>
      <c r="BX1111" s="115"/>
      <c r="BY1111" s="25"/>
      <c r="BZ1111" s="13"/>
      <c r="CC1111" s="114"/>
    </row>
    <row r="1112" spans="1:81" ht="19.5" x14ac:dyDescent="0.4">
      <c r="A1112" s="117"/>
      <c r="B1112" s="123"/>
      <c r="C1112" s="123"/>
      <c r="D1112" s="123"/>
      <c r="AT1112" s="115"/>
      <c r="AU1112" s="115"/>
      <c r="AV1112" s="115"/>
      <c r="AW1112" s="115"/>
      <c r="AX1112" s="115"/>
      <c r="AY1112" s="115"/>
      <c r="AZ1112" s="115"/>
      <c r="BA1112" s="26"/>
      <c r="BB1112" s="13"/>
      <c r="BG1112" s="117"/>
      <c r="BH1112" s="123"/>
      <c r="BI1112" s="123"/>
      <c r="BJ1112" s="123"/>
      <c r="BK1112" s="115"/>
      <c r="BL1112" s="115"/>
      <c r="BM1112" s="115"/>
      <c r="BN1112" s="115"/>
      <c r="BO1112" s="115"/>
      <c r="BP1112" s="115"/>
      <c r="BQ1112" s="115"/>
      <c r="BR1112" s="115"/>
      <c r="BS1112" s="115"/>
      <c r="BT1112" s="115"/>
      <c r="BU1112" s="115"/>
      <c r="BV1112" s="115"/>
      <c r="BW1112" s="115"/>
      <c r="BX1112" s="115"/>
      <c r="BY1112" s="25"/>
      <c r="BZ1112" s="13"/>
      <c r="CC1112" s="114"/>
    </row>
    <row r="1113" spans="1:81" ht="19.5" x14ac:dyDescent="0.4">
      <c r="A1113" s="117"/>
      <c r="B1113" s="123"/>
      <c r="C1113" s="123"/>
      <c r="D1113" s="123"/>
      <c r="AT1113" s="115"/>
      <c r="AU1113" s="115"/>
      <c r="AV1113" s="115"/>
      <c r="AW1113" s="115"/>
      <c r="AX1113" s="115"/>
      <c r="AY1113" s="115"/>
      <c r="AZ1113" s="115"/>
      <c r="BA1113" s="17"/>
      <c r="BB1113" s="13"/>
      <c r="BG1113" s="117"/>
      <c r="BH1113" s="123"/>
      <c r="BI1113" s="123"/>
      <c r="BJ1113" s="123"/>
      <c r="BK1113" s="115"/>
      <c r="BL1113" s="115"/>
      <c r="BM1113" s="115"/>
      <c r="BN1113" s="115"/>
      <c r="BO1113" s="115"/>
      <c r="BP1113" s="115"/>
      <c r="BQ1113" s="115"/>
      <c r="BR1113" s="115"/>
      <c r="BS1113" s="115"/>
      <c r="BT1113" s="115"/>
      <c r="BU1113" s="115"/>
      <c r="BV1113" s="115"/>
      <c r="BW1113" s="115"/>
      <c r="BX1113" s="115"/>
      <c r="BY1113" s="25"/>
      <c r="BZ1113" s="13"/>
      <c r="CC1113" s="114"/>
    </row>
    <row r="1114" spans="1:81" ht="19.5" x14ac:dyDescent="0.4">
      <c r="A1114" s="117"/>
      <c r="B1114" s="123"/>
      <c r="C1114" s="123"/>
      <c r="D1114" s="123"/>
      <c r="AR1114" s="115"/>
      <c r="AS1114" s="115"/>
      <c r="AT1114" s="115"/>
      <c r="AU1114" s="115"/>
      <c r="AV1114" s="115"/>
      <c r="AW1114" s="115"/>
      <c r="AX1114" s="115"/>
      <c r="AY1114" s="115"/>
      <c r="AZ1114" s="115"/>
      <c r="BA1114" s="26"/>
      <c r="BB1114" s="13"/>
      <c r="BG1114" s="117"/>
      <c r="BH1114" s="123"/>
      <c r="BI1114" s="123"/>
      <c r="BJ1114" s="123"/>
      <c r="BK1114" s="115"/>
      <c r="BL1114" s="115"/>
      <c r="BM1114" s="115"/>
      <c r="BN1114" s="115"/>
      <c r="BO1114" s="115"/>
      <c r="BP1114" s="115"/>
      <c r="BQ1114" s="115"/>
      <c r="BR1114" s="115"/>
      <c r="BS1114" s="115"/>
      <c r="BT1114" s="115"/>
      <c r="BU1114" s="115"/>
      <c r="BV1114" s="115"/>
      <c r="BW1114" s="115"/>
      <c r="BX1114" s="115"/>
      <c r="BY1114" s="25"/>
      <c r="BZ1114" s="13"/>
      <c r="CC1114" s="114"/>
    </row>
    <row r="1115" spans="1:81" ht="19.5" x14ac:dyDescent="0.4">
      <c r="A1115" s="117"/>
      <c r="B1115" s="123"/>
      <c r="C1115" s="123"/>
      <c r="D1115" s="123"/>
      <c r="BA1115" s="26"/>
      <c r="BB1115" s="13"/>
      <c r="BG1115" s="117"/>
      <c r="BH1115" s="123"/>
      <c r="BI1115" s="123"/>
      <c r="BJ1115" s="123"/>
      <c r="BK1115" s="115"/>
      <c r="BL1115" s="115"/>
      <c r="BM1115" s="115"/>
      <c r="BN1115" s="115"/>
      <c r="BO1115" s="115"/>
      <c r="BP1115" s="115"/>
      <c r="BQ1115" s="115"/>
      <c r="BR1115" s="115"/>
      <c r="BS1115" s="115"/>
      <c r="BT1115" s="115"/>
      <c r="BU1115" s="115"/>
      <c r="BV1115" s="115"/>
      <c r="BW1115" s="115"/>
      <c r="BX1115" s="115"/>
      <c r="BY1115" s="25">
        <v>45271</v>
      </c>
      <c r="BZ1115" s="13" t="s">
        <v>163</v>
      </c>
      <c r="CC1115" s="114"/>
    </row>
    <row r="1116" spans="1:81" ht="19.5" x14ac:dyDescent="0.4">
      <c r="A1116" s="117"/>
      <c r="B1116" s="123"/>
      <c r="C1116" s="123"/>
      <c r="D1116" s="123"/>
      <c r="AU1116" s="115"/>
      <c r="AV1116" s="115"/>
      <c r="AW1116" s="115"/>
      <c r="AX1116" s="115"/>
      <c r="AY1116" s="115"/>
      <c r="AZ1116" s="115"/>
      <c r="BA1116" s="26"/>
      <c r="BB1116" s="13"/>
      <c r="BG1116" s="117"/>
      <c r="BH1116" s="123"/>
      <c r="BI1116" s="123"/>
      <c r="BJ1116" s="123"/>
      <c r="BK1116" s="115"/>
      <c r="BL1116" s="115"/>
      <c r="BM1116" s="115"/>
      <c r="BN1116" s="115"/>
      <c r="BO1116" s="115"/>
      <c r="BP1116" s="115"/>
      <c r="BQ1116" s="115"/>
      <c r="BR1116" s="115"/>
      <c r="BS1116" s="115"/>
      <c r="BT1116" s="115"/>
      <c r="BU1116" s="115"/>
      <c r="BV1116" s="115"/>
      <c r="BW1116" s="115"/>
      <c r="BX1116" s="115"/>
      <c r="BY1116" s="25"/>
      <c r="BZ1116" s="13"/>
      <c r="CC1116" s="114"/>
    </row>
    <row r="1117" spans="1:81" ht="19.5" x14ac:dyDescent="0.4">
      <c r="A1117" s="117"/>
      <c r="B1117" s="123"/>
      <c r="C1117" s="123"/>
      <c r="D1117" s="123"/>
      <c r="AS1117" s="115"/>
      <c r="AT1117" s="115"/>
      <c r="AU1117" s="115"/>
      <c r="AV1117" s="115"/>
      <c r="AW1117" s="115"/>
      <c r="AX1117" s="115"/>
      <c r="AY1117" s="115"/>
      <c r="AZ1117" s="115"/>
      <c r="BA1117" s="26"/>
      <c r="BB1117" s="13"/>
      <c r="BG1117" s="117"/>
      <c r="BH1117" s="123"/>
      <c r="BI1117" s="123"/>
      <c r="BJ1117" s="123"/>
      <c r="BK1117" s="115"/>
      <c r="BL1117" s="115"/>
      <c r="BM1117" s="115"/>
      <c r="BN1117" s="115"/>
      <c r="BO1117" s="115"/>
      <c r="BP1117" s="115"/>
      <c r="BQ1117" s="115"/>
      <c r="BR1117" s="115"/>
      <c r="BS1117" s="115"/>
      <c r="BT1117" s="115"/>
      <c r="BU1117" s="115"/>
      <c r="BV1117" s="115"/>
      <c r="BW1117" s="115"/>
      <c r="BX1117" s="115"/>
      <c r="BY1117" s="25"/>
      <c r="BZ1117" s="13"/>
      <c r="CC1117" s="114"/>
    </row>
    <row r="1118" spans="1:81" ht="19.5" x14ac:dyDescent="0.4">
      <c r="A1118" s="117"/>
      <c r="B1118" s="123"/>
      <c r="C1118" s="123"/>
      <c r="D1118" s="123"/>
      <c r="AS1118" s="115"/>
      <c r="AT1118" s="115"/>
      <c r="AU1118" s="115"/>
      <c r="AV1118" s="115"/>
      <c r="AW1118" s="115"/>
      <c r="AX1118" s="115"/>
      <c r="AY1118" s="115"/>
      <c r="AZ1118" s="115"/>
      <c r="BA1118" s="17"/>
      <c r="BB1118" s="13"/>
      <c r="BG1118" s="117"/>
      <c r="BH1118" s="123"/>
      <c r="BI1118" s="123"/>
      <c r="BJ1118" s="123"/>
      <c r="BK1118" s="115"/>
      <c r="BL1118" s="115"/>
      <c r="BM1118" s="115"/>
      <c r="BN1118" s="115"/>
      <c r="BO1118" s="115"/>
      <c r="BP1118" s="115"/>
      <c r="BQ1118" s="115"/>
      <c r="BR1118" s="115"/>
      <c r="BS1118" s="115"/>
      <c r="BT1118" s="115"/>
      <c r="BU1118" s="115"/>
      <c r="BV1118" s="115"/>
      <c r="BW1118" s="115"/>
      <c r="BX1118" s="115"/>
      <c r="BY1118" s="25"/>
      <c r="BZ1118" s="13"/>
      <c r="CC1118" s="114"/>
    </row>
    <row r="1119" spans="1:81" ht="19.5" x14ac:dyDescent="0.4">
      <c r="A1119" s="117"/>
      <c r="B1119" s="123"/>
      <c r="C1119" s="123"/>
      <c r="D1119" s="123"/>
      <c r="BA1119" s="26"/>
      <c r="BB1119" s="13"/>
      <c r="BG1119" s="117"/>
      <c r="BH1119" s="123"/>
      <c r="BI1119" s="123"/>
      <c r="BJ1119" s="123"/>
      <c r="BK1119" s="115"/>
      <c r="BL1119" s="115"/>
      <c r="BM1119" s="115"/>
      <c r="BN1119" s="115"/>
      <c r="BO1119" s="115"/>
      <c r="BP1119" s="115"/>
      <c r="BQ1119" s="115"/>
      <c r="BR1119" s="115"/>
      <c r="BS1119" s="115"/>
      <c r="BT1119" s="115"/>
      <c r="BU1119" s="115"/>
      <c r="BV1119" s="115"/>
      <c r="BW1119" s="115"/>
      <c r="BX1119" s="115" t="s">
        <v>165</v>
      </c>
      <c r="BY1119" s="13">
        <f>SUBTOTAL(3,BY1109:BY1115)</f>
        <v>3</v>
      </c>
      <c r="BZ1119" s="13">
        <f>SUBTOTAL(3,BZ1109:BZ1115)</f>
        <v>3</v>
      </c>
      <c r="CC1119" s="114"/>
    </row>
    <row r="1120" spans="1:81" ht="19.5" x14ac:dyDescent="0.4">
      <c r="A1120" s="117"/>
      <c r="B1120" s="123"/>
      <c r="C1120" s="123"/>
      <c r="D1120" s="123"/>
      <c r="BA1120" s="26"/>
      <c r="BB1120" s="13"/>
      <c r="BG1120" s="117"/>
      <c r="BH1120" s="123"/>
      <c r="BI1120" s="123"/>
      <c r="BJ1120" s="123"/>
      <c r="BK1120" s="115"/>
      <c r="BL1120" s="115"/>
      <c r="BM1120" s="115"/>
      <c r="BN1120" s="115"/>
      <c r="BO1120" s="115"/>
      <c r="BP1120" s="115"/>
      <c r="BQ1120" s="115"/>
      <c r="BR1120" s="115"/>
      <c r="BS1120" s="115"/>
      <c r="BT1120" s="115"/>
      <c r="BU1120" s="115"/>
      <c r="BV1120" s="115"/>
      <c r="BW1120" s="115"/>
      <c r="BX1120" s="115"/>
      <c r="BY1120" s="25">
        <v>45272</v>
      </c>
      <c r="BZ1120" s="13" t="s">
        <v>162</v>
      </c>
      <c r="CC1120" s="114"/>
    </row>
    <row r="1121" spans="1:81" ht="19.5" x14ac:dyDescent="0.4">
      <c r="A1121" s="117"/>
      <c r="B1121" s="123"/>
      <c r="C1121" s="123"/>
      <c r="D1121" s="123"/>
      <c r="AV1121" s="115"/>
      <c r="AW1121" s="115"/>
      <c r="AX1121" s="115"/>
      <c r="AY1121" s="115"/>
      <c r="AZ1121" s="115"/>
      <c r="BA1121" s="17"/>
      <c r="BB1121" s="13"/>
      <c r="BG1121" s="117"/>
      <c r="BH1121" s="123"/>
      <c r="BI1121" s="123"/>
      <c r="BJ1121" s="123"/>
      <c r="BK1121" s="115"/>
      <c r="BL1121" s="115"/>
      <c r="BM1121" s="115"/>
      <c r="BN1121" s="115"/>
      <c r="BO1121" s="115"/>
      <c r="BP1121" s="115"/>
      <c r="BQ1121" s="115"/>
      <c r="BR1121" s="115"/>
      <c r="BS1121" s="115"/>
      <c r="BT1121" s="115"/>
      <c r="BU1121" s="115"/>
      <c r="BV1121" s="115"/>
      <c r="BW1121" s="115"/>
      <c r="BX1121" s="115"/>
      <c r="BY1121" s="25"/>
      <c r="BZ1121" s="13"/>
      <c r="CC1121" s="114"/>
    </row>
    <row r="1122" spans="1:81" ht="19.5" x14ac:dyDescent="0.4">
      <c r="A1122" s="117"/>
      <c r="B1122" s="123"/>
      <c r="C1122" s="123"/>
      <c r="D1122" s="123"/>
      <c r="BA1122" s="26"/>
      <c r="BB1122" s="15"/>
      <c r="BG1122" s="117"/>
      <c r="BH1122" s="123"/>
      <c r="BI1122" s="123"/>
      <c r="BJ1122" s="123"/>
      <c r="BK1122" s="115"/>
      <c r="BL1122" s="115"/>
      <c r="BM1122" s="115"/>
      <c r="BN1122" s="115"/>
      <c r="BO1122" s="115"/>
      <c r="BP1122" s="115"/>
      <c r="BQ1122" s="115"/>
      <c r="BR1122" s="115"/>
      <c r="BS1122" s="115"/>
      <c r="BT1122" s="115"/>
      <c r="BU1122" s="115"/>
      <c r="BV1122" s="115"/>
      <c r="BW1122" s="115"/>
      <c r="BX1122" s="115"/>
      <c r="BY1122" s="25">
        <v>45272</v>
      </c>
      <c r="BZ1122" s="13" t="s">
        <v>162</v>
      </c>
      <c r="CC1122" s="114"/>
    </row>
    <row r="1123" spans="1:81" ht="19.5" x14ac:dyDescent="0.4">
      <c r="A1123" s="117"/>
      <c r="B1123" s="123"/>
      <c r="C1123" s="123"/>
      <c r="D1123" s="123"/>
      <c r="AV1123" s="115"/>
      <c r="AW1123" s="115"/>
      <c r="AX1123" s="115"/>
      <c r="AY1123" s="115"/>
      <c r="AZ1123" s="115"/>
      <c r="BA1123" s="17"/>
      <c r="BB1123" s="13"/>
      <c r="BG1123" s="117"/>
      <c r="BH1123" s="123"/>
      <c r="BI1123" s="123"/>
      <c r="BJ1123" s="123"/>
      <c r="BK1123" s="115"/>
      <c r="BL1123" s="115"/>
      <c r="BM1123" s="115"/>
      <c r="BN1123" s="115"/>
      <c r="BO1123" s="115"/>
      <c r="BP1123" s="115"/>
      <c r="BQ1123" s="115"/>
      <c r="BR1123" s="115"/>
      <c r="BS1123" s="115"/>
      <c r="BT1123" s="115"/>
      <c r="BU1123" s="115"/>
      <c r="BV1123" s="115"/>
      <c r="BW1123" s="115"/>
      <c r="BX1123" s="115"/>
      <c r="BY1123" s="25"/>
      <c r="BZ1123" s="13"/>
      <c r="CC1123" s="114"/>
    </row>
    <row r="1124" spans="1:81" ht="19.5" x14ac:dyDescent="0.4">
      <c r="A1124" s="117"/>
      <c r="B1124" s="123"/>
      <c r="C1124" s="123"/>
      <c r="D1124" s="123"/>
      <c r="AV1124" s="115"/>
      <c r="AW1124" s="115"/>
      <c r="AX1124" s="115"/>
      <c r="AY1124" s="115"/>
      <c r="AZ1124" s="115"/>
      <c r="BA1124" s="17"/>
      <c r="BB1124" s="13"/>
      <c r="BG1124" s="117"/>
      <c r="BH1124" s="123"/>
      <c r="BI1124" s="123"/>
      <c r="BJ1124" s="123"/>
      <c r="BK1124" s="115"/>
      <c r="BL1124" s="115"/>
      <c r="BM1124" s="115"/>
      <c r="BN1124" s="115"/>
      <c r="BO1124" s="115"/>
      <c r="BP1124" s="115"/>
      <c r="BQ1124" s="115"/>
      <c r="BR1124" s="115"/>
      <c r="BS1124" s="115"/>
      <c r="BT1124" s="115"/>
      <c r="BU1124" s="115"/>
      <c r="BV1124" s="115"/>
      <c r="BW1124" s="115"/>
      <c r="BX1124" s="115"/>
      <c r="BY1124" s="25"/>
      <c r="BZ1124" s="13"/>
      <c r="CC1124" s="114"/>
    </row>
    <row r="1125" spans="1:81" ht="19.5" x14ac:dyDescent="0.4">
      <c r="A1125" s="117"/>
      <c r="B1125" s="123"/>
      <c r="C1125" s="123"/>
      <c r="D1125" s="123"/>
      <c r="BA1125" s="26"/>
      <c r="BB1125" s="13"/>
      <c r="BG1125" s="117"/>
      <c r="BH1125" s="123"/>
      <c r="BI1125" s="123"/>
      <c r="BJ1125" s="123"/>
      <c r="BK1125" s="115"/>
      <c r="BL1125" s="115"/>
      <c r="BM1125" s="115"/>
      <c r="BN1125" s="115"/>
      <c r="BO1125" s="115"/>
      <c r="BP1125" s="115"/>
      <c r="BQ1125" s="115"/>
      <c r="BR1125" s="115"/>
      <c r="BS1125" s="115"/>
      <c r="BT1125" s="115"/>
      <c r="BU1125" s="115"/>
      <c r="BV1125" s="115"/>
      <c r="BW1125" s="115"/>
      <c r="BX1125" s="115"/>
      <c r="BY1125" s="25">
        <v>45272</v>
      </c>
      <c r="BZ1125" s="13" t="s">
        <v>162</v>
      </c>
      <c r="CC1125" s="114"/>
    </row>
    <row r="1126" spans="1:81" ht="19.5" x14ac:dyDescent="0.4">
      <c r="A1126" s="125"/>
      <c r="B1126" s="126"/>
      <c r="C1126" s="126"/>
      <c r="D1126" s="126"/>
      <c r="F1126" s="115"/>
      <c r="G1126" s="115"/>
      <c r="H1126" s="115"/>
      <c r="I1126" s="115"/>
      <c r="J1126" s="115"/>
      <c r="K1126" s="115"/>
      <c r="L1126" s="115"/>
      <c r="M1126" s="115"/>
      <c r="N1126" s="115"/>
      <c r="O1126" s="115"/>
      <c r="P1126" s="115"/>
      <c r="Q1126" s="115"/>
      <c r="R1126" s="115"/>
      <c r="S1126" s="115"/>
      <c r="T1126" s="115"/>
      <c r="U1126" s="115"/>
      <c r="V1126" s="115"/>
      <c r="W1126" s="115"/>
      <c r="X1126" s="115"/>
      <c r="Y1126" s="115"/>
      <c r="Z1126" s="115"/>
      <c r="AA1126" s="115"/>
      <c r="AB1126" s="115"/>
      <c r="AC1126" s="115"/>
      <c r="AD1126" s="115"/>
      <c r="AE1126" s="115"/>
      <c r="AF1126" s="115"/>
      <c r="AG1126" s="115"/>
      <c r="AH1126" s="115"/>
      <c r="AI1126" s="115"/>
      <c r="AJ1126" s="115"/>
      <c r="AK1126" s="115"/>
      <c r="AL1126" s="115"/>
      <c r="AM1126" s="115"/>
      <c r="AN1126" s="115"/>
      <c r="AO1126" s="115"/>
      <c r="AP1126" s="115"/>
      <c r="AQ1126" s="115"/>
      <c r="AR1126" s="115"/>
      <c r="AS1126" s="115"/>
      <c r="AT1126" s="115"/>
      <c r="AU1126" s="115"/>
      <c r="AV1126" s="115"/>
      <c r="AW1126" s="115"/>
      <c r="AX1126" s="115"/>
      <c r="AY1126" s="115"/>
      <c r="AZ1126" s="115"/>
      <c r="BA1126" s="26"/>
      <c r="BB1126" s="13"/>
      <c r="BG1126" s="117"/>
      <c r="BH1126" s="123"/>
      <c r="BI1126" s="123"/>
      <c r="BJ1126" s="123"/>
      <c r="BK1126" s="115"/>
      <c r="BL1126" s="115"/>
      <c r="BM1126" s="115"/>
      <c r="BN1126" s="115"/>
      <c r="BO1126" s="115"/>
      <c r="BP1126" s="115"/>
      <c r="BQ1126" s="115"/>
      <c r="BR1126" s="115"/>
      <c r="BS1126" s="115"/>
      <c r="BT1126" s="115"/>
      <c r="BU1126" s="115"/>
      <c r="BV1126" s="115"/>
      <c r="BW1126" s="115"/>
      <c r="BX1126" s="115"/>
      <c r="BY1126" s="25"/>
      <c r="BZ1126" s="13"/>
      <c r="CC1126" s="114"/>
    </row>
    <row r="1127" spans="1:81" ht="19.5" x14ac:dyDescent="0.4">
      <c r="A1127" s="125"/>
      <c r="B1127" s="126"/>
      <c r="C1127" s="126"/>
      <c r="D1127" s="126"/>
      <c r="F1127" s="115"/>
      <c r="G1127" s="115"/>
      <c r="H1127" s="115"/>
      <c r="I1127" s="115"/>
      <c r="J1127" s="115"/>
      <c r="K1127" s="115"/>
      <c r="L1127" s="115"/>
      <c r="M1127" s="115"/>
      <c r="N1127" s="115"/>
      <c r="O1127" s="115"/>
      <c r="P1127" s="115"/>
      <c r="Q1127" s="115"/>
      <c r="R1127" s="115"/>
      <c r="S1127" s="115"/>
      <c r="T1127" s="115"/>
      <c r="U1127" s="115"/>
      <c r="V1127" s="115"/>
      <c r="W1127" s="115"/>
      <c r="X1127" s="115"/>
      <c r="Y1127" s="115"/>
      <c r="Z1127" s="115"/>
      <c r="AA1127" s="115"/>
      <c r="AB1127" s="115"/>
      <c r="AC1127" s="115"/>
      <c r="AD1127" s="115"/>
      <c r="AE1127" s="115"/>
      <c r="AF1127" s="115"/>
      <c r="AG1127" s="115"/>
      <c r="AH1127" s="115"/>
      <c r="AI1127" s="115"/>
      <c r="AJ1127" s="115"/>
      <c r="AK1127" s="115"/>
      <c r="AL1127" s="115"/>
      <c r="AM1127" s="115"/>
      <c r="AN1127" s="115"/>
      <c r="AO1127" s="115"/>
      <c r="AP1127" s="115"/>
      <c r="AQ1127" s="115"/>
      <c r="AR1127" s="115"/>
      <c r="AS1127" s="115"/>
      <c r="AT1127" s="115"/>
      <c r="AU1127" s="115"/>
      <c r="AV1127" s="115"/>
      <c r="AW1127" s="115"/>
      <c r="AX1127" s="115"/>
      <c r="AY1127" s="115"/>
      <c r="AZ1127" s="115"/>
      <c r="BA1127" s="26"/>
      <c r="BB1127" s="13"/>
      <c r="BG1127" s="117"/>
      <c r="BH1127" s="123"/>
      <c r="BI1127" s="123"/>
      <c r="BJ1127" s="123"/>
      <c r="BK1127" s="115"/>
      <c r="BL1127" s="115"/>
      <c r="BM1127" s="115"/>
      <c r="BN1127" s="115"/>
      <c r="BO1127" s="115"/>
      <c r="BP1127" s="115"/>
      <c r="BQ1127" s="115"/>
      <c r="BR1127" s="115"/>
      <c r="BS1127" s="115"/>
      <c r="BT1127" s="115"/>
      <c r="BU1127" s="115"/>
      <c r="BV1127" s="115"/>
      <c r="BW1127" s="115"/>
      <c r="BX1127" s="115"/>
      <c r="BY1127" s="25"/>
      <c r="BZ1127" s="13"/>
      <c r="CC1127" s="114"/>
    </row>
    <row r="1128" spans="1:81" ht="19.5" x14ac:dyDescent="0.4">
      <c r="A1128" s="125"/>
      <c r="B1128" s="126"/>
      <c r="C1128" s="126"/>
      <c r="D1128" s="126"/>
      <c r="F1128" s="115"/>
      <c r="G1128" s="115"/>
      <c r="H1128" s="115"/>
      <c r="I1128" s="115"/>
      <c r="J1128" s="115"/>
      <c r="K1128" s="115"/>
      <c r="L1128" s="115"/>
      <c r="M1128" s="115"/>
      <c r="N1128" s="115"/>
      <c r="O1128" s="115"/>
      <c r="P1128" s="115"/>
      <c r="Q1128" s="115"/>
      <c r="R1128" s="115"/>
      <c r="S1128" s="115"/>
      <c r="T1128" s="115"/>
      <c r="U1128" s="115"/>
      <c r="V1128" s="115"/>
      <c r="W1128" s="115"/>
      <c r="X1128" s="115"/>
      <c r="Y1128" s="115"/>
      <c r="Z1128" s="115"/>
      <c r="AA1128" s="115"/>
      <c r="AB1128" s="115"/>
      <c r="AC1128" s="115"/>
      <c r="AD1128" s="115"/>
      <c r="AE1128" s="115"/>
      <c r="AF1128" s="115"/>
      <c r="AG1128" s="115"/>
      <c r="AH1128" s="115"/>
      <c r="AI1128" s="115"/>
      <c r="AJ1128" s="115"/>
      <c r="AK1128" s="115"/>
      <c r="AL1128" s="115"/>
      <c r="AM1128" s="115"/>
      <c r="AN1128" s="115"/>
      <c r="AO1128" s="115"/>
      <c r="AP1128" s="115"/>
      <c r="AQ1128" s="115"/>
      <c r="AR1128" s="115"/>
      <c r="AS1128" s="115"/>
      <c r="AT1128" s="115"/>
      <c r="AU1128" s="115"/>
      <c r="AV1128" s="115"/>
      <c r="AW1128" s="115"/>
      <c r="AX1128" s="115"/>
      <c r="AY1128" s="115"/>
      <c r="AZ1128" s="115"/>
      <c r="BA1128" s="17"/>
      <c r="BB1128" s="13"/>
      <c r="BG1128" s="117"/>
      <c r="BH1128" s="123"/>
      <c r="BI1128" s="123"/>
      <c r="BJ1128" s="123"/>
      <c r="BK1128" s="115"/>
      <c r="BL1128" s="115"/>
      <c r="BM1128" s="115"/>
      <c r="BN1128" s="115"/>
      <c r="BO1128" s="115"/>
      <c r="BP1128" s="115"/>
      <c r="BQ1128" s="115"/>
      <c r="BR1128" s="115"/>
      <c r="BS1128" s="115"/>
      <c r="BT1128" s="115"/>
      <c r="BU1128" s="115"/>
      <c r="BV1128" s="115"/>
      <c r="BW1128" s="115"/>
      <c r="BX1128" s="115"/>
      <c r="BY1128" s="25"/>
      <c r="BZ1128" s="13"/>
      <c r="CC1128" s="114"/>
    </row>
    <row r="1129" spans="1:81" ht="19.5" x14ac:dyDescent="0.4">
      <c r="A1129" s="125"/>
      <c r="B1129" s="126"/>
      <c r="C1129" s="126"/>
      <c r="D1129" s="126"/>
      <c r="F1129" s="115"/>
      <c r="G1129" s="115"/>
      <c r="H1129" s="115"/>
      <c r="I1129" s="115"/>
      <c r="J1129" s="115"/>
      <c r="K1129" s="115"/>
      <c r="L1129" s="115"/>
      <c r="M1129" s="115"/>
      <c r="N1129" s="115"/>
      <c r="O1129" s="115"/>
      <c r="P1129" s="115"/>
      <c r="Q1129" s="115"/>
      <c r="R1129" s="115"/>
      <c r="S1129" s="115"/>
      <c r="T1129" s="115"/>
      <c r="U1129" s="115"/>
      <c r="V1129" s="115"/>
      <c r="W1129" s="115"/>
      <c r="X1129" s="115"/>
      <c r="Y1129" s="115"/>
      <c r="Z1129" s="115"/>
      <c r="AA1129" s="115"/>
      <c r="AB1129" s="115"/>
      <c r="AC1129" s="115"/>
      <c r="AD1129" s="115"/>
      <c r="AE1129" s="115"/>
      <c r="AF1129" s="115"/>
      <c r="AG1129" s="115"/>
      <c r="AH1129" s="115"/>
      <c r="AI1129" s="115"/>
      <c r="AJ1129" s="115"/>
      <c r="AK1129" s="115"/>
      <c r="AL1129" s="115"/>
      <c r="AM1129" s="115"/>
      <c r="AN1129" s="115"/>
      <c r="AO1129" s="115"/>
      <c r="AP1129" s="115"/>
      <c r="AQ1129" s="115"/>
      <c r="AR1129" s="115"/>
      <c r="AS1129" s="115"/>
      <c r="AT1129" s="115"/>
      <c r="AU1129" s="115"/>
      <c r="AV1129" s="115"/>
      <c r="AW1129" s="115"/>
      <c r="AX1129" s="115"/>
      <c r="AY1129" s="115"/>
      <c r="AZ1129" s="115"/>
      <c r="BA1129" s="26"/>
      <c r="BB1129" s="13"/>
      <c r="BG1129" s="117"/>
      <c r="BH1129" s="123"/>
      <c r="BI1129" s="123"/>
      <c r="BJ1129" s="123"/>
      <c r="BK1129" s="115"/>
      <c r="BL1129" s="115"/>
      <c r="BM1129" s="115"/>
      <c r="BN1129" s="115"/>
      <c r="BO1129" s="115"/>
      <c r="BP1129" s="115"/>
      <c r="BQ1129" s="115"/>
      <c r="BR1129" s="115"/>
      <c r="BS1129" s="115"/>
      <c r="BT1129" s="115"/>
      <c r="BU1129" s="115"/>
      <c r="BV1129" s="115"/>
      <c r="BW1129" s="115"/>
      <c r="BX1129" s="115"/>
      <c r="BY1129" s="25"/>
      <c r="BZ1129" s="13"/>
      <c r="CC1129" s="114"/>
    </row>
    <row r="1130" spans="1:81" ht="19.5" x14ac:dyDescent="0.4">
      <c r="BA1130" s="26"/>
      <c r="BB1130" s="13"/>
      <c r="BG1130" s="117"/>
      <c r="BH1130" s="123"/>
      <c r="BI1130" s="123"/>
      <c r="BJ1130" s="123"/>
      <c r="BK1130" s="115"/>
      <c r="BL1130" s="115"/>
      <c r="BM1130" s="115"/>
      <c r="BN1130" s="115"/>
      <c r="BO1130" s="115"/>
      <c r="BP1130" s="115"/>
      <c r="BQ1130" s="115"/>
      <c r="BR1130" s="115"/>
      <c r="BS1130" s="115"/>
      <c r="BT1130" s="115"/>
      <c r="BU1130" s="115"/>
      <c r="BV1130" s="115"/>
      <c r="BW1130" s="115"/>
      <c r="BX1130" s="115"/>
      <c r="BY1130" s="25">
        <v>45272</v>
      </c>
      <c r="BZ1130" s="13" t="s">
        <v>162</v>
      </c>
      <c r="CC1130" s="114"/>
    </row>
    <row r="1131" spans="1:81" ht="19.5" x14ac:dyDescent="0.4">
      <c r="BA1131" s="26"/>
      <c r="BB1131" s="13"/>
      <c r="BG1131" s="117"/>
      <c r="BH1131" s="123"/>
      <c r="BI1131" s="123"/>
      <c r="BJ1131" s="123"/>
      <c r="BK1131" s="115"/>
      <c r="BL1131" s="115"/>
      <c r="BM1131" s="115"/>
      <c r="BN1131" s="115"/>
      <c r="BO1131" s="115"/>
      <c r="BP1131" s="115"/>
      <c r="BQ1131" s="115"/>
      <c r="BR1131" s="115"/>
      <c r="BS1131" s="115"/>
      <c r="BT1131" s="115"/>
      <c r="BU1131" s="115"/>
      <c r="BV1131" s="115"/>
      <c r="BW1131" s="115"/>
      <c r="BX1131" s="115"/>
      <c r="BY1131" s="25"/>
      <c r="BZ1131" s="13"/>
      <c r="CC1131" s="114"/>
    </row>
    <row r="1132" spans="1:81" ht="19.5" x14ac:dyDescent="0.4">
      <c r="AQ1132" s="115"/>
      <c r="AR1132" s="115"/>
      <c r="AS1132" s="115"/>
      <c r="AT1132" s="115"/>
      <c r="AU1132" s="115"/>
      <c r="AV1132" s="115"/>
      <c r="AW1132" s="115"/>
      <c r="AX1132" s="115"/>
      <c r="AY1132" s="115"/>
      <c r="AZ1132" s="115"/>
      <c r="BA1132" s="26"/>
      <c r="BB1132" s="25"/>
      <c r="BG1132" s="117"/>
      <c r="BH1132" s="123"/>
      <c r="BI1132" s="123"/>
      <c r="BJ1132" s="123"/>
      <c r="BK1132" s="115"/>
      <c r="BL1132" s="115"/>
      <c r="BM1132" s="115"/>
      <c r="BN1132" s="115"/>
      <c r="BO1132" s="115"/>
      <c r="BP1132" s="115"/>
      <c r="BQ1132" s="115"/>
      <c r="BR1132" s="115"/>
      <c r="BS1132" s="115"/>
      <c r="BT1132" s="115"/>
      <c r="BU1132" s="115"/>
      <c r="BV1132" s="115"/>
      <c r="BW1132" s="115"/>
      <c r="BX1132" s="115"/>
      <c r="BY1132" s="25"/>
      <c r="BZ1132" s="13"/>
      <c r="CC1132" s="114"/>
    </row>
    <row r="1133" spans="1:81" ht="19.5" x14ac:dyDescent="0.4">
      <c r="BA1133" s="26"/>
      <c r="BB1133" s="25"/>
      <c r="BG1133" s="117"/>
      <c r="BH1133" s="123"/>
      <c r="BI1133" s="123"/>
      <c r="BJ1133" s="123"/>
      <c r="BK1133" s="115"/>
      <c r="BL1133" s="115"/>
      <c r="BM1133" s="115"/>
      <c r="BN1133" s="115"/>
      <c r="BO1133" s="115"/>
      <c r="BP1133" s="115"/>
      <c r="BQ1133" s="115"/>
      <c r="BR1133" s="115"/>
      <c r="BS1133" s="115"/>
      <c r="BT1133" s="115"/>
      <c r="BU1133" s="115"/>
      <c r="BV1133" s="115"/>
      <c r="BW1133" s="115"/>
      <c r="BX1133" s="115"/>
      <c r="BY1133" s="25">
        <v>45272</v>
      </c>
      <c r="BZ1133" s="13" t="s">
        <v>162</v>
      </c>
      <c r="CC1133" s="114"/>
    </row>
    <row r="1134" spans="1:81" ht="19.5" x14ac:dyDescent="0.4">
      <c r="BA1134" s="26"/>
      <c r="BB1134" s="13"/>
      <c r="BG1134" s="117"/>
      <c r="BH1134" s="123"/>
      <c r="BI1134" s="123"/>
      <c r="BJ1134" s="123"/>
      <c r="BK1134" s="115"/>
      <c r="BL1134" s="115"/>
      <c r="BM1134" s="115"/>
      <c r="BN1134" s="115"/>
      <c r="BO1134" s="115"/>
      <c r="BP1134" s="115"/>
      <c r="BQ1134" s="115"/>
      <c r="BR1134" s="115"/>
      <c r="BS1134" s="115"/>
      <c r="BT1134" s="115"/>
      <c r="BU1134" s="115"/>
      <c r="BV1134" s="115"/>
      <c r="BW1134" s="115"/>
      <c r="BX1134" s="115"/>
      <c r="BY1134" s="25">
        <v>45272</v>
      </c>
      <c r="BZ1134" s="15" t="s">
        <v>162</v>
      </c>
      <c r="CC1134" s="114"/>
    </row>
    <row r="1135" spans="1:81" ht="19.5" x14ac:dyDescent="0.4">
      <c r="BA1135" s="26"/>
      <c r="BB1135" s="13"/>
      <c r="BG1135" s="117"/>
      <c r="BH1135" s="123"/>
      <c r="BI1135" s="123"/>
      <c r="BJ1135" s="123"/>
      <c r="BK1135" s="115"/>
      <c r="BL1135" s="115"/>
      <c r="BM1135" s="115"/>
      <c r="BN1135" s="115"/>
      <c r="BO1135" s="115"/>
      <c r="BP1135" s="115"/>
      <c r="BQ1135" s="115"/>
      <c r="BR1135" s="115"/>
      <c r="BS1135" s="115"/>
      <c r="BT1135" s="115"/>
      <c r="BU1135" s="115"/>
      <c r="BV1135" s="115"/>
      <c r="BW1135" s="115"/>
      <c r="BX1135" s="115"/>
      <c r="BY1135" s="25">
        <v>45272</v>
      </c>
      <c r="BZ1135" s="15" t="s">
        <v>162</v>
      </c>
      <c r="CC1135" s="114"/>
    </row>
    <row r="1136" spans="1:81" ht="19.5" x14ac:dyDescent="0.4">
      <c r="AQ1136" s="115"/>
      <c r="AR1136" s="115"/>
      <c r="AS1136" s="115"/>
      <c r="AT1136" s="115"/>
      <c r="AU1136" s="115"/>
      <c r="AV1136" s="115"/>
      <c r="AW1136" s="115"/>
      <c r="AX1136" s="115"/>
      <c r="AY1136" s="115"/>
      <c r="AZ1136" s="115"/>
      <c r="BA1136" s="26"/>
      <c r="BB1136" s="13"/>
      <c r="BG1136" s="117"/>
      <c r="BH1136" s="123"/>
      <c r="BI1136" s="123"/>
      <c r="BJ1136" s="123"/>
      <c r="BK1136" s="115"/>
      <c r="BL1136" s="115"/>
      <c r="BM1136" s="115"/>
      <c r="BN1136" s="115"/>
      <c r="BO1136" s="115"/>
      <c r="BP1136" s="115"/>
      <c r="BQ1136" s="115"/>
      <c r="BR1136" s="115"/>
      <c r="BS1136" s="115"/>
      <c r="BT1136" s="115"/>
      <c r="BU1136" s="115"/>
      <c r="BV1136" s="115"/>
      <c r="BW1136" s="115"/>
      <c r="BX1136" s="115"/>
      <c r="BY1136" s="25"/>
      <c r="BZ1136" s="15"/>
      <c r="CC1136" s="114"/>
    </row>
    <row r="1137" spans="6:81" ht="19.5" x14ac:dyDescent="0.4">
      <c r="AQ1137" s="115"/>
      <c r="AR1137" s="115"/>
      <c r="AS1137" s="115"/>
      <c r="AT1137" s="115"/>
      <c r="AU1137" s="115"/>
      <c r="AV1137" s="115"/>
      <c r="AW1137" s="115"/>
      <c r="AX1137" s="115"/>
      <c r="AY1137" s="115"/>
      <c r="AZ1137" s="115"/>
      <c r="BA1137" s="17"/>
      <c r="BB1137" s="13"/>
      <c r="BG1137" s="117"/>
      <c r="BH1137" s="123"/>
      <c r="BI1137" s="123"/>
      <c r="BJ1137" s="123"/>
      <c r="BK1137" s="115"/>
      <c r="BL1137" s="115"/>
      <c r="BM1137" s="115"/>
      <c r="BN1137" s="115"/>
      <c r="BO1137" s="115"/>
      <c r="BP1137" s="115"/>
      <c r="BQ1137" s="115"/>
      <c r="BR1137" s="115"/>
      <c r="BS1137" s="115"/>
      <c r="BT1137" s="115"/>
      <c r="BU1137" s="115"/>
      <c r="BV1137" s="115"/>
      <c r="BW1137" s="115"/>
      <c r="BX1137" s="115"/>
      <c r="BY1137" s="25"/>
      <c r="BZ1137" s="15"/>
      <c r="CC1137" s="114"/>
    </row>
    <row r="1138" spans="6:81" ht="19.5" x14ac:dyDescent="0.4">
      <c r="BA1138" s="26"/>
      <c r="BB1138" s="13"/>
      <c r="BG1138" s="117"/>
      <c r="BH1138" s="123"/>
      <c r="BI1138" s="123"/>
      <c r="BJ1138" s="123"/>
      <c r="BK1138" s="115"/>
      <c r="BL1138" s="115"/>
      <c r="BM1138" s="115"/>
      <c r="BN1138" s="115"/>
      <c r="BO1138" s="115"/>
      <c r="BP1138" s="115"/>
      <c r="BQ1138" s="115"/>
      <c r="BR1138" s="115"/>
      <c r="BS1138" s="115"/>
      <c r="BT1138" s="115"/>
      <c r="BU1138" s="115"/>
      <c r="BV1138" s="115"/>
      <c r="BW1138" s="115"/>
      <c r="BX1138" s="115"/>
      <c r="BY1138" s="25">
        <v>45272</v>
      </c>
      <c r="BZ1138" s="15" t="s">
        <v>162</v>
      </c>
      <c r="CC1138" s="114"/>
    </row>
    <row r="1139" spans="6:81" ht="19.5" x14ac:dyDescent="0.4">
      <c r="F1139" s="115"/>
      <c r="G1139" s="115"/>
      <c r="H1139" s="115"/>
      <c r="I1139" s="115"/>
      <c r="J1139" s="115"/>
      <c r="K1139" s="115"/>
      <c r="L1139" s="115"/>
      <c r="M1139" s="115"/>
      <c r="N1139" s="115"/>
      <c r="O1139" s="115"/>
      <c r="P1139" s="115"/>
      <c r="Q1139" s="115"/>
      <c r="R1139" s="115"/>
      <c r="S1139" s="115"/>
      <c r="T1139" s="115"/>
      <c r="U1139" s="115"/>
      <c r="V1139" s="115"/>
      <c r="W1139" s="115"/>
      <c r="X1139" s="115"/>
      <c r="Y1139" s="115"/>
      <c r="Z1139" s="115"/>
      <c r="AA1139" s="115"/>
      <c r="AB1139" s="115"/>
      <c r="AC1139" s="115"/>
      <c r="AD1139" s="115"/>
      <c r="AE1139" s="115"/>
      <c r="AF1139" s="115"/>
      <c r="AG1139" s="115"/>
      <c r="AH1139" s="115"/>
      <c r="AI1139" s="115"/>
      <c r="AJ1139" s="115"/>
      <c r="AK1139" s="115"/>
      <c r="AL1139" s="115"/>
      <c r="AM1139" s="115"/>
      <c r="AN1139" s="115"/>
      <c r="AO1139" s="115"/>
      <c r="AP1139" s="115"/>
      <c r="AQ1139" s="115"/>
      <c r="AR1139" s="115"/>
      <c r="AS1139" s="115"/>
      <c r="AT1139" s="115"/>
      <c r="AU1139" s="115"/>
      <c r="AV1139" s="115"/>
      <c r="AW1139" s="115"/>
      <c r="AX1139" s="115"/>
      <c r="AY1139" s="115"/>
      <c r="AZ1139" s="115"/>
      <c r="BA1139" s="26"/>
      <c r="BB1139" s="13"/>
      <c r="BG1139" s="117"/>
      <c r="BH1139" s="123"/>
      <c r="BI1139" s="123"/>
      <c r="BJ1139" s="123"/>
      <c r="BK1139" s="115"/>
      <c r="BL1139" s="115"/>
      <c r="BM1139" s="115"/>
      <c r="BN1139" s="115"/>
      <c r="BO1139" s="115"/>
      <c r="BP1139" s="115"/>
      <c r="BQ1139" s="115"/>
      <c r="BR1139" s="115"/>
      <c r="BS1139" s="115"/>
      <c r="BT1139" s="115"/>
      <c r="BU1139" s="115"/>
      <c r="BV1139" s="115"/>
      <c r="BW1139" s="115"/>
      <c r="BX1139" s="115"/>
      <c r="BY1139" s="25"/>
      <c r="BZ1139" s="15"/>
      <c r="CC1139" s="114"/>
    </row>
    <row r="1140" spans="6:81" ht="19.5" x14ac:dyDescent="0.4">
      <c r="F1140" s="115"/>
      <c r="G1140" s="115"/>
      <c r="H1140" s="115"/>
      <c r="I1140" s="115"/>
      <c r="J1140" s="115"/>
      <c r="K1140" s="115"/>
      <c r="L1140" s="115"/>
      <c r="M1140" s="115"/>
      <c r="N1140" s="115"/>
      <c r="O1140" s="115"/>
      <c r="P1140" s="115"/>
      <c r="Q1140" s="115"/>
      <c r="R1140" s="115"/>
      <c r="S1140" s="115"/>
      <c r="T1140" s="115"/>
      <c r="U1140" s="115"/>
      <c r="V1140" s="115"/>
      <c r="W1140" s="115"/>
      <c r="X1140" s="115"/>
      <c r="Y1140" s="115"/>
      <c r="Z1140" s="115"/>
      <c r="AA1140" s="115"/>
      <c r="AB1140" s="115"/>
      <c r="AC1140" s="115"/>
      <c r="AD1140" s="115"/>
      <c r="AE1140" s="115"/>
      <c r="AF1140" s="115"/>
      <c r="AG1140" s="115"/>
      <c r="AH1140" s="115"/>
      <c r="AI1140" s="115"/>
      <c r="AJ1140" s="115"/>
      <c r="AK1140" s="115"/>
      <c r="AL1140" s="115"/>
      <c r="AM1140" s="115"/>
      <c r="AN1140" s="115"/>
      <c r="AO1140" s="115"/>
      <c r="AP1140" s="115"/>
      <c r="AQ1140" s="115"/>
      <c r="AR1140" s="115"/>
      <c r="AS1140" s="115"/>
      <c r="AT1140" s="115"/>
      <c r="AU1140" s="115"/>
      <c r="AV1140" s="115"/>
      <c r="AW1140" s="115"/>
      <c r="AX1140" s="115"/>
      <c r="AY1140" s="115"/>
      <c r="AZ1140" s="115"/>
      <c r="BA1140" s="26"/>
      <c r="BB1140" s="13"/>
      <c r="BG1140" s="117"/>
      <c r="BH1140" s="123"/>
      <c r="BI1140" s="123"/>
      <c r="BJ1140" s="123"/>
      <c r="BK1140" s="115"/>
      <c r="BL1140" s="115"/>
      <c r="BM1140" s="115"/>
      <c r="BN1140" s="115"/>
      <c r="BO1140" s="115"/>
      <c r="BP1140" s="115"/>
      <c r="BQ1140" s="115"/>
      <c r="BR1140" s="115"/>
      <c r="BS1140" s="115"/>
      <c r="BT1140" s="115"/>
      <c r="BU1140" s="115"/>
      <c r="BV1140" s="115"/>
      <c r="BW1140" s="115"/>
      <c r="BX1140" s="115"/>
      <c r="BY1140" s="25"/>
      <c r="BZ1140" s="15"/>
      <c r="CC1140" s="114"/>
    </row>
    <row r="1141" spans="6:81" ht="19.5" x14ac:dyDescent="0.4">
      <c r="F1141" s="115"/>
      <c r="G1141" s="115"/>
      <c r="H1141" s="115"/>
      <c r="I1141" s="115"/>
      <c r="J1141" s="115"/>
      <c r="K1141" s="115"/>
      <c r="L1141" s="115"/>
      <c r="M1141" s="115"/>
      <c r="N1141" s="115"/>
      <c r="O1141" s="115"/>
      <c r="P1141" s="115"/>
      <c r="Q1141" s="115"/>
      <c r="R1141" s="115"/>
      <c r="S1141" s="115"/>
      <c r="T1141" s="115"/>
      <c r="U1141" s="115"/>
      <c r="V1141" s="115"/>
      <c r="W1141" s="115"/>
      <c r="X1141" s="115"/>
      <c r="Y1141" s="115"/>
      <c r="Z1141" s="115"/>
      <c r="AA1141" s="115"/>
      <c r="AB1141" s="115"/>
      <c r="AC1141" s="115"/>
      <c r="AD1141" s="115"/>
      <c r="AE1141" s="115"/>
      <c r="AF1141" s="115"/>
      <c r="AG1141" s="115"/>
      <c r="AH1141" s="115"/>
      <c r="AI1141" s="115"/>
      <c r="AJ1141" s="115"/>
      <c r="AK1141" s="115"/>
      <c r="AL1141" s="115"/>
      <c r="AM1141" s="115"/>
      <c r="AN1141" s="115"/>
      <c r="AO1141" s="115"/>
      <c r="AP1141" s="115"/>
      <c r="AQ1141" s="115"/>
      <c r="AR1141" s="115"/>
      <c r="AS1141" s="115"/>
      <c r="AT1141" s="115"/>
      <c r="AU1141" s="115"/>
      <c r="AV1141" s="115"/>
      <c r="AW1141" s="115"/>
      <c r="AX1141" s="115"/>
      <c r="AY1141" s="115"/>
      <c r="AZ1141" s="115"/>
      <c r="BA1141" s="17"/>
      <c r="BB1141" s="13"/>
      <c r="BG1141" s="117"/>
      <c r="BH1141" s="123"/>
      <c r="BI1141" s="123"/>
      <c r="BJ1141" s="123"/>
      <c r="BK1141" s="115"/>
      <c r="BL1141" s="115"/>
      <c r="BM1141" s="115"/>
      <c r="BN1141" s="115"/>
      <c r="BO1141" s="115"/>
      <c r="BP1141" s="115"/>
      <c r="BQ1141" s="115"/>
      <c r="BR1141" s="115"/>
      <c r="BS1141" s="115"/>
      <c r="BT1141" s="115"/>
      <c r="BU1141" s="115"/>
      <c r="BV1141" s="115"/>
      <c r="BW1141" s="115"/>
      <c r="BX1141" s="115"/>
      <c r="BY1141" s="25"/>
      <c r="BZ1141" s="15"/>
      <c r="CC1141" s="114"/>
    </row>
    <row r="1142" spans="6:81" ht="19.5" x14ac:dyDescent="0.4">
      <c r="F1142" s="115"/>
      <c r="G1142" s="115"/>
      <c r="H1142" s="115"/>
      <c r="I1142" s="115"/>
      <c r="J1142" s="115"/>
      <c r="K1142" s="115"/>
      <c r="L1142" s="115"/>
      <c r="M1142" s="115"/>
      <c r="N1142" s="115"/>
      <c r="O1142" s="115"/>
      <c r="P1142" s="115"/>
      <c r="Q1142" s="115"/>
      <c r="R1142" s="115"/>
      <c r="S1142" s="115"/>
      <c r="T1142" s="115"/>
      <c r="U1142" s="115"/>
      <c r="V1142" s="115"/>
      <c r="W1142" s="115"/>
      <c r="X1142" s="115"/>
      <c r="Y1142" s="115"/>
      <c r="Z1142" s="115"/>
      <c r="AA1142" s="115"/>
      <c r="AB1142" s="115"/>
      <c r="AC1142" s="115"/>
      <c r="AD1142" s="115"/>
      <c r="AE1142" s="115"/>
      <c r="AF1142" s="115"/>
      <c r="AG1142" s="115"/>
      <c r="AH1142" s="115"/>
      <c r="AI1142" s="115"/>
      <c r="AJ1142" s="115"/>
      <c r="AK1142" s="115"/>
      <c r="AL1142" s="115"/>
      <c r="AM1142" s="115"/>
      <c r="AN1142" s="115"/>
      <c r="AO1142" s="115"/>
      <c r="AP1142" s="115"/>
      <c r="AQ1142" s="115"/>
      <c r="AR1142" s="115"/>
      <c r="AS1142" s="115"/>
      <c r="AT1142" s="115"/>
      <c r="AU1142" s="115"/>
      <c r="AV1142" s="115"/>
      <c r="AW1142" s="115"/>
      <c r="AX1142" s="115"/>
      <c r="AY1142" s="115"/>
      <c r="AZ1142" s="115"/>
      <c r="BA1142" s="26"/>
      <c r="BB1142" s="13"/>
      <c r="BG1142" s="117"/>
      <c r="BH1142" s="123"/>
      <c r="BI1142" s="123"/>
      <c r="BJ1142" s="123"/>
      <c r="BK1142" s="115"/>
      <c r="BL1142" s="115"/>
      <c r="BM1142" s="115"/>
      <c r="BN1142" s="115"/>
      <c r="BO1142" s="115"/>
      <c r="BP1142" s="115"/>
      <c r="BQ1142" s="115"/>
      <c r="BR1142" s="115"/>
      <c r="BS1142" s="115"/>
      <c r="BT1142" s="115"/>
      <c r="BU1142" s="115"/>
      <c r="BV1142" s="115"/>
      <c r="BW1142" s="115"/>
      <c r="BX1142" s="115"/>
      <c r="BY1142" s="25"/>
      <c r="BZ1142" s="15"/>
      <c r="CC1142" s="114"/>
    </row>
    <row r="1143" spans="6:81" ht="19.5" x14ac:dyDescent="0.4">
      <c r="F1143" s="115"/>
      <c r="G1143" s="115"/>
      <c r="H1143" s="115"/>
      <c r="I1143" s="115"/>
      <c r="J1143" s="115"/>
      <c r="K1143" s="115"/>
      <c r="L1143" s="115"/>
      <c r="M1143" s="115"/>
      <c r="N1143" s="115"/>
      <c r="O1143" s="115"/>
      <c r="P1143" s="115"/>
      <c r="Q1143" s="115"/>
      <c r="R1143" s="115"/>
      <c r="S1143" s="115"/>
      <c r="T1143" s="115"/>
      <c r="U1143" s="115"/>
      <c r="V1143" s="115"/>
      <c r="W1143" s="115"/>
      <c r="X1143" s="115"/>
      <c r="Y1143" s="115"/>
      <c r="Z1143" s="115"/>
      <c r="AA1143" s="115"/>
      <c r="AB1143" s="115"/>
      <c r="AC1143" s="115"/>
      <c r="AD1143" s="115"/>
      <c r="AE1143" s="115"/>
      <c r="AF1143" s="115"/>
      <c r="AG1143" s="115"/>
      <c r="AH1143" s="115"/>
      <c r="AI1143" s="115"/>
      <c r="AJ1143" s="115"/>
      <c r="AK1143" s="115"/>
      <c r="AL1143" s="115"/>
      <c r="AM1143" s="115"/>
      <c r="AN1143" s="115"/>
      <c r="AO1143" s="115"/>
      <c r="AP1143" s="115"/>
      <c r="AQ1143" s="115"/>
      <c r="AR1143" s="115"/>
      <c r="AS1143" s="115"/>
      <c r="AT1143" s="115"/>
      <c r="AU1143" s="115"/>
      <c r="AV1143" s="115"/>
      <c r="AW1143" s="115"/>
      <c r="AX1143" s="115"/>
      <c r="AY1143" s="115"/>
      <c r="AZ1143" s="115"/>
      <c r="BA1143" s="17"/>
      <c r="BB1143" s="13"/>
      <c r="BG1143" s="117"/>
      <c r="BH1143" s="123"/>
      <c r="BI1143" s="123"/>
      <c r="BJ1143" s="123"/>
      <c r="BK1143" s="115"/>
      <c r="BL1143" s="115"/>
      <c r="BM1143" s="115"/>
      <c r="BN1143" s="115"/>
      <c r="BO1143" s="115"/>
      <c r="BP1143" s="115"/>
      <c r="BQ1143" s="115"/>
      <c r="BR1143" s="115"/>
      <c r="BS1143" s="115"/>
      <c r="BT1143" s="115"/>
      <c r="BU1143" s="115"/>
      <c r="BV1143" s="115"/>
      <c r="BW1143" s="115"/>
      <c r="BX1143" s="115"/>
      <c r="BY1143" s="25"/>
      <c r="BZ1143" s="15"/>
      <c r="CC1143" s="114"/>
    </row>
    <row r="1144" spans="6:81" ht="19.5" x14ac:dyDescent="0.4">
      <c r="F1144" s="115"/>
      <c r="G1144" s="115"/>
      <c r="H1144" s="115"/>
      <c r="I1144" s="115"/>
      <c r="J1144" s="115"/>
      <c r="K1144" s="115"/>
      <c r="L1144" s="115"/>
      <c r="M1144" s="115"/>
      <c r="N1144" s="115"/>
      <c r="O1144" s="115"/>
      <c r="P1144" s="115"/>
      <c r="Q1144" s="115"/>
      <c r="R1144" s="115"/>
      <c r="S1144" s="115"/>
      <c r="T1144" s="115"/>
      <c r="U1144" s="115"/>
      <c r="V1144" s="115"/>
      <c r="W1144" s="115"/>
      <c r="X1144" s="115"/>
      <c r="Y1144" s="115"/>
      <c r="Z1144" s="115"/>
      <c r="AA1144" s="115"/>
      <c r="AB1144" s="115"/>
      <c r="AC1144" s="115"/>
      <c r="AD1144" s="115"/>
      <c r="AE1144" s="115"/>
      <c r="AF1144" s="115"/>
      <c r="AG1144" s="115"/>
      <c r="AH1144" s="115"/>
      <c r="AI1144" s="115"/>
      <c r="AJ1144" s="115"/>
      <c r="AK1144" s="115"/>
      <c r="AL1144" s="115"/>
      <c r="AM1144" s="115"/>
      <c r="AN1144" s="115"/>
      <c r="AO1144" s="115"/>
      <c r="AP1144" s="115"/>
      <c r="AQ1144" s="115"/>
      <c r="AR1144" s="115"/>
      <c r="AS1144" s="115"/>
      <c r="AT1144" s="115"/>
      <c r="AU1144" s="115"/>
      <c r="AV1144" s="115"/>
      <c r="AW1144" s="115"/>
      <c r="AX1144" s="115"/>
      <c r="AY1144" s="115"/>
      <c r="AZ1144" s="115"/>
      <c r="BA1144" s="26"/>
      <c r="BB1144" s="13"/>
      <c r="BG1144" s="117"/>
      <c r="BH1144" s="123"/>
      <c r="BI1144" s="123"/>
      <c r="BJ1144" s="123"/>
      <c r="BK1144" s="115"/>
      <c r="BL1144" s="115"/>
      <c r="BM1144" s="115"/>
      <c r="BN1144" s="115"/>
      <c r="BO1144" s="115"/>
      <c r="BP1144" s="115"/>
      <c r="BQ1144" s="115"/>
      <c r="BR1144" s="115"/>
      <c r="BS1144" s="115"/>
      <c r="BT1144" s="115"/>
      <c r="BU1144" s="115"/>
      <c r="BV1144" s="115"/>
      <c r="BW1144" s="115"/>
      <c r="BX1144" s="115"/>
      <c r="BY1144" s="25"/>
      <c r="BZ1144" s="15"/>
      <c r="CC1144" s="114"/>
    </row>
    <row r="1145" spans="6:81" ht="19.5" x14ac:dyDescent="0.4">
      <c r="BA1145" s="26"/>
      <c r="BB1145" s="13"/>
      <c r="BG1145" s="117"/>
      <c r="BH1145" s="123"/>
      <c r="BI1145" s="123"/>
      <c r="BJ1145" s="123"/>
      <c r="BK1145" s="115"/>
      <c r="BL1145" s="115"/>
      <c r="BM1145" s="115"/>
      <c r="BN1145" s="115"/>
      <c r="BO1145" s="115"/>
      <c r="BP1145" s="115"/>
      <c r="BQ1145" s="115"/>
      <c r="BR1145" s="115"/>
      <c r="BS1145" s="115"/>
      <c r="BT1145" s="115"/>
      <c r="BU1145" s="115"/>
      <c r="BV1145" s="115"/>
      <c r="BW1145" s="115"/>
      <c r="BX1145" s="115"/>
      <c r="BY1145" s="25">
        <v>45272</v>
      </c>
      <c r="BZ1145" s="15" t="s">
        <v>162</v>
      </c>
      <c r="CC1145" s="114"/>
    </row>
    <row r="1146" spans="6:81" ht="19.5" x14ac:dyDescent="0.4">
      <c r="AT1146" s="115"/>
      <c r="AU1146" s="115"/>
      <c r="AV1146" s="115"/>
      <c r="AW1146" s="115"/>
      <c r="AX1146" s="115"/>
      <c r="AY1146" s="115"/>
      <c r="AZ1146" s="115"/>
      <c r="BA1146" s="26"/>
      <c r="BB1146" s="13"/>
      <c r="BG1146" s="117"/>
      <c r="BH1146" s="123"/>
      <c r="BI1146" s="123"/>
      <c r="BJ1146" s="123"/>
      <c r="BK1146" s="115"/>
      <c r="BL1146" s="115"/>
      <c r="BM1146" s="115"/>
      <c r="BN1146" s="115"/>
      <c r="BO1146" s="115"/>
      <c r="BP1146" s="115"/>
      <c r="BQ1146" s="115"/>
      <c r="BR1146" s="115"/>
      <c r="BS1146" s="115"/>
      <c r="BT1146" s="115"/>
      <c r="BU1146" s="115"/>
      <c r="BV1146" s="115"/>
      <c r="BW1146" s="115"/>
      <c r="BX1146" s="115"/>
      <c r="BY1146" s="25"/>
      <c r="BZ1146" s="15"/>
      <c r="CC1146" s="114"/>
    </row>
    <row r="1147" spans="6:81" ht="19.5" x14ac:dyDescent="0.4">
      <c r="AT1147" s="115"/>
      <c r="AU1147" s="115"/>
      <c r="AV1147" s="115"/>
      <c r="AW1147" s="115"/>
      <c r="AX1147" s="115"/>
      <c r="AY1147" s="115"/>
      <c r="AZ1147" s="115"/>
      <c r="BA1147" s="17"/>
      <c r="BB1147" s="13"/>
      <c r="BG1147" s="117"/>
      <c r="BH1147" s="123"/>
      <c r="BI1147" s="123"/>
      <c r="BJ1147" s="123"/>
      <c r="BK1147" s="115"/>
      <c r="BL1147" s="115"/>
      <c r="BM1147" s="115"/>
      <c r="BN1147" s="115"/>
      <c r="BO1147" s="115"/>
      <c r="BP1147" s="115"/>
      <c r="BQ1147" s="115"/>
      <c r="BR1147" s="115"/>
      <c r="BS1147" s="115"/>
      <c r="BT1147" s="115"/>
      <c r="BU1147" s="115"/>
      <c r="BV1147" s="115"/>
      <c r="BW1147" s="115"/>
      <c r="BX1147" s="115"/>
      <c r="BY1147" s="25"/>
      <c r="BZ1147" s="15"/>
      <c r="CC1147" s="114"/>
    </row>
    <row r="1148" spans="6:81" ht="19.5" x14ac:dyDescent="0.4">
      <c r="F1148" s="115"/>
      <c r="G1148" s="115"/>
      <c r="H1148" s="115"/>
      <c r="I1148" s="115"/>
      <c r="J1148" s="115"/>
      <c r="K1148" s="115"/>
      <c r="L1148" s="115"/>
      <c r="M1148" s="115"/>
      <c r="N1148" s="115"/>
      <c r="O1148" s="115"/>
      <c r="P1148" s="115"/>
      <c r="Q1148" s="115"/>
      <c r="R1148" s="115"/>
      <c r="S1148" s="115"/>
      <c r="T1148" s="115"/>
      <c r="U1148" s="115"/>
      <c r="V1148" s="115"/>
      <c r="W1148" s="115"/>
      <c r="X1148" s="115"/>
      <c r="Y1148" s="115"/>
      <c r="Z1148" s="115"/>
      <c r="AA1148" s="115"/>
      <c r="AB1148" s="115"/>
      <c r="AC1148" s="115"/>
      <c r="AD1148" s="115"/>
      <c r="AE1148" s="115"/>
      <c r="AF1148" s="115"/>
      <c r="AG1148" s="115"/>
      <c r="AH1148" s="115"/>
      <c r="AI1148" s="115"/>
      <c r="AJ1148" s="115"/>
      <c r="AK1148" s="115"/>
      <c r="AL1148" s="115"/>
      <c r="AM1148" s="115"/>
      <c r="AN1148" s="115"/>
      <c r="AO1148" s="115"/>
      <c r="AP1148" s="115"/>
      <c r="AQ1148" s="115"/>
      <c r="AR1148" s="115"/>
      <c r="AS1148" s="115"/>
      <c r="AT1148" s="115"/>
      <c r="AU1148" s="115"/>
      <c r="AV1148" s="115"/>
      <c r="AW1148" s="115"/>
      <c r="AX1148" s="115"/>
      <c r="AY1148" s="115"/>
      <c r="AZ1148" s="115"/>
      <c r="BA1148" s="26"/>
      <c r="BB1148" s="13"/>
      <c r="BG1148" s="117"/>
      <c r="BH1148" s="123"/>
      <c r="BI1148" s="123"/>
      <c r="BJ1148" s="123"/>
      <c r="BK1148" s="115"/>
      <c r="BL1148" s="115"/>
      <c r="BM1148" s="115"/>
      <c r="BN1148" s="115"/>
      <c r="BO1148" s="115"/>
      <c r="BP1148" s="115"/>
      <c r="BQ1148" s="115"/>
      <c r="BR1148" s="115"/>
      <c r="BS1148" s="115"/>
      <c r="BT1148" s="115"/>
      <c r="BU1148" s="115"/>
      <c r="BV1148" s="115"/>
      <c r="BW1148" s="115"/>
      <c r="BX1148" s="115"/>
      <c r="BY1148" s="25"/>
      <c r="BZ1148" s="15"/>
      <c r="CC1148" s="114"/>
    </row>
    <row r="1149" spans="6:81" ht="19.5" x14ac:dyDescent="0.4">
      <c r="F1149" s="115"/>
      <c r="G1149" s="115"/>
      <c r="H1149" s="115"/>
      <c r="I1149" s="115"/>
      <c r="J1149" s="115"/>
      <c r="K1149" s="115"/>
      <c r="L1149" s="115"/>
      <c r="M1149" s="115"/>
      <c r="N1149" s="115"/>
      <c r="O1149" s="115"/>
      <c r="P1149" s="115"/>
      <c r="Q1149" s="115"/>
      <c r="R1149" s="115"/>
      <c r="S1149" s="115"/>
      <c r="T1149" s="115"/>
      <c r="U1149" s="115"/>
      <c r="V1149" s="115"/>
      <c r="W1149" s="115"/>
      <c r="X1149" s="115"/>
      <c r="Y1149" s="115"/>
      <c r="Z1149" s="115"/>
      <c r="AA1149" s="115"/>
      <c r="AB1149" s="115"/>
      <c r="AC1149" s="115"/>
      <c r="AD1149" s="115"/>
      <c r="AE1149" s="115"/>
      <c r="AF1149" s="115"/>
      <c r="AG1149" s="115"/>
      <c r="AH1149" s="115"/>
      <c r="AI1149" s="115"/>
      <c r="AJ1149" s="115"/>
      <c r="AK1149" s="115"/>
      <c r="AL1149" s="115"/>
      <c r="AM1149" s="115"/>
      <c r="AN1149" s="115"/>
      <c r="AO1149" s="115"/>
      <c r="AP1149" s="115"/>
      <c r="AQ1149" s="115"/>
      <c r="AR1149" s="115"/>
      <c r="AS1149" s="115"/>
      <c r="AT1149" s="115"/>
      <c r="AU1149" s="115"/>
      <c r="AV1149" s="115"/>
      <c r="AW1149" s="115"/>
      <c r="AX1149" s="115"/>
      <c r="AY1149" s="115"/>
      <c r="AZ1149" s="115"/>
      <c r="BA1149" s="17"/>
      <c r="BB1149" s="13"/>
      <c r="BG1149" s="117"/>
      <c r="BH1149" s="123"/>
      <c r="BI1149" s="123"/>
      <c r="BJ1149" s="123"/>
      <c r="BK1149" s="115"/>
      <c r="BL1149" s="115"/>
      <c r="BM1149" s="115"/>
      <c r="BN1149" s="115"/>
      <c r="BO1149" s="115"/>
      <c r="BP1149" s="115"/>
      <c r="BQ1149" s="115"/>
      <c r="BR1149" s="115"/>
      <c r="BS1149" s="115"/>
      <c r="BT1149" s="115"/>
      <c r="BU1149" s="115"/>
      <c r="BV1149" s="115"/>
      <c r="BW1149" s="115"/>
      <c r="BX1149" s="115"/>
      <c r="BY1149" s="25"/>
      <c r="BZ1149" s="15"/>
      <c r="CC1149" s="114"/>
    </row>
    <row r="1150" spans="6:81" ht="19.5" x14ac:dyDescent="0.4">
      <c r="F1150" s="115"/>
      <c r="G1150" s="115"/>
      <c r="H1150" s="115"/>
      <c r="I1150" s="115"/>
      <c r="J1150" s="115"/>
      <c r="K1150" s="115"/>
      <c r="L1150" s="115"/>
      <c r="M1150" s="115"/>
      <c r="N1150" s="115"/>
      <c r="O1150" s="115"/>
      <c r="P1150" s="115"/>
      <c r="Q1150" s="115"/>
      <c r="R1150" s="115"/>
      <c r="S1150" s="115"/>
      <c r="T1150" s="115"/>
      <c r="U1150" s="115"/>
      <c r="V1150" s="115"/>
      <c r="W1150" s="115"/>
      <c r="X1150" s="115"/>
      <c r="Y1150" s="115"/>
      <c r="Z1150" s="115"/>
      <c r="AA1150" s="115"/>
      <c r="AB1150" s="115"/>
      <c r="AC1150" s="115"/>
      <c r="AD1150" s="115"/>
      <c r="AE1150" s="115"/>
      <c r="AF1150" s="115"/>
      <c r="AG1150" s="115"/>
      <c r="AH1150" s="115"/>
      <c r="AI1150" s="115"/>
      <c r="AJ1150" s="115"/>
      <c r="AK1150" s="115"/>
      <c r="AL1150" s="115"/>
      <c r="AM1150" s="115"/>
      <c r="AN1150" s="115"/>
      <c r="AO1150" s="115"/>
      <c r="AP1150" s="115"/>
      <c r="AQ1150" s="115"/>
      <c r="AR1150" s="115"/>
      <c r="AS1150" s="115"/>
      <c r="AT1150" s="115"/>
      <c r="AU1150" s="115"/>
      <c r="AV1150" s="115"/>
      <c r="AW1150" s="115"/>
      <c r="AX1150" s="115"/>
      <c r="AY1150" s="115"/>
      <c r="AZ1150" s="115"/>
      <c r="BA1150" s="26"/>
      <c r="BB1150" s="25"/>
      <c r="BG1150" s="117"/>
      <c r="BH1150" s="123"/>
      <c r="BI1150" s="123"/>
      <c r="BJ1150" s="123"/>
      <c r="BK1150" s="115"/>
      <c r="BL1150" s="115"/>
      <c r="BM1150" s="115"/>
      <c r="BN1150" s="115"/>
      <c r="BO1150" s="115"/>
      <c r="BP1150" s="115"/>
      <c r="BQ1150" s="115"/>
      <c r="BR1150" s="115"/>
      <c r="BS1150" s="115"/>
      <c r="BT1150" s="115"/>
      <c r="BU1150" s="115"/>
      <c r="BV1150" s="115"/>
      <c r="BW1150" s="115"/>
      <c r="BX1150" s="115"/>
      <c r="BY1150" s="25"/>
      <c r="BZ1150" s="15"/>
      <c r="CC1150" s="114"/>
    </row>
    <row r="1151" spans="6:81" ht="19.5" x14ac:dyDescent="0.4">
      <c r="F1151" s="115"/>
      <c r="G1151" s="115"/>
      <c r="H1151" s="115"/>
      <c r="I1151" s="115"/>
      <c r="J1151" s="115"/>
      <c r="K1151" s="115"/>
      <c r="L1151" s="115"/>
      <c r="M1151" s="115"/>
      <c r="N1151" s="115"/>
      <c r="O1151" s="115"/>
      <c r="P1151" s="115"/>
      <c r="Q1151" s="115"/>
      <c r="R1151" s="115"/>
      <c r="S1151" s="115"/>
      <c r="T1151" s="115"/>
      <c r="U1151" s="115"/>
      <c r="V1151" s="115"/>
      <c r="W1151" s="115"/>
      <c r="X1151" s="115"/>
      <c r="Y1151" s="115"/>
      <c r="Z1151" s="115"/>
      <c r="AA1151" s="115"/>
      <c r="AB1151" s="115"/>
      <c r="AC1151" s="115"/>
      <c r="AD1151" s="115"/>
      <c r="AE1151" s="115"/>
      <c r="AF1151" s="115"/>
      <c r="AG1151" s="115"/>
      <c r="AH1151" s="115"/>
      <c r="AI1151" s="115"/>
      <c r="AJ1151" s="115"/>
      <c r="AK1151" s="115"/>
      <c r="AL1151" s="115"/>
      <c r="AM1151" s="115"/>
      <c r="AN1151" s="115"/>
      <c r="AO1151" s="115"/>
      <c r="AP1151" s="115"/>
      <c r="AQ1151" s="115"/>
      <c r="AR1151" s="115"/>
      <c r="AS1151" s="115"/>
      <c r="AT1151" s="115"/>
      <c r="AU1151" s="115"/>
      <c r="AV1151" s="115"/>
      <c r="AW1151" s="115"/>
      <c r="AX1151" s="115"/>
      <c r="AY1151" s="115"/>
      <c r="AZ1151" s="115"/>
      <c r="BA1151" s="17"/>
      <c r="BB1151" s="13"/>
      <c r="BG1151" s="117"/>
      <c r="BH1151" s="123"/>
      <c r="BI1151" s="123"/>
      <c r="BJ1151" s="123"/>
      <c r="BK1151" s="115"/>
      <c r="BL1151" s="115"/>
      <c r="BM1151" s="115"/>
      <c r="BN1151" s="115"/>
      <c r="BO1151" s="115"/>
      <c r="BP1151" s="115"/>
      <c r="BQ1151" s="115"/>
      <c r="BR1151" s="115"/>
      <c r="BS1151" s="115"/>
      <c r="BT1151" s="115"/>
      <c r="BU1151" s="115"/>
      <c r="BV1151" s="115"/>
      <c r="BW1151" s="115"/>
      <c r="BX1151" s="115"/>
      <c r="BY1151" s="25"/>
      <c r="BZ1151" s="15"/>
      <c r="CC1151" s="114"/>
    </row>
    <row r="1152" spans="6:81" ht="19.5" x14ac:dyDescent="0.4">
      <c r="F1152" s="115"/>
      <c r="G1152" s="115"/>
      <c r="H1152" s="115"/>
      <c r="I1152" s="115"/>
      <c r="J1152" s="115"/>
      <c r="K1152" s="115"/>
      <c r="L1152" s="115"/>
      <c r="M1152" s="115"/>
      <c r="N1152" s="115"/>
      <c r="O1152" s="115"/>
      <c r="P1152" s="115"/>
      <c r="Q1152" s="115"/>
      <c r="R1152" s="115"/>
      <c r="S1152" s="115"/>
      <c r="T1152" s="115"/>
      <c r="U1152" s="115"/>
      <c r="V1152" s="115"/>
      <c r="W1152" s="115"/>
      <c r="X1152" s="115"/>
      <c r="Y1152" s="115"/>
      <c r="Z1152" s="115"/>
      <c r="AA1152" s="115"/>
      <c r="AB1152" s="115"/>
      <c r="AC1152" s="115"/>
      <c r="AD1152" s="115"/>
      <c r="AE1152" s="115"/>
      <c r="AF1152" s="115"/>
      <c r="AG1152" s="115"/>
      <c r="AH1152" s="115"/>
      <c r="AI1152" s="115"/>
      <c r="AJ1152" s="115"/>
      <c r="AK1152" s="115"/>
      <c r="AL1152" s="115"/>
      <c r="AM1152" s="115"/>
      <c r="AN1152" s="115"/>
      <c r="AO1152" s="115"/>
      <c r="AP1152" s="115"/>
      <c r="AQ1152" s="115"/>
      <c r="AR1152" s="115"/>
      <c r="AS1152" s="115"/>
      <c r="AT1152" s="115"/>
      <c r="AU1152" s="115"/>
      <c r="AV1152" s="115"/>
      <c r="AW1152" s="115"/>
      <c r="AX1152" s="115"/>
      <c r="AY1152" s="115"/>
      <c r="AZ1152" s="115"/>
      <c r="BA1152" s="26"/>
      <c r="BB1152" s="13"/>
      <c r="BG1152" s="117"/>
      <c r="BH1152" s="123"/>
      <c r="BI1152" s="123"/>
      <c r="BJ1152" s="123"/>
      <c r="BK1152" s="115"/>
      <c r="BL1152" s="115"/>
      <c r="BM1152" s="115"/>
      <c r="BN1152" s="115"/>
      <c r="BO1152" s="115"/>
      <c r="BP1152" s="115"/>
      <c r="BQ1152" s="115"/>
      <c r="BR1152" s="115"/>
      <c r="BS1152" s="115"/>
      <c r="BT1152" s="115"/>
      <c r="BU1152" s="115"/>
      <c r="BV1152" s="115"/>
      <c r="BW1152" s="115"/>
      <c r="BX1152" s="115"/>
      <c r="BY1152" s="25"/>
      <c r="BZ1152" s="15"/>
      <c r="CC1152" s="114"/>
    </row>
    <row r="1153" spans="6:81" ht="19.5" x14ac:dyDescent="0.4">
      <c r="BA1153" s="26"/>
      <c r="BB1153" s="13"/>
      <c r="BG1153" s="117"/>
      <c r="BH1153" s="123"/>
      <c r="BI1153" s="123"/>
      <c r="BJ1153" s="123"/>
      <c r="BK1153" s="115"/>
      <c r="BL1153" s="115"/>
      <c r="BM1153" s="115"/>
      <c r="BN1153" s="115"/>
      <c r="BO1153" s="115"/>
      <c r="BP1153" s="115"/>
      <c r="BQ1153" s="115"/>
      <c r="BR1153" s="115"/>
      <c r="BS1153" s="115"/>
      <c r="BT1153" s="115"/>
      <c r="BU1153" s="115"/>
      <c r="BV1153" s="115"/>
      <c r="BW1153" s="115"/>
      <c r="BX1153" s="115"/>
      <c r="BY1153" s="25">
        <v>45272</v>
      </c>
      <c r="BZ1153" s="15" t="s">
        <v>162</v>
      </c>
      <c r="CC1153" s="114"/>
    </row>
    <row r="1154" spans="6:81" ht="19.5" x14ac:dyDescent="0.4">
      <c r="AU1154" s="115"/>
      <c r="AV1154" s="115"/>
      <c r="AW1154" s="115"/>
      <c r="AX1154" s="115"/>
      <c r="AY1154" s="115"/>
      <c r="AZ1154" s="115"/>
      <c r="BA1154" s="17"/>
      <c r="BB1154" s="13"/>
      <c r="BG1154" s="117"/>
      <c r="BH1154" s="123"/>
      <c r="BI1154" s="123"/>
      <c r="BJ1154" s="123"/>
      <c r="BK1154" s="115"/>
      <c r="BL1154" s="115"/>
      <c r="BM1154" s="115"/>
      <c r="BN1154" s="115"/>
      <c r="BO1154" s="115"/>
      <c r="BP1154" s="115"/>
      <c r="BQ1154" s="115"/>
      <c r="BR1154" s="115"/>
      <c r="BS1154" s="115"/>
      <c r="BT1154" s="115"/>
      <c r="BU1154" s="115"/>
      <c r="BV1154" s="115"/>
      <c r="BW1154" s="115"/>
      <c r="BX1154" s="115"/>
      <c r="BY1154" s="25"/>
      <c r="BZ1154" s="15"/>
      <c r="CC1154" s="114"/>
    </row>
    <row r="1155" spans="6:81" ht="19.5" x14ac:dyDescent="0.4">
      <c r="AT1155" s="115"/>
      <c r="AU1155" s="115"/>
      <c r="AV1155" s="115"/>
      <c r="AW1155" s="115"/>
      <c r="AX1155" s="115"/>
      <c r="AY1155" s="115"/>
      <c r="AZ1155" s="115"/>
      <c r="BA1155" s="26"/>
      <c r="BB1155" s="13"/>
      <c r="BG1155" s="117"/>
      <c r="BH1155" s="123"/>
      <c r="BI1155" s="123"/>
      <c r="BJ1155" s="123"/>
      <c r="BK1155" s="115"/>
      <c r="BL1155" s="115"/>
      <c r="BM1155" s="115"/>
      <c r="BN1155" s="115"/>
      <c r="BO1155" s="115"/>
      <c r="BP1155" s="115"/>
      <c r="BQ1155" s="115"/>
      <c r="BR1155" s="115"/>
      <c r="BS1155" s="115"/>
      <c r="BT1155" s="115"/>
      <c r="BU1155" s="115"/>
      <c r="BV1155" s="115"/>
      <c r="BW1155" s="115"/>
      <c r="BX1155" s="115"/>
      <c r="BY1155" s="25"/>
      <c r="BZ1155" s="15"/>
      <c r="CC1155" s="114"/>
    </row>
    <row r="1156" spans="6:81" ht="19.5" x14ac:dyDescent="0.4">
      <c r="AT1156" s="115"/>
      <c r="AU1156" s="115"/>
      <c r="AV1156" s="115"/>
      <c r="AW1156" s="115"/>
      <c r="AX1156" s="115"/>
      <c r="AY1156" s="115"/>
      <c r="AZ1156" s="115"/>
      <c r="BA1156" s="17"/>
      <c r="BB1156" s="13"/>
      <c r="BG1156" s="117"/>
      <c r="BH1156" s="123"/>
      <c r="BI1156" s="123"/>
      <c r="BJ1156" s="123"/>
      <c r="BK1156" s="115"/>
      <c r="BL1156" s="115"/>
      <c r="BM1156" s="115"/>
      <c r="BN1156" s="115"/>
      <c r="BO1156" s="115"/>
      <c r="BP1156" s="115"/>
      <c r="BQ1156" s="115"/>
      <c r="BR1156" s="115"/>
      <c r="BS1156" s="115"/>
      <c r="BT1156" s="115"/>
      <c r="BU1156" s="115"/>
      <c r="BV1156" s="115"/>
      <c r="BW1156" s="115"/>
      <c r="BX1156" s="115"/>
      <c r="BY1156" s="25"/>
      <c r="BZ1156" s="15"/>
      <c r="CC1156" s="114"/>
    </row>
    <row r="1157" spans="6:81" ht="19.5" x14ac:dyDescent="0.4">
      <c r="AT1157" s="115"/>
      <c r="AU1157" s="115"/>
      <c r="AV1157" s="115"/>
      <c r="AW1157" s="115"/>
      <c r="AX1157" s="115"/>
      <c r="AY1157" s="115"/>
      <c r="AZ1157" s="115"/>
      <c r="BA1157" s="17"/>
      <c r="BB1157" s="13"/>
      <c r="BG1157" s="117"/>
      <c r="BH1157" s="123"/>
      <c r="BI1157" s="123"/>
      <c r="BJ1157" s="123"/>
      <c r="BK1157" s="115"/>
      <c r="BL1157" s="115"/>
      <c r="BM1157" s="115"/>
      <c r="BN1157" s="115"/>
      <c r="BO1157" s="115"/>
      <c r="BP1157" s="115"/>
      <c r="BQ1157" s="115"/>
      <c r="BR1157" s="115"/>
      <c r="BS1157" s="115"/>
      <c r="BT1157" s="115"/>
      <c r="BU1157" s="115"/>
      <c r="BV1157" s="115"/>
      <c r="BW1157" s="115"/>
      <c r="BX1157" s="115"/>
      <c r="BY1157" s="25"/>
      <c r="BZ1157" s="15"/>
      <c r="CC1157" s="114"/>
    </row>
    <row r="1158" spans="6:81" ht="19.5" x14ac:dyDescent="0.4">
      <c r="AQ1158" s="115"/>
      <c r="AR1158" s="115"/>
      <c r="AS1158" s="115"/>
      <c r="AT1158" s="115"/>
      <c r="AU1158" s="115"/>
      <c r="AV1158" s="115"/>
      <c r="AW1158" s="115"/>
      <c r="AX1158" s="115"/>
      <c r="AY1158" s="115"/>
      <c r="AZ1158" s="115"/>
      <c r="BA1158" s="26"/>
      <c r="BB1158" s="13"/>
      <c r="BG1158" s="117"/>
      <c r="BH1158" s="123"/>
      <c r="BI1158" s="123"/>
      <c r="BJ1158" s="123"/>
      <c r="BK1158" s="115"/>
      <c r="BL1158" s="115"/>
      <c r="BM1158" s="115"/>
      <c r="BN1158" s="115"/>
      <c r="BO1158" s="115"/>
      <c r="BP1158" s="115"/>
      <c r="BQ1158" s="115"/>
      <c r="BR1158" s="115"/>
      <c r="BS1158" s="115"/>
      <c r="BT1158" s="115"/>
      <c r="BU1158" s="115"/>
      <c r="BV1158" s="115"/>
      <c r="BW1158" s="115"/>
      <c r="BX1158" s="115"/>
      <c r="BY1158" s="25"/>
      <c r="BZ1158" s="15"/>
      <c r="CC1158" s="114"/>
    </row>
    <row r="1159" spans="6:81" ht="19.5" x14ac:dyDescent="0.4">
      <c r="AQ1159" s="115"/>
      <c r="AR1159" s="115"/>
      <c r="AS1159" s="115"/>
      <c r="AT1159" s="115"/>
      <c r="AU1159" s="115"/>
      <c r="AV1159" s="115"/>
      <c r="AW1159" s="115"/>
      <c r="AX1159" s="115"/>
      <c r="AY1159" s="115"/>
      <c r="AZ1159" s="115"/>
      <c r="BA1159" s="20"/>
      <c r="BB1159" s="13"/>
      <c r="BG1159" s="117"/>
      <c r="BH1159" s="123"/>
      <c r="BI1159" s="123"/>
      <c r="BJ1159" s="123"/>
      <c r="BK1159" s="115"/>
      <c r="BL1159" s="115"/>
      <c r="BM1159" s="115"/>
      <c r="BN1159" s="115"/>
      <c r="BO1159" s="115"/>
      <c r="BP1159" s="115"/>
      <c r="BQ1159" s="115"/>
      <c r="BR1159" s="115"/>
      <c r="BS1159" s="115"/>
      <c r="BT1159" s="115"/>
      <c r="BU1159" s="115"/>
      <c r="BV1159" s="115"/>
      <c r="BW1159" s="115"/>
      <c r="BX1159" s="115"/>
      <c r="BY1159" s="25"/>
      <c r="BZ1159" s="15"/>
      <c r="CC1159" s="114"/>
    </row>
    <row r="1160" spans="6:81" ht="19.5" x14ac:dyDescent="0.4">
      <c r="AQ1160" s="115"/>
      <c r="AR1160" s="115"/>
      <c r="AS1160" s="115"/>
      <c r="AT1160" s="115"/>
      <c r="AU1160" s="115"/>
      <c r="AV1160" s="115"/>
      <c r="AW1160" s="115"/>
      <c r="AX1160" s="115"/>
      <c r="AY1160" s="115"/>
      <c r="AZ1160" s="115"/>
      <c r="BA1160" s="20"/>
      <c r="BB1160" s="13"/>
      <c r="BG1160" s="117"/>
      <c r="BH1160" s="123"/>
      <c r="BI1160" s="123"/>
      <c r="BJ1160" s="123"/>
      <c r="BK1160" s="115"/>
      <c r="BL1160" s="115"/>
      <c r="BM1160" s="115"/>
      <c r="BN1160" s="115"/>
      <c r="BO1160" s="115"/>
      <c r="BP1160" s="115"/>
      <c r="BQ1160" s="115"/>
      <c r="BR1160" s="115"/>
      <c r="BS1160" s="115"/>
      <c r="BT1160" s="115"/>
      <c r="BU1160" s="115"/>
      <c r="BV1160" s="115"/>
      <c r="BW1160" s="115"/>
      <c r="BX1160" s="115"/>
      <c r="BY1160" s="25"/>
      <c r="BZ1160" s="15"/>
      <c r="CC1160" s="114"/>
    </row>
    <row r="1161" spans="6:81" ht="19.5" x14ac:dyDescent="0.4">
      <c r="AQ1161" s="115"/>
      <c r="AR1161" s="115"/>
      <c r="AS1161" s="115"/>
      <c r="AT1161" s="115"/>
      <c r="AU1161" s="115"/>
      <c r="AV1161" s="115"/>
      <c r="AW1161" s="115"/>
      <c r="AX1161" s="115"/>
      <c r="AY1161" s="115"/>
      <c r="AZ1161" s="115"/>
      <c r="BA1161" s="25"/>
      <c r="BB1161" s="15"/>
      <c r="BG1161" s="117"/>
      <c r="BH1161" s="123"/>
      <c r="BI1161" s="123"/>
      <c r="BJ1161" s="123"/>
      <c r="BK1161" s="115"/>
      <c r="BL1161" s="115"/>
      <c r="BM1161" s="115"/>
      <c r="BN1161" s="115"/>
      <c r="BO1161" s="115"/>
      <c r="BP1161" s="115"/>
      <c r="BQ1161" s="115"/>
      <c r="BR1161" s="115"/>
      <c r="BS1161" s="115"/>
      <c r="BT1161" s="115"/>
      <c r="BU1161" s="115"/>
      <c r="BV1161" s="115"/>
      <c r="BW1161" s="115"/>
      <c r="BX1161" s="115"/>
      <c r="BY1161" s="25"/>
      <c r="BZ1161" s="15"/>
      <c r="CC1161" s="114"/>
    </row>
    <row r="1162" spans="6:81" ht="19.5" x14ac:dyDescent="0.4">
      <c r="F1162" s="115"/>
      <c r="G1162" s="115"/>
      <c r="H1162" s="115"/>
      <c r="I1162" s="115"/>
      <c r="J1162" s="115"/>
      <c r="K1162" s="115"/>
      <c r="L1162" s="115"/>
      <c r="M1162" s="115"/>
      <c r="N1162" s="115"/>
      <c r="O1162" s="115"/>
      <c r="P1162" s="115"/>
      <c r="Q1162" s="115"/>
      <c r="R1162" s="115"/>
      <c r="S1162" s="115"/>
      <c r="T1162" s="115"/>
      <c r="U1162" s="115"/>
      <c r="V1162" s="115"/>
      <c r="W1162" s="115"/>
      <c r="X1162" s="115"/>
      <c r="Y1162" s="115"/>
      <c r="Z1162" s="115"/>
      <c r="AA1162" s="115"/>
      <c r="AB1162" s="115"/>
      <c r="AC1162" s="115"/>
      <c r="AD1162" s="115"/>
      <c r="AE1162" s="115"/>
      <c r="AF1162" s="115"/>
      <c r="AG1162" s="115"/>
      <c r="AH1162" s="115"/>
      <c r="AI1162" s="115"/>
      <c r="AJ1162" s="115"/>
      <c r="AK1162" s="115"/>
      <c r="AL1162" s="115"/>
      <c r="AM1162" s="115"/>
      <c r="AN1162" s="115"/>
      <c r="AO1162" s="115"/>
      <c r="AP1162" s="115"/>
      <c r="AQ1162" s="115"/>
      <c r="AR1162" s="115"/>
      <c r="AS1162" s="115"/>
      <c r="AT1162" s="115"/>
      <c r="AU1162" s="115"/>
      <c r="AV1162" s="115"/>
      <c r="AW1162" s="115"/>
      <c r="AX1162" s="115"/>
      <c r="AY1162" s="115"/>
      <c r="AZ1162" s="115"/>
      <c r="BA1162" s="25"/>
      <c r="BB1162" s="15"/>
      <c r="BG1162" s="117"/>
      <c r="BH1162" s="123"/>
      <c r="BI1162" s="123"/>
      <c r="BJ1162" s="123"/>
      <c r="BK1162" s="115"/>
      <c r="BL1162" s="115"/>
      <c r="BM1162" s="115"/>
      <c r="BN1162" s="115"/>
      <c r="BO1162" s="115"/>
      <c r="BP1162" s="115"/>
      <c r="BQ1162" s="115"/>
      <c r="BR1162" s="115"/>
      <c r="BS1162" s="115"/>
      <c r="BT1162" s="115"/>
      <c r="BU1162" s="115"/>
      <c r="BV1162" s="115"/>
      <c r="BW1162" s="115"/>
      <c r="BX1162" s="115"/>
      <c r="BY1162" s="25"/>
      <c r="BZ1162" s="15"/>
      <c r="CC1162" s="114"/>
    </row>
    <row r="1163" spans="6:81" ht="19.5" x14ac:dyDescent="0.4">
      <c r="F1163" s="115"/>
      <c r="G1163" s="115"/>
      <c r="H1163" s="115"/>
      <c r="I1163" s="115"/>
      <c r="J1163" s="115"/>
      <c r="K1163" s="115"/>
      <c r="L1163" s="115"/>
      <c r="M1163" s="115"/>
      <c r="N1163" s="115"/>
      <c r="O1163" s="115"/>
      <c r="P1163" s="115"/>
      <c r="Q1163" s="115"/>
      <c r="R1163" s="115"/>
      <c r="S1163" s="115"/>
      <c r="T1163" s="115"/>
      <c r="U1163" s="115"/>
      <c r="V1163" s="115"/>
      <c r="W1163" s="115"/>
      <c r="X1163" s="115"/>
      <c r="Y1163" s="115"/>
      <c r="Z1163" s="115"/>
      <c r="AA1163" s="115"/>
      <c r="AB1163" s="115"/>
      <c r="AC1163" s="115"/>
      <c r="AD1163" s="115"/>
      <c r="AE1163" s="115"/>
      <c r="AF1163" s="115"/>
      <c r="AG1163" s="115"/>
      <c r="AH1163" s="115"/>
      <c r="AI1163" s="115"/>
      <c r="AJ1163" s="115"/>
      <c r="AK1163" s="115"/>
      <c r="AL1163" s="115"/>
      <c r="AM1163" s="115"/>
      <c r="AN1163" s="115"/>
      <c r="AO1163" s="115"/>
      <c r="AP1163" s="115"/>
      <c r="AQ1163" s="115"/>
      <c r="AR1163" s="115"/>
      <c r="AS1163" s="115"/>
      <c r="AT1163" s="115"/>
      <c r="AU1163" s="115"/>
      <c r="AV1163" s="115"/>
      <c r="AW1163" s="115"/>
      <c r="AX1163" s="115"/>
      <c r="AY1163" s="115"/>
      <c r="AZ1163" s="115"/>
      <c r="BA1163" s="25"/>
      <c r="BB1163" s="15"/>
      <c r="BG1163" s="117"/>
      <c r="BH1163" s="123"/>
      <c r="BI1163" s="123"/>
      <c r="BJ1163" s="123"/>
      <c r="BK1163" s="115"/>
      <c r="BL1163" s="115"/>
      <c r="BM1163" s="115"/>
      <c r="BN1163" s="115"/>
      <c r="BO1163" s="115"/>
      <c r="BP1163" s="115"/>
      <c r="BQ1163" s="115"/>
      <c r="BR1163" s="115"/>
      <c r="BS1163" s="115"/>
      <c r="BT1163" s="115"/>
      <c r="BU1163" s="115"/>
      <c r="BV1163" s="115"/>
      <c r="BW1163" s="115"/>
      <c r="BX1163" s="115"/>
      <c r="BY1163" s="25"/>
      <c r="BZ1163" s="15"/>
      <c r="CC1163" s="114"/>
    </row>
    <row r="1164" spans="6:81" ht="19.5" x14ac:dyDescent="0.4">
      <c r="BA1164" s="26"/>
      <c r="BB1164" s="15"/>
      <c r="BG1164" s="117"/>
      <c r="BH1164" s="123"/>
      <c r="BI1164" s="123"/>
      <c r="BJ1164" s="123"/>
      <c r="BK1164" s="115"/>
      <c r="BL1164" s="115"/>
      <c r="BM1164" s="115"/>
      <c r="BN1164" s="115"/>
      <c r="BO1164" s="115"/>
      <c r="BP1164" s="115"/>
      <c r="BQ1164" s="115"/>
      <c r="BR1164" s="115"/>
      <c r="BS1164" s="115"/>
      <c r="BT1164" s="115"/>
      <c r="BU1164" s="115"/>
      <c r="BV1164" s="115"/>
      <c r="BW1164" s="115"/>
      <c r="BX1164" s="115"/>
      <c r="BY1164" s="25">
        <v>45272</v>
      </c>
      <c r="BZ1164" s="15" t="s">
        <v>162</v>
      </c>
      <c r="CC1164" s="114"/>
    </row>
    <row r="1165" spans="6:81" ht="19.5" x14ac:dyDescent="0.4">
      <c r="BA1165" s="26"/>
      <c r="BB1165" s="13"/>
      <c r="BG1165" s="117"/>
      <c r="BH1165" s="123"/>
      <c r="BI1165" s="123"/>
      <c r="BJ1165" s="123"/>
      <c r="BK1165" s="115"/>
      <c r="BL1165" s="115"/>
      <c r="BM1165" s="115"/>
      <c r="BN1165" s="115"/>
      <c r="BO1165" s="115"/>
      <c r="BP1165" s="115"/>
      <c r="BQ1165" s="115"/>
      <c r="BR1165" s="115"/>
      <c r="BS1165" s="115"/>
      <c r="BT1165" s="115"/>
      <c r="BU1165" s="115"/>
      <c r="BV1165" s="115"/>
      <c r="BW1165" s="115"/>
      <c r="BX1165" s="115"/>
      <c r="BY1165" s="25"/>
      <c r="BZ1165" s="15"/>
      <c r="CC1165" s="114"/>
    </row>
    <row r="1166" spans="6:81" ht="19.5" x14ac:dyDescent="0.4">
      <c r="AP1166" s="115"/>
      <c r="AQ1166" s="115"/>
      <c r="AR1166" s="115"/>
      <c r="AS1166" s="115"/>
      <c r="AT1166" s="115"/>
      <c r="AU1166" s="115"/>
      <c r="AV1166" s="115"/>
      <c r="AW1166" s="115"/>
      <c r="AX1166" s="115"/>
      <c r="AY1166" s="115"/>
      <c r="AZ1166" s="115"/>
      <c r="BA1166" s="26"/>
      <c r="BB1166" s="13"/>
      <c r="BG1166" s="117"/>
      <c r="BH1166" s="123"/>
      <c r="BI1166" s="123"/>
      <c r="BJ1166" s="123"/>
      <c r="BK1166" s="115"/>
      <c r="BL1166" s="115"/>
      <c r="BM1166" s="115"/>
      <c r="BN1166" s="115"/>
      <c r="BO1166" s="115"/>
      <c r="BP1166" s="115"/>
      <c r="BQ1166" s="115"/>
      <c r="BR1166" s="115"/>
      <c r="BS1166" s="115"/>
      <c r="BT1166" s="115"/>
      <c r="BU1166" s="115"/>
      <c r="BV1166" s="115"/>
      <c r="BW1166" s="115"/>
      <c r="BX1166" s="115"/>
      <c r="BY1166" s="25"/>
      <c r="BZ1166" s="15"/>
      <c r="CC1166" s="114"/>
    </row>
    <row r="1167" spans="6:81" ht="19.5" x14ac:dyDescent="0.4">
      <c r="BA1167" s="26"/>
      <c r="BB1167" s="13"/>
      <c r="BG1167" s="117"/>
      <c r="BH1167" s="123"/>
      <c r="BI1167" s="123"/>
      <c r="BJ1167" s="123"/>
      <c r="BK1167" s="115"/>
      <c r="BL1167" s="115"/>
      <c r="BM1167" s="115"/>
      <c r="BN1167" s="115"/>
      <c r="BO1167" s="115"/>
      <c r="BP1167" s="115"/>
      <c r="BQ1167" s="115"/>
      <c r="BR1167" s="115"/>
      <c r="BS1167" s="115"/>
      <c r="BT1167" s="115"/>
      <c r="BU1167" s="115"/>
      <c r="BV1167" s="115"/>
      <c r="BW1167" s="115"/>
      <c r="BX1167" s="115"/>
      <c r="BY1167" s="25">
        <v>45272</v>
      </c>
      <c r="BZ1167" s="15" t="s">
        <v>162</v>
      </c>
      <c r="CC1167" s="114"/>
    </row>
    <row r="1168" spans="6:81" ht="19.5" x14ac:dyDescent="0.4">
      <c r="AS1168" s="115"/>
      <c r="AT1168" s="115"/>
      <c r="AU1168" s="115"/>
      <c r="AV1168" s="115"/>
      <c r="AW1168" s="115"/>
      <c r="AX1168" s="115"/>
      <c r="AY1168" s="115"/>
      <c r="AZ1168" s="115"/>
      <c r="BA1168" s="17"/>
      <c r="BB1168" s="13"/>
      <c r="BG1168" s="117"/>
      <c r="BH1168" s="123"/>
      <c r="BI1168" s="123"/>
      <c r="BJ1168" s="123"/>
      <c r="BK1168" s="115"/>
      <c r="BL1168" s="115"/>
      <c r="BM1168" s="115"/>
      <c r="BN1168" s="115"/>
      <c r="BO1168" s="115"/>
      <c r="BP1168" s="115"/>
      <c r="BQ1168" s="115"/>
      <c r="BR1168" s="115"/>
      <c r="BS1168" s="115"/>
      <c r="BT1168" s="115"/>
      <c r="BU1168" s="115"/>
      <c r="BV1168" s="115"/>
      <c r="BW1168" s="115"/>
      <c r="BX1168" s="115"/>
      <c r="BY1168" s="25"/>
      <c r="BZ1168" s="15"/>
      <c r="CC1168" s="114"/>
    </row>
    <row r="1169" spans="42:81" ht="19.5" x14ac:dyDescent="0.4">
      <c r="BA1169" s="26"/>
      <c r="BB1169" s="13"/>
      <c r="BG1169" s="117"/>
      <c r="BH1169" s="123"/>
      <c r="BI1169" s="123"/>
      <c r="BJ1169" s="123"/>
      <c r="BK1169" s="115"/>
      <c r="BL1169" s="115"/>
      <c r="BM1169" s="115"/>
      <c r="BN1169" s="115"/>
      <c r="BO1169" s="115"/>
      <c r="BP1169" s="115"/>
      <c r="BQ1169" s="115"/>
      <c r="BR1169" s="115"/>
      <c r="BS1169" s="115"/>
      <c r="BT1169" s="115"/>
      <c r="BU1169" s="115"/>
      <c r="BV1169" s="115"/>
      <c r="BW1169" s="115"/>
      <c r="BX1169" s="115"/>
      <c r="BY1169" s="25"/>
      <c r="BZ1169" s="15"/>
      <c r="CC1169" s="114"/>
    </row>
    <row r="1170" spans="42:81" ht="19.5" x14ac:dyDescent="0.4">
      <c r="AQ1170" s="115"/>
      <c r="AR1170" s="115"/>
      <c r="AS1170" s="115"/>
      <c r="AT1170" s="115"/>
      <c r="AU1170" s="115"/>
      <c r="AV1170" s="115"/>
      <c r="AW1170" s="115"/>
      <c r="AX1170" s="115"/>
      <c r="AY1170" s="115"/>
      <c r="AZ1170" s="115"/>
      <c r="BA1170" s="26"/>
      <c r="BB1170" s="13"/>
      <c r="BG1170" s="117"/>
      <c r="BH1170" s="123"/>
      <c r="BI1170" s="123"/>
      <c r="BJ1170" s="123"/>
      <c r="BK1170" s="115"/>
      <c r="BL1170" s="115"/>
      <c r="BM1170" s="115"/>
      <c r="BN1170" s="115"/>
      <c r="BO1170" s="115"/>
      <c r="BP1170" s="115"/>
      <c r="BQ1170" s="115"/>
      <c r="BR1170" s="115"/>
      <c r="BS1170" s="115"/>
      <c r="BT1170" s="115"/>
      <c r="BU1170" s="115"/>
      <c r="BV1170" s="115"/>
      <c r="BW1170" s="115"/>
      <c r="BX1170" s="115"/>
      <c r="BY1170" s="25"/>
      <c r="BZ1170" s="15"/>
      <c r="CC1170" s="114"/>
    </row>
    <row r="1171" spans="42:81" ht="19.5" x14ac:dyDescent="0.4">
      <c r="BA1171" s="26"/>
      <c r="BB1171" s="13"/>
      <c r="BG1171" s="117"/>
      <c r="BH1171" s="123"/>
      <c r="BI1171" s="123"/>
      <c r="BJ1171" s="123"/>
      <c r="BK1171" s="115"/>
      <c r="BL1171" s="115"/>
      <c r="BM1171" s="115"/>
      <c r="BN1171" s="115"/>
      <c r="BO1171" s="115"/>
      <c r="BP1171" s="115"/>
      <c r="BQ1171" s="115"/>
      <c r="BR1171" s="115"/>
      <c r="BS1171" s="115"/>
      <c r="BT1171" s="115"/>
      <c r="BU1171" s="115"/>
      <c r="BV1171" s="115"/>
      <c r="BW1171" s="115"/>
      <c r="BX1171" s="115"/>
      <c r="BY1171" s="25">
        <v>45272</v>
      </c>
      <c r="BZ1171" s="15" t="s">
        <v>162</v>
      </c>
      <c r="CC1171" s="114"/>
    </row>
    <row r="1172" spans="42:81" ht="19.5" x14ac:dyDescent="0.4">
      <c r="BA1172" s="26"/>
      <c r="BB1172" s="13"/>
      <c r="BG1172" s="117"/>
      <c r="BH1172" s="123"/>
      <c r="BI1172" s="123"/>
      <c r="BJ1172" s="123"/>
      <c r="BK1172" s="115"/>
      <c r="BL1172" s="115"/>
      <c r="BM1172" s="115"/>
      <c r="BN1172" s="115"/>
      <c r="BO1172" s="115"/>
      <c r="BP1172" s="115"/>
      <c r="BQ1172" s="115"/>
      <c r="BR1172" s="115"/>
      <c r="BS1172" s="115"/>
      <c r="BT1172" s="115"/>
      <c r="BU1172" s="115"/>
      <c r="BV1172" s="115"/>
      <c r="BW1172" s="115"/>
      <c r="BX1172" s="115" t="s">
        <v>166</v>
      </c>
      <c r="BY1172" s="13">
        <f>SUBTOTAL(3,BY1120:BY1171)</f>
        <v>13</v>
      </c>
      <c r="BZ1172" s="15">
        <f>SUBTOTAL(3,BZ1120:BZ1171)</f>
        <v>13</v>
      </c>
      <c r="CC1172" s="114"/>
    </row>
    <row r="1173" spans="42:81" ht="19.5" x14ac:dyDescent="0.4">
      <c r="AS1173" s="115"/>
      <c r="AT1173" s="115"/>
      <c r="AU1173" s="115"/>
      <c r="AV1173" s="115"/>
      <c r="AW1173" s="115"/>
      <c r="AX1173" s="115"/>
      <c r="AY1173" s="115"/>
      <c r="AZ1173" s="115"/>
      <c r="BA1173" s="17"/>
      <c r="BB1173" s="13"/>
      <c r="BG1173" s="117"/>
      <c r="BH1173" s="123"/>
      <c r="BI1173" s="123"/>
      <c r="BJ1173" s="123"/>
      <c r="BK1173" s="115"/>
      <c r="BL1173" s="115"/>
      <c r="BM1173" s="115"/>
      <c r="BN1173" s="115"/>
      <c r="BO1173" s="115"/>
      <c r="BP1173" s="115"/>
      <c r="BQ1173" s="115"/>
      <c r="BR1173" s="115"/>
      <c r="BS1173" s="115"/>
      <c r="BT1173" s="115"/>
      <c r="BU1173" s="115"/>
      <c r="BV1173" s="115"/>
      <c r="BW1173" s="115"/>
      <c r="BX1173" s="115"/>
      <c r="BY1173" s="13"/>
      <c r="BZ1173" s="15"/>
      <c r="CC1173" s="114"/>
    </row>
    <row r="1174" spans="42:81" ht="19.5" x14ac:dyDescent="0.4">
      <c r="BA1174" s="26"/>
      <c r="BB1174" s="13"/>
      <c r="BG1174" s="117"/>
      <c r="BH1174" s="123"/>
      <c r="BI1174" s="123"/>
      <c r="BJ1174" s="123"/>
      <c r="BK1174" s="115"/>
      <c r="BL1174" s="115"/>
      <c r="BM1174" s="115"/>
      <c r="BN1174" s="115"/>
      <c r="BO1174" s="115"/>
      <c r="BP1174" s="115"/>
      <c r="BQ1174" s="115"/>
      <c r="BR1174" s="115"/>
      <c r="BS1174" s="115"/>
      <c r="BT1174" s="115"/>
      <c r="BU1174" s="115"/>
      <c r="BV1174" s="115"/>
      <c r="BW1174" s="115"/>
      <c r="BX1174" s="115"/>
      <c r="BY1174" s="25">
        <v>45273</v>
      </c>
      <c r="BZ1174" s="105" t="s">
        <v>164</v>
      </c>
      <c r="CC1174" s="114"/>
    </row>
    <row r="1175" spans="42:81" ht="19.5" x14ac:dyDescent="0.4">
      <c r="BA1175" s="26"/>
      <c r="BB1175" s="13"/>
      <c r="BG1175" s="117"/>
      <c r="BH1175" s="123"/>
      <c r="BI1175" s="123"/>
      <c r="BJ1175" s="123"/>
      <c r="BK1175" s="115"/>
      <c r="BL1175" s="115"/>
      <c r="BM1175" s="115"/>
      <c r="BN1175" s="115"/>
      <c r="BO1175" s="115"/>
      <c r="BP1175" s="115"/>
      <c r="BQ1175" s="115"/>
      <c r="BR1175" s="115"/>
      <c r="BS1175" s="115"/>
      <c r="BT1175" s="115"/>
      <c r="BU1175" s="115"/>
      <c r="BV1175" s="115"/>
      <c r="BW1175" s="115"/>
      <c r="BX1175" s="115"/>
      <c r="BY1175" s="25">
        <v>45273</v>
      </c>
      <c r="BZ1175" s="15" t="s">
        <v>164</v>
      </c>
      <c r="CC1175" s="114"/>
    </row>
    <row r="1176" spans="42:81" ht="19.5" x14ac:dyDescent="0.4">
      <c r="AP1176" s="115"/>
      <c r="AQ1176" s="115"/>
      <c r="AR1176" s="115"/>
      <c r="AS1176" s="115"/>
      <c r="AT1176" s="115"/>
      <c r="AU1176" s="115"/>
      <c r="AV1176" s="115"/>
      <c r="AW1176" s="115"/>
      <c r="AX1176" s="115"/>
      <c r="AY1176" s="115"/>
      <c r="AZ1176" s="115"/>
      <c r="BA1176" s="26"/>
      <c r="BB1176" s="13"/>
      <c r="BG1176" s="117"/>
      <c r="BH1176" s="123"/>
      <c r="BI1176" s="123"/>
      <c r="BJ1176" s="123"/>
      <c r="BK1176" s="115"/>
      <c r="BL1176" s="115"/>
      <c r="BM1176" s="115"/>
      <c r="BN1176" s="115"/>
      <c r="BO1176" s="115"/>
      <c r="BP1176" s="115"/>
      <c r="BQ1176" s="115"/>
      <c r="BR1176" s="115"/>
      <c r="BS1176" s="115"/>
      <c r="BT1176" s="115"/>
      <c r="BU1176" s="115"/>
      <c r="BV1176" s="115"/>
      <c r="BW1176" s="115"/>
      <c r="BX1176" s="115"/>
      <c r="BY1176" s="25"/>
      <c r="BZ1176" s="13"/>
      <c r="CC1176" s="114"/>
    </row>
    <row r="1177" spans="42:81" ht="19.5" x14ac:dyDescent="0.4">
      <c r="BA1177" s="26"/>
      <c r="BB1177" s="13"/>
      <c r="BG1177" s="117"/>
      <c r="BH1177" s="123"/>
      <c r="BI1177" s="123"/>
      <c r="BJ1177" s="123"/>
      <c r="BK1177" s="115"/>
      <c r="BL1177" s="115"/>
      <c r="BM1177" s="115"/>
      <c r="BN1177" s="115"/>
      <c r="BO1177" s="115"/>
      <c r="BP1177" s="115"/>
      <c r="BQ1177" s="115"/>
      <c r="BR1177" s="115"/>
      <c r="BS1177" s="115"/>
      <c r="BT1177" s="115"/>
      <c r="BU1177" s="115"/>
      <c r="BV1177" s="115"/>
      <c r="BW1177" s="115"/>
      <c r="BX1177" s="115"/>
      <c r="BY1177" s="25">
        <v>45273</v>
      </c>
      <c r="BZ1177" s="13" t="s">
        <v>164</v>
      </c>
      <c r="CC1177" s="114"/>
    </row>
    <row r="1178" spans="42:81" ht="19.5" x14ac:dyDescent="0.4">
      <c r="BA1178" s="26"/>
      <c r="BB1178" s="13"/>
      <c r="BG1178" s="117"/>
      <c r="BH1178" s="123"/>
      <c r="BI1178" s="123"/>
      <c r="BJ1178" s="123"/>
      <c r="BK1178" s="115"/>
      <c r="BL1178" s="115"/>
      <c r="BM1178" s="115"/>
      <c r="BN1178" s="115"/>
      <c r="BO1178" s="115"/>
      <c r="BP1178" s="115"/>
      <c r="BQ1178" s="115"/>
      <c r="BR1178" s="115"/>
      <c r="BS1178" s="115"/>
      <c r="BT1178" s="115"/>
      <c r="BU1178" s="115"/>
      <c r="BV1178" s="115"/>
      <c r="BW1178" s="115"/>
      <c r="BX1178" s="115"/>
      <c r="BY1178" s="25">
        <v>45273</v>
      </c>
      <c r="BZ1178" s="15" t="s">
        <v>164</v>
      </c>
      <c r="CC1178" s="114"/>
    </row>
    <row r="1179" spans="42:81" ht="19.5" x14ac:dyDescent="0.4">
      <c r="BA1179" s="26"/>
      <c r="BB1179" s="13"/>
      <c r="BG1179" s="117"/>
      <c r="BH1179" s="123"/>
      <c r="BI1179" s="123"/>
      <c r="BJ1179" s="123"/>
      <c r="BK1179" s="115"/>
      <c r="BL1179" s="115"/>
      <c r="BM1179" s="115"/>
      <c r="BN1179" s="115"/>
      <c r="BO1179" s="115"/>
      <c r="BP1179" s="115"/>
      <c r="BQ1179" s="115"/>
      <c r="BR1179" s="115"/>
      <c r="BS1179" s="115"/>
      <c r="BT1179" s="115"/>
      <c r="BU1179" s="115"/>
      <c r="BV1179" s="115"/>
      <c r="BW1179" s="115"/>
      <c r="BX1179" s="115"/>
      <c r="BY1179" s="25">
        <v>45273</v>
      </c>
      <c r="BZ1179" s="15" t="s">
        <v>162</v>
      </c>
      <c r="CC1179" s="114"/>
    </row>
    <row r="1180" spans="42:81" ht="19.5" x14ac:dyDescent="0.4">
      <c r="AR1180" s="115"/>
      <c r="AS1180" s="115"/>
      <c r="AT1180" s="115"/>
      <c r="AU1180" s="115"/>
      <c r="AV1180" s="115"/>
      <c r="AW1180" s="115"/>
      <c r="AX1180" s="115"/>
      <c r="AY1180" s="115"/>
      <c r="AZ1180" s="115"/>
      <c r="BA1180" s="26"/>
      <c r="BB1180" s="13"/>
      <c r="BG1180" s="117"/>
      <c r="BH1180" s="123"/>
      <c r="BI1180" s="123"/>
      <c r="BJ1180" s="123"/>
      <c r="BK1180" s="115"/>
      <c r="BL1180" s="115"/>
      <c r="BM1180" s="115"/>
      <c r="BN1180" s="115"/>
      <c r="BO1180" s="115"/>
      <c r="BP1180" s="115"/>
      <c r="BQ1180" s="115"/>
      <c r="BR1180" s="115"/>
      <c r="BS1180" s="115"/>
      <c r="BT1180" s="115"/>
      <c r="BU1180" s="115"/>
      <c r="BV1180" s="115"/>
      <c r="BW1180" s="115"/>
      <c r="BX1180" s="115"/>
      <c r="BY1180" s="25"/>
      <c r="BZ1180" s="15"/>
      <c r="CC1180" s="114"/>
    </row>
    <row r="1181" spans="42:81" ht="19.5" x14ac:dyDescent="0.4">
      <c r="BA1181" s="26"/>
      <c r="BB1181" s="13"/>
      <c r="BG1181" s="117"/>
      <c r="BH1181" s="123"/>
      <c r="BI1181" s="123"/>
      <c r="BJ1181" s="123"/>
      <c r="BK1181" s="115"/>
      <c r="BL1181" s="115"/>
      <c r="BM1181" s="115"/>
      <c r="BN1181" s="115"/>
      <c r="BO1181" s="115"/>
      <c r="BP1181" s="115"/>
      <c r="BQ1181" s="115"/>
      <c r="BR1181" s="115"/>
      <c r="BS1181" s="115"/>
      <c r="BT1181" s="115"/>
      <c r="BU1181" s="115"/>
      <c r="BV1181" s="115"/>
      <c r="BW1181" s="115"/>
      <c r="BX1181" s="115"/>
      <c r="BY1181" s="25">
        <v>45273</v>
      </c>
      <c r="BZ1181" s="15" t="s">
        <v>162</v>
      </c>
      <c r="CC1181" s="114"/>
    </row>
    <row r="1182" spans="42:81" ht="19.5" x14ac:dyDescent="0.4">
      <c r="BA1182" s="26"/>
      <c r="BB1182" s="13"/>
      <c r="BG1182" s="117"/>
      <c r="BH1182" s="123"/>
      <c r="BI1182" s="123"/>
      <c r="BJ1182" s="123"/>
      <c r="BK1182" s="115"/>
      <c r="BL1182" s="115"/>
      <c r="BM1182" s="115"/>
      <c r="BN1182" s="115"/>
      <c r="BO1182" s="115"/>
      <c r="BP1182" s="115"/>
      <c r="BQ1182" s="115"/>
      <c r="BR1182" s="115"/>
      <c r="BS1182" s="115"/>
      <c r="BT1182" s="115"/>
      <c r="BU1182" s="115"/>
      <c r="BV1182" s="115"/>
      <c r="BW1182" s="115"/>
      <c r="BX1182" s="115"/>
      <c r="BY1182" s="25">
        <v>45273</v>
      </c>
      <c r="BZ1182" s="15" t="s">
        <v>162</v>
      </c>
      <c r="CC1182" s="114"/>
    </row>
    <row r="1183" spans="42:81" ht="19.5" x14ac:dyDescent="0.4">
      <c r="BA1183" s="26"/>
      <c r="BB1183" s="13"/>
      <c r="BG1183" s="117"/>
      <c r="BH1183" s="123"/>
      <c r="BI1183" s="123"/>
      <c r="BJ1183" s="123"/>
      <c r="BK1183" s="115"/>
      <c r="BL1183" s="115"/>
      <c r="BM1183" s="115"/>
      <c r="BN1183" s="115"/>
      <c r="BO1183" s="115"/>
      <c r="BP1183" s="115"/>
      <c r="BQ1183" s="115"/>
      <c r="BR1183" s="115"/>
      <c r="BS1183" s="115"/>
      <c r="BT1183" s="115"/>
      <c r="BU1183" s="115"/>
      <c r="BV1183" s="115"/>
      <c r="BW1183" s="115"/>
      <c r="BX1183" s="115"/>
      <c r="BY1183" s="25">
        <v>45273</v>
      </c>
      <c r="BZ1183" s="15" t="s">
        <v>162</v>
      </c>
      <c r="CC1183" s="114"/>
    </row>
    <row r="1184" spans="42:81" ht="19.5" x14ac:dyDescent="0.4">
      <c r="AQ1184" s="115"/>
      <c r="AR1184" s="115"/>
      <c r="AS1184" s="115"/>
      <c r="AT1184" s="115"/>
      <c r="AU1184" s="115"/>
      <c r="AV1184" s="115"/>
      <c r="AW1184" s="115"/>
      <c r="AX1184" s="115"/>
      <c r="AY1184" s="115"/>
      <c r="AZ1184" s="115"/>
      <c r="BA1184" s="26"/>
      <c r="BB1184" s="13"/>
      <c r="BG1184" s="117"/>
      <c r="BH1184" s="123"/>
      <c r="BI1184" s="123"/>
      <c r="BJ1184" s="123"/>
      <c r="BK1184" s="115"/>
      <c r="BL1184" s="115"/>
      <c r="BM1184" s="115"/>
      <c r="BN1184" s="115"/>
      <c r="BO1184" s="115"/>
      <c r="BP1184" s="115"/>
      <c r="BQ1184" s="115"/>
      <c r="BR1184" s="115"/>
      <c r="BS1184" s="115"/>
      <c r="BT1184" s="115"/>
      <c r="BU1184" s="115"/>
      <c r="BV1184" s="115"/>
      <c r="BW1184" s="115"/>
      <c r="BX1184" s="115"/>
      <c r="BY1184" s="25"/>
      <c r="BZ1184" s="15"/>
      <c r="CC1184" s="114"/>
    </row>
    <row r="1185" spans="6:81" ht="19.5" x14ac:dyDescent="0.4">
      <c r="BA1185" s="26"/>
      <c r="BB1185" s="13"/>
      <c r="BG1185" s="117"/>
      <c r="BH1185" s="123"/>
      <c r="BI1185" s="123"/>
      <c r="BJ1185" s="123"/>
      <c r="BK1185" s="115"/>
      <c r="BL1185" s="115"/>
      <c r="BM1185" s="115"/>
      <c r="BN1185" s="115"/>
      <c r="BO1185" s="115"/>
      <c r="BP1185" s="115"/>
      <c r="BQ1185" s="115"/>
      <c r="BR1185" s="115"/>
      <c r="BS1185" s="115"/>
      <c r="BT1185" s="115"/>
      <c r="BU1185" s="115"/>
      <c r="BV1185" s="115"/>
      <c r="BW1185" s="115"/>
      <c r="BX1185" s="115"/>
      <c r="BY1185" s="25">
        <v>45273</v>
      </c>
      <c r="BZ1185" s="15" t="s">
        <v>162</v>
      </c>
      <c r="CC1185" s="114"/>
    </row>
    <row r="1186" spans="6:81" ht="19.5" x14ac:dyDescent="0.4">
      <c r="BA1186" s="26"/>
      <c r="BB1186" s="13"/>
      <c r="BG1186" s="117"/>
      <c r="BH1186" s="123"/>
      <c r="BI1186" s="123"/>
      <c r="BJ1186" s="123"/>
      <c r="BK1186" s="115"/>
      <c r="BL1186" s="115"/>
      <c r="BM1186" s="115"/>
      <c r="BN1186" s="115"/>
      <c r="BO1186" s="115"/>
      <c r="BP1186" s="115"/>
      <c r="BQ1186" s="115"/>
      <c r="BR1186" s="115"/>
      <c r="BS1186" s="115"/>
      <c r="BT1186" s="115"/>
      <c r="BU1186" s="115"/>
      <c r="BV1186" s="115"/>
      <c r="BW1186" s="115"/>
      <c r="BX1186" s="115"/>
      <c r="BY1186" s="25">
        <v>45273</v>
      </c>
      <c r="BZ1186" s="15" t="s">
        <v>162</v>
      </c>
      <c r="CC1186" s="114"/>
    </row>
    <row r="1187" spans="6:81" ht="19.5" x14ac:dyDescent="0.4">
      <c r="BA1187" s="26"/>
      <c r="BB1187" s="13"/>
      <c r="BG1187" s="117"/>
      <c r="BH1187" s="123"/>
      <c r="BI1187" s="123"/>
      <c r="BJ1187" s="123"/>
      <c r="BK1187" s="115"/>
      <c r="BL1187" s="115"/>
      <c r="BM1187" s="115"/>
      <c r="BN1187" s="115"/>
      <c r="BO1187" s="124"/>
      <c r="BP1187" s="124"/>
      <c r="BQ1187" s="124"/>
      <c r="BR1187" s="124"/>
      <c r="BS1187" s="124"/>
      <c r="BT1187" s="124"/>
      <c r="BU1187" s="124"/>
      <c r="BV1187" s="124"/>
      <c r="BW1187" s="124"/>
      <c r="BX1187" s="124"/>
      <c r="BY1187" s="25">
        <v>45273</v>
      </c>
      <c r="BZ1187" s="15" t="s">
        <v>162</v>
      </c>
      <c r="CC1187" s="114"/>
    </row>
    <row r="1188" spans="6:81" ht="19.5" x14ac:dyDescent="0.4">
      <c r="BA1188" s="26"/>
      <c r="BB1188" s="13"/>
      <c r="BG1188" s="117"/>
      <c r="BH1188" s="123"/>
      <c r="BI1188" s="123"/>
      <c r="BJ1188" s="123"/>
      <c r="BK1188" s="115"/>
      <c r="BL1188" s="115"/>
      <c r="BM1188" s="115"/>
      <c r="BN1188" s="115"/>
      <c r="BO1188" s="124"/>
      <c r="BP1188" s="124"/>
      <c r="BQ1188" s="124"/>
      <c r="BR1188" s="124"/>
      <c r="BS1188" s="124"/>
      <c r="BT1188" s="124"/>
      <c r="BU1188" s="124"/>
      <c r="BV1188" s="124"/>
      <c r="BW1188" s="124"/>
      <c r="BX1188" s="124"/>
      <c r="BY1188" s="25">
        <v>45273</v>
      </c>
      <c r="BZ1188" s="15" t="s">
        <v>162</v>
      </c>
      <c r="CC1188" s="114"/>
    </row>
    <row r="1189" spans="6:81" ht="19.5" x14ac:dyDescent="0.4">
      <c r="AS1189" s="115"/>
      <c r="AT1189" s="115"/>
      <c r="AU1189" s="115"/>
      <c r="AV1189" s="115"/>
      <c r="AW1189" s="115"/>
      <c r="AX1189" s="115"/>
      <c r="AY1189" s="115"/>
      <c r="AZ1189" s="115"/>
      <c r="BA1189" s="17"/>
      <c r="BB1189" s="13"/>
      <c r="BG1189" s="117"/>
      <c r="BH1189" s="123"/>
      <c r="BI1189" s="123"/>
      <c r="BJ1189" s="123"/>
      <c r="BK1189" s="115"/>
      <c r="BL1189" s="115"/>
      <c r="BM1189" s="115"/>
      <c r="BN1189" s="115"/>
      <c r="BO1189" s="124"/>
      <c r="BP1189" s="124"/>
      <c r="BQ1189" s="124"/>
      <c r="BR1189" s="124"/>
      <c r="BS1189" s="124"/>
      <c r="BT1189" s="124"/>
      <c r="BU1189" s="124"/>
      <c r="BV1189" s="124"/>
      <c r="BW1189" s="124"/>
      <c r="BX1189" s="124"/>
      <c r="BY1189" s="25"/>
      <c r="BZ1189" s="15"/>
      <c r="CC1189" s="114"/>
    </row>
    <row r="1190" spans="6:81" ht="19.5" x14ac:dyDescent="0.4">
      <c r="BA1190" s="26"/>
      <c r="BB1190" s="13"/>
      <c r="BG1190" s="117"/>
      <c r="BH1190" s="123"/>
      <c r="BI1190" s="123"/>
      <c r="BJ1190" s="123"/>
      <c r="BK1190" s="115"/>
      <c r="BL1190" s="115"/>
      <c r="BM1190" s="115"/>
      <c r="BN1190" s="115"/>
      <c r="BO1190" s="124"/>
      <c r="BP1190" s="124"/>
      <c r="BQ1190" s="124"/>
      <c r="BR1190" s="124"/>
      <c r="BS1190" s="124"/>
      <c r="BT1190" s="124"/>
      <c r="BU1190" s="124"/>
      <c r="BV1190" s="124"/>
      <c r="BW1190" s="124"/>
      <c r="BX1190" s="124"/>
      <c r="BY1190" s="25">
        <v>45273</v>
      </c>
      <c r="BZ1190" s="15" t="s">
        <v>162</v>
      </c>
      <c r="CC1190" s="114"/>
    </row>
    <row r="1191" spans="6:81" ht="19.5" x14ac:dyDescent="0.4">
      <c r="AS1191" s="115"/>
      <c r="AT1191" s="115"/>
      <c r="AU1191" s="115"/>
      <c r="AV1191" s="115"/>
      <c r="AW1191" s="115"/>
      <c r="AX1191" s="115"/>
      <c r="AY1191" s="115"/>
      <c r="AZ1191" s="115"/>
      <c r="BA1191" s="17"/>
      <c r="BB1191" s="13"/>
      <c r="BG1191" s="117"/>
      <c r="BH1191" s="123"/>
      <c r="BI1191" s="123"/>
      <c r="BJ1191" s="123"/>
      <c r="BK1191" s="115"/>
      <c r="BL1191" s="115"/>
      <c r="BM1191" s="115"/>
      <c r="BN1191" s="115"/>
      <c r="BO1191" s="124"/>
      <c r="BP1191" s="124"/>
      <c r="BQ1191" s="124"/>
      <c r="BR1191" s="124"/>
      <c r="BS1191" s="124"/>
      <c r="BT1191" s="124"/>
      <c r="BU1191" s="124"/>
      <c r="BV1191" s="124"/>
      <c r="BW1191" s="124"/>
      <c r="BX1191" s="124"/>
      <c r="BY1191" s="25"/>
      <c r="BZ1191" s="15"/>
      <c r="CC1191" s="114"/>
    </row>
    <row r="1192" spans="6:81" ht="19.5" x14ac:dyDescent="0.4">
      <c r="BA1192" s="26"/>
      <c r="BB1192" s="13"/>
      <c r="BG1192" s="117"/>
      <c r="BH1192" s="123"/>
      <c r="BI1192" s="123"/>
      <c r="BJ1192" s="123"/>
      <c r="BK1192" s="115"/>
      <c r="BL1192" s="115"/>
      <c r="BM1192" s="115"/>
      <c r="BN1192" s="115"/>
      <c r="BO1192" s="124"/>
      <c r="BP1192" s="124"/>
      <c r="BQ1192" s="124"/>
      <c r="BR1192" s="124"/>
      <c r="BS1192" s="124"/>
      <c r="BT1192" s="124"/>
      <c r="BU1192" s="124"/>
      <c r="BV1192" s="124"/>
      <c r="BW1192" s="124"/>
      <c r="BX1192" s="124"/>
      <c r="BY1192" s="25">
        <v>45273</v>
      </c>
      <c r="BZ1192" s="15" t="s">
        <v>162</v>
      </c>
      <c r="CC1192" s="114"/>
    </row>
    <row r="1193" spans="6:81" ht="19.5" x14ac:dyDescent="0.4">
      <c r="BA1193" s="26"/>
      <c r="BB1193" s="13"/>
      <c r="BG1193" s="117"/>
      <c r="BH1193" s="123"/>
      <c r="BI1193" s="123"/>
      <c r="BJ1193" s="123"/>
      <c r="BK1193" s="115"/>
      <c r="BL1193" s="115"/>
      <c r="BM1193" s="115"/>
      <c r="BN1193" s="115"/>
      <c r="BO1193" s="115"/>
      <c r="BP1193" s="115"/>
      <c r="BQ1193" s="115"/>
      <c r="BR1193" s="115"/>
      <c r="BS1193" s="115"/>
      <c r="BT1193" s="115"/>
      <c r="BU1193" s="115"/>
      <c r="BV1193" s="115"/>
      <c r="BW1193" s="115"/>
      <c r="BX1193" s="115"/>
      <c r="BY1193" s="25">
        <v>45273</v>
      </c>
      <c r="BZ1193" s="13" t="s">
        <v>162</v>
      </c>
      <c r="CC1193" s="114"/>
    </row>
    <row r="1194" spans="6:81" ht="19.5" x14ac:dyDescent="0.4">
      <c r="BA1194" s="26"/>
      <c r="BB1194" s="13"/>
      <c r="BG1194" s="117"/>
      <c r="BH1194" s="123"/>
      <c r="BI1194" s="123"/>
      <c r="BJ1194" s="123"/>
      <c r="BK1194" s="115"/>
      <c r="BL1194" s="115"/>
      <c r="BM1194" s="115"/>
      <c r="BN1194" s="115"/>
      <c r="BO1194" s="115"/>
      <c r="BP1194" s="115"/>
      <c r="BQ1194" s="115"/>
      <c r="BR1194" s="115"/>
      <c r="BS1194" s="115"/>
      <c r="BT1194" s="115"/>
      <c r="BU1194" s="115"/>
      <c r="BV1194" s="115"/>
      <c r="BW1194" s="115"/>
      <c r="BX1194" s="115"/>
      <c r="BY1194" s="25">
        <v>45273</v>
      </c>
      <c r="BZ1194" s="15" t="s">
        <v>162</v>
      </c>
      <c r="CC1194" s="114"/>
    </row>
    <row r="1195" spans="6:81" ht="19.5" x14ac:dyDescent="0.4">
      <c r="BA1195" s="26"/>
      <c r="BB1195" s="13"/>
      <c r="BG1195" s="117"/>
      <c r="BH1195" s="123"/>
      <c r="BI1195" s="123"/>
      <c r="BJ1195" s="123"/>
      <c r="BK1195" s="115"/>
      <c r="BL1195" s="115"/>
      <c r="BM1195" s="115"/>
      <c r="BN1195" s="115"/>
      <c r="BO1195" s="115"/>
      <c r="BP1195" s="115"/>
      <c r="BQ1195" s="115"/>
      <c r="BR1195" s="115"/>
      <c r="BS1195" s="115"/>
      <c r="BT1195" s="115"/>
      <c r="BU1195" s="115"/>
      <c r="BV1195" s="115"/>
      <c r="BW1195" s="115"/>
      <c r="BX1195" s="115"/>
      <c r="BY1195" s="25">
        <v>45273</v>
      </c>
      <c r="BZ1195" s="15" t="s">
        <v>162</v>
      </c>
      <c r="CC1195" s="114"/>
    </row>
    <row r="1196" spans="6:81" ht="19.5" x14ac:dyDescent="0.4">
      <c r="AP1196" s="115"/>
      <c r="AQ1196" s="115"/>
      <c r="AR1196" s="115"/>
      <c r="AS1196" s="115"/>
      <c r="AT1196" s="115"/>
      <c r="AU1196" s="115"/>
      <c r="AV1196" s="115"/>
      <c r="AW1196" s="115"/>
      <c r="AX1196" s="115"/>
      <c r="AY1196" s="115"/>
      <c r="AZ1196" s="115"/>
      <c r="BA1196" s="26"/>
      <c r="BB1196" s="25"/>
      <c r="BG1196" s="117"/>
      <c r="BH1196" s="123"/>
      <c r="BI1196" s="123"/>
      <c r="BJ1196" s="123"/>
      <c r="BK1196" s="115"/>
      <c r="BL1196" s="115"/>
      <c r="BM1196" s="115"/>
      <c r="BN1196" s="115"/>
      <c r="BO1196" s="115"/>
      <c r="BP1196" s="115"/>
      <c r="BQ1196" s="115"/>
      <c r="BR1196" s="115"/>
      <c r="BS1196" s="115"/>
      <c r="BT1196" s="115"/>
      <c r="BU1196" s="115"/>
      <c r="BV1196" s="115"/>
      <c r="BW1196" s="115"/>
      <c r="BX1196" s="115"/>
      <c r="BY1196" s="25"/>
      <c r="BZ1196" s="15"/>
      <c r="CC1196" s="114"/>
    </row>
    <row r="1197" spans="6:81" ht="19.5" x14ac:dyDescent="0.4">
      <c r="BA1197" s="26"/>
      <c r="BB1197" s="25"/>
      <c r="BG1197" s="117"/>
      <c r="BH1197" s="123"/>
      <c r="BI1197" s="123"/>
      <c r="BJ1197" s="123"/>
      <c r="BK1197" s="115"/>
      <c r="BL1197" s="115"/>
      <c r="BM1197" s="115"/>
      <c r="BN1197" s="115"/>
      <c r="BO1197" s="115"/>
      <c r="BP1197" s="115"/>
      <c r="BQ1197" s="115"/>
      <c r="BR1197" s="115"/>
      <c r="BS1197" s="115"/>
      <c r="BT1197" s="115"/>
      <c r="BU1197" s="115"/>
      <c r="BV1197" s="115"/>
      <c r="BW1197" s="115"/>
      <c r="BX1197" s="115"/>
      <c r="BY1197" s="25">
        <v>45273</v>
      </c>
      <c r="BZ1197" s="15" t="s">
        <v>162</v>
      </c>
      <c r="CC1197" s="114"/>
    </row>
    <row r="1198" spans="6:81" ht="19.5" x14ac:dyDescent="0.4">
      <c r="BA1198" s="26"/>
      <c r="BB1198" s="13"/>
      <c r="BG1198" s="117"/>
      <c r="BH1198" s="123"/>
      <c r="BI1198" s="123"/>
      <c r="BJ1198" s="123"/>
      <c r="BK1198" s="115"/>
      <c r="BL1198" s="115"/>
      <c r="BM1198" s="115"/>
      <c r="BN1198" s="115"/>
      <c r="BO1198" s="115"/>
      <c r="BP1198" s="115"/>
      <c r="BQ1198" s="115"/>
      <c r="BR1198" s="115"/>
      <c r="BS1198" s="115"/>
      <c r="BT1198" s="115"/>
      <c r="BU1198" s="115"/>
      <c r="BV1198" s="115"/>
      <c r="BW1198" s="115"/>
      <c r="BX1198" s="115"/>
      <c r="BY1198" s="25">
        <v>45273</v>
      </c>
      <c r="BZ1198" s="15" t="s">
        <v>162</v>
      </c>
      <c r="CC1198" s="114"/>
    </row>
    <row r="1199" spans="6:81" ht="19.5" x14ac:dyDescent="0.4">
      <c r="F1199" s="115"/>
      <c r="G1199" s="115"/>
      <c r="H1199" s="115"/>
      <c r="I1199" s="115"/>
      <c r="J1199" s="115"/>
      <c r="K1199" s="115"/>
      <c r="L1199" s="115"/>
      <c r="M1199" s="115"/>
      <c r="N1199" s="115"/>
      <c r="O1199" s="115"/>
      <c r="P1199" s="115"/>
      <c r="Q1199" s="115"/>
      <c r="R1199" s="115"/>
      <c r="S1199" s="115"/>
      <c r="T1199" s="115"/>
      <c r="U1199" s="115"/>
      <c r="V1199" s="115"/>
      <c r="W1199" s="115"/>
      <c r="X1199" s="115"/>
      <c r="Y1199" s="115"/>
      <c r="Z1199" s="115"/>
      <c r="AA1199" s="115"/>
      <c r="AB1199" s="115"/>
      <c r="AC1199" s="115"/>
      <c r="AD1199" s="115"/>
      <c r="AE1199" s="115"/>
      <c r="AF1199" s="115"/>
      <c r="AG1199" s="115"/>
      <c r="AH1199" s="115"/>
      <c r="AI1199" s="115"/>
      <c r="AJ1199" s="115"/>
      <c r="AK1199" s="115"/>
      <c r="AL1199" s="115"/>
      <c r="AM1199" s="115"/>
      <c r="AN1199" s="115"/>
      <c r="AO1199" s="115"/>
      <c r="AP1199" s="115"/>
      <c r="AQ1199" s="115"/>
      <c r="AR1199" s="115"/>
      <c r="AS1199" s="115"/>
      <c r="AT1199" s="115"/>
      <c r="AU1199" s="115"/>
      <c r="AV1199" s="115"/>
      <c r="AW1199" s="115"/>
      <c r="AX1199" s="115"/>
      <c r="AY1199" s="115"/>
      <c r="AZ1199" s="115"/>
      <c r="BA1199" s="26"/>
      <c r="BB1199" s="13"/>
      <c r="BG1199" s="117"/>
      <c r="BH1199" s="123"/>
      <c r="BI1199" s="123"/>
      <c r="BJ1199" s="123"/>
      <c r="BK1199" s="115"/>
      <c r="BL1199" s="115"/>
      <c r="BM1199" s="115"/>
      <c r="BN1199" s="115"/>
      <c r="BO1199" s="115"/>
      <c r="BP1199" s="115"/>
      <c r="BQ1199" s="115"/>
      <c r="BR1199" s="115"/>
      <c r="BS1199" s="115"/>
      <c r="BT1199" s="115"/>
      <c r="BU1199" s="115"/>
      <c r="BV1199" s="115"/>
      <c r="BW1199" s="115"/>
      <c r="BX1199" s="115"/>
      <c r="BY1199" s="25"/>
      <c r="BZ1199" s="15"/>
      <c r="CC1199" s="114"/>
    </row>
    <row r="1200" spans="6:81" ht="19.5" x14ac:dyDescent="0.4">
      <c r="F1200" s="115"/>
      <c r="G1200" s="115"/>
      <c r="H1200" s="115"/>
      <c r="I1200" s="115"/>
      <c r="J1200" s="115"/>
      <c r="K1200" s="115"/>
      <c r="L1200" s="115"/>
      <c r="M1200" s="115"/>
      <c r="N1200" s="115"/>
      <c r="O1200" s="115"/>
      <c r="P1200" s="115"/>
      <c r="Q1200" s="115"/>
      <c r="R1200" s="115"/>
      <c r="S1200" s="115"/>
      <c r="T1200" s="115"/>
      <c r="U1200" s="115"/>
      <c r="V1200" s="115"/>
      <c r="W1200" s="115"/>
      <c r="X1200" s="115"/>
      <c r="Y1200" s="115"/>
      <c r="Z1200" s="115"/>
      <c r="AA1200" s="115"/>
      <c r="AB1200" s="115"/>
      <c r="AC1200" s="115"/>
      <c r="AD1200" s="115"/>
      <c r="AE1200" s="115"/>
      <c r="AF1200" s="115"/>
      <c r="AG1200" s="115"/>
      <c r="AH1200" s="115"/>
      <c r="AI1200" s="115"/>
      <c r="AJ1200" s="115"/>
      <c r="AK1200" s="115"/>
      <c r="AL1200" s="115"/>
      <c r="AM1200" s="115"/>
      <c r="AN1200" s="115"/>
      <c r="AO1200" s="115"/>
      <c r="AP1200" s="115"/>
      <c r="AQ1200" s="115"/>
      <c r="AR1200" s="115"/>
      <c r="AS1200" s="115"/>
      <c r="AT1200" s="115"/>
      <c r="AU1200" s="115"/>
      <c r="AV1200" s="115"/>
      <c r="AW1200" s="115"/>
      <c r="AX1200" s="115"/>
      <c r="AY1200" s="115"/>
      <c r="AZ1200" s="115"/>
      <c r="BA1200" s="26"/>
      <c r="BB1200" s="13"/>
      <c r="BG1200" s="117"/>
      <c r="BH1200" s="123"/>
      <c r="BI1200" s="123"/>
      <c r="BJ1200" s="123"/>
      <c r="BK1200" s="115"/>
      <c r="BL1200" s="115"/>
      <c r="BM1200" s="115"/>
      <c r="BN1200" s="115"/>
      <c r="BO1200" s="115"/>
      <c r="BP1200" s="115"/>
      <c r="BQ1200" s="115"/>
      <c r="BR1200" s="115"/>
      <c r="BS1200" s="115"/>
      <c r="BT1200" s="115"/>
      <c r="BU1200" s="115"/>
      <c r="BV1200" s="115"/>
      <c r="BW1200" s="115"/>
      <c r="BX1200" s="115"/>
      <c r="BY1200" s="25"/>
      <c r="BZ1200" s="15"/>
      <c r="CC1200" s="114"/>
    </row>
    <row r="1201" spans="6:81" ht="19.5" x14ac:dyDescent="0.4">
      <c r="BA1201" s="26"/>
      <c r="BB1201" s="13"/>
      <c r="BG1201" s="117"/>
      <c r="BH1201" s="123"/>
      <c r="BI1201" s="123"/>
      <c r="BJ1201" s="123"/>
      <c r="BK1201" s="115"/>
      <c r="BL1201" s="115"/>
      <c r="BM1201" s="115"/>
      <c r="BN1201" s="115"/>
      <c r="BO1201" s="115"/>
      <c r="BP1201" s="115"/>
      <c r="BQ1201" s="115"/>
      <c r="BR1201" s="115"/>
      <c r="BS1201" s="115"/>
      <c r="BT1201" s="115"/>
      <c r="BU1201" s="115"/>
      <c r="BV1201" s="115"/>
      <c r="BW1201" s="115"/>
      <c r="BX1201" s="115"/>
      <c r="BY1201" s="25">
        <v>45273</v>
      </c>
      <c r="BZ1201" s="15" t="s">
        <v>162</v>
      </c>
      <c r="CC1201" s="114"/>
    </row>
    <row r="1202" spans="6:81" ht="19.5" x14ac:dyDescent="0.4">
      <c r="BA1202" s="26"/>
      <c r="BB1202" s="13"/>
      <c r="BG1202" s="117"/>
      <c r="BH1202" s="123"/>
      <c r="BI1202" s="123"/>
      <c r="BJ1202" s="123"/>
      <c r="BK1202" s="115"/>
      <c r="BL1202" s="115"/>
      <c r="BM1202" s="115"/>
      <c r="BN1202" s="115"/>
      <c r="BO1202" s="115"/>
      <c r="BP1202" s="115"/>
      <c r="BQ1202" s="115"/>
      <c r="BR1202" s="115"/>
      <c r="BS1202" s="115"/>
      <c r="BT1202" s="115"/>
      <c r="BU1202" s="115"/>
      <c r="BV1202" s="115"/>
      <c r="BW1202" s="115"/>
      <c r="BX1202" s="115"/>
      <c r="BY1202" s="25">
        <v>45273</v>
      </c>
      <c r="BZ1202" s="15" t="s">
        <v>162</v>
      </c>
      <c r="CC1202" s="114"/>
    </row>
    <row r="1203" spans="6:81" ht="19.5" x14ac:dyDescent="0.4">
      <c r="BA1203" s="26"/>
      <c r="BB1203" s="13"/>
      <c r="BG1203" s="117"/>
      <c r="BH1203" s="123"/>
      <c r="BI1203" s="123"/>
      <c r="BJ1203" s="123"/>
      <c r="BK1203" s="115"/>
      <c r="BL1203" s="115"/>
      <c r="BM1203" s="115"/>
      <c r="BN1203" s="115"/>
      <c r="BO1203" s="115"/>
      <c r="BP1203" s="115"/>
      <c r="BQ1203" s="115"/>
      <c r="BR1203" s="115"/>
      <c r="BS1203" s="115"/>
      <c r="BT1203" s="115"/>
      <c r="BU1203" s="115"/>
      <c r="BV1203" s="115"/>
      <c r="BW1203" s="115"/>
      <c r="BX1203" s="115"/>
      <c r="BY1203" s="25">
        <v>45273</v>
      </c>
      <c r="BZ1203" s="13" t="s">
        <v>163</v>
      </c>
      <c r="CC1203" s="114"/>
    </row>
    <row r="1204" spans="6:81" ht="19.5" x14ac:dyDescent="0.4">
      <c r="BA1204" s="26"/>
      <c r="BB1204" s="13"/>
      <c r="BG1204" s="117"/>
      <c r="BH1204" s="123"/>
      <c r="BI1204" s="123"/>
      <c r="BJ1204" s="123"/>
      <c r="BK1204" s="115"/>
      <c r="BL1204" s="115"/>
      <c r="BM1204" s="115"/>
      <c r="BN1204" s="115"/>
      <c r="BO1204" s="115"/>
      <c r="BP1204" s="115"/>
      <c r="BQ1204" s="115"/>
      <c r="BR1204" s="115"/>
      <c r="BS1204" s="115"/>
      <c r="BT1204" s="115"/>
      <c r="BU1204" s="115"/>
      <c r="BV1204" s="115"/>
      <c r="BW1204" s="115"/>
      <c r="BX1204" s="115"/>
      <c r="BY1204" s="25"/>
      <c r="BZ1204" s="13"/>
      <c r="CC1204" s="114"/>
    </row>
    <row r="1205" spans="6:81" ht="19.5" x14ac:dyDescent="0.4">
      <c r="BA1205" s="26"/>
      <c r="BB1205" s="13"/>
      <c r="BG1205" s="117"/>
      <c r="BH1205" s="123"/>
      <c r="BI1205" s="123"/>
      <c r="BJ1205" s="123"/>
      <c r="BK1205" s="115"/>
      <c r="BL1205" s="115"/>
      <c r="BM1205" s="115"/>
      <c r="BN1205" s="115"/>
      <c r="BO1205" s="115"/>
      <c r="BP1205" s="115"/>
      <c r="BQ1205" s="115"/>
      <c r="BR1205" s="115"/>
      <c r="BS1205" s="115"/>
      <c r="BT1205" s="115"/>
      <c r="BU1205" s="115"/>
      <c r="BV1205" s="115"/>
      <c r="BW1205" s="115"/>
      <c r="BX1205" s="115" t="s">
        <v>152</v>
      </c>
      <c r="BY1205" s="13">
        <f>SUBTOTAL(3,BY1174:BY1203)</f>
        <v>22</v>
      </c>
      <c r="BZ1205" s="13">
        <f>SUBTOTAL(3,BZ1174:BZ1203)</f>
        <v>22</v>
      </c>
      <c r="CC1205" s="114"/>
    </row>
    <row r="1206" spans="6:81" ht="19.5" x14ac:dyDescent="0.4">
      <c r="BA1206" s="26"/>
      <c r="BB1206" s="13"/>
      <c r="BG1206" s="117"/>
      <c r="BH1206" s="123"/>
      <c r="BI1206" s="123"/>
      <c r="BJ1206" s="123"/>
      <c r="BK1206" s="115"/>
      <c r="BL1206" s="115"/>
      <c r="BM1206" s="115"/>
      <c r="BN1206" s="115"/>
      <c r="BO1206" s="115"/>
      <c r="BP1206" s="115"/>
      <c r="BQ1206" s="115"/>
      <c r="BR1206" s="115"/>
      <c r="BS1206" s="115"/>
      <c r="BT1206" s="115"/>
      <c r="BU1206" s="115"/>
      <c r="BV1206" s="115"/>
      <c r="BW1206" s="115"/>
      <c r="BX1206" s="115"/>
      <c r="BY1206" s="25">
        <v>45274</v>
      </c>
      <c r="BZ1206" s="15" t="s">
        <v>162</v>
      </c>
      <c r="CC1206" s="114"/>
    </row>
    <row r="1207" spans="6:81" ht="19.5" x14ac:dyDescent="0.4">
      <c r="AQ1207" s="115"/>
      <c r="AR1207" s="115"/>
      <c r="AS1207" s="115"/>
      <c r="AT1207" s="115"/>
      <c r="AU1207" s="115"/>
      <c r="AV1207" s="115"/>
      <c r="AW1207" s="115"/>
      <c r="AX1207" s="115"/>
      <c r="AY1207" s="115"/>
      <c r="AZ1207" s="115"/>
      <c r="BA1207" s="26"/>
      <c r="BB1207" s="13"/>
      <c r="BG1207" s="117"/>
      <c r="BH1207" s="123"/>
      <c r="BI1207" s="123"/>
      <c r="BJ1207" s="123"/>
      <c r="BK1207" s="115"/>
      <c r="BL1207" s="115"/>
      <c r="BM1207" s="115"/>
      <c r="BN1207" s="115"/>
      <c r="BO1207" s="115"/>
      <c r="BP1207" s="115"/>
      <c r="BQ1207" s="115"/>
      <c r="BR1207" s="115"/>
      <c r="BS1207" s="115"/>
      <c r="BT1207" s="115"/>
      <c r="BU1207" s="115"/>
      <c r="BV1207" s="115"/>
      <c r="BW1207" s="115"/>
      <c r="BX1207" s="115"/>
      <c r="BY1207" s="25"/>
      <c r="BZ1207" s="15"/>
      <c r="CC1207" s="114"/>
    </row>
    <row r="1208" spans="6:81" ht="19.5" x14ac:dyDescent="0.4">
      <c r="AQ1208" s="115"/>
      <c r="AR1208" s="115"/>
      <c r="AS1208" s="115"/>
      <c r="AT1208" s="115"/>
      <c r="AU1208" s="115"/>
      <c r="AV1208" s="115"/>
      <c r="AW1208" s="115"/>
      <c r="AX1208" s="115"/>
      <c r="AY1208" s="115"/>
      <c r="AZ1208" s="115"/>
      <c r="BA1208" s="26"/>
      <c r="BB1208" s="13"/>
      <c r="BG1208" s="117"/>
      <c r="BH1208" s="123"/>
      <c r="BI1208" s="123"/>
      <c r="BJ1208" s="123"/>
      <c r="BK1208" s="115"/>
      <c r="BL1208" s="115"/>
      <c r="BM1208" s="115"/>
      <c r="BN1208" s="115"/>
      <c r="BO1208" s="115"/>
      <c r="BP1208" s="115"/>
      <c r="BQ1208" s="115"/>
      <c r="BR1208" s="115"/>
      <c r="BS1208" s="115"/>
      <c r="BT1208" s="115"/>
      <c r="BU1208" s="115"/>
      <c r="BV1208" s="115"/>
      <c r="BW1208" s="115"/>
      <c r="BX1208" s="115"/>
      <c r="BY1208" s="25"/>
      <c r="BZ1208" s="15"/>
      <c r="CC1208" s="114"/>
    </row>
    <row r="1209" spans="6:81" ht="19.5" x14ac:dyDescent="0.4">
      <c r="BA1209" s="26"/>
      <c r="BB1209" s="13"/>
      <c r="BG1209" s="117"/>
      <c r="BH1209" s="123"/>
      <c r="BI1209" s="123"/>
      <c r="BJ1209" s="123"/>
      <c r="BK1209" s="115"/>
      <c r="BL1209" s="115"/>
      <c r="BM1209" s="115"/>
      <c r="BN1209" s="115"/>
      <c r="BO1209" s="115"/>
      <c r="BP1209" s="115"/>
      <c r="BQ1209" s="115"/>
      <c r="BR1209" s="115"/>
      <c r="BS1209" s="115"/>
      <c r="BT1209" s="115"/>
      <c r="BU1209" s="115"/>
      <c r="BV1209" s="115"/>
      <c r="BW1209" s="115"/>
      <c r="BX1209" s="115"/>
      <c r="BY1209" s="25">
        <v>45274</v>
      </c>
      <c r="BZ1209" s="15" t="s">
        <v>162</v>
      </c>
      <c r="CC1209" s="114"/>
    </row>
    <row r="1210" spans="6:81" ht="19.5" x14ac:dyDescent="0.4">
      <c r="AR1210" s="115"/>
      <c r="AS1210" s="115"/>
      <c r="AT1210" s="115"/>
      <c r="AU1210" s="115"/>
      <c r="AV1210" s="115"/>
      <c r="AW1210" s="115"/>
      <c r="AX1210" s="115"/>
      <c r="AY1210" s="115"/>
      <c r="AZ1210" s="115"/>
      <c r="BA1210" s="26"/>
      <c r="BB1210" s="13"/>
      <c r="BG1210" s="117"/>
      <c r="BH1210" s="123"/>
      <c r="BI1210" s="123"/>
      <c r="BJ1210" s="123"/>
      <c r="BK1210" s="115"/>
      <c r="BL1210" s="115"/>
      <c r="BM1210" s="115"/>
      <c r="BN1210" s="115"/>
      <c r="BO1210" s="115"/>
      <c r="BP1210" s="115"/>
      <c r="BQ1210" s="115"/>
      <c r="BR1210" s="115"/>
      <c r="BS1210" s="115"/>
      <c r="BT1210" s="115"/>
      <c r="BU1210" s="115"/>
      <c r="BV1210" s="115"/>
      <c r="BW1210" s="115"/>
      <c r="BX1210" s="115"/>
      <c r="BY1210" s="25"/>
      <c r="BZ1210" s="15"/>
      <c r="CC1210" s="114"/>
    </row>
    <row r="1211" spans="6:81" ht="19.5" x14ac:dyDescent="0.4">
      <c r="AQ1211" s="115"/>
      <c r="AR1211" s="115"/>
      <c r="AS1211" s="115"/>
      <c r="AT1211" s="115"/>
      <c r="AU1211" s="115"/>
      <c r="AV1211" s="115"/>
      <c r="AW1211" s="115"/>
      <c r="AX1211" s="115"/>
      <c r="AY1211" s="115"/>
      <c r="AZ1211" s="115"/>
      <c r="BA1211" s="26"/>
      <c r="BB1211" s="13"/>
      <c r="BG1211" s="117"/>
      <c r="BH1211" s="123"/>
      <c r="BI1211" s="123"/>
      <c r="BJ1211" s="123"/>
      <c r="BK1211" s="115"/>
      <c r="BL1211" s="115"/>
      <c r="BM1211" s="115"/>
      <c r="BN1211" s="115"/>
      <c r="BO1211" s="115"/>
      <c r="BP1211" s="115"/>
      <c r="BQ1211" s="115"/>
      <c r="BR1211" s="115"/>
      <c r="BS1211" s="115"/>
      <c r="BT1211" s="115"/>
      <c r="BU1211" s="115"/>
      <c r="BV1211" s="115"/>
      <c r="BW1211" s="115"/>
      <c r="BX1211" s="115"/>
      <c r="BY1211" s="25"/>
      <c r="BZ1211" s="15"/>
      <c r="CC1211" s="114"/>
    </row>
    <row r="1212" spans="6:81" ht="19.5" x14ac:dyDescent="0.4">
      <c r="F1212" s="115"/>
      <c r="G1212" s="115"/>
      <c r="H1212" s="115"/>
      <c r="I1212" s="115"/>
      <c r="J1212" s="115"/>
      <c r="K1212" s="115"/>
      <c r="L1212" s="115"/>
      <c r="M1212" s="115"/>
      <c r="N1212" s="115"/>
      <c r="O1212" s="115"/>
      <c r="P1212" s="115"/>
      <c r="Q1212" s="115"/>
      <c r="R1212" s="115"/>
      <c r="S1212" s="115"/>
      <c r="T1212" s="115"/>
      <c r="U1212" s="115"/>
      <c r="V1212" s="115"/>
      <c r="W1212" s="115"/>
      <c r="X1212" s="115"/>
      <c r="Y1212" s="115"/>
      <c r="Z1212" s="115"/>
      <c r="AA1212" s="115"/>
      <c r="AB1212" s="115"/>
      <c r="AC1212" s="115"/>
      <c r="AD1212" s="115"/>
      <c r="AE1212" s="115"/>
      <c r="AF1212" s="115"/>
      <c r="AG1212" s="115"/>
      <c r="AH1212" s="115"/>
      <c r="AI1212" s="115"/>
      <c r="AJ1212" s="115"/>
      <c r="AK1212" s="115"/>
      <c r="AL1212" s="115"/>
      <c r="AM1212" s="115"/>
      <c r="AN1212" s="115"/>
      <c r="AO1212" s="115"/>
      <c r="AP1212" s="115"/>
      <c r="AQ1212" s="115"/>
      <c r="AR1212" s="115"/>
      <c r="AS1212" s="115"/>
      <c r="AT1212" s="115"/>
      <c r="AU1212" s="115"/>
      <c r="AV1212" s="115"/>
      <c r="AW1212" s="115"/>
      <c r="AX1212" s="115"/>
      <c r="AY1212" s="115"/>
      <c r="AZ1212" s="115"/>
      <c r="BA1212" s="26"/>
      <c r="BB1212" s="13"/>
      <c r="BG1212" s="117"/>
      <c r="BH1212" s="123"/>
      <c r="BI1212" s="123"/>
      <c r="BJ1212" s="123"/>
      <c r="BK1212" s="115"/>
      <c r="BL1212" s="115"/>
      <c r="BM1212" s="115"/>
      <c r="BN1212" s="115"/>
      <c r="BO1212" s="115"/>
      <c r="BP1212" s="115"/>
      <c r="BQ1212" s="115"/>
      <c r="BR1212" s="115"/>
      <c r="BS1212" s="115"/>
      <c r="BT1212" s="115"/>
      <c r="BU1212" s="115"/>
      <c r="BV1212" s="115"/>
      <c r="BW1212" s="115"/>
      <c r="BX1212" s="115"/>
      <c r="BY1212" s="25"/>
      <c r="BZ1212" s="15"/>
      <c r="CC1212" s="114"/>
    </row>
    <row r="1213" spans="6:81" ht="19.5" x14ac:dyDescent="0.4">
      <c r="BA1213" s="26"/>
      <c r="BB1213" s="13"/>
      <c r="BG1213" s="117"/>
      <c r="BH1213" s="123"/>
      <c r="BI1213" s="123"/>
      <c r="BJ1213" s="123"/>
      <c r="BK1213" s="115"/>
      <c r="BL1213" s="115"/>
      <c r="BM1213" s="115"/>
      <c r="BN1213" s="115"/>
      <c r="BO1213" s="115"/>
      <c r="BP1213" s="115"/>
      <c r="BQ1213" s="115"/>
      <c r="BR1213" s="115"/>
      <c r="BS1213" s="115"/>
      <c r="BT1213" s="115"/>
      <c r="BU1213" s="115"/>
      <c r="BV1213" s="115"/>
      <c r="BW1213" s="115"/>
      <c r="BX1213" s="115"/>
      <c r="BY1213" s="25">
        <v>45274</v>
      </c>
      <c r="BZ1213" s="15" t="s">
        <v>162</v>
      </c>
      <c r="CC1213" s="114"/>
    </row>
    <row r="1214" spans="6:81" ht="19.5" x14ac:dyDescent="0.4">
      <c r="AP1214" s="115"/>
      <c r="AQ1214" s="115"/>
      <c r="AR1214" s="115"/>
      <c r="AS1214" s="115"/>
      <c r="AT1214" s="115"/>
      <c r="AU1214" s="115"/>
      <c r="AV1214" s="115"/>
      <c r="AW1214" s="115"/>
      <c r="AX1214" s="115"/>
      <c r="AY1214" s="115"/>
      <c r="AZ1214" s="115"/>
      <c r="BA1214" s="26"/>
      <c r="BB1214" s="13"/>
      <c r="BG1214" s="117"/>
      <c r="BH1214" s="123"/>
      <c r="BI1214" s="123"/>
      <c r="BJ1214" s="123"/>
      <c r="BK1214" s="115"/>
      <c r="BL1214" s="115"/>
      <c r="BM1214" s="115"/>
      <c r="BN1214" s="115"/>
      <c r="BO1214" s="115"/>
      <c r="BP1214" s="115"/>
      <c r="BQ1214" s="115"/>
      <c r="BR1214" s="115"/>
      <c r="BS1214" s="115"/>
      <c r="BT1214" s="115"/>
      <c r="BU1214" s="115"/>
      <c r="BV1214" s="115"/>
      <c r="BW1214" s="115"/>
      <c r="BX1214" s="115"/>
      <c r="BY1214" s="25"/>
      <c r="BZ1214" s="15"/>
      <c r="CC1214" s="114"/>
    </row>
    <row r="1215" spans="6:81" ht="19.5" x14ac:dyDescent="0.4">
      <c r="BA1215" s="26"/>
      <c r="BB1215" s="13"/>
      <c r="BG1215" s="117"/>
      <c r="BH1215" s="123"/>
      <c r="BI1215" s="123"/>
      <c r="BJ1215" s="123"/>
      <c r="BK1215" s="115"/>
      <c r="BL1215" s="115"/>
      <c r="BM1215" s="115"/>
      <c r="BN1215" s="115"/>
      <c r="BO1215" s="115"/>
      <c r="BP1215" s="115"/>
      <c r="BQ1215" s="115"/>
      <c r="BR1215" s="115"/>
      <c r="BS1215" s="115"/>
      <c r="BT1215" s="115"/>
      <c r="BU1215" s="115"/>
      <c r="BV1215" s="115"/>
      <c r="BW1215" s="115"/>
      <c r="BX1215" s="115"/>
      <c r="BY1215" s="25">
        <v>45274</v>
      </c>
      <c r="BZ1215" s="15" t="s">
        <v>162</v>
      </c>
      <c r="CC1215" s="114"/>
    </row>
    <row r="1216" spans="6:81" ht="19.5" x14ac:dyDescent="0.4">
      <c r="BA1216" s="26"/>
      <c r="BB1216" s="13"/>
      <c r="BG1216" s="117"/>
      <c r="BH1216" s="123"/>
      <c r="BI1216" s="123"/>
      <c r="BJ1216" s="123"/>
      <c r="BK1216" s="115"/>
      <c r="BL1216" s="115"/>
      <c r="BM1216" s="115"/>
      <c r="BN1216" s="115"/>
      <c r="BO1216" s="115"/>
      <c r="BP1216" s="115"/>
      <c r="BQ1216" s="115"/>
      <c r="BR1216" s="115"/>
      <c r="BS1216" s="115"/>
      <c r="BT1216" s="115"/>
      <c r="BU1216" s="115"/>
      <c r="BV1216" s="115"/>
      <c r="BW1216" s="115"/>
      <c r="BX1216" s="115"/>
      <c r="BY1216" s="25">
        <v>45274</v>
      </c>
      <c r="BZ1216" s="15" t="s">
        <v>163</v>
      </c>
      <c r="CC1216" s="114"/>
    </row>
    <row r="1217" spans="42:81" ht="19.5" x14ac:dyDescent="0.4">
      <c r="AS1217" s="115"/>
      <c r="AT1217" s="115"/>
      <c r="AU1217" s="115"/>
      <c r="AV1217" s="115"/>
      <c r="AW1217" s="115"/>
      <c r="AX1217" s="115"/>
      <c r="AY1217" s="115"/>
      <c r="AZ1217" s="115"/>
      <c r="BA1217" s="17"/>
      <c r="BB1217" s="13"/>
      <c r="BG1217" s="117"/>
      <c r="BH1217" s="123"/>
      <c r="BI1217" s="123"/>
      <c r="BJ1217" s="123"/>
      <c r="BK1217" s="115"/>
      <c r="BL1217" s="115"/>
      <c r="BM1217" s="115"/>
      <c r="BN1217" s="115"/>
      <c r="BO1217" s="115"/>
      <c r="BP1217" s="115"/>
      <c r="BQ1217" s="115"/>
      <c r="BR1217" s="115"/>
      <c r="BS1217" s="115"/>
      <c r="BT1217" s="115"/>
      <c r="BU1217" s="115"/>
      <c r="BV1217" s="115"/>
      <c r="BW1217" s="115"/>
      <c r="BX1217" s="115"/>
      <c r="BY1217" s="25"/>
      <c r="BZ1217" s="15"/>
      <c r="CC1217" s="114"/>
    </row>
    <row r="1218" spans="42:81" ht="19.5" x14ac:dyDescent="0.4">
      <c r="AQ1218" s="115"/>
      <c r="AR1218" s="115"/>
      <c r="AS1218" s="115"/>
      <c r="AT1218" s="115"/>
      <c r="AU1218" s="115"/>
      <c r="AV1218" s="115"/>
      <c r="AW1218" s="115"/>
      <c r="AX1218" s="115"/>
      <c r="AY1218" s="115"/>
      <c r="AZ1218" s="115"/>
      <c r="BA1218" s="26"/>
      <c r="BB1218" s="13"/>
      <c r="BG1218" s="117"/>
      <c r="BH1218" s="123"/>
      <c r="BI1218" s="123"/>
      <c r="BJ1218" s="123"/>
      <c r="BK1218" s="115"/>
      <c r="BL1218" s="115"/>
      <c r="BM1218" s="115"/>
      <c r="BN1218" s="115"/>
      <c r="BO1218" s="115"/>
      <c r="BP1218" s="115"/>
      <c r="BQ1218" s="115"/>
      <c r="BR1218" s="115"/>
      <c r="BS1218" s="115"/>
      <c r="BT1218" s="115"/>
      <c r="BU1218" s="115"/>
      <c r="BV1218" s="115"/>
      <c r="BW1218" s="115"/>
      <c r="BX1218" s="115"/>
      <c r="BY1218" s="25"/>
      <c r="BZ1218" s="15"/>
      <c r="CC1218" s="114"/>
    </row>
    <row r="1219" spans="42:81" ht="19.5" x14ac:dyDescent="0.4">
      <c r="BA1219" s="26"/>
      <c r="BB1219" s="25"/>
      <c r="BG1219" s="117"/>
      <c r="BH1219" s="123"/>
      <c r="BI1219" s="123"/>
      <c r="BJ1219" s="123"/>
      <c r="BK1219" s="115"/>
      <c r="BL1219" s="115"/>
      <c r="BM1219" s="115"/>
      <c r="BN1219" s="115"/>
      <c r="BO1219" s="115"/>
      <c r="BP1219" s="115"/>
      <c r="BQ1219" s="115"/>
      <c r="BR1219" s="115"/>
      <c r="BS1219" s="115"/>
      <c r="BT1219" s="115"/>
      <c r="BU1219" s="115"/>
      <c r="BV1219" s="115"/>
      <c r="BW1219" s="115"/>
      <c r="BX1219" s="115" t="s">
        <v>167</v>
      </c>
      <c r="BY1219" s="13">
        <f>SUBTOTAL(3,BY1206:BY1216)</f>
        <v>5</v>
      </c>
      <c r="BZ1219" s="15">
        <f>SUBTOTAL(3,BZ1206:BZ1216)</f>
        <v>5</v>
      </c>
      <c r="CC1219" s="114"/>
    </row>
    <row r="1220" spans="42:81" ht="19.5" x14ac:dyDescent="0.4">
      <c r="AQ1220" s="115"/>
      <c r="AR1220" s="115"/>
      <c r="AS1220" s="115"/>
      <c r="AT1220" s="115"/>
      <c r="AU1220" s="115"/>
      <c r="AV1220" s="115"/>
      <c r="AW1220" s="115"/>
      <c r="AX1220" s="115"/>
      <c r="AY1220" s="115"/>
      <c r="AZ1220" s="115"/>
      <c r="BA1220" s="26"/>
      <c r="BB1220" s="105"/>
      <c r="BG1220" s="117"/>
      <c r="BH1220" s="123"/>
      <c r="BI1220" s="123"/>
      <c r="BJ1220" s="123"/>
      <c r="BK1220" s="115"/>
      <c r="BL1220" s="115"/>
      <c r="BM1220" s="115"/>
      <c r="BN1220" s="115"/>
      <c r="BO1220" s="115"/>
      <c r="BP1220" s="115"/>
      <c r="BQ1220" s="115"/>
      <c r="BR1220" s="115"/>
      <c r="BS1220" s="115"/>
      <c r="BT1220" s="115"/>
      <c r="BU1220" s="115"/>
      <c r="BV1220" s="115"/>
      <c r="BW1220" s="115"/>
      <c r="BX1220" s="115"/>
      <c r="BY1220" s="13"/>
      <c r="BZ1220" s="15"/>
      <c r="CC1220" s="114"/>
    </row>
    <row r="1221" spans="42:81" ht="19.5" x14ac:dyDescent="0.4">
      <c r="BA1221" s="26"/>
      <c r="BB1221" s="105"/>
      <c r="BG1221" s="117"/>
      <c r="BH1221" s="123"/>
      <c r="BI1221" s="123"/>
      <c r="BJ1221" s="123"/>
      <c r="BK1221" s="115"/>
      <c r="BL1221" s="115"/>
      <c r="BM1221" s="115"/>
      <c r="BN1221" s="115"/>
      <c r="BO1221" s="115"/>
      <c r="BP1221" s="115"/>
      <c r="BQ1221" s="115"/>
      <c r="BR1221" s="115"/>
      <c r="BS1221" s="115"/>
      <c r="BT1221" s="115"/>
      <c r="BU1221" s="115"/>
      <c r="BV1221" s="115"/>
      <c r="BW1221" s="115"/>
      <c r="BX1221" s="115"/>
      <c r="BY1221" s="13"/>
      <c r="BZ1221" s="15"/>
      <c r="CC1221" s="114"/>
    </row>
    <row r="1222" spans="42:81" ht="19.5" x14ac:dyDescent="0.4">
      <c r="AS1222" s="115"/>
      <c r="AT1222" s="115"/>
      <c r="AU1222" s="115"/>
      <c r="AV1222" s="115"/>
      <c r="AW1222" s="115"/>
      <c r="AX1222" s="115"/>
      <c r="AY1222" s="115"/>
      <c r="AZ1222" s="115"/>
      <c r="BA1222" s="17"/>
      <c r="BB1222" s="15"/>
      <c r="BG1222" s="117"/>
      <c r="BH1222" s="123"/>
      <c r="BI1222" s="123"/>
      <c r="BJ1222" s="123"/>
      <c r="BK1222" s="115"/>
      <c r="BL1222" s="115"/>
      <c r="BM1222" s="115"/>
      <c r="BN1222" s="115"/>
      <c r="BO1222" s="115"/>
      <c r="BP1222" s="115"/>
      <c r="BQ1222" s="115"/>
      <c r="BR1222" s="115"/>
      <c r="BS1222" s="115"/>
      <c r="BT1222" s="115"/>
      <c r="BU1222" s="115"/>
      <c r="BV1222" s="115"/>
      <c r="BW1222" s="115"/>
      <c r="BX1222" s="115"/>
      <c r="BY1222" s="13"/>
      <c r="BZ1222" s="15"/>
      <c r="CC1222" s="114"/>
    </row>
    <row r="1223" spans="42:81" ht="19.5" x14ac:dyDescent="0.4">
      <c r="AQ1223" s="115"/>
      <c r="AR1223" s="115"/>
      <c r="AS1223" s="115"/>
      <c r="AT1223" s="115"/>
      <c r="AU1223" s="115"/>
      <c r="AV1223" s="115"/>
      <c r="AW1223" s="115"/>
      <c r="AX1223" s="115"/>
      <c r="AY1223" s="115"/>
      <c r="AZ1223" s="115"/>
      <c r="BA1223" s="26"/>
      <c r="BB1223" s="15"/>
      <c r="BG1223" s="117"/>
      <c r="BH1223" s="123"/>
      <c r="BI1223" s="123"/>
      <c r="BJ1223" s="123"/>
      <c r="BK1223" s="115"/>
      <c r="BL1223" s="115"/>
      <c r="BM1223" s="115"/>
      <c r="BN1223" s="115"/>
      <c r="BO1223" s="115"/>
      <c r="BP1223" s="115"/>
      <c r="BQ1223" s="115"/>
      <c r="BR1223" s="115"/>
      <c r="BS1223" s="115"/>
      <c r="BT1223" s="115"/>
      <c r="BU1223" s="115"/>
      <c r="BV1223" s="115"/>
      <c r="BW1223" s="115"/>
      <c r="BX1223" s="115"/>
      <c r="BY1223" s="13"/>
      <c r="BZ1223" s="15"/>
      <c r="CC1223" s="114"/>
    </row>
    <row r="1224" spans="42:81" ht="19.5" x14ac:dyDescent="0.4">
      <c r="AQ1224" s="115"/>
      <c r="AR1224" s="115"/>
      <c r="AS1224" s="115"/>
      <c r="AT1224" s="115"/>
      <c r="AU1224" s="115"/>
      <c r="AV1224" s="115"/>
      <c r="AW1224" s="115"/>
      <c r="AX1224" s="115"/>
      <c r="AY1224" s="115"/>
      <c r="AZ1224" s="115"/>
      <c r="BA1224" s="26"/>
      <c r="BB1224" s="15"/>
      <c r="BG1224" s="117"/>
      <c r="BH1224" s="123"/>
      <c r="BI1224" s="123"/>
      <c r="BJ1224" s="123"/>
      <c r="BK1224" s="115"/>
      <c r="BL1224" s="115"/>
      <c r="BM1224" s="115"/>
      <c r="BN1224" s="115"/>
      <c r="BO1224" s="115"/>
      <c r="BP1224" s="115"/>
      <c r="BQ1224" s="115"/>
      <c r="BR1224" s="115"/>
      <c r="BS1224" s="115"/>
      <c r="BT1224" s="115"/>
      <c r="BU1224" s="115"/>
      <c r="BV1224" s="115"/>
      <c r="BW1224" s="115"/>
      <c r="BX1224" s="115"/>
      <c r="BY1224" s="13"/>
      <c r="BZ1224" s="15"/>
      <c r="CC1224" s="114"/>
    </row>
    <row r="1225" spans="42:81" ht="19.5" x14ac:dyDescent="0.4">
      <c r="AQ1225" s="115"/>
      <c r="AR1225" s="115"/>
      <c r="AS1225" s="115"/>
      <c r="AT1225" s="115"/>
      <c r="AU1225" s="115"/>
      <c r="AV1225" s="115"/>
      <c r="AW1225" s="115"/>
      <c r="AX1225" s="115"/>
      <c r="AY1225" s="115"/>
      <c r="AZ1225" s="115"/>
      <c r="BA1225" s="26"/>
      <c r="BB1225" s="15"/>
      <c r="BG1225" s="117"/>
      <c r="BH1225" s="123"/>
      <c r="BI1225" s="123"/>
      <c r="BJ1225" s="123"/>
      <c r="BK1225" s="115"/>
      <c r="BL1225" s="115"/>
      <c r="BM1225" s="115"/>
      <c r="BN1225" s="115"/>
      <c r="BO1225" s="115"/>
      <c r="BP1225" s="115"/>
      <c r="BQ1225" s="115"/>
      <c r="BR1225" s="115"/>
      <c r="BS1225" s="115"/>
      <c r="BT1225" s="115"/>
      <c r="BU1225" s="115"/>
      <c r="BV1225" s="115"/>
      <c r="BW1225" s="115"/>
      <c r="BX1225" s="115"/>
      <c r="BY1225" s="13"/>
      <c r="BZ1225" s="15"/>
      <c r="CC1225" s="114"/>
    </row>
    <row r="1226" spans="42:81" ht="19.5" x14ac:dyDescent="0.4">
      <c r="AP1226" s="115"/>
      <c r="AQ1226" s="115"/>
      <c r="AR1226" s="115"/>
      <c r="AS1226" s="115"/>
      <c r="AT1226" s="115"/>
      <c r="AU1226" s="115"/>
      <c r="AV1226" s="115"/>
      <c r="AW1226" s="115"/>
      <c r="AX1226" s="115"/>
      <c r="AY1226" s="115"/>
      <c r="AZ1226" s="115"/>
      <c r="BA1226" s="26"/>
      <c r="BB1226" s="15"/>
      <c r="BG1226" s="117"/>
      <c r="BH1226" s="123"/>
      <c r="BI1226" s="123"/>
      <c r="BJ1226" s="123"/>
      <c r="BK1226" s="115"/>
      <c r="BL1226" s="115"/>
      <c r="BM1226" s="115"/>
      <c r="BN1226" s="115"/>
      <c r="BO1226" s="115"/>
      <c r="BP1226" s="115"/>
      <c r="BQ1226" s="115"/>
      <c r="BR1226" s="115"/>
      <c r="BS1226" s="115"/>
      <c r="BT1226" s="115"/>
      <c r="BU1226" s="115"/>
      <c r="BV1226" s="115"/>
      <c r="BW1226" s="115"/>
      <c r="BX1226" s="115"/>
      <c r="BY1226" s="13"/>
      <c r="BZ1226" s="15"/>
      <c r="CC1226" s="114"/>
    </row>
    <row r="1227" spans="42:81" ht="19.5" x14ac:dyDescent="0.4">
      <c r="BA1227" s="26"/>
      <c r="BB1227" s="15"/>
      <c r="BG1227" s="117"/>
      <c r="BH1227" s="123"/>
      <c r="BI1227" s="123"/>
      <c r="BJ1227" s="123"/>
      <c r="BK1227" s="115"/>
      <c r="BL1227" s="115"/>
      <c r="BM1227" s="115"/>
      <c r="BN1227" s="115"/>
      <c r="BO1227" s="115"/>
      <c r="BP1227" s="115"/>
      <c r="BQ1227" s="115"/>
      <c r="BR1227" s="115"/>
      <c r="BS1227" s="115"/>
      <c r="BT1227" s="115"/>
      <c r="BU1227" s="115"/>
      <c r="BV1227" s="115"/>
      <c r="BW1227" s="115"/>
      <c r="BX1227" s="115"/>
      <c r="BY1227" s="25">
        <v>45275</v>
      </c>
      <c r="BZ1227" s="15" t="s">
        <v>163</v>
      </c>
      <c r="CC1227" s="114"/>
    </row>
    <row r="1228" spans="42:81" ht="19.5" x14ac:dyDescent="0.4">
      <c r="BA1228" s="26"/>
      <c r="BB1228" s="15"/>
      <c r="BG1228" s="117"/>
      <c r="BH1228" s="123"/>
      <c r="BI1228" s="123"/>
      <c r="BJ1228" s="123"/>
      <c r="BK1228" s="115"/>
      <c r="BL1228" s="115"/>
      <c r="BM1228" s="115"/>
      <c r="BN1228" s="115"/>
      <c r="BO1228" s="115"/>
      <c r="BP1228" s="115"/>
      <c r="BQ1228" s="115"/>
      <c r="BR1228" s="115"/>
      <c r="BS1228" s="115"/>
      <c r="BT1228" s="115"/>
      <c r="BU1228" s="115"/>
      <c r="BV1228" s="115"/>
      <c r="BW1228" s="115"/>
      <c r="BX1228" s="115" t="s">
        <v>168</v>
      </c>
      <c r="BY1228" s="13">
        <f>SUBTOTAL(3,BY1227:BY1227)</f>
        <v>1</v>
      </c>
      <c r="BZ1228" s="15">
        <f>SUBTOTAL(3,BZ1227:BZ1227)</f>
        <v>1</v>
      </c>
      <c r="CC1228" s="114"/>
    </row>
    <row r="1229" spans="42:81" ht="19.5" x14ac:dyDescent="0.4">
      <c r="BA1229" s="26"/>
      <c r="BB1229" s="15"/>
      <c r="BG1229" s="117"/>
      <c r="BH1229" s="123"/>
      <c r="BI1229" s="123"/>
      <c r="BJ1229" s="123"/>
      <c r="BK1229" s="115"/>
      <c r="BL1229" s="115"/>
      <c r="BM1229" s="115"/>
      <c r="BN1229" s="115"/>
      <c r="BO1229" s="115"/>
      <c r="BP1229" s="115"/>
      <c r="BQ1229" s="115"/>
      <c r="BR1229" s="115"/>
      <c r="BS1229" s="115"/>
      <c r="BT1229" s="115"/>
      <c r="BU1229" s="115"/>
      <c r="BV1229" s="115"/>
      <c r="BW1229" s="115"/>
      <c r="BX1229" s="115"/>
      <c r="BY1229" s="25">
        <v>45276</v>
      </c>
      <c r="BZ1229" s="15" t="s">
        <v>164</v>
      </c>
      <c r="CC1229" s="114"/>
    </row>
    <row r="1230" spans="42:81" ht="19.5" x14ac:dyDescent="0.4">
      <c r="BA1230" s="26"/>
      <c r="BB1230" s="15"/>
      <c r="BG1230" s="117"/>
      <c r="BH1230" s="123"/>
      <c r="BI1230" s="123"/>
      <c r="BJ1230" s="123"/>
      <c r="BK1230" s="115"/>
      <c r="BL1230" s="115"/>
      <c r="BM1230" s="115"/>
      <c r="BN1230" s="115"/>
      <c r="BO1230" s="115"/>
      <c r="BP1230" s="115"/>
      <c r="BQ1230" s="115"/>
      <c r="BR1230" s="115"/>
      <c r="BS1230" s="115"/>
      <c r="BT1230" s="115"/>
      <c r="BU1230" s="115"/>
      <c r="BV1230" s="115"/>
      <c r="BW1230" s="115"/>
      <c r="BX1230" s="115"/>
      <c r="BY1230" s="25">
        <v>45276</v>
      </c>
      <c r="BZ1230" s="15" t="s">
        <v>162</v>
      </c>
      <c r="CC1230" s="114"/>
    </row>
    <row r="1231" spans="42:81" ht="19.5" x14ac:dyDescent="0.4">
      <c r="BA1231" s="26"/>
      <c r="BB1231" s="15"/>
      <c r="BG1231" s="117"/>
      <c r="BH1231" s="123"/>
      <c r="BI1231" s="123"/>
      <c r="BJ1231" s="123"/>
      <c r="BK1231" s="115"/>
      <c r="BL1231" s="115"/>
      <c r="BM1231" s="115"/>
      <c r="BN1231" s="115"/>
      <c r="BO1231" s="115"/>
      <c r="BP1231" s="115"/>
      <c r="BQ1231" s="115"/>
      <c r="BR1231" s="115"/>
      <c r="BS1231" s="115"/>
      <c r="BT1231" s="115"/>
      <c r="BU1231" s="115"/>
      <c r="BV1231" s="115"/>
      <c r="BW1231" s="115"/>
      <c r="BX1231" s="115"/>
      <c r="BY1231" s="25">
        <v>45276</v>
      </c>
      <c r="BZ1231" s="15" t="s">
        <v>162</v>
      </c>
      <c r="CC1231" s="114"/>
    </row>
    <row r="1232" spans="42:81" ht="19.5" x14ac:dyDescent="0.4">
      <c r="BA1232" s="26"/>
      <c r="BB1232" s="15"/>
      <c r="BG1232" s="117"/>
      <c r="BH1232" s="123"/>
      <c r="BI1232" s="123"/>
      <c r="BJ1232" s="123"/>
      <c r="BK1232" s="115"/>
      <c r="BL1232" s="115"/>
      <c r="BM1232" s="115"/>
      <c r="BN1232" s="115"/>
      <c r="BO1232" s="115"/>
      <c r="BP1232" s="115"/>
      <c r="BQ1232" s="115"/>
      <c r="BR1232" s="115"/>
      <c r="BS1232" s="115"/>
      <c r="BT1232" s="115"/>
      <c r="BU1232" s="115"/>
      <c r="BV1232" s="115"/>
      <c r="BW1232" s="115"/>
      <c r="BX1232" s="115"/>
      <c r="BY1232" s="25">
        <v>45276</v>
      </c>
      <c r="BZ1232" s="15" t="s">
        <v>162</v>
      </c>
      <c r="CC1232" s="114"/>
    </row>
    <row r="1233" spans="6:81" ht="19.5" x14ac:dyDescent="0.4">
      <c r="BA1233" s="26"/>
      <c r="BB1233" s="15"/>
      <c r="BG1233" s="117"/>
      <c r="BH1233" s="123"/>
      <c r="BI1233" s="123"/>
      <c r="BJ1233" s="123"/>
      <c r="BK1233" s="115"/>
      <c r="BL1233" s="115"/>
      <c r="BM1233" s="115"/>
      <c r="BN1233" s="115"/>
      <c r="BO1233" s="115"/>
      <c r="BP1233" s="115"/>
      <c r="BQ1233" s="115"/>
      <c r="BR1233" s="115"/>
      <c r="BS1233" s="115"/>
      <c r="BT1233" s="115"/>
      <c r="BU1233" s="115"/>
      <c r="BV1233" s="115"/>
      <c r="BW1233" s="115"/>
      <c r="BX1233" s="115"/>
      <c r="BY1233" s="25">
        <v>45276</v>
      </c>
      <c r="BZ1233" s="15" t="s">
        <v>162</v>
      </c>
      <c r="CC1233" s="114"/>
    </row>
    <row r="1234" spans="6:81" ht="19.5" x14ac:dyDescent="0.4">
      <c r="F1234" s="115"/>
      <c r="G1234" s="115"/>
      <c r="H1234" s="115"/>
      <c r="I1234" s="115"/>
      <c r="J1234" s="115"/>
      <c r="K1234" s="115"/>
      <c r="L1234" s="115"/>
      <c r="M1234" s="115"/>
      <c r="N1234" s="115"/>
      <c r="O1234" s="115"/>
      <c r="P1234" s="115"/>
      <c r="Q1234" s="115"/>
      <c r="R1234" s="115"/>
      <c r="S1234" s="115"/>
      <c r="T1234" s="115"/>
      <c r="U1234" s="115"/>
      <c r="V1234" s="115"/>
      <c r="W1234" s="115"/>
      <c r="X1234" s="115"/>
      <c r="Y1234" s="115"/>
      <c r="Z1234" s="115"/>
      <c r="AA1234" s="115"/>
      <c r="AB1234" s="115"/>
      <c r="AC1234" s="115"/>
      <c r="AD1234" s="115"/>
      <c r="AE1234" s="115"/>
      <c r="AF1234" s="115"/>
      <c r="AG1234" s="115"/>
      <c r="AH1234" s="115"/>
      <c r="AI1234" s="115"/>
      <c r="AJ1234" s="115"/>
      <c r="AK1234" s="115"/>
      <c r="AL1234" s="115"/>
      <c r="AM1234" s="115"/>
      <c r="AN1234" s="115"/>
      <c r="AO1234" s="115"/>
      <c r="AP1234" s="115"/>
      <c r="AQ1234" s="115"/>
      <c r="AR1234" s="115"/>
      <c r="AS1234" s="115"/>
      <c r="AT1234" s="115"/>
      <c r="AU1234" s="115"/>
      <c r="AV1234" s="115"/>
      <c r="AW1234" s="115"/>
      <c r="AX1234" s="115"/>
      <c r="AY1234" s="115"/>
      <c r="AZ1234" s="115"/>
      <c r="BA1234" s="26"/>
      <c r="BB1234" s="15"/>
      <c r="BG1234" s="117"/>
      <c r="BH1234" s="123"/>
      <c r="BI1234" s="123"/>
      <c r="BJ1234" s="123"/>
      <c r="BK1234" s="115"/>
      <c r="BL1234" s="115"/>
      <c r="BM1234" s="115"/>
      <c r="BN1234" s="115"/>
      <c r="BO1234" s="115"/>
      <c r="BP1234" s="115"/>
      <c r="BQ1234" s="115"/>
      <c r="BR1234" s="115"/>
      <c r="BS1234" s="115"/>
      <c r="BT1234" s="115"/>
      <c r="BU1234" s="115"/>
      <c r="BV1234" s="115"/>
      <c r="BW1234" s="115"/>
      <c r="BX1234" s="115"/>
      <c r="BY1234" s="25"/>
      <c r="BZ1234" s="15"/>
      <c r="CC1234" s="114"/>
    </row>
    <row r="1235" spans="6:81" ht="19.5" x14ac:dyDescent="0.4">
      <c r="BA1235" s="26"/>
      <c r="BB1235" s="15"/>
      <c r="BG1235" s="117"/>
      <c r="BH1235" s="123"/>
      <c r="BI1235" s="123"/>
      <c r="BJ1235" s="123"/>
      <c r="BK1235" s="115"/>
      <c r="BL1235" s="115"/>
      <c r="BM1235" s="115"/>
      <c r="BN1235" s="115"/>
      <c r="BO1235" s="115"/>
      <c r="BP1235" s="115"/>
      <c r="BQ1235" s="115"/>
      <c r="BR1235" s="115"/>
      <c r="BS1235" s="115"/>
      <c r="BT1235" s="115"/>
      <c r="BU1235" s="115"/>
      <c r="BV1235" s="115"/>
      <c r="BW1235" s="115"/>
      <c r="BX1235" s="115"/>
      <c r="BY1235" s="25">
        <v>45276</v>
      </c>
      <c r="BZ1235" s="15" t="s">
        <v>162</v>
      </c>
      <c r="CC1235" s="114"/>
    </row>
    <row r="1236" spans="6:81" ht="19.5" x14ac:dyDescent="0.4">
      <c r="BA1236" s="26"/>
      <c r="BB1236" s="15"/>
      <c r="BG1236" s="117"/>
      <c r="BH1236" s="123"/>
      <c r="BI1236" s="123"/>
      <c r="BJ1236" s="123"/>
      <c r="BK1236" s="115"/>
      <c r="BL1236" s="115"/>
      <c r="BM1236" s="115"/>
      <c r="BN1236" s="115"/>
      <c r="BO1236" s="115"/>
      <c r="BP1236" s="115"/>
      <c r="BQ1236" s="115"/>
      <c r="BR1236" s="115"/>
      <c r="BS1236" s="115"/>
      <c r="BT1236" s="115"/>
      <c r="BU1236" s="115"/>
      <c r="BV1236" s="115"/>
      <c r="BW1236" s="115"/>
      <c r="BX1236" s="115"/>
      <c r="BY1236" s="25">
        <v>45276</v>
      </c>
      <c r="BZ1236" s="15" t="s">
        <v>162</v>
      </c>
      <c r="CC1236" s="114"/>
    </row>
    <row r="1237" spans="6:81" ht="19.5" x14ac:dyDescent="0.4">
      <c r="AS1237" s="115"/>
      <c r="AT1237" s="115"/>
      <c r="AU1237" s="115"/>
      <c r="AV1237" s="115"/>
      <c r="AW1237" s="115"/>
      <c r="AX1237" s="115"/>
      <c r="AY1237" s="115"/>
      <c r="AZ1237" s="115"/>
      <c r="BA1237" s="17"/>
      <c r="BB1237" s="15"/>
      <c r="BG1237" s="117"/>
      <c r="BH1237" s="123"/>
      <c r="BI1237" s="123"/>
      <c r="BJ1237" s="123"/>
      <c r="BK1237" s="115"/>
      <c r="BL1237" s="115"/>
      <c r="BM1237" s="115"/>
      <c r="BN1237" s="115"/>
      <c r="BO1237" s="115"/>
      <c r="BP1237" s="115"/>
      <c r="BQ1237" s="115"/>
      <c r="BR1237" s="115"/>
      <c r="BS1237" s="115"/>
      <c r="BT1237" s="115"/>
      <c r="BU1237" s="115"/>
      <c r="BV1237" s="115"/>
      <c r="BW1237" s="115"/>
      <c r="BX1237" s="115"/>
      <c r="BY1237" s="25"/>
      <c r="BZ1237" s="15"/>
      <c r="CC1237" s="114"/>
    </row>
    <row r="1238" spans="6:81" ht="19.5" x14ac:dyDescent="0.4">
      <c r="F1238" s="115"/>
      <c r="G1238" s="115"/>
      <c r="H1238" s="115"/>
      <c r="I1238" s="115"/>
      <c r="J1238" s="115"/>
      <c r="K1238" s="115"/>
      <c r="L1238" s="115"/>
      <c r="M1238" s="115"/>
      <c r="N1238" s="115"/>
      <c r="O1238" s="115"/>
      <c r="P1238" s="115"/>
      <c r="Q1238" s="115"/>
      <c r="R1238" s="115"/>
      <c r="S1238" s="115"/>
      <c r="T1238" s="115"/>
      <c r="U1238" s="115"/>
      <c r="V1238" s="115"/>
      <c r="W1238" s="115"/>
      <c r="X1238" s="115"/>
      <c r="Y1238" s="115"/>
      <c r="Z1238" s="115"/>
      <c r="AA1238" s="115"/>
      <c r="AB1238" s="115"/>
      <c r="AC1238" s="115"/>
      <c r="AD1238" s="115"/>
      <c r="AE1238" s="115"/>
      <c r="AF1238" s="115"/>
      <c r="AG1238" s="115"/>
      <c r="AH1238" s="115"/>
      <c r="AI1238" s="115"/>
      <c r="AJ1238" s="115"/>
      <c r="AK1238" s="115"/>
      <c r="AL1238" s="115"/>
      <c r="AM1238" s="115"/>
      <c r="AN1238" s="115"/>
      <c r="AO1238" s="115"/>
      <c r="AP1238" s="115"/>
      <c r="AQ1238" s="115"/>
      <c r="AR1238" s="115"/>
      <c r="AS1238" s="115"/>
      <c r="AT1238" s="115"/>
      <c r="AU1238" s="115"/>
      <c r="AV1238" s="115"/>
      <c r="AW1238" s="115"/>
      <c r="AX1238" s="115"/>
      <c r="AY1238" s="115"/>
      <c r="AZ1238" s="115"/>
      <c r="BA1238" s="26"/>
      <c r="BB1238" s="15"/>
      <c r="BG1238" s="117"/>
      <c r="BH1238" s="123"/>
      <c r="BI1238" s="123"/>
      <c r="BJ1238" s="123"/>
      <c r="BK1238" s="115"/>
      <c r="BL1238" s="115"/>
      <c r="BM1238" s="115"/>
      <c r="BN1238" s="115"/>
      <c r="BO1238" s="115"/>
      <c r="BP1238" s="115"/>
      <c r="BQ1238" s="115"/>
      <c r="BR1238" s="115"/>
      <c r="BS1238" s="115"/>
      <c r="BT1238" s="115"/>
      <c r="BU1238" s="115"/>
      <c r="BV1238" s="115"/>
      <c r="BW1238" s="115"/>
      <c r="BX1238" s="115"/>
      <c r="BY1238" s="25"/>
      <c r="BZ1238" s="15"/>
      <c r="CC1238" s="114"/>
    </row>
    <row r="1239" spans="6:81" ht="19.5" x14ac:dyDescent="0.4">
      <c r="F1239" s="115"/>
      <c r="G1239" s="115"/>
      <c r="H1239" s="115"/>
      <c r="I1239" s="115"/>
      <c r="J1239" s="115"/>
      <c r="K1239" s="115"/>
      <c r="L1239" s="115"/>
      <c r="M1239" s="115"/>
      <c r="N1239" s="115"/>
      <c r="O1239" s="115"/>
      <c r="P1239" s="115"/>
      <c r="Q1239" s="115"/>
      <c r="R1239" s="115"/>
      <c r="S1239" s="115"/>
      <c r="T1239" s="115"/>
      <c r="U1239" s="115"/>
      <c r="V1239" s="115"/>
      <c r="W1239" s="115"/>
      <c r="X1239" s="115"/>
      <c r="Y1239" s="115"/>
      <c r="Z1239" s="115"/>
      <c r="AA1239" s="115"/>
      <c r="AB1239" s="115"/>
      <c r="AC1239" s="115"/>
      <c r="AD1239" s="115"/>
      <c r="AE1239" s="115"/>
      <c r="AF1239" s="115"/>
      <c r="AG1239" s="115"/>
      <c r="AH1239" s="115"/>
      <c r="AI1239" s="115"/>
      <c r="AJ1239" s="115"/>
      <c r="AK1239" s="115"/>
      <c r="AL1239" s="115"/>
      <c r="AM1239" s="115"/>
      <c r="AN1239" s="115"/>
      <c r="AO1239" s="115"/>
      <c r="AP1239" s="115"/>
      <c r="AQ1239" s="115"/>
      <c r="AR1239" s="115"/>
      <c r="AS1239" s="115"/>
      <c r="AT1239" s="115"/>
      <c r="AU1239" s="115"/>
      <c r="AV1239" s="115"/>
      <c r="AW1239" s="115"/>
      <c r="AX1239" s="115"/>
      <c r="AY1239" s="115"/>
      <c r="AZ1239" s="115"/>
      <c r="BA1239" s="26"/>
      <c r="BB1239" s="15"/>
      <c r="BG1239" s="117"/>
      <c r="BH1239" s="123"/>
      <c r="BI1239" s="123"/>
      <c r="BJ1239" s="123"/>
      <c r="BK1239" s="115"/>
      <c r="BL1239" s="115"/>
      <c r="BM1239" s="115"/>
      <c r="BN1239" s="115"/>
      <c r="BO1239" s="115"/>
      <c r="BP1239" s="115"/>
      <c r="BQ1239" s="115"/>
      <c r="BR1239" s="115"/>
      <c r="BS1239" s="115"/>
      <c r="BT1239" s="115"/>
      <c r="BU1239" s="115"/>
      <c r="BV1239" s="115"/>
      <c r="BW1239" s="115"/>
      <c r="BX1239" s="115"/>
      <c r="BY1239" s="25"/>
      <c r="BZ1239" s="15"/>
      <c r="CC1239" s="114"/>
    </row>
    <row r="1240" spans="6:81" ht="19.5" x14ac:dyDescent="0.4">
      <c r="F1240" s="115"/>
      <c r="G1240" s="115"/>
      <c r="H1240" s="115"/>
      <c r="I1240" s="115"/>
      <c r="J1240" s="115"/>
      <c r="K1240" s="115"/>
      <c r="L1240" s="115"/>
      <c r="M1240" s="115"/>
      <c r="N1240" s="115"/>
      <c r="O1240" s="115"/>
      <c r="P1240" s="115"/>
      <c r="Q1240" s="115"/>
      <c r="R1240" s="115"/>
      <c r="S1240" s="115"/>
      <c r="T1240" s="115"/>
      <c r="U1240" s="115"/>
      <c r="V1240" s="115"/>
      <c r="W1240" s="115"/>
      <c r="X1240" s="115"/>
      <c r="Y1240" s="115"/>
      <c r="Z1240" s="115"/>
      <c r="AA1240" s="115"/>
      <c r="AB1240" s="115"/>
      <c r="AC1240" s="115"/>
      <c r="AD1240" s="115"/>
      <c r="AE1240" s="115"/>
      <c r="AF1240" s="115"/>
      <c r="AG1240" s="115"/>
      <c r="AH1240" s="115"/>
      <c r="AI1240" s="115"/>
      <c r="AJ1240" s="115"/>
      <c r="AK1240" s="115"/>
      <c r="AL1240" s="115"/>
      <c r="AM1240" s="115"/>
      <c r="AN1240" s="115"/>
      <c r="AO1240" s="115"/>
      <c r="AP1240" s="115"/>
      <c r="AQ1240" s="115"/>
      <c r="AR1240" s="115"/>
      <c r="AS1240" s="115"/>
      <c r="AT1240" s="115"/>
      <c r="AU1240" s="115"/>
      <c r="AV1240" s="115"/>
      <c r="AW1240" s="115"/>
      <c r="AX1240" s="115"/>
      <c r="AY1240" s="115"/>
      <c r="AZ1240" s="115"/>
      <c r="BA1240" s="26"/>
      <c r="BB1240" s="15"/>
      <c r="BG1240" s="117"/>
      <c r="BH1240" s="123"/>
      <c r="BI1240" s="123"/>
      <c r="BJ1240" s="123"/>
      <c r="BK1240" s="115"/>
      <c r="BL1240" s="115"/>
      <c r="BM1240" s="115"/>
      <c r="BN1240" s="115"/>
      <c r="BO1240" s="115"/>
      <c r="BP1240" s="115"/>
      <c r="BQ1240" s="115"/>
      <c r="BR1240" s="115"/>
      <c r="BS1240" s="115"/>
      <c r="BT1240" s="115"/>
      <c r="BU1240" s="115"/>
      <c r="BV1240" s="115"/>
      <c r="BW1240" s="115"/>
      <c r="BX1240" s="115"/>
      <c r="BY1240" s="25"/>
      <c r="BZ1240" s="15"/>
      <c r="CC1240" s="114"/>
    </row>
    <row r="1241" spans="6:81" ht="19.5" x14ac:dyDescent="0.4">
      <c r="BA1241" s="26"/>
      <c r="BB1241" s="15"/>
      <c r="BF1241" s="115"/>
      <c r="BG1241" s="117"/>
      <c r="BH1241" s="123"/>
      <c r="BI1241" s="123"/>
      <c r="BJ1241" s="123"/>
      <c r="BK1241" s="115"/>
      <c r="BL1241" s="115"/>
      <c r="BM1241" s="115"/>
      <c r="BN1241" s="115"/>
      <c r="BO1241" s="115"/>
      <c r="BP1241" s="115"/>
      <c r="BQ1241" s="115"/>
      <c r="BR1241" s="115"/>
      <c r="BS1241" s="115"/>
      <c r="BT1241" s="115"/>
      <c r="BU1241" s="115"/>
      <c r="BV1241" s="115"/>
      <c r="BW1241" s="115"/>
      <c r="BX1241" s="115"/>
      <c r="BY1241" s="25">
        <v>45276</v>
      </c>
      <c r="BZ1241" s="15" t="s">
        <v>162</v>
      </c>
      <c r="CC1241" s="114"/>
    </row>
    <row r="1242" spans="6:81" ht="19.5" x14ac:dyDescent="0.4">
      <c r="BA1242" s="26"/>
      <c r="BB1242" s="15"/>
      <c r="BF1242" s="115"/>
      <c r="BG1242" s="117"/>
      <c r="BH1242" s="123"/>
      <c r="BI1242" s="123"/>
      <c r="BJ1242" s="123"/>
      <c r="BK1242" s="115"/>
      <c r="BL1242" s="115"/>
      <c r="BM1242" s="115"/>
      <c r="BN1242" s="115"/>
      <c r="BO1242" s="115"/>
      <c r="BP1242" s="115"/>
      <c r="BQ1242" s="115"/>
      <c r="BR1242" s="115"/>
      <c r="BS1242" s="115"/>
      <c r="BT1242" s="115"/>
      <c r="BU1242" s="115"/>
      <c r="BV1242" s="115"/>
      <c r="BW1242" s="115"/>
      <c r="BX1242" s="115"/>
      <c r="BY1242" s="25">
        <v>45276</v>
      </c>
      <c r="BZ1242" s="15" t="s">
        <v>162</v>
      </c>
      <c r="CC1242" s="114"/>
    </row>
    <row r="1243" spans="6:81" ht="19.5" x14ac:dyDescent="0.4">
      <c r="BA1243" s="26"/>
      <c r="BB1243" s="15"/>
      <c r="BF1243" s="115"/>
      <c r="BG1243" s="117"/>
      <c r="BH1243" s="123"/>
      <c r="BI1243" s="123"/>
      <c r="BJ1243" s="123"/>
      <c r="BK1243" s="115"/>
      <c r="BL1243" s="115"/>
      <c r="BM1243" s="115"/>
      <c r="BN1243" s="115"/>
      <c r="BO1243" s="115"/>
      <c r="BP1243" s="115"/>
      <c r="BQ1243" s="115"/>
      <c r="BR1243" s="115"/>
      <c r="BS1243" s="115"/>
      <c r="BT1243" s="115"/>
      <c r="BU1243" s="115"/>
      <c r="BV1243" s="115"/>
      <c r="BW1243" s="115"/>
      <c r="BX1243" s="115"/>
      <c r="BY1243" s="25">
        <v>45276</v>
      </c>
      <c r="BZ1243" s="15" t="s">
        <v>162</v>
      </c>
      <c r="CC1243" s="114"/>
    </row>
    <row r="1244" spans="6:81" ht="19.5" x14ac:dyDescent="0.4">
      <c r="AS1244" s="115"/>
      <c r="AT1244" s="115"/>
      <c r="AU1244" s="115"/>
      <c r="AV1244" s="115"/>
      <c r="AW1244" s="115"/>
      <c r="AX1244" s="115"/>
      <c r="AY1244" s="115"/>
      <c r="AZ1244" s="115"/>
      <c r="BA1244" s="17"/>
      <c r="BB1244" s="15"/>
      <c r="BF1244" s="115"/>
      <c r="BG1244" s="117"/>
      <c r="BH1244" s="123"/>
      <c r="BI1244" s="123"/>
      <c r="BJ1244" s="123"/>
      <c r="BK1244" s="115"/>
      <c r="BL1244" s="115"/>
      <c r="BM1244" s="115"/>
      <c r="BN1244" s="115"/>
      <c r="BO1244" s="115"/>
      <c r="BP1244" s="115"/>
      <c r="BQ1244" s="115"/>
      <c r="BR1244" s="115"/>
      <c r="BS1244" s="115"/>
      <c r="BT1244" s="115"/>
      <c r="BU1244" s="115"/>
      <c r="BV1244" s="115"/>
      <c r="BW1244" s="115"/>
      <c r="BX1244" s="115"/>
      <c r="BY1244" s="25"/>
      <c r="BZ1244" s="15"/>
      <c r="CC1244" s="114"/>
    </row>
    <row r="1245" spans="6:81" ht="19.5" x14ac:dyDescent="0.4">
      <c r="AP1245" s="115"/>
      <c r="AQ1245" s="115"/>
      <c r="AR1245" s="115"/>
      <c r="AS1245" s="115"/>
      <c r="AT1245" s="115"/>
      <c r="AU1245" s="115"/>
      <c r="AV1245" s="115"/>
      <c r="AW1245" s="115"/>
      <c r="AX1245" s="115"/>
      <c r="AY1245" s="115"/>
      <c r="AZ1245" s="115"/>
      <c r="BA1245" s="26"/>
      <c r="BB1245" s="15"/>
      <c r="BF1245" s="115"/>
      <c r="BG1245" s="117"/>
      <c r="BH1245" s="123"/>
      <c r="BI1245" s="123"/>
      <c r="BJ1245" s="123"/>
      <c r="BK1245" s="115"/>
      <c r="BL1245" s="115"/>
      <c r="BM1245" s="115"/>
      <c r="BN1245" s="115"/>
      <c r="BO1245" s="115"/>
      <c r="BP1245" s="115"/>
      <c r="BQ1245" s="115"/>
      <c r="BR1245" s="115"/>
      <c r="BS1245" s="115"/>
      <c r="BT1245" s="115"/>
      <c r="BU1245" s="115"/>
      <c r="BV1245" s="115"/>
      <c r="BW1245" s="115"/>
      <c r="BX1245" s="115"/>
      <c r="BY1245" s="25"/>
      <c r="BZ1245" s="15"/>
      <c r="CC1245" s="114"/>
    </row>
    <row r="1246" spans="6:81" ht="19.5" x14ac:dyDescent="0.4">
      <c r="AP1246" s="115"/>
      <c r="AQ1246" s="115"/>
      <c r="AR1246" s="115"/>
      <c r="AS1246" s="115"/>
      <c r="AT1246" s="115"/>
      <c r="AU1246" s="115"/>
      <c r="AV1246" s="115"/>
      <c r="AW1246" s="115"/>
      <c r="AX1246" s="115"/>
      <c r="AY1246" s="115"/>
      <c r="AZ1246" s="115"/>
      <c r="BA1246" s="17"/>
      <c r="BB1246" s="15"/>
      <c r="BF1246" s="115"/>
      <c r="BG1246" s="117"/>
      <c r="BH1246" s="123"/>
      <c r="BI1246" s="123"/>
      <c r="BJ1246" s="123"/>
      <c r="BK1246" s="115"/>
      <c r="BL1246" s="115"/>
      <c r="BM1246" s="115"/>
      <c r="BN1246" s="115"/>
      <c r="BO1246" s="115"/>
      <c r="BP1246" s="115"/>
      <c r="BQ1246" s="115"/>
      <c r="BR1246" s="115"/>
      <c r="BS1246" s="115"/>
      <c r="BT1246" s="115"/>
      <c r="BU1246" s="115"/>
      <c r="BV1246" s="115"/>
      <c r="BW1246" s="115"/>
      <c r="BX1246" s="115"/>
      <c r="BY1246" s="25"/>
      <c r="BZ1246" s="15"/>
      <c r="CC1246" s="114"/>
    </row>
    <row r="1247" spans="6:81" ht="19.5" x14ac:dyDescent="0.4">
      <c r="BA1247" s="26"/>
      <c r="BB1247" s="15"/>
      <c r="BF1247" s="115"/>
      <c r="BG1247" s="117"/>
      <c r="BH1247" s="123"/>
      <c r="BI1247" s="123"/>
      <c r="BJ1247" s="123"/>
      <c r="BK1247" s="115"/>
      <c r="BL1247" s="115"/>
      <c r="BM1247" s="115"/>
      <c r="BN1247" s="115"/>
      <c r="BO1247" s="115"/>
      <c r="BP1247" s="115"/>
      <c r="BQ1247" s="115"/>
      <c r="BR1247" s="115"/>
      <c r="BS1247" s="115"/>
      <c r="BT1247" s="115"/>
      <c r="BU1247" s="115"/>
      <c r="BV1247" s="115"/>
      <c r="BW1247" s="115"/>
      <c r="BX1247" s="115"/>
      <c r="BY1247" s="25"/>
      <c r="BZ1247" s="15"/>
      <c r="CC1247" s="114"/>
    </row>
    <row r="1248" spans="6:81" ht="19.5" x14ac:dyDescent="0.4">
      <c r="F1248" s="115"/>
      <c r="G1248" s="115"/>
      <c r="H1248" s="115"/>
      <c r="I1248" s="115"/>
      <c r="J1248" s="115"/>
      <c r="K1248" s="115"/>
      <c r="L1248" s="115"/>
      <c r="M1248" s="115"/>
      <c r="N1248" s="115"/>
      <c r="O1248" s="115"/>
      <c r="P1248" s="115"/>
      <c r="Q1248" s="115"/>
      <c r="R1248" s="115"/>
      <c r="S1248" s="115"/>
      <c r="T1248" s="115"/>
      <c r="U1248" s="115"/>
      <c r="V1248" s="115"/>
      <c r="W1248" s="115"/>
      <c r="X1248" s="115"/>
      <c r="Y1248" s="115"/>
      <c r="Z1248" s="115"/>
      <c r="AA1248" s="115"/>
      <c r="AB1248" s="115"/>
      <c r="AC1248" s="115"/>
      <c r="AD1248" s="115"/>
      <c r="AE1248" s="115"/>
      <c r="AF1248" s="115"/>
      <c r="AG1248" s="115"/>
      <c r="AH1248" s="115"/>
      <c r="AI1248" s="115"/>
      <c r="AJ1248" s="115"/>
      <c r="AK1248" s="115"/>
      <c r="AL1248" s="115"/>
      <c r="AM1248" s="115"/>
      <c r="AN1248" s="115"/>
      <c r="AO1248" s="115"/>
      <c r="AP1248" s="115"/>
      <c r="AQ1248" s="115"/>
      <c r="AR1248" s="115"/>
      <c r="AS1248" s="115"/>
      <c r="AT1248" s="115"/>
      <c r="AU1248" s="115"/>
      <c r="AV1248" s="115"/>
      <c r="AW1248" s="115"/>
      <c r="AX1248" s="115"/>
      <c r="AY1248" s="115"/>
      <c r="AZ1248" s="115"/>
      <c r="BA1248" s="26"/>
      <c r="BB1248" s="15"/>
      <c r="BF1248" s="115"/>
      <c r="BG1248" s="117"/>
      <c r="BH1248" s="123"/>
      <c r="BI1248" s="123"/>
      <c r="BJ1248" s="123"/>
      <c r="BK1248" s="115"/>
      <c r="BL1248" s="115"/>
      <c r="BM1248" s="115"/>
      <c r="BN1248" s="115"/>
      <c r="BO1248" s="115"/>
      <c r="BP1248" s="115"/>
      <c r="BQ1248" s="115"/>
      <c r="BR1248" s="115"/>
      <c r="BS1248" s="115"/>
      <c r="BT1248" s="115"/>
      <c r="BU1248" s="115"/>
      <c r="BV1248" s="115"/>
      <c r="BW1248" s="115"/>
      <c r="BX1248" s="115"/>
      <c r="BY1248" s="25"/>
      <c r="BZ1248" s="15"/>
      <c r="CC1248" s="114"/>
    </row>
    <row r="1249" spans="42:81" ht="19.5" x14ac:dyDescent="0.4">
      <c r="BA1249" s="26"/>
      <c r="BB1249" s="15"/>
      <c r="BF1249" s="115"/>
      <c r="BG1249" s="117"/>
      <c r="BH1249" s="123"/>
      <c r="BI1249" s="123"/>
      <c r="BJ1249" s="123"/>
      <c r="BK1249" s="115"/>
      <c r="BL1249" s="115"/>
      <c r="BM1249" s="115"/>
      <c r="BN1249" s="115"/>
      <c r="BO1249" s="115"/>
      <c r="BP1249" s="115"/>
      <c r="BQ1249" s="115"/>
      <c r="BR1249" s="115"/>
      <c r="BS1249" s="115"/>
      <c r="BT1249" s="115"/>
      <c r="BU1249" s="115"/>
      <c r="BV1249" s="115"/>
      <c r="BW1249" s="115"/>
      <c r="BX1249" s="115"/>
      <c r="BY1249" s="25">
        <v>45276</v>
      </c>
      <c r="BZ1249" s="15" t="s">
        <v>162</v>
      </c>
      <c r="CC1249" s="114"/>
    </row>
    <row r="1250" spans="42:81" ht="19.5" x14ac:dyDescent="0.4">
      <c r="AS1250" s="115"/>
      <c r="AT1250" s="115"/>
      <c r="AU1250" s="115"/>
      <c r="AV1250" s="115"/>
      <c r="AW1250" s="115"/>
      <c r="AX1250" s="115"/>
      <c r="AY1250" s="115"/>
      <c r="AZ1250" s="115"/>
      <c r="BA1250" s="17"/>
      <c r="BB1250" s="15"/>
      <c r="BF1250" s="115"/>
      <c r="BG1250" s="117"/>
      <c r="BH1250" s="123"/>
      <c r="BI1250" s="123"/>
      <c r="BJ1250" s="123"/>
      <c r="BK1250" s="115"/>
      <c r="BL1250" s="115"/>
      <c r="BM1250" s="115"/>
      <c r="BN1250" s="115"/>
      <c r="BO1250" s="115"/>
      <c r="BP1250" s="115"/>
      <c r="BQ1250" s="115"/>
      <c r="BR1250" s="115"/>
      <c r="BS1250" s="115"/>
      <c r="BT1250" s="115"/>
      <c r="BU1250" s="115"/>
      <c r="BV1250" s="115"/>
      <c r="BW1250" s="115"/>
      <c r="BX1250" s="115"/>
      <c r="BY1250" s="25"/>
      <c r="BZ1250" s="15"/>
      <c r="CC1250" s="114"/>
    </row>
    <row r="1251" spans="42:81" ht="19.5" x14ac:dyDescent="0.4">
      <c r="BA1251" s="26"/>
      <c r="BB1251" s="15"/>
      <c r="BF1251" s="115"/>
      <c r="BG1251" s="117"/>
      <c r="BH1251" s="123"/>
      <c r="BI1251" s="123"/>
      <c r="BJ1251" s="123"/>
      <c r="BK1251" s="115"/>
      <c r="BL1251" s="115"/>
      <c r="BM1251" s="115"/>
      <c r="BN1251" s="115"/>
      <c r="BO1251" s="115"/>
      <c r="BP1251" s="115"/>
      <c r="BQ1251" s="115"/>
      <c r="BR1251" s="115"/>
      <c r="BS1251" s="115"/>
      <c r="BT1251" s="115"/>
      <c r="BU1251" s="115"/>
      <c r="BV1251" s="115"/>
      <c r="BW1251" s="115"/>
      <c r="BX1251" s="115"/>
      <c r="BY1251" s="25">
        <v>45276</v>
      </c>
      <c r="BZ1251" s="15" t="s">
        <v>162</v>
      </c>
      <c r="CC1251" s="114"/>
    </row>
    <row r="1252" spans="42:81" ht="19.5" x14ac:dyDescent="0.4">
      <c r="AS1252" s="115"/>
      <c r="AT1252" s="115"/>
      <c r="AU1252" s="115"/>
      <c r="AV1252" s="115"/>
      <c r="AW1252" s="115"/>
      <c r="AX1252" s="115"/>
      <c r="AY1252" s="115"/>
      <c r="AZ1252" s="115"/>
      <c r="BA1252" s="17"/>
      <c r="BB1252" s="15"/>
      <c r="BF1252" s="115"/>
      <c r="BG1252" s="117"/>
      <c r="BH1252" s="123"/>
      <c r="BI1252" s="123"/>
      <c r="BJ1252" s="123"/>
      <c r="BK1252" s="115"/>
      <c r="BL1252" s="115"/>
      <c r="BM1252" s="115"/>
      <c r="BN1252" s="115"/>
      <c r="BO1252" s="115"/>
      <c r="BP1252" s="115"/>
      <c r="BQ1252" s="115"/>
      <c r="BR1252" s="115"/>
      <c r="BS1252" s="115"/>
      <c r="BT1252" s="115"/>
      <c r="BU1252" s="115"/>
      <c r="BV1252" s="115"/>
      <c r="BW1252" s="115"/>
      <c r="BX1252" s="115"/>
      <c r="BY1252" s="25"/>
      <c r="BZ1252" s="15"/>
      <c r="CC1252" s="114"/>
    </row>
    <row r="1253" spans="42:81" ht="19.5" x14ac:dyDescent="0.4">
      <c r="AR1253" s="115"/>
      <c r="AS1253" s="115"/>
      <c r="AT1253" s="115"/>
      <c r="AU1253" s="115"/>
      <c r="AV1253" s="115"/>
      <c r="AW1253" s="115"/>
      <c r="AX1253" s="115"/>
      <c r="AY1253" s="115"/>
      <c r="AZ1253" s="115"/>
      <c r="BA1253" s="26"/>
      <c r="BB1253" s="15"/>
      <c r="BF1253" s="115"/>
      <c r="BG1253" s="117"/>
      <c r="BH1253" s="123"/>
      <c r="BI1253" s="123"/>
      <c r="BJ1253" s="123"/>
      <c r="BK1253" s="115"/>
      <c r="BL1253" s="115"/>
      <c r="BM1253" s="115"/>
      <c r="BN1253" s="115"/>
      <c r="BO1253" s="115"/>
      <c r="BP1253" s="115"/>
      <c r="BQ1253" s="115"/>
      <c r="BR1253" s="115"/>
      <c r="BS1253" s="115"/>
      <c r="BT1253" s="115"/>
      <c r="BU1253" s="115"/>
      <c r="BV1253" s="115"/>
      <c r="BW1253" s="115"/>
      <c r="BX1253" s="115"/>
      <c r="BY1253" s="25"/>
      <c r="BZ1253" s="15"/>
      <c r="CC1253" s="114"/>
    </row>
    <row r="1254" spans="42:81" ht="19.5" x14ac:dyDescent="0.4">
      <c r="AR1254" s="115"/>
      <c r="AS1254" s="115"/>
      <c r="AT1254" s="115"/>
      <c r="AU1254" s="115"/>
      <c r="AV1254" s="115"/>
      <c r="AW1254" s="115"/>
      <c r="AX1254" s="115"/>
      <c r="AY1254" s="115"/>
      <c r="AZ1254" s="115"/>
      <c r="BA1254" s="17"/>
      <c r="BB1254" s="15"/>
      <c r="BF1254" s="115"/>
      <c r="BG1254" s="117"/>
      <c r="BH1254" s="123"/>
      <c r="BI1254" s="123"/>
      <c r="BJ1254" s="123"/>
      <c r="BK1254" s="115"/>
      <c r="BL1254" s="115"/>
      <c r="BM1254" s="115"/>
      <c r="BN1254" s="115"/>
      <c r="BO1254" s="115"/>
      <c r="BP1254" s="115"/>
      <c r="BQ1254" s="115"/>
      <c r="BR1254" s="115"/>
      <c r="BS1254" s="115"/>
      <c r="BT1254" s="115"/>
      <c r="BU1254" s="115"/>
      <c r="BV1254" s="115"/>
      <c r="BW1254" s="115"/>
      <c r="BX1254" s="115"/>
      <c r="BY1254" s="25"/>
      <c r="BZ1254" s="15"/>
      <c r="CC1254" s="114"/>
    </row>
    <row r="1255" spans="42:81" ht="19.5" x14ac:dyDescent="0.4">
      <c r="BA1255" s="26"/>
      <c r="BB1255" s="15"/>
      <c r="BF1255" s="115"/>
      <c r="BG1255" s="117"/>
      <c r="BH1255" s="123"/>
      <c r="BI1255" s="123"/>
      <c r="BJ1255" s="123"/>
      <c r="BK1255" s="115"/>
      <c r="BL1255" s="115"/>
      <c r="BM1255" s="115"/>
      <c r="BN1255" s="115"/>
      <c r="BO1255" s="115"/>
      <c r="BP1255" s="115"/>
      <c r="BQ1255" s="115"/>
      <c r="BR1255" s="115"/>
      <c r="BS1255" s="115"/>
      <c r="BT1255" s="115"/>
      <c r="BU1255" s="115"/>
      <c r="BV1255" s="115"/>
      <c r="BW1255" s="115"/>
      <c r="BX1255" s="115"/>
      <c r="BY1255" s="25">
        <v>45276</v>
      </c>
      <c r="BZ1255" s="15" t="s">
        <v>162</v>
      </c>
      <c r="CC1255" s="114"/>
    </row>
    <row r="1256" spans="42:81" ht="19.5" x14ac:dyDescent="0.4">
      <c r="BA1256" s="26"/>
      <c r="BB1256" s="15"/>
      <c r="BF1256" s="115"/>
      <c r="BG1256" s="117"/>
      <c r="BH1256" s="123"/>
      <c r="BI1256" s="123"/>
      <c r="BJ1256" s="123"/>
      <c r="BK1256" s="115"/>
      <c r="BL1256" s="115"/>
      <c r="BM1256" s="115"/>
      <c r="BN1256" s="115"/>
      <c r="BO1256" s="115"/>
      <c r="BP1256" s="115"/>
      <c r="BQ1256" s="115"/>
      <c r="BR1256" s="115"/>
      <c r="BS1256" s="115"/>
      <c r="BT1256" s="115"/>
      <c r="BU1256" s="115"/>
      <c r="BV1256" s="115"/>
      <c r="BW1256" s="115"/>
      <c r="BX1256" s="115"/>
      <c r="BY1256" s="25">
        <v>45276</v>
      </c>
      <c r="BZ1256" s="15" t="s">
        <v>162</v>
      </c>
      <c r="CC1256" s="114"/>
    </row>
    <row r="1257" spans="42:81" ht="19.5" x14ac:dyDescent="0.4">
      <c r="BA1257" s="26"/>
      <c r="BB1257" s="15"/>
      <c r="BF1257" s="115"/>
      <c r="BG1257" s="117"/>
      <c r="BH1257" s="123"/>
      <c r="BI1257" s="123"/>
      <c r="BJ1257" s="123"/>
      <c r="BK1257" s="115"/>
      <c r="BL1257" s="115"/>
      <c r="BM1257" s="115"/>
      <c r="BN1257" s="115"/>
      <c r="BO1257" s="115"/>
      <c r="BP1257" s="115"/>
      <c r="BQ1257" s="115"/>
      <c r="BR1257" s="115"/>
      <c r="BS1257" s="115"/>
      <c r="BT1257" s="115"/>
      <c r="BU1257" s="115"/>
      <c r="BV1257" s="115"/>
      <c r="BW1257" s="115"/>
      <c r="BX1257" s="115"/>
      <c r="BY1257" s="25">
        <v>45276</v>
      </c>
      <c r="BZ1257" s="15" t="s">
        <v>162</v>
      </c>
      <c r="CC1257" s="114"/>
    </row>
    <row r="1258" spans="42:81" ht="19.5" x14ac:dyDescent="0.4">
      <c r="BA1258" s="26"/>
      <c r="BB1258" s="15"/>
      <c r="BF1258" s="115"/>
      <c r="BG1258" s="117"/>
      <c r="BH1258" s="123"/>
      <c r="BI1258" s="123"/>
      <c r="BJ1258" s="123"/>
      <c r="BK1258" s="115"/>
      <c r="BL1258" s="115"/>
      <c r="BM1258" s="115"/>
      <c r="BN1258" s="115"/>
      <c r="BO1258" s="115"/>
      <c r="BP1258" s="115"/>
      <c r="BQ1258" s="115"/>
      <c r="BR1258" s="115"/>
      <c r="BS1258" s="115"/>
      <c r="BT1258" s="115"/>
      <c r="BU1258" s="115"/>
      <c r="BV1258" s="115"/>
      <c r="BW1258" s="115"/>
      <c r="BX1258" s="115"/>
      <c r="BY1258" s="25"/>
      <c r="BZ1258" s="15"/>
      <c r="CC1258" s="114"/>
    </row>
    <row r="1259" spans="42:81" ht="19.5" x14ac:dyDescent="0.4">
      <c r="AS1259" s="115"/>
      <c r="AT1259" s="115"/>
      <c r="AU1259" s="115"/>
      <c r="AV1259" s="115"/>
      <c r="AW1259" s="115"/>
      <c r="AX1259" s="115"/>
      <c r="AY1259" s="115"/>
      <c r="AZ1259" s="115"/>
      <c r="BA1259" s="17"/>
      <c r="BB1259" s="15"/>
      <c r="BF1259" s="115"/>
      <c r="BG1259" s="117"/>
      <c r="BH1259" s="123"/>
      <c r="BI1259" s="123"/>
      <c r="BJ1259" s="123"/>
      <c r="BK1259" s="115"/>
      <c r="BL1259" s="115"/>
      <c r="BM1259" s="115"/>
      <c r="BN1259" s="115"/>
      <c r="BO1259" s="115"/>
      <c r="BP1259" s="115"/>
      <c r="BQ1259" s="115"/>
      <c r="BR1259" s="115"/>
      <c r="BS1259" s="115"/>
      <c r="BT1259" s="115"/>
      <c r="BU1259" s="115"/>
      <c r="BV1259" s="115"/>
      <c r="BW1259" s="115"/>
      <c r="BX1259" s="115"/>
      <c r="BY1259" s="25"/>
      <c r="BZ1259" s="15"/>
      <c r="CC1259" s="114"/>
    </row>
    <row r="1260" spans="42:81" ht="19.5" x14ac:dyDescent="0.4">
      <c r="BA1260" s="26"/>
      <c r="BB1260" s="15"/>
      <c r="BF1260" s="115"/>
      <c r="BG1260" s="117"/>
      <c r="BH1260" s="123"/>
      <c r="BI1260" s="123"/>
      <c r="BJ1260" s="123"/>
      <c r="BK1260" s="115"/>
      <c r="BL1260" s="115"/>
      <c r="BM1260" s="115"/>
      <c r="BN1260" s="115"/>
      <c r="BO1260" s="115"/>
      <c r="BP1260" s="115"/>
      <c r="BQ1260" s="115"/>
      <c r="BR1260" s="115"/>
      <c r="BS1260" s="115"/>
      <c r="BT1260" s="115"/>
      <c r="BU1260" s="115"/>
      <c r="BV1260" s="115"/>
      <c r="BW1260" s="115"/>
      <c r="BX1260" s="115"/>
      <c r="BY1260" s="25">
        <v>45276</v>
      </c>
      <c r="BZ1260" s="15" t="s">
        <v>162</v>
      </c>
      <c r="CC1260" s="114"/>
    </row>
    <row r="1261" spans="42:81" ht="19.5" x14ac:dyDescent="0.4">
      <c r="BA1261" s="26"/>
      <c r="BB1261" s="15"/>
      <c r="BF1261" s="115"/>
      <c r="BG1261" s="117"/>
      <c r="BH1261" s="123"/>
      <c r="BI1261" s="123"/>
      <c r="BJ1261" s="123"/>
      <c r="BK1261" s="115"/>
      <c r="BL1261" s="115"/>
      <c r="BM1261" s="115"/>
      <c r="BN1261" s="115"/>
      <c r="BO1261" s="115"/>
      <c r="BP1261" s="115"/>
      <c r="BQ1261" s="115"/>
      <c r="BR1261" s="115"/>
      <c r="BS1261" s="115"/>
      <c r="BT1261" s="115"/>
      <c r="BU1261" s="115"/>
      <c r="BV1261" s="115"/>
      <c r="BW1261" s="115"/>
      <c r="BX1261" s="115"/>
      <c r="BY1261" s="25">
        <v>45276</v>
      </c>
      <c r="BZ1261" s="15" t="s">
        <v>162</v>
      </c>
      <c r="CC1261" s="114"/>
    </row>
    <row r="1262" spans="42:81" ht="19.5" x14ac:dyDescent="0.4">
      <c r="AS1262" s="115"/>
      <c r="AT1262" s="115"/>
      <c r="AU1262" s="115"/>
      <c r="AV1262" s="115"/>
      <c r="AW1262" s="115"/>
      <c r="AX1262" s="115"/>
      <c r="AY1262" s="115"/>
      <c r="AZ1262" s="115"/>
      <c r="BA1262" s="17"/>
      <c r="BB1262" s="15"/>
      <c r="BF1262" s="115"/>
      <c r="BG1262" s="117"/>
      <c r="BH1262" s="123"/>
      <c r="BI1262" s="123"/>
      <c r="BJ1262" s="123"/>
      <c r="BK1262" s="115"/>
      <c r="BL1262" s="115"/>
      <c r="BM1262" s="115"/>
      <c r="BN1262" s="115"/>
      <c r="BO1262" s="115"/>
      <c r="BP1262" s="115"/>
      <c r="BQ1262" s="115"/>
      <c r="BR1262" s="115"/>
      <c r="BS1262" s="115"/>
      <c r="BT1262" s="115"/>
      <c r="BU1262" s="115"/>
      <c r="BV1262" s="115"/>
      <c r="BW1262" s="115"/>
      <c r="BX1262" s="115"/>
      <c r="BY1262" s="25"/>
      <c r="BZ1262" s="15"/>
      <c r="CC1262" s="114"/>
    </row>
    <row r="1263" spans="42:81" ht="19.5" x14ac:dyDescent="0.4">
      <c r="AP1263" s="115"/>
      <c r="AQ1263" s="115"/>
      <c r="AR1263" s="115"/>
      <c r="AS1263" s="115"/>
      <c r="AT1263" s="115"/>
      <c r="AU1263" s="115"/>
      <c r="AV1263" s="115"/>
      <c r="AW1263" s="115"/>
      <c r="AX1263" s="115"/>
      <c r="AY1263" s="115"/>
      <c r="AZ1263" s="115"/>
      <c r="BA1263" s="26"/>
      <c r="BB1263" s="15"/>
      <c r="BF1263" s="115"/>
      <c r="BG1263" s="117"/>
      <c r="BH1263" s="123"/>
      <c r="BI1263" s="123"/>
      <c r="BJ1263" s="123"/>
      <c r="BK1263" s="115"/>
      <c r="BL1263" s="115"/>
      <c r="BM1263" s="115"/>
      <c r="BN1263" s="115"/>
      <c r="BO1263" s="115"/>
      <c r="BP1263" s="115"/>
      <c r="BQ1263" s="115"/>
      <c r="BR1263" s="115"/>
      <c r="BS1263" s="115"/>
      <c r="BT1263" s="115"/>
      <c r="BU1263" s="115"/>
      <c r="BV1263" s="115"/>
      <c r="BW1263" s="115"/>
      <c r="BX1263" s="115"/>
      <c r="BY1263" s="25"/>
      <c r="BZ1263" s="15"/>
      <c r="CC1263" s="114"/>
    </row>
    <row r="1264" spans="42:81" ht="19.5" x14ac:dyDescent="0.4">
      <c r="AP1264" s="115"/>
      <c r="AQ1264" s="115"/>
      <c r="AR1264" s="115"/>
      <c r="AS1264" s="115"/>
      <c r="AT1264" s="115"/>
      <c r="AU1264" s="115"/>
      <c r="AV1264" s="115"/>
      <c r="AW1264" s="115"/>
      <c r="AX1264" s="115"/>
      <c r="AY1264" s="115"/>
      <c r="AZ1264" s="115"/>
      <c r="BA1264" s="17"/>
      <c r="BB1264" s="15"/>
      <c r="BF1264" s="115"/>
      <c r="BG1264" s="117"/>
      <c r="BH1264" s="123"/>
      <c r="BI1264" s="123"/>
      <c r="BJ1264" s="123"/>
      <c r="BK1264" s="115"/>
      <c r="BL1264" s="115"/>
      <c r="BM1264" s="115"/>
      <c r="BN1264" s="115"/>
      <c r="BO1264" s="115"/>
      <c r="BP1264" s="115"/>
      <c r="BQ1264" s="115"/>
      <c r="BR1264" s="115"/>
      <c r="BS1264" s="115"/>
      <c r="BT1264" s="115"/>
      <c r="BU1264" s="115"/>
      <c r="BV1264" s="115"/>
      <c r="BW1264" s="115"/>
      <c r="BX1264" s="115"/>
      <c r="BY1264" s="25"/>
      <c r="BZ1264" s="15"/>
      <c r="CC1264" s="114"/>
    </row>
    <row r="1265" spans="6:81" ht="19.5" x14ac:dyDescent="0.4">
      <c r="AP1265" s="115"/>
      <c r="AQ1265" s="115"/>
      <c r="AR1265" s="115"/>
      <c r="AS1265" s="115"/>
      <c r="AT1265" s="115"/>
      <c r="AU1265" s="115"/>
      <c r="AV1265" s="115"/>
      <c r="AW1265" s="115"/>
      <c r="AX1265" s="115"/>
      <c r="AY1265" s="115"/>
      <c r="AZ1265" s="115"/>
      <c r="BA1265" s="26"/>
      <c r="BB1265" s="15"/>
      <c r="BF1265" s="115"/>
      <c r="BG1265" s="117"/>
      <c r="BH1265" s="123"/>
      <c r="BI1265" s="123"/>
      <c r="BJ1265" s="123"/>
      <c r="BK1265" s="115"/>
      <c r="BL1265" s="115"/>
      <c r="BM1265" s="115"/>
      <c r="BN1265" s="115"/>
      <c r="BO1265" s="115"/>
      <c r="BP1265" s="115"/>
      <c r="BQ1265" s="115"/>
      <c r="BR1265" s="115"/>
      <c r="BS1265" s="115"/>
      <c r="BT1265" s="115"/>
      <c r="BU1265" s="115"/>
      <c r="BV1265" s="115"/>
      <c r="BW1265" s="115"/>
      <c r="BX1265" s="115"/>
      <c r="BY1265" s="25"/>
      <c r="BZ1265" s="15"/>
      <c r="CC1265" s="114"/>
    </row>
    <row r="1266" spans="6:81" ht="19.5" x14ac:dyDescent="0.4">
      <c r="BA1266" s="26"/>
      <c r="BB1266" s="15"/>
      <c r="BF1266" s="115"/>
      <c r="BG1266" s="117"/>
      <c r="BH1266" s="123"/>
      <c r="BI1266" s="123"/>
      <c r="BJ1266" s="123"/>
      <c r="BK1266" s="115"/>
      <c r="BL1266" s="115"/>
      <c r="BM1266" s="115"/>
      <c r="BN1266" s="115"/>
      <c r="BO1266" s="115"/>
      <c r="BP1266" s="115"/>
      <c r="BQ1266" s="115"/>
      <c r="BR1266" s="115"/>
      <c r="BS1266" s="115"/>
      <c r="BT1266" s="115"/>
      <c r="BU1266" s="115"/>
      <c r="BV1266" s="115"/>
      <c r="BW1266" s="115"/>
      <c r="BX1266" s="115" t="s">
        <v>169</v>
      </c>
      <c r="BY1266" s="13">
        <f>SUBTOTAL(3,BY1229:BY1261)</f>
        <v>17</v>
      </c>
      <c r="BZ1266" s="15">
        <f>SUBTOTAL(3,BZ1229:BZ1261)</f>
        <v>17</v>
      </c>
      <c r="CC1266" s="114"/>
    </row>
    <row r="1267" spans="6:81" ht="19.5" x14ac:dyDescent="0.4">
      <c r="AP1267" s="115"/>
      <c r="AQ1267" s="115"/>
      <c r="AR1267" s="115"/>
      <c r="AS1267" s="115"/>
      <c r="AT1267" s="115"/>
      <c r="AU1267" s="115"/>
      <c r="AV1267" s="115"/>
      <c r="AW1267" s="115"/>
      <c r="AX1267" s="115"/>
      <c r="AY1267" s="115"/>
      <c r="AZ1267" s="115"/>
      <c r="BA1267" s="26"/>
      <c r="BB1267" s="15"/>
      <c r="BF1267" s="115"/>
      <c r="BG1267" s="117"/>
      <c r="BH1267" s="123"/>
      <c r="BI1267" s="123"/>
      <c r="BJ1267" s="123"/>
      <c r="BK1267" s="115"/>
      <c r="BL1267" s="115"/>
      <c r="BM1267" s="115"/>
      <c r="BN1267" s="115"/>
      <c r="BO1267" s="115"/>
      <c r="BP1267" s="115"/>
      <c r="BQ1267" s="115"/>
      <c r="BR1267" s="115"/>
      <c r="BS1267" s="115"/>
      <c r="BT1267" s="115"/>
      <c r="BU1267" s="115"/>
      <c r="BV1267" s="115"/>
      <c r="BW1267" s="115"/>
      <c r="BX1267" s="115"/>
      <c r="BY1267" s="13"/>
      <c r="BZ1267" s="15"/>
      <c r="CC1267" s="114"/>
    </row>
    <row r="1268" spans="6:81" ht="19.5" x14ac:dyDescent="0.4">
      <c r="BA1268" s="26"/>
      <c r="BB1268" s="15"/>
      <c r="BF1268" s="115"/>
      <c r="BG1268" s="117"/>
      <c r="BH1268" s="123"/>
      <c r="BI1268" s="123"/>
      <c r="BJ1268" s="123"/>
      <c r="BK1268" s="115"/>
      <c r="BL1268" s="115"/>
      <c r="BM1268" s="115"/>
      <c r="BN1268" s="115"/>
      <c r="BO1268" s="115"/>
      <c r="BP1268" s="115"/>
      <c r="BQ1268" s="115"/>
      <c r="BR1268" s="115"/>
      <c r="BS1268" s="115"/>
      <c r="BT1268" s="115"/>
      <c r="BU1268" s="115"/>
      <c r="BV1268" s="115"/>
      <c r="BW1268" s="115"/>
      <c r="BX1268" s="115"/>
      <c r="BY1268" s="25">
        <v>45277</v>
      </c>
      <c r="BZ1268" s="15" t="s">
        <v>162</v>
      </c>
      <c r="CC1268" s="114"/>
    </row>
    <row r="1269" spans="6:81" ht="19.5" x14ac:dyDescent="0.4">
      <c r="AS1269" s="115"/>
      <c r="AT1269" s="115"/>
      <c r="AU1269" s="115"/>
      <c r="AV1269" s="115"/>
      <c r="AW1269" s="115"/>
      <c r="AX1269" s="115"/>
      <c r="AY1269" s="115"/>
      <c r="AZ1269" s="115"/>
      <c r="BA1269" s="17"/>
      <c r="BB1269" s="15"/>
      <c r="BF1269" s="115"/>
      <c r="BG1269" s="117"/>
      <c r="BH1269" s="123"/>
      <c r="BI1269" s="123"/>
      <c r="BJ1269" s="123"/>
      <c r="BK1269" s="115"/>
      <c r="BL1269" s="115"/>
      <c r="BM1269" s="115"/>
      <c r="BN1269" s="115"/>
      <c r="BO1269" s="115"/>
      <c r="BP1269" s="115"/>
      <c r="BQ1269" s="115"/>
      <c r="BR1269" s="115"/>
      <c r="BS1269" s="115"/>
      <c r="BT1269" s="115"/>
      <c r="BU1269" s="115"/>
      <c r="BV1269" s="115"/>
      <c r="BW1269" s="115"/>
      <c r="BX1269" s="115"/>
      <c r="BY1269" s="25"/>
      <c r="BZ1269" s="15"/>
      <c r="CC1269" s="114"/>
    </row>
    <row r="1270" spans="6:81" ht="19.5" x14ac:dyDescent="0.4">
      <c r="AP1270" s="115"/>
      <c r="AQ1270" s="115"/>
      <c r="AR1270" s="115"/>
      <c r="AS1270" s="115"/>
      <c r="AT1270" s="115"/>
      <c r="AU1270" s="115"/>
      <c r="AV1270" s="115"/>
      <c r="AW1270" s="115"/>
      <c r="AX1270" s="115"/>
      <c r="AY1270" s="115"/>
      <c r="AZ1270" s="115"/>
      <c r="BA1270" s="26"/>
      <c r="BB1270" s="15"/>
      <c r="BF1270" s="115"/>
      <c r="BG1270" s="117"/>
      <c r="BH1270" s="123"/>
      <c r="BI1270" s="123"/>
      <c r="BJ1270" s="123"/>
      <c r="BK1270" s="115"/>
      <c r="BL1270" s="115"/>
      <c r="BM1270" s="115"/>
      <c r="BN1270" s="115"/>
      <c r="BO1270" s="115"/>
      <c r="BP1270" s="115"/>
      <c r="BQ1270" s="115"/>
      <c r="BR1270" s="115"/>
      <c r="BS1270" s="115"/>
      <c r="BT1270" s="115"/>
      <c r="BU1270" s="115"/>
      <c r="BV1270" s="115"/>
      <c r="BW1270" s="115"/>
      <c r="BX1270" s="115"/>
      <c r="BY1270" s="25"/>
      <c r="BZ1270" s="15"/>
      <c r="CC1270" s="114"/>
    </row>
    <row r="1271" spans="6:81" ht="19.5" x14ac:dyDescent="0.4">
      <c r="AP1271" s="115"/>
      <c r="AQ1271" s="115"/>
      <c r="AR1271" s="115"/>
      <c r="AS1271" s="115"/>
      <c r="AT1271" s="115"/>
      <c r="AU1271" s="115"/>
      <c r="AV1271" s="115"/>
      <c r="AW1271" s="115"/>
      <c r="AX1271" s="115"/>
      <c r="AY1271" s="115"/>
      <c r="AZ1271" s="115"/>
      <c r="BA1271" s="17"/>
      <c r="BB1271" s="15"/>
      <c r="BF1271" s="115"/>
      <c r="BG1271" s="117"/>
      <c r="BH1271" s="123"/>
      <c r="BI1271" s="123"/>
      <c r="BJ1271" s="123"/>
      <c r="BK1271" s="115"/>
      <c r="BL1271" s="115"/>
      <c r="BM1271" s="115"/>
      <c r="BN1271" s="115"/>
      <c r="BO1271" s="115"/>
      <c r="BP1271" s="115"/>
      <c r="BQ1271" s="115"/>
      <c r="BR1271" s="115"/>
      <c r="BS1271" s="115"/>
      <c r="BT1271" s="115"/>
      <c r="BU1271" s="115"/>
      <c r="BV1271" s="115"/>
      <c r="BW1271" s="115"/>
      <c r="BX1271" s="115"/>
      <c r="BY1271" s="25"/>
      <c r="BZ1271" s="15"/>
      <c r="CC1271" s="114"/>
    </row>
    <row r="1272" spans="6:81" ht="19.5" x14ac:dyDescent="0.4">
      <c r="AP1272" s="115"/>
      <c r="AQ1272" s="115"/>
      <c r="AR1272" s="115"/>
      <c r="AS1272" s="115"/>
      <c r="AT1272" s="115"/>
      <c r="AU1272" s="115"/>
      <c r="AV1272" s="115"/>
      <c r="AW1272" s="115"/>
      <c r="AX1272" s="115"/>
      <c r="AY1272" s="115"/>
      <c r="AZ1272" s="115"/>
      <c r="BA1272" s="17"/>
      <c r="BB1272" s="15"/>
      <c r="BF1272" s="115"/>
      <c r="BG1272" s="117"/>
      <c r="BH1272" s="123"/>
      <c r="BI1272" s="123"/>
      <c r="BJ1272" s="123"/>
      <c r="BK1272" s="115"/>
      <c r="BL1272" s="115"/>
      <c r="BM1272" s="115"/>
      <c r="BN1272" s="115"/>
      <c r="BO1272" s="115"/>
      <c r="BP1272" s="115"/>
      <c r="BQ1272" s="115"/>
      <c r="BR1272" s="115"/>
      <c r="BS1272" s="115"/>
      <c r="BT1272" s="115"/>
      <c r="BU1272" s="115"/>
      <c r="BV1272" s="115"/>
      <c r="BW1272" s="115"/>
      <c r="BX1272" s="115"/>
      <c r="BY1272" s="25"/>
      <c r="BZ1272" s="15"/>
      <c r="CC1272" s="114"/>
    </row>
    <row r="1273" spans="6:81" ht="19.5" x14ac:dyDescent="0.4">
      <c r="BA1273" s="26"/>
      <c r="BB1273" s="15"/>
      <c r="BF1273" s="115"/>
      <c r="BG1273" s="117"/>
      <c r="BH1273" s="123"/>
      <c r="BI1273" s="123"/>
      <c r="BJ1273" s="123"/>
      <c r="BK1273" s="115"/>
      <c r="BL1273" s="115"/>
      <c r="BM1273" s="115"/>
      <c r="BN1273" s="115"/>
      <c r="BO1273" s="115"/>
      <c r="BP1273" s="115"/>
      <c r="BQ1273" s="115"/>
      <c r="BR1273" s="115"/>
      <c r="BS1273" s="115"/>
      <c r="BT1273" s="115"/>
      <c r="BU1273" s="115"/>
      <c r="BV1273" s="115"/>
      <c r="BW1273" s="115"/>
      <c r="BX1273" s="115"/>
      <c r="BY1273" s="25">
        <v>45277</v>
      </c>
      <c r="BZ1273" s="15" t="s">
        <v>162</v>
      </c>
      <c r="CC1273" s="114"/>
    </row>
    <row r="1274" spans="6:81" ht="19.5" x14ac:dyDescent="0.4">
      <c r="AR1274" s="115"/>
      <c r="AS1274" s="115"/>
      <c r="AT1274" s="115"/>
      <c r="AU1274" s="115"/>
      <c r="AV1274" s="115"/>
      <c r="AW1274" s="115"/>
      <c r="AX1274" s="115"/>
      <c r="AY1274" s="115"/>
      <c r="AZ1274" s="115"/>
      <c r="BA1274" s="17"/>
      <c r="BB1274" s="15"/>
      <c r="BF1274" s="115"/>
      <c r="BG1274" s="117"/>
      <c r="BH1274" s="123"/>
      <c r="BI1274" s="123"/>
      <c r="BJ1274" s="123"/>
      <c r="BK1274" s="115"/>
      <c r="BL1274" s="115"/>
      <c r="BM1274" s="115"/>
      <c r="BN1274" s="115"/>
      <c r="BO1274" s="115"/>
      <c r="BP1274" s="115"/>
      <c r="BQ1274" s="115"/>
      <c r="BR1274" s="115"/>
      <c r="BS1274" s="115"/>
      <c r="BT1274" s="115"/>
      <c r="BU1274" s="115"/>
      <c r="BV1274" s="115"/>
      <c r="BW1274" s="115"/>
      <c r="BX1274" s="115"/>
      <c r="BY1274" s="131"/>
      <c r="BZ1274" s="13"/>
      <c r="CC1274" s="114"/>
    </row>
    <row r="1275" spans="6:81" ht="19.5" x14ac:dyDescent="0.4">
      <c r="BA1275" s="26"/>
      <c r="BB1275" s="15"/>
      <c r="BF1275" s="115"/>
      <c r="BG1275" s="117"/>
      <c r="BH1275" s="123"/>
      <c r="BI1275" s="123"/>
      <c r="BJ1275" s="123"/>
      <c r="BK1275" s="115"/>
      <c r="BL1275" s="115"/>
      <c r="BM1275" s="115"/>
      <c r="BN1275" s="115"/>
      <c r="BO1275" s="115"/>
      <c r="BP1275" s="115"/>
      <c r="BQ1275" s="115"/>
      <c r="BR1275" s="115"/>
      <c r="BS1275" s="115"/>
      <c r="BT1275" s="115"/>
      <c r="BU1275" s="115"/>
      <c r="BV1275" s="115"/>
      <c r="BW1275" s="115"/>
      <c r="BX1275" s="115"/>
      <c r="BY1275" s="26">
        <v>45277</v>
      </c>
      <c r="BZ1275" s="13" t="s">
        <v>162</v>
      </c>
      <c r="CC1275" s="114"/>
    </row>
    <row r="1276" spans="6:81" ht="19.5" x14ac:dyDescent="0.4">
      <c r="BA1276" s="26"/>
      <c r="BB1276" s="15"/>
      <c r="BF1276" s="115"/>
      <c r="BG1276" s="117"/>
      <c r="BH1276" s="123"/>
      <c r="BI1276" s="123"/>
      <c r="BJ1276" s="123"/>
      <c r="BK1276" s="115"/>
      <c r="BL1276" s="115"/>
      <c r="BM1276" s="115"/>
      <c r="BN1276" s="115"/>
      <c r="BO1276" s="115"/>
      <c r="BP1276" s="115"/>
      <c r="BQ1276" s="115"/>
      <c r="BR1276" s="115"/>
      <c r="BS1276" s="115"/>
      <c r="BT1276" s="115"/>
      <c r="BU1276" s="115"/>
      <c r="BV1276" s="115"/>
      <c r="BW1276" s="115"/>
      <c r="BX1276" s="115"/>
      <c r="BY1276" s="26">
        <v>45277</v>
      </c>
      <c r="BZ1276" s="15" t="s">
        <v>162</v>
      </c>
      <c r="CC1276" s="114"/>
    </row>
    <row r="1277" spans="6:81" ht="19.5" x14ac:dyDescent="0.4">
      <c r="F1277" s="115"/>
      <c r="G1277" s="115"/>
      <c r="H1277" s="115"/>
      <c r="I1277" s="115"/>
      <c r="J1277" s="115"/>
      <c r="K1277" s="115"/>
      <c r="L1277" s="115"/>
      <c r="M1277" s="115"/>
      <c r="N1277" s="115"/>
      <c r="O1277" s="115"/>
      <c r="P1277" s="115"/>
      <c r="Q1277" s="115"/>
      <c r="R1277" s="115"/>
      <c r="S1277" s="115"/>
      <c r="T1277" s="115"/>
      <c r="U1277" s="115"/>
      <c r="V1277" s="115"/>
      <c r="W1277" s="115"/>
      <c r="X1277" s="115"/>
      <c r="Y1277" s="115"/>
      <c r="Z1277" s="115"/>
      <c r="AA1277" s="115"/>
      <c r="AB1277" s="115"/>
      <c r="AC1277" s="115"/>
      <c r="AD1277" s="115"/>
      <c r="AE1277" s="115"/>
      <c r="AF1277" s="115"/>
      <c r="AG1277" s="115"/>
      <c r="AH1277" s="115"/>
      <c r="AI1277" s="115"/>
      <c r="AJ1277" s="115"/>
      <c r="AK1277" s="115"/>
      <c r="AL1277" s="115"/>
      <c r="AM1277" s="115"/>
      <c r="AN1277" s="115"/>
      <c r="AO1277" s="115"/>
      <c r="AP1277" s="115"/>
      <c r="AQ1277" s="115"/>
      <c r="AR1277" s="115"/>
      <c r="AS1277" s="115"/>
      <c r="AT1277" s="115"/>
      <c r="AU1277" s="115"/>
      <c r="AV1277" s="115"/>
      <c r="AW1277" s="115"/>
      <c r="AX1277" s="115"/>
      <c r="AY1277" s="115"/>
      <c r="AZ1277" s="115"/>
      <c r="BA1277" s="26"/>
      <c r="BB1277" s="15"/>
      <c r="BF1277" s="115"/>
      <c r="BG1277" s="117"/>
      <c r="BH1277" s="123"/>
      <c r="BI1277" s="123"/>
      <c r="BJ1277" s="123"/>
      <c r="BK1277" s="115"/>
      <c r="BL1277" s="115"/>
      <c r="BM1277" s="115"/>
      <c r="BN1277" s="115"/>
      <c r="BO1277" s="115"/>
      <c r="BP1277" s="115"/>
      <c r="BQ1277" s="115"/>
      <c r="BR1277" s="115"/>
      <c r="BS1277" s="115"/>
      <c r="BT1277" s="115"/>
      <c r="BU1277" s="115"/>
      <c r="BV1277" s="115"/>
      <c r="BW1277" s="115"/>
      <c r="BX1277" s="115"/>
      <c r="BY1277" s="26"/>
      <c r="BZ1277" s="15"/>
      <c r="CC1277" s="114"/>
    </row>
    <row r="1278" spans="6:81" ht="19.5" x14ac:dyDescent="0.4">
      <c r="BA1278" s="26"/>
      <c r="BB1278" s="15"/>
      <c r="BF1278" s="115"/>
      <c r="BG1278" s="117"/>
      <c r="BH1278" s="123"/>
      <c r="BI1278" s="123"/>
      <c r="BJ1278" s="123"/>
      <c r="BK1278" s="115"/>
      <c r="BL1278" s="115"/>
      <c r="BM1278" s="115"/>
      <c r="BN1278" s="115"/>
      <c r="BO1278" s="115"/>
      <c r="BP1278" s="115"/>
      <c r="BQ1278" s="115"/>
      <c r="BR1278" s="115"/>
      <c r="BS1278" s="115"/>
      <c r="BT1278" s="115"/>
      <c r="BU1278" s="115"/>
      <c r="BV1278" s="115"/>
      <c r="BW1278" s="115"/>
      <c r="BX1278" s="115"/>
      <c r="BY1278" s="26">
        <v>45277</v>
      </c>
      <c r="BZ1278" s="15" t="s">
        <v>162</v>
      </c>
      <c r="CC1278" s="114"/>
    </row>
    <row r="1279" spans="6:81" ht="19.5" x14ac:dyDescent="0.4">
      <c r="BA1279" s="26"/>
      <c r="BB1279" s="15"/>
      <c r="BF1279" s="115"/>
      <c r="BG1279" s="117"/>
      <c r="BH1279" s="123"/>
      <c r="BI1279" s="123"/>
      <c r="BJ1279" s="123"/>
      <c r="BK1279" s="115"/>
      <c r="BL1279" s="115"/>
      <c r="BM1279" s="115"/>
      <c r="BN1279" s="115"/>
      <c r="BO1279" s="115"/>
      <c r="BP1279" s="115"/>
      <c r="BQ1279" s="115"/>
      <c r="BR1279" s="115"/>
      <c r="BS1279" s="115"/>
      <c r="BT1279" s="115"/>
      <c r="BU1279" s="115"/>
      <c r="BV1279" s="115"/>
      <c r="BW1279" s="115"/>
      <c r="BX1279" s="115" t="s">
        <v>160</v>
      </c>
      <c r="BY1279" s="17">
        <f>SUBTOTAL(3,BY1268:BY1278)</f>
        <v>5</v>
      </c>
      <c r="BZ1279" s="15">
        <f>SUBTOTAL(3,BZ1268:BZ1278)</f>
        <v>5</v>
      </c>
      <c r="CC1279" s="114"/>
    </row>
    <row r="1280" spans="6:81" ht="19.5" x14ac:dyDescent="0.4">
      <c r="F1280" s="115"/>
      <c r="G1280" s="115"/>
      <c r="H1280" s="115"/>
      <c r="I1280" s="115"/>
      <c r="J1280" s="115"/>
      <c r="K1280" s="115"/>
      <c r="L1280" s="115"/>
      <c r="M1280" s="115"/>
      <c r="N1280" s="115"/>
      <c r="O1280" s="115"/>
      <c r="P1280" s="115"/>
      <c r="Q1280" s="115"/>
      <c r="R1280" s="115"/>
      <c r="S1280" s="115"/>
      <c r="T1280" s="115"/>
      <c r="U1280" s="115"/>
      <c r="V1280" s="115"/>
      <c r="W1280" s="115"/>
      <c r="X1280" s="115"/>
      <c r="Y1280" s="115"/>
      <c r="Z1280" s="115"/>
      <c r="AA1280" s="115"/>
      <c r="AB1280" s="115"/>
      <c r="AC1280" s="115"/>
      <c r="AD1280" s="115"/>
      <c r="AE1280" s="115"/>
      <c r="AF1280" s="115"/>
      <c r="AG1280" s="115"/>
      <c r="AH1280" s="115"/>
      <c r="AI1280" s="115"/>
      <c r="AJ1280" s="115"/>
      <c r="AK1280" s="115"/>
      <c r="AL1280" s="115"/>
      <c r="AM1280" s="115"/>
      <c r="AN1280" s="115"/>
      <c r="AO1280" s="115"/>
      <c r="AP1280" s="115"/>
      <c r="AQ1280" s="115"/>
      <c r="AR1280" s="115"/>
      <c r="AS1280" s="115"/>
      <c r="AT1280" s="115"/>
      <c r="AU1280" s="115"/>
      <c r="AV1280" s="115"/>
      <c r="AW1280" s="115"/>
      <c r="AX1280" s="115"/>
      <c r="AY1280" s="115"/>
      <c r="AZ1280" s="115"/>
      <c r="BA1280" s="26"/>
      <c r="BB1280" s="15"/>
      <c r="BF1280" s="115"/>
      <c r="BG1280" s="117"/>
      <c r="BH1280" s="123"/>
      <c r="BI1280" s="123"/>
      <c r="BJ1280" s="123"/>
      <c r="BK1280" s="115"/>
      <c r="BL1280" s="115"/>
      <c r="BM1280" s="115"/>
      <c r="BN1280" s="115"/>
      <c r="BO1280" s="115"/>
      <c r="BP1280" s="115"/>
      <c r="BQ1280" s="115"/>
      <c r="BR1280" s="115"/>
      <c r="BS1280" s="115"/>
      <c r="BT1280" s="115"/>
      <c r="BU1280" s="115"/>
      <c r="BV1280" s="115"/>
      <c r="BW1280" s="115"/>
      <c r="BX1280" s="115"/>
      <c r="BY1280" s="17"/>
      <c r="BZ1280" s="15"/>
      <c r="CC1280" s="114"/>
    </row>
    <row r="1281" spans="6:81" ht="19.5" x14ac:dyDescent="0.4">
      <c r="F1281" s="115"/>
      <c r="G1281" s="115"/>
      <c r="H1281" s="115"/>
      <c r="I1281" s="115"/>
      <c r="J1281" s="115"/>
      <c r="K1281" s="115"/>
      <c r="L1281" s="115"/>
      <c r="M1281" s="115"/>
      <c r="N1281" s="115"/>
      <c r="O1281" s="115"/>
      <c r="P1281" s="115"/>
      <c r="Q1281" s="115"/>
      <c r="R1281" s="115"/>
      <c r="S1281" s="115"/>
      <c r="T1281" s="115"/>
      <c r="U1281" s="115"/>
      <c r="V1281" s="115"/>
      <c r="W1281" s="115"/>
      <c r="X1281" s="115"/>
      <c r="Y1281" s="115"/>
      <c r="Z1281" s="115"/>
      <c r="AA1281" s="115"/>
      <c r="AB1281" s="115"/>
      <c r="AC1281" s="115"/>
      <c r="AD1281" s="115"/>
      <c r="AE1281" s="115"/>
      <c r="AF1281" s="115"/>
      <c r="AG1281" s="115"/>
      <c r="AH1281" s="115"/>
      <c r="AI1281" s="115"/>
      <c r="AJ1281" s="115"/>
      <c r="AK1281" s="115"/>
      <c r="AL1281" s="115"/>
      <c r="AM1281" s="115"/>
      <c r="AN1281" s="115"/>
      <c r="AO1281" s="115"/>
      <c r="AP1281" s="115"/>
      <c r="AQ1281" s="115"/>
      <c r="AR1281" s="115"/>
      <c r="AS1281" s="115"/>
      <c r="AT1281" s="115"/>
      <c r="AU1281" s="115"/>
      <c r="AV1281" s="115"/>
      <c r="AW1281" s="115"/>
      <c r="AX1281" s="115"/>
      <c r="AY1281" s="115"/>
      <c r="AZ1281" s="115"/>
      <c r="BA1281" s="26"/>
      <c r="BB1281" s="15"/>
      <c r="BF1281" s="115"/>
      <c r="BG1281" s="117"/>
      <c r="BH1281" s="123"/>
      <c r="BI1281" s="123"/>
      <c r="BJ1281" s="123"/>
      <c r="BK1281" s="115"/>
      <c r="BL1281" s="115"/>
      <c r="BM1281" s="115"/>
      <c r="BN1281" s="115"/>
      <c r="BO1281" s="115"/>
      <c r="BP1281" s="115"/>
      <c r="BQ1281" s="115"/>
      <c r="BR1281" s="115"/>
      <c r="BS1281" s="115"/>
      <c r="BT1281" s="115"/>
      <c r="BU1281" s="115"/>
      <c r="BV1281" s="115"/>
      <c r="BW1281" s="115"/>
      <c r="BX1281" s="115"/>
      <c r="BY1281" s="17"/>
      <c r="BZ1281" s="15"/>
      <c r="CC1281" s="114"/>
    </row>
    <row r="1282" spans="6:81" ht="19.5" x14ac:dyDescent="0.4">
      <c r="BA1282" s="26"/>
      <c r="BB1282" s="15"/>
      <c r="BF1282" s="115"/>
      <c r="BG1282" s="117"/>
      <c r="BH1282" s="123"/>
      <c r="BI1282" s="123"/>
      <c r="BJ1282" s="123"/>
      <c r="BK1282" s="115"/>
      <c r="BL1282" s="115"/>
      <c r="BM1282" s="115"/>
      <c r="BN1282" s="115"/>
      <c r="BO1282" s="115"/>
      <c r="BP1282" s="115"/>
      <c r="BQ1282" s="115"/>
      <c r="BR1282" s="115"/>
      <c r="BS1282" s="115"/>
      <c r="BT1282" s="115"/>
      <c r="BU1282" s="115"/>
      <c r="BV1282" s="115"/>
      <c r="BW1282" s="115"/>
      <c r="BX1282" s="115"/>
      <c r="BY1282" s="26">
        <v>45278</v>
      </c>
      <c r="BZ1282" s="15" t="s">
        <v>164</v>
      </c>
      <c r="CC1282" s="114"/>
    </row>
    <row r="1283" spans="6:81" ht="19.5" x14ac:dyDescent="0.4">
      <c r="BA1283" s="26"/>
      <c r="BB1283" s="15"/>
      <c r="BF1283" s="115"/>
      <c r="BG1283" s="117"/>
      <c r="BH1283" s="123"/>
      <c r="BI1283" s="123"/>
      <c r="BJ1283" s="123"/>
      <c r="BK1283" s="115"/>
      <c r="BL1283" s="115"/>
      <c r="BM1283" s="115"/>
      <c r="BN1283" s="115"/>
      <c r="BO1283" s="115"/>
      <c r="BP1283" s="115"/>
      <c r="BQ1283" s="115"/>
      <c r="BR1283" s="115"/>
      <c r="BS1283" s="115"/>
      <c r="BT1283" s="115"/>
      <c r="BU1283" s="115"/>
      <c r="BV1283" s="115"/>
      <c r="BW1283" s="115"/>
      <c r="BX1283" s="115"/>
      <c r="BY1283" s="26">
        <v>45278</v>
      </c>
      <c r="BZ1283" s="15" t="s">
        <v>164</v>
      </c>
      <c r="CC1283" s="114"/>
    </row>
    <row r="1284" spans="6:81" ht="19.5" x14ac:dyDescent="0.4">
      <c r="AP1284" s="115"/>
      <c r="AQ1284" s="115"/>
      <c r="AR1284" s="115"/>
      <c r="AS1284" s="115"/>
      <c r="AT1284" s="115"/>
      <c r="AU1284" s="115"/>
      <c r="AV1284" s="115"/>
      <c r="AW1284" s="115"/>
      <c r="AX1284" s="115"/>
      <c r="AY1284" s="115"/>
      <c r="AZ1284" s="115"/>
      <c r="BA1284" s="26"/>
      <c r="BB1284" s="15"/>
      <c r="BF1284" s="115"/>
      <c r="BG1284" s="117"/>
      <c r="BH1284" s="123"/>
      <c r="BI1284" s="123"/>
      <c r="BJ1284" s="123"/>
      <c r="BK1284" s="115"/>
      <c r="BL1284" s="115"/>
      <c r="BM1284" s="115"/>
      <c r="BN1284" s="115"/>
      <c r="BO1284" s="115"/>
      <c r="BP1284" s="115"/>
      <c r="BQ1284" s="115"/>
      <c r="BR1284" s="115"/>
      <c r="BS1284" s="115"/>
      <c r="BT1284" s="115"/>
      <c r="BU1284" s="115"/>
      <c r="BV1284" s="115"/>
      <c r="BW1284" s="115"/>
      <c r="BX1284" s="115"/>
      <c r="BY1284" s="26"/>
      <c r="BZ1284" s="15"/>
      <c r="CC1284" s="114"/>
    </row>
    <row r="1285" spans="6:81" ht="19.5" x14ac:dyDescent="0.4">
      <c r="BA1285" s="26"/>
      <c r="BB1285" s="15"/>
      <c r="BF1285" s="115"/>
      <c r="BG1285" s="117"/>
      <c r="BH1285" s="123"/>
      <c r="BI1285" s="123"/>
      <c r="BJ1285" s="123"/>
      <c r="BK1285" s="115"/>
      <c r="BL1285" s="115"/>
      <c r="BM1285" s="115"/>
      <c r="BN1285" s="115"/>
      <c r="BO1285" s="115"/>
      <c r="BP1285" s="115"/>
      <c r="BQ1285" s="115"/>
      <c r="BR1285" s="115"/>
      <c r="BS1285" s="115"/>
      <c r="BT1285" s="115"/>
      <c r="BU1285" s="115"/>
      <c r="BV1285" s="115"/>
      <c r="BW1285" s="115"/>
      <c r="BX1285" s="115"/>
      <c r="BY1285" s="26">
        <v>45278</v>
      </c>
      <c r="BZ1285" s="15" t="s">
        <v>162</v>
      </c>
      <c r="CC1285" s="114"/>
    </row>
    <row r="1286" spans="6:81" ht="19.5" x14ac:dyDescent="0.4">
      <c r="AR1286" s="115"/>
      <c r="AS1286" s="115"/>
      <c r="AT1286" s="115"/>
      <c r="AU1286" s="115"/>
      <c r="AV1286" s="115"/>
      <c r="AW1286" s="115"/>
      <c r="AX1286" s="115"/>
      <c r="AY1286" s="115"/>
      <c r="AZ1286" s="115"/>
      <c r="BA1286" s="17"/>
      <c r="BB1286" s="15"/>
      <c r="BF1286" s="115"/>
      <c r="BG1286" s="117"/>
      <c r="BH1286" s="123"/>
      <c r="BI1286" s="123"/>
      <c r="BJ1286" s="123"/>
      <c r="BK1286" s="115"/>
      <c r="BL1286" s="115"/>
      <c r="BM1286" s="115"/>
      <c r="BN1286" s="115"/>
      <c r="BO1286" s="115"/>
      <c r="BP1286" s="115"/>
      <c r="BQ1286" s="115"/>
      <c r="BR1286" s="115"/>
      <c r="BS1286" s="115"/>
      <c r="BT1286" s="115"/>
      <c r="BU1286" s="115"/>
      <c r="BV1286" s="115"/>
      <c r="BW1286" s="115"/>
      <c r="BX1286" s="115"/>
      <c r="BY1286" s="26"/>
      <c r="BZ1286" s="15"/>
      <c r="CC1286" s="114"/>
    </row>
    <row r="1287" spans="6:81" ht="19.5" x14ac:dyDescent="0.4">
      <c r="AP1287" s="115"/>
      <c r="AQ1287" s="115"/>
      <c r="AR1287" s="115"/>
      <c r="AS1287" s="115"/>
      <c r="AT1287" s="115"/>
      <c r="AU1287" s="115"/>
      <c r="AV1287" s="115"/>
      <c r="AW1287" s="115"/>
      <c r="AX1287" s="115"/>
      <c r="AY1287" s="115"/>
      <c r="AZ1287" s="115"/>
      <c r="BA1287" s="26"/>
      <c r="BB1287" s="15"/>
      <c r="BF1287" s="115"/>
      <c r="BG1287" s="117"/>
      <c r="BH1287" s="123"/>
      <c r="BI1287" s="123"/>
      <c r="BJ1287" s="123"/>
      <c r="BK1287" s="115"/>
      <c r="BL1287" s="115"/>
      <c r="BM1287" s="115"/>
      <c r="BN1287" s="115"/>
      <c r="BO1287" s="115"/>
      <c r="BP1287" s="115"/>
      <c r="BQ1287" s="115"/>
      <c r="BR1287" s="115"/>
      <c r="BS1287" s="115"/>
      <c r="BT1287" s="115"/>
      <c r="BU1287" s="115"/>
      <c r="BV1287" s="115"/>
      <c r="BW1287" s="115"/>
      <c r="BX1287" s="115"/>
      <c r="BY1287" s="26"/>
      <c r="BZ1287" s="15"/>
      <c r="CC1287" s="114"/>
    </row>
    <row r="1288" spans="6:81" ht="19.5" x14ac:dyDescent="0.4">
      <c r="AP1288" s="115"/>
      <c r="AQ1288" s="115"/>
      <c r="AR1288" s="115"/>
      <c r="AS1288" s="115"/>
      <c r="AT1288" s="115"/>
      <c r="AU1288" s="115"/>
      <c r="AV1288" s="115"/>
      <c r="AW1288" s="115"/>
      <c r="AX1288" s="115"/>
      <c r="AY1288" s="115"/>
      <c r="AZ1288" s="115"/>
      <c r="BA1288" s="17"/>
      <c r="BB1288" s="15"/>
      <c r="BF1288" s="115"/>
      <c r="BG1288" s="117"/>
      <c r="BH1288" s="123"/>
      <c r="BI1288" s="123"/>
      <c r="BJ1288" s="123"/>
      <c r="BK1288" s="115"/>
      <c r="BL1288" s="115"/>
      <c r="BM1288" s="115"/>
      <c r="BN1288" s="115"/>
      <c r="BO1288" s="115"/>
      <c r="BP1288" s="115"/>
      <c r="BQ1288" s="115"/>
      <c r="BR1288" s="115"/>
      <c r="BS1288" s="115"/>
      <c r="BT1288" s="115"/>
      <c r="BU1288" s="115"/>
      <c r="BV1288" s="115"/>
      <c r="BW1288" s="115"/>
      <c r="BX1288" s="115"/>
      <c r="BY1288" s="26"/>
      <c r="BZ1288" s="15"/>
      <c r="CC1288" s="114"/>
    </row>
    <row r="1289" spans="6:81" ht="19.5" x14ac:dyDescent="0.4">
      <c r="BA1289" s="26"/>
      <c r="BB1289" s="15"/>
      <c r="BF1289" s="115"/>
      <c r="BG1289" s="117"/>
      <c r="BH1289" s="123"/>
      <c r="BI1289" s="123"/>
      <c r="BJ1289" s="123"/>
      <c r="BK1289" s="115"/>
      <c r="BL1289" s="115"/>
      <c r="BM1289" s="115"/>
      <c r="BN1289" s="115"/>
      <c r="BO1289" s="115"/>
      <c r="BP1289" s="115"/>
      <c r="BQ1289" s="115"/>
      <c r="BR1289" s="115"/>
      <c r="BS1289" s="115"/>
      <c r="BT1289" s="115"/>
      <c r="BU1289" s="115"/>
      <c r="BV1289" s="115"/>
      <c r="BW1289" s="115"/>
      <c r="BX1289" s="115"/>
      <c r="BY1289" s="26">
        <v>45278</v>
      </c>
      <c r="BZ1289" s="15" t="s">
        <v>142</v>
      </c>
      <c r="CC1289" s="114"/>
    </row>
    <row r="1290" spans="6:81" ht="19.5" x14ac:dyDescent="0.4">
      <c r="BA1290" s="26"/>
      <c r="BB1290" s="15"/>
      <c r="BF1290" s="115"/>
      <c r="BG1290" s="117"/>
      <c r="BH1290" s="123"/>
      <c r="BI1290" s="123"/>
      <c r="BJ1290" s="123"/>
      <c r="BK1290" s="115"/>
      <c r="BL1290" s="115"/>
      <c r="BM1290" s="115"/>
      <c r="BN1290" s="115"/>
      <c r="BO1290" s="115"/>
      <c r="BP1290" s="115"/>
      <c r="BQ1290" s="115"/>
      <c r="BR1290" s="115"/>
      <c r="BS1290" s="115"/>
      <c r="BT1290" s="115"/>
      <c r="BU1290" s="115"/>
      <c r="BV1290" s="115"/>
      <c r="BW1290" s="115"/>
      <c r="BX1290" s="115"/>
      <c r="BY1290" s="26">
        <v>45278</v>
      </c>
      <c r="BZ1290" s="15" t="s">
        <v>162</v>
      </c>
      <c r="CC1290" s="114"/>
    </row>
    <row r="1291" spans="6:81" ht="19.5" x14ac:dyDescent="0.4">
      <c r="BA1291" s="26"/>
      <c r="BB1291" s="15"/>
      <c r="BF1291" s="115"/>
      <c r="BG1291" s="117"/>
      <c r="BH1291" s="123"/>
      <c r="BI1291" s="123"/>
      <c r="BJ1291" s="123"/>
      <c r="BK1291" s="115"/>
      <c r="BL1291" s="115"/>
      <c r="BM1291" s="115"/>
      <c r="BN1291" s="115"/>
      <c r="BO1291" s="115"/>
      <c r="BP1291" s="115"/>
      <c r="BQ1291" s="115"/>
      <c r="BR1291" s="115"/>
      <c r="BS1291" s="115"/>
      <c r="BT1291" s="115"/>
      <c r="BU1291" s="115"/>
      <c r="BV1291" s="115"/>
      <c r="BW1291" s="115"/>
      <c r="BX1291" s="115"/>
      <c r="BY1291" s="26">
        <v>45278</v>
      </c>
      <c r="BZ1291" s="15" t="s">
        <v>162</v>
      </c>
      <c r="CC1291" s="114"/>
    </row>
    <row r="1292" spans="6:81" ht="19.5" x14ac:dyDescent="0.4">
      <c r="AR1292" s="115"/>
      <c r="AS1292" s="115"/>
      <c r="AT1292" s="115"/>
      <c r="AU1292" s="115"/>
      <c r="AV1292" s="115"/>
      <c r="AW1292" s="115"/>
      <c r="AX1292" s="115"/>
      <c r="AY1292" s="115"/>
      <c r="AZ1292" s="115"/>
      <c r="BA1292" s="17"/>
      <c r="BB1292" s="15"/>
      <c r="BF1292" s="115"/>
      <c r="BG1292" s="117"/>
      <c r="BH1292" s="123"/>
      <c r="BI1292" s="123"/>
      <c r="BJ1292" s="123"/>
      <c r="BK1292" s="115"/>
      <c r="BL1292" s="115"/>
      <c r="BM1292" s="115"/>
      <c r="BN1292" s="115"/>
      <c r="BO1292" s="115"/>
      <c r="BP1292" s="115"/>
      <c r="BQ1292" s="115"/>
      <c r="BR1292" s="115"/>
      <c r="BS1292" s="115"/>
      <c r="BT1292" s="115"/>
      <c r="BU1292" s="115"/>
      <c r="BV1292" s="115"/>
      <c r="BW1292" s="115"/>
      <c r="BX1292" s="115"/>
      <c r="BY1292" s="26"/>
      <c r="BZ1292" s="15"/>
      <c r="CC1292" s="114"/>
    </row>
    <row r="1293" spans="6:81" ht="19.5" x14ac:dyDescent="0.4">
      <c r="AP1293" s="115"/>
      <c r="AQ1293" s="115"/>
      <c r="AR1293" s="115"/>
      <c r="AS1293" s="115"/>
      <c r="AT1293" s="115"/>
      <c r="AU1293" s="115"/>
      <c r="AV1293" s="115"/>
      <c r="AW1293" s="115"/>
      <c r="AX1293" s="115"/>
      <c r="AY1293" s="115"/>
      <c r="AZ1293" s="115"/>
      <c r="BA1293" s="26"/>
      <c r="BB1293" s="15"/>
      <c r="BF1293" s="115"/>
      <c r="BG1293" s="117"/>
      <c r="BH1293" s="123"/>
      <c r="BI1293" s="123"/>
      <c r="BJ1293" s="123"/>
      <c r="BK1293" s="115"/>
      <c r="BL1293" s="115"/>
      <c r="BM1293" s="115"/>
      <c r="BN1293" s="115"/>
      <c r="BO1293" s="115"/>
      <c r="BP1293" s="115"/>
      <c r="BQ1293" s="115"/>
      <c r="BR1293" s="115"/>
      <c r="BS1293" s="115"/>
      <c r="BT1293" s="115"/>
      <c r="BU1293" s="115"/>
      <c r="BV1293" s="115"/>
      <c r="BW1293" s="115"/>
      <c r="BX1293" s="115"/>
      <c r="BY1293" s="26"/>
      <c r="BZ1293" s="15"/>
      <c r="CC1293" s="114"/>
    </row>
    <row r="1294" spans="6:81" ht="19.5" x14ac:dyDescent="0.4">
      <c r="F1294" s="115"/>
      <c r="G1294" s="115"/>
      <c r="H1294" s="115"/>
      <c r="I1294" s="115"/>
      <c r="J1294" s="115"/>
      <c r="K1294" s="115"/>
      <c r="L1294" s="115"/>
      <c r="M1294" s="115"/>
      <c r="N1294" s="115"/>
      <c r="O1294" s="115"/>
      <c r="P1294" s="115"/>
      <c r="Q1294" s="115"/>
      <c r="R1294" s="115"/>
      <c r="S1294" s="115"/>
      <c r="T1294" s="115"/>
      <c r="U1294" s="115"/>
      <c r="V1294" s="115"/>
      <c r="W1294" s="115"/>
      <c r="X1294" s="115"/>
      <c r="Y1294" s="115"/>
      <c r="Z1294" s="115"/>
      <c r="AA1294" s="115"/>
      <c r="AB1294" s="115"/>
      <c r="AC1294" s="115"/>
      <c r="AD1294" s="115"/>
      <c r="AE1294" s="115"/>
      <c r="AF1294" s="115"/>
      <c r="AG1294" s="115"/>
      <c r="AH1294" s="115"/>
      <c r="AI1294" s="115"/>
      <c r="AJ1294" s="115"/>
      <c r="AK1294" s="115"/>
      <c r="AL1294" s="115"/>
      <c r="AM1294" s="115"/>
      <c r="AN1294" s="115"/>
      <c r="AO1294" s="115"/>
      <c r="AP1294" s="115"/>
      <c r="AQ1294" s="115"/>
      <c r="AR1294" s="115"/>
      <c r="AS1294" s="115"/>
      <c r="AT1294" s="115"/>
      <c r="AU1294" s="115"/>
      <c r="AV1294" s="115"/>
      <c r="AW1294" s="115"/>
      <c r="AX1294" s="115"/>
      <c r="AY1294" s="115"/>
      <c r="AZ1294" s="115"/>
      <c r="BA1294" s="26"/>
      <c r="BB1294" s="15"/>
      <c r="BF1294" s="115"/>
      <c r="BG1294" s="117"/>
      <c r="BH1294" s="123"/>
      <c r="BI1294" s="123"/>
      <c r="BJ1294" s="123"/>
      <c r="BK1294" s="115"/>
      <c r="BL1294" s="115"/>
      <c r="BM1294" s="115"/>
      <c r="BN1294" s="115"/>
      <c r="BO1294" s="115"/>
      <c r="BP1294" s="115"/>
      <c r="BQ1294" s="115"/>
      <c r="BR1294" s="115"/>
      <c r="BS1294" s="115"/>
      <c r="BT1294" s="115"/>
      <c r="BU1294" s="115"/>
      <c r="BV1294" s="115"/>
      <c r="BW1294" s="115"/>
      <c r="BX1294" s="115"/>
      <c r="BY1294" s="26"/>
      <c r="BZ1294" s="15"/>
      <c r="CC1294" s="114"/>
    </row>
    <row r="1295" spans="6:81" ht="19.5" x14ac:dyDescent="0.4">
      <c r="F1295" s="115"/>
      <c r="G1295" s="115"/>
      <c r="H1295" s="115"/>
      <c r="I1295" s="115"/>
      <c r="J1295" s="115"/>
      <c r="K1295" s="115"/>
      <c r="L1295" s="115"/>
      <c r="M1295" s="115"/>
      <c r="N1295" s="115"/>
      <c r="O1295" s="115"/>
      <c r="P1295" s="115"/>
      <c r="Q1295" s="115"/>
      <c r="R1295" s="115"/>
      <c r="S1295" s="115"/>
      <c r="T1295" s="115"/>
      <c r="U1295" s="115"/>
      <c r="V1295" s="115"/>
      <c r="W1295" s="115"/>
      <c r="X1295" s="115"/>
      <c r="Y1295" s="115"/>
      <c r="Z1295" s="115"/>
      <c r="AA1295" s="115"/>
      <c r="AB1295" s="115"/>
      <c r="AC1295" s="115"/>
      <c r="AD1295" s="115"/>
      <c r="AE1295" s="115"/>
      <c r="AF1295" s="115"/>
      <c r="AG1295" s="115"/>
      <c r="AH1295" s="115"/>
      <c r="AI1295" s="115"/>
      <c r="AJ1295" s="115"/>
      <c r="AK1295" s="115"/>
      <c r="AL1295" s="115"/>
      <c r="AM1295" s="115"/>
      <c r="AN1295" s="115"/>
      <c r="AO1295" s="115"/>
      <c r="AP1295" s="115"/>
      <c r="AQ1295" s="115"/>
      <c r="AR1295" s="115"/>
      <c r="AS1295" s="115"/>
      <c r="AT1295" s="115"/>
      <c r="AU1295" s="115"/>
      <c r="AV1295" s="115"/>
      <c r="AW1295" s="115"/>
      <c r="AX1295" s="115"/>
      <c r="AY1295" s="115"/>
      <c r="AZ1295" s="115"/>
      <c r="BA1295" s="17"/>
      <c r="BB1295" s="15"/>
      <c r="BF1295" s="115"/>
      <c r="BG1295" s="117"/>
      <c r="BH1295" s="123"/>
      <c r="BI1295" s="123"/>
      <c r="BJ1295" s="123"/>
      <c r="BK1295" s="115"/>
      <c r="BL1295" s="115"/>
      <c r="BM1295" s="115"/>
      <c r="BN1295" s="115"/>
      <c r="BO1295" s="115"/>
      <c r="BP1295" s="115"/>
      <c r="BQ1295" s="115"/>
      <c r="BR1295" s="115"/>
      <c r="BS1295" s="115"/>
      <c r="BT1295" s="115"/>
      <c r="BU1295" s="115"/>
      <c r="BV1295" s="115"/>
      <c r="BW1295" s="115"/>
      <c r="BX1295" s="115"/>
      <c r="BY1295" s="26"/>
      <c r="BZ1295" s="15"/>
      <c r="CC1295" s="114"/>
    </row>
    <row r="1296" spans="6:81" ht="19.5" x14ac:dyDescent="0.4">
      <c r="F1296" s="115"/>
      <c r="G1296" s="115"/>
      <c r="H1296" s="115"/>
      <c r="I1296" s="115"/>
      <c r="J1296" s="115"/>
      <c r="K1296" s="115"/>
      <c r="L1296" s="115"/>
      <c r="M1296" s="115"/>
      <c r="N1296" s="115"/>
      <c r="O1296" s="115"/>
      <c r="P1296" s="115"/>
      <c r="Q1296" s="115"/>
      <c r="R1296" s="115"/>
      <c r="S1296" s="115"/>
      <c r="T1296" s="115"/>
      <c r="U1296" s="115"/>
      <c r="V1296" s="115"/>
      <c r="W1296" s="115"/>
      <c r="X1296" s="115"/>
      <c r="Y1296" s="115"/>
      <c r="Z1296" s="115"/>
      <c r="AA1296" s="115"/>
      <c r="AB1296" s="115"/>
      <c r="AC1296" s="115"/>
      <c r="AD1296" s="115"/>
      <c r="AE1296" s="115"/>
      <c r="AF1296" s="115"/>
      <c r="AG1296" s="115"/>
      <c r="AH1296" s="115"/>
      <c r="AI1296" s="115"/>
      <c r="AJ1296" s="115"/>
      <c r="AK1296" s="115"/>
      <c r="AL1296" s="115"/>
      <c r="AM1296" s="115"/>
      <c r="AN1296" s="115"/>
      <c r="AO1296" s="115"/>
      <c r="AP1296" s="115"/>
      <c r="AQ1296" s="115"/>
      <c r="AR1296" s="115"/>
      <c r="AS1296" s="115"/>
      <c r="AT1296" s="115"/>
      <c r="AU1296" s="115"/>
      <c r="AV1296" s="115"/>
      <c r="AW1296" s="115"/>
      <c r="AX1296" s="115"/>
      <c r="AY1296" s="115"/>
      <c r="AZ1296" s="115"/>
      <c r="BA1296" s="26"/>
      <c r="BB1296" s="15"/>
      <c r="BF1296" s="115"/>
      <c r="BG1296" s="117"/>
      <c r="BH1296" s="123"/>
      <c r="BI1296" s="123"/>
      <c r="BJ1296" s="123"/>
      <c r="BK1296" s="115"/>
      <c r="BL1296" s="115"/>
      <c r="BM1296" s="115"/>
      <c r="BN1296" s="115"/>
      <c r="BO1296" s="115"/>
      <c r="BP1296" s="115"/>
      <c r="BQ1296" s="115"/>
      <c r="BR1296" s="115"/>
      <c r="BS1296" s="115"/>
      <c r="BT1296" s="115"/>
      <c r="BU1296" s="115"/>
      <c r="BV1296" s="115"/>
      <c r="BW1296" s="115"/>
      <c r="BX1296" s="115"/>
      <c r="BY1296" s="26"/>
      <c r="BZ1296" s="15"/>
      <c r="CC1296" s="114"/>
    </row>
    <row r="1297" spans="6:81" ht="19.5" x14ac:dyDescent="0.4">
      <c r="BA1297" s="26"/>
      <c r="BB1297" s="15"/>
      <c r="BF1297" s="115"/>
      <c r="BG1297" s="117"/>
      <c r="BH1297" s="123"/>
      <c r="BI1297" s="123"/>
      <c r="BJ1297" s="123"/>
      <c r="BK1297" s="115"/>
      <c r="BL1297" s="115"/>
      <c r="BM1297" s="115"/>
      <c r="BN1297" s="115"/>
      <c r="BO1297" s="115"/>
      <c r="BP1297" s="115"/>
      <c r="BQ1297" s="115"/>
      <c r="BR1297" s="115"/>
      <c r="BS1297" s="115"/>
      <c r="BT1297" s="115"/>
      <c r="BU1297" s="115"/>
      <c r="BV1297" s="115"/>
      <c r="BW1297" s="115"/>
      <c r="BX1297" s="115"/>
      <c r="BY1297" s="26">
        <v>45278</v>
      </c>
      <c r="BZ1297" s="15" t="s">
        <v>162</v>
      </c>
      <c r="CC1297" s="114"/>
    </row>
    <row r="1298" spans="6:81" ht="19.5" x14ac:dyDescent="0.4">
      <c r="AP1298" s="115"/>
      <c r="AQ1298" s="115"/>
      <c r="AR1298" s="115"/>
      <c r="AS1298" s="115"/>
      <c r="AT1298" s="115"/>
      <c r="AU1298" s="115"/>
      <c r="AV1298" s="115"/>
      <c r="AW1298" s="115"/>
      <c r="AX1298" s="115"/>
      <c r="AY1298" s="115"/>
      <c r="AZ1298" s="115"/>
      <c r="BA1298" s="26"/>
      <c r="BB1298" s="15"/>
      <c r="BF1298" s="115"/>
      <c r="BG1298" s="117"/>
      <c r="BH1298" s="123"/>
      <c r="BI1298" s="123"/>
      <c r="BJ1298" s="123"/>
      <c r="BK1298" s="115"/>
      <c r="BL1298" s="115"/>
      <c r="BM1298" s="115"/>
      <c r="BN1298" s="115"/>
      <c r="BO1298" s="115"/>
      <c r="BP1298" s="115"/>
      <c r="BQ1298" s="115"/>
      <c r="BR1298" s="115"/>
      <c r="BS1298" s="115"/>
      <c r="BT1298" s="115"/>
      <c r="BU1298" s="115"/>
      <c r="BV1298" s="115"/>
      <c r="BW1298" s="115"/>
      <c r="BX1298" s="115"/>
      <c r="BY1298" s="26"/>
      <c r="BZ1298" s="15"/>
      <c r="CC1298" s="114"/>
    </row>
    <row r="1299" spans="6:81" ht="19.5" x14ac:dyDescent="0.4">
      <c r="BA1299" s="26"/>
      <c r="BB1299" s="15"/>
      <c r="BF1299" s="115"/>
      <c r="BG1299" s="117"/>
      <c r="BH1299" s="123"/>
      <c r="BI1299" s="123"/>
      <c r="BJ1299" s="123"/>
      <c r="BK1299" s="115"/>
      <c r="BL1299" s="115"/>
      <c r="BM1299" s="115"/>
      <c r="BN1299" s="115"/>
      <c r="BO1299" s="115"/>
      <c r="BP1299" s="115"/>
      <c r="BQ1299" s="115"/>
      <c r="BR1299" s="115"/>
      <c r="BS1299" s="115"/>
      <c r="BT1299" s="115"/>
      <c r="BU1299" s="115"/>
      <c r="BV1299" s="115"/>
      <c r="BW1299" s="115"/>
      <c r="BX1299" s="115"/>
      <c r="BY1299" s="26">
        <v>45278</v>
      </c>
      <c r="BZ1299" s="15" t="s">
        <v>163</v>
      </c>
      <c r="CC1299" s="114"/>
    </row>
    <row r="1300" spans="6:81" ht="19.5" x14ac:dyDescent="0.4">
      <c r="BA1300" s="26"/>
      <c r="BB1300" s="15"/>
      <c r="BF1300" s="115"/>
      <c r="BG1300" s="117"/>
      <c r="BH1300" s="123"/>
      <c r="BI1300" s="123"/>
      <c r="BJ1300" s="123"/>
      <c r="BK1300" s="115"/>
      <c r="BL1300" s="115"/>
      <c r="BM1300" s="115"/>
      <c r="BN1300" s="115"/>
      <c r="BO1300" s="115"/>
      <c r="BP1300" s="115"/>
      <c r="BQ1300" s="115"/>
      <c r="BR1300" s="115"/>
      <c r="BS1300" s="115"/>
      <c r="BT1300" s="115"/>
      <c r="BU1300" s="115"/>
      <c r="BV1300" s="115"/>
      <c r="BW1300" s="115"/>
      <c r="BX1300" s="115"/>
      <c r="BY1300" s="26">
        <v>45278</v>
      </c>
      <c r="BZ1300" s="105" t="s">
        <v>163</v>
      </c>
      <c r="CC1300" s="114"/>
    </row>
    <row r="1301" spans="6:81" ht="19.5" x14ac:dyDescent="0.4">
      <c r="BA1301" s="25"/>
      <c r="BB1301" s="13"/>
      <c r="BF1301" s="115"/>
      <c r="BG1301" s="117"/>
      <c r="BH1301" s="123"/>
      <c r="BI1301" s="123"/>
      <c r="BJ1301" s="123"/>
      <c r="BK1301" s="115"/>
      <c r="BL1301" s="115"/>
      <c r="BM1301" s="115"/>
      <c r="BN1301" s="115"/>
      <c r="BO1301" s="115"/>
      <c r="BP1301" s="115"/>
      <c r="BQ1301" s="115"/>
      <c r="BR1301" s="115"/>
      <c r="BS1301" s="115"/>
      <c r="BT1301" s="115"/>
      <c r="BU1301" s="115"/>
      <c r="BV1301" s="115"/>
      <c r="BW1301" s="115"/>
      <c r="BX1301" s="115"/>
      <c r="BY1301" s="26">
        <v>45278</v>
      </c>
      <c r="BZ1301" s="15" t="s">
        <v>163</v>
      </c>
      <c r="CC1301" s="114"/>
    </row>
    <row r="1302" spans="6:81" ht="19.5" x14ac:dyDescent="0.4">
      <c r="F1302" s="115"/>
      <c r="G1302" s="115"/>
      <c r="H1302" s="115"/>
      <c r="I1302" s="115"/>
      <c r="J1302" s="115"/>
      <c r="K1302" s="115"/>
      <c r="L1302" s="115"/>
      <c r="M1302" s="115"/>
      <c r="N1302" s="115"/>
      <c r="O1302" s="115"/>
      <c r="P1302" s="115"/>
      <c r="Q1302" s="115"/>
      <c r="R1302" s="115"/>
      <c r="S1302" s="115"/>
      <c r="T1302" s="115"/>
      <c r="U1302" s="115"/>
      <c r="V1302" s="115"/>
      <c r="W1302" s="115"/>
      <c r="X1302" s="115"/>
      <c r="Y1302" s="115"/>
      <c r="Z1302" s="115"/>
      <c r="AA1302" s="115"/>
      <c r="AB1302" s="115"/>
      <c r="AC1302" s="115"/>
      <c r="AD1302" s="115"/>
      <c r="AE1302" s="115"/>
      <c r="AF1302" s="115"/>
      <c r="AG1302" s="115"/>
      <c r="AH1302" s="115"/>
      <c r="AI1302" s="115"/>
      <c r="AJ1302" s="115"/>
      <c r="AK1302" s="115"/>
      <c r="AL1302" s="115"/>
      <c r="AM1302" s="115"/>
      <c r="AN1302" s="115"/>
      <c r="AO1302" s="115"/>
      <c r="AP1302" s="115"/>
      <c r="AQ1302" s="115"/>
      <c r="AR1302" s="115"/>
      <c r="AS1302" s="115"/>
      <c r="AT1302" s="115"/>
      <c r="AU1302" s="115"/>
      <c r="AV1302" s="115"/>
      <c r="AW1302" s="115"/>
      <c r="AX1302" s="115"/>
      <c r="AY1302" s="115"/>
      <c r="AZ1302" s="115"/>
      <c r="BA1302" s="25"/>
      <c r="BB1302" s="13"/>
      <c r="BF1302" s="115"/>
      <c r="BG1302" s="117"/>
      <c r="BH1302" s="123"/>
      <c r="BI1302" s="123"/>
      <c r="BJ1302" s="123"/>
      <c r="BK1302" s="115"/>
      <c r="BL1302" s="115"/>
      <c r="BM1302" s="115"/>
      <c r="BN1302" s="115"/>
      <c r="BO1302" s="115"/>
      <c r="BP1302" s="115"/>
      <c r="BQ1302" s="115"/>
      <c r="BR1302" s="115"/>
      <c r="BS1302" s="115"/>
      <c r="BT1302" s="115"/>
      <c r="BU1302" s="115"/>
      <c r="BV1302" s="115"/>
      <c r="BW1302" s="115"/>
      <c r="BX1302" s="115"/>
      <c r="BY1302" s="26"/>
      <c r="BZ1302" s="15"/>
      <c r="CC1302" s="114"/>
    </row>
    <row r="1303" spans="6:81" ht="19.5" x14ac:dyDescent="0.4">
      <c r="F1303" s="115"/>
      <c r="G1303" s="115"/>
      <c r="H1303" s="115"/>
      <c r="I1303" s="115"/>
      <c r="J1303" s="115"/>
      <c r="K1303" s="115"/>
      <c r="L1303" s="115"/>
      <c r="M1303" s="115"/>
      <c r="N1303" s="115"/>
      <c r="O1303" s="115"/>
      <c r="P1303" s="115"/>
      <c r="Q1303" s="115"/>
      <c r="R1303" s="115"/>
      <c r="S1303" s="115"/>
      <c r="T1303" s="115"/>
      <c r="U1303" s="115"/>
      <c r="V1303" s="115"/>
      <c r="W1303" s="115"/>
      <c r="X1303" s="115"/>
      <c r="Y1303" s="115"/>
      <c r="Z1303" s="115"/>
      <c r="AA1303" s="115"/>
      <c r="AB1303" s="115"/>
      <c r="AC1303" s="115"/>
      <c r="AD1303" s="115"/>
      <c r="AE1303" s="115"/>
      <c r="AF1303" s="115"/>
      <c r="AG1303" s="115"/>
      <c r="AH1303" s="115"/>
      <c r="AI1303" s="115"/>
      <c r="AJ1303" s="115"/>
      <c r="AK1303" s="115"/>
      <c r="AL1303" s="115"/>
      <c r="AM1303" s="115"/>
      <c r="AN1303" s="115"/>
      <c r="AO1303" s="115"/>
      <c r="AP1303" s="115"/>
      <c r="AQ1303" s="115"/>
      <c r="AR1303" s="115"/>
      <c r="AS1303" s="115"/>
      <c r="AT1303" s="115"/>
      <c r="AU1303" s="115"/>
      <c r="AV1303" s="115"/>
      <c r="AW1303" s="115"/>
      <c r="AX1303" s="115"/>
      <c r="AY1303" s="115"/>
      <c r="AZ1303" s="115"/>
      <c r="BA1303" s="25"/>
      <c r="BB1303" s="13"/>
      <c r="BF1303" s="115"/>
      <c r="BG1303" s="117"/>
      <c r="BH1303" s="123"/>
      <c r="BI1303" s="123"/>
      <c r="BJ1303" s="123"/>
      <c r="BK1303" s="115"/>
      <c r="BL1303" s="115"/>
      <c r="BM1303" s="115"/>
      <c r="BN1303" s="115"/>
      <c r="BO1303" s="115"/>
      <c r="BP1303" s="115"/>
      <c r="BQ1303" s="115"/>
      <c r="BR1303" s="115"/>
      <c r="BS1303" s="115"/>
      <c r="BT1303" s="115"/>
      <c r="BU1303" s="115"/>
      <c r="BV1303" s="115"/>
      <c r="BW1303" s="115"/>
      <c r="BX1303" s="115"/>
      <c r="BY1303" s="26"/>
      <c r="BZ1303" s="15"/>
      <c r="CC1303" s="114"/>
    </row>
    <row r="1304" spans="6:81" ht="19.5" x14ac:dyDescent="0.4">
      <c r="F1304" s="115"/>
      <c r="G1304" s="115"/>
      <c r="H1304" s="115"/>
      <c r="I1304" s="115"/>
      <c r="J1304" s="115"/>
      <c r="K1304" s="115"/>
      <c r="L1304" s="115"/>
      <c r="M1304" s="115"/>
      <c r="N1304" s="115"/>
      <c r="O1304" s="115"/>
      <c r="P1304" s="115"/>
      <c r="Q1304" s="115"/>
      <c r="R1304" s="115"/>
      <c r="S1304" s="115"/>
      <c r="T1304" s="115"/>
      <c r="U1304" s="115"/>
      <c r="V1304" s="115"/>
      <c r="W1304" s="115"/>
      <c r="X1304" s="115"/>
      <c r="Y1304" s="115"/>
      <c r="Z1304" s="115"/>
      <c r="AA1304" s="115"/>
      <c r="AB1304" s="115"/>
      <c r="AC1304" s="115"/>
      <c r="AD1304" s="115"/>
      <c r="AE1304" s="115"/>
      <c r="AF1304" s="115"/>
      <c r="AG1304" s="115"/>
      <c r="AH1304" s="115"/>
      <c r="AI1304" s="115"/>
      <c r="AJ1304" s="115"/>
      <c r="AK1304" s="115"/>
      <c r="AL1304" s="115"/>
      <c r="AM1304" s="115"/>
      <c r="AN1304" s="115"/>
      <c r="AO1304" s="115"/>
      <c r="AP1304" s="115"/>
      <c r="AQ1304" s="115"/>
      <c r="AR1304" s="115"/>
      <c r="AS1304" s="115"/>
      <c r="AT1304" s="115"/>
      <c r="AU1304" s="115"/>
      <c r="AV1304" s="115"/>
      <c r="AW1304" s="115"/>
      <c r="AX1304" s="115"/>
      <c r="AY1304" s="115"/>
      <c r="AZ1304" s="115"/>
      <c r="BA1304" s="25"/>
      <c r="BB1304" s="13"/>
      <c r="BF1304" s="115"/>
      <c r="BG1304" s="117"/>
      <c r="BH1304" s="123"/>
      <c r="BI1304" s="123"/>
      <c r="BJ1304" s="123"/>
      <c r="BK1304" s="115"/>
      <c r="BL1304" s="115"/>
      <c r="BM1304" s="115"/>
      <c r="BN1304" s="115"/>
      <c r="BO1304" s="115"/>
      <c r="BP1304" s="115"/>
      <c r="BQ1304" s="115"/>
      <c r="BR1304" s="115"/>
      <c r="BS1304" s="115"/>
      <c r="BT1304" s="115"/>
      <c r="BU1304" s="115"/>
      <c r="BV1304" s="115"/>
      <c r="BW1304" s="115"/>
      <c r="BX1304" s="115"/>
      <c r="BY1304" s="26"/>
      <c r="BZ1304" s="15"/>
      <c r="CC1304" s="114"/>
    </row>
    <row r="1305" spans="6:81" ht="19.5" x14ac:dyDescent="0.4">
      <c r="F1305" s="115"/>
      <c r="G1305" s="115"/>
      <c r="H1305" s="115"/>
      <c r="I1305" s="115"/>
      <c r="J1305" s="115"/>
      <c r="K1305" s="115"/>
      <c r="L1305" s="115"/>
      <c r="M1305" s="115"/>
      <c r="N1305" s="115"/>
      <c r="O1305" s="115"/>
      <c r="P1305" s="115"/>
      <c r="Q1305" s="115"/>
      <c r="R1305" s="115"/>
      <c r="S1305" s="115"/>
      <c r="T1305" s="115"/>
      <c r="U1305" s="115"/>
      <c r="V1305" s="115"/>
      <c r="W1305" s="115"/>
      <c r="X1305" s="115"/>
      <c r="Y1305" s="115"/>
      <c r="Z1305" s="115"/>
      <c r="AA1305" s="115"/>
      <c r="AB1305" s="115"/>
      <c r="AC1305" s="115"/>
      <c r="AD1305" s="115"/>
      <c r="AE1305" s="115"/>
      <c r="AF1305" s="115"/>
      <c r="AG1305" s="115"/>
      <c r="AH1305" s="115"/>
      <c r="AI1305" s="115"/>
      <c r="AJ1305" s="115"/>
      <c r="AK1305" s="115"/>
      <c r="AL1305" s="115"/>
      <c r="AM1305" s="115"/>
      <c r="AN1305" s="115"/>
      <c r="AO1305" s="115"/>
      <c r="AP1305" s="115"/>
      <c r="AQ1305" s="115"/>
      <c r="AR1305" s="115"/>
      <c r="AS1305" s="115"/>
      <c r="AT1305" s="115"/>
      <c r="AU1305" s="115"/>
      <c r="AV1305" s="115"/>
      <c r="AW1305" s="115"/>
      <c r="AX1305" s="115"/>
      <c r="AY1305" s="115"/>
      <c r="AZ1305" s="115"/>
      <c r="BA1305" s="25"/>
      <c r="BB1305" s="13"/>
      <c r="BF1305" s="115"/>
      <c r="BG1305" s="117"/>
      <c r="BH1305" s="123"/>
      <c r="BI1305" s="123"/>
      <c r="BJ1305" s="123"/>
      <c r="BK1305" s="115"/>
      <c r="BL1305" s="115"/>
      <c r="BM1305" s="115"/>
      <c r="BN1305" s="115"/>
      <c r="BO1305" s="115"/>
      <c r="BP1305" s="115"/>
      <c r="BQ1305" s="115"/>
      <c r="BR1305" s="115"/>
      <c r="BS1305" s="115"/>
      <c r="BT1305" s="115"/>
      <c r="BU1305" s="115"/>
      <c r="BV1305" s="115"/>
      <c r="BW1305" s="115"/>
      <c r="BX1305" s="115"/>
      <c r="BY1305" s="26"/>
      <c r="BZ1305" s="15"/>
      <c r="CC1305" s="114"/>
    </row>
    <row r="1306" spans="6:81" ht="19.5" x14ac:dyDescent="0.4">
      <c r="F1306" s="115"/>
      <c r="G1306" s="115"/>
      <c r="H1306" s="115"/>
      <c r="I1306" s="115"/>
      <c r="J1306" s="115"/>
      <c r="K1306" s="115"/>
      <c r="L1306" s="115"/>
      <c r="M1306" s="115"/>
      <c r="N1306" s="115"/>
      <c r="O1306" s="115"/>
      <c r="P1306" s="115"/>
      <c r="Q1306" s="115"/>
      <c r="R1306" s="115"/>
      <c r="S1306" s="115"/>
      <c r="T1306" s="115"/>
      <c r="U1306" s="115"/>
      <c r="V1306" s="115"/>
      <c r="W1306" s="115"/>
      <c r="X1306" s="115"/>
      <c r="Y1306" s="115"/>
      <c r="Z1306" s="115"/>
      <c r="AA1306" s="115"/>
      <c r="AB1306" s="115"/>
      <c r="AC1306" s="115"/>
      <c r="AD1306" s="115"/>
      <c r="AE1306" s="115"/>
      <c r="AF1306" s="115"/>
      <c r="AG1306" s="115"/>
      <c r="AH1306" s="115"/>
      <c r="AI1306" s="115"/>
      <c r="AJ1306" s="115"/>
      <c r="AK1306" s="115"/>
      <c r="AL1306" s="115"/>
      <c r="AM1306" s="115"/>
      <c r="AN1306" s="115"/>
      <c r="AO1306" s="115"/>
      <c r="AP1306" s="115"/>
      <c r="AQ1306" s="115"/>
      <c r="AR1306" s="115"/>
      <c r="AS1306" s="115"/>
      <c r="AT1306" s="115"/>
      <c r="AU1306" s="115"/>
      <c r="AV1306" s="115"/>
      <c r="AW1306" s="115"/>
      <c r="AX1306" s="115"/>
      <c r="AY1306" s="115"/>
      <c r="AZ1306" s="115"/>
      <c r="BA1306" s="25"/>
      <c r="BB1306" s="13"/>
      <c r="BF1306" s="115"/>
      <c r="BG1306" s="117"/>
      <c r="BH1306" s="123"/>
      <c r="BI1306" s="123"/>
      <c r="BJ1306" s="123"/>
      <c r="BK1306" s="115"/>
      <c r="BL1306" s="115"/>
      <c r="BM1306" s="115"/>
      <c r="BN1306" s="115"/>
      <c r="BO1306" s="115"/>
      <c r="BP1306" s="115"/>
      <c r="BQ1306" s="115"/>
      <c r="BR1306" s="115"/>
      <c r="BS1306" s="115"/>
      <c r="BT1306" s="115"/>
      <c r="BU1306" s="115"/>
      <c r="BV1306" s="115"/>
      <c r="BW1306" s="115"/>
      <c r="BX1306" s="115"/>
      <c r="BY1306" s="26"/>
      <c r="BZ1306" s="15"/>
      <c r="CC1306" s="114"/>
    </row>
    <row r="1307" spans="6:81" ht="19.5" x14ac:dyDescent="0.4">
      <c r="F1307" s="115"/>
      <c r="G1307" s="115"/>
      <c r="H1307" s="115"/>
      <c r="I1307" s="115"/>
      <c r="J1307" s="115"/>
      <c r="K1307" s="115"/>
      <c r="L1307" s="115"/>
      <c r="M1307" s="115"/>
      <c r="N1307" s="115"/>
      <c r="O1307" s="115"/>
      <c r="P1307" s="115"/>
      <c r="Q1307" s="115"/>
      <c r="R1307" s="115"/>
      <c r="S1307" s="115"/>
      <c r="T1307" s="115"/>
      <c r="U1307" s="115"/>
      <c r="V1307" s="115"/>
      <c r="W1307" s="115"/>
      <c r="X1307" s="115"/>
      <c r="Y1307" s="115"/>
      <c r="Z1307" s="115"/>
      <c r="AA1307" s="115"/>
      <c r="AB1307" s="115"/>
      <c r="AC1307" s="115"/>
      <c r="AD1307" s="115"/>
      <c r="AE1307" s="115"/>
      <c r="AF1307" s="115"/>
      <c r="AG1307" s="115"/>
      <c r="AH1307" s="115"/>
      <c r="AI1307" s="115"/>
      <c r="AJ1307" s="115"/>
      <c r="AK1307" s="115"/>
      <c r="AL1307" s="115"/>
      <c r="AM1307" s="115"/>
      <c r="AN1307" s="115"/>
      <c r="AO1307" s="115"/>
      <c r="AP1307" s="115"/>
      <c r="AQ1307" s="115"/>
      <c r="AR1307" s="115"/>
      <c r="AS1307" s="115"/>
      <c r="AT1307" s="115"/>
      <c r="AU1307" s="115"/>
      <c r="AV1307" s="115"/>
      <c r="AW1307" s="115"/>
      <c r="AX1307" s="115"/>
      <c r="AY1307" s="115"/>
      <c r="AZ1307" s="115"/>
      <c r="BA1307" s="25"/>
      <c r="BB1307" s="13"/>
      <c r="BF1307" s="115"/>
      <c r="BG1307" s="117"/>
      <c r="BH1307" s="123"/>
      <c r="BI1307" s="123"/>
      <c r="BJ1307" s="123"/>
      <c r="BK1307" s="115"/>
      <c r="BL1307" s="115"/>
      <c r="BM1307" s="115"/>
      <c r="BN1307" s="115"/>
      <c r="BO1307" s="115"/>
      <c r="BP1307" s="115"/>
      <c r="BQ1307" s="115"/>
      <c r="BR1307" s="115"/>
      <c r="BS1307" s="115"/>
      <c r="BT1307" s="115"/>
      <c r="BU1307" s="115"/>
      <c r="BV1307" s="115"/>
      <c r="BW1307" s="115"/>
      <c r="BX1307" s="115"/>
      <c r="BY1307" s="26"/>
      <c r="BZ1307" s="15"/>
      <c r="CC1307" s="114"/>
    </row>
    <row r="1308" spans="6:81" ht="19.5" x14ac:dyDescent="0.4">
      <c r="BA1308" s="25"/>
      <c r="BB1308" s="13"/>
      <c r="BF1308" s="115"/>
      <c r="BG1308" s="117"/>
      <c r="BH1308" s="123"/>
      <c r="BI1308" s="123"/>
      <c r="BJ1308" s="123"/>
      <c r="BK1308" s="115"/>
      <c r="BL1308" s="115"/>
      <c r="BM1308" s="115"/>
      <c r="BN1308" s="115"/>
      <c r="BO1308" s="115"/>
      <c r="BP1308" s="115"/>
      <c r="BQ1308" s="115"/>
      <c r="BR1308" s="115"/>
      <c r="BS1308" s="115"/>
      <c r="BT1308" s="115"/>
      <c r="BU1308" s="115"/>
      <c r="BV1308" s="115"/>
      <c r="BW1308" s="115"/>
      <c r="BX1308" s="115"/>
      <c r="BY1308" s="26">
        <v>45278</v>
      </c>
      <c r="BZ1308" s="15" t="s">
        <v>163</v>
      </c>
      <c r="CC1308" s="114"/>
    </row>
    <row r="1309" spans="6:81" ht="19.5" x14ac:dyDescent="0.4">
      <c r="BA1309" s="25"/>
      <c r="BB1309" s="13"/>
      <c r="BF1309" s="115"/>
      <c r="BG1309" s="117"/>
      <c r="BH1309" s="123"/>
      <c r="BI1309" s="123"/>
      <c r="BJ1309" s="123"/>
      <c r="BK1309" s="115"/>
      <c r="BL1309" s="115"/>
      <c r="BM1309" s="115"/>
      <c r="BN1309" s="115"/>
      <c r="BO1309" s="115"/>
      <c r="BP1309" s="115"/>
      <c r="BQ1309" s="115"/>
      <c r="BR1309" s="115"/>
      <c r="BS1309" s="115"/>
      <c r="BT1309" s="115"/>
      <c r="BU1309" s="115"/>
      <c r="BV1309" s="115"/>
      <c r="BW1309" s="115"/>
      <c r="BX1309" s="115"/>
      <c r="BY1309" s="26"/>
      <c r="BZ1309" s="15"/>
      <c r="CC1309" s="114"/>
    </row>
    <row r="1310" spans="6:81" ht="19.5" x14ac:dyDescent="0.4">
      <c r="AR1310" s="115"/>
      <c r="AS1310" s="115"/>
      <c r="AT1310" s="115"/>
      <c r="AU1310" s="115"/>
      <c r="AV1310" s="115"/>
      <c r="AW1310" s="115"/>
      <c r="AX1310" s="115"/>
      <c r="AY1310" s="115"/>
      <c r="AZ1310" s="115"/>
      <c r="BA1310" s="13"/>
      <c r="BB1310" s="13"/>
      <c r="BF1310" s="115"/>
      <c r="BG1310" s="117"/>
      <c r="BH1310" s="123"/>
      <c r="BI1310" s="123"/>
      <c r="BJ1310" s="123"/>
      <c r="BK1310" s="115"/>
      <c r="BL1310" s="115"/>
      <c r="BM1310" s="115"/>
      <c r="BN1310" s="115"/>
      <c r="BO1310" s="115"/>
      <c r="BP1310" s="115"/>
      <c r="BQ1310" s="115"/>
      <c r="BR1310" s="115"/>
      <c r="BS1310" s="115"/>
      <c r="BT1310" s="115"/>
      <c r="BU1310" s="115"/>
      <c r="BV1310" s="115"/>
      <c r="BW1310" s="115"/>
      <c r="BX1310" s="115"/>
      <c r="BY1310" s="26"/>
      <c r="BZ1310" s="15"/>
      <c r="CC1310" s="114"/>
    </row>
    <row r="1311" spans="6:81" ht="19.5" x14ac:dyDescent="0.4">
      <c r="BA1311" s="25"/>
      <c r="BB1311" s="13"/>
      <c r="BF1311" s="115"/>
      <c r="BG1311" s="117"/>
      <c r="BH1311" s="123"/>
      <c r="BI1311" s="123"/>
      <c r="BJ1311" s="123"/>
      <c r="BK1311" s="115"/>
      <c r="BL1311" s="115"/>
      <c r="BM1311" s="115"/>
      <c r="BN1311" s="115"/>
      <c r="BO1311" s="115"/>
      <c r="BP1311" s="115"/>
      <c r="BQ1311" s="115"/>
      <c r="BR1311" s="115"/>
      <c r="BS1311" s="115"/>
      <c r="BT1311" s="115"/>
      <c r="BU1311" s="115"/>
      <c r="BV1311" s="115"/>
      <c r="BW1311" s="115"/>
      <c r="BX1311" s="115"/>
      <c r="BY1311" s="26">
        <v>45278</v>
      </c>
      <c r="BZ1311" s="15" t="s">
        <v>163</v>
      </c>
      <c r="CC1311" s="114"/>
    </row>
    <row r="1312" spans="6:81" ht="19.5" x14ac:dyDescent="0.4">
      <c r="AR1312" s="115"/>
      <c r="AS1312" s="115"/>
      <c r="AT1312" s="115"/>
      <c r="AU1312" s="115"/>
      <c r="AV1312" s="115"/>
      <c r="AW1312" s="115"/>
      <c r="AX1312" s="115"/>
      <c r="AY1312" s="115"/>
      <c r="AZ1312" s="115"/>
      <c r="BA1312" s="13"/>
      <c r="BB1312" s="13"/>
      <c r="BF1312" s="115"/>
      <c r="BG1312" s="117"/>
      <c r="BH1312" s="123"/>
      <c r="BI1312" s="123"/>
      <c r="BJ1312" s="123"/>
      <c r="BK1312" s="115"/>
      <c r="BL1312" s="115"/>
      <c r="BM1312" s="115"/>
      <c r="BN1312" s="115"/>
      <c r="BO1312" s="115"/>
      <c r="BP1312" s="115"/>
      <c r="BQ1312" s="115"/>
      <c r="BR1312" s="115"/>
      <c r="BS1312" s="115"/>
      <c r="BT1312" s="115"/>
      <c r="BU1312" s="115"/>
      <c r="BV1312" s="115"/>
      <c r="BW1312" s="115"/>
      <c r="BX1312" s="115"/>
      <c r="BY1312" s="26"/>
      <c r="BZ1312" s="13"/>
      <c r="CC1312" s="114"/>
    </row>
    <row r="1313" spans="44:81" ht="19.5" x14ac:dyDescent="0.4">
      <c r="BA1313" s="25"/>
      <c r="BB1313" s="13"/>
      <c r="BF1313" s="115"/>
      <c r="BG1313" s="117"/>
      <c r="BH1313" s="123"/>
      <c r="BI1313" s="123"/>
      <c r="BJ1313" s="123"/>
      <c r="BK1313" s="115"/>
      <c r="BL1313" s="115"/>
      <c r="BM1313" s="115"/>
      <c r="BN1313" s="115"/>
      <c r="BO1313" s="115"/>
      <c r="BP1313" s="115"/>
      <c r="BQ1313" s="115"/>
      <c r="BR1313" s="115"/>
      <c r="BS1313" s="115"/>
      <c r="BT1313" s="115"/>
      <c r="BU1313" s="115"/>
      <c r="BV1313" s="115"/>
      <c r="BW1313" s="115"/>
      <c r="BX1313" s="115" t="s">
        <v>153</v>
      </c>
      <c r="BY1313" s="17">
        <f>SUBTOTAL(3,BY1282:BY1311)</f>
        <v>12</v>
      </c>
      <c r="BZ1313" s="13">
        <f>SUBTOTAL(3,BZ1282:BZ1311)</f>
        <v>12</v>
      </c>
      <c r="CC1313" s="114"/>
    </row>
    <row r="1314" spans="44:81" ht="19.5" x14ac:dyDescent="0.4">
      <c r="AR1314" s="115"/>
      <c r="AS1314" s="115"/>
      <c r="AT1314" s="115"/>
      <c r="AU1314" s="115"/>
      <c r="AV1314" s="115"/>
      <c r="AW1314" s="115"/>
      <c r="AX1314" s="115"/>
      <c r="AY1314" s="115"/>
      <c r="AZ1314" s="115"/>
      <c r="BA1314" s="13"/>
      <c r="BB1314" s="13"/>
      <c r="BF1314" s="115"/>
      <c r="BG1314" s="117"/>
      <c r="BH1314" s="123"/>
      <c r="BI1314" s="123"/>
      <c r="BJ1314" s="123"/>
      <c r="BK1314" s="115"/>
      <c r="BL1314" s="115"/>
      <c r="BM1314" s="115"/>
      <c r="BN1314" s="115"/>
      <c r="BO1314" s="115"/>
      <c r="BP1314" s="115"/>
      <c r="BQ1314" s="115"/>
      <c r="BR1314" s="115"/>
      <c r="BS1314" s="115"/>
      <c r="BT1314" s="115"/>
      <c r="BU1314" s="115"/>
      <c r="BV1314" s="115"/>
      <c r="BW1314" s="115"/>
      <c r="BX1314" s="115"/>
      <c r="BY1314" s="17"/>
      <c r="BZ1314" s="13"/>
      <c r="CC1314" s="114"/>
    </row>
    <row r="1315" spans="44:81" ht="19.5" x14ac:dyDescent="0.4">
      <c r="BA1315" s="25"/>
      <c r="BB1315" s="13"/>
      <c r="BF1315" s="115"/>
      <c r="BG1315" s="117"/>
      <c r="BH1315" s="123"/>
      <c r="BI1315" s="123"/>
      <c r="BJ1315" s="123"/>
      <c r="BK1315" s="115"/>
      <c r="BL1315" s="115"/>
      <c r="BM1315" s="115"/>
      <c r="BN1315" s="115"/>
      <c r="BO1315" s="115"/>
      <c r="BP1315" s="115"/>
      <c r="BQ1315" s="115"/>
      <c r="BR1315" s="115"/>
      <c r="BS1315" s="115"/>
      <c r="BT1315" s="115"/>
      <c r="BU1315" s="115"/>
      <c r="BV1315" s="115"/>
      <c r="BW1315" s="115"/>
      <c r="BX1315" s="115"/>
      <c r="BY1315" s="26">
        <v>45279</v>
      </c>
      <c r="BZ1315" s="25" t="s">
        <v>162</v>
      </c>
      <c r="CC1315" s="114"/>
    </row>
    <row r="1316" spans="44:81" ht="19.5" x14ac:dyDescent="0.4">
      <c r="BA1316" s="25"/>
      <c r="BB1316" s="13"/>
      <c r="BF1316" s="115"/>
      <c r="BG1316" s="117"/>
      <c r="BH1316" s="123"/>
      <c r="BI1316" s="123"/>
      <c r="BJ1316" s="123"/>
      <c r="BK1316" s="115"/>
      <c r="BL1316" s="115"/>
      <c r="BM1316" s="115"/>
      <c r="BN1316" s="115"/>
      <c r="BO1316" s="115"/>
      <c r="BP1316" s="115"/>
      <c r="BQ1316" s="115"/>
      <c r="BR1316" s="115"/>
      <c r="BS1316" s="115"/>
      <c r="BT1316" s="115"/>
      <c r="BU1316" s="115"/>
      <c r="BV1316" s="115"/>
      <c r="BW1316" s="115"/>
      <c r="BX1316" s="115"/>
      <c r="BY1316" s="26">
        <v>45279</v>
      </c>
      <c r="BZ1316" s="13" t="s">
        <v>162</v>
      </c>
      <c r="CC1316" s="114"/>
    </row>
    <row r="1317" spans="44:81" ht="19.5" x14ac:dyDescent="0.4">
      <c r="AR1317" s="115"/>
      <c r="AS1317" s="115"/>
      <c r="AT1317" s="115"/>
      <c r="AU1317" s="115"/>
      <c r="AV1317" s="115"/>
      <c r="AW1317" s="115"/>
      <c r="AX1317" s="115"/>
      <c r="AY1317" s="115"/>
      <c r="AZ1317" s="115"/>
      <c r="BA1317" s="20"/>
      <c r="BB1317" s="13"/>
      <c r="BF1317" s="115"/>
      <c r="BG1317" s="117"/>
      <c r="BH1317" s="123"/>
      <c r="BI1317" s="123"/>
      <c r="BJ1317" s="123"/>
      <c r="BK1317" s="115"/>
      <c r="BL1317" s="115"/>
      <c r="BM1317" s="115"/>
      <c r="BN1317" s="115"/>
      <c r="BO1317" s="115"/>
      <c r="BP1317" s="115"/>
      <c r="BQ1317" s="115"/>
      <c r="BR1317" s="115"/>
      <c r="BS1317" s="115"/>
      <c r="BT1317" s="115"/>
      <c r="BU1317" s="115"/>
      <c r="BV1317" s="115"/>
      <c r="BW1317" s="115"/>
      <c r="BX1317" s="115"/>
      <c r="BY1317" s="26"/>
      <c r="BZ1317" s="13"/>
      <c r="CC1317" s="114"/>
    </row>
    <row r="1318" spans="44:81" ht="19.5" x14ac:dyDescent="0.4">
      <c r="AR1318" s="115"/>
      <c r="AS1318" s="115"/>
      <c r="AT1318" s="115"/>
      <c r="AU1318" s="115"/>
      <c r="AV1318" s="115"/>
      <c r="AW1318" s="115"/>
      <c r="AX1318" s="115"/>
      <c r="AY1318" s="115"/>
      <c r="AZ1318" s="115"/>
      <c r="BA1318" s="20"/>
      <c r="BB1318" s="13"/>
      <c r="BF1318" s="115"/>
      <c r="BG1318" s="117"/>
      <c r="BH1318" s="123"/>
      <c r="BI1318" s="123"/>
      <c r="BJ1318" s="123"/>
      <c r="BK1318" s="115"/>
      <c r="BL1318" s="115"/>
      <c r="BM1318" s="115"/>
      <c r="BN1318" s="115"/>
      <c r="BO1318" s="115"/>
      <c r="BP1318" s="115"/>
      <c r="BQ1318" s="115"/>
      <c r="BR1318" s="115"/>
      <c r="BS1318" s="115"/>
      <c r="BT1318" s="115"/>
      <c r="BU1318" s="115"/>
      <c r="BV1318" s="115"/>
      <c r="BW1318" s="115"/>
      <c r="BX1318" s="115"/>
      <c r="BY1318" s="26"/>
      <c r="BZ1318" s="13"/>
      <c r="CC1318" s="114"/>
    </row>
    <row r="1319" spans="44:81" ht="19.5" x14ac:dyDescent="0.4">
      <c r="BA1319" s="26"/>
      <c r="BB1319" s="13"/>
      <c r="BF1319" s="115"/>
      <c r="BG1319" s="117"/>
      <c r="BH1319" s="123"/>
      <c r="BI1319" s="123"/>
      <c r="BJ1319" s="123"/>
      <c r="BK1319" s="115"/>
      <c r="BL1319" s="115"/>
      <c r="BM1319" s="115"/>
      <c r="BN1319" s="115"/>
      <c r="BO1319" s="115"/>
      <c r="BP1319" s="115"/>
      <c r="BQ1319" s="115"/>
      <c r="BR1319" s="115"/>
      <c r="BS1319" s="115"/>
      <c r="BT1319" s="115"/>
      <c r="BU1319" s="115"/>
      <c r="BV1319" s="115"/>
      <c r="BW1319" s="115"/>
      <c r="BX1319" s="115"/>
      <c r="BY1319" s="26">
        <v>45279</v>
      </c>
      <c r="BZ1319" s="13" t="s">
        <v>162</v>
      </c>
      <c r="CC1319" s="114"/>
    </row>
    <row r="1320" spans="44:81" ht="19.5" x14ac:dyDescent="0.4">
      <c r="BA1320" s="26"/>
      <c r="BB1320" s="13"/>
      <c r="BF1320" s="115"/>
      <c r="BG1320" s="117"/>
      <c r="BH1320" s="123"/>
      <c r="BI1320" s="123"/>
      <c r="BJ1320" s="123"/>
      <c r="BK1320" s="115"/>
      <c r="BL1320" s="115"/>
      <c r="BM1320" s="115"/>
      <c r="BN1320" s="115"/>
      <c r="BO1320" s="115"/>
      <c r="BP1320" s="115"/>
      <c r="BQ1320" s="115"/>
      <c r="BR1320" s="115"/>
      <c r="BS1320" s="115"/>
      <c r="BT1320" s="115"/>
      <c r="BU1320" s="115"/>
      <c r="BV1320" s="115"/>
      <c r="BW1320" s="115"/>
      <c r="BX1320" s="115"/>
      <c r="BY1320" s="26">
        <v>45279</v>
      </c>
      <c r="BZ1320" s="13" t="s">
        <v>162</v>
      </c>
      <c r="CC1320" s="114"/>
    </row>
    <row r="1321" spans="44:81" ht="19.5" x14ac:dyDescent="0.4">
      <c r="BA1321" s="129"/>
      <c r="BB1321" s="13"/>
      <c r="BF1321" s="115"/>
      <c r="BG1321" s="117"/>
      <c r="BH1321" s="123"/>
      <c r="BI1321" s="123"/>
      <c r="BJ1321" s="123"/>
      <c r="BK1321" s="115"/>
      <c r="BL1321" s="115"/>
      <c r="BM1321" s="115"/>
      <c r="BN1321" s="115"/>
      <c r="BO1321" s="115"/>
      <c r="BP1321" s="115"/>
      <c r="BQ1321" s="115"/>
      <c r="BR1321" s="115"/>
      <c r="BS1321" s="115"/>
      <c r="BT1321" s="115"/>
      <c r="BU1321" s="115"/>
      <c r="BV1321" s="115"/>
      <c r="BW1321" s="115"/>
      <c r="BX1321" s="115"/>
      <c r="BY1321" s="26"/>
      <c r="BZ1321" s="13"/>
      <c r="CC1321" s="114"/>
    </row>
    <row r="1322" spans="44:81" ht="19.5" x14ac:dyDescent="0.4">
      <c r="BA1322" s="26"/>
      <c r="BB1322" s="13"/>
      <c r="BF1322" s="115"/>
      <c r="BG1322" s="117"/>
      <c r="BH1322" s="123"/>
      <c r="BI1322" s="123"/>
      <c r="BJ1322" s="123"/>
      <c r="BK1322" s="115"/>
      <c r="BL1322" s="115"/>
      <c r="BM1322" s="115"/>
      <c r="BN1322" s="115"/>
      <c r="BO1322" s="115"/>
      <c r="BP1322" s="115"/>
      <c r="BQ1322" s="115"/>
      <c r="BR1322" s="115"/>
      <c r="BS1322" s="115"/>
      <c r="BT1322" s="115"/>
      <c r="BU1322" s="115"/>
      <c r="BV1322" s="115"/>
      <c r="BW1322" s="115"/>
      <c r="BX1322" s="115"/>
      <c r="BY1322" s="26">
        <v>45279</v>
      </c>
      <c r="BZ1322" s="13" t="s">
        <v>162</v>
      </c>
      <c r="CC1322" s="114"/>
    </row>
    <row r="1323" spans="44:81" ht="19.5" x14ac:dyDescent="0.4">
      <c r="BA1323" s="26"/>
      <c r="BB1323" s="13"/>
      <c r="BF1323" s="115"/>
      <c r="BG1323" s="117"/>
      <c r="BH1323" s="123"/>
      <c r="BI1323" s="123"/>
      <c r="BJ1323" s="123"/>
      <c r="BK1323" s="115"/>
      <c r="BL1323" s="115"/>
      <c r="BM1323" s="115"/>
      <c r="BN1323" s="115"/>
      <c r="BO1323" s="115"/>
      <c r="BP1323" s="115"/>
      <c r="BQ1323" s="115"/>
      <c r="BR1323" s="115"/>
      <c r="BS1323" s="115"/>
      <c r="BT1323" s="115"/>
      <c r="BU1323" s="115"/>
      <c r="BV1323" s="115"/>
      <c r="BW1323" s="115"/>
      <c r="BX1323" s="115"/>
      <c r="BY1323" s="26">
        <v>45279</v>
      </c>
      <c r="BZ1323" s="13" t="s">
        <v>162</v>
      </c>
      <c r="CC1323" s="114"/>
    </row>
    <row r="1324" spans="44:81" ht="19.5" x14ac:dyDescent="0.4">
      <c r="BA1324" s="26"/>
      <c r="BB1324" s="13"/>
      <c r="BF1324" s="115"/>
      <c r="BG1324" s="117"/>
      <c r="BH1324" s="123"/>
      <c r="BI1324" s="123"/>
      <c r="BJ1324" s="123"/>
      <c r="BK1324" s="115"/>
      <c r="BL1324" s="115"/>
      <c r="BM1324" s="115"/>
      <c r="BN1324" s="115"/>
      <c r="BO1324" s="115"/>
      <c r="BP1324" s="115"/>
      <c r="BQ1324" s="115"/>
      <c r="BR1324" s="115"/>
      <c r="BS1324" s="115"/>
      <c r="BT1324" s="115"/>
      <c r="BU1324" s="115"/>
      <c r="BV1324" s="115"/>
      <c r="BW1324" s="115"/>
      <c r="BX1324" s="115" t="s">
        <v>170</v>
      </c>
      <c r="BY1324" s="17">
        <f>SUBTOTAL(3,BY1315:BY1323)</f>
        <v>6</v>
      </c>
      <c r="BZ1324" s="13">
        <f>SUBTOTAL(3,BZ1315:BZ1323)</f>
        <v>6</v>
      </c>
      <c r="CC1324" s="114"/>
    </row>
    <row r="1325" spans="44:81" ht="19.5" x14ac:dyDescent="0.4">
      <c r="BA1325" s="129"/>
      <c r="BB1325" s="13"/>
      <c r="BF1325" s="115"/>
      <c r="BG1325" s="117"/>
      <c r="BH1325" s="123"/>
      <c r="BI1325" s="123"/>
      <c r="BJ1325" s="123"/>
      <c r="BK1325" s="115"/>
      <c r="BL1325" s="115"/>
      <c r="BM1325" s="115"/>
      <c r="BN1325" s="115"/>
      <c r="BO1325" s="115"/>
      <c r="BP1325" s="115"/>
      <c r="BQ1325" s="115"/>
      <c r="BR1325" s="115"/>
      <c r="BS1325" s="115"/>
      <c r="BT1325" s="115"/>
      <c r="BU1325" s="115"/>
      <c r="BV1325" s="115"/>
      <c r="BW1325" s="115"/>
      <c r="BX1325" s="115"/>
      <c r="BY1325" s="17"/>
      <c r="BZ1325" s="13"/>
      <c r="CC1325" s="114"/>
    </row>
    <row r="1326" spans="44:81" ht="19.5" x14ac:dyDescent="0.4">
      <c r="BA1326" s="26"/>
      <c r="BB1326" s="13"/>
      <c r="BF1326" s="115"/>
      <c r="BG1326" s="117"/>
      <c r="BH1326" s="123"/>
      <c r="BI1326" s="123"/>
      <c r="BJ1326" s="123"/>
      <c r="BK1326" s="115"/>
      <c r="BL1326" s="115"/>
      <c r="BM1326" s="115"/>
      <c r="BN1326" s="115"/>
      <c r="BO1326" s="115"/>
      <c r="BP1326" s="115"/>
      <c r="BQ1326" s="115"/>
      <c r="BR1326" s="115"/>
      <c r="BS1326" s="115"/>
      <c r="BT1326" s="115"/>
      <c r="BU1326" s="115"/>
      <c r="BV1326" s="115"/>
      <c r="BW1326" s="115"/>
      <c r="BX1326" s="115"/>
      <c r="BY1326" s="26">
        <v>45280</v>
      </c>
      <c r="BZ1326" s="13" t="s">
        <v>162</v>
      </c>
      <c r="CC1326" s="114"/>
    </row>
    <row r="1327" spans="44:81" ht="19.5" x14ac:dyDescent="0.4">
      <c r="BA1327" s="26"/>
      <c r="BB1327" s="13"/>
      <c r="BF1327" s="115"/>
      <c r="BG1327" s="116"/>
      <c r="BH1327" s="123"/>
      <c r="BI1327" s="123"/>
      <c r="BJ1327" s="123"/>
      <c r="BK1327" s="115"/>
      <c r="BL1327" s="115"/>
      <c r="BM1327" s="115"/>
      <c r="BN1327" s="115"/>
      <c r="BO1327" s="115"/>
      <c r="BP1327" s="115"/>
      <c r="BQ1327" s="115"/>
      <c r="BR1327" s="115"/>
      <c r="BS1327" s="115"/>
      <c r="BT1327" s="115"/>
      <c r="BU1327" s="115"/>
      <c r="BV1327" s="115"/>
      <c r="BW1327" s="115"/>
      <c r="BX1327" s="115"/>
      <c r="BY1327" s="26">
        <v>45280</v>
      </c>
      <c r="BZ1327" s="13" t="s">
        <v>162</v>
      </c>
      <c r="CC1327" s="114"/>
    </row>
    <row r="1328" spans="44:81" ht="19.5" x14ac:dyDescent="0.4">
      <c r="BA1328" s="26"/>
      <c r="BB1328" s="13"/>
      <c r="BF1328" s="115"/>
      <c r="BG1328" s="116"/>
      <c r="BH1328" s="123"/>
      <c r="BI1328" s="123"/>
      <c r="BJ1328" s="123"/>
      <c r="BK1328" s="115"/>
      <c r="BL1328" s="115"/>
      <c r="BM1328" s="115"/>
      <c r="BN1328" s="115"/>
      <c r="BO1328" s="115"/>
      <c r="BP1328" s="115"/>
      <c r="BQ1328" s="115"/>
      <c r="BR1328" s="115"/>
      <c r="BS1328" s="115"/>
      <c r="BT1328" s="115"/>
      <c r="BU1328" s="115"/>
      <c r="BV1328" s="115"/>
      <c r="BW1328" s="115"/>
      <c r="BX1328" s="115"/>
      <c r="BY1328" s="26">
        <v>45280</v>
      </c>
      <c r="BZ1328" s="13" t="s">
        <v>162</v>
      </c>
      <c r="CC1328" s="114"/>
    </row>
    <row r="1329" spans="53:81" ht="19.5" x14ac:dyDescent="0.4">
      <c r="BA1329" s="26"/>
      <c r="BB1329" s="13"/>
      <c r="BF1329" s="115"/>
      <c r="BG1329" s="116"/>
      <c r="BH1329" s="123"/>
      <c r="BI1329" s="123"/>
      <c r="BJ1329" s="123"/>
      <c r="BK1329" s="115"/>
      <c r="BL1329" s="115"/>
      <c r="BM1329" s="115"/>
      <c r="BN1329" s="115"/>
      <c r="BO1329" s="115"/>
      <c r="BP1329" s="115"/>
      <c r="BQ1329" s="115"/>
      <c r="BR1329" s="115"/>
      <c r="BS1329" s="115"/>
      <c r="BT1329" s="115"/>
      <c r="BU1329" s="115"/>
      <c r="BV1329" s="115"/>
      <c r="BW1329" s="115"/>
      <c r="BX1329" s="115"/>
      <c r="BY1329" s="26">
        <v>45280</v>
      </c>
      <c r="BZ1329" s="13" t="s">
        <v>162</v>
      </c>
      <c r="CC1329" s="114"/>
    </row>
    <row r="1330" spans="53:81" ht="19.5" x14ac:dyDescent="0.4">
      <c r="BA1330" s="129"/>
      <c r="BB1330" s="13"/>
      <c r="BF1330" s="115"/>
      <c r="BG1330" s="116"/>
      <c r="BH1330" s="123"/>
      <c r="BI1330" s="123"/>
      <c r="BJ1330" s="123"/>
      <c r="BK1330" s="115"/>
      <c r="BL1330" s="115"/>
      <c r="BM1330" s="115"/>
      <c r="BN1330" s="115"/>
      <c r="BO1330" s="115"/>
      <c r="BP1330" s="115"/>
      <c r="BQ1330" s="115"/>
      <c r="BR1330" s="115"/>
      <c r="BS1330" s="115"/>
      <c r="BT1330" s="115"/>
      <c r="BU1330" s="115"/>
      <c r="BV1330" s="115"/>
      <c r="BW1330" s="115"/>
      <c r="BX1330" s="115"/>
      <c r="BY1330" s="26"/>
      <c r="BZ1330" s="13"/>
      <c r="CC1330" s="114"/>
    </row>
    <row r="1331" spans="53:81" ht="19.5" x14ac:dyDescent="0.4">
      <c r="BA1331" s="26"/>
      <c r="BB1331" s="13"/>
      <c r="BF1331" s="115"/>
      <c r="BG1331" s="116"/>
      <c r="BH1331" s="123"/>
      <c r="BI1331" s="123"/>
      <c r="BJ1331" s="123"/>
      <c r="BK1331" s="115"/>
      <c r="BL1331" s="115"/>
      <c r="BM1331" s="115"/>
      <c r="BN1331" s="115"/>
      <c r="BO1331" s="115"/>
      <c r="BP1331" s="115"/>
      <c r="BQ1331" s="115"/>
      <c r="BR1331" s="115"/>
      <c r="BS1331" s="115"/>
      <c r="BT1331" s="115"/>
      <c r="BU1331" s="115"/>
      <c r="BV1331" s="115"/>
      <c r="BW1331" s="115"/>
      <c r="BX1331" s="115"/>
      <c r="BY1331" s="26">
        <v>45280</v>
      </c>
      <c r="BZ1331" s="13" t="s">
        <v>162</v>
      </c>
      <c r="CC1331" s="114"/>
    </row>
    <row r="1332" spans="53:81" ht="19.5" x14ac:dyDescent="0.4">
      <c r="BA1332" s="130"/>
      <c r="BB1332" s="119"/>
      <c r="BF1332" s="115"/>
      <c r="BG1332" s="116"/>
      <c r="BH1332" s="123"/>
      <c r="BI1332" s="123"/>
      <c r="BJ1332" s="123"/>
      <c r="BK1332" s="115"/>
      <c r="BL1332" s="115"/>
      <c r="BM1332" s="115"/>
      <c r="BN1332" s="115"/>
      <c r="BO1332" s="115"/>
      <c r="BP1332" s="115"/>
      <c r="BQ1332" s="115"/>
      <c r="BR1332" s="115"/>
      <c r="BS1332" s="115"/>
      <c r="BT1332" s="115"/>
      <c r="BU1332" s="115"/>
      <c r="BV1332" s="115"/>
      <c r="BW1332" s="115"/>
      <c r="BX1332" s="115"/>
      <c r="BY1332" s="26"/>
      <c r="BZ1332" s="13"/>
      <c r="CC1332" s="114"/>
    </row>
    <row r="1333" spans="53:81" ht="19.5" x14ac:dyDescent="0.4">
      <c r="BA1333" s="130"/>
      <c r="BB1333" s="119"/>
      <c r="BF1333" s="115"/>
      <c r="BG1333" s="116"/>
      <c r="BH1333" s="123"/>
      <c r="BI1333" s="123"/>
      <c r="BJ1333" s="123"/>
      <c r="BK1333" s="115"/>
      <c r="BL1333" s="115"/>
      <c r="BM1333" s="115"/>
      <c r="BN1333" s="115"/>
      <c r="BO1333" s="115"/>
      <c r="BP1333" s="115"/>
      <c r="BQ1333" s="115"/>
      <c r="BR1333" s="115"/>
      <c r="BS1333" s="115"/>
      <c r="BT1333" s="115"/>
      <c r="BU1333" s="115"/>
      <c r="BV1333" s="115"/>
      <c r="BW1333" s="115"/>
      <c r="BX1333" s="115"/>
      <c r="BY1333" s="26"/>
      <c r="BZ1333" s="13"/>
      <c r="CC1333" s="114"/>
    </row>
    <row r="1334" spans="53:81" ht="19.5" x14ac:dyDescent="0.4">
      <c r="BF1334" s="115"/>
      <c r="BG1334" s="116"/>
      <c r="BH1334" s="123"/>
      <c r="BI1334" s="123"/>
      <c r="BJ1334" s="123"/>
      <c r="BK1334" s="115"/>
      <c r="BL1334" s="115"/>
      <c r="BM1334" s="115"/>
      <c r="BN1334" s="115"/>
      <c r="BO1334" s="115"/>
      <c r="BP1334" s="115"/>
      <c r="BQ1334" s="115"/>
      <c r="BR1334" s="115"/>
      <c r="BS1334" s="115"/>
      <c r="BT1334" s="115"/>
      <c r="BU1334" s="115"/>
      <c r="BV1334" s="115"/>
      <c r="BW1334" s="115"/>
      <c r="BX1334" s="115"/>
      <c r="BY1334" s="26">
        <v>45280</v>
      </c>
      <c r="BZ1334" s="13" t="s">
        <v>162</v>
      </c>
      <c r="CC1334" s="114"/>
    </row>
    <row r="1335" spans="53:81" ht="19.5" x14ac:dyDescent="0.4">
      <c r="BF1335" s="115"/>
      <c r="BG1335" s="116"/>
      <c r="BH1335" s="123"/>
      <c r="BI1335" s="123"/>
      <c r="BJ1335" s="123"/>
      <c r="BK1335" s="115"/>
      <c r="BL1335" s="115"/>
      <c r="BM1335" s="115"/>
      <c r="BN1335" s="115"/>
      <c r="BO1335" s="115"/>
      <c r="BP1335" s="115"/>
      <c r="BQ1335" s="115"/>
      <c r="BR1335" s="115"/>
      <c r="BS1335" s="115"/>
      <c r="BT1335" s="115"/>
      <c r="BU1335" s="115"/>
      <c r="BV1335" s="115"/>
      <c r="BW1335" s="115"/>
      <c r="BX1335" s="115"/>
      <c r="BY1335" s="26">
        <v>45280</v>
      </c>
      <c r="BZ1335" s="13" t="s">
        <v>162</v>
      </c>
      <c r="CC1335" s="114"/>
    </row>
    <row r="1336" spans="53:81" ht="19.5" x14ac:dyDescent="0.4">
      <c r="BF1336" s="115"/>
      <c r="BG1336" s="116"/>
      <c r="BH1336" s="123"/>
      <c r="BI1336" s="123"/>
      <c r="BJ1336" s="123"/>
      <c r="BK1336" s="115"/>
      <c r="BL1336" s="115"/>
      <c r="BM1336" s="115"/>
      <c r="BN1336" s="115"/>
      <c r="BO1336" s="115"/>
      <c r="BP1336" s="115"/>
      <c r="BQ1336" s="115"/>
      <c r="BR1336" s="115"/>
      <c r="BS1336" s="115"/>
      <c r="BT1336" s="115"/>
      <c r="BU1336" s="115"/>
      <c r="BV1336" s="115"/>
      <c r="BW1336" s="115"/>
      <c r="BX1336" s="115"/>
      <c r="BY1336" s="26">
        <v>45280</v>
      </c>
      <c r="BZ1336" s="13" t="s">
        <v>162</v>
      </c>
      <c r="CC1336" s="114"/>
    </row>
    <row r="1337" spans="53:81" ht="19.5" x14ac:dyDescent="0.4">
      <c r="BE1337" s="115"/>
      <c r="BF1337" s="115"/>
      <c r="BG1337" s="116"/>
      <c r="BH1337" s="123"/>
      <c r="BI1337" s="123"/>
      <c r="BJ1337" s="123"/>
      <c r="BK1337" s="115"/>
      <c r="BL1337" s="115"/>
      <c r="BM1337" s="115"/>
      <c r="BN1337" s="115"/>
      <c r="BO1337" s="115"/>
      <c r="BP1337" s="115"/>
      <c r="BQ1337" s="115"/>
      <c r="BR1337" s="115"/>
      <c r="BS1337" s="115"/>
      <c r="BT1337" s="115"/>
      <c r="BU1337" s="115"/>
      <c r="BV1337" s="115"/>
      <c r="BW1337" s="115"/>
      <c r="BX1337" s="115"/>
      <c r="BY1337" s="26">
        <v>45280</v>
      </c>
      <c r="BZ1337" s="13" t="s">
        <v>162</v>
      </c>
      <c r="CC1337" s="114"/>
    </row>
    <row r="1338" spans="53:81" ht="19.5" x14ac:dyDescent="0.4">
      <c r="BE1338" s="115"/>
      <c r="BF1338" s="115"/>
      <c r="BG1338" s="116"/>
      <c r="BH1338" s="123"/>
      <c r="BI1338" s="123"/>
      <c r="BJ1338" s="123"/>
      <c r="BK1338" s="115"/>
      <c r="BL1338" s="115"/>
      <c r="BM1338" s="115"/>
      <c r="BN1338" s="115"/>
      <c r="BO1338" s="115"/>
      <c r="BP1338" s="115"/>
      <c r="BQ1338" s="115"/>
      <c r="BR1338" s="115"/>
      <c r="BS1338" s="115"/>
      <c r="BT1338" s="115"/>
      <c r="BU1338" s="115"/>
      <c r="BV1338" s="115"/>
      <c r="BW1338" s="115"/>
      <c r="BX1338" s="115"/>
      <c r="BY1338" s="26">
        <v>45280</v>
      </c>
      <c r="BZ1338" s="13" t="s">
        <v>162</v>
      </c>
      <c r="CC1338" s="114"/>
    </row>
    <row r="1339" spans="53:81" ht="19.5" x14ac:dyDescent="0.4">
      <c r="BC1339" s="115"/>
      <c r="BD1339" s="115"/>
      <c r="BE1339" s="115"/>
      <c r="BF1339" s="115"/>
      <c r="BG1339" s="116"/>
      <c r="BH1339" s="123"/>
      <c r="BI1339" s="123"/>
      <c r="BJ1339" s="123"/>
      <c r="BK1339" s="115"/>
      <c r="BL1339" s="115"/>
      <c r="BM1339" s="115"/>
      <c r="BN1339" s="115"/>
      <c r="BO1339" s="115"/>
      <c r="BP1339" s="115"/>
      <c r="BQ1339" s="115"/>
      <c r="BR1339" s="115"/>
      <c r="BS1339" s="115"/>
      <c r="BT1339" s="115"/>
      <c r="BU1339" s="115"/>
      <c r="BV1339" s="115"/>
      <c r="BW1339" s="115"/>
      <c r="BX1339" s="115"/>
      <c r="BY1339" s="26">
        <v>45280</v>
      </c>
      <c r="BZ1339" s="13" t="s">
        <v>162</v>
      </c>
      <c r="CC1339" s="114"/>
    </row>
    <row r="1340" spans="53:81" x14ac:dyDescent="0.4">
      <c r="BC1340" s="115"/>
      <c r="BD1340" s="115"/>
      <c r="BE1340" s="115"/>
      <c r="BF1340" s="115"/>
      <c r="BG1340" s="115"/>
      <c r="BH1340" s="122"/>
      <c r="BI1340" s="122"/>
      <c r="BJ1340" s="122"/>
      <c r="BK1340" s="115"/>
      <c r="BL1340" s="115"/>
      <c r="BM1340" s="115"/>
      <c r="BN1340" s="115"/>
      <c r="BO1340" s="115"/>
      <c r="BP1340" s="115"/>
      <c r="BQ1340" s="115"/>
      <c r="BR1340" s="115"/>
      <c r="BS1340" s="115"/>
      <c r="BT1340" s="115"/>
      <c r="BU1340" s="115"/>
      <c r="BV1340" s="115"/>
      <c r="BW1340" s="115"/>
      <c r="BX1340" s="115"/>
      <c r="BY1340" s="26">
        <v>45280</v>
      </c>
      <c r="BZ1340" s="13" t="s">
        <v>162</v>
      </c>
      <c r="CC1340" s="114"/>
    </row>
    <row r="1341" spans="53:81" x14ac:dyDescent="0.4">
      <c r="BC1341" s="115"/>
      <c r="BD1341" s="115"/>
      <c r="BE1341" s="115"/>
      <c r="BF1341" s="115"/>
      <c r="BG1341" s="115"/>
      <c r="BH1341" s="122"/>
      <c r="BI1341" s="122"/>
      <c r="BJ1341" s="122"/>
      <c r="BK1341" s="115"/>
      <c r="BL1341" s="115"/>
      <c r="BM1341" s="115"/>
      <c r="BN1341" s="115"/>
      <c r="BO1341" s="115"/>
      <c r="BP1341" s="115"/>
      <c r="BQ1341" s="115"/>
      <c r="BR1341" s="115"/>
      <c r="BS1341" s="115"/>
      <c r="BT1341" s="115"/>
      <c r="BU1341" s="115"/>
      <c r="BV1341" s="115"/>
      <c r="BW1341" s="115"/>
      <c r="BX1341" s="115"/>
      <c r="BY1341" s="26">
        <v>45280</v>
      </c>
      <c r="BZ1341" s="13" t="s">
        <v>162</v>
      </c>
      <c r="CC1341" s="114"/>
    </row>
    <row r="1342" spans="53:81" x14ac:dyDescent="0.4">
      <c r="BC1342" s="115"/>
      <c r="BD1342" s="115"/>
      <c r="BE1342" s="115"/>
      <c r="BF1342" s="115"/>
      <c r="BG1342" s="115"/>
      <c r="BH1342" s="122"/>
      <c r="BI1342" s="122"/>
      <c r="BJ1342" s="122"/>
      <c r="BK1342" s="115"/>
      <c r="BL1342" s="115"/>
      <c r="BM1342" s="115"/>
      <c r="BN1342" s="115"/>
      <c r="BO1342" s="115"/>
      <c r="BP1342" s="115"/>
      <c r="BQ1342" s="115"/>
      <c r="BR1342" s="115"/>
      <c r="BS1342" s="115"/>
      <c r="BT1342" s="115"/>
      <c r="BU1342" s="115"/>
      <c r="BV1342" s="115"/>
      <c r="BW1342" s="115"/>
      <c r="BX1342" s="115" t="s">
        <v>171</v>
      </c>
      <c r="BY1342" s="17">
        <f>SUBTOTAL(3,BY1326:BY1341)</f>
        <v>13</v>
      </c>
      <c r="BZ1342" s="13">
        <f>SUBTOTAL(3,BZ1326:BZ1341)</f>
        <v>13</v>
      </c>
      <c r="CC1342" s="114"/>
    </row>
    <row r="1343" spans="53:81" x14ac:dyDescent="0.4">
      <c r="BC1343" s="115"/>
      <c r="BD1343" s="115"/>
      <c r="BE1343" s="115"/>
      <c r="BF1343" s="115"/>
      <c r="BG1343" s="115"/>
      <c r="BH1343" s="122"/>
      <c r="BI1343" s="122"/>
      <c r="BJ1343" s="122"/>
      <c r="BK1343" s="115"/>
      <c r="BL1343" s="115"/>
      <c r="BM1343" s="115"/>
      <c r="BN1343" s="115"/>
      <c r="BO1343" s="115"/>
      <c r="BP1343" s="115"/>
      <c r="BQ1343" s="115"/>
      <c r="BR1343" s="115"/>
      <c r="BS1343" s="115"/>
      <c r="BT1343" s="115"/>
      <c r="BU1343" s="115"/>
      <c r="BV1343" s="115"/>
      <c r="BW1343" s="115"/>
      <c r="BX1343" s="115"/>
      <c r="BY1343" s="26">
        <v>45283</v>
      </c>
      <c r="BZ1343" s="13" t="s">
        <v>162</v>
      </c>
      <c r="CC1343" s="114"/>
    </row>
    <row r="1344" spans="53:81" x14ac:dyDescent="0.4">
      <c r="BC1344" s="115"/>
      <c r="BD1344" s="115"/>
      <c r="BE1344" s="115"/>
      <c r="BF1344" s="115"/>
      <c r="BG1344" s="115"/>
      <c r="BH1344" s="122"/>
      <c r="BI1344" s="122"/>
      <c r="BJ1344" s="122"/>
      <c r="BK1344" s="115"/>
      <c r="BL1344" s="115"/>
      <c r="BM1344" s="115"/>
      <c r="BN1344" s="115"/>
      <c r="BO1344" s="115"/>
      <c r="BP1344" s="115"/>
      <c r="BQ1344" s="115"/>
      <c r="BR1344" s="115"/>
      <c r="BS1344" s="115"/>
      <c r="BT1344" s="115"/>
      <c r="BU1344" s="115"/>
      <c r="BV1344" s="115"/>
      <c r="BW1344" s="115"/>
      <c r="BX1344" s="115"/>
      <c r="BY1344" s="26">
        <v>45283</v>
      </c>
      <c r="BZ1344" s="13" t="s">
        <v>162</v>
      </c>
      <c r="CC1344" s="114"/>
    </row>
    <row r="1345" spans="55:81" x14ac:dyDescent="0.4">
      <c r="BC1345" s="115"/>
      <c r="BD1345" s="115"/>
      <c r="BE1345" s="115"/>
      <c r="BF1345" s="115"/>
      <c r="BG1345" s="115"/>
      <c r="BH1345" s="122"/>
      <c r="BI1345" s="122"/>
      <c r="BJ1345" s="122"/>
      <c r="BK1345" s="115"/>
      <c r="BL1345" s="115"/>
      <c r="BM1345" s="115"/>
      <c r="BN1345" s="115"/>
      <c r="BO1345" s="115"/>
      <c r="BP1345" s="115"/>
      <c r="BQ1345" s="115"/>
      <c r="BR1345" s="115"/>
      <c r="BS1345" s="115"/>
      <c r="BT1345" s="115"/>
      <c r="BU1345" s="115"/>
      <c r="BV1345" s="115"/>
      <c r="BW1345" s="115"/>
      <c r="BX1345" s="115"/>
      <c r="BY1345" s="26">
        <v>45283</v>
      </c>
      <c r="BZ1345" s="13" t="s">
        <v>162</v>
      </c>
      <c r="CC1345" s="114"/>
    </row>
    <row r="1346" spans="55:81" x14ac:dyDescent="0.4">
      <c r="BC1346" s="115"/>
      <c r="BD1346" s="115"/>
      <c r="BE1346" s="115"/>
      <c r="BF1346" s="115"/>
      <c r="BG1346" s="115"/>
      <c r="BH1346" s="122"/>
      <c r="BI1346" s="122"/>
      <c r="BJ1346" s="122"/>
      <c r="BK1346" s="115"/>
      <c r="BL1346" s="115"/>
      <c r="BM1346" s="115"/>
      <c r="BN1346" s="115"/>
      <c r="BO1346" s="115"/>
      <c r="BP1346" s="115"/>
      <c r="BQ1346" s="115"/>
      <c r="BR1346" s="115"/>
      <c r="BS1346" s="115"/>
      <c r="BT1346" s="115"/>
      <c r="BU1346" s="115"/>
      <c r="BV1346" s="115"/>
      <c r="BW1346" s="115"/>
      <c r="BX1346" s="115"/>
      <c r="BY1346" s="26">
        <v>45283</v>
      </c>
      <c r="BZ1346" s="13" t="s">
        <v>162</v>
      </c>
      <c r="CC1346" s="114"/>
    </row>
    <row r="1347" spans="55:81" x14ac:dyDescent="0.4">
      <c r="BC1347" s="115"/>
      <c r="BD1347" s="115"/>
      <c r="BE1347" s="115"/>
      <c r="BF1347" s="115"/>
      <c r="BG1347" s="115"/>
      <c r="BH1347" s="122"/>
      <c r="BI1347" s="122"/>
      <c r="BJ1347" s="122"/>
      <c r="BK1347" s="115"/>
      <c r="BL1347" s="115"/>
      <c r="BM1347" s="115"/>
      <c r="BN1347" s="115"/>
      <c r="BO1347" s="115"/>
      <c r="BP1347" s="115"/>
      <c r="BQ1347" s="115"/>
      <c r="BR1347" s="115"/>
      <c r="BS1347" s="115"/>
      <c r="BT1347" s="115"/>
      <c r="BU1347" s="115"/>
      <c r="BV1347" s="115"/>
      <c r="BW1347" s="115"/>
      <c r="BX1347" s="115"/>
      <c r="BY1347" s="26">
        <v>45283</v>
      </c>
      <c r="BZ1347" s="13" t="s">
        <v>162</v>
      </c>
      <c r="CC1347" s="114"/>
    </row>
    <row r="1348" spans="55:81" x14ac:dyDescent="0.4">
      <c r="BC1348" s="115"/>
      <c r="BD1348" s="115"/>
      <c r="BE1348" s="115"/>
      <c r="BF1348" s="115"/>
      <c r="BG1348" s="115"/>
      <c r="BH1348" s="122"/>
      <c r="BI1348" s="122"/>
      <c r="BJ1348" s="122"/>
      <c r="BK1348" s="115"/>
      <c r="BL1348" s="115"/>
      <c r="BM1348" s="115"/>
      <c r="BN1348" s="115"/>
      <c r="BO1348" s="115"/>
      <c r="BP1348" s="115"/>
      <c r="BQ1348" s="115"/>
      <c r="BR1348" s="115"/>
      <c r="BS1348" s="115"/>
      <c r="BT1348" s="115"/>
      <c r="BU1348" s="115"/>
      <c r="BV1348" s="115"/>
      <c r="BW1348" s="115"/>
      <c r="BX1348" s="115"/>
      <c r="BY1348" s="26">
        <v>45283</v>
      </c>
      <c r="BZ1348" s="13" t="s">
        <v>162</v>
      </c>
      <c r="CC1348" s="114"/>
    </row>
    <row r="1349" spans="55:81" x14ac:dyDescent="0.4">
      <c r="BC1349" s="115"/>
      <c r="BD1349" s="115"/>
      <c r="BE1349" s="115"/>
      <c r="BF1349" s="115"/>
      <c r="BG1349" s="115"/>
      <c r="BH1349" s="122"/>
      <c r="BI1349" s="122"/>
      <c r="BJ1349" s="122"/>
      <c r="BK1349" s="115"/>
      <c r="BL1349" s="115"/>
      <c r="BM1349" s="115"/>
      <c r="BN1349" s="115"/>
      <c r="BO1349" s="115"/>
      <c r="BP1349" s="115"/>
      <c r="BQ1349" s="115"/>
      <c r="BR1349" s="115"/>
      <c r="BS1349" s="115"/>
      <c r="BT1349" s="115"/>
      <c r="BU1349" s="115"/>
      <c r="BV1349" s="115"/>
      <c r="BW1349" s="115"/>
      <c r="BX1349" s="115"/>
      <c r="BY1349" s="26">
        <v>45283</v>
      </c>
      <c r="BZ1349" s="13" t="s">
        <v>162</v>
      </c>
      <c r="CC1349" s="114"/>
    </row>
    <row r="1350" spans="55:81" x14ac:dyDescent="0.4">
      <c r="BC1350" s="115"/>
      <c r="BD1350" s="115"/>
      <c r="BE1350" s="115"/>
      <c r="BF1350" s="115"/>
      <c r="BG1350" s="115"/>
      <c r="BH1350" s="122"/>
      <c r="BI1350" s="122"/>
      <c r="BJ1350" s="122"/>
      <c r="BK1350" s="115"/>
      <c r="BL1350" s="115"/>
      <c r="BM1350" s="115"/>
      <c r="BN1350" s="115"/>
      <c r="BO1350" s="115"/>
      <c r="BP1350" s="115"/>
      <c r="BQ1350" s="115"/>
      <c r="BR1350" s="115"/>
      <c r="BS1350" s="115"/>
      <c r="BT1350" s="115"/>
      <c r="BU1350" s="115"/>
      <c r="BV1350" s="115"/>
      <c r="BW1350" s="115"/>
      <c r="BX1350" s="115"/>
      <c r="BY1350" s="26">
        <v>45283</v>
      </c>
      <c r="BZ1350" s="13" t="s">
        <v>162</v>
      </c>
      <c r="CC1350" s="114"/>
    </row>
    <row r="1351" spans="55:81" x14ac:dyDescent="0.4">
      <c r="BC1351" s="115"/>
      <c r="BD1351" s="115"/>
      <c r="BE1351" s="115"/>
      <c r="BF1351" s="115"/>
      <c r="BG1351" s="115"/>
      <c r="BH1351" s="122"/>
      <c r="BI1351" s="122"/>
      <c r="BJ1351" s="122"/>
      <c r="BK1351" s="115"/>
      <c r="BL1351" s="115"/>
      <c r="BM1351" s="115"/>
      <c r="BN1351" s="115"/>
      <c r="BO1351" s="115"/>
      <c r="BP1351" s="115"/>
      <c r="BQ1351" s="115"/>
      <c r="BR1351" s="115"/>
      <c r="BS1351" s="115"/>
      <c r="BT1351" s="115"/>
      <c r="BU1351" s="115"/>
      <c r="BV1351" s="115"/>
      <c r="BW1351" s="115"/>
      <c r="BX1351" s="115"/>
      <c r="BY1351" s="26">
        <v>45283</v>
      </c>
      <c r="BZ1351" s="13" t="s">
        <v>162</v>
      </c>
      <c r="CC1351" s="114"/>
    </row>
    <row r="1352" spans="55:81" x14ac:dyDescent="0.4">
      <c r="BC1352" s="115"/>
      <c r="BD1352" s="115"/>
      <c r="BE1352" s="115"/>
      <c r="BF1352" s="115"/>
      <c r="BG1352" s="115"/>
      <c r="BH1352" s="122"/>
      <c r="BI1352" s="122"/>
      <c r="BJ1352" s="122"/>
      <c r="BK1352" s="115"/>
      <c r="BL1352" s="115"/>
      <c r="BM1352" s="115"/>
      <c r="BN1352" s="115"/>
      <c r="BO1352" s="115"/>
      <c r="BP1352" s="115"/>
      <c r="BQ1352" s="115"/>
      <c r="BR1352" s="115"/>
      <c r="BS1352" s="115"/>
      <c r="BT1352" s="115"/>
      <c r="BU1352" s="115"/>
      <c r="BV1352" s="115"/>
      <c r="BW1352" s="115"/>
      <c r="BX1352" s="115"/>
      <c r="BY1352" s="26">
        <v>45283</v>
      </c>
      <c r="BZ1352" s="13" t="s">
        <v>162</v>
      </c>
      <c r="CC1352" s="114"/>
    </row>
    <row r="1353" spans="55:81" x14ac:dyDescent="0.4">
      <c r="BC1353" s="115"/>
      <c r="BD1353" s="115"/>
      <c r="BE1353" s="115"/>
      <c r="BF1353" s="115"/>
      <c r="BG1353" s="115"/>
      <c r="BH1353" s="122"/>
      <c r="BI1353" s="122"/>
      <c r="BJ1353" s="122"/>
      <c r="BK1353" s="115"/>
      <c r="BL1353" s="115"/>
      <c r="BM1353" s="115"/>
      <c r="BN1353" s="115"/>
      <c r="BO1353" s="115"/>
      <c r="BP1353" s="115"/>
      <c r="BQ1353" s="115"/>
      <c r="BR1353" s="115"/>
      <c r="BS1353" s="115"/>
      <c r="BT1353" s="115"/>
      <c r="BU1353" s="115"/>
      <c r="BV1353" s="115"/>
      <c r="BW1353" s="115"/>
      <c r="BX1353" s="115"/>
      <c r="BY1353" s="26">
        <v>45283</v>
      </c>
      <c r="BZ1353" s="13" t="s">
        <v>163</v>
      </c>
      <c r="CC1353" s="114"/>
    </row>
    <row r="1354" spans="55:81" x14ac:dyDescent="0.4">
      <c r="BC1354" s="115"/>
      <c r="BD1354" s="115"/>
      <c r="BE1354" s="115"/>
      <c r="BF1354" s="115"/>
      <c r="BG1354" s="115"/>
      <c r="BH1354" s="122"/>
      <c r="BI1354" s="122"/>
      <c r="BJ1354" s="122"/>
      <c r="BK1354" s="115"/>
      <c r="BL1354" s="115"/>
      <c r="BM1354" s="115"/>
      <c r="BN1354" s="115"/>
      <c r="BO1354" s="115"/>
      <c r="BP1354" s="115"/>
      <c r="BQ1354" s="115"/>
      <c r="BR1354" s="115"/>
      <c r="BS1354" s="115"/>
      <c r="BT1354" s="115"/>
      <c r="BU1354" s="115"/>
      <c r="BV1354" s="115"/>
      <c r="BW1354" s="115"/>
      <c r="BX1354" s="115"/>
      <c r="BY1354" s="26">
        <v>45283</v>
      </c>
      <c r="BZ1354" s="13" t="s">
        <v>163</v>
      </c>
      <c r="CC1354" s="114"/>
    </row>
    <row r="1355" spans="55:81" x14ac:dyDescent="0.4">
      <c r="BC1355" s="115"/>
      <c r="BD1355" s="115"/>
      <c r="BE1355" s="115"/>
      <c r="BF1355" s="115"/>
      <c r="BG1355" s="115"/>
      <c r="BH1355" s="122"/>
      <c r="BI1355" s="122"/>
      <c r="BJ1355" s="122"/>
      <c r="BK1355" s="115"/>
      <c r="BL1355" s="115"/>
      <c r="BM1355" s="115"/>
      <c r="BN1355" s="115"/>
      <c r="BO1355" s="115"/>
      <c r="BP1355" s="115"/>
      <c r="BQ1355" s="115"/>
      <c r="BR1355" s="115"/>
      <c r="BS1355" s="115"/>
      <c r="BT1355" s="115"/>
      <c r="BU1355" s="115"/>
      <c r="BV1355" s="115"/>
      <c r="BW1355" s="115"/>
      <c r="BX1355" s="115"/>
      <c r="BY1355" s="26">
        <v>45283</v>
      </c>
      <c r="BZ1355" s="13" t="s">
        <v>163</v>
      </c>
      <c r="CC1355" s="114"/>
    </row>
    <row r="1356" spans="55:81" x14ac:dyDescent="0.4">
      <c r="BC1356" s="115"/>
      <c r="BD1356" s="115"/>
      <c r="BE1356" s="115"/>
      <c r="BF1356" s="115"/>
      <c r="BG1356" s="115"/>
      <c r="BH1356" s="122"/>
      <c r="BI1356" s="122"/>
      <c r="BJ1356" s="122"/>
      <c r="BK1356" s="115"/>
      <c r="BL1356" s="115"/>
      <c r="BM1356" s="115"/>
      <c r="BN1356" s="115"/>
      <c r="BO1356" s="115"/>
      <c r="BP1356" s="115"/>
      <c r="BQ1356" s="115"/>
      <c r="BR1356" s="115"/>
      <c r="BS1356" s="115"/>
      <c r="BT1356" s="115"/>
      <c r="BU1356" s="115"/>
      <c r="BV1356" s="115"/>
      <c r="BW1356" s="115"/>
      <c r="BX1356" s="115" t="s">
        <v>161</v>
      </c>
      <c r="BY1356" s="17">
        <f>SUBTOTAL(3,BY1343:BY1355)</f>
        <v>13</v>
      </c>
      <c r="BZ1356" s="13">
        <f>SUBTOTAL(3,BZ1343:BZ1355)</f>
        <v>13</v>
      </c>
      <c r="CC1356" s="114"/>
    </row>
    <row r="1357" spans="55:81" x14ac:dyDescent="0.4">
      <c r="BC1357" s="115"/>
      <c r="BD1357" s="115"/>
      <c r="BE1357" s="115"/>
      <c r="BF1357" s="115"/>
      <c r="BG1357" s="115"/>
      <c r="BH1357" s="122"/>
      <c r="BI1357" s="122"/>
      <c r="BJ1357" s="122"/>
      <c r="BK1357" s="115"/>
      <c r="BL1357" s="115"/>
      <c r="BM1357" s="115"/>
      <c r="BN1357" s="115"/>
      <c r="BO1357" s="115"/>
      <c r="BP1357" s="115"/>
      <c r="BQ1357" s="115"/>
      <c r="BR1357" s="115"/>
      <c r="BS1357" s="115"/>
      <c r="BT1357" s="115"/>
      <c r="BU1357" s="115"/>
      <c r="BV1357" s="115"/>
      <c r="BW1357" s="115"/>
      <c r="BX1357" s="115"/>
      <c r="BY1357" s="26">
        <v>45285</v>
      </c>
      <c r="BZ1357" s="13" t="s">
        <v>163</v>
      </c>
      <c r="CC1357" s="114"/>
    </row>
    <row r="1358" spans="55:81" x14ac:dyDescent="0.4">
      <c r="BC1358" s="115"/>
      <c r="BD1358" s="115"/>
      <c r="BE1358" s="115"/>
      <c r="BF1358" s="115"/>
      <c r="BG1358" s="115"/>
      <c r="BH1358" s="122"/>
      <c r="BI1358" s="122"/>
      <c r="BJ1358" s="122"/>
      <c r="BK1358" s="115"/>
      <c r="BL1358" s="115"/>
      <c r="BM1358" s="115"/>
      <c r="BN1358" s="115"/>
      <c r="BO1358" s="115"/>
      <c r="BP1358" s="115"/>
      <c r="BQ1358" s="115"/>
      <c r="BR1358" s="115"/>
      <c r="BS1358" s="115"/>
      <c r="BT1358" s="115"/>
      <c r="BU1358" s="115"/>
      <c r="BV1358" s="115"/>
      <c r="BW1358" s="115"/>
      <c r="BX1358" s="115" t="s">
        <v>172</v>
      </c>
      <c r="BY1358" s="17">
        <f>SUBTOTAL(3,BY1357:BY1357)</f>
        <v>1</v>
      </c>
      <c r="BZ1358" s="13">
        <f>SUBTOTAL(3,BZ1357:BZ1357)</f>
        <v>1</v>
      </c>
      <c r="CC1358" s="114"/>
    </row>
    <row r="1359" spans="55:81" x14ac:dyDescent="0.4">
      <c r="BC1359" s="115"/>
      <c r="BD1359" s="115"/>
      <c r="BE1359" s="115"/>
      <c r="BF1359" s="115"/>
      <c r="BG1359" s="115"/>
      <c r="BH1359" s="122"/>
      <c r="BI1359" s="122"/>
      <c r="BJ1359" s="122"/>
      <c r="BK1359" s="115"/>
      <c r="BL1359" s="115"/>
      <c r="BM1359" s="115"/>
      <c r="BN1359" s="115"/>
      <c r="BO1359" s="115"/>
      <c r="BP1359" s="115"/>
      <c r="BQ1359" s="115"/>
      <c r="BR1359" s="115"/>
      <c r="BS1359" s="115"/>
      <c r="BT1359" s="115"/>
      <c r="BU1359" s="115"/>
      <c r="BV1359" s="115"/>
      <c r="BW1359" s="115"/>
      <c r="BX1359" s="115"/>
      <c r="BY1359" s="26">
        <v>45299</v>
      </c>
      <c r="BZ1359" s="13" t="s">
        <v>164</v>
      </c>
      <c r="CC1359" s="114"/>
    </row>
    <row r="1360" spans="55:81" x14ac:dyDescent="0.4">
      <c r="BC1360" s="115"/>
      <c r="BD1360" s="115"/>
      <c r="BE1360" s="115"/>
      <c r="BF1360" s="115"/>
      <c r="BG1360" s="115"/>
      <c r="BH1360" s="122"/>
      <c r="BI1360" s="122"/>
      <c r="BJ1360" s="122"/>
      <c r="BK1360" s="115"/>
      <c r="BL1360" s="115"/>
      <c r="BM1360" s="115"/>
      <c r="BN1360" s="115"/>
      <c r="BO1360" s="115"/>
      <c r="BP1360" s="115"/>
      <c r="BQ1360" s="115"/>
      <c r="BR1360" s="115"/>
      <c r="BS1360" s="115"/>
      <c r="BT1360" s="115"/>
      <c r="BU1360" s="115"/>
      <c r="BV1360" s="115"/>
      <c r="BW1360" s="115"/>
      <c r="BX1360" s="115"/>
      <c r="BY1360" s="26">
        <v>45299</v>
      </c>
      <c r="BZ1360" s="13" t="s">
        <v>162</v>
      </c>
      <c r="CC1360" s="114"/>
    </row>
    <row r="1361" spans="55:81" x14ac:dyDescent="0.4">
      <c r="BC1361" s="115"/>
      <c r="BD1361" s="115"/>
      <c r="BE1361" s="115"/>
      <c r="BF1361" s="115"/>
      <c r="BG1361" s="115"/>
      <c r="BH1361" s="122"/>
      <c r="BI1361" s="122"/>
      <c r="BJ1361" s="122"/>
      <c r="BK1361" s="115"/>
      <c r="BL1361" s="115"/>
      <c r="BM1361" s="115"/>
      <c r="BN1361" s="115"/>
      <c r="BO1361" s="115"/>
      <c r="BP1361" s="115"/>
      <c r="BQ1361" s="115"/>
      <c r="BR1361" s="115"/>
      <c r="BS1361" s="115"/>
      <c r="BT1361" s="115"/>
      <c r="BU1361" s="115"/>
      <c r="BV1361" s="115"/>
      <c r="BW1361" s="115"/>
      <c r="BX1361" s="115"/>
      <c r="BY1361" s="26">
        <v>45299</v>
      </c>
      <c r="BZ1361" s="13" t="s">
        <v>162</v>
      </c>
      <c r="CC1361" s="114"/>
    </row>
    <row r="1362" spans="55:81" x14ac:dyDescent="0.4">
      <c r="BC1362" s="115"/>
      <c r="BD1362" s="115"/>
      <c r="BE1362" s="115"/>
      <c r="BF1362" s="115"/>
      <c r="BG1362" s="115"/>
      <c r="BH1362" s="122"/>
      <c r="BI1362" s="122"/>
      <c r="BJ1362" s="122"/>
      <c r="BK1362" s="115"/>
      <c r="BL1362" s="115"/>
      <c r="BM1362" s="115"/>
      <c r="BN1362" s="115"/>
      <c r="BO1362" s="115"/>
      <c r="BP1362" s="115"/>
      <c r="BQ1362" s="115"/>
      <c r="BR1362" s="115"/>
      <c r="BS1362" s="115"/>
      <c r="BT1362" s="115"/>
      <c r="BU1362" s="115"/>
      <c r="BV1362" s="115"/>
      <c r="BW1362" s="115"/>
      <c r="BX1362" s="115"/>
      <c r="BY1362" s="26">
        <v>45299</v>
      </c>
      <c r="BZ1362" s="15" t="s">
        <v>162</v>
      </c>
      <c r="CC1362" s="114"/>
    </row>
    <row r="1363" spans="55:81" x14ac:dyDescent="0.4">
      <c r="BC1363" s="115"/>
      <c r="BD1363" s="115"/>
      <c r="BE1363" s="115"/>
      <c r="BF1363" s="115"/>
      <c r="BG1363" s="115"/>
      <c r="BH1363" s="122"/>
      <c r="BI1363" s="122"/>
      <c r="BJ1363" s="122"/>
      <c r="BK1363" s="115"/>
      <c r="BL1363" s="115"/>
      <c r="BM1363" s="115"/>
      <c r="BN1363" s="115"/>
      <c r="BO1363" s="115"/>
      <c r="BP1363" s="115"/>
      <c r="BQ1363" s="115"/>
      <c r="BR1363" s="115"/>
      <c r="BS1363" s="115"/>
      <c r="BT1363" s="115"/>
      <c r="BU1363" s="115"/>
      <c r="BV1363" s="115"/>
      <c r="BW1363" s="115"/>
      <c r="BX1363" s="115" t="s">
        <v>173</v>
      </c>
      <c r="BY1363" s="17">
        <f>SUBTOTAL(3,BY1359:BY1362)</f>
        <v>4</v>
      </c>
      <c r="BZ1363" s="13">
        <f>SUBTOTAL(3,BZ1359:BZ1362)</f>
        <v>4</v>
      </c>
      <c r="CC1363" s="114"/>
    </row>
    <row r="1364" spans="55:81" x14ac:dyDescent="0.4">
      <c r="BC1364" s="115"/>
      <c r="BD1364" s="115"/>
      <c r="BE1364" s="115"/>
      <c r="BF1364" s="115"/>
      <c r="BG1364" s="115"/>
      <c r="BH1364" s="122"/>
      <c r="BI1364" s="122"/>
      <c r="BJ1364" s="122"/>
      <c r="BK1364" s="115"/>
      <c r="BL1364" s="115"/>
      <c r="BM1364" s="115"/>
      <c r="BN1364" s="115"/>
      <c r="BO1364" s="115"/>
      <c r="BP1364" s="115"/>
      <c r="BQ1364" s="115"/>
      <c r="BR1364" s="115"/>
      <c r="BS1364" s="115"/>
      <c r="BT1364" s="115"/>
      <c r="BU1364" s="115"/>
      <c r="BV1364" s="115"/>
      <c r="BW1364" s="115"/>
      <c r="BX1364" s="115" t="s">
        <v>145</v>
      </c>
      <c r="BY1364" s="17">
        <f>SUBTOTAL(3,BY2:BY1362)</f>
        <v>136</v>
      </c>
      <c r="BZ1364" s="13">
        <f>SUBTOTAL(3,BZ2:BZ1362)</f>
        <v>136</v>
      </c>
      <c r="CC1364" s="114"/>
    </row>
    <row r="1365" spans="55:81" x14ac:dyDescent="0.4">
      <c r="BC1365" s="115"/>
      <c r="BD1365" s="115"/>
      <c r="BE1365" s="115"/>
      <c r="BF1365" s="115"/>
      <c r="BG1365" s="115"/>
      <c r="BH1365" s="122"/>
      <c r="BI1365" s="122"/>
      <c r="BJ1365" s="122"/>
      <c r="BK1365" s="115"/>
      <c r="BL1365" s="115"/>
      <c r="BM1365" s="115"/>
      <c r="BN1365" s="115"/>
      <c r="BO1365" s="115"/>
      <c r="BP1365" s="115"/>
      <c r="BQ1365" s="115"/>
      <c r="BR1365" s="115"/>
      <c r="BS1365" s="115"/>
      <c r="BT1365" s="115"/>
      <c r="BU1365" s="115"/>
      <c r="BV1365" s="115" t="s">
        <v>145</v>
      </c>
      <c r="BW1365" s="115"/>
      <c r="BX1365" s="115"/>
      <c r="BY1365" s="26"/>
      <c r="BZ1365" s="13"/>
      <c r="CC1365" s="114"/>
    </row>
    <row r="1366" spans="55:81" x14ac:dyDescent="0.4">
      <c r="BC1366" s="115"/>
      <c r="BD1366" s="115"/>
      <c r="BE1366" s="115"/>
      <c r="BF1366" s="115"/>
      <c r="BG1366" s="115"/>
      <c r="BH1366" s="122"/>
      <c r="BI1366" s="122"/>
      <c r="BJ1366" s="122"/>
      <c r="BK1366" s="115"/>
      <c r="BL1366" s="115"/>
      <c r="BM1366" s="115"/>
      <c r="BN1366" s="115"/>
      <c r="BO1366" s="115"/>
      <c r="BP1366" s="115"/>
      <c r="BQ1366" s="115"/>
      <c r="BR1366" s="115"/>
      <c r="BS1366" s="115"/>
      <c r="BT1366" s="115"/>
      <c r="BU1366" s="115"/>
      <c r="BV1366" s="115"/>
      <c r="BW1366" s="115"/>
      <c r="BX1366" s="115"/>
      <c r="BY1366" s="17"/>
      <c r="BZ1366" s="13"/>
      <c r="CC1366" s="114"/>
    </row>
    <row r="1367" spans="55:81" x14ac:dyDescent="0.4">
      <c r="BC1367" s="115"/>
      <c r="BD1367" s="115"/>
      <c r="BE1367" s="115"/>
      <c r="BF1367" s="115"/>
      <c r="BG1367" s="115"/>
      <c r="BH1367" s="122"/>
      <c r="BI1367" s="122"/>
      <c r="BJ1367" s="122"/>
      <c r="BK1367" s="115"/>
      <c r="BL1367" s="115"/>
      <c r="BM1367" s="115"/>
      <c r="BN1367" s="115"/>
      <c r="BO1367" s="115"/>
      <c r="BP1367" s="115"/>
      <c r="BQ1367" s="115"/>
      <c r="BR1367" s="115"/>
      <c r="BS1367" s="115"/>
      <c r="BT1367" s="115"/>
      <c r="BU1367" s="115"/>
      <c r="BV1367" s="115"/>
      <c r="BW1367" s="115"/>
      <c r="BX1367" s="115"/>
      <c r="BY1367" s="26"/>
      <c r="BZ1367" s="13"/>
      <c r="CC1367" s="114"/>
    </row>
    <row r="1368" spans="55:81" x14ac:dyDescent="0.4">
      <c r="BC1368" s="115"/>
      <c r="BD1368" s="115"/>
      <c r="BE1368" s="115"/>
      <c r="BF1368" s="115"/>
      <c r="BG1368" s="115"/>
      <c r="BH1368" s="122"/>
      <c r="BI1368" s="122"/>
      <c r="BJ1368" s="122"/>
      <c r="BK1368" s="115"/>
      <c r="BL1368" s="115"/>
      <c r="BM1368" s="115"/>
      <c r="BN1368" s="115"/>
      <c r="BO1368" s="115"/>
      <c r="BP1368" s="115"/>
      <c r="BQ1368" s="115"/>
      <c r="BR1368" s="115"/>
      <c r="BS1368" s="115"/>
      <c r="BT1368" s="115"/>
      <c r="BU1368" s="115"/>
      <c r="BV1368" s="115"/>
      <c r="BW1368" s="115"/>
      <c r="BX1368" s="115"/>
      <c r="BY1368" s="17"/>
      <c r="BZ1368" s="13"/>
      <c r="CC1368" s="114"/>
    </row>
    <row r="1369" spans="55:81" x14ac:dyDescent="0.4">
      <c r="BC1369" s="115"/>
      <c r="BD1369" s="115"/>
      <c r="BE1369" s="115"/>
      <c r="BF1369" s="115"/>
      <c r="BG1369" s="115"/>
      <c r="BH1369" s="122"/>
      <c r="BI1369" s="122"/>
      <c r="BJ1369" s="122"/>
      <c r="BK1369" s="115"/>
      <c r="BL1369" s="115"/>
      <c r="BM1369" s="115"/>
      <c r="BN1369" s="115"/>
      <c r="BO1369" s="115"/>
      <c r="BP1369" s="115"/>
      <c r="BQ1369" s="115"/>
      <c r="BR1369" s="115"/>
      <c r="BS1369" s="115"/>
      <c r="BT1369" s="115"/>
      <c r="BU1369" s="115"/>
      <c r="BV1369" s="115"/>
      <c r="BW1369" s="115"/>
      <c r="BX1369" s="115"/>
      <c r="BY1369" s="26"/>
      <c r="BZ1369" s="13"/>
      <c r="CC1369" s="114"/>
    </row>
    <row r="1370" spans="55:81" x14ac:dyDescent="0.4">
      <c r="BC1370" s="115"/>
      <c r="BD1370" s="115"/>
      <c r="BE1370" s="115"/>
      <c r="BF1370" s="115"/>
      <c r="BG1370" s="115"/>
      <c r="BH1370" s="122"/>
      <c r="BI1370" s="122"/>
      <c r="BJ1370" s="122"/>
      <c r="BK1370" s="115"/>
      <c r="BL1370" s="115"/>
      <c r="BM1370" s="115"/>
      <c r="BN1370" s="115"/>
      <c r="BO1370" s="115"/>
      <c r="BP1370" s="115"/>
      <c r="BQ1370" s="115"/>
      <c r="BR1370" s="115"/>
      <c r="BS1370" s="115"/>
      <c r="BT1370" s="115"/>
      <c r="BU1370" s="115"/>
      <c r="BV1370" s="115"/>
      <c r="BW1370" s="115"/>
      <c r="BX1370" s="115"/>
      <c r="BY1370" s="26"/>
      <c r="BZ1370" s="13"/>
      <c r="CC1370" s="114"/>
    </row>
    <row r="1371" spans="55:81" x14ac:dyDescent="0.4">
      <c r="BC1371" s="115"/>
      <c r="BD1371" s="115"/>
      <c r="BE1371" s="115"/>
      <c r="BF1371" s="115"/>
      <c r="BG1371" s="115"/>
      <c r="BH1371" s="122"/>
      <c r="BI1371" s="122"/>
      <c r="BJ1371" s="122"/>
      <c r="BK1371" s="115"/>
      <c r="BL1371" s="115"/>
      <c r="BM1371" s="115"/>
      <c r="BN1371" s="115"/>
      <c r="BO1371" s="115"/>
      <c r="BP1371" s="115"/>
      <c r="BQ1371" s="115"/>
      <c r="BR1371" s="115"/>
      <c r="BS1371" s="115"/>
      <c r="BT1371" s="115"/>
      <c r="BU1371" s="115"/>
      <c r="BV1371" s="115"/>
      <c r="BW1371" s="115"/>
      <c r="BX1371" s="115"/>
      <c r="BY1371" s="26"/>
      <c r="BZ1371" s="13"/>
      <c r="CC1371" s="114"/>
    </row>
    <row r="1372" spans="55:81" x14ac:dyDescent="0.4">
      <c r="BC1372" s="115"/>
      <c r="BD1372" s="115"/>
      <c r="BE1372" s="115"/>
      <c r="BF1372" s="115"/>
      <c r="BG1372" s="115"/>
      <c r="BH1372" s="122"/>
      <c r="BI1372" s="122"/>
      <c r="BJ1372" s="122"/>
      <c r="BK1372" s="115"/>
      <c r="BL1372" s="115"/>
      <c r="BM1372" s="115"/>
      <c r="BN1372" s="115"/>
      <c r="BO1372" s="115"/>
      <c r="BP1372" s="115"/>
      <c r="BQ1372" s="115"/>
      <c r="BR1372" s="115"/>
      <c r="BS1372" s="115"/>
      <c r="BT1372" s="115"/>
      <c r="BU1372" s="115"/>
      <c r="BV1372" s="115"/>
      <c r="BW1372" s="115"/>
      <c r="BX1372" s="115"/>
      <c r="BY1372" s="17"/>
      <c r="BZ1372" s="13"/>
      <c r="CC1372" s="114"/>
    </row>
    <row r="1373" spans="55:81" x14ac:dyDescent="0.4">
      <c r="BC1373" s="115"/>
      <c r="BD1373" s="115"/>
      <c r="BE1373" s="115"/>
      <c r="BF1373" s="115"/>
      <c r="BG1373" s="115"/>
      <c r="BH1373" s="122"/>
      <c r="BI1373" s="122"/>
      <c r="BJ1373" s="122"/>
      <c r="BK1373" s="115"/>
      <c r="BL1373" s="115"/>
      <c r="BM1373" s="115"/>
      <c r="BN1373" s="115"/>
      <c r="BO1373" s="115"/>
      <c r="BP1373" s="115"/>
      <c r="BQ1373" s="115"/>
      <c r="BR1373" s="115"/>
      <c r="BS1373" s="115"/>
      <c r="BT1373" s="115"/>
      <c r="BU1373" s="115"/>
      <c r="BV1373" s="115"/>
      <c r="BW1373" s="115"/>
      <c r="BX1373" s="115"/>
      <c r="BY1373" s="26"/>
      <c r="BZ1373" s="13"/>
      <c r="CC1373" s="114"/>
    </row>
    <row r="1374" spans="55:81" x14ac:dyDescent="0.4">
      <c r="BC1374" s="115"/>
      <c r="BD1374" s="115"/>
      <c r="BE1374" s="115"/>
      <c r="BF1374" s="115"/>
      <c r="BG1374" s="115"/>
      <c r="BH1374" s="122"/>
      <c r="BI1374" s="122"/>
      <c r="BJ1374" s="122"/>
      <c r="BK1374" s="115"/>
      <c r="BL1374" s="115"/>
      <c r="BM1374" s="115"/>
      <c r="BN1374" s="115"/>
      <c r="BO1374" s="115"/>
      <c r="BP1374" s="115"/>
      <c r="BQ1374" s="115"/>
      <c r="BR1374" s="115"/>
      <c r="BS1374" s="115"/>
      <c r="BT1374" s="115"/>
      <c r="BU1374" s="115"/>
      <c r="BV1374" s="115"/>
      <c r="BW1374" s="115"/>
      <c r="BX1374" s="115"/>
      <c r="BY1374" s="17"/>
      <c r="BZ1374" s="13"/>
      <c r="CC1374" s="114"/>
    </row>
    <row r="1375" spans="55:81" x14ac:dyDescent="0.4">
      <c r="BC1375" s="115"/>
      <c r="BD1375" s="115"/>
      <c r="BE1375" s="115"/>
      <c r="BF1375" s="115"/>
      <c r="BG1375" s="115"/>
      <c r="BH1375" s="122"/>
      <c r="BI1375" s="122"/>
      <c r="BJ1375" s="122"/>
      <c r="BK1375" s="115"/>
      <c r="BL1375" s="115"/>
      <c r="BM1375" s="115"/>
      <c r="BN1375" s="115"/>
      <c r="BO1375" s="115"/>
      <c r="BP1375" s="115"/>
      <c r="BQ1375" s="115"/>
      <c r="BR1375" s="115"/>
      <c r="BS1375" s="115"/>
      <c r="BT1375" s="115"/>
      <c r="BU1375" s="115"/>
      <c r="BV1375" s="115"/>
      <c r="BW1375" s="115"/>
      <c r="BX1375" s="115"/>
      <c r="BY1375" s="26"/>
      <c r="BZ1375" s="13"/>
      <c r="CC1375" s="114"/>
    </row>
    <row r="1376" spans="55:81" x14ac:dyDescent="0.4">
      <c r="BC1376" s="115"/>
      <c r="BD1376" s="115"/>
      <c r="BE1376" s="115"/>
      <c r="BF1376" s="115"/>
      <c r="BG1376" s="115"/>
      <c r="BH1376" s="122"/>
      <c r="BI1376" s="122"/>
      <c r="BJ1376" s="122"/>
      <c r="BK1376" s="115"/>
      <c r="BL1376" s="115"/>
      <c r="BM1376" s="115"/>
      <c r="BN1376" s="115"/>
      <c r="BO1376" s="115"/>
      <c r="BP1376" s="115"/>
      <c r="BQ1376" s="115"/>
      <c r="BR1376" s="115"/>
      <c r="BS1376" s="115"/>
      <c r="BT1376" s="115"/>
      <c r="BU1376" s="115"/>
      <c r="BV1376" s="115"/>
      <c r="BW1376" s="115"/>
      <c r="BX1376" s="115"/>
      <c r="BY1376" s="17"/>
      <c r="BZ1376" s="13"/>
      <c r="CC1376" s="114"/>
    </row>
    <row r="1377" spans="55:81" x14ac:dyDescent="0.4">
      <c r="BC1377" s="115"/>
      <c r="BD1377" s="115"/>
      <c r="BE1377" s="115"/>
      <c r="BF1377" s="115"/>
      <c r="BG1377" s="115"/>
      <c r="BH1377" s="122"/>
      <c r="BI1377" s="122"/>
      <c r="BJ1377" s="122"/>
      <c r="BK1377" s="115"/>
      <c r="BL1377" s="115"/>
      <c r="BM1377" s="115"/>
      <c r="BN1377" s="115"/>
      <c r="BO1377" s="115"/>
      <c r="BP1377" s="115"/>
      <c r="BQ1377" s="115"/>
      <c r="BR1377" s="115"/>
      <c r="BS1377" s="115"/>
      <c r="BT1377" s="115"/>
      <c r="BU1377" s="115"/>
      <c r="BV1377" s="115"/>
      <c r="BW1377" s="115"/>
      <c r="BX1377" s="115"/>
      <c r="BY1377" s="17"/>
      <c r="BZ1377" s="13"/>
      <c r="CC1377" s="114"/>
    </row>
    <row r="1378" spans="55:81" x14ac:dyDescent="0.4">
      <c r="BC1378" s="115"/>
      <c r="BD1378" s="115"/>
      <c r="BE1378" s="115"/>
      <c r="BF1378" s="115"/>
      <c r="BG1378" s="115"/>
      <c r="BH1378" s="122"/>
      <c r="BI1378" s="122"/>
      <c r="BJ1378" s="122"/>
      <c r="BK1378" s="115"/>
      <c r="BL1378" s="115"/>
      <c r="BM1378" s="115"/>
      <c r="BN1378" s="115"/>
      <c r="BO1378" s="115"/>
      <c r="BP1378" s="115"/>
      <c r="BQ1378" s="115"/>
      <c r="BR1378" s="115"/>
      <c r="BS1378" s="115"/>
      <c r="BT1378" s="115"/>
      <c r="BU1378" s="115"/>
      <c r="BV1378" s="115"/>
      <c r="BW1378" s="115"/>
      <c r="BX1378" s="115"/>
      <c r="BY1378" s="17"/>
      <c r="BZ1378" s="13"/>
      <c r="CC1378" s="114"/>
    </row>
    <row r="1379" spans="55:81" x14ac:dyDescent="0.4">
      <c r="BC1379" s="115"/>
      <c r="BD1379" s="115"/>
      <c r="BE1379" s="115"/>
      <c r="BF1379" s="115"/>
      <c r="BG1379" s="115"/>
      <c r="BH1379" s="122"/>
      <c r="BI1379" s="122"/>
      <c r="BJ1379" s="122"/>
      <c r="BK1379" s="115"/>
      <c r="BL1379" s="115"/>
      <c r="BM1379" s="115"/>
      <c r="BN1379" s="115"/>
      <c r="BO1379" s="115"/>
      <c r="BP1379" s="115"/>
      <c r="BQ1379" s="115"/>
      <c r="BR1379" s="115"/>
      <c r="BS1379" s="115"/>
      <c r="BT1379" s="115"/>
      <c r="BU1379" s="115"/>
      <c r="BV1379" s="115"/>
      <c r="BW1379" s="115"/>
      <c r="BX1379" s="115"/>
      <c r="BY1379" s="26"/>
      <c r="BZ1379" s="13"/>
      <c r="CC1379" s="114"/>
    </row>
    <row r="1380" spans="55:81" x14ac:dyDescent="0.4">
      <c r="BC1380" s="115"/>
      <c r="BD1380" s="115"/>
      <c r="BE1380" s="115"/>
      <c r="BF1380" s="115"/>
      <c r="BG1380" s="115"/>
      <c r="BH1380" s="122"/>
      <c r="BI1380" s="122"/>
      <c r="BJ1380" s="122"/>
      <c r="BK1380" s="115"/>
      <c r="BL1380" s="115"/>
      <c r="BM1380" s="115"/>
      <c r="BN1380" s="115"/>
      <c r="BO1380" s="115"/>
      <c r="BP1380" s="115"/>
      <c r="BQ1380" s="115"/>
      <c r="BR1380" s="115"/>
      <c r="BS1380" s="115"/>
      <c r="BT1380" s="115"/>
      <c r="BU1380" s="115"/>
      <c r="BV1380" s="115"/>
      <c r="BW1380" s="115"/>
      <c r="BX1380" s="115"/>
      <c r="BY1380" s="17"/>
      <c r="BZ1380" s="13"/>
      <c r="CC1380" s="114"/>
    </row>
    <row r="1381" spans="55:81" x14ac:dyDescent="0.4">
      <c r="BC1381" s="115"/>
      <c r="BD1381" s="115"/>
      <c r="BE1381" s="115"/>
      <c r="BF1381" s="115"/>
      <c r="BG1381" s="115"/>
      <c r="BH1381" s="122"/>
      <c r="BI1381" s="122"/>
      <c r="BJ1381" s="122"/>
      <c r="BK1381" s="115"/>
      <c r="BL1381" s="115"/>
      <c r="BM1381" s="115"/>
      <c r="BN1381" s="115"/>
      <c r="BO1381" s="115"/>
      <c r="BP1381" s="115"/>
      <c r="BQ1381" s="115"/>
      <c r="BR1381" s="115"/>
      <c r="BS1381" s="115"/>
      <c r="BT1381" s="115"/>
      <c r="BU1381" s="115"/>
      <c r="BV1381" s="115"/>
      <c r="BW1381" s="115"/>
      <c r="BX1381" s="115"/>
      <c r="BY1381" s="26"/>
      <c r="BZ1381" s="13"/>
      <c r="CC1381" s="114"/>
    </row>
    <row r="1382" spans="55:81" x14ac:dyDescent="0.4">
      <c r="BC1382" s="115"/>
      <c r="BD1382" s="115"/>
      <c r="BE1382" s="115"/>
      <c r="BF1382" s="115"/>
      <c r="BG1382" s="115"/>
      <c r="BH1382" s="122"/>
      <c r="BI1382" s="122"/>
      <c r="BJ1382" s="122"/>
      <c r="BK1382" s="115"/>
      <c r="BL1382" s="115"/>
      <c r="BM1382" s="115"/>
      <c r="BN1382" s="115"/>
      <c r="BO1382" s="115"/>
      <c r="BP1382" s="115"/>
      <c r="BQ1382" s="115"/>
      <c r="BR1382" s="115"/>
      <c r="BS1382" s="115"/>
      <c r="BT1382" s="115"/>
      <c r="BU1382" s="115"/>
      <c r="BV1382" s="115"/>
      <c r="BW1382" s="115"/>
      <c r="BX1382" s="115"/>
      <c r="BY1382" s="17"/>
      <c r="BZ1382" s="13"/>
      <c r="CC1382" s="114"/>
    </row>
    <row r="1383" spans="55:81" x14ac:dyDescent="0.4">
      <c r="BC1383" s="115"/>
      <c r="BD1383" s="115"/>
      <c r="BE1383" s="115"/>
      <c r="BF1383" s="115"/>
      <c r="BG1383" s="115"/>
      <c r="BH1383" s="122"/>
      <c r="BI1383" s="122"/>
      <c r="BJ1383" s="122"/>
      <c r="BK1383" s="115"/>
      <c r="BL1383" s="115"/>
      <c r="BM1383" s="115"/>
      <c r="BN1383" s="115"/>
      <c r="BO1383" s="115"/>
      <c r="BP1383" s="115"/>
      <c r="BQ1383" s="115"/>
      <c r="BR1383" s="115"/>
      <c r="BS1383" s="115"/>
      <c r="BT1383" s="115"/>
      <c r="BU1383" s="115"/>
      <c r="BV1383" s="115"/>
      <c r="BW1383" s="115"/>
      <c r="BX1383" s="115"/>
      <c r="BY1383" s="26"/>
      <c r="BZ1383" s="25"/>
      <c r="CC1383" s="114"/>
    </row>
    <row r="1384" spans="55:81" x14ac:dyDescent="0.4">
      <c r="BC1384" s="115"/>
      <c r="BD1384" s="115"/>
      <c r="BE1384" s="115"/>
      <c r="BF1384" s="115"/>
      <c r="BG1384" s="115"/>
      <c r="BH1384" s="122"/>
      <c r="BI1384" s="122"/>
      <c r="BJ1384" s="122"/>
      <c r="BK1384" s="115"/>
      <c r="BL1384" s="115"/>
      <c r="BM1384" s="115"/>
      <c r="BN1384" s="115"/>
      <c r="BO1384" s="115"/>
      <c r="BP1384" s="115"/>
      <c r="BQ1384" s="115"/>
      <c r="BR1384" s="115"/>
      <c r="BS1384" s="115"/>
      <c r="BT1384" s="115"/>
      <c r="BU1384" s="115"/>
      <c r="BV1384" s="115"/>
      <c r="BW1384" s="115"/>
      <c r="BX1384" s="115"/>
      <c r="BY1384" s="17"/>
      <c r="BZ1384" s="13"/>
      <c r="CC1384" s="114"/>
    </row>
    <row r="1385" spans="55:81" x14ac:dyDescent="0.4">
      <c r="BC1385" s="115"/>
      <c r="BD1385" s="115"/>
      <c r="BE1385" s="115"/>
      <c r="BF1385" s="115"/>
      <c r="BG1385" s="115"/>
      <c r="BH1385" s="122"/>
      <c r="BI1385" s="122"/>
      <c r="BJ1385" s="122"/>
      <c r="BK1385" s="115"/>
      <c r="BL1385" s="115"/>
      <c r="BM1385" s="115"/>
      <c r="BN1385" s="115"/>
      <c r="BO1385" s="115"/>
      <c r="BP1385" s="115"/>
      <c r="BQ1385" s="115"/>
      <c r="BR1385" s="115"/>
      <c r="BS1385" s="115"/>
      <c r="BT1385" s="115"/>
      <c r="BU1385" s="115"/>
      <c r="BV1385" s="115"/>
      <c r="BW1385" s="115"/>
      <c r="BX1385" s="115"/>
      <c r="BY1385" s="17"/>
      <c r="BZ1385" s="13"/>
      <c r="CC1385" s="114"/>
    </row>
    <row r="1386" spans="55:81" x14ac:dyDescent="0.4">
      <c r="BC1386" s="115"/>
      <c r="BD1386" s="115"/>
      <c r="BE1386" s="115"/>
      <c r="BF1386" s="115"/>
      <c r="BG1386" s="115"/>
      <c r="BH1386" s="122"/>
      <c r="BI1386" s="122"/>
      <c r="BJ1386" s="122"/>
      <c r="BK1386" s="115"/>
      <c r="BL1386" s="115"/>
      <c r="BM1386" s="115"/>
      <c r="BN1386" s="115"/>
      <c r="BO1386" s="115"/>
      <c r="BP1386" s="115"/>
      <c r="BQ1386" s="115"/>
      <c r="BR1386" s="115"/>
      <c r="BS1386" s="115"/>
      <c r="BT1386" s="115"/>
      <c r="BU1386" s="115"/>
      <c r="BV1386" s="115"/>
      <c r="BW1386" s="115"/>
      <c r="BX1386" s="115"/>
      <c r="BY1386" s="26"/>
      <c r="BZ1386" s="15"/>
      <c r="CC1386" s="114"/>
    </row>
    <row r="1387" spans="55:81" x14ac:dyDescent="0.4">
      <c r="BC1387" s="115"/>
      <c r="BD1387" s="115"/>
      <c r="BE1387" s="115"/>
      <c r="BF1387" s="115"/>
      <c r="BG1387" s="115"/>
      <c r="BH1387" s="122"/>
      <c r="BI1387" s="122"/>
      <c r="BJ1387" s="122"/>
      <c r="BK1387" s="115"/>
      <c r="BL1387" s="115"/>
      <c r="BM1387" s="115"/>
      <c r="BN1387" s="115"/>
      <c r="BO1387" s="115"/>
      <c r="BP1387" s="115"/>
      <c r="BQ1387" s="115"/>
      <c r="BR1387" s="115"/>
      <c r="BS1387" s="115"/>
      <c r="BT1387" s="115"/>
      <c r="BU1387" s="115"/>
      <c r="BV1387" s="115"/>
      <c r="BW1387" s="115"/>
      <c r="BX1387" s="115"/>
      <c r="BY1387" s="26"/>
      <c r="BZ1387" s="15"/>
      <c r="CC1387" s="114"/>
    </row>
    <row r="1388" spans="55:81" x14ac:dyDescent="0.4">
      <c r="BC1388" s="115"/>
      <c r="BD1388" s="115"/>
      <c r="BE1388" s="115"/>
      <c r="BF1388" s="115"/>
      <c r="BG1388" s="115"/>
      <c r="BH1388" s="122"/>
      <c r="BI1388" s="122"/>
      <c r="BJ1388" s="122"/>
      <c r="BK1388" s="115"/>
      <c r="BL1388" s="115"/>
      <c r="BM1388" s="115"/>
      <c r="BN1388" s="115"/>
      <c r="BO1388" s="115"/>
      <c r="BP1388" s="115"/>
      <c r="BQ1388" s="115"/>
      <c r="BR1388" s="115"/>
      <c r="BS1388" s="115"/>
      <c r="BT1388" s="115"/>
      <c r="BU1388" s="115"/>
      <c r="BV1388" s="115"/>
      <c r="BW1388" s="115"/>
      <c r="BX1388" s="115"/>
      <c r="BY1388" s="26"/>
      <c r="BZ1388" s="15"/>
      <c r="CC1388" s="114"/>
    </row>
    <row r="1389" spans="55:81" x14ac:dyDescent="0.4">
      <c r="BC1389" s="115"/>
      <c r="BD1389" s="115"/>
      <c r="BE1389" s="115"/>
      <c r="BF1389" s="115"/>
      <c r="BG1389" s="115"/>
      <c r="BH1389" s="122"/>
      <c r="BI1389" s="122"/>
      <c r="BJ1389" s="122"/>
      <c r="BK1389" s="115"/>
      <c r="BL1389" s="115"/>
      <c r="BM1389" s="115"/>
      <c r="BN1389" s="115"/>
      <c r="BO1389" s="115"/>
      <c r="BP1389" s="115"/>
      <c r="BQ1389" s="115"/>
      <c r="BR1389" s="115"/>
      <c r="BS1389" s="115"/>
      <c r="BT1389" s="115"/>
      <c r="BU1389" s="115"/>
      <c r="BV1389" s="115"/>
      <c r="BW1389" s="115"/>
      <c r="BX1389" s="115"/>
      <c r="BY1389" s="26"/>
      <c r="BZ1389" s="15"/>
      <c r="CC1389" s="114"/>
    </row>
    <row r="1390" spans="55:81" x14ac:dyDescent="0.4">
      <c r="BC1390" s="115"/>
      <c r="BD1390" s="115"/>
      <c r="BE1390" s="115"/>
      <c r="BF1390" s="115"/>
      <c r="BG1390" s="115"/>
      <c r="BH1390" s="122"/>
      <c r="BI1390" s="122"/>
      <c r="BJ1390" s="122"/>
      <c r="BK1390" s="115"/>
      <c r="BL1390" s="115"/>
      <c r="BM1390" s="115"/>
      <c r="BN1390" s="115"/>
      <c r="BO1390" s="115"/>
      <c r="BP1390" s="115"/>
      <c r="BQ1390" s="115"/>
      <c r="BR1390" s="115"/>
      <c r="BS1390" s="115"/>
      <c r="BT1390" s="115"/>
      <c r="BU1390" s="115"/>
      <c r="BV1390" s="115"/>
      <c r="BW1390" s="115"/>
      <c r="BX1390" s="115"/>
      <c r="BY1390" s="26"/>
      <c r="BZ1390" s="15"/>
      <c r="CC1390" s="114"/>
    </row>
    <row r="1391" spans="55:81" x14ac:dyDescent="0.4">
      <c r="BC1391" s="115"/>
      <c r="BD1391" s="115"/>
      <c r="BE1391" s="115"/>
      <c r="BF1391" s="115"/>
      <c r="BG1391" s="115"/>
      <c r="BH1391" s="122"/>
      <c r="BI1391" s="122"/>
      <c r="BJ1391" s="122"/>
      <c r="BK1391" s="115"/>
      <c r="BL1391" s="115"/>
      <c r="BM1391" s="115"/>
      <c r="BN1391" s="115"/>
      <c r="BO1391" s="115"/>
      <c r="BP1391" s="115"/>
      <c r="BQ1391" s="115"/>
      <c r="BR1391" s="115"/>
      <c r="BS1391" s="115"/>
      <c r="BT1391" s="115"/>
      <c r="BU1391" s="115"/>
      <c r="BV1391" s="115"/>
      <c r="BW1391" s="115"/>
      <c r="BX1391" s="115"/>
      <c r="BY1391" s="26"/>
      <c r="BZ1391" s="15"/>
      <c r="CC1391" s="114"/>
    </row>
    <row r="1392" spans="55:81" x14ac:dyDescent="0.4">
      <c r="BC1392" s="115"/>
      <c r="BD1392" s="115"/>
      <c r="BE1392" s="115"/>
      <c r="BF1392" s="115"/>
      <c r="BG1392" s="115"/>
      <c r="BH1392" s="122"/>
      <c r="BI1392" s="122"/>
      <c r="BJ1392" s="122"/>
      <c r="BK1392" s="115"/>
      <c r="BL1392" s="115"/>
      <c r="BM1392" s="115"/>
      <c r="BN1392" s="115"/>
      <c r="BO1392" s="115"/>
      <c r="BP1392" s="115"/>
      <c r="BQ1392" s="115"/>
      <c r="BR1392" s="115"/>
      <c r="BS1392" s="115"/>
      <c r="BT1392" s="115"/>
      <c r="BU1392" s="115"/>
      <c r="BV1392" s="115"/>
      <c r="BW1392" s="115"/>
      <c r="BX1392" s="115"/>
      <c r="BY1392" s="26"/>
      <c r="BZ1392" s="15"/>
      <c r="CC1392" s="114"/>
    </row>
    <row r="1393" spans="55:81" x14ac:dyDescent="0.4">
      <c r="BC1393" s="115"/>
      <c r="BD1393" s="115"/>
      <c r="BE1393" s="115"/>
      <c r="BF1393" s="115"/>
      <c r="BG1393" s="115"/>
      <c r="BH1393" s="122"/>
      <c r="BI1393" s="122"/>
      <c r="BJ1393" s="122"/>
      <c r="BK1393" s="115"/>
      <c r="BL1393" s="115"/>
      <c r="BM1393" s="115"/>
      <c r="BN1393" s="115"/>
      <c r="BO1393" s="115"/>
      <c r="BP1393" s="115"/>
      <c r="BQ1393" s="115"/>
      <c r="BR1393" s="115"/>
      <c r="BS1393" s="115"/>
      <c r="BT1393" s="115"/>
      <c r="BU1393" s="115"/>
      <c r="BV1393" s="115"/>
      <c r="BW1393" s="115"/>
      <c r="BX1393" s="115"/>
      <c r="BY1393" s="26"/>
      <c r="BZ1393" s="15"/>
      <c r="CC1393" s="114"/>
    </row>
    <row r="1394" spans="55:81" x14ac:dyDescent="0.4">
      <c r="BC1394" s="115"/>
      <c r="BD1394" s="115"/>
      <c r="BE1394" s="115"/>
      <c r="BF1394" s="115"/>
      <c r="BG1394" s="115"/>
      <c r="BH1394" s="122"/>
      <c r="BI1394" s="122"/>
      <c r="BJ1394" s="122"/>
      <c r="BK1394" s="115"/>
      <c r="BL1394" s="115"/>
      <c r="BM1394" s="115"/>
      <c r="BN1394" s="115"/>
      <c r="BO1394" s="115"/>
      <c r="BP1394" s="115"/>
      <c r="BQ1394" s="115"/>
      <c r="BR1394" s="115"/>
      <c r="BS1394" s="115"/>
      <c r="BT1394" s="115"/>
      <c r="BU1394" s="115"/>
      <c r="BV1394" s="115"/>
      <c r="BW1394" s="115"/>
      <c r="BX1394" s="115"/>
      <c r="BY1394" s="17"/>
      <c r="BZ1394" s="15"/>
      <c r="CC1394" s="114"/>
    </row>
    <row r="1395" spans="55:81" x14ac:dyDescent="0.4">
      <c r="BC1395" s="115"/>
      <c r="BD1395" s="115"/>
      <c r="BE1395" s="115"/>
      <c r="BF1395" s="115"/>
      <c r="BG1395" s="115"/>
      <c r="BH1395" s="122"/>
      <c r="BI1395" s="122"/>
      <c r="BJ1395" s="122"/>
      <c r="BK1395" s="115"/>
      <c r="BL1395" s="115"/>
      <c r="BM1395" s="115"/>
      <c r="BN1395" s="115"/>
      <c r="BO1395" s="115"/>
      <c r="BP1395" s="115"/>
      <c r="BQ1395" s="115"/>
      <c r="BR1395" s="115"/>
      <c r="BS1395" s="115"/>
      <c r="BT1395" s="115"/>
      <c r="BU1395" s="115"/>
      <c r="BV1395" s="115"/>
      <c r="BW1395" s="115"/>
      <c r="BX1395" s="115"/>
      <c r="BY1395" s="26"/>
      <c r="BZ1395" s="15"/>
      <c r="CC1395" s="114"/>
    </row>
    <row r="1396" spans="55:81" x14ac:dyDescent="0.4">
      <c r="BC1396" s="115"/>
      <c r="BD1396" s="115"/>
      <c r="BE1396" s="115"/>
      <c r="BF1396" s="115"/>
      <c r="BG1396" s="115"/>
      <c r="BH1396" s="122"/>
      <c r="BI1396" s="122"/>
      <c r="BJ1396" s="122"/>
      <c r="BK1396" s="115"/>
      <c r="BL1396" s="115"/>
      <c r="BM1396" s="115"/>
      <c r="BN1396" s="115"/>
      <c r="BO1396" s="115"/>
      <c r="BP1396" s="115"/>
      <c r="BQ1396" s="115"/>
      <c r="BR1396" s="115"/>
      <c r="BS1396" s="115"/>
      <c r="BT1396" s="115"/>
      <c r="BU1396" s="115"/>
      <c r="BV1396" s="115"/>
      <c r="BW1396" s="115"/>
      <c r="BX1396" s="115"/>
      <c r="BY1396" s="26"/>
      <c r="BZ1396" s="13"/>
      <c r="CC1396" s="114"/>
    </row>
    <row r="1397" spans="55:81" x14ac:dyDescent="0.4">
      <c r="BC1397" s="115"/>
      <c r="BD1397" s="115"/>
      <c r="BE1397" s="115"/>
      <c r="BF1397" s="115"/>
      <c r="BG1397" s="115"/>
      <c r="BH1397" s="122"/>
      <c r="BI1397" s="122"/>
      <c r="BJ1397" s="122"/>
      <c r="BK1397" s="115"/>
      <c r="BL1397" s="115"/>
      <c r="BM1397" s="115"/>
      <c r="BN1397" s="115"/>
      <c r="BO1397" s="115"/>
      <c r="BP1397" s="115"/>
      <c r="BQ1397" s="115"/>
      <c r="BR1397" s="115"/>
      <c r="BS1397" s="115"/>
      <c r="BT1397" s="115"/>
      <c r="BU1397" s="115"/>
      <c r="BV1397" s="115"/>
      <c r="BW1397" s="115"/>
      <c r="BX1397" s="115"/>
      <c r="BY1397" s="26"/>
      <c r="BZ1397" s="13"/>
      <c r="CC1397" s="114"/>
    </row>
    <row r="1398" spans="55:81" x14ac:dyDescent="0.4">
      <c r="BC1398" s="115"/>
      <c r="BD1398" s="115"/>
      <c r="BE1398" s="115"/>
      <c r="BF1398" s="115"/>
      <c r="BG1398" s="115"/>
      <c r="BH1398" s="122"/>
      <c r="BI1398" s="122"/>
      <c r="BJ1398" s="122"/>
      <c r="BK1398" s="115"/>
      <c r="BL1398" s="115"/>
      <c r="BM1398" s="115"/>
      <c r="BN1398" s="115"/>
      <c r="BO1398" s="115"/>
      <c r="BP1398" s="115"/>
      <c r="BQ1398" s="115"/>
      <c r="BR1398" s="115"/>
      <c r="BS1398" s="115"/>
      <c r="BT1398" s="115"/>
      <c r="BU1398" s="115"/>
      <c r="BV1398" s="115"/>
      <c r="BW1398" s="115"/>
      <c r="BX1398" s="115"/>
      <c r="BY1398" s="26"/>
      <c r="BZ1398" s="13"/>
      <c r="CC1398" s="114"/>
    </row>
    <row r="1399" spans="55:81" x14ac:dyDescent="0.4">
      <c r="BC1399" s="115"/>
      <c r="BD1399" s="115"/>
      <c r="BE1399" s="115"/>
      <c r="BF1399" s="115"/>
      <c r="BG1399" s="115"/>
      <c r="BH1399" s="122"/>
      <c r="BI1399" s="122"/>
      <c r="BJ1399" s="122"/>
      <c r="BK1399" s="115"/>
      <c r="BL1399" s="115"/>
      <c r="BM1399" s="115"/>
      <c r="BN1399" s="115"/>
      <c r="BO1399" s="115"/>
      <c r="BP1399" s="115"/>
      <c r="BQ1399" s="115"/>
      <c r="BR1399" s="115"/>
      <c r="BS1399" s="115"/>
      <c r="BT1399" s="115"/>
      <c r="BU1399" s="115"/>
      <c r="BV1399" s="115"/>
      <c r="BW1399" s="115"/>
      <c r="BX1399" s="115"/>
      <c r="BY1399" s="26"/>
      <c r="BZ1399" s="13"/>
      <c r="CC1399" s="114"/>
    </row>
    <row r="1400" spans="55:81" x14ac:dyDescent="0.4">
      <c r="BC1400" s="115"/>
      <c r="BD1400" s="115"/>
      <c r="BE1400" s="115"/>
      <c r="BF1400" s="115"/>
      <c r="BG1400" s="115"/>
      <c r="BH1400" s="122"/>
      <c r="BI1400" s="122"/>
      <c r="BJ1400" s="122"/>
      <c r="BK1400" s="115"/>
      <c r="BL1400" s="115"/>
      <c r="BM1400" s="115"/>
      <c r="BN1400" s="115"/>
      <c r="BO1400" s="115"/>
      <c r="BP1400" s="115"/>
      <c r="BQ1400" s="115"/>
      <c r="BR1400" s="115"/>
      <c r="BS1400" s="115"/>
      <c r="BT1400" s="115"/>
      <c r="BU1400" s="115"/>
      <c r="BV1400" s="115"/>
      <c r="BW1400" s="115"/>
      <c r="BX1400" s="115"/>
      <c r="BY1400" s="26"/>
      <c r="BZ1400" s="13"/>
      <c r="CC1400" s="114"/>
    </row>
    <row r="1401" spans="55:81" x14ac:dyDescent="0.4">
      <c r="BC1401" s="115"/>
      <c r="BD1401" s="115"/>
      <c r="BE1401" s="115"/>
      <c r="BF1401" s="115"/>
      <c r="BG1401" s="115"/>
      <c r="BH1401" s="122"/>
      <c r="BI1401" s="122"/>
      <c r="BJ1401" s="122"/>
      <c r="BK1401" s="115"/>
      <c r="BL1401" s="115"/>
      <c r="BM1401" s="115"/>
      <c r="BN1401" s="115"/>
      <c r="BO1401" s="115"/>
      <c r="BP1401" s="115"/>
      <c r="BQ1401" s="115"/>
      <c r="BR1401" s="115"/>
      <c r="BS1401" s="115"/>
      <c r="BT1401" s="115"/>
      <c r="BU1401" s="115"/>
      <c r="BV1401" s="115"/>
      <c r="BW1401" s="115"/>
      <c r="BX1401" s="115"/>
      <c r="BY1401" s="26"/>
      <c r="BZ1401" s="13"/>
      <c r="CC1401" s="114"/>
    </row>
    <row r="1402" spans="55:81" x14ac:dyDescent="0.4">
      <c r="BC1402" s="115"/>
      <c r="BD1402" s="115"/>
      <c r="BE1402" s="115"/>
      <c r="BF1402" s="115"/>
      <c r="BG1402" s="115"/>
      <c r="BH1402" s="122"/>
      <c r="BI1402" s="122"/>
      <c r="BJ1402" s="122"/>
      <c r="BK1402" s="115"/>
      <c r="BL1402" s="115"/>
      <c r="BM1402" s="115"/>
      <c r="BN1402" s="115"/>
      <c r="BO1402" s="115"/>
      <c r="BP1402" s="115"/>
      <c r="BQ1402" s="115"/>
      <c r="BR1402" s="115"/>
      <c r="BS1402" s="115"/>
      <c r="BT1402" s="115"/>
      <c r="BU1402" s="115"/>
      <c r="BV1402" s="115"/>
      <c r="BW1402" s="115"/>
      <c r="BX1402" s="115"/>
      <c r="BY1402" s="26"/>
      <c r="BZ1402" s="13"/>
      <c r="CC1402" s="114"/>
    </row>
    <row r="1403" spans="55:81" x14ac:dyDescent="0.4">
      <c r="BC1403" s="115"/>
      <c r="BD1403" s="115"/>
      <c r="BE1403" s="115"/>
      <c r="BF1403" s="115"/>
      <c r="BG1403" s="115"/>
      <c r="BH1403" s="122"/>
      <c r="BI1403" s="122"/>
      <c r="BJ1403" s="122"/>
      <c r="BK1403" s="115"/>
      <c r="BL1403" s="115"/>
      <c r="BM1403" s="115"/>
      <c r="BN1403" s="115"/>
      <c r="BO1403" s="115"/>
      <c r="BP1403" s="115"/>
      <c r="BQ1403" s="115"/>
      <c r="BR1403" s="115"/>
      <c r="BS1403" s="115"/>
      <c r="BT1403" s="115"/>
      <c r="BU1403" s="115"/>
      <c r="BV1403" s="115"/>
      <c r="BW1403" s="115"/>
      <c r="BX1403" s="115"/>
      <c r="BY1403" s="26"/>
      <c r="BZ1403" s="13"/>
      <c r="CC1403" s="114"/>
    </row>
    <row r="1404" spans="55:81" x14ac:dyDescent="0.4">
      <c r="BC1404" s="115"/>
      <c r="BD1404" s="115"/>
      <c r="BE1404" s="115"/>
      <c r="BF1404" s="115"/>
      <c r="BG1404" s="115"/>
      <c r="BH1404" s="122"/>
      <c r="BI1404" s="122"/>
      <c r="BJ1404" s="122"/>
      <c r="BK1404" s="115"/>
      <c r="BL1404" s="115"/>
      <c r="BM1404" s="115"/>
      <c r="BN1404" s="115"/>
      <c r="BO1404" s="115"/>
      <c r="BP1404" s="115"/>
      <c r="BQ1404" s="115"/>
      <c r="BR1404" s="115"/>
      <c r="BS1404" s="115"/>
      <c r="BT1404" s="115"/>
      <c r="BU1404" s="115"/>
      <c r="BV1404" s="115"/>
      <c r="BW1404" s="115"/>
      <c r="BX1404" s="115"/>
      <c r="BY1404" s="26"/>
      <c r="BZ1404" s="13"/>
      <c r="CC1404" s="114"/>
    </row>
    <row r="1405" spans="55:81" x14ac:dyDescent="0.4">
      <c r="BC1405" s="115"/>
      <c r="BD1405" s="115"/>
      <c r="BE1405" s="115"/>
      <c r="BF1405" s="115"/>
      <c r="BG1405" s="115"/>
      <c r="BH1405" s="122"/>
      <c r="BI1405" s="122"/>
      <c r="BJ1405" s="122"/>
      <c r="BK1405" s="115"/>
      <c r="BL1405" s="115"/>
      <c r="BM1405" s="115"/>
      <c r="BN1405" s="115"/>
      <c r="BO1405" s="115"/>
      <c r="BP1405" s="115"/>
      <c r="BQ1405" s="115"/>
      <c r="BR1405" s="115"/>
      <c r="BS1405" s="115"/>
      <c r="BT1405" s="115"/>
      <c r="BU1405" s="115"/>
      <c r="BV1405" s="115"/>
      <c r="BW1405" s="115"/>
      <c r="BX1405" s="115"/>
      <c r="BY1405" s="26"/>
      <c r="BZ1405" s="13"/>
      <c r="CC1405" s="114"/>
    </row>
    <row r="1406" spans="55:81" x14ac:dyDescent="0.4">
      <c r="BC1406" s="115"/>
      <c r="BD1406" s="115"/>
      <c r="BE1406" s="115"/>
      <c r="BF1406" s="115"/>
      <c r="BG1406" s="115"/>
      <c r="BH1406" s="122"/>
      <c r="BI1406" s="122"/>
      <c r="BJ1406" s="122"/>
      <c r="BK1406" s="115"/>
      <c r="BL1406" s="115"/>
      <c r="BM1406" s="115"/>
      <c r="BN1406" s="115"/>
      <c r="BO1406" s="115"/>
      <c r="BP1406" s="115"/>
      <c r="BQ1406" s="115"/>
      <c r="BR1406" s="115"/>
      <c r="BS1406" s="115"/>
      <c r="BT1406" s="115"/>
      <c r="BU1406" s="115"/>
      <c r="BV1406" s="115"/>
      <c r="BW1406" s="115"/>
      <c r="BX1406" s="115"/>
      <c r="BY1406" s="26"/>
      <c r="BZ1406" s="13"/>
      <c r="CC1406" s="114"/>
    </row>
    <row r="1407" spans="55:81" x14ac:dyDescent="0.4">
      <c r="BC1407" s="115"/>
      <c r="BD1407" s="115"/>
      <c r="BE1407" s="115"/>
      <c r="BF1407" s="115"/>
      <c r="BG1407" s="115"/>
      <c r="BH1407" s="122"/>
      <c r="BI1407" s="122"/>
      <c r="BJ1407" s="122"/>
      <c r="BK1407" s="115"/>
      <c r="BL1407" s="115"/>
      <c r="BM1407" s="115"/>
      <c r="BN1407" s="115"/>
      <c r="BO1407" s="115"/>
      <c r="BP1407" s="115"/>
      <c r="BQ1407" s="115"/>
      <c r="BR1407" s="115"/>
      <c r="BS1407" s="115"/>
      <c r="BT1407" s="115"/>
      <c r="BU1407" s="115"/>
      <c r="BV1407" s="115"/>
      <c r="BW1407" s="115"/>
      <c r="BX1407" s="115"/>
      <c r="BY1407" s="17"/>
      <c r="BZ1407" s="13"/>
      <c r="CC1407" s="114"/>
    </row>
    <row r="1408" spans="55:81" x14ac:dyDescent="0.4">
      <c r="BC1408" s="115"/>
      <c r="BD1408" s="115"/>
      <c r="BE1408" s="115"/>
      <c r="BF1408" s="115"/>
      <c r="BG1408" s="115"/>
      <c r="BH1408" s="122"/>
      <c r="BI1408" s="122"/>
      <c r="BJ1408" s="122"/>
      <c r="BK1408" s="115"/>
      <c r="BL1408" s="115"/>
      <c r="BM1408" s="115"/>
      <c r="BN1408" s="115"/>
      <c r="BO1408" s="115"/>
      <c r="BP1408" s="115"/>
      <c r="BQ1408" s="115"/>
      <c r="BR1408" s="115"/>
      <c r="BS1408" s="115"/>
      <c r="BT1408" s="115"/>
      <c r="BU1408" s="115"/>
      <c r="BV1408" s="115"/>
      <c r="BW1408" s="115"/>
      <c r="BX1408" s="115"/>
      <c r="BY1408" s="26"/>
      <c r="BZ1408" s="13"/>
      <c r="CC1408" s="114"/>
    </row>
    <row r="1409" spans="54:81" x14ac:dyDescent="0.4">
      <c r="BC1409" s="115"/>
      <c r="BD1409" s="115"/>
      <c r="BE1409" s="115"/>
      <c r="BF1409" s="115"/>
      <c r="BG1409" s="115"/>
      <c r="BH1409" s="122"/>
      <c r="BI1409" s="122"/>
      <c r="BJ1409" s="122"/>
      <c r="BK1409" s="115"/>
      <c r="BL1409" s="115"/>
      <c r="BM1409" s="115"/>
      <c r="BN1409" s="115"/>
      <c r="BO1409" s="115"/>
      <c r="BP1409" s="115"/>
      <c r="BQ1409" s="115"/>
      <c r="BR1409" s="115"/>
      <c r="BS1409" s="115"/>
      <c r="BT1409" s="115"/>
      <c r="BU1409" s="115"/>
      <c r="BV1409" s="115"/>
      <c r="BW1409" s="115"/>
      <c r="BX1409" s="115"/>
      <c r="BY1409" s="26"/>
      <c r="BZ1409" s="13"/>
      <c r="CC1409" s="114"/>
    </row>
    <row r="1410" spans="54:81" x14ac:dyDescent="0.4">
      <c r="BC1410" s="115"/>
      <c r="BD1410" s="115"/>
      <c r="BE1410" s="115"/>
      <c r="BF1410" s="115"/>
      <c r="BG1410" s="115"/>
      <c r="BH1410" s="122"/>
      <c r="BI1410" s="122"/>
      <c r="BJ1410" s="122"/>
      <c r="BK1410" s="115"/>
      <c r="BL1410" s="115"/>
      <c r="BM1410" s="115"/>
      <c r="BN1410" s="115"/>
      <c r="BO1410" s="115"/>
      <c r="BP1410" s="115"/>
      <c r="BQ1410" s="115"/>
      <c r="BR1410" s="115"/>
      <c r="BS1410" s="115"/>
      <c r="BT1410" s="115"/>
      <c r="BU1410" s="115"/>
      <c r="BV1410" s="115"/>
      <c r="BW1410" s="115"/>
      <c r="BX1410" s="115"/>
      <c r="BY1410" s="26"/>
      <c r="BZ1410" s="13"/>
      <c r="CC1410" s="114"/>
    </row>
    <row r="1411" spans="54:81" x14ac:dyDescent="0.4">
      <c r="BC1411" s="115"/>
      <c r="BD1411" s="115"/>
      <c r="BE1411" s="115"/>
      <c r="BF1411" s="115"/>
      <c r="BG1411" s="115"/>
      <c r="BH1411" s="122"/>
      <c r="BI1411" s="122"/>
      <c r="BJ1411" s="122"/>
      <c r="BK1411" s="115"/>
      <c r="BL1411" s="115"/>
      <c r="BM1411" s="115"/>
      <c r="BN1411" s="115"/>
      <c r="BO1411" s="115"/>
      <c r="BP1411" s="115"/>
      <c r="BQ1411" s="115"/>
      <c r="BR1411" s="115"/>
      <c r="BS1411" s="115"/>
      <c r="BT1411" s="115"/>
      <c r="BU1411" s="115"/>
      <c r="BV1411" s="115"/>
      <c r="BW1411" s="115"/>
      <c r="BX1411" s="115"/>
      <c r="BY1411" s="17"/>
      <c r="BZ1411" s="13"/>
      <c r="CC1411" s="114"/>
    </row>
    <row r="1412" spans="54:81" x14ac:dyDescent="0.4">
      <c r="BC1412" s="115"/>
      <c r="BD1412" s="115"/>
      <c r="BE1412" s="115"/>
      <c r="BF1412" s="115"/>
      <c r="BG1412" s="115"/>
      <c r="BH1412" s="122"/>
      <c r="BI1412" s="122"/>
      <c r="BJ1412" s="122"/>
      <c r="BK1412" s="115"/>
      <c r="BL1412" s="115"/>
      <c r="BM1412" s="115"/>
      <c r="BN1412" s="115"/>
      <c r="BO1412" s="115"/>
      <c r="BP1412" s="115"/>
      <c r="BQ1412" s="115"/>
      <c r="BR1412" s="115"/>
      <c r="BS1412" s="115"/>
      <c r="BT1412" s="115"/>
      <c r="BU1412" s="115"/>
      <c r="BV1412" s="115"/>
      <c r="BW1412" s="115"/>
      <c r="BX1412" s="115"/>
      <c r="BY1412" s="26"/>
      <c r="BZ1412" s="13"/>
      <c r="CC1412" s="114"/>
    </row>
    <row r="1413" spans="54:81" x14ac:dyDescent="0.4">
      <c r="BC1413" s="115"/>
      <c r="BD1413" s="115"/>
      <c r="BE1413" s="115"/>
      <c r="BF1413" s="115"/>
      <c r="BG1413" s="115"/>
      <c r="BH1413" s="122"/>
      <c r="BI1413" s="122"/>
      <c r="BJ1413" s="122"/>
      <c r="BK1413" s="115"/>
      <c r="BL1413" s="115"/>
      <c r="BM1413" s="115"/>
      <c r="BN1413" s="115"/>
      <c r="BO1413" s="115"/>
      <c r="BP1413" s="115"/>
      <c r="BQ1413" s="115"/>
      <c r="BR1413" s="115"/>
      <c r="BS1413" s="115"/>
      <c r="BT1413" s="115"/>
      <c r="BU1413" s="115"/>
      <c r="BV1413" s="115"/>
      <c r="BW1413" s="115"/>
      <c r="BX1413" s="115"/>
      <c r="BY1413" s="17"/>
      <c r="BZ1413" s="13"/>
      <c r="CC1413" s="114"/>
    </row>
    <row r="1414" spans="54:81" x14ac:dyDescent="0.4">
      <c r="BC1414" s="115"/>
      <c r="BD1414" s="115"/>
      <c r="BE1414" s="115"/>
      <c r="BF1414" s="115"/>
      <c r="BG1414" s="115"/>
      <c r="BH1414" s="122"/>
      <c r="BI1414" s="122"/>
      <c r="BJ1414" s="122"/>
      <c r="BK1414" s="115"/>
      <c r="BL1414" s="115"/>
      <c r="BM1414" s="115"/>
      <c r="BN1414" s="115"/>
      <c r="BO1414" s="115"/>
      <c r="BP1414" s="115"/>
      <c r="BQ1414" s="115"/>
      <c r="BR1414" s="115"/>
      <c r="BS1414" s="115"/>
      <c r="BT1414" s="115"/>
      <c r="BU1414" s="115"/>
      <c r="BV1414" s="115"/>
      <c r="BW1414" s="115"/>
      <c r="BX1414" s="115"/>
      <c r="BY1414" s="26"/>
      <c r="BZ1414" s="13"/>
      <c r="CC1414" s="114"/>
    </row>
    <row r="1415" spans="54:81" x14ac:dyDescent="0.4">
      <c r="BC1415" s="115"/>
      <c r="BD1415" s="115"/>
      <c r="BE1415" s="115"/>
      <c r="BF1415" s="115"/>
      <c r="BG1415" s="115"/>
      <c r="BH1415" s="122"/>
      <c r="BI1415" s="122"/>
      <c r="BJ1415" s="122"/>
      <c r="BK1415" s="115"/>
      <c r="BL1415" s="115"/>
      <c r="BM1415" s="115"/>
      <c r="BN1415" s="115"/>
      <c r="BO1415" s="115"/>
      <c r="BP1415" s="115"/>
      <c r="BQ1415" s="115"/>
      <c r="BR1415" s="115"/>
      <c r="BS1415" s="115"/>
      <c r="BT1415" s="115"/>
      <c r="BU1415" s="115"/>
      <c r="BV1415" s="115"/>
      <c r="BW1415" s="115"/>
      <c r="BX1415" s="115"/>
      <c r="BY1415" s="26"/>
      <c r="BZ1415" s="15"/>
      <c r="CC1415" s="114"/>
    </row>
    <row r="1416" spans="54:81" x14ac:dyDescent="0.4">
      <c r="BC1416" s="115"/>
      <c r="BD1416" s="115"/>
      <c r="BE1416" s="115"/>
      <c r="BF1416" s="115"/>
      <c r="BG1416" s="115"/>
      <c r="BH1416" s="122"/>
      <c r="BI1416" s="122"/>
      <c r="BJ1416" s="122"/>
      <c r="BK1416" s="115"/>
      <c r="BL1416" s="115"/>
      <c r="BM1416" s="115"/>
      <c r="BN1416" s="115"/>
      <c r="BO1416" s="115"/>
      <c r="BP1416" s="115"/>
      <c r="BQ1416" s="115"/>
      <c r="BR1416" s="115"/>
      <c r="BS1416" s="115"/>
      <c r="BT1416" s="115"/>
      <c r="BU1416" s="115"/>
      <c r="BV1416" s="115"/>
      <c r="BW1416" s="115"/>
      <c r="BX1416" s="115"/>
      <c r="BY1416" s="17"/>
      <c r="BZ1416" s="15"/>
      <c r="CC1416" s="114"/>
    </row>
    <row r="1417" spans="54:81" x14ac:dyDescent="0.4">
      <c r="BC1417" s="115"/>
      <c r="BD1417" s="115"/>
      <c r="BE1417" s="115"/>
      <c r="BF1417" s="115"/>
      <c r="BG1417" s="115"/>
      <c r="BH1417" s="122"/>
      <c r="BI1417" s="122"/>
      <c r="BJ1417" s="122"/>
      <c r="BK1417" s="115"/>
      <c r="BL1417" s="115"/>
      <c r="BM1417" s="115"/>
      <c r="BN1417" s="115"/>
      <c r="BO1417" s="115"/>
      <c r="BP1417" s="115"/>
      <c r="BQ1417" s="115"/>
      <c r="BR1417" s="115"/>
      <c r="BS1417" s="115"/>
      <c r="BT1417" s="115"/>
      <c r="BU1417" s="115"/>
      <c r="BV1417" s="115"/>
      <c r="BW1417" s="115"/>
      <c r="BX1417" s="115"/>
      <c r="BY1417" s="17"/>
      <c r="BZ1417" s="15"/>
      <c r="CC1417" s="114"/>
    </row>
    <row r="1418" spans="54:81" x14ac:dyDescent="0.4">
      <c r="BB1418" s="115"/>
      <c r="BC1418" s="115"/>
      <c r="BD1418" s="115"/>
      <c r="BE1418" s="115"/>
      <c r="BF1418" s="115"/>
      <c r="BG1418" s="115"/>
      <c r="BH1418" s="122"/>
      <c r="BI1418" s="122"/>
      <c r="BJ1418" s="122"/>
      <c r="BK1418" s="115"/>
      <c r="BL1418" s="115"/>
      <c r="BM1418" s="115"/>
      <c r="BN1418" s="115"/>
      <c r="BO1418" s="115"/>
      <c r="BP1418" s="115"/>
      <c r="BQ1418" s="115"/>
      <c r="BR1418" s="115"/>
      <c r="BS1418" s="115"/>
      <c r="BT1418" s="115"/>
      <c r="BU1418" s="115"/>
      <c r="BV1418" s="115"/>
      <c r="BW1418" s="115"/>
      <c r="BX1418" s="115"/>
      <c r="BY1418" s="26"/>
      <c r="BZ1418" s="15"/>
      <c r="CC1418" s="114"/>
    </row>
    <row r="1419" spans="54:81" x14ac:dyDescent="0.4">
      <c r="BB1419" s="115"/>
      <c r="BC1419" s="115"/>
      <c r="BD1419" s="115"/>
      <c r="BE1419" s="115"/>
      <c r="BF1419" s="115"/>
      <c r="BG1419" s="115"/>
      <c r="BH1419" s="122"/>
      <c r="BI1419" s="122"/>
      <c r="BJ1419" s="122"/>
      <c r="BK1419" s="115"/>
      <c r="BL1419" s="115"/>
      <c r="BM1419" s="115"/>
      <c r="BN1419" s="115"/>
      <c r="BO1419" s="115"/>
      <c r="BP1419" s="115"/>
      <c r="BQ1419" s="115"/>
      <c r="BR1419" s="115"/>
      <c r="BS1419" s="115"/>
      <c r="BT1419" s="115"/>
      <c r="BU1419" s="115"/>
      <c r="BV1419" s="115"/>
      <c r="BW1419" s="115"/>
      <c r="BX1419" s="115"/>
      <c r="BY1419" s="17"/>
      <c r="BZ1419" s="15"/>
      <c r="CC1419" s="114"/>
    </row>
    <row r="1420" spans="54:81" x14ac:dyDescent="0.4">
      <c r="BB1420" s="115"/>
      <c r="BC1420" s="115"/>
      <c r="BD1420" s="115"/>
      <c r="BE1420" s="115"/>
      <c r="BF1420" s="115"/>
      <c r="BG1420" s="115"/>
      <c r="BH1420" s="122"/>
      <c r="BI1420" s="122"/>
      <c r="BJ1420" s="122"/>
      <c r="BK1420" s="115"/>
      <c r="BL1420" s="115"/>
      <c r="BM1420" s="115"/>
      <c r="BN1420" s="115"/>
      <c r="BO1420" s="115"/>
      <c r="BP1420" s="115"/>
      <c r="BQ1420" s="115"/>
      <c r="BR1420" s="115"/>
      <c r="BS1420" s="115"/>
      <c r="BT1420" s="115"/>
      <c r="BU1420" s="115"/>
      <c r="BV1420" s="115"/>
      <c r="BW1420" s="115"/>
      <c r="BX1420" s="115"/>
      <c r="BY1420" s="26"/>
      <c r="BZ1420" s="15"/>
      <c r="CC1420" s="114"/>
    </row>
    <row r="1421" spans="54:81" x14ac:dyDescent="0.4">
      <c r="BB1421" s="115"/>
      <c r="BC1421" s="115"/>
      <c r="BD1421" s="115"/>
      <c r="BE1421" s="115"/>
      <c r="BF1421" s="115"/>
      <c r="BG1421" s="115"/>
      <c r="BH1421" s="122"/>
      <c r="BI1421" s="122"/>
      <c r="BJ1421" s="122"/>
      <c r="BK1421" s="115"/>
      <c r="BL1421" s="115"/>
      <c r="BM1421" s="115"/>
      <c r="BN1421" s="115"/>
      <c r="BO1421" s="115"/>
      <c r="BP1421" s="115"/>
      <c r="BQ1421" s="115"/>
      <c r="BR1421" s="115"/>
      <c r="BS1421" s="115"/>
      <c r="BT1421" s="115"/>
      <c r="BU1421" s="115"/>
      <c r="BV1421" s="115"/>
      <c r="BW1421" s="115"/>
      <c r="BX1421" s="115"/>
      <c r="BY1421" s="26"/>
      <c r="BZ1421" s="15"/>
      <c r="CC1421" s="114"/>
    </row>
    <row r="1422" spans="54:81" x14ac:dyDescent="0.4">
      <c r="BB1422" s="115"/>
      <c r="BC1422" s="115"/>
      <c r="BD1422" s="115"/>
      <c r="BE1422" s="115"/>
      <c r="BF1422" s="115"/>
      <c r="BG1422" s="115"/>
      <c r="BH1422" s="122"/>
      <c r="BI1422" s="122"/>
      <c r="BJ1422" s="122"/>
      <c r="BK1422" s="115"/>
      <c r="BL1422" s="115"/>
      <c r="BM1422" s="115"/>
      <c r="BN1422" s="115"/>
      <c r="BO1422" s="115"/>
      <c r="BP1422" s="115"/>
      <c r="BQ1422" s="115"/>
      <c r="BR1422" s="115"/>
      <c r="BS1422" s="115"/>
      <c r="BT1422" s="115"/>
      <c r="BU1422" s="115"/>
      <c r="BV1422" s="115"/>
      <c r="BW1422" s="115"/>
      <c r="BX1422" s="115"/>
      <c r="BY1422" s="17"/>
      <c r="BZ1422" s="15"/>
      <c r="CC1422" s="114"/>
    </row>
    <row r="1423" spans="54:81" x14ac:dyDescent="0.4">
      <c r="BB1423" s="115"/>
      <c r="BC1423" s="115"/>
      <c r="BD1423" s="115"/>
      <c r="BE1423" s="115"/>
      <c r="BF1423" s="115"/>
      <c r="BG1423" s="115"/>
      <c r="BH1423" s="122"/>
      <c r="BI1423" s="122"/>
      <c r="BJ1423" s="122"/>
      <c r="BK1423" s="115"/>
      <c r="BL1423" s="115"/>
      <c r="BM1423" s="115"/>
      <c r="BN1423" s="115"/>
      <c r="BO1423" s="115"/>
      <c r="BP1423" s="115"/>
      <c r="BQ1423" s="115"/>
      <c r="BR1423" s="115"/>
      <c r="BS1423" s="115"/>
      <c r="BT1423" s="115"/>
      <c r="BU1423" s="115"/>
      <c r="BV1423" s="115"/>
      <c r="BW1423" s="115"/>
      <c r="BX1423" s="115"/>
      <c r="BY1423" s="26"/>
      <c r="BZ1423" s="15"/>
      <c r="CC1423" s="114"/>
    </row>
    <row r="1424" spans="54:81" x14ac:dyDescent="0.4">
      <c r="BB1424" s="115"/>
      <c r="BC1424" s="115"/>
      <c r="BD1424" s="115"/>
      <c r="BE1424" s="115"/>
      <c r="BF1424" s="115"/>
      <c r="BG1424" s="115"/>
      <c r="BH1424" s="122"/>
      <c r="BI1424" s="122"/>
      <c r="BJ1424" s="122"/>
      <c r="BK1424" s="115"/>
      <c r="BL1424" s="115"/>
      <c r="BM1424" s="115"/>
      <c r="BN1424" s="115"/>
      <c r="BO1424" s="115"/>
      <c r="BP1424" s="115"/>
      <c r="BQ1424" s="115"/>
      <c r="BR1424" s="115"/>
      <c r="BS1424" s="115"/>
      <c r="BT1424" s="115"/>
      <c r="BU1424" s="115"/>
      <c r="BV1424" s="115"/>
      <c r="BW1424" s="115"/>
      <c r="BX1424" s="115"/>
      <c r="BY1424" s="17"/>
      <c r="BZ1424" s="15"/>
      <c r="CC1424" s="114"/>
    </row>
    <row r="1425" spans="54:81" x14ac:dyDescent="0.4">
      <c r="BB1425" s="115"/>
      <c r="BC1425" s="115"/>
      <c r="BD1425" s="115"/>
      <c r="BE1425" s="115"/>
      <c r="BF1425" s="115"/>
      <c r="BG1425" s="115"/>
      <c r="BH1425" s="122"/>
      <c r="BI1425" s="122"/>
      <c r="BJ1425" s="122"/>
      <c r="BK1425" s="115"/>
      <c r="BL1425" s="115"/>
      <c r="BM1425" s="115"/>
      <c r="BN1425" s="115"/>
      <c r="BO1425" s="115"/>
      <c r="BP1425" s="115"/>
      <c r="BQ1425" s="115"/>
      <c r="BR1425" s="115"/>
      <c r="BS1425" s="115"/>
      <c r="BT1425" s="115"/>
      <c r="BU1425" s="115"/>
      <c r="BV1425" s="115"/>
      <c r="BW1425" s="115"/>
      <c r="BX1425" s="115"/>
      <c r="BY1425" s="17"/>
      <c r="BZ1425" s="15"/>
      <c r="CC1425" s="114"/>
    </row>
    <row r="1426" spans="54:81" x14ac:dyDescent="0.4">
      <c r="BB1426" s="115"/>
      <c r="BC1426" s="115"/>
      <c r="BD1426" s="115"/>
      <c r="BE1426" s="115"/>
      <c r="BF1426" s="115"/>
      <c r="BG1426" s="115"/>
      <c r="BH1426" s="122"/>
      <c r="BI1426" s="122"/>
      <c r="BJ1426" s="122"/>
      <c r="BK1426" s="115"/>
      <c r="BL1426" s="115"/>
      <c r="BM1426" s="115"/>
      <c r="BN1426" s="115"/>
      <c r="BO1426" s="115"/>
      <c r="BP1426" s="115"/>
      <c r="BQ1426" s="115"/>
      <c r="BR1426" s="115"/>
      <c r="BS1426" s="115"/>
      <c r="BT1426" s="115"/>
      <c r="BU1426" s="115"/>
      <c r="BV1426" s="115"/>
      <c r="BW1426" s="115"/>
      <c r="BX1426" s="115"/>
      <c r="BY1426" s="26"/>
      <c r="BZ1426" s="15"/>
      <c r="CC1426" s="114"/>
    </row>
    <row r="1427" spans="54:81" x14ac:dyDescent="0.4">
      <c r="BB1427" s="115"/>
      <c r="BC1427" s="115"/>
      <c r="BD1427" s="115"/>
      <c r="BE1427" s="115"/>
      <c r="BF1427" s="115"/>
      <c r="BG1427" s="115"/>
      <c r="BH1427" s="122"/>
      <c r="BI1427" s="122"/>
      <c r="BJ1427" s="122"/>
      <c r="BK1427" s="115"/>
      <c r="BL1427" s="115"/>
      <c r="BM1427" s="115"/>
      <c r="BN1427" s="115"/>
      <c r="BO1427" s="115"/>
      <c r="BP1427" s="115"/>
      <c r="BQ1427" s="115"/>
      <c r="BR1427" s="115"/>
      <c r="BS1427" s="115"/>
      <c r="BT1427" s="115"/>
      <c r="BU1427" s="115"/>
      <c r="BV1427" s="115"/>
      <c r="BW1427" s="115"/>
      <c r="BX1427" s="115"/>
      <c r="BY1427" s="26"/>
      <c r="BZ1427" s="15"/>
      <c r="CC1427" s="114"/>
    </row>
    <row r="1428" spans="54:81" x14ac:dyDescent="0.4">
      <c r="BB1428" s="115"/>
      <c r="BC1428" s="115"/>
      <c r="BD1428" s="115"/>
      <c r="BE1428" s="115"/>
      <c r="BF1428" s="115"/>
      <c r="BG1428" s="115"/>
      <c r="BH1428" s="122"/>
      <c r="BI1428" s="122"/>
      <c r="BJ1428" s="122"/>
      <c r="BK1428" s="115"/>
      <c r="BL1428" s="115"/>
      <c r="BM1428" s="115"/>
      <c r="BN1428" s="115"/>
      <c r="BO1428" s="115"/>
      <c r="BP1428" s="115"/>
      <c r="BQ1428" s="115"/>
      <c r="BR1428" s="115"/>
      <c r="BS1428" s="115"/>
      <c r="BT1428" s="115"/>
      <c r="BU1428" s="115"/>
      <c r="BV1428" s="115"/>
      <c r="BW1428" s="115"/>
      <c r="BX1428" s="115"/>
      <c r="BY1428" s="26"/>
      <c r="BZ1428" s="15"/>
      <c r="CC1428" s="114"/>
    </row>
    <row r="1429" spans="54:81" x14ac:dyDescent="0.4">
      <c r="BB1429" s="115"/>
      <c r="BC1429" s="115"/>
      <c r="BD1429" s="115"/>
      <c r="BE1429" s="115"/>
      <c r="BF1429" s="115"/>
      <c r="BG1429" s="115"/>
      <c r="BH1429" s="122"/>
      <c r="BI1429" s="122"/>
      <c r="BJ1429" s="122"/>
      <c r="BK1429" s="115"/>
      <c r="BL1429" s="115"/>
      <c r="BM1429" s="115"/>
      <c r="BN1429" s="115"/>
      <c r="BO1429" s="115"/>
      <c r="BP1429" s="115"/>
      <c r="BQ1429" s="115"/>
      <c r="BR1429" s="115"/>
      <c r="BS1429" s="115"/>
      <c r="BT1429" s="115"/>
      <c r="BU1429" s="115"/>
      <c r="BV1429" s="115"/>
      <c r="BW1429" s="115"/>
      <c r="BX1429" s="115"/>
      <c r="BY1429" s="26"/>
      <c r="BZ1429" s="15"/>
      <c r="CC1429" s="114"/>
    </row>
    <row r="1430" spans="54:81" x14ac:dyDescent="0.4">
      <c r="BB1430" s="115"/>
      <c r="BC1430" s="115"/>
      <c r="BD1430" s="115"/>
      <c r="BE1430" s="115"/>
      <c r="BF1430" s="115"/>
      <c r="BG1430" s="115"/>
      <c r="BH1430" s="122"/>
      <c r="BI1430" s="122"/>
      <c r="BJ1430" s="122"/>
      <c r="BK1430" s="115"/>
      <c r="BL1430" s="115"/>
      <c r="BM1430" s="115"/>
      <c r="BN1430" s="115"/>
      <c r="BO1430" s="115"/>
      <c r="BP1430" s="115"/>
      <c r="BQ1430" s="115"/>
      <c r="BR1430" s="115"/>
      <c r="BS1430" s="115"/>
      <c r="BT1430" s="115"/>
      <c r="BU1430" s="115"/>
      <c r="BV1430" s="115"/>
      <c r="BW1430" s="115"/>
      <c r="BX1430" s="115"/>
      <c r="BY1430" s="26"/>
      <c r="BZ1430" s="15"/>
      <c r="CC1430" s="114"/>
    </row>
    <row r="1431" spans="54:81" x14ac:dyDescent="0.4">
      <c r="BB1431" s="115"/>
      <c r="BC1431" s="115"/>
      <c r="BD1431" s="115"/>
      <c r="BE1431" s="115"/>
      <c r="BF1431" s="115"/>
      <c r="BG1431" s="115"/>
      <c r="BH1431" s="122"/>
      <c r="BI1431" s="122"/>
      <c r="BJ1431" s="122"/>
      <c r="BK1431" s="115"/>
      <c r="BL1431" s="115"/>
      <c r="BM1431" s="115"/>
      <c r="BN1431" s="115"/>
      <c r="BO1431" s="115"/>
      <c r="BP1431" s="115"/>
      <c r="BQ1431" s="115"/>
      <c r="BR1431" s="115"/>
      <c r="BS1431" s="115"/>
      <c r="BT1431" s="115"/>
      <c r="BU1431" s="115"/>
      <c r="BV1431" s="115"/>
      <c r="BW1431" s="115"/>
      <c r="BX1431" s="115"/>
      <c r="BY1431" s="26"/>
      <c r="BZ1431" s="15"/>
      <c r="CC1431" s="114"/>
    </row>
    <row r="1432" spans="54:81" x14ac:dyDescent="0.4">
      <c r="BB1432" s="115"/>
      <c r="BC1432" s="115"/>
      <c r="BD1432" s="115"/>
      <c r="BE1432" s="115"/>
      <c r="BF1432" s="115"/>
      <c r="BG1432" s="115"/>
      <c r="BH1432" s="122"/>
      <c r="BI1432" s="122"/>
      <c r="BJ1432" s="122"/>
      <c r="BK1432" s="115"/>
      <c r="BL1432" s="115"/>
      <c r="BM1432" s="115"/>
      <c r="BN1432" s="115"/>
      <c r="BO1432" s="115"/>
      <c r="BP1432" s="115"/>
      <c r="BQ1432" s="115"/>
      <c r="BR1432" s="115"/>
      <c r="BS1432" s="115"/>
      <c r="BT1432" s="115"/>
      <c r="BU1432" s="115"/>
      <c r="BV1432" s="115"/>
      <c r="BW1432" s="115"/>
      <c r="BX1432" s="115"/>
      <c r="BY1432" s="26"/>
      <c r="BZ1432" s="15"/>
      <c r="CC1432" s="114"/>
    </row>
    <row r="1433" spans="54:81" x14ac:dyDescent="0.4">
      <c r="BB1433" s="115"/>
      <c r="BC1433" s="115"/>
      <c r="BD1433" s="115"/>
      <c r="BE1433" s="115"/>
      <c r="BF1433" s="115"/>
      <c r="BG1433" s="115"/>
      <c r="BH1433" s="122"/>
      <c r="BI1433" s="122"/>
      <c r="BJ1433" s="122"/>
      <c r="BK1433" s="115"/>
      <c r="BL1433" s="115"/>
      <c r="BM1433" s="115"/>
      <c r="BN1433" s="115"/>
      <c r="BO1433" s="115"/>
      <c r="BP1433" s="115"/>
      <c r="BQ1433" s="115"/>
      <c r="BR1433" s="115"/>
      <c r="BS1433" s="115"/>
      <c r="BT1433" s="115"/>
      <c r="BU1433" s="115"/>
      <c r="BV1433" s="115"/>
      <c r="BW1433" s="115"/>
      <c r="BX1433" s="115"/>
      <c r="BY1433" s="17"/>
      <c r="BZ1433" s="15"/>
      <c r="CC1433" s="114"/>
    </row>
    <row r="1434" spans="54:81" x14ac:dyDescent="0.4">
      <c r="BB1434" s="115"/>
      <c r="BC1434" s="115"/>
      <c r="BD1434" s="115"/>
      <c r="BE1434" s="115"/>
      <c r="BF1434" s="115"/>
      <c r="BG1434" s="115"/>
      <c r="BH1434" s="122"/>
      <c r="BI1434" s="122"/>
      <c r="BJ1434" s="122"/>
      <c r="BK1434" s="115"/>
      <c r="BL1434" s="115"/>
      <c r="BM1434" s="115"/>
      <c r="BN1434" s="115"/>
      <c r="BO1434" s="115"/>
      <c r="BP1434" s="115"/>
      <c r="BQ1434" s="115"/>
      <c r="BR1434" s="115"/>
      <c r="BS1434" s="115"/>
      <c r="BT1434" s="115"/>
      <c r="BU1434" s="115"/>
      <c r="BV1434" s="115"/>
      <c r="BW1434" s="115"/>
      <c r="BX1434" s="115"/>
      <c r="BY1434" s="26"/>
      <c r="BZ1434" s="15"/>
      <c r="CC1434" s="114"/>
    </row>
    <row r="1435" spans="54:81" x14ac:dyDescent="0.4">
      <c r="BB1435" s="115"/>
      <c r="BC1435" s="115"/>
      <c r="BD1435" s="115"/>
      <c r="BE1435" s="115"/>
      <c r="BF1435" s="115"/>
      <c r="BG1435" s="115"/>
      <c r="BH1435" s="122"/>
      <c r="BI1435" s="122"/>
      <c r="BJ1435" s="122"/>
      <c r="BK1435" s="115"/>
      <c r="BL1435" s="115"/>
      <c r="BM1435" s="115"/>
      <c r="BN1435" s="115"/>
      <c r="BO1435" s="115"/>
      <c r="BP1435" s="115"/>
      <c r="BQ1435" s="115"/>
      <c r="BR1435" s="115"/>
      <c r="BS1435" s="115"/>
      <c r="BT1435" s="115"/>
      <c r="BU1435" s="115"/>
      <c r="BV1435" s="115"/>
      <c r="BW1435" s="115"/>
      <c r="BX1435" s="115"/>
      <c r="BY1435" s="26"/>
      <c r="BZ1435" s="15"/>
      <c r="CC1435" s="114"/>
    </row>
    <row r="1436" spans="54:81" x14ac:dyDescent="0.4">
      <c r="BB1436" s="115"/>
      <c r="BC1436" s="115"/>
      <c r="BD1436" s="115"/>
      <c r="BE1436" s="115"/>
      <c r="BF1436" s="115"/>
      <c r="BG1436" s="115"/>
      <c r="BH1436" s="122"/>
      <c r="BI1436" s="122"/>
      <c r="BJ1436" s="122"/>
      <c r="BK1436" s="115"/>
      <c r="BL1436" s="115"/>
      <c r="BM1436" s="115"/>
      <c r="BN1436" s="115"/>
      <c r="BO1436" s="115"/>
      <c r="BP1436" s="115"/>
      <c r="BQ1436" s="115"/>
      <c r="BR1436" s="115"/>
      <c r="BS1436" s="115"/>
      <c r="BT1436" s="115"/>
      <c r="BU1436" s="115"/>
      <c r="BV1436" s="115"/>
      <c r="BW1436" s="115"/>
      <c r="BX1436" s="115"/>
      <c r="BY1436" s="26"/>
      <c r="BZ1436" s="15"/>
      <c r="CC1436" s="114"/>
    </row>
    <row r="1437" spans="54:81" x14ac:dyDescent="0.4">
      <c r="BB1437" s="115"/>
      <c r="BC1437" s="115"/>
      <c r="BD1437" s="115"/>
      <c r="BE1437" s="115"/>
      <c r="BF1437" s="115"/>
      <c r="BG1437" s="115"/>
      <c r="BH1437" s="122"/>
      <c r="BI1437" s="122"/>
      <c r="BJ1437" s="122"/>
      <c r="BK1437" s="115"/>
      <c r="BL1437" s="115"/>
      <c r="BM1437" s="115"/>
      <c r="BN1437" s="115"/>
      <c r="BO1437" s="115"/>
      <c r="BP1437" s="115"/>
      <c r="BQ1437" s="115"/>
      <c r="BR1437" s="115"/>
      <c r="BS1437" s="115"/>
      <c r="BT1437" s="115"/>
      <c r="BU1437" s="115"/>
      <c r="BV1437" s="115"/>
      <c r="BW1437" s="115"/>
      <c r="BX1437" s="115"/>
      <c r="BY1437" s="26"/>
      <c r="BZ1437" s="13"/>
      <c r="CC1437" s="114"/>
    </row>
    <row r="1438" spans="54:81" x14ac:dyDescent="0.4">
      <c r="BB1438" s="115"/>
      <c r="BC1438" s="115"/>
      <c r="BD1438" s="115"/>
      <c r="BE1438" s="115"/>
      <c r="BF1438" s="115"/>
      <c r="BG1438" s="115"/>
      <c r="BH1438" s="122"/>
      <c r="BI1438" s="122"/>
      <c r="BJ1438" s="122"/>
      <c r="BK1438" s="115"/>
      <c r="BL1438" s="115"/>
      <c r="BM1438" s="115"/>
      <c r="BN1438" s="115"/>
      <c r="BO1438" s="115"/>
      <c r="BP1438" s="115"/>
      <c r="BQ1438" s="115"/>
      <c r="BR1438" s="115"/>
      <c r="BS1438" s="115"/>
      <c r="BT1438" s="115"/>
      <c r="BU1438" s="115"/>
      <c r="BV1438" s="115"/>
      <c r="BW1438" s="115"/>
      <c r="BX1438" s="115"/>
      <c r="BY1438" s="17"/>
      <c r="BZ1438" s="13"/>
      <c r="CC1438" s="114"/>
    </row>
    <row r="1439" spans="54:81" x14ac:dyDescent="0.4">
      <c r="BB1439" s="115"/>
      <c r="BC1439" s="115"/>
      <c r="BD1439" s="115"/>
      <c r="BE1439" s="115"/>
      <c r="BF1439" s="115"/>
      <c r="BG1439" s="115"/>
      <c r="BH1439" s="122"/>
      <c r="BI1439" s="122"/>
      <c r="BJ1439" s="122"/>
      <c r="BK1439" s="115"/>
      <c r="BL1439" s="115"/>
      <c r="BM1439" s="115"/>
      <c r="BN1439" s="115"/>
      <c r="BO1439" s="115"/>
      <c r="BP1439" s="115"/>
      <c r="BQ1439" s="115"/>
      <c r="BR1439" s="115"/>
      <c r="BS1439" s="115"/>
      <c r="BT1439" s="115"/>
      <c r="BU1439" s="115"/>
      <c r="BV1439" s="115"/>
      <c r="BW1439" s="115"/>
      <c r="BX1439" s="115"/>
      <c r="BY1439" s="26"/>
      <c r="BZ1439" s="13"/>
      <c r="CC1439" s="114"/>
    </row>
    <row r="1440" spans="54:81" x14ac:dyDescent="0.4">
      <c r="BB1440" s="115"/>
      <c r="BC1440" s="115"/>
      <c r="BD1440" s="115"/>
      <c r="BE1440" s="115"/>
      <c r="BF1440" s="115"/>
      <c r="BG1440" s="115"/>
      <c r="BH1440" s="122"/>
      <c r="BI1440" s="122"/>
      <c r="BJ1440" s="122"/>
      <c r="BK1440" s="115"/>
      <c r="BL1440" s="115"/>
      <c r="BM1440" s="115"/>
      <c r="BN1440" s="115"/>
      <c r="BO1440" s="115"/>
      <c r="BP1440" s="115"/>
      <c r="BQ1440" s="115"/>
      <c r="BR1440" s="115"/>
      <c r="BS1440" s="115"/>
      <c r="BT1440" s="115"/>
      <c r="BU1440" s="115"/>
      <c r="BV1440" s="115"/>
      <c r="BW1440" s="115"/>
      <c r="BX1440" s="115"/>
      <c r="BY1440" s="26"/>
      <c r="BZ1440" s="13"/>
      <c r="CC1440" s="114"/>
    </row>
    <row r="1441" spans="5:81" x14ac:dyDescent="0.4">
      <c r="BB1441" s="115"/>
      <c r="BC1441" s="115"/>
      <c r="BD1441" s="115"/>
      <c r="BE1441" s="115"/>
      <c r="BF1441" s="115"/>
      <c r="BG1441" s="115"/>
      <c r="BH1441" s="122"/>
      <c r="BI1441" s="122"/>
      <c r="BJ1441" s="122"/>
      <c r="BK1441" s="115"/>
      <c r="BL1441" s="115"/>
      <c r="BM1441" s="115"/>
      <c r="BN1441" s="115"/>
      <c r="BO1441" s="115"/>
      <c r="BP1441" s="115"/>
      <c r="BQ1441" s="115"/>
      <c r="BR1441" s="115"/>
      <c r="BS1441" s="115"/>
      <c r="BT1441" s="115"/>
      <c r="BU1441" s="115"/>
      <c r="BV1441" s="115"/>
      <c r="BW1441" s="115"/>
      <c r="BX1441" s="115"/>
      <c r="BY1441" s="26"/>
      <c r="BZ1441" s="13"/>
      <c r="CC1441" s="114"/>
    </row>
    <row r="1442" spans="5:81" x14ac:dyDescent="0.4">
      <c r="BB1442" s="115"/>
      <c r="BC1442" s="115"/>
      <c r="BD1442" s="115"/>
      <c r="BE1442" s="115"/>
      <c r="BF1442" s="115"/>
      <c r="BG1442" s="115"/>
      <c r="BH1442" s="122"/>
      <c r="BI1442" s="122"/>
      <c r="BJ1442" s="122"/>
      <c r="BK1442" s="115"/>
      <c r="BL1442" s="115"/>
      <c r="BM1442" s="115"/>
      <c r="BN1442" s="115"/>
      <c r="BO1442" s="115"/>
      <c r="BP1442" s="115"/>
      <c r="BQ1442" s="115"/>
      <c r="BR1442" s="115"/>
      <c r="BS1442" s="115"/>
      <c r="BT1442" s="115"/>
      <c r="BU1442" s="115"/>
      <c r="BV1442" s="115"/>
      <c r="BW1442" s="115"/>
      <c r="BX1442" s="115"/>
      <c r="BY1442" s="26"/>
      <c r="BZ1442" s="13"/>
      <c r="CC1442" s="114"/>
    </row>
    <row r="1443" spans="5:81" x14ac:dyDescent="0.4">
      <c r="BB1443" s="115"/>
      <c r="BC1443" s="115"/>
      <c r="BD1443" s="115"/>
      <c r="BE1443" s="115"/>
      <c r="BF1443" s="115"/>
      <c r="BG1443" s="115"/>
      <c r="BH1443" s="122"/>
      <c r="BI1443" s="122"/>
      <c r="BJ1443" s="122"/>
      <c r="BK1443" s="115"/>
      <c r="BL1443" s="115"/>
      <c r="BM1443" s="115"/>
      <c r="BN1443" s="115"/>
      <c r="BO1443" s="115"/>
      <c r="BP1443" s="115"/>
      <c r="BQ1443" s="115"/>
      <c r="BR1443" s="115"/>
      <c r="BS1443" s="115"/>
      <c r="BT1443" s="115"/>
      <c r="BU1443" s="115"/>
      <c r="BV1443" s="115"/>
      <c r="BW1443" s="115"/>
      <c r="BX1443" s="115"/>
      <c r="BY1443" s="26"/>
      <c r="BZ1443" s="13"/>
      <c r="CC1443" s="114"/>
    </row>
    <row r="1444" spans="5:81" x14ac:dyDescent="0.4">
      <c r="BB1444" s="115"/>
      <c r="BC1444" s="115"/>
      <c r="BD1444" s="115"/>
      <c r="BE1444" s="115"/>
      <c r="BF1444" s="115"/>
      <c r="BG1444" s="115"/>
      <c r="BH1444" s="122"/>
      <c r="BI1444" s="122"/>
      <c r="BJ1444" s="122"/>
      <c r="BK1444" s="115"/>
      <c r="BL1444" s="115"/>
      <c r="BM1444" s="115"/>
      <c r="BN1444" s="115"/>
      <c r="BO1444" s="115"/>
      <c r="BP1444" s="115"/>
      <c r="BQ1444" s="115"/>
      <c r="BR1444" s="115"/>
      <c r="BS1444" s="115"/>
      <c r="BT1444" s="115"/>
      <c r="BU1444" s="115"/>
      <c r="BV1444" s="115"/>
      <c r="BW1444" s="115"/>
      <c r="BX1444" s="115"/>
      <c r="BY1444" s="26"/>
      <c r="BZ1444" s="13"/>
      <c r="CC1444" s="114"/>
    </row>
    <row r="1445" spans="5:81" x14ac:dyDescent="0.4">
      <c r="BB1445" s="115"/>
      <c r="BC1445" s="115"/>
      <c r="BD1445" s="115"/>
      <c r="BE1445" s="115"/>
      <c r="BF1445" s="115"/>
      <c r="BG1445" s="115"/>
      <c r="BH1445" s="122"/>
      <c r="BI1445" s="122"/>
      <c r="BJ1445" s="122"/>
      <c r="BK1445" s="115"/>
      <c r="BL1445" s="115"/>
      <c r="BM1445" s="115"/>
      <c r="BN1445" s="115"/>
      <c r="BO1445" s="115"/>
      <c r="BP1445" s="115"/>
      <c r="BQ1445" s="115"/>
      <c r="BR1445" s="115"/>
      <c r="BS1445" s="115"/>
      <c r="BT1445" s="115"/>
      <c r="BU1445" s="115"/>
      <c r="BV1445" s="115"/>
      <c r="BW1445" s="115"/>
      <c r="BX1445" s="115"/>
      <c r="BY1445" s="17"/>
      <c r="BZ1445" s="13"/>
      <c r="CC1445" s="114"/>
    </row>
    <row r="1446" spans="5:81" x14ac:dyDescent="0.4">
      <c r="BB1446" s="115"/>
      <c r="BC1446" s="115"/>
      <c r="BD1446" s="115"/>
      <c r="BE1446" s="115"/>
      <c r="BF1446" s="115"/>
      <c r="BG1446" s="115"/>
      <c r="BH1446" s="122"/>
      <c r="BI1446" s="122"/>
      <c r="BJ1446" s="122"/>
      <c r="BK1446" s="115"/>
      <c r="BL1446" s="115"/>
      <c r="BM1446" s="115"/>
      <c r="BN1446" s="115"/>
      <c r="BO1446" s="115"/>
      <c r="BP1446" s="115"/>
      <c r="BQ1446" s="115"/>
      <c r="BR1446" s="115"/>
      <c r="BS1446" s="115"/>
      <c r="BT1446" s="115"/>
      <c r="BU1446" s="115"/>
      <c r="BV1446" s="115"/>
      <c r="BW1446" s="115"/>
      <c r="BX1446" s="115"/>
      <c r="BY1446" s="26"/>
      <c r="BZ1446" s="13"/>
      <c r="CC1446" s="114"/>
    </row>
    <row r="1447" spans="5:81" x14ac:dyDescent="0.4">
      <c r="BB1447" s="115"/>
      <c r="BC1447" s="115"/>
      <c r="BD1447" s="115"/>
      <c r="BE1447" s="115"/>
      <c r="BF1447" s="115"/>
      <c r="BG1447" s="115"/>
      <c r="BH1447" s="122"/>
      <c r="BI1447" s="122"/>
      <c r="BJ1447" s="122"/>
      <c r="BK1447" s="115"/>
      <c r="BL1447" s="115"/>
      <c r="BM1447" s="115"/>
      <c r="BN1447" s="115"/>
      <c r="BO1447" s="115"/>
      <c r="BP1447" s="115"/>
      <c r="BQ1447" s="115"/>
      <c r="BR1447" s="115"/>
      <c r="BS1447" s="115"/>
      <c r="BT1447" s="115"/>
      <c r="BU1447" s="115"/>
      <c r="BV1447" s="115"/>
      <c r="BW1447" s="115"/>
      <c r="BX1447" s="115"/>
      <c r="BY1447" s="26"/>
      <c r="BZ1447" s="13"/>
      <c r="CC1447" s="114"/>
    </row>
    <row r="1448" spans="5:81" x14ac:dyDescent="0.4">
      <c r="E1448" s="115"/>
      <c r="F1448" s="115"/>
      <c r="G1448" s="115"/>
      <c r="H1448" s="115"/>
      <c r="I1448" s="115"/>
      <c r="J1448" s="115"/>
      <c r="K1448" s="115"/>
      <c r="L1448" s="115"/>
      <c r="M1448" s="115"/>
      <c r="N1448" s="115"/>
      <c r="O1448" s="115"/>
      <c r="P1448" s="115"/>
      <c r="Q1448" s="115"/>
      <c r="R1448" s="115"/>
      <c r="S1448" s="115"/>
      <c r="T1448" s="115"/>
      <c r="U1448" s="115"/>
      <c r="V1448" s="115"/>
      <c r="W1448" s="115"/>
      <c r="X1448" s="115"/>
      <c r="Y1448" s="115"/>
      <c r="Z1448" s="115"/>
      <c r="AA1448" s="115"/>
      <c r="AB1448" s="115"/>
      <c r="AC1448" s="115"/>
      <c r="AD1448" s="115"/>
      <c r="AE1448" s="115"/>
      <c r="AF1448" s="115"/>
      <c r="AG1448" s="115"/>
      <c r="AH1448" s="115"/>
      <c r="AI1448" s="115"/>
      <c r="AJ1448" s="115"/>
      <c r="AK1448" s="115"/>
      <c r="AL1448" s="115"/>
      <c r="AM1448" s="115"/>
      <c r="AN1448" s="115"/>
      <c r="AO1448" s="115"/>
      <c r="AP1448" s="115"/>
      <c r="AQ1448" s="115"/>
      <c r="AR1448" s="115"/>
      <c r="AS1448" s="115"/>
      <c r="AT1448" s="115"/>
      <c r="AU1448" s="115"/>
      <c r="AV1448" s="115"/>
      <c r="AW1448" s="115"/>
      <c r="AX1448" s="115"/>
      <c r="AY1448" s="115"/>
      <c r="AZ1448" s="115"/>
      <c r="BA1448" s="115"/>
      <c r="BB1448" s="115"/>
      <c r="BC1448" s="115"/>
      <c r="BD1448" s="115"/>
      <c r="BE1448" s="115"/>
      <c r="BF1448" s="115"/>
      <c r="BG1448" s="115"/>
      <c r="BH1448" s="122"/>
      <c r="BI1448" s="122"/>
      <c r="BJ1448" s="122"/>
      <c r="BK1448" s="115"/>
      <c r="BL1448" s="115"/>
      <c r="BM1448" s="115"/>
      <c r="BN1448" s="115"/>
      <c r="BO1448" s="115"/>
      <c r="BP1448" s="115"/>
      <c r="BQ1448" s="115"/>
      <c r="BR1448" s="115"/>
      <c r="BS1448" s="115"/>
      <c r="BT1448" s="115"/>
      <c r="BU1448" s="115"/>
      <c r="BV1448" s="115"/>
      <c r="BW1448" s="115"/>
      <c r="BX1448" s="115"/>
      <c r="BY1448" s="26"/>
      <c r="BZ1448" s="13"/>
      <c r="CC1448" s="114"/>
    </row>
    <row r="1449" spans="5:81" x14ac:dyDescent="0.4">
      <c r="E1449" s="115"/>
      <c r="F1449" s="115"/>
      <c r="G1449" s="115"/>
      <c r="H1449" s="115"/>
      <c r="I1449" s="115"/>
      <c r="J1449" s="115"/>
      <c r="K1449" s="115"/>
      <c r="L1449" s="115"/>
      <c r="M1449" s="115"/>
      <c r="N1449" s="115"/>
      <c r="O1449" s="115"/>
      <c r="P1449" s="115"/>
      <c r="Q1449" s="115"/>
      <c r="R1449" s="115"/>
      <c r="S1449" s="115"/>
      <c r="T1449" s="115"/>
      <c r="U1449" s="115"/>
      <c r="V1449" s="115"/>
      <c r="W1449" s="115"/>
      <c r="X1449" s="115"/>
      <c r="Y1449" s="115"/>
      <c r="Z1449" s="115"/>
      <c r="AA1449" s="115"/>
      <c r="AB1449" s="115"/>
      <c r="AC1449" s="115"/>
      <c r="AD1449" s="115"/>
      <c r="AE1449" s="115"/>
      <c r="AF1449" s="115"/>
      <c r="AG1449" s="115"/>
      <c r="AH1449" s="115"/>
      <c r="AI1449" s="115"/>
      <c r="AJ1449" s="115"/>
      <c r="AK1449" s="115"/>
      <c r="AL1449" s="115"/>
      <c r="AM1449" s="115"/>
      <c r="AN1449" s="115"/>
      <c r="AO1449" s="115"/>
      <c r="AP1449" s="115"/>
      <c r="AQ1449" s="115"/>
      <c r="AR1449" s="115"/>
      <c r="AS1449" s="115"/>
      <c r="AT1449" s="115"/>
      <c r="AU1449" s="115"/>
      <c r="AV1449" s="115"/>
      <c r="AW1449" s="115"/>
      <c r="AX1449" s="115"/>
      <c r="AY1449" s="115"/>
      <c r="AZ1449" s="115"/>
      <c r="BA1449" s="115"/>
      <c r="BB1449" s="115"/>
      <c r="BC1449" s="115"/>
      <c r="BD1449" s="115"/>
      <c r="BE1449" s="115"/>
      <c r="BF1449" s="115"/>
      <c r="BG1449" s="115"/>
      <c r="BH1449" s="122"/>
      <c r="BI1449" s="122"/>
      <c r="BJ1449" s="122"/>
      <c r="BK1449" s="115"/>
      <c r="BL1449" s="115"/>
      <c r="BM1449" s="115"/>
      <c r="BN1449" s="115"/>
      <c r="BO1449" s="115"/>
      <c r="BP1449" s="115"/>
      <c r="BQ1449" s="115"/>
      <c r="BR1449" s="115"/>
      <c r="BS1449" s="115"/>
      <c r="BT1449" s="115"/>
      <c r="BU1449" s="115"/>
      <c r="BV1449" s="115"/>
      <c r="BW1449" s="115"/>
      <c r="BX1449" s="115"/>
      <c r="BY1449" s="26"/>
      <c r="BZ1449" s="13"/>
      <c r="CC1449" s="114"/>
    </row>
    <row r="1450" spans="5:81" x14ac:dyDescent="0.4">
      <c r="E1450" s="115"/>
      <c r="F1450" s="115"/>
      <c r="G1450" s="115"/>
      <c r="H1450" s="115"/>
      <c r="I1450" s="115"/>
      <c r="J1450" s="115"/>
      <c r="K1450" s="115"/>
      <c r="L1450" s="115"/>
      <c r="M1450" s="115"/>
      <c r="N1450" s="115"/>
      <c r="O1450" s="115"/>
      <c r="P1450" s="115"/>
      <c r="Q1450" s="115"/>
      <c r="R1450" s="115"/>
      <c r="S1450" s="115"/>
      <c r="T1450" s="115"/>
      <c r="U1450" s="115"/>
      <c r="V1450" s="115"/>
      <c r="W1450" s="115"/>
      <c r="X1450" s="115"/>
      <c r="Y1450" s="115"/>
      <c r="Z1450" s="115"/>
      <c r="AA1450" s="115"/>
      <c r="AB1450" s="115"/>
      <c r="AC1450" s="115"/>
      <c r="AD1450" s="115"/>
      <c r="AE1450" s="115"/>
      <c r="AF1450" s="115"/>
      <c r="AG1450" s="115"/>
      <c r="AH1450" s="115"/>
      <c r="AI1450" s="115"/>
      <c r="AJ1450" s="115"/>
      <c r="AK1450" s="115"/>
      <c r="AL1450" s="115"/>
      <c r="AM1450" s="115"/>
      <c r="AN1450" s="115"/>
      <c r="AO1450" s="115"/>
      <c r="AP1450" s="115"/>
      <c r="AQ1450" s="115"/>
      <c r="AR1450" s="115"/>
      <c r="AS1450" s="115"/>
      <c r="AT1450" s="115"/>
      <c r="AU1450" s="115"/>
      <c r="AV1450" s="115"/>
      <c r="AW1450" s="115"/>
      <c r="AX1450" s="115"/>
      <c r="AY1450" s="115"/>
      <c r="AZ1450" s="115"/>
      <c r="BA1450" s="115"/>
      <c r="BB1450" s="115"/>
      <c r="BC1450" s="115"/>
      <c r="BD1450" s="115"/>
      <c r="BE1450" s="115"/>
      <c r="BF1450" s="115"/>
      <c r="BG1450" s="115"/>
      <c r="BH1450" s="122"/>
      <c r="BI1450" s="122"/>
      <c r="BJ1450" s="122"/>
      <c r="BK1450" s="115"/>
      <c r="BL1450" s="115"/>
      <c r="BM1450" s="115"/>
      <c r="BN1450" s="115"/>
      <c r="BO1450" s="115"/>
      <c r="BP1450" s="115"/>
      <c r="BQ1450" s="115"/>
      <c r="BR1450" s="115"/>
      <c r="BS1450" s="115"/>
      <c r="BT1450" s="115"/>
      <c r="BU1450" s="115"/>
      <c r="BV1450" s="115"/>
      <c r="BW1450" s="115"/>
      <c r="BX1450" s="115"/>
      <c r="BY1450" s="26"/>
      <c r="BZ1450" s="13"/>
      <c r="CC1450" s="114"/>
    </row>
    <row r="1451" spans="5:81" x14ac:dyDescent="0.4">
      <c r="E1451" s="115"/>
      <c r="F1451" s="115"/>
      <c r="G1451" s="115"/>
      <c r="H1451" s="115"/>
      <c r="I1451" s="115"/>
      <c r="J1451" s="115"/>
      <c r="K1451" s="115"/>
      <c r="L1451" s="115"/>
      <c r="M1451" s="115"/>
      <c r="N1451" s="115"/>
      <c r="O1451" s="115"/>
      <c r="P1451" s="115"/>
      <c r="Q1451" s="115"/>
      <c r="R1451" s="115"/>
      <c r="S1451" s="115"/>
      <c r="T1451" s="115"/>
      <c r="U1451" s="115"/>
      <c r="V1451" s="115"/>
      <c r="W1451" s="115"/>
      <c r="X1451" s="115"/>
      <c r="Y1451" s="115"/>
      <c r="Z1451" s="115"/>
      <c r="AA1451" s="115"/>
      <c r="AB1451" s="115"/>
      <c r="AC1451" s="115"/>
      <c r="AD1451" s="115"/>
      <c r="AE1451" s="115"/>
      <c r="AF1451" s="115"/>
      <c r="AG1451" s="115"/>
      <c r="AH1451" s="115"/>
      <c r="AI1451" s="115"/>
      <c r="AJ1451" s="115"/>
      <c r="AK1451" s="115"/>
      <c r="AL1451" s="115"/>
      <c r="AM1451" s="115"/>
      <c r="AN1451" s="115"/>
      <c r="AO1451" s="115"/>
      <c r="AP1451" s="115"/>
      <c r="AQ1451" s="115"/>
      <c r="AR1451" s="115"/>
      <c r="AS1451" s="115"/>
      <c r="AT1451" s="115"/>
      <c r="AU1451" s="115"/>
      <c r="AV1451" s="115"/>
      <c r="AW1451" s="115"/>
      <c r="AX1451" s="115"/>
      <c r="AY1451" s="115"/>
      <c r="AZ1451" s="115"/>
      <c r="BA1451" s="115"/>
      <c r="BB1451" s="115"/>
      <c r="BC1451" s="115"/>
      <c r="BD1451" s="115"/>
      <c r="BE1451" s="115"/>
      <c r="BF1451" s="115"/>
      <c r="BG1451" s="115"/>
      <c r="BH1451" s="122"/>
      <c r="BI1451" s="122"/>
      <c r="BJ1451" s="122"/>
      <c r="BK1451" s="115"/>
      <c r="BL1451" s="115"/>
      <c r="BM1451" s="115"/>
      <c r="BN1451" s="115"/>
      <c r="BO1451" s="115"/>
      <c r="BP1451" s="115"/>
      <c r="BQ1451" s="115"/>
      <c r="BR1451" s="115"/>
      <c r="BS1451" s="115"/>
      <c r="BT1451" s="115"/>
      <c r="BU1451" s="115"/>
      <c r="BV1451" s="115"/>
      <c r="BW1451" s="115"/>
      <c r="BX1451" s="115"/>
      <c r="BY1451" s="26"/>
      <c r="BZ1451" s="13"/>
      <c r="CC1451" s="114"/>
    </row>
    <row r="1452" spans="5:81" x14ac:dyDescent="0.4">
      <c r="E1452" s="115"/>
      <c r="F1452" s="115"/>
      <c r="G1452" s="115"/>
      <c r="H1452" s="115"/>
      <c r="I1452" s="115"/>
      <c r="J1452" s="115"/>
      <c r="K1452" s="115"/>
      <c r="L1452" s="115"/>
      <c r="M1452" s="115"/>
      <c r="N1452" s="115"/>
      <c r="O1452" s="115"/>
      <c r="P1452" s="115"/>
      <c r="Q1452" s="115"/>
      <c r="R1452" s="115"/>
      <c r="S1452" s="115"/>
      <c r="T1452" s="115"/>
      <c r="U1452" s="115"/>
      <c r="V1452" s="115"/>
      <c r="W1452" s="115"/>
      <c r="X1452" s="115"/>
      <c r="Y1452" s="115"/>
      <c r="Z1452" s="115"/>
      <c r="AA1452" s="115"/>
      <c r="AB1452" s="115"/>
      <c r="AC1452" s="115"/>
      <c r="AD1452" s="115"/>
      <c r="AE1452" s="115"/>
      <c r="AF1452" s="115"/>
      <c r="AG1452" s="115"/>
      <c r="AH1452" s="115"/>
      <c r="AI1452" s="115"/>
      <c r="AJ1452" s="115"/>
      <c r="AK1452" s="115"/>
      <c r="AL1452" s="115"/>
      <c r="AM1452" s="115"/>
      <c r="AN1452" s="115"/>
      <c r="AO1452" s="115"/>
      <c r="AP1452" s="115"/>
      <c r="AQ1452" s="115"/>
      <c r="AR1452" s="115"/>
      <c r="AS1452" s="115"/>
      <c r="AT1452" s="115"/>
      <c r="AU1452" s="115"/>
      <c r="AV1452" s="115"/>
      <c r="AW1452" s="115"/>
      <c r="AX1452" s="115"/>
      <c r="AY1452" s="115"/>
      <c r="AZ1452" s="115"/>
      <c r="BA1452" s="115"/>
      <c r="BB1452" s="115"/>
      <c r="BC1452" s="115"/>
      <c r="BD1452" s="115"/>
      <c r="BE1452" s="115"/>
      <c r="BF1452" s="115"/>
      <c r="BG1452" s="115"/>
      <c r="BH1452" s="122"/>
      <c r="BI1452" s="122"/>
      <c r="BJ1452" s="122"/>
      <c r="BK1452" s="115"/>
      <c r="BL1452" s="115"/>
      <c r="BM1452" s="115"/>
      <c r="BN1452" s="115"/>
      <c r="BO1452" s="115"/>
      <c r="BP1452" s="115"/>
      <c r="BQ1452" s="115"/>
      <c r="BR1452" s="115"/>
      <c r="BS1452" s="115"/>
      <c r="BT1452" s="115"/>
      <c r="BU1452" s="115"/>
      <c r="BV1452" s="115"/>
      <c r="BW1452" s="115"/>
      <c r="BX1452" s="115"/>
      <c r="BY1452" s="26"/>
      <c r="BZ1452" s="13"/>
      <c r="CC1452" s="114"/>
    </row>
    <row r="1453" spans="5:81" x14ac:dyDescent="0.4">
      <c r="E1453" s="115"/>
      <c r="F1453" s="115"/>
      <c r="G1453" s="115"/>
      <c r="H1453" s="115"/>
      <c r="I1453" s="115"/>
      <c r="J1453" s="115"/>
      <c r="K1453" s="115"/>
      <c r="L1453" s="115"/>
      <c r="M1453" s="115"/>
      <c r="N1453" s="115"/>
      <c r="O1453" s="115"/>
      <c r="P1453" s="115"/>
      <c r="Q1453" s="115"/>
      <c r="R1453" s="115"/>
      <c r="S1453" s="115"/>
      <c r="T1453" s="115"/>
      <c r="U1453" s="115"/>
      <c r="V1453" s="115"/>
      <c r="W1453" s="115"/>
      <c r="X1453" s="115"/>
      <c r="Y1453" s="115"/>
      <c r="Z1453" s="115"/>
      <c r="AA1453" s="115"/>
      <c r="AB1453" s="115"/>
      <c r="AC1453" s="115"/>
      <c r="AD1453" s="115"/>
      <c r="AE1453" s="115"/>
      <c r="AF1453" s="115"/>
      <c r="AG1453" s="115"/>
      <c r="AH1453" s="115"/>
      <c r="AI1453" s="115"/>
      <c r="AJ1453" s="115"/>
      <c r="AK1453" s="115"/>
      <c r="AL1453" s="115"/>
      <c r="AM1453" s="115"/>
      <c r="AN1453" s="115"/>
      <c r="AO1453" s="115"/>
      <c r="AP1453" s="115"/>
      <c r="AQ1453" s="115"/>
      <c r="AR1453" s="115"/>
      <c r="AS1453" s="115"/>
      <c r="AT1453" s="115"/>
      <c r="AU1453" s="115"/>
      <c r="AV1453" s="115"/>
      <c r="AW1453" s="115"/>
      <c r="AX1453" s="115"/>
      <c r="AY1453" s="115"/>
      <c r="AZ1453" s="115"/>
      <c r="BA1453" s="115"/>
      <c r="BB1453" s="115"/>
      <c r="BC1453" s="115"/>
      <c r="BD1453" s="115"/>
      <c r="BE1453" s="115"/>
      <c r="BF1453" s="115"/>
      <c r="BG1453" s="115"/>
      <c r="BH1453" s="122"/>
      <c r="BI1453" s="122"/>
      <c r="BJ1453" s="122"/>
      <c r="BK1453" s="115"/>
      <c r="BL1453" s="115"/>
      <c r="BM1453" s="115"/>
      <c r="BN1453" s="115"/>
      <c r="BO1453" s="115"/>
      <c r="BP1453" s="115"/>
      <c r="BQ1453" s="115"/>
      <c r="BR1453" s="115"/>
      <c r="BS1453" s="115"/>
      <c r="BT1453" s="115"/>
      <c r="BU1453" s="115"/>
      <c r="BV1453" s="115"/>
      <c r="BW1453" s="115"/>
      <c r="BX1453" s="115"/>
      <c r="BY1453" s="26"/>
      <c r="BZ1453" s="13"/>
      <c r="CC1453" s="114"/>
    </row>
    <row r="1454" spans="5:81" x14ac:dyDescent="0.4">
      <c r="E1454" s="115"/>
      <c r="F1454" s="115"/>
      <c r="G1454" s="115"/>
      <c r="H1454" s="115"/>
      <c r="I1454" s="115"/>
      <c r="J1454" s="115"/>
      <c r="K1454" s="115"/>
      <c r="L1454" s="115"/>
      <c r="M1454" s="115"/>
      <c r="N1454" s="115"/>
      <c r="O1454" s="115"/>
      <c r="P1454" s="115"/>
      <c r="Q1454" s="115"/>
      <c r="R1454" s="115"/>
      <c r="S1454" s="115"/>
      <c r="T1454" s="115"/>
      <c r="U1454" s="115"/>
      <c r="V1454" s="115"/>
      <c r="W1454" s="115"/>
      <c r="X1454" s="115"/>
      <c r="Y1454" s="115"/>
      <c r="Z1454" s="115"/>
      <c r="AA1454" s="115"/>
      <c r="AB1454" s="115"/>
      <c r="AC1454" s="115"/>
      <c r="AD1454" s="115"/>
      <c r="AE1454" s="115"/>
      <c r="AF1454" s="115"/>
      <c r="AG1454" s="115"/>
      <c r="AH1454" s="115"/>
      <c r="AI1454" s="115"/>
      <c r="AJ1454" s="115"/>
      <c r="AK1454" s="115"/>
      <c r="AL1454" s="115"/>
      <c r="AM1454" s="115"/>
      <c r="AN1454" s="115"/>
      <c r="AO1454" s="115"/>
      <c r="AP1454" s="115"/>
      <c r="AQ1454" s="115"/>
      <c r="AR1454" s="115"/>
      <c r="AS1454" s="115"/>
      <c r="AT1454" s="115"/>
      <c r="AU1454" s="115"/>
      <c r="AV1454" s="115"/>
      <c r="AW1454" s="115"/>
      <c r="AX1454" s="115"/>
      <c r="AY1454" s="115"/>
      <c r="AZ1454" s="115"/>
      <c r="BA1454" s="115"/>
      <c r="BB1454" s="115"/>
      <c r="BC1454" s="115"/>
      <c r="BD1454" s="115"/>
      <c r="BE1454" s="115"/>
      <c r="BF1454" s="115"/>
      <c r="BG1454" s="115"/>
      <c r="BH1454" s="122"/>
      <c r="BI1454" s="122"/>
      <c r="BJ1454" s="122"/>
      <c r="BK1454" s="115"/>
      <c r="BL1454" s="115"/>
      <c r="BM1454" s="115"/>
      <c r="BN1454" s="115"/>
      <c r="BO1454" s="115"/>
      <c r="BP1454" s="115"/>
      <c r="BQ1454" s="115"/>
      <c r="BR1454" s="115"/>
      <c r="BS1454" s="115"/>
      <c r="BT1454" s="115"/>
      <c r="BU1454" s="115"/>
      <c r="BV1454" s="115"/>
      <c r="BW1454" s="115"/>
      <c r="BX1454" s="115"/>
      <c r="BY1454" s="26"/>
      <c r="BZ1454" s="13"/>
      <c r="CC1454" s="114"/>
    </row>
    <row r="1455" spans="5:81" x14ac:dyDescent="0.4">
      <c r="E1455" s="115"/>
      <c r="F1455" s="115"/>
      <c r="G1455" s="115"/>
      <c r="H1455" s="115"/>
      <c r="I1455" s="115"/>
      <c r="J1455" s="115"/>
      <c r="K1455" s="115"/>
      <c r="L1455" s="115"/>
      <c r="M1455" s="115"/>
      <c r="N1455" s="115"/>
      <c r="O1455" s="115"/>
      <c r="P1455" s="115"/>
      <c r="Q1455" s="115"/>
      <c r="R1455" s="115"/>
      <c r="S1455" s="115"/>
      <c r="T1455" s="115"/>
      <c r="U1455" s="115"/>
      <c r="V1455" s="115"/>
      <c r="W1455" s="115"/>
      <c r="X1455" s="115"/>
      <c r="Y1455" s="115"/>
      <c r="Z1455" s="115"/>
      <c r="AA1455" s="115"/>
      <c r="AB1455" s="115"/>
      <c r="AC1455" s="115"/>
      <c r="AD1455" s="115"/>
      <c r="AE1455" s="115"/>
      <c r="AF1455" s="115"/>
      <c r="AG1455" s="115"/>
      <c r="AH1455" s="115"/>
      <c r="AI1455" s="115"/>
      <c r="AJ1455" s="115"/>
      <c r="AK1455" s="115"/>
      <c r="AL1455" s="115"/>
      <c r="AM1455" s="115"/>
      <c r="AN1455" s="115"/>
      <c r="AO1455" s="115"/>
      <c r="AP1455" s="115"/>
      <c r="AQ1455" s="115"/>
      <c r="AR1455" s="115"/>
      <c r="AS1455" s="115"/>
      <c r="AT1455" s="115"/>
      <c r="AU1455" s="115"/>
      <c r="AV1455" s="115"/>
      <c r="AW1455" s="115"/>
      <c r="AX1455" s="115"/>
      <c r="AY1455" s="115"/>
      <c r="AZ1455" s="115"/>
      <c r="BA1455" s="115"/>
      <c r="BB1455" s="115"/>
      <c r="BC1455" s="115"/>
      <c r="BD1455" s="115"/>
      <c r="BE1455" s="115"/>
      <c r="BF1455" s="115"/>
      <c r="BG1455" s="115"/>
      <c r="BH1455" s="122"/>
      <c r="BI1455" s="122"/>
      <c r="BJ1455" s="122"/>
      <c r="BK1455" s="115"/>
      <c r="BL1455" s="115"/>
      <c r="BM1455" s="115"/>
      <c r="BN1455" s="115"/>
      <c r="BO1455" s="115"/>
      <c r="BP1455" s="115"/>
      <c r="BQ1455" s="115"/>
      <c r="BR1455" s="115"/>
      <c r="BS1455" s="115"/>
      <c r="BT1455" s="115"/>
      <c r="BU1455" s="115"/>
      <c r="BV1455" s="115"/>
      <c r="BW1455" s="115"/>
      <c r="BX1455" s="115"/>
      <c r="BY1455" s="26"/>
      <c r="BZ1455" s="13"/>
      <c r="CC1455" s="114"/>
    </row>
    <row r="1456" spans="5:81" x14ac:dyDescent="0.4">
      <c r="E1456" s="115"/>
      <c r="F1456" s="115"/>
      <c r="G1456" s="115"/>
      <c r="H1456" s="115"/>
      <c r="I1456" s="115"/>
      <c r="J1456" s="115"/>
      <c r="K1456" s="115"/>
      <c r="L1456" s="115"/>
      <c r="M1456" s="115"/>
      <c r="N1456" s="115"/>
      <c r="O1456" s="115"/>
      <c r="P1456" s="115"/>
      <c r="Q1456" s="115"/>
      <c r="R1456" s="115"/>
      <c r="S1456" s="115"/>
      <c r="T1456" s="115"/>
      <c r="U1456" s="115"/>
      <c r="V1456" s="115"/>
      <c r="W1456" s="115"/>
      <c r="X1456" s="115"/>
      <c r="Y1456" s="115"/>
      <c r="Z1456" s="115"/>
      <c r="AA1456" s="115"/>
      <c r="AB1456" s="115"/>
      <c r="AC1456" s="115"/>
      <c r="AD1456" s="115"/>
      <c r="AE1456" s="115"/>
      <c r="AF1456" s="115"/>
      <c r="AG1456" s="115"/>
      <c r="AH1456" s="115"/>
      <c r="AI1456" s="115"/>
      <c r="AJ1456" s="115"/>
      <c r="AK1456" s="115"/>
      <c r="AL1456" s="115"/>
      <c r="AM1456" s="115"/>
      <c r="AN1456" s="115"/>
      <c r="AO1456" s="115"/>
      <c r="AP1456" s="115"/>
      <c r="AQ1456" s="115"/>
      <c r="AR1456" s="115"/>
      <c r="AS1456" s="115"/>
      <c r="AT1456" s="115"/>
      <c r="AU1456" s="115"/>
      <c r="AV1456" s="115"/>
      <c r="AW1456" s="115"/>
      <c r="AX1456" s="115"/>
      <c r="AY1456" s="115"/>
      <c r="AZ1456" s="115"/>
      <c r="BA1456" s="115"/>
      <c r="BB1456" s="115"/>
      <c r="BC1456" s="115"/>
      <c r="BD1456" s="115"/>
      <c r="BE1456" s="115"/>
      <c r="BF1456" s="115"/>
      <c r="BG1456" s="115"/>
      <c r="BH1456" s="122"/>
      <c r="BI1456" s="122"/>
      <c r="BJ1456" s="122"/>
      <c r="BK1456" s="115"/>
      <c r="BL1456" s="115"/>
      <c r="BM1456" s="115"/>
      <c r="BN1456" s="115"/>
      <c r="BO1456" s="115"/>
      <c r="BP1456" s="115"/>
      <c r="BQ1456" s="115"/>
      <c r="BR1456" s="115"/>
      <c r="BS1456" s="115"/>
      <c r="BT1456" s="115"/>
      <c r="BU1456" s="115"/>
      <c r="BV1456" s="115"/>
      <c r="BW1456" s="115"/>
      <c r="BX1456" s="115"/>
      <c r="BY1456" s="26"/>
      <c r="BZ1456" s="13"/>
      <c r="CC1456" s="114"/>
    </row>
    <row r="1457" spans="3:81" x14ac:dyDescent="0.4">
      <c r="E1457" s="115"/>
      <c r="F1457" s="115"/>
      <c r="G1457" s="115"/>
      <c r="H1457" s="115"/>
      <c r="I1457" s="115"/>
      <c r="J1457" s="115"/>
      <c r="K1457" s="115"/>
      <c r="L1457" s="115"/>
      <c r="M1457" s="115"/>
      <c r="N1457" s="115"/>
      <c r="O1457" s="115"/>
      <c r="P1457" s="115"/>
      <c r="Q1457" s="115"/>
      <c r="R1457" s="115"/>
      <c r="S1457" s="115"/>
      <c r="T1457" s="115"/>
      <c r="U1457" s="115"/>
      <c r="V1457" s="115"/>
      <c r="W1457" s="115"/>
      <c r="X1457" s="115"/>
      <c r="Y1457" s="115"/>
      <c r="Z1457" s="115"/>
      <c r="AA1457" s="115"/>
      <c r="AB1457" s="115"/>
      <c r="AC1457" s="115"/>
      <c r="AD1457" s="115"/>
      <c r="AE1457" s="115"/>
      <c r="AF1457" s="115"/>
      <c r="AG1457" s="115"/>
      <c r="AH1457" s="115"/>
      <c r="AI1457" s="115"/>
      <c r="AJ1457" s="115"/>
      <c r="AK1457" s="115"/>
      <c r="AL1457" s="115"/>
      <c r="AM1457" s="115"/>
      <c r="AN1457" s="115"/>
      <c r="AO1457" s="115"/>
      <c r="AP1457" s="115"/>
      <c r="AQ1457" s="115"/>
      <c r="AR1457" s="115"/>
      <c r="AS1457" s="115"/>
      <c r="AT1457" s="115"/>
      <c r="AU1457" s="115"/>
      <c r="AV1457" s="115"/>
      <c r="AW1457" s="115"/>
      <c r="AX1457" s="115"/>
      <c r="AY1457" s="115"/>
      <c r="AZ1457" s="115"/>
      <c r="BA1457" s="115"/>
      <c r="BB1457" s="115"/>
      <c r="BC1457" s="115"/>
      <c r="BD1457" s="115"/>
      <c r="BE1457" s="115"/>
      <c r="BF1457" s="115"/>
      <c r="BG1457" s="115"/>
      <c r="BH1457" s="122"/>
      <c r="BI1457" s="122"/>
      <c r="BJ1457" s="122"/>
      <c r="BK1457" s="115"/>
      <c r="BL1457" s="115"/>
      <c r="BM1457" s="115"/>
      <c r="BN1457" s="115"/>
      <c r="BO1457" s="115"/>
      <c r="BP1457" s="115"/>
      <c r="BQ1457" s="115"/>
      <c r="BR1457" s="115"/>
      <c r="BS1457" s="115"/>
      <c r="BT1457" s="115"/>
      <c r="BU1457" s="115"/>
      <c r="BV1457" s="115"/>
      <c r="BW1457" s="115"/>
      <c r="BX1457" s="115"/>
      <c r="BY1457" s="26"/>
      <c r="BZ1457" s="13"/>
      <c r="CC1457" s="114"/>
    </row>
    <row r="1458" spans="3:81" x14ac:dyDescent="0.4">
      <c r="E1458" s="115"/>
      <c r="F1458" s="115"/>
      <c r="G1458" s="115"/>
      <c r="H1458" s="115"/>
      <c r="I1458" s="115"/>
      <c r="J1458" s="115"/>
      <c r="K1458" s="115"/>
      <c r="L1458" s="115"/>
      <c r="M1458" s="115"/>
      <c r="N1458" s="115"/>
      <c r="O1458" s="115"/>
      <c r="P1458" s="115"/>
      <c r="Q1458" s="115"/>
      <c r="R1458" s="115"/>
      <c r="S1458" s="115"/>
      <c r="T1458" s="115"/>
      <c r="U1458" s="115"/>
      <c r="V1458" s="115"/>
      <c r="W1458" s="115"/>
      <c r="X1458" s="115"/>
      <c r="Y1458" s="115"/>
      <c r="Z1458" s="115"/>
      <c r="AA1458" s="115"/>
      <c r="AB1458" s="115"/>
      <c r="AC1458" s="115"/>
      <c r="AD1458" s="115"/>
      <c r="AE1458" s="115"/>
      <c r="AF1458" s="115"/>
      <c r="AG1458" s="115"/>
      <c r="AH1458" s="115"/>
      <c r="AI1458" s="115"/>
      <c r="AJ1458" s="115"/>
      <c r="AK1458" s="115"/>
      <c r="AL1458" s="115"/>
      <c r="AM1458" s="115"/>
      <c r="AN1458" s="115"/>
      <c r="AO1458" s="115"/>
      <c r="AP1458" s="115"/>
      <c r="AQ1458" s="115"/>
      <c r="AR1458" s="115"/>
      <c r="AS1458" s="115"/>
      <c r="AT1458" s="115"/>
      <c r="AU1458" s="115"/>
      <c r="AV1458" s="115"/>
      <c r="AW1458" s="115"/>
      <c r="AX1458" s="115"/>
      <c r="AY1458" s="115"/>
      <c r="AZ1458" s="115"/>
      <c r="BA1458" s="115"/>
      <c r="BB1458" s="115"/>
      <c r="BC1458" s="115"/>
      <c r="BD1458" s="115"/>
      <c r="BE1458" s="115"/>
      <c r="BF1458" s="115"/>
      <c r="BG1458" s="115"/>
      <c r="BH1458" s="122"/>
      <c r="BI1458" s="122"/>
      <c r="BJ1458" s="122"/>
      <c r="BK1458" s="115"/>
      <c r="BL1458" s="115"/>
      <c r="BM1458" s="115"/>
      <c r="BN1458" s="115"/>
      <c r="BO1458" s="115"/>
      <c r="BP1458" s="115"/>
      <c r="BQ1458" s="115"/>
      <c r="BR1458" s="115"/>
      <c r="BS1458" s="115"/>
      <c r="BT1458" s="115"/>
      <c r="BU1458" s="115"/>
      <c r="BV1458" s="115"/>
      <c r="BW1458" s="115"/>
      <c r="BX1458" s="115"/>
      <c r="BY1458" s="26"/>
      <c r="BZ1458" s="13"/>
      <c r="CC1458" s="114"/>
    </row>
    <row r="1459" spans="3:81" x14ac:dyDescent="0.4">
      <c r="E1459" s="115"/>
      <c r="F1459" s="115"/>
      <c r="G1459" s="115"/>
      <c r="H1459" s="115"/>
      <c r="I1459" s="115"/>
      <c r="J1459" s="115"/>
      <c r="K1459" s="115"/>
      <c r="L1459" s="115"/>
      <c r="M1459" s="115"/>
      <c r="N1459" s="115"/>
      <c r="O1459" s="115"/>
      <c r="P1459" s="115"/>
      <c r="Q1459" s="115"/>
      <c r="R1459" s="115"/>
      <c r="S1459" s="115"/>
      <c r="T1459" s="115"/>
      <c r="U1459" s="115"/>
      <c r="V1459" s="115"/>
      <c r="W1459" s="115"/>
      <c r="X1459" s="115"/>
      <c r="Y1459" s="115"/>
      <c r="Z1459" s="115"/>
      <c r="AA1459" s="115"/>
      <c r="AB1459" s="115"/>
      <c r="AC1459" s="115"/>
      <c r="AD1459" s="115"/>
      <c r="AE1459" s="115"/>
      <c r="AF1459" s="115"/>
      <c r="AG1459" s="115"/>
      <c r="AH1459" s="115"/>
      <c r="AI1459" s="115"/>
      <c r="AJ1459" s="115"/>
      <c r="AK1459" s="115"/>
      <c r="AL1459" s="115"/>
      <c r="AM1459" s="115"/>
      <c r="AN1459" s="115"/>
      <c r="AO1459" s="115"/>
      <c r="AP1459" s="115"/>
      <c r="AQ1459" s="115"/>
      <c r="AR1459" s="115"/>
      <c r="AS1459" s="115"/>
      <c r="AT1459" s="115"/>
      <c r="AU1459" s="115"/>
      <c r="AV1459" s="115"/>
      <c r="AW1459" s="115"/>
      <c r="AX1459" s="115"/>
      <c r="AY1459" s="115"/>
      <c r="AZ1459" s="115"/>
      <c r="BA1459" s="115"/>
      <c r="BB1459" s="115"/>
      <c r="BC1459" s="115"/>
      <c r="BD1459" s="115"/>
      <c r="BE1459" s="115"/>
      <c r="BF1459" s="115"/>
      <c r="BG1459" s="115"/>
      <c r="BH1459" s="122"/>
      <c r="BI1459" s="122"/>
      <c r="BJ1459" s="122"/>
      <c r="BK1459" s="115"/>
      <c r="BL1459" s="115"/>
      <c r="BM1459" s="115"/>
      <c r="BN1459" s="115"/>
      <c r="BO1459" s="115"/>
      <c r="BP1459" s="115"/>
      <c r="BQ1459" s="115"/>
      <c r="BR1459" s="115"/>
      <c r="BS1459" s="115"/>
      <c r="BT1459" s="115"/>
      <c r="BU1459" s="115"/>
      <c r="BV1459" s="115"/>
      <c r="BW1459" s="115"/>
      <c r="BX1459" s="115"/>
      <c r="BY1459" s="26"/>
      <c r="BZ1459" s="13"/>
      <c r="CC1459" s="114"/>
    </row>
    <row r="1460" spans="3:81" x14ac:dyDescent="0.4">
      <c r="E1460" s="115"/>
      <c r="F1460" s="115"/>
      <c r="G1460" s="115"/>
      <c r="H1460" s="115"/>
      <c r="I1460" s="115"/>
      <c r="J1460" s="115"/>
      <c r="K1460" s="115"/>
      <c r="L1460" s="115"/>
      <c r="M1460" s="115"/>
      <c r="N1460" s="115"/>
      <c r="O1460" s="115"/>
      <c r="P1460" s="115"/>
      <c r="Q1460" s="115"/>
      <c r="R1460" s="115"/>
      <c r="S1460" s="115"/>
      <c r="T1460" s="115"/>
      <c r="U1460" s="115"/>
      <c r="V1460" s="115"/>
      <c r="W1460" s="115"/>
      <c r="X1460" s="115"/>
      <c r="Y1460" s="115"/>
      <c r="Z1460" s="115"/>
      <c r="AA1460" s="115"/>
      <c r="AB1460" s="115"/>
      <c r="AC1460" s="115"/>
      <c r="AD1460" s="115"/>
      <c r="AE1460" s="115"/>
      <c r="AF1460" s="115"/>
      <c r="AG1460" s="115"/>
      <c r="AH1460" s="115"/>
      <c r="AI1460" s="115"/>
      <c r="AJ1460" s="115"/>
      <c r="AK1460" s="115"/>
      <c r="AL1460" s="115"/>
      <c r="AM1460" s="115"/>
      <c r="AN1460" s="115"/>
      <c r="AO1460" s="115"/>
      <c r="AP1460" s="115"/>
      <c r="AQ1460" s="115"/>
      <c r="AR1460" s="115"/>
      <c r="AS1460" s="115"/>
      <c r="AT1460" s="115"/>
      <c r="AU1460" s="115"/>
      <c r="AV1460" s="115"/>
      <c r="AW1460" s="115"/>
      <c r="AX1460" s="115"/>
      <c r="AY1460" s="115"/>
      <c r="AZ1460" s="115"/>
      <c r="BA1460" s="115"/>
      <c r="BB1460" s="115"/>
      <c r="BC1460" s="115"/>
      <c r="BD1460" s="115"/>
      <c r="BE1460" s="115"/>
      <c r="BF1460" s="115"/>
      <c r="BG1460" s="115"/>
      <c r="BH1460" s="122"/>
      <c r="BI1460" s="122"/>
      <c r="BJ1460" s="122"/>
      <c r="BK1460" s="115"/>
      <c r="BL1460" s="115"/>
      <c r="BM1460" s="115"/>
      <c r="BN1460" s="115"/>
      <c r="BO1460" s="115"/>
      <c r="BP1460" s="115"/>
      <c r="BQ1460" s="115"/>
      <c r="BR1460" s="115"/>
      <c r="BS1460" s="115"/>
      <c r="BT1460" s="115"/>
      <c r="BU1460" s="115"/>
      <c r="BV1460" s="115"/>
      <c r="BW1460" s="115"/>
      <c r="BX1460" s="115"/>
      <c r="BY1460" s="26"/>
      <c r="BZ1460" s="13"/>
      <c r="CC1460" s="114"/>
    </row>
    <row r="1461" spans="3:81" x14ac:dyDescent="0.4">
      <c r="E1461" s="115"/>
      <c r="F1461" s="115"/>
      <c r="G1461" s="115"/>
      <c r="H1461" s="115"/>
      <c r="I1461" s="115"/>
      <c r="J1461" s="115"/>
      <c r="K1461" s="115"/>
      <c r="L1461" s="115"/>
      <c r="M1461" s="115"/>
      <c r="N1461" s="115"/>
      <c r="O1461" s="115"/>
      <c r="P1461" s="115"/>
      <c r="Q1461" s="115"/>
      <c r="R1461" s="115"/>
      <c r="S1461" s="115"/>
      <c r="T1461" s="115"/>
      <c r="U1461" s="115"/>
      <c r="V1461" s="115"/>
      <c r="W1461" s="115"/>
      <c r="X1461" s="115"/>
      <c r="Y1461" s="115"/>
      <c r="Z1461" s="115"/>
      <c r="AA1461" s="115"/>
      <c r="AB1461" s="115"/>
      <c r="AC1461" s="115"/>
      <c r="AD1461" s="115"/>
      <c r="AE1461" s="115"/>
      <c r="AF1461" s="115"/>
      <c r="AG1461" s="115"/>
      <c r="AH1461" s="115"/>
      <c r="AI1461" s="115"/>
      <c r="AJ1461" s="115"/>
      <c r="AK1461" s="115"/>
      <c r="AL1461" s="115"/>
      <c r="AM1461" s="115"/>
      <c r="AN1461" s="115"/>
      <c r="AO1461" s="115"/>
      <c r="AP1461" s="115"/>
      <c r="AQ1461" s="115"/>
      <c r="AR1461" s="115"/>
      <c r="AS1461" s="115"/>
      <c r="AT1461" s="115"/>
      <c r="AU1461" s="115"/>
      <c r="AV1461" s="115"/>
      <c r="AW1461" s="115"/>
      <c r="AX1461" s="115"/>
      <c r="AY1461" s="115"/>
      <c r="AZ1461" s="115"/>
      <c r="BA1461" s="115"/>
      <c r="BB1461" s="115"/>
      <c r="BC1461" s="115"/>
      <c r="BD1461" s="115"/>
      <c r="BE1461" s="115"/>
      <c r="BF1461" s="115"/>
      <c r="BG1461" s="115"/>
      <c r="BH1461" s="122"/>
      <c r="BI1461" s="122"/>
      <c r="BJ1461" s="122"/>
      <c r="BK1461" s="115"/>
      <c r="BL1461" s="115"/>
      <c r="BM1461" s="115"/>
      <c r="BN1461" s="115"/>
      <c r="BO1461" s="115"/>
      <c r="BP1461" s="115"/>
      <c r="BQ1461" s="115"/>
      <c r="BR1461" s="115"/>
      <c r="BS1461" s="115"/>
      <c r="BT1461" s="115"/>
      <c r="BU1461" s="115"/>
      <c r="BV1461" s="115"/>
      <c r="BW1461" s="115"/>
      <c r="BX1461" s="115"/>
      <c r="BY1461" s="26"/>
      <c r="BZ1461" s="13"/>
      <c r="CC1461" s="114"/>
    </row>
    <row r="1462" spans="3:81" x14ac:dyDescent="0.4">
      <c r="E1462" s="115"/>
      <c r="F1462" s="115"/>
      <c r="G1462" s="115"/>
      <c r="H1462" s="115"/>
      <c r="I1462" s="115"/>
      <c r="J1462" s="115"/>
      <c r="K1462" s="115"/>
      <c r="L1462" s="115"/>
      <c r="M1462" s="115"/>
      <c r="N1462" s="115"/>
      <c r="O1462" s="115"/>
      <c r="P1462" s="115"/>
      <c r="Q1462" s="115"/>
      <c r="R1462" s="115"/>
      <c r="S1462" s="115"/>
      <c r="T1462" s="115"/>
      <c r="U1462" s="115"/>
      <c r="V1462" s="115"/>
      <c r="W1462" s="115"/>
      <c r="X1462" s="115"/>
      <c r="Y1462" s="115"/>
      <c r="Z1462" s="115"/>
      <c r="AA1462" s="115"/>
      <c r="AB1462" s="115"/>
      <c r="AC1462" s="115"/>
      <c r="AD1462" s="115"/>
      <c r="AE1462" s="115"/>
      <c r="AF1462" s="115"/>
      <c r="AG1462" s="115"/>
      <c r="AH1462" s="115"/>
      <c r="AI1462" s="115"/>
      <c r="AJ1462" s="115"/>
      <c r="AK1462" s="115"/>
      <c r="AL1462" s="115"/>
      <c r="AM1462" s="115"/>
      <c r="AN1462" s="115"/>
      <c r="AO1462" s="115"/>
      <c r="AP1462" s="115"/>
      <c r="AQ1462" s="115"/>
      <c r="AR1462" s="115"/>
      <c r="AS1462" s="115"/>
      <c r="AT1462" s="115"/>
      <c r="AU1462" s="115"/>
      <c r="AV1462" s="115"/>
      <c r="AW1462" s="115"/>
      <c r="AX1462" s="115"/>
      <c r="AY1462" s="115"/>
      <c r="AZ1462" s="115"/>
      <c r="BA1462" s="115"/>
      <c r="BB1462" s="115"/>
      <c r="BC1462" s="115"/>
      <c r="BD1462" s="115"/>
      <c r="BE1462" s="115"/>
      <c r="BF1462" s="115"/>
      <c r="BG1462" s="115"/>
      <c r="BH1462" s="122"/>
      <c r="BI1462" s="122"/>
      <c r="BJ1462" s="122"/>
      <c r="BK1462" s="115"/>
      <c r="BL1462" s="115"/>
      <c r="BM1462" s="115"/>
      <c r="BN1462" s="115"/>
      <c r="BO1462" s="115"/>
      <c r="BP1462" s="115"/>
      <c r="BQ1462" s="115"/>
      <c r="BR1462" s="115"/>
      <c r="BS1462" s="115"/>
      <c r="BT1462" s="115"/>
      <c r="BU1462" s="115"/>
      <c r="BV1462" s="115"/>
      <c r="BW1462" s="115"/>
      <c r="BX1462" s="115"/>
      <c r="BY1462" s="26"/>
      <c r="BZ1462" s="13"/>
      <c r="CC1462" s="114"/>
    </row>
    <row r="1463" spans="3:81" x14ac:dyDescent="0.4">
      <c r="E1463" s="115"/>
      <c r="F1463" s="115"/>
      <c r="G1463" s="115"/>
      <c r="H1463" s="115"/>
      <c r="I1463" s="115"/>
      <c r="J1463" s="115"/>
      <c r="K1463" s="115"/>
      <c r="L1463" s="115"/>
      <c r="M1463" s="115"/>
      <c r="N1463" s="115"/>
      <c r="O1463" s="115"/>
      <c r="P1463" s="115"/>
      <c r="Q1463" s="115"/>
      <c r="R1463" s="115"/>
      <c r="S1463" s="115"/>
      <c r="T1463" s="115"/>
      <c r="U1463" s="115"/>
      <c r="V1463" s="115"/>
      <c r="W1463" s="115"/>
      <c r="X1463" s="115"/>
      <c r="Y1463" s="115"/>
      <c r="Z1463" s="115"/>
      <c r="AA1463" s="115"/>
      <c r="AB1463" s="115"/>
      <c r="AC1463" s="115"/>
      <c r="AD1463" s="115"/>
      <c r="AE1463" s="115"/>
      <c r="AF1463" s="115"/>
      <c r="AG1463" s="115"/>
      <c r="AH1463" s="115"/>
      <c r="AI1463" s="115"/>
      <c r="AJ1463" s="115"/>
      <c r="AK1463" s="115"/>
      <c r="AL1463" s="115"/>
      <c r="AM1463" s="115"/>
      <c r="AN1463" s="115"/>
      <c r="AO1463" s="115"/>
      <c r="AP1463" s="115"/>
      <c r="AQ1463" s="115"/>
      <c r="AR1463" s="115"/>
      <c r="AS1463" s="115"/>
      <c r="AT1463" s="115"/>
      <c r="AU1463" s="115"/>
      <c r="AV1463" s="115"/>
      <c r="AW1463" s="115"/>
      <c r="AX1463" s="115"/>
      <c r="AY1463" s="115"/>
      <c r="AZ1463" s="115"/>
      <c r="BA1463" s="115"/>
      <c r="BB1463" s="115"/>
      <c r="BC1463" s="115"/>
      <c r="BD1463" s="115"/>
      <c r="BE1463" s="115"/>
      <c r="BF1463" s="115"/>
      <c r="BG1463" s="115"/>
      <c r="BH1463" s="122"/>
      <c r="BI1463" s="122"/>
      <c r="BJ1463" s="122"/>
      <c r="BK1463" s="115"/>
      <c r="BL1463" s="115"/>
      <c r="BM1463" s="115"/>
      <c r="BN1463" s="115"/>
      <c r="BO1463" s="115"/>
      <c r="BP1463" s="115"/>
      <c r="BQ1463" s="115"/>
      <c r="BR1463" s="115"/>
      <c r="BS1463" s="115"/>
      <c r="BT1463" s="115"/>
      <c r="BU1463" s="115"/>
      <c r="BV1463" s="115"/>
      <c r="BW1463" s="115"/>
      <c r="BX1463" s="115"/>
      <c r="BY1463" s="26"/>
      <c r="BZ1463" s="13"/>
      <c r="CC1463" s="114"/>
    </row>
    <row r="1464" spans="3:81" x14ac:dyDescent="0.4">
      <c r="E1464" s="115"/>
      <c r="F1464" s="115"/>
      <c r="G1464" s="115"/>
      <c r="H1464" s="115"/>
      <c r="I1464" s="115"/>
      <c r="J1464" s="115"/>
      <c r="K1464" s="115"/>
      <c r="L1464" s="115"/>
      <c r="M1464" s="115"/>
      <c r="N1464" s="115"/>
      <c r="O1464" s="115"/>
      <c r="P1464" s="115"/>
      <c r="Q1464" s="115"/>
      <c r="R1464" s="115"/>
      <c r="S1464" s="115"/>
      <c r="T1464" s="115"/>
      <c r="U1464" s="115"/>
      <c r="V1464" s="115"/>
      <c r="W1464" s="115"/>
      <c r="X1464" s="115"/>
      <c r="Y1464" s="115"/>
      <c r="Z1464" s="115"/>
      <c r="AA1464" s="115"/>
      <c r="AB1464" s="115"/>
      <c r="AC1464" s="115"/>
      <c r="AD1464" s="115"/>
      <c r="AE1464" s="115"/>
      <c r="AF1464" s="115"/>
      <c r="AG1464" s="115"/>
      <c r="AH1464" s="115"/>
      <c r="AI1464" s="115"/>
      <c r="AJ1464" s="115"/>
      <c r="AK1464" s="115"/>
      <c r="AL1464" s="115"/>
      <c r="AM1464" s="115"/>
      <c r="AN1464" s="115"/>
      <c r="AO1464" s="115"/>
      <c r="AP1464" s="115"/>
      <c r="AQ1464" s="115"/>
      <c r="AR1464" s="115"/>
      <c r="AS1464" s="115"/>
      <c r="AT1464" s="115"/>
      <c r="AU1464" s="115"/>
      <c r="AV1464" s="115"/>
      <c r="AW1464" s="115"/>
      <c r="AX1464" s="115"/>
      <c r="AY1464" s="115"/>
      <c r="AZ1464" s="115"/>
      <c r="BA1464" s="115"/>
      <c r="BB1464" s="115"/>
      <c r="BC1464" s="115"/>
      <c r="BD1464" s="115"/>
      <c r="BE1464" s="115"/>
      <c r="BF1464" s="115"/>
      <c r="BG1464" s="115"/>
      <c r="BH1464" s="122"/>
      <c r="BI1464" s="122"/>
      <c r="BJ1464" s="122"/>
      <c r="BK1464" s="115"/>
      <c r="BL1464" s="115"/>
      <c r="BM1464" s="115"/>
      <c r="BN1464" s="115"/>
      <c r="BO1464" s="115"/>
      <c r="BP1464" s="115"/>
      <c r="BQ1464" s="115"/>
      <c r="BR1464" s="115"/>
      <c r="BS1464" s="115"/>
      <c r="BT1464" s="115"/>
      <c r="BU1464" s="115"/>
      <c r="BV1464" s="115"/>
      <c r="BW1464" s="115"/>
      <c r="BX1464" s="115"/>
      <c r="BY1464" s="17"/>
      <c r="BZ1464" s="13"/>
      <c r="CC1464" s="114"/>
    </row>
    <row r="1465" spans="3:81" x14ac:dyDescent="0.4">
      <c r="E1465" s="115"/>
      <c r="F1465" s="115"/>
      <c r="G1465" s="115"/>
      <c r="H1465" s="115"/>
      <c r="I1465" s="115"/>
      <c r="J1465" s="115"/>
      <c r="K1465" s="115"/>
      <c r="L1465" s="115"/>
      <c r="M1465" s="115"/>
      <c r="N1465" s="115"/>
      <c r="O1465" s="115"/>
      <c r="P1465" s="115"/>
      <c r="Q1465" s="115"/>
      <c r="R1465" s="115"/>
      <c r="S1465" s="115"/>
      <c r="T1465" s="115"/>
      <c r="U1465" s="115"/>
      <c r="V1465" s="115"/>
      <c r="W1465" s="115"/>
      <c r="X1465" s="115"/>
      <c r="Y1465" s="115"/>
      <c r="Z1465" s="115"/>
      <c r="AA1465" s="115"/>
      <c r="AB1465" s="115"/>
      <c r="AC1465" s="115"/>
      <c r="AD1465" s="115"/>
      <c r="AE1465" s="115"/>
      <c r="AF1465" s="115"/>
      <c r="AG1465" s="115"/>
      <c r="AH1465" s="115"/>
      <c r="AI1465" s="115"/>
      <c r="AJ1465" s="115"/>
      <c r="AK1465" s="115"/>
      <c r="AL1465" s="115"/>
      <c r="AM1465" s="115"/>
      <c r="AN1465" s="115"/>
      <c r="AO1465" s="115"/>
      <c r="AP1465" s="115"/>
      <c r="AQ1465" s="115"/>
      <c r="AR1465" s="115"/>
      <c r="AS1465" s="115"/>
      <c r="AT1465" s="115"/>
      <c r="AU1465" s="115"/>
      <c r="AV1465" s="115"/>
      <c r="AW1465" s="115"/>
      <c r="AX1465" s="115"/>
      <c r="AY1465" s="115"/>
      <c r="AZ1465" s="115"/>
      <c r="BA1465" s="115"/>
      <c r="BB1465" s="115"/>
      <c r="BC1465" s="115"/>
      <c r="BD1465" s="115"/>
      <c r="BE1465" s="115"/>
      <c r="BF1465" s="115"/>
      <c r="BG1465" s="115"/>
      <c r="BH1465" s="122"/>
      <c r="BI1465" s="122"/>
      <c r="BJ1465" s="122"/>
      <c r="BK1465" s="115"/>
      <c r="BL1465" s="115"/>
      <c r="BM1465" s="115"/>
      <c r="BN1465" s="115"/>
      <c r="BO1465" s="115"/>
      <c r="BP1465" s="115"/>
      <c r="BQ1465" s="115"/>
      <c r="BR1465" s="115"/>
      <c r="BS1465" s="115"/>
      <c r="BT1465" s="115"/>
      <c r="BU1465" s="115"/>
      <c r="BV1465" s="115"/>
      <c r="BW1465" s="115"/>
      <c r="BX1465" s="115"/>
      <c r="BY1465" s="26"/>
      <c r="BZ1465" s="13"/>
      <c r="CC1465" s="114"/>
    </row>
    <row r="1466" spans="3:81" x14ac:dyDescent="0.4">
      <c r="E1466" s="115"/>
      <c r="F1466" s="115"/>
      <c r="G1466" s="115"/>
      <c r="H1466" s="115"/>
      <c r="I1466" s="115"/>
      <c r="J1466" s="115"/>
      <c r="K1466" s="115"/>
      <c r="L1466" s="115"/>
      <c r="M1466" s="115"/>
      <c r="N1466" s="115"/>
      <c r="O1466" s="115"/>
      <c r="P1466" s="115"/>
      <c r="Q1466" s="115"/>
      <c r="R1466" s="115"/>
      <c r="S1466" s="115"/>
      <c r="T1466" s="115"/>
      <c r="U1466" s="115"/>
      <c r="V1466" s="115"/>
      <c r="W1466" s="115"/>
      <c r="X1466" s="115"/>
      <c r="Y1466" s="115"/>
      <c r="Z1466" s="115"/>
      <c r="AA1466" s="115"/>
      <c r="AB1466" s="115"/>
      <c r="AC1466" s="115"/>
      <c r="AD1466" s="115"/>
      <c r="AE1466" s="115"/>
      <c r="AF1466" s="115"/>
      <c r="AG1466" s="115"/>
      <c r="AH1466" s="115"/>
      <c r="AI1466" s="115"/>
      <c r="AJ1466" s="115"/>
      <c r="AK1466" s="115"/>
      <c r="AL1466" s="115"/>
      <c r="AM1466" s="115"/>
      <c r="AN1466" s="115"/>
      <c r="AO1466" s="115"/>
      <c r="AP1466" s="115"/>
      <c r="AQ1466" s="115"/>
      <c r="AR1466" s="115"/>
      <c r="AS1466" s="115"/>
      <c r="AT1466" s="115"/>
      <c r="AU1466" s="115"/>
      <c r="AV1466" s="115"/>
      <c r="AW1466" s="115"/>
      <c r="AX1466" s="115"/>
      <c r="AY1466" s="115"/>
      <c r="AZ1466" s="115"/>
      <c r="BA1466" s="115"/>
      <c r="BB1466" s="115"/>
      <c r="BC1466" s="115"/>
      <c r="BD1466" s="115"/>
      <c r="BE1466" s="115"/>
      <c r="BF1466" s="115"/>
      <c r="BG1466" s="115"/>
      <c r="BH1466" s="122"/>
      <c r="BI1466" s="122"/>
      <c r="BJ1466" s="122"/>
      <c r="BK1466" s="115"/>
      <c r="BL1466" s="115"/>
      <c r="BM1466" s="115"/>
      <c r="BN1466" s="115"/>
      <c r="BO1466" s="115"/>
      <c r="BP1466" s="115"/>
      <c r="BQ1466" s="115"/>
      <c r="BR1466" s="115"/>
      <c r="BS1466" s="115"/>
      <c r="BT1466" s="115"/>
      <c r="BU1466" s="115"/>
      <c r="BV1466" s="115"/>
      <c r="BW1466" s="115"/>
      <c r="BX1466" s="115"/>
      <c r="BY1466" s="26"/>
      <c r="BZ1466" s="13"/>
      <c r="CC1466" s="114"/>
    </row>
    <row r="1467" spans="3:81" x14ac:dyDescent="0.4">
      <c r="D1467" s="115"/>
      <c r="E1467" s="115"/>
      <c r="F1467" s="115"/>
      <c r="G1467" s="115"/>
      <c r="H1467" s="115"/>
      <c r="I1467" s="115"/>
      <c r="J1467" s="115"/>
      <c r="K1467" s="115"/>
      <c r="L1467" s="115"/>
      <c r="M1467" s="115"/>
      <c r="N1467" s="115"/>
      <c r="O1467" s="115"/>
      <c r="P1467" s="115"/>
      <c r="Q1467" s="115"/>
      <c r="R1467" s="115"/>
      <c r="S1467" s="115"/>
      <c r="T1467" s="115"/>
      <c r="U1467" s="115"/>
      <c r="V1467" s="115"/>
      <c r="W1467" s="115"/>
      <c r="X1467" s="115"/>
      <c r="Y1467" s="115"/>
      <c r="Z1467" s="115"/>
      <c r="AA1467" s="115"/>
      <c r="AB1467" s="115"/>
      <c r="AC1467" s="115"/>
      <c r="AD1467" s="115"/>
      <c r="AE1467" s="115"/>
      <c r="AF1467" s="115"/>
      <c r="AG1467" s="115"/>
      <c r="AH1467" s="115"/>
      <c r="AI1467" s="115"/>
      <c r="AJ1467" s="115"/>
      <c r="AK1467" s="115"/>
      <c r="AL1467" s="115"/>
      <c r="AM1467" s="115"/>
      <c r="AN1467" s="115"/>
      <c r="AO1467" s="115"/>
      <c r="AP1467" s="115"/>
      <c r="AQ1467" s="115"/>
      <c r="AR1467" s="115"/>
      <c r="AS1467" s="115"/>
      <c r="AT1467" s="115"/>
      <c r="AU1467" s="115"/>
      <c r="AV1467" s="115"/>
      <c r="AW1467" s="115"/>
      <c r="AX1467" s="115"/>
      <c r="AY1467" s="115"/>
      <c r="AZ1467" s="115"/>
      <c r="BA1467" s="115"/>
      <c r="BB1467" s="115"/>
      <c r="BC1467" s="115"/>
      <c r="BD1467" s="115"/>
      <c r="BE1467" s="115"/>
      <c r="BF1467" s="115"/>
      <c r="BG1467" s="115"/>
      <c r="BH1467" s="122"/>
      <c r="BI1467" s="122"/>
      <c r="BJ1467" s="122"/>
      <c r="BK1467" s="115"/>
      <c r="BL1467" s="115"/>
      <c r="BM1467" s="115"/>
      <c r="BN1467" s="115"/>
      <c r="BO1467" s="115"/>
      <c r="BP1467" s="115"/>
      <c r="BQ1467" s="115"/>
      <c r="BR1467" s="115"/>
      <c r="BS1467" s="115"/>
      <c r="BT1467" s="115"/>
      <c r="BU1467" s="115"/>
      <c r="BV1467" s="115"/>
      <c r="BW1467" s="115"/>
      <c r="BX1467" s="115"/>
      <c r="BY1467" s="26"/>
      <c r="BZ1467" s="13"/>
      <c r="CC1467" s="114"/>
    </row>
    <row r="1468" spans="3:81" x14ac:dyDescent="0.4">
      <c r="D1468" s="115"/>
      <c r="E1468" s="115"/>
      <c r="F1468" s="115"/>
      <c r="G1468" s="115"/>
      <c r="H1468" s="115"/>
      <c r="I1468" s="115"/>
      <c r="J1468" s="115"/>
      <c r="K1468" s="115"/>
      <c r="L1468" s="115"/>
      <c r="M1468" s="115"/>
      <c r="N1468" s="115"/>
      <c r="O1468" s="115"/>
      <c r="P1468" s="115"/>
      <c r="Q1468" s="115"/>
      <c r="R1468" s="115"/>
      <c r="S1468" s="115"/>
      <c r="T1468" s="115"/>
      <c r="U1468" s="115"/>
      <c r="V1468" s="115"/>
      <c r="W1468" s="115"/>
      <c r="X1468" s="115"/>
      <c r="Y1468" s="115"/>
      <c r="Z1468" s="115"/>
      <c r="AA1468" s="115"/>
      <c r="AB1468" s="115"/>
      <c r="AC1468" s="115"/>
      <c r="AD1468" s="115"/>
      <c r="AE1468" s="115"/>
      <c r="AF1468" s="115"/>
      <c r="AG1468" s="115"/>
      <c r="AH1468" s="115"/>
      <c r="AI1468" s="115"/>
      <c r="AJ1468" s="115"/>
      <c r="AK1468" s="115"/>
      <c r="AL1468" s="115"/>
      <c r="AM1468" s="115"/>
      <c r="AN1468" s="115"/>
      <c r="AO1468" s="115"/>
      <c r="AP1468" s="115"/>
      <c r="AQ1468" s="115"/>
      <c r="AR1468" s="115"/>
      <c r="AS1468" s="115"/>
      <c r="AT1468" s="115"/>
      <c r="AU1468" s="115"/>
      <c r="AV1468" s="115"/>
      <c r="AW1468" s="115"/>
      <c r="AX1468" s="115"/>
      <c r="AY1468" s="115"/>
      <c r="AZ1468" s="115"/>
      <c r="BA1468" s="115"/>
      <c r="BB1468" s="115"/>
      <c r="BC1468" s="115"/>
      <c r="BD1468" s="115"/>
      <c r="BE1468" s="115"/>
      <c r="BF1468" s="115"/>
      <c r="BG1468" s="115"/>
      <c r="BH1468" s="122"/>
      <c r="BI1468" s="122"/>
      <c r="BJ1468" s="122"/>
      <c r="BK1468" s="115"/>
      <c r="BL1468" s="115"/>
      <c r="BM1468" s="115"/>
      <c r="BN1468" s="115"/>
      <c r="BO1468" s="115"/>
      <c r="BP1468" s="115"/>
      <c r="BQ1468" s="115"/>
      <c r="BR1468" s="115"/>
      <c r="BS1468" s="115"/>
      <c r="BT1468" s="115"/>
      <c r="BU1468" s="115"/>
      <c r="BV1468" s="115"/>
      <c r="BW1468" s="115"/>
      <c r="BX1468" s="115"/>
      <c r="BY1468" s="26"/>
      <c r="BZ1468" s="15"/>
      <c r="CC1468" s="114"/>
    </row>
    <row r="1469" spans="3:81" x14ac:dyDescent="0.4">
      <c r="D1469" s="115"/>
      <c r="E1469" s="115"/>
      <c r="F1469" s="115"/>
      <c r="G1469" s="115"/>
      <c r="H1469" s="115"/>
      <c r="I1469" s="115"/>
      <c r="J1469" s="115"/>
      <c r="K1469" s="115"/>
      <c r="L1469" s="115"/>
      <c r="M1469" s="115"/>
      <c r="N1469" s="115"/>
      <c r="O1469" s="115"/>
      <c r="P1469" s="115"/>
      <c r="Q1469" s="115"/>
      <c r="R1469" s="115"/>
      <c r="S1469" s="115"/>
      <c r="T1469" s="115"/>
      <c r="U1469" s="115"/>
      <c r="V1469" s="115"/>
      <c r="W1469" s="115"/>
      <c r="X1469" s="115"/>
      <c r="Y1469" s="115"/>
      <c r="Z1469" s="115"/>
      <c r="AA1469" s="115"/>
      <c r="AB1469" s="115"/>
      <c r="AC1469" s="115"/>
      <c r="AD1469" s="115"/>
      <c r="AE1469" s="115"/>
      <c r="AF1469" s="115"/>
      <c r="AG1469" s="115"/>
      <c r="AH1469" s="115"/>
      <c r="AI1469" s="115"/>
      <c r="AJ1469" s="115"/>
      <c r="AK1469" s="115"/>
      <c r="AL1469" s="115"/>
      <c r="AM1469" s="115"/>
      <c r="AN1469" s="115"/>
      <c r="AO1469" s="115"/>
      <c r="AP1469" s="115"/>
      <c r="AQ1469" s="115"/>
      <c r="AR1469" s="115"/>
      <c r="AS1469" s="115"/>
      <c r="AT1469" s="115"/>
      <c r="AU1469" s="115"/>
      <c r="AV1469" s="115"/>
      <c r="AW1469" s="115"/>
      <c r="AX1469" s="115"/>
      <c r="AY1469" s="115"/>
      <c r="AZ1469" s="115"/>
      <c r="BA1469" s="115"/>
      <c r="BB1469" s="115"/>
      <c r="BC1469" s="115"/>
      <c r="BD1469" s="115"/>
      <c r="BE1469" s="115"/>
      <c r="BF1469" s="115"/>
      <c r="BG1469" s="115"/>
      <c r="BH1469" s="122"/>
      <c r="BI1469" s="122"/>
      <c r="BJ1469" s="122"/>
      <c r="BK1469" s="115"/>
      <c r="BL1469" s="115"/>
      <c r="BM1469" s="115"/>
      <c r="BN1469" s="115"/>
      <c r="BO1469" s="115"/>
      <c r="BP1469" s="115"/>
      <c r="BQ1469" s="115"/>
      <c r="BR1469" s="115"/>
      <c r="BS1469" s="115"/>
      <c r="BT1469" s="115"/>
      <c r="BU1469" s="115"/>
      <c r="BV1469" s="115"/>
      <c r="BW1469" s="115"/>
      <c r="BX1469" s="115"/>
      <c r="BY1469" s="26"/>
      <c r="BZ1469" s="15"/>
      <c r="CC1469" s="114"/>
    </row>
    <row r="1470" spans="3:81" x14ac:dyDescent="0.4">
      <c r="C1470" s="115"/>
      <c r="D1470" s="115"/>
      <c r="E1470" s="115"/>
      <c r="F1470" s="115"/>
      <c r="G1470" s="115"/>
      <c r="H1470" s="115"/>
      <c r="I1470" s="115"/>
      <c r="J1470" s="115"/>
      <c r="K1470" s="115"/>
      <c r="L1470" s="115"/>
      <c r="M1470" s="115"/>
      <c r="N1470" s="115"/>
      <c r="O1470" s="115"/>
      <c r="P1470" s="115"/>
      <c r="Q1470" s="115"/>
      <c r="R1470" s="115"/>
      <c r="S1470" s="115"/>
      <c r="T1470" s="115"/>
      <c r="U1470" s="115"/>
      <c r="V1470" s="115"/>
      <c r="W1470" s="115"/>
      <c r="X1470" s="115"/>
      <c r="Y1470" s="115"/>
      <c r="Z1470" s="115"/>
      <c r="AA1470" s="115"/>
      <c r="AB1470" s="115"/>
      <c r="AC1470" s="115"/>
      <c r="AD1470" s="115"/>
      <c r="AE1470" s="115"/>
      <c r="AF1470" s="115"/>
      <c r="AG1470" s="115"/>
      <c r="AH1470" s="115"/>
      <c r="AI1470" s="115"/>
      <c r="AJ1470" s="115"/>
      <c r="AK1470" s="115"/>
      <c r="AL1470" s="115"/>
      <c r="AM1470" s="115"/>
      <c r="AN1470" s="115"/>
      <c r="AO1470" s="115"/>
      <c r="AP1470" s="115"/>
      <c r="AQ1470" s="115"/>
      <c r="AR1470" s="115"/>
      <c r="AS1470" s="115"/>
      <c r="AT1470" s="115"/>
      <c r="AU1470" s="115"/>
      <c r="AV1470" s="115"/>
      <c r="AW1470" s="115"/>
      <c r="AX1470" s="115"/>
      <c r="AY1470" s="115"/>
      <c r="AZ1470" s="115"/>
      <c r="BA1470" s="115"/>
      <c r="BB1470" s="115"/>
      <c r="BC1470" s="115"/>
      <c r="BD1470" s="115"/>
      <c r="BE1470" s="115"/>
      <c r="BF1470" s="115"/>
      <c r="BG1470" s="115"/>
      <c r="BH1470" s="122"/>
      <c r="BI1470" s="122"/>
      <c r="BJ1470" s="122"/>
      <c r="BK1470" s="115"/>
      <c r="BL1470" s="115"/>
      <c r="BM1470" s="115"/>
      <c r="BN1470" s="115"/>
      <c r="BO1470" s="115"/>
      <c r="BP1470" s="115"/>
      <c r="BQ1470" s="115"/>
      <c r="BR1470" s="115"/>
      <c r="BS1470" s="115"/>
      <c r="BT1470" s="115"/>
      <c r="BU1470" s="115"/>
      <c r="BV1470" s="115"/>
      <c r="BW1470" s="115"/>
      <c r="BX1470" s="115"/>
      <c r="BY1470" s="26"/>
      <c r="BZ1470" s="15"/>
      <c r="CC1470" s="114"/>
    </row>
    <row r="1471" spans="3:81" x14ac:dyDescent="0.4">
      <c r="C1471" s="115"/>
      <c r="D1471" s="115"/>
      <c r="E1471" s="115"/>
      <c r="F1471" s="115"/>
      <c r="G1471" s="115"/>
      <c r="H1471" s="115"/>
      <c r="I1471" s="115"/>
      <c r="J1471" s="115"/>
      <c r="K1471" s="115"/>
      <c r="L1471" s="115"/>
      <c r="M1471" s="115"/>
      <c r="N1471" s="115"/>
      <c r="O1471" s="115"/>
      <c r="P1471" s="115"/>
      <c r="Q1471" s="115"/>
      <c r="R1471" s="115"/>
      <c r="S1471" s="115"/>
      <c r="T1471" s="115"/>
      <c r="U1471" s="115"/>
      <c r="V1471" s="115"/>
      <c r="W1471" s="115"/>
      <c r="X1471" s="115"/>
      <c r="Y1471" s="115"/>
      <c r="Z1471" s="115"/>
      <c r="AA1471" s="115"/>
      <c r="AB1471" s="115"/>
      <c r="AC1471" s="115"/>
      <c r="AD1471" s="115"/>
      <c r="AE1471" s="115"/>
      <c r="AF1471" s="115"/>
      <c r="AG1471" s="115"/>
      <c r="AH1471" s="115"/>
      <c r="AI1471" s="115"/>
      <c r="AJ1471" s="115"/>
      <c r="AK1471" s="115"/>
      <c r="AL1471" s="115"/>
      <c r="AM1471" s="115"/>
      <c r="AN1471" s="115"/>
      <c r="AO1471" s="115"/>
      <c r="AP1471" s="115"/>
      <c r="AQ1471" s="115"/>
      <c r="AR1471" s="115"/>
      <c r="AS1471" s="115"/>
      <c r="AT1471" s="115"/>
      <c r="AU1471" s="115"/>
      <c r="AV1471" s="115"/>
      <c r="AW1471" s="115"/>
      <c r="AX1471" s="115"/>
      <c r="AY1471" s="115"/>
      <c r="AZ1471" s="115"/>
      <c r="BA1471" s="115"/>
      <c r="BB1471" s="115"/>
      <c r="BC1471" s="115"/>
      <c r="BD1471" s="115"/>
      <c r="BE1471" s="115"/>
      <c r="BF1471" s="115"/>
      <c r="BG1471" s="115"/>
      <c r="BH1471" s="122"/>
      <c r="BI1471" s="122"/>
      <c r="BJ1471" s="122"/>
      <c r="BK1471" s="115"/>
      <c r="BL1471" s="115"/>
      <c r="BM1471" s="115"/>
      <c r="BN1471" s="115"/>
      <c r="BO1471" s="115"/>
      <c r="BP1471" s="115"/>
      <c r="BQ1471" s="115"/>
      <c r="BR1471" s="115"/>
      <c r="BS1471" s="115"/>
      <c r="BT1471" s="115"/>
      <c r="BU1471" s="115"/>
      <c r="BV1471" s="115"/>
      <c r="BW1471" s="115"/>
      <c r="BX1471" s="115"/>
      <c r="BY1471" s="26"/>
      <c r="BZ1471" s="13"/>
      <c r="CC1471" s="114"/>
    </row>
    <row r="1472" spans="3:81" x14ac:dyDescent="0.4">
      <c r="C1472" s="115"/>
      <c r="D1472" s="115"/>
      <c r="E1472" s="115"/>
      <c r="F1472" s="115"/>
      <c r="G1472" s="115"/>
      <c r="H1472" s="115"/>
      <c r="I1472" s="115"/>
      <c r="J1472" s="115"/>
      <c r="K1472" s="115"/>
      <c r="L1472" s="115"/>
      <c r="M1472" s="115"/>
      <c r="N1472" s="115"/>
      <c r="O1472" s="115"/>
      <c r="P1472" s="115"/>
      <c r="Q1472" s="115"/>
      <c r="R1472" s="115"/>
      <c r="S1472" s="115"/>
      <c r="T1472" s="115"/>
      <c r="U1472" s="115"/>
      <c r="V1472" s="115"/>
      <c r="W1472" s="115"/>
      <c r="X1472" s="115"/>
      <c r="Y1472" s="115"/>
      <c r="Z1472" s="115"/>
      <c r="AA1472" s="115"/>
      <c r="AB1472" s="115"/>
      <c r="AC1472" s="115"/>
      <c r="AD1472" s="115"/>
      <c r="AE1472" s="115"/>
      <c r="AF1472" s="115"/>
      <c r="AG1472" s="115"/>
      <c r="AH1472" s="115"/>
      <c r="AI1472" s="115"/>
      <c r="AJ1472" s="115"/>
      <c r="AK1472" s="115"/>
      <c r="AL1472" s="115"/>
      <c r="AM1472" s="115"/>
      <c r="AN1472" s="115"/>
      <c r="AO1472" s="115"/>
      <c r="AP1472" s="115"/>
      <c r="AQ1472" s="115"/>
      <c r="AR1472" s="115"/>
      <c r="AS1472" s="115"/>
      <c r="AT1472" s="115"/>
      <c r="AU1472" s="115"/>
      <c r="AV1472" s="115"/>
      <c r="AW1472" s="115"/>
      <c r="AX1472" s="115"/>
      <c r="AY1472" s="115"/>
      <c r="AZ1472" s="115"/>
      <c r="BA1472" s="115"/>
      <c r="BB1472" s="115"/>
      <c r="BC1472" s="115"/>
      <c r="BD1472" s="115"/>
      <c r="BE1472" s="115"/>
      <c r="BF1472" s="115"/>
      <c r="BG1472" s="115"/>
      <c r="BH1472" s="122"/>
      <c r="BI1472" s="122"/>
      <c r="BJ1472" s="122"/>
      <c r="BK1472" s="115"/>
      <c r="BL1472" s="115"/>
      <c r="BM1472" s="115"/>
      <c r="BN1472" s="115"/>
      <c r="BO1472" s="115"/>
      <c r="BP1472" s="115"/>
      <c r="BQ1472" s="115"/>
      <c r="BR1472" s="115"/>
      <c r="BS1472" s="115"/>
      <c r="BT1472" s="115"/>
      <c r="BU1472" s="115"/>
      <c r="BV1472" s="115"/>
      <c r="BW1472" s="115"/>
      <c r="BX1472" s="115"/>
      <c r="BY1472" s="26"/>
      <c r="BZ1472" s="13"/>
      <c r="CC1472" s="114"/>
    </row>
    <row r="1473" spans="1:81" x14ac:dyDescent="0.4">
      <c r="C1473" s="115"/>
      <c r="D1473" s="115"/>
      <c r="E1473" s="115"/>
      <c r="F1473" s="115"/>
      <c r="G1473" s="115"/>
      <c r="H1473" s="115"/>
      <c r="I1473" s="115"/>
      <c r="J1473" s="115"/>
      <c r="K1473" s="115"/>
      <c r="L1473" s="115"/>
      <c r="M1473" s="115"/>
      <c r="N1473" s="115"/>
      <c r="O1473" s="115"/>
      <c r="P1473" s="115"/>
      <c r="Q1473" s="115"/>
      <c r="R1473" s="115"/>
      <c r="S1473" s="115"/>
      <c r="T1473" s="115"/>
      <c r="U1473" s="115"/>
      <c r="V1473" s="115"/>
      <c r="W1473" s="115"/>
      <c r="X1473" s="115"/>
      <c r="Y1473" s="115"/>
      <c r="Z1473" s="115"/>
      <c r="AA1473" s="115"/>
      <c r="AB1473" s="115"/>
      <c r="AC1473" s="115"/>
      <c r="AD1473" s="115"/>
      <c r="AE1473" s="115"/>
      <c r="AF1473" s="115"/>
      <c r="AG1473" s="115"/>
      <c r="AH1473" s="115"/>
      <c r="AI1473" s="115"/>
      <c r="AJ1473" s="115"/>
      <c r="AK1473" s="115"/>
      <c r="AL1473" s="115"/>
      <c r="AM1473" s="115"/>
      <c r="AN1473" s="115"/>
      <c r="AO1473" s="115"/>
      <c r="AP1473" s="115"/>
      <c r="AQ1473" s="115"/>
      <c r="AR1473" s="115"/>
      <c r="AS1473" s="115"/>
      <c r="AT1473" s="115"/>
      <c r="AU1473" s="115"/>
      <c r="AV1473" s="115"/>
      <c r="AW1473" s="115"/>
      <c r="AX1473" s="115"/>
      <c r="AY1473" s="115"/>
      <c r="AZ1473" s="115"/>
      <c r="BA1473" s="115"/>
      <c r="BB1473" s="115"/>
      <c r="BC1473" s="115"/>
      <c r="BD1473" s="115"/>
      <c r="BE1473" s="115"/>
      <c r="BF1473" s="115"/>
      <c r="BG1473" s="115"/>
      <c r="BH1473" s="122"/>
      <c r="BI1473" s="122"/>
      <c r="BJ1473" s="122"/>
      <c r="BK1473" s="115"/>
      <c r="BL1473" s="115"/>
      <c r="BM1473" s="115"/>
      <c r="BN1473" s="115"/>
      <c r="BO1473" s="115"/>
      <c r="BP1473" s="115"/>
      <c r="BQ1473" s="115"/>
      <c r="BR1473" s="115"/>
      <c r="BS1473" s="115"/>
      <c r="BT1473" s="115"/>
      <c r="BU1473" s="115"/>
      <c r="BV1473" s="115"/>
      <c r="BW1473" s="115"/>
      <c r="BX1473" s="115"/>
      <c r="BY1473" s="26"/>
      <c r="BZ1473" s="13"/>
      <c r="CC1473" s="114"/>
    </row>
    <row r="1474" spans="1:81" x14ac:dyDescent="0.4">
      <c r="C1474" s="115"/>
      <c r="D1474" s="115"/>
      <c r="E1474" s="115"/>
      <c r="F1474" s="115"/>
      <c r="G1474" s="115"/>
      <c r="H1474" s="115"/>
      <c r="I1474" s="115"/>
      <c r="J1474" s="115"/>
      <c r="K1474" s="115"/>
      <c r="L1474" s="115"/>
      <c r="M1474" s="115"/>
      <c r="N1474" s="115"/>
      <c r="O1474" s="115"/>
      <c r="P1474" s="115"/>
      <c r="Q1474" s="115"/>
      <c r="R1474" s="115"/>
      <c r="S1474" s="115"/>
      <c r="T1474" s="115"/>
      <c r="U1474" s="115"/>
      <c r="V1474" s="115"/>
      <c r="W1474" s="115"/>
      <c r="X1474" s="115"/>
      <c r="Y1474" s="115"/>
      <c r="Z1474" s="115"/>
      <c r="AA1474" s="115"/>
      <c r="AB1474" s="115"/>
      <c r="AC1474" s="115"/>
      <c r="AD1474" s="115"/>
      <c r="AE1474" s="115"/>
      <c r="AF1474" s="115"/>
      <c r="AG1474" s="115"/>
      <c r="AH1474" s="115"/>
      <c r="AI1474" s="115"/>
      <c r="AJ1474" s="115"/>
      <c r="AK1474" s="115"/>
      <c r="AL1474" s="115"/>
      <c r="AM1474" s="115"/>
      <c r="AN1474" s="115"/>
      <c r="AO1474" s="115"/>
      <c r="AP1474" s="115"/>
      <c r="AQ1474" s="115"/>
      <c r="AR1474" s="115"/>
      <c r="AS1474" s="115"/>
      <c r="AT1474" s="115"/>
      <c r="AU1474" s="115"/>
      <c r="AV1474" s="115"/>
      <c r="AW1474" s="115"/>
      <c r="AX1474" s="115"/>
      <c r="AY1474" s="115"/>
      <c r="AZ1474" s="115"/>
      <c r="BA1474" s="115"/>
      <c r="BB1474" s="115"/>
      <c r="BC1474" s="115"/>
      <c r="BD1474" s="115"/>
      <c r="BE1474" s="115"/>
      <c r="BF1474" s="115"/>
      <c r="BG1474" s="115"/>
      <c r="BH1474" s="122"/>
      <c r="BI1474" s="122"/>
      <c r="BJ1474" s="122"/>
      <c r="BK1474" s="115"/>
      <c r="BL1474" s="115"/>
      <c r="BM1474" s="115"/>
      <c r="BN1474" s="115"/>
      <c r="BO1474" s="115"/>
      <c r="BP1474" s="115"/>
      <c r="BQ1474" s="115"/>
      <c r="BR1474" s="115"/>
      <c r="BS1474" s="115"/>
      <c r="BT1474" s="115"/>
      <c r="BU1474" s="115"/>
      <c r="BV1474" s="115"/>
      <c r="BW1474" s="115"/>
      <c r="BX1474" s="115"/>
      <c r="BY1474" s="17"/>
      <c r="BZ1474" s="13"/>
      <c r="CC1474" s="114"/>
    </row>
    <row r="1475" spans="1:81" x14ac:dyDescent="0.4">
      <c r="C1475" s="115"/>
      <c r="D1475" s="115"/>
      <c r="E1475" s="115"/>
      <c r="F1475" s="115"/>
      <c r="G1475" s="115"/>
      <c r="H1475" s="115"/>
      <c r="I1475" s="115"/>
      <c r="J1475" s="115"/>
      <c r="K1475" s="115"/>
      <c r="L1475" s="115"/>
      <c r="M1475" s="115"/>
      <c r="N1475" s="115"/>
      <c r="O1475" s="115"/>
      <c r="P1475" s="115"/>
      <c r="Q1475" s="115"/>
      <c r="R1475" s="115"/>
      <c r="S1475" s="115"/>
      <c r="T1475" s="115"/>
      <c r="U1475" s="115"/>
      <c r="V1475" s="115"/>
      <c r="W1475" s="115"/>
      <c r="X1475" s="115"/>
      <c r="Y1475" s="115"/>
      <c r="Z1475" s="115"/>
      <c r="AA1475" s="115"/>
      <c r="AB1475" s="115"/>
      <c r="AC1475" s="115"/>
      <c r="AD1475" s="115"/>
      <c r="AE1475" s="115"/>
      <c r="AF1475" s="115"/>
      <c r="AG1475" s="115"/>
      <c r="AH1475" s="115"/>
      <c r="AI1475" s="115"/>
      <c r="AJ1475" s="115"/>
      <c r="AK1475" s="115"/>
      <c r="AL1475" s="115"/>
      <c r="AM1475" s="115"/>
      <c r="AN1475" s="115"/>
      <c r="AO1475" s="115"/>
      <c r="AP1475" s="115"/>
      <c r="AQ1475" s="115"/>
      <c r="AR1475" s="115"/>
      <c r="AS1475" s="115"/>
      <c r="AT1475" s="115"/>
      <c r="AU1475" s="115"/>
      <c r="AV1475" s="115"/>
      <c r="AW1475" s="115"/>
      <c r="AX1475" s="115"/>
      <c r="AY1475" s="115"/>
      <c r="AZ1475" s="115"/>
      <c r="BA1475" s="115"/>
      <c r="BB1475" s="115"/>
      <c r="BC1475" s="115"/>
      <c r="BD1475" s="115"/>
      <c r="BE1475" s="115"/>
      <c r="BF1475" s="115"/>
      <c r="BG1475" s="115"/>
      <c r="BH1475" s="122"/>
      <c r="BI1475" s="122"/>
      <c r="BJ1475" s="122"/>
      <c r="BK1475" s="115"/>
      <c r="BL1475" s="115"/>
      <c r="BM1475" s="115"/>
      <c r="BN1475" s="115"/>
      <c r="BO1475" s="115"/>
      <c r="BP1475" s="115"/>
      <c r="BQ1475" s="115"/>
      <c r="BR1475" s="115"/>
      <c r="BS1475" s="115"/>
      <c r="BT1475" s="115"/>
      <c r="BU1475" s="115"/>
      <c r="BV1475" s="115"/>
      <c r="BW1475" s="115"/>
      <c r="BX1475" s="115"/>
      <c r="BY1475" s="26"/>
      <c r="BZ1475" s="13"/>
      <c r="CC1475" s="114"/>
    </row>
    <row r="1476" spans="1:81" x14ac:dyDescent="0.4">
      <c r="C1476" s="115"/>
      <c r="D1476" s="115"/>
      <c r="E1476" s="115"/>
      <c r="F1476" s="115"/>
      <c r="G1476" s="115"/>
      <c r="H1476" s="115"/>
      <c r="I1476" s="115"/>
      <c r="J1476" s="115"/>
      <c r="K1476" s="115"/>
      <c r="L1476" s="115"/>
      <c r="M1476" s="115"/>
      <c r="N1476" s="115"/>
      <c r="O1476" s="115"/>
      <c r="P1476" s="115"/>
      <c r="Q1476" s="115"/>
      <c r="R1476" s="115"/>
      <c r="S1476" s="115"/>
      <c r="T1476" s="115"/>
      <c r="U1476" s="115"/>
      <c r="V1476" s="115"/>
      <c r="W1476" s="115"/>
      <c r="X1476" s="115"/>
      <c r="Y1476" s="115"/>
      <c r="Z1476" s="115"/>
      <c r="AA1476" s="115"/>
      <c r="AB1476" s="115"/>
      <c r="AC1476" s="115"/>
      <c r="AD1476" s="115"/>
      <c r="AE1476" s="115"/>
      <c r="AF1476" s="115"/>
      <c r="AG1476" s="115"/>
      <c r="AH1476" s="115"/>
      <c r="AI1476" s="115"/>
      <c r="AJ1476" s="115"/>
      <c r="AK1476" s="115"/>
      <c r="AL1476" s="115"/>
      <c r="AM1476" s="115"/>
      <c r="AN1476" s="115"/>
      <c r="AO1476" s="115"/>
      <c r="AP1476" s="115"/>
      <c r="AQ1476" s="115"/>
      <c r="AR1476" s="115"/>
      <c r="AS1476" s="115"/>
      <c r="AT1476" s="115"/>
      <c r="AU1476" s="115"/>
      <c r="AV1476" s="115"/>
      <c r="AW1476" s="115"/>
      <c r="AX1476" s="115"/>
      <c r="AY1476" s="115"/>
      <c r="AZ1476" s="115"/>
      <c r="BA1476" s="115"/>
      <c r="BB1476" s="115"/>
      <c r="BC1476" s="115"/>
      <c r="BD1476" s="115"/>
      <c r="BE1476" s="115"/>
      <c r="BF1476" s="115"/>
      <c r="BG1476" s="115"/>
      <c r="BH1476" s="122"/>
      <c r="BI1476" s="122"/>
      <c r="BJ1476" s="122"/>
      <c r="BK1476" s="115"/>
      <c r="BL1476" s="115"/>
      <c r="BM1476" s="115"/>
      <c r="BN1476" s="115"/>
      <c r="BO1476" s="115"/>
      <c r="BP1476" s="115"/>
      <c r="BQ1476" s="115"/>
      <c r="BR1476" s="115"/>
      <c r="BS1476" s="115"/>
      <c r="BT1476" s="115"/>
      <c r="BU1476" s="115"/>
      <c r="BV1476" s="115"/>
      <c r="BW1476" s="115"/>
      <c r="BX1476" s="115"/>
      <c r="BY1476" s="26"/>
      <c r="BZ1476" s="25"/>
      <c r="CC1476" s="114"/>
    </row>
    <row r="1477" spans="1:81" x14ac:dyDescent="0.4">
      <c r="C1477" s="115"/>
      <c r="D1477" s="115"/>
      <c r="E1477" s="115"/>
      <c r="F1477" s="115"/>
      <c r="G1477" s="115"/>
      <c r="H1477" s="115"/>
      <c r="I1477" s="115"/>
      <c r="J1477" s="115"/>
      <c r="K1477" s="115"/>
      <c r="L1477" s="115"/>
      <c r="M1477" s="115"/>
      <c r="N1477" s="115"/>
      <c r="O1477" s="115"/>
      <c r="P1477" s="115"/>
      <c r="Q1477" s="115"/>
      <c r="R1477" s="115"/>
      <c r="S1477" s="115"/>
      <c r="T1477" s="115"/>
      <c r="U1477" s="115"/>
      <c r="V1477" s="115"/>
      <c r="W1477" s="115"/>
      <c r="X1477" s="115"/>
      <c r="Y1477" s="115"/>
      <c r="Z1477" s="115"/>
      <c r="AA1477" s="115"/>
      <c r="AB1477" s="115"/>
      <c r="AC1477" s="115"/>
      <c r="AD1477" s="115"/>
      <c r="AE1477" s="115"/>
      <c r="AF1477" s="115"/>
      <c r="AG1477" s="115"/>
      <c r="AH1477" s="115"/>
      <c r="AI1477" s="115"/>
      <c r="AJ1477" s="115"/>
      <c r="AK1477" s="115"/>
      <c r="AL1477" s="115"/>
      <c r="AM1477" s="115"/>
      <c r="AN1477" s="115"/>
      <c r="AO1477" s="115"/>
      <c r="AP1477" s="115"/>
      <c r="AQ1477" s="115"/>
      <c r="AR1477" s="115"/>
      <c r="AS1477" s="115"/>
      <c r="AT1477" s="115"/>
      <c r="AU1477" s="115"/>
      <c r="AV1477" s="115"/>
      <c r="AW1477" s="115"/>
      <c r="AX1477" s="115"/>
      <c r="AY1477" s="115"/>
      <c r="AZ1477" s="115"/>
      <c r="BA1477" s="115"/>
      <c r="BB1477" s="115"/>
      <c r="BC1477" s="115"/>
      <c r="BD1477" s="115"/>
      <c r="BE1477" s="115"/>
      <c r="BF1477" s="115"/>
      <c r="BG1477" s="115"/>
      <c r="BH1477" s="122"/>
      <c r="BI1477" s="122"/>
      <c r="BJ1477" s="122"/>
      <c r="BK1477" s="115"/>
      <c r="BL1477" s="115"/>
      <c r="BM1477" s="115"/>
      <c r="BN1477" s="115"/>
      <c r="BO1477" s="115"/>
      <c r="BP1477" s="115"/>
      <c r="BQ1477" s="115"/>
      <c r="BR1477" s="115"/>
      <c r="BS1477" s="115"/>
      <c r="BT1477" s="115"/>
      <c r="BU1477" s="115"/>
      <c r="BV1477" s="115"/>
      <c r="BW1477" s="115"/>
      <c r="BX1477" s="115"/>
      <c r="BY1477" s="26"/>
      <c r="BZ1477" s="13"/>
      <c r="CC1477" s="114"/>
    </row>
    <row r="1478" spans="1:81" x14ac:dyDescent="0.4">
      <c r="C1478" s="115"/>
      <c r="D1478" s="115"/>
      <c r="E1478" s="115"/>
      <c r="F1478" s="115"/>
      <c r="G1478" s="115"/>
      <c r="H1478" s="115"/>
      <c r="I1478" s="115"/>
      <c r="J1478" s="115"/>
      <c r="K1478" s="115"/>
      <c r="L1478" s="115"/>
      <c r="M1478" s="115"/>
      <c r="N1478" s="115"/>
      <c r="O1478" s="115"/>
      <c r="P1478" s="115"/>
      <c r="Q1478" s="115"/>
      <c r="R1478" s="115"/>
      <c r="S1478" s="115"/>
      <c r="T1478" s="115"/>
      <c r="U1478" s="115"/>
      <c r="V1478" s="115"/>
      <c r="W1478" s="115"/>
      <c r="X1478" s="115"/>
      <c r="Y1478" s="115"/>
      <c r="Z1478" s="115"/>
      <c r="AA1478" s="115"/>
      <c r="AB1478" s="115"/>
      <c r="AC1478" s="115"/>
      <c r="AD1478" s="115"/>
      <c r="AE1478" s="115"/>
      <c r="AF1478" s="115"/>
      <c r="AG1478" s="115"/>
      <c r="AH1478" s="115"/>
      <c r="AI1478" s="115"/>
      <c r="AJ1478" s="115"/>
      <c r="AK1478" s="115"/>
      <c r="AL1478" s="115"/>
      <c r="AM1478" s="115"/>
      <c r="AN1478" s="115"/>
      <c r="AO1478" s="115"/>
      <c r="AP1478" s="115"/>
      <c r="AQ1478" s="115"/>
      <c r="AR1478" s="115"/>
      <c r="AS1478" s="115"/>
      <c r="AT1478" s="115"/>
      <c r="AU1478" s="115"/>
      <c r="AV1478" s="115"/>
      <c r="AW1478" s="115"/>
      <c r="AX1478" s="115"/>
      <c r="AY1478" s="115"/>
      <c r="AZ1478" s="115"/>
      <c r="BA1478" s="115"/>
      <c r="BB1478" s="115"/>
      <c r="BC1478" s="115"/>
      <c r="BD1478" s="115"/>
      <c r="BE1478" s="115"/>
      <c r="BF1478" s="115"/>
      <c r="BG1478" s="115"/>
      <c r="BH1478" s="122"/>
      <c r="BI1478" s="122"/>
      <c r="BJ1478" s="122"/>
      <c r="BK1478" s="115"/>
      <c r="BL1478" s="115"/>
      <c r="BM1478" s="115"/>
      <c r="BN1478" s="115"/>
      <c r="BO1478" s="115"/>
      <c r="BP1478" s="115"/>
      <c r="BQ1478" s="115"/>
      <c r="BR1478" s="115"/>
      <c r="BS1478" s="115"/>
      <c r="BT1478" s="115"/>
      <c r="BU1478" s="115"/>
      <c r="BV1478" s="115"/>
      <c r="BW1478" s="115"/>
      <c r="BX1478" s="115"/>
      <c r="BY1478" s="26"/>
      <c r="BZ1478" s="13"/>
      <c r="CC1478" s="114"/>
    </row>
    <row r="1479" spans="1:81" x14ac:dyDescent="0.4">
      <c r="C1479" s="115"/>
      <c r="D1479" s="115"/>
      <c r="E1479" s="115"/>
      <c r="F1479" s="115"/>
      <c r="G1479" s="115"/>
      <c r="H1479" s="115"/>
      <c r="I1479" s="115"/>
      <c r="J1479" s="115"/>
      <c r="K1479" s="115"/>
      <c r="L1479" s="115"/>
      <c r="M1479" s="115"/>
      <c r="N1479" s="115"/>
      <c r="O1479" s="115"/>
      <c r="P1479" s="115"/>
      <c r="Q1479" s="115"/>
      <c r="R1479" s="115"/>
      <c r="S1479" s="115"/>
      <c r="T1479" s="115"/>
      <c r="U1479" s="115"/>
      <c r="V1479" s="115"/>
      <c r="W1479" s="115"/>
      <c r="X1479" s="115"/>
      <c r="Y1479" s="115"/>
      <c r="Z1479" s="115"/>
      <c r="AA1479" s="115"/>
      <c r="AB1479" s="115"/>
      <c r="AC1479" s="115"/>
      <c r="AD1479" s="115"/>
      <c r="AE1479" s="115"/>
      <c r="AF1479" s="115"/>
      <c r="AG1479" s="115"/>
      <c r="AH1479" s="115"/>
      <c r="AI1479" s="115"/>
      <c r="AJ1479" s="115"/>
      <c r="AK1479" s="115"/>
      <c r="AL1479" s="115"/>
      <c r="AM1479" s="115"/>
      <c r="AN1479" s="115"/>
      <c r="AO1479" s="115"/>
      <c r="AP1479" s="115"/>
      <c r="AQ1479" s="115"/>
      <c r="AR1479" s="115"/>
      <c r="AS1479" s="115"/>
      <c r="AT1479" s="115"/>
      <c r="AU1479" s="115"/>
      <c r="AV1479" s="115"/>
      <c r="AW1479" s="115"/>
      <c r="AX1479" s="115"/>
      <c r="AY1479" s="115"/>
      <c r="AZ1479" s="115"/>
      <c r="BA1479" s="115"/>
      <c r="BB1479" s="115"/>
      <c r="BC1479" s="115"/>
      <c r="BD1479" s="115"/>
      <c r="BE1479" s="115"/>
      <c r="BF1479" s="115"/>
      <c r="BG1479" s="115"/>
      <c r="BH1479" s="122"/>
      <c r="BI1479" s="122"/>
      <c r="BJ1479" s="122"/>
      <c r="BK1479" s="115"/>
      <c r="BL1479" s="115"/>
      <c r="BM1479" s="115"/>
      <c r="BN1479" s="115"/>
      <c r="BO1479" s="115"/>
      <c r="BP1479" s="115"/>
      <c r="BQ1479" s="115"/>
      <c r="BR1479" s="115"/>
      <c r="BS1479" s="115"/>
      <c r="BT1479" s="115"/>
      <c r="BU1479" s="115"/>
      <c r="BV1479" s="115"/>
      <c r="BW1479" s="115"/>
      <c r="BX1479" s="115"/>
      <c r="BY1479" s="26"/>
      <c r="BZ1479" s="13"/>
      <c r="CC1479" s="114"/>
    </row>
    <row r="1480" spans="1:81" x14ac:dyDescent="0.4">
      <c r="C1480" s="115"/>
      <c r="D1480" s="115"/>
      <c r="E1480" s="115"/>
      <c r="F1480" s="115"/>
      <c r="G1480" s="115"/>
      <c r="H1480" s="115"/>
      <c r="I1480" s="115"/>
      <c r="J1480" s="115"/>
      <c r="K1480" s="115"/>
      <c r="L1480" s="115"/>
      <c r="M1480" s="115"/>
      <c r="N1480" s="115"/>
      <c r="O1480" s="115"/>
      <c r="P1480" s="115"/>
      <c r="Q1480" s="115"/>
      <c r="R1480" s="115"/>
      <c r="S1480" s="115"/>
      <c r="T1480" s="115"/>
      <c r="U1480" s="115"/>
      <c r="V1480" s="115"/>
      <c r="W1480" s="115"/>
      <c r="X1480" s="115"/>
      <c r="Y1480" s="115"/>
      <c r="Z1480" s="115"/>
      <c r="AA1480" s="115"/>
      <c r="AB1480" s="115"/>
      <c r="AC1480" s="115"/>
      <c r="AD1480" s="115"/>
      <c r="AE1480" s="115"/>
      <c r="AF1480" s="115"/>
      <c r="AG1480" s="115"/>
      <c r="AH1480" s="115"/>
      <c r="AI1480" s="115"/>
      <c r="AJ1480" s="115"/>
      <c r="AK1480" s="115"/>
      <c r="AL1480" s="115"/>
      <c r="AM1480" s="115"/>
      <c r="AN1480" s="115"/>
      <c r="AO1480" s="115"/>
      <c r="AP1480" s="115"/>
      <c r="AQ1480" s="115"/>
      <c r="AR1480" s="115"/>
      <c r="AS1480" s="115"/>
      <c r="AT1480" s="115"/>
      <c r="AU1480" s="115"/>
      <c r="AV1480" s="115"/>
      <c r="AW1480" s="115"/>
      <c r="AX1480" s="115"/>
      <c r="AY1480" s="115"/>
      <c r="AZ1480" s="115"/>
      <c r="BA1480" s="115"/>
      <c r="BB1480" s="115"/>
      <c r="BC1480" s="115"/>
      <c r="BD1480" s="115"/>
      <c r="BE1480" s="115"/>
      <c r="BF1480" s="115"/>
      <c r="BG1480" s="115"/>
      <c r="BH1480" s="122"/>
      <c r="BI1480" s="122"/>
      <c r="BJ1480" s="122"/>
      <c r="BK1480" s="115"/>
      <c r="BL1480" s="115"/>
      <c r="BM1480" s="115"/>
      <c r="BN1480" s="115"/>
      <c r="BO1480" s="115"/>
      <c r="BP1480" s="115"/>
      <c r="BQ1480" s="115"/>
      <c r="BR1480" s="115"/>
      <c r="BS1480" s="115"/>
      <c r="BT1480" s="115"/>
      <c r="BU1480" s="115"/>
      <c r="BV1480" s="115"/>
      <c r="BW1480" s="115"/>
      <c r="BX1480" s="115"/>
      <c r="BY1480" s="26"/>
      <c r="BZ1480" s="13"/>
      <c r="CC1480" s="114"/>
    </row>
    <row r="1481" spans="1:81" x14ac:dyDescent="0.4">
      <c r="C1481" s="115"/>
      <c r="D1481" s="115"/>
      <c r="E1481" s="115"/>
      <c r="F1481" s="115"/>
      <c r="G1481" s="115"/>
      <c r="H1481" s="115"/>
      <c r="I1481" s="115"/>
      <c r="J1481" s="115"/>
      <c r="K1481" s="115"/>
      <c r="L1481" s="115"/>
      <c r="M1481" s="115"/>
      <c r="N1481" s="115"/>
      <c r="O1481" s="115"/>
      <c r="P1481" s="115"/>
      <c r="Q1481" s="115"/>
      <c r="R1481" s="115"/>
      <c r="S1481" s="115"/>
      <c r="T1481" s="115"/>
      <c r="U1481" s="115"/>
      <c r="V1481" s="115"/>
      <c r="W1481" s="115"/>
      <c r="X1481" s="115"/>
      <c r="Y1481" s="115"/>
      <c r="Z1481" s="115"/>
      <c r="AA1481" s="115"/>
      <c r="AB1481" s="115"/>
      <c r="AC1481" s="115"/>
      <c r="AD1481" s="115"/>
      <c r="AE1481" s="115"/>
      <c r="AF1481" s="115"/>
      <c r="AG1481" s="115"/>
      <c r="AH1481" s="115"/>
      <c r="AI1481" s="115"/>
      <c r="AJ1481" s="115"/>
      <c r="AK1481" s="115"/>
      <c r="AL1481" s="115"/>
      <c r="AM1481" s="115"/>
      <c r="AN1481" s="115"/>
      <c r="AO1481" s="115"/>
      <c r="AP1481" s="115"/>
      <c r="AQ1481" s="115"/>
      <c r="AR1481" s="115"/>
      <c r="AS1481" s="115"/>
      <c r="AT1481" s="115"/>
      <c r="AU1481" s="115"/>
      <c r="AV1481" s="115"/>
      <c r="AW1481" s="115"/>
      <c r="AX1481" s="115"/>
      <c r="AY1481" s="115"/>
      <c r="AZ1481" s="115"/>
      <c r="BA1481" s="115"/>
      <c r="BB1481" s="115"/>
      <c r="BC1481" s="115"/>
      <c r="BD1481" s="115"/>
      <c r="BE1481" s="115"/>
      <c r="BF1481" s="115"/>
      <c r="BG1481" s="115"/>
      <c r="BH1481" s="122"/>
      <c r="BI1481" s="122"/>
      <c r="BJ1481" s="122"/>
      <c r="BK1481" s="115"/>
      <c r="BL1481" s="115"/>
      <c r="BM1481" s="115"/>
      <c r="BN1481" s="115"/>
      <c r="BY1481" s="26"/>
      <c r="BZ1481" s="13"/>
      <c r="CC1481" s="114"/>
    </row>
    <row r="1482" spans="1:81" x14ac:dyDescent="0.4">
      <c r="C1482" s="115"/>
      <c r="D1482" s="115"/>
      <c r="E1482" s="115"/>
      <c r="F1482" s="115"/>
      <c r="G1482" s="115"/>
      <c r="H1482" s="115"/>
      <c r="I1482" s="115"/>
      <c r="J1482" s="115"/>
      <c r="K1482" s="115"/>
      <c r="L1482" s="115"/>
      <c r="M1482" s="115"/>
      <c r="N1482" s="115"/>
      <c r="O1482" s="115"/>
      <c r="P1482" s="115"/>
      <c r="Q1482" s="115"/>
      <c r="R1482" s="115"/>
      <c r="S1482" s="115"/>
      <c r="T1482" s="115"/>
      <c r="U1482" s="115"/>
      <c r="V1482" s="115"/>
      <c r="W1482" s="115"/>
      <c r="X1482" s="115"/>
      <c r="Y1482" s="115"/>
      <c r="Z1482" s="115"/>
      <c r="AA1482" s="115"/>
      <c r="AB1482" s="115"/>
      <c r="AC1482" s="115"/>
      <c r="AD1482" s="115"/>
      <c r="AE1482" s="115"/>
      <c r="AF1482" s="115"/>
      <c r="AG1482" s="115"/>
      <c r="AH1482" s="115"/>
      <c r="AI1482" s="115"/>
      <c r="AJ1482" s="115"/>
      <c r="AK1482" s="115"/>
      <c r="AL1482" s="115"/>
      <c r="AM1482" s="115"/>
      <c r="AN1482" s="115"/>
      <c r="AO1482" s="115"/>
      <c r="AP1482" s="115"/>
      <c r="AQ1482" s="115"/>
      <c r="AR1482" s="115"/>
      <c r="AS1482" s="115"/>
      <c r="AT1482" s="115"/>
      <c r="AU1482" s="115"/>
      <c r="AV1482" s="115"/>
      <c r="AW1482" s="115"/>
      <c r="AX1482" s="115"/>
      <c r="AY1482" s="115"/>
      <c r="AZ1482" s="115"/>
      <c r="BA1482" s="115"/>
      <c r="BB1482" s="115"/>
      <c r="BC1482" s="115"/>
      <c r="BD1482" s="115"/>
      <c r="BE1482" s="115"/>
      <c r="BF1482" s="115"/>
      <c r="BG1482" s="115"/>
      <c r="BH1482" s="122"/>
      <c r="BI1482" s="122"/>
      <c r="BJ1482" s="122"/>
      <c r="BK1482" s="115"/>
      <c r="BL1482" s="115"/>
      <c r="BM1482" s="115"/>
      <c r="BN1482" s="115"/>
      <c r="BO1482" s="115"/>
      <c r="BP1482" s="115"/>
      <c r="BQ1482" s="115"/>
      <c r="BR1482" s="115"/>
      <c r="BS1482" s="115"/>
      <c r="BT1482" s="115"/>
      <c r="BU1482" s="115"/>
      <c r="BV1482" s="115"/>
      <c r="BW1482" s="115"/>
      <c r="BX1482" s="115"/>
      <c r="BY1482" s="26"/>
      <c r="BZ1482" s="13"/>
      <c r="CC1482" s="114"/>
    </row>
    <row r="1483" spans="1:81" x14ac:dyDescent="0.4">
      <c r="C1483" s="115"/>
      <c r="D1483" s="115"/>
      <c r="E1483" s="115"/>
      <c r="F1483" s="115"/>
      <c r="G1483" s="115"/>
      <c r="H1483" s="115"/>
      <c r="I1483" s="115"/>
      <c r="J1483" s="115"/>
      <c r="K1483" s="115"/>
      <c r="L1483" s="115"/>
      <c r="M1483" s="115"/>
      <c r="N1483" s="115"/>
      <c r="O1483" s="115"/>
      <c r="P1483" s="115"/>
      <c r="Q1483" s="115"/>
      <c r="R1483" s="115"/>
      <c r="S1483" s="115"/>
      <c r="T1483" s="115"/>
      <c r="U1483" s="115"/>
      <c r="V1483" s="115"/>
      <c r="W1483" s="115"/>
      <c r="X1483" s="115"/>
      <c r="Y1483" s="115"/>
      <c r="Z1483" s="115"/>
      <c r="AA1483" s="115"/>
      <c r="AB1483" s="115"/>
      <c r="AC1483" s="115"/>
      <c r="AD1483" s="115"/>
      <c r="AE1483" s="115"/>
      <c r="AF1483" s="115"/>
      <c r="AG1483" s="115"/>
      <c r="AH1483" s="115"/>
      <c r="AI1483" s="115"/>
      <c r="AJ1483" s="115"/>
      <c r="AK1483" s="115"/>
      <c r="AL1483" s="115"/>
      <c r="AM1483" s="115"/>
      <c r="AN1483" s="115"/>
      <c r="AO1483" s="115"/>
      <c r="AP1483" s="115"/>
      <c r="AQ1483" s="115"/>
      <c r="AR1483" s="115"/>
      <c r="AS1483" s="115"/>
      <c r="AT1483" s="115"/>
      <c r="AU1483" s="115"/>
      <c r="AV1483" s="115"/>
      <c r="AW1483" s="115"/>
      <c r="AX1483" s="115"/>
      <c r="AY1483" s="115"/>
      <c r="AZ1483" s="115"/>
      <c r="BA1483" s="115"/>
      <c r="BB1483" s="115"/>
      <c r="BC1483" s="115"/>
      <c r="BD1483" s="115"/>
      <c r="BE1483" s="115"/>
      <c r="BF1483" s="115"/>
      <c r="BG1483" s="115"/>
      <c r="BH1483" s="122"/>
      <c r="BI1483" s="122"/>
      <c r="BJ1483" s="122"/>
      <c r="BK1483" s="115"/>
      <c r="BL1483" s="115"/>
      <c r="BM1483" s="115"/>
      <c r="BN1483" s="115"/>
      <c r="BO1483" s="115"/>
      <c r="BP1483" s="115"/>
      <c r="BQ1483" s="115"/>
      <c r="BR1483" s="115"/>
      <c r="BS1483" s="115"/>
      <c r="BT1483" s="115"/>
      <c r="BU1483" s="115"/>
      <c r="BV1483" s="115"/>
      <c r="BW1483" s="115"/>
      <c r="BX1483" s="115"/>
      <c r="BY1483" s="17"/>
      <c r="BZ1483" s="13"/>
      <c r="CC1483" s="114"/>
    </row>
    <row r="1484" spans="1:81" x14ac:dyDescent="0.4">
      <c r="C1484" s="115"/>
      <c r="D1484" s="115"/>
      <c r="E1484" s="115"/>
      <c r="F1484" s="115"/>
      <c r="G1484" s="115"/>
      <c r="H1484" s="115"/>
      <c r="I1484" s="115"/>
      <c r="J1484" s="115"/>
      <c r="K1484" s="115"/>
      <c r="L1484" s="115"/>
      <c r="M1484" s="115"/>
      <c r="N1484" s="115"/>
      <c r="O1484" s="115"/>
      <c r="P1484" s="115"/>
      <c r="Q1484" s="115"/>
      <c r="R1484" s="115"/>
      <c r="S1484" s="115"/>
      <c r="T1484" s="115"/>
      <c r="U1484" s="115"/>
      <c r="V1484" s="115"/>
      <c r="W1484" s="115"/>
      <c r="X1484" s="115"/>
      <c r="Y1484" s="115"/>
      <c r="Z1484" s="115"/>
      <c r="AA1484" s="115"/>
      <c r="AB1484" s="115"/>
      <c r="AC1484" s="115"/>
      <c r="AD1484" s="115"/>
      <c r="AE1484" s="115"/>
      <c r="AF1484" s="115"/>
      <c r="AG1484" s="115"/>
      <c r="AH1484" s="115"/>
      <c r="AI1484" s="115"/>
      <c r="AJ1484" s="115"/>
      <c r="AK1484" s="115"/>
      <c r="AL1484" s="115"/>
      <c r="AM1484" s="115"/>
      <c r="AN1484" s="115"/>
      <c r="AO1484" s="115"/>
      <c r="AP1484" s="115"/>
      <c r="AQ1484" s="115"/>
      <c r="AR1484" s="115"/>
      <c r="AS1484" s="115"/>
      <c r="AT1484" s="115"/>
      <c r="AU1484" s="115"/>
      <c r="AV1484" s="115"/>
      <c r="AW1484" s="115"/>
      <c r="AX1484" s="115"/>
      <c r="AY1484" s="115"/>
      <c r="AZ1484" s="115"/>
      <c r="BA1484" s="115"/>
      <c r="BB1484" s="115"/>
      <c r="BC1484" s="115"/>
      <c r="BD1484" s="115"/>
      <c r="BE1484" s="115"/>
      <c r="BF1484" s="115"/>
      <c r="BG1484" s="115"/>
      <c r="BH1484" s="122"/>
      <c r="BI1484" s="122"/>
      <c r="BJ1484" s="122"/>
      <c r="BK1484" s="115"/>
      <c r="BL1484" s="115"/>
      <c r="BM1484" s="115"/>
      <c r="BN1484" s="115"/>
      <c r="BO1484" s="115"/>
      <c r="BP1484" s="115"/>
      <c r="BQ1484" s="115"/>
      <c r="BR1484" s="115"/>
      <c r="BS1484" s="115"/>
      <c r="BT1484" s="115"/>
      <c r="BU1484" s="115"/>
      <c r="BV1484" s="115"/>
      <c r="BW1484" s="115"/>
      <c r="BX1484" s="115"/>
      <c r="BY1484" s="26"/>
      <c r="BZ1484" s="13"/>
      <c r="CC1484" s="114"/>
    </row>
    <row r="1485" spans="1:81" x14ac:dyDescent="0.4">
      <c r="C1485" s="115"/>
      <c r="D1485" s="115"/>
      <c r="E1485" s="115"/>
      <c r="F1485" s="115"/>
      <c r="G1485" s="115"/>
      <c r="H1485" s="115"/>
      <c r="I1485" s="115"/>
      <c r="J1485" s="115"/>
      <c r="K1485" s="115"/>
      <c r="L1485" s="115"/>
      <c r="M1485" s="115"/>
      <c r="N1485" s="115"/>
      <c r="O1485" s="115"/>
      <c r="P1485" s="115"/>
      <c r="Q1485" s="115"/>
      <c r="R1485" s="115"/>
      <c r="S1485" s="115"/>
      <c r="T1485" s="115"/>
      <c r="U1485" s="115"/>
      <c r="V1485" s="115"/>
      <c r="W1485" s="115"/>
      <c r="X1485" s="115"/>
      <c r="Y1485" s="115"/>
      <c r="Z1485" s="115"/>
      <c r="AA1485" s="115"/>
      <c r="AB1485" s="115"/>
      <c r="AC1485" s="115"/>
      <c r="AD1485" s="115"/>
      <c r="AE1485" s="115"/>
      <c r="AF1485" s="115"/>
      <c r="AG1485" s="115"/>
      <c r="AH1485" s="115"/>
      <c r="AI1485" s="115"/>
      <c r="AJ1485" s="115"/>
      <c r="AK1485" s="115"/>
      <c r="AL1485" s="115"/>
      <c r="AM1485" s="115"/>
      <c r="AN1485" s="115"/>
      <c r="AO1485" s="115"/>
      <c r="AP1485" s="115"/>
      <c r="AQ1485" s="115"/>
      <c r="AR1485" s="115"/>
      <c r="AS1485" s="115"/>
      <c r="AT1485" s="115"/>
      <c r="AU1485" s="115"/>
      <c r="AV1485" s="115"/>
      <c r="AW1485" s="115"/>
      <c r="AX1485" s="115"/>
      <c r="AY1485" s="115"/>
      <c r="AZ1485" s="115"/>
      <c r="BA1485" s="115"/>
      <c r="BB1485" s="115"/>
      <c r="BC1485" s="115"/>
      <c r="BD1485" s="115"/>
      <c r="BE1485" s="115"/>
      <c r="BF1485" s="115"/>
      <c r="BG1485" s="115"/>
      <c r="BH1485" s="122"/>
      <c r="BI1485" s="122"/>
      <c r="BJ1485" s="122"/>
      <c r="BK1485" s="115"/>
      <c r="BL1485" s="115"/>
      <c r="BM1485" s="115"/>
      <c r="BN1485" s="115"/>
      <c r="BO1485" s="115"/>
      <c r="BP1485" s="115"/>
      <c r="BQ1485" s="115"/>
      <c r="BR1485" s="115"/>
      <c r="BS1485" s="115"/>
      <c r="BT1485" s="115"/>
      <c r="BU1485" s="115"/>
      <c r="BV1485" s="115"/>
      <c r="BW1485" s="115"/>
      <c r="BX1485" s="115"/>
      <c r="BY1485" s="26"/>
      <c r="BZ1485" s="15"/>
      <c r="CC1485" s="114"/>
    </row>
    <row r="1486" spans="1:81" x14ac:dyDescent="0.4">
      <c r="C1486" s="115"/>
      <c r="D1486" s="115"/>
      <c r="E1486" s="115"/>
      <c r="F1486" s="115"/>
      <c r="G1486" s="115"/>
      <c r="H1486" s="115"/>
      <c r="I1486" s="115"/>
      <c r="J1486" s="115"/>
      <c r="K1486" s="115"/>
      <c r="L1486" s="115"/>
      <c r="M1486" s="115"/>
      <c r="N1486" s="115"/>
      <c r="O1486" s="115"/>
      <c r="P1486" s="115"/>
      <c r="Q1486" s="115"/>
      <c r="R1486" s="115"/>
      <c r="S1486" s="115"/>
      <c r="T1486" s="115"/>
      <c r="U1486" s="115"/>
      <c r="V1486" s="115"/>
      <c r="W1486" s="115"/>
      <c r="X1486" s="115"/>
      <c r="Y1486" s="115"/>
      <c r="Z1486" s="115"/>
      <c r="AA1486" s="115"/>
      <c r="AB1486" s="115"/>
      <c r="AC1486" s="115"/>
      <c r="AD1486" s="115"/>
      <c r="AE1486" s="115"/>
      <c r="AF1486" s="115"/>
      <c r="AG1486" s="115"/>
      <c r="AH1486" s="115"/>
      <c r="AI1486" s="115"/>
      <c r="AJ1486" s="115"/>
      <c r="AK1486" s="115"/>
      <c r="AL1486" s="115"/>
      <c r="AM1486" s="115"/>
      <c r="AN1486" s="115"/>
      <c r="AO1486" s="115"/>
      <c r="AP1486" s="115"/>
      <c r="AQ1486" s="115"/>
      <c r="AR1486" s="115"/>
      <c r="AS1486" s="115"/>
      <c r="AT1486" s="115"/>
      <c r="AU1486" s="115"/>
      <c r="AV1486" s="115"/>
      <c r="AW1486" s="115"/>
      <c r="AX1486" s="115"/>
      <c r="AY1486" s="115"/>
      <c r="AZ1486" s="115"/>
      <c r="BA1486" s="115"/>
      <c r="BB1486" s="115"/>
      <c r="BC1486" s="115"/>
      <c r="BD1486" s="115"/>
      <c r="BE1486" s="115"/>
      <c r="BF1486" s="115"/>
      <c r="BG1486" s="115"/>
      <c r="BH1486" s="122"/>
      <c r="BI1486" s="122"/>
      <c r="BJ1486" s="122"/>
      <c r="BK1486" s="115"/>
      <c r="BL1486" s="115"/>
      <c r="BM1486" s="115"/>
      <c r="BN1486" s="115"/>
      <c r="BO1486" s="115"/>
      <c r="BP1486" s="115"/>
      <c r="BQ1486" s="115"/>
      <c r="BR1486" s="115"/>
      <c r="BS1486" s="115"/>
      <c r="BT1486" s="115"/>
      <c r="BU1486" s="115"/>
      <c r="BV1486" s="115"/>
      <c r="BW1486" s="115"/>
      <c r="BX1486" s="115"/>
      <c r="BY1486" s="17"/>
      <c r="BZ1486" s="15"/>
      <c r="CC1486" s="114"/>
    </row>
    <row r="1487" spans="1:81" x14ac:dyDescent="0.4">
      <c r="C1487" s="115"/>
      <c r="D1487" s="115"/>
      <c r="E1487" s="115"/>
      <c r="F1487" s="115"/>
      <c r="G1487" s="115"/>
      <c r="H1487" s="115"/>
      <c r="I1487" s="115"/>
      <c r="J1487" s="115"/>
      <c r="K1487" s="115"/>
      <c r="L1487" s="115"/>
      <c r="M1487" s="115"/>
      <c r="N1487" s="115"/>
      <c r="O1487" s="115"/>
      <c r="P1487" s="115"/>
      <c r="Q1487" s="115"/>
      <c r="R1487" s="115"/>
      <c r="S1487" s="115"/>
      <c r="T1487" s="115"/>
      <c r="U1487" s="115"/>
      <c r="V1487" s="115"/>
      <c r="W1487" s="115"/>
      <c r="X1487" s="115"/>
      <c r="Y1487" s="115"/>
      <c r="Z1487" s="115"/>
      <c r="AA1487" s="115"/>
      <c r="AB1487" s="115"/>
      <c r="AC1487" s="115"/>
      <c r="AD1487" s="115"/>
      <c r="AE1487" s="115"/>
      <c r="AF1487" s="115"/>
      <c r="AG1487" s="115"/>
      <c r="AH1487" s="115"/>
      <c r="AI1487" s="115"/>
      <c r="AJ1487" s="115"/>
      <c r="AK1487" s="115"/>
      <c r="AL1487" s="115"/>
      <c r="AM1487" s="115"/>
      <c r="AN1487" s="115"/>
      <c r="AO1487" s="115"/>
      <c r="AP1487" s="115"/>
      <c r="AQ1487" s="115"/>
      <c r="AR1487" s="115"/>
      <c r="AS1487" s="115"/>
      <c r="AT1487" s="115"/>
      <c r="AU1487" s="115"/>
      <c r="AV1487" s="115"/>
      <c r="AW1487" s="115"/>
      <c r="AX1487" s="115"/>
      <c r="AY1487" s="115"/>
      <c r="AZ1487" s="115"/>
      <c r="BA1487" s="115"/>
      <c r="BB1487" s="115"/>
      <c r="BC1487" s="115"/>
      <c r="BD1487" s="115"/>
      <c r="BE1487" s="115"/>
      <c r="BF1487" s="115"/>
      <c r="BG1487" s="115"/>
      <c r="BH1487" s="122"/>
      <c r="BI1487" s="122"/>
      <c r="BJ1487" s="122"/>
      <c r="BK1487" s="115"/>
      <c r="BL1487" s="115"/>
      <c r="BM1487" s="115"/>
      <c r="BN1487" s="115"/>
      <c r="BO1487" s="115"/>
      <c r="BP1487" s="115"/>
      <c r="BQ1487" s="115"/>
      <c r="BR1487" s="115"/>
      <c r="BS1487" s="115"/>
      <c r="BT1487" s="115"/>
      <c r="BU1487" s="115"/>
      <c r="BV1487" s="115"/>
      <c r="BW1487" s="115"/>
      <c r="BX1487" s="115"/>
      <c r="BY1487" s="26"/>
      <c r="BZ1487" s="15"/>
      <c r="CC1487" s="114"/>
    </row>
    <row r="1488" spans="1:81" x14ac:dyDescent="0.4">
      <c r="A1488" s="115"/>
      <c r="B1488" s="115"/>
      <c r="C1488" s="115"/>
      <c r="D1488" s="115"/>
      <c r="E1488" s="115"/>
      <c r="F1488" s="115"/>
      <c r="G1488" s="115"/>
      <c r="H1488" s="115"/>
      <c r="I1488" s="115"/>
      <c r="J1488" s="115"/>
      <c r="K1488" s="115"/>
      <c r="L1488" s="115"/>
      <c r="M1488" s="115"/>
      <c r="N1488" s="115"/>
      <c r="O1488" s="115"/>
      <c r="P1488" s="115"/>
      <c r="Q1488" s="115"/>
      <c r="R1488" s="115"/>
      <c r="S1488" s="115"/>
      <c r="T1488" s="115"/>
      <c r="U1488" s="115"/>
      <c r="V1488" s="115"/>
      <c r="W1488" s="115"/>
      <c r="X1488" s="115"/>
      <c r="Y1488" s="115"/>
      <c r="Z1488" s="115"/>
      <c r="AA1488" s="115"/>
      <c r="AB1488" s="115"/>
      <c r="AC1488" s="115"/>
      <c r="AD1488" s="115"/>
      <c r="AE1488" s="115"/>
      <c r="AF1488" s="115"/>
      <c r="AG1488" s="115"/>
      <c r="AH1488" s="115"/>
      <c r="AI1488" s="115"/>
      <c r="AJ1488" s="115"/>
      <c r="AK1488" s="115"/>
      <c r="AL1488" s="115"/>
      <c r="AM1488" s="115"/>
      <c r="AN1488" s="115"/>
      <c r="AO1488" s="115"/>
      <c r="AP1488" s="115"/>
      <c r="AQ1488" s="115"/>
      <c r="AR1488" s="115"/>
      <c r="AS1488" s="115"/>
      <c r="AT1488" s="115"/>
      <c r="AU1488" s="115"/>
      <c r="AV1488" s="115"/>
      <c r="AW1488" s="115"/>
      <c r="AX1488" s="115"/>
      <c r="AY1488" s="115"/>
      <c r="AZ1488" s="115"/>
      <c r="BA1488" s="115"/>
      <c r="BB1488" s="115"/>
      <c r="BC1488" s="115"/>
      <c r="BD1488" s="115"/>
      <c r="BE1488" s="115"/>
      <c r="BF1488" s="115"/>
      <c r="BG1488" s="115"/>
      <c r="BH1488" s="122"/>
      <c r="BI1488" s="122"/>
      <c r="BJ1488" s="122"/>
      <c r="BK1488" s="115"/>
      <c r="BL1488" s="115"/>
      <c r="BM1488" s="115"/>
      <c r="BN1488" s="115"/>
      <c r="BO1488" s="115"/>
      <c r="BP1488" s="115"/>
      <c r="BQ1488" s="115"/>
      <c r="BR1488" s="115"/>
      <c r="BS1488" s="115"/>
      <c r="BT1488" s="115"/>
      <c r="BU1488" s="115"/>
      <c r="BV1488" s="115"/>
      <c r="BW1488" s="115"/>
      <c r="BX1488" s="115"/>
      <c r="BY1488" s="26"/>
      <c r="BZ1488" s="15"/>
      <c r="CC1488" s="114"/>
    </row>
    <row r="1489" spans="1:81" x14ac:dyDescent="0.4">
      <c r="A1489" s="115"/>
      <c r="B1489" s="115"/>
      <c r="C1489" s="115"/>
      <c r="D1489" s="115"/>
      <c r="E1489" s="115"/>
      <c r="F1489" s="115"/>
      <c r="G1489" s="115"/>
      <c r="H1489" s="115"/>
      <c r="I1489" s="115"/>
      <c r="J1489" s="115"/>
      <c r="K1489" s="115"/>
      <c r="L1489" s="115"/>
      <c r="M1489" s="115"/>
      <c r="N1489" s="115"/>
      <c r="O1489" s="115"/>
      <c r="P1489" s="115"/>
      <c r="Q1489" s="115"/>
      <c r="R1489" s="115"/>
      <c r="S1489" s="115"/>
      <c r="T1489" s="115"/>
      <c r="U1489" s="115"/>
      <c r="V1489" s="115"/>
      <c r="W1489" s="115"/>
      <c r="X1489" s="115"/>
      <c r="Y1489" s="115"/>
      <c r="Z1489" s="115"/>
      <c r="AA1489" s="115"/>
      <c r="AB1489" s="115"/>
      <c r="AC1489" s="115"/>
      <c r="AD1489" s="115"/>
      <c r="AE1489" s="115"/>
      <c r="AF1489" s="115"/>
      <c r="AG1489" s="115"/>
      <c r="AH1489" s="115"/>
      <c r="AI1489" s="115"/>
      <c r="AJ1489" s="115"/>
      <c r="AK1489" s="115"/>
      <c r="AL1489" s="115"/>
      <c r="AM1489" s="115"/>
      <c r="AN1489" s="115"/>
      <c r="AO1489" s="115"/>
      <c r="AP1489" s="115"/>
      <c r="AQ1489" s="115"/>
      <c r="AR1489" s="115"/>
      <c r="AS1489" s="115"/>
      <c r="AT1489" s="115"/>
      <c r="AU1489" s="115"/>
      <c r="AV1489" s="115"/>
      <c r="AW1489" s="115"/>
      <c r="AX1489" s="115"/>
      <c r="AY1489" s="115"/>
      <c r="AZ1489" s="115"/>
      <c r="BA1489" s="115"/>
      <c r="BB1489" s="115"/>
      <c r="BC1489" s="115"/>
      <c r="BD1489" s="115"/>
      <c r="BE1489" s="115"/>
      <c r="BF1489" s="115"/>
      <c r="BG1489" s="115"/>
      <c r="BH1489" s="122"/>
      <c r="BI1489" s="122"/>
      <c r="BJ1489" s="122"/>
      <c r="BK1489" s="115"/>
      <c r="BL1489" s="115"/>
      <c r="BM1489" s="115"/>
      <c r="BN1489" s="115"/>
      <c r="BO1489" s="115"/>
      <c r="BP1489" s="115"/>
      <c r="BQ1489" s="115"/>
      <c r="BR1489" s="115"/>
      <c r="BS1489" s="115"/>
      <c r="BT1489" s="115"/>
      <c r="BU1489" s="115"/>
      <c r="BV1489" s="115"/>
      <c r="BW1489" s="115"/>
      <c r="BX1489" s="115"/>
      <c r="BY1489" s="17"/>
      <c r="BZ1489" s="13"/>
      <c r="CC1489" s="114"/>
    </row>
    <row r="1490" spans="1:81" x14ac:dyDescent="0.4">
      <c r="A1490" s="115"/>
      <c r="B1490" s="115"/>
      <c r="C1490" s="115"/>
      <c r="D1490" s="115"/>
      <c r="E1490" s="115"/>
      <c r="F1490" s="115"/>
      <c r="G1490" s="115"/>
      <c r="H1490" s="115"/>
      <c r="I1490" s="115"/>
      <c r="J1490" s="115"/>
      <c r="K1490" s="115"/>
      <c r="L1490" s="115"/>
      <c r="M1490" s="115"/>
      <c r="N1490" s="115"/>
      <c r="O1490" s="115"/>
      <c r="P1490" s="115"/>
      <c r="Q1490" s="115"/>
      <c r="R1490" s="115"/>
      <c r="S1490" s="115"/>
      <c r="T1490" s="115"/>
      <c r="U1490" s="115"/>
      <c r="V1490" s="115"/>
      <c r="W1490" s="115"/>
      <c r="X1490" s="115"/>
      <c r="Y1490" s="115"/>
      <c r="Z1490" s="115"/>
      <c r="AA1490" s="115"/>
      <c r="AB1490" s="115"/>
      <c r="AC1490" s="115"/>
      <c r="AD1490" s="115"/>
      <c r="AE1490" s="115"/>
      <c r="AF1490" s="115"/>
      <c r="AG1490" s="115"/>
      <c r="AH1490" s="115"/>
      <c r="AI1490" s="115"/>
      <c r="AJ1490" s="115"/>
      <c r="AK1490" s="115"/>
      <c r="AL1490" s="115"/>
      <c r="AM1490" s="115"/>
      <c r="AN1490" s="115"/>
      <c r="AO1490" s="115"/>
      <c r="AP1490" s="115"/>
      <c r="AQ1490" s="115"/>
      <c r="AR1490" s="115"/>
      <c r="AS1490" s="115"/>
      <c r="AT1490" s="115"/>
      <c r="AU1490" s="115"/>
      <c r="AV1490" s="115"/>
      <c r="AW1490" s="115"/>
      <c r="AX1490" s="115"/>
      <c r="AY1490" s="115"/>
      <c r="AZ1490" s="115"/>
      <c r="BA1490" s="115"/>
      <c r="BB1490" s="115"/>
      <c r="BC1490" s="115"/>
      <c r="BD1490" s="115"/>
      <c r="BE1490" s="115"/>
      <c r="BF1490" s="115"/>
      <c r="BG1490" s="115"/>
      <c r="BH1490" s="122"/>
      <c r="BI1490" s="122"/>
      <c r="BJ1490" s="122"/>
      <c r="BK1490" s="115"/>
      <c r="BL1490" s="115"/>
      <c r="BM1490" s="115"/>
      <c r="BN1490" s="115"/>
      <c r="BO1490" s="115"/>
      <c r="BP1490" s="115"/>
      <c r="BQ1490" s="115"/>
      <c r="BR1490" s="115"/>
      <c r="BS1490" s="115"/>
      <c r="BT1490" s="115"/>
      <c r="BU1490" s="115"/>
      <c r="BV1490" s="115"/>
      <c r="BW1490" s="115"/>
      <c r="BX1490" s="115"/>
      <c r="BY1490" s="17"/>
      <c r="BZ1490" s="13"/>
      <c r="CC1490" s="114"/>
    </row>
    <row r="1491" spans="1:81" x14ac:dyDescent="0.4">
      <c r="A1491" s="115"/>
      <c r="B1491" s="115"/>
      <c r="C1491" s="115"/>
      <c r="D1491" s="115"/>
      <c r="E1491" s="115"/>
      <c r="F1491" s="115"/>
      <c r="G1491" s="115"/>
      <c r="H1491" s="115"/>
      <c r="I1491" s="115"/>
      <c r="J1491" s="115"/>
      <c r="K1491" s="115"/>
      <c r="L1491" s="115"/>
      <c r="M1491" s="115"/>
      <c r="N1491" s="115"/>
      <c r="O1491" s="115"/>
      <c r="P1491" s="115"/>
      <c r="Q1491" s="115"/>
      <c r="R1491" s="115"/>
      <c r="S1491" s="115"/>
      <c r="T1491" s="115"/>
      <c r="U1491" s="115"/>
      <c r="V1491" s="115"/>
      <c r="W1491" s="115"/>
      <c r="X1491" s="115"/>
      <c r="Y1491" s="115"/>
      <c r="Z1491" s="115"/>
      <c r="AA1491" s="115"/>
      <c r="AB1491" s="115"/>
      <c r="AC1491" s="115"/>
      <c r="AD1491" s="115"/>
      <c r="AE1491" s="115"/>
      <c r="AF1491" s="115"/>
      <c r="AG1491" s="115"/>
      <c r="AH1491" s="115"/>
      <c r="AI1491" s="115"/>
      <c r="AJ1491" s="115"/>
      <c r="AK1491" s="115"/>
      <c r="AL1491" s="115"/>
      <c r="AM1491" s="115"/>
      <c r="AN1491" s="115"/>
      <c r="AO1491" s="115"/>
      <c r="AP1491" s="115"/>
      <c r="AQ1491" s="115"/>
      <c r="AR1491" s="115"/>
      <c r="AS1491" s="115"/>
      <c r="AT1491" s="115"/>
      <c r="AU1491" s="115"/>
      <c r="AV1491" s="115"/>
      <c r="AW1491" s="115"/>
      <c r="AX1491" s="115"/>
      <c r="AY1491" s="115"/>
      <c r="AZ1491" s="115"/>
      <c r="BA1491" s="115"/>
      <c r="BB1491" s="115"/>
      <c r="BC1491" s="115"/>
      <c r="BD1491" s="115"/>
      <c r="BE1491" s="115"/>
      <c r="BF1491" s="115"/>
      <c r="BG1491" s="115"/>
      <c r="BH1491" s="122"/>
      <c r="BI1491" s="122"/>
      <c r="BJ1491" s="122"/>
      <c r="BK1491" s="115"/>
      <c r="BL1491" s="115"/>
      <c r="BM1491" s="115"/>
      <c r="BN1491" s="115"/>
      <c r="BO1491" s="115"/>
      <c r="BP1491" s="115"/>
      <c r="BQ1491" s="115"/>
      <c r="BR1491" s="115"/>
      <c r="BS1491" s="115"/>
      <c r="BT1491" s="115"/>
      <c r="BU1491" s="115"/>
      <c r="BV1491" s="115"/>
      <c r="BW1491" s="115"/>
      <c r="BX1491" s="115"/>
      <c r="BY1491" s="26"/>
      <c r="BZ1491" s="13"/>
      <c r="CC1491" s="114"/>
    </row>
    <row r="1492" spans="1:81" x14ac:dyDescent="0.4">
      <c r="A1492" s="115"/>
      <c r="B1492" s="115"/>
      <c r="C1492" s="115"/>
      <c r="D1492" s="115"/>
      <c r="E1492" s="115"/>
      <c r="F1492" s="115"/>
      <c r="G1492" s="115"/>
      <c r="H1492" s="115"/>
      <c r="I1492" s="115"/>
      <c r="J1492" s="115"/>
      <c r="K1492" s="115"/>
      <c r="L1492" s="115"/>
      <c r="M1492" s="115"/>
      <c r="N1492" s="115"/>
      <c r="O1492" s="115"/>
      <c r="P1492" s="115"/>
      <c r="Q1492" s="115"/>
      <c r="R1492" s="115"/>
      <c r="S1492" s="115"/>
      <c r="T1492" s="115"/>
      <c r="U1492" s="115"/>
      <c r="V1492" s="115"/>
      <c r="W1492" s="115"/>
      <c r="X1492" s="115"/>
      <c r="Y1492" s="115"/>
      <c r="Z1492" s="115"/>
      <c r="AA1492" s="115"/>
      <c r="AB1492" s="115"/>
      <c r="AC1492" s="115"/>
      <c r="AD1492" s="115"/>
      <c r="AE1492" s="115"/>
      <c r="AF1492" s="115"/>
      <c r="AG1492" s="115"/>
      <c r="AH1492" s="115"/>
      <c r="AI1492" s="115"/>
      <c r="AJ1492" s="115"/>
      <c r="AK1492" s="115"/>
      <c r="AL1492" s="115"/>
      <c r="AM1492" s="115"/>
      <c r="AN1492" s="115"/>
      <c r="AO1492" s="115"/>
      <c r="AP1492" s="115"/>
      <c r="AQ1492" s="115"/>
      <c r="AR1492" s="115"/>
      <c r="AS1492" s="115"/>
      <c r="AT1492" s="115"/>
      <c r="AU1492" s="115"/>
      <c r="AV1492" s="115"/>
      <c r="AW1492" s="115"/>
      <c r="AX1492" s="115"/>
      <c r="AY1492" s="115"/>
      <c r="AZ1492" s="115"/>
      <c r="BA1492" s="115"/>
      <c r="BB1492" s="115"/>
      <c r="BC1492" s="115"/>
      <c r="BD1492" s="115"/>
      <c r="BE1492" s="115"/>
      <c r="BF1492" s="115"/>
      <c r="BG1492" s="115"/>
      <c r="BH1492" s="122"/>
      <c r="BI1492" s="122"/>
      <c r="BJ1492" s="122"/>
      <c r="BK1492" s="115"/>
      <c r="BL1492" s="115"/>
      <c r="BM1492" s="115"/>
      <c r="BN1492" s="115"/>
      <c r="BO1492" s="115"/>
      <c r="BP1492" s="115"/>
      <c r="BQ1492" s="115"/>
      <c r="BR1492" s="115"/>
      <c r="BS1492" s="115"/>
      <c r="BT1492" s="115"/>
      <c r="BU1492" s="115"/>
      <c r="BV1492" s="115"/>
      <c r="BW1492" s="115"/>
      <c r="BX1492" s="115"/>
      <c r="BY1492" s="26"/>
      <c r="BZ1492" s="13"/>
      <c r="CC1492" s="114"/>
    </row>
    <row r="1493" spans="1:81" x14ac:dyDescent="0.4">
      <c r="A1493" s="115"/>
      <c r="B1493" s="115"/>
      <c r="C1493" s="115"/>
      <c r="D1493" s="115"/>
      <c r="E1493" s="115"/>
      <c r="F1493" s="115"/>
      <c r="G1493" s="115"/>
      <c r="H1493" s="115"/>
      <c r="I1493" s="115"/>
      <c r="J1493" s="115"/>
      <c r="K1493" s="115"/>
      <c r="L1493" s="115"/>
      <c r="M1493" s="115"/>
      <c r="N1493" s="115"/>
      <c r="O1493" s="115"/>
      <c r="P1493" s="115"/>
      <c r="Q1493" s="115"/>
      <c r="R1493" s="115"/>
      <c r="S1493" s="115"/>
      <c r="T1493" s="115"/>
      <c r="U1493" s="115"/>
      <c r="V1493" s="115"/>
      <c r="W1493" s="115"/>
      <c r="X1493" s="115"/>
      <c r="Y1493" s="115"/>
      <c r="Z1493" s="115"/>
      <c r="AA1493" s="115"/>
      <c r="AB1493" s="115"/>
      <c r="AC1493" s="115"/>
      <c r="AD1493" s="115"/>
      <c r="AE1493" s="115"/>
      <c r="AF1493" s="115"/>
      <c r="AG1493" s="115"/>
      <c r="AH1493" s="115"/>
      <c r="AI1493" s="115"/>
      <c r="AJ1493" s="115"/>
      <c r="AK1493" s="115"/>
      <c r="AL1493" s="115"/>
      <c r="AM1493" s="115"/>
      <c r="AN1493" s="115"/>
      <c r="AO1493" s="115"/>
      <c r="AP1493" s="115"/>
      <c r="AQ1493" s="115"/>
      <c r="AR1493" s="115"/>
      <c r="AS1493" s="115"/>
      <c r="AT1493" s="115"/>
      <c r="AU1493" s="115"/>
      <c r="AV1493" s="115"/>
      <c r="AW1493" s="115"/>
      <c r="AX1493" s="115"/>
      <c r="AY1493" s="115"/>
      <c r="AZ1493" s="115"/>
      <c r="BA1493" s="115"/>
      <c r="BB1493" s="115"/>
      <c r="BC1493" s="115"/>
      <c r="BD1493" s="115"/>
      <c r="BE1493" s="115"/>
      <c r="BF1493" s="115"/>
      <c r="BG1493" s="115"/>
      <c r="BH1493" s="122"/>
      <c r="BI1493" s="122"/>
      <c r="BJ1493" s="122"/>
      <c r="BK1493" s="115"/>
      <c r="BL1493" s="115"/>
      <c r="BM1493" s="115"/>
      <c r="BN1493" s="115"/>
      <c r="BO1493" s="115"/>
      <c r="BP1493" s="115"/>
      <c r="BQ1493" s="115"/>
      <c r="BR1493" s="115"/>
      <c r="BS1493" s="115"/>
      <c r="BT1493" s="115"/>
      <c r="BU1493" s="115"/>
      <c r="BV1493" s="115"/>
      <c r="BW1493" s="115"/>
      <c r="BX1493" s="115"/>
      <c r="BY1493" s="17"/>
      <c r="BZ1493" s="13"/>
      <c r="CC1493" s="114"/>
    </row>
    <row r="1494" spans="1:81" x14ac:dyDescent="0.4">
      <c r="A1494" s="115"/>
      <c r="B1494" s="115"/>
      <c r="C1494" s="115"/>
      <c r="D1494" s="115"/>
      <c r="E1494" s="115"/>
      <c r="F1494" s="115"/>
      <c r="G1494" s="115"/>
      <c r="H1494" s="115"/>
      <c r="I1494" s="115"/>
      <c r="J1494" s="115"/>
      <c r="K1494" s="115"/>
      <c r="L1494" s="115"/>
      <c r="M1494" s="115"/>
      <c r="N1494" s="115"/>
      <c r="O1494" s="115"/>
      <c r="P1494" s="115"/>
      <c r="Q1494" s="115"/>
      <c r="R1494" s="115"/>
      <c r="S1494" s="115"/>
      <c r="T1494" s="115"/>
      <c r="U1494" s="115"/>
      <c r="V1494" s="115"/>
      <c r="W1494" s="115"/>
      <c r="X1494" s="115"/>
      <c r="Y1494" s="115"/>
      <c r="Z1494" s="115"/>
      <c r="AA1494" s="115"/>
      <c r="AB1494" s="115"/>
      <c r="AC1494" s="115"/>
      <c r="AD1494" s="115"/>
      <c r="AE1494" s="115"/>
      <c r="AF1494" s="115"/>
      <c r="AG1494" s="115"/>
      <c r="AH1494" s="115"/>
      <c r="AI1494" s="115"/>
      <c r="AJ1494" s="115"/>
      <c r="AK1494" s="115"/>
      <c r="AL1494" s="115"/>
      <c r="AM1494" s="115"/>
      <c r="AN1494" s="115"/>
      <c r="AO1494" s="115"/>
      <c r="AP1494" s="115"/>
      <c r="AQ1494" s="115"/>
      <c r="AR1494" s="115"/>
      <c r="AS1494" s="115"/>
      <c r="AT1494" s="115"/>
      <c r="AU1494" s="115"/>
      <c r="AV1494" s="115"/>
      <c r="AW1494" s="115"/>
      <c r="AX1494" s="115"/>
      <c r="AY1494" s="115"/>
      <c r="AZ1494" s="115"/>
      <c r="BA1494" s="115"/>
      <c r="BB1494" s="115"/>
      <c r="BC1494" s="115"/>
      <c r="BD1494" s="115"/>
      <c r="BE1494" s="115"/>
      <c r="BF1494" s="115"/>
      <c r="BG1494" s="115"/>
      <c r="BH1494" s="122"/>
      <c r="BI1494" s="122"/>
      <c r="BJ1494" s="122"/>
      <c r="BK1494" s="115"/>
      <c r="BL1494" s="115"/>
      <c r="BM1494" s="115"/>
      <c r="BN1494" s="115"/>
      <c r="BO1494" s="115"/>
      <c r="BP1494" s="115"/>
      <c r="BQ1494" s="115"/>
      <c r="BR1494" s="115"/>
      <c r="BS1494" s="115"/>
      <c r="BT1494" s="115"/>
      <c r="BU1494" s="115"/>
      <c r="BV1494" s="115"/>
      <c r="BW1494" s="115"/>
      <c r="BX1494" s="115"/>
      <c r="BY1494" s="26"/>
      <c r="BZ1494" s="15"/>
      <c r="CC1494" s="114"/>
    </row>
    <row r="1495" spans="1:81" x14ac:dyDescent="0.4">
      <c r="A1495" s="115"/>
      <c r="B1495" s="115"/>
      <c r="C1495" s="115"/>
      <c r="D1495" s="115"/>
      <c r="E1495" s="115"/>
      <c r="F1495" s="115"/>
      <c r="G1495" s="115"/>
      <c r="H1495" s="115"/>
      <c r="I1495" s="115"/>
      <c r="J1495" s="115"/>
      <c r="K1495" s="115"/>
      <c r="L1495" s="115"/>
      <c r="M1495" s="115"/>
      <c r="N1495" s="115"/>
      <c r="O1495" s="115"/>
      <c r="P1495" s="115"/>
      <c r="Q1495" s="115"/>
      <c r="R1495" s="115"/>
      <c r="S1495" s="115"/>
      <c r="T1495" s="115"/>
      <c r="U1495" s="115"/>
      <c r="V1495" s="115"/>
      <c r="W1495" s="115"/>
      <c r="X1495" s="115"/>
      <c r="Y1495" s="115"/>
      <c r="Z1495" s="115"/>
      <c r="AA1495" s="115"/>
      <c r="AB1495" s="115"/>
      <c r="AC1495" s="115"/>
      <c r="AD1495" s="115"/>
      <c r="AE1495" s="115"/>
      <c r="AF1495" s="115"/>
      <c r="AG1495" s="115"/>
      <c r="AH1495" s="115"/>
      <c r="AI1495" s="115"/>
      <c r="AJ1495" s="115"/>
      <c r="AK1495" s="115"/>
      <c r="AL1495" s="115"/>
      <c r="AM1495" s="115"/>
      <c r="AN1495" s="115"/>
      <c r="AO1495" s="115"/>
      <c r="AP1495" s="115"/>
      <c r="AQ1495" s="115"/>
      <c r="AR1495" s="115"/>
      <c r="AS1495" s="115"/>
      <c r="AT1495" s="115"/>
      <c r="AU1495" s="115"/>
      <c r="AV1495" s="115"/>
      <c r="AW1495" s="115"/>
      <c r="AX1495" s="115"/>
      <c r="AY1495" s="115"/>
      <c r="AZ1495" s="115"/>
      <c r="BA1495" s="115"/>
      <c r="BB1495" s="115"/>
      <c r="BC1495" s="115"/>
      <c r="BD1495" s="115"/>
      <c r="BE1495" s="115"/>
      <c r="BF1495" s="115"/>
      <c r="BG1495" s="115"/>
      <c r="BH1495" s="122"/>
      <c r="BI1495" s="122"/>
      <c r="BJ1495" s="122"/>
      <c r="BK1495" s="115"/>
      <c r="BL1495" s="115"/>
      <c r="BM1495" s="115"/>
      <c r="BN1495" s="115"/>
      <c r="BO1495" s="115"/>
      <c r="BP1495" s="115"/>
      <c r="BQ1495" s="115"/>
      <c r="BR1495" s="115"/>
      <c r="BS1495" s="115"/>
      <c r="BT1495" s="115"/>
      <c r="BU1495" s="115"/>
      <c r="BV1495" s="115"/>
      <c r="BW1495" s="115"/>
      <c r="BX1495" s="115"/>
      <c r="BY1495" s="26"/>
      <c r="BZ1495" s="15"/>
      <c r="CC1495" s="114"/>
    </row>
    <row r="1496" spans="1:81" x14ac:dyDescent="0.4">
      <c r="A1496" s="115"/>
      <c r="B1496" s="115"/>
      <c r="C1496" s="115"/>
      <c r="D1496" s="115"/>
      <c r="E1496" s="115"/>
      <c r="F1496" s="115"/>
      <c r="G1496" s="115"/>
      <c r="H1496" s="115"/>
      <c r="I1496" s="115"/>
      <c r="J1496" s="115"/>
      <c r="K1496" s="115"/>
      <c r="L1496" s="115"/>
      <c r="M1496" s="115"/>
      <c r="N1496" s="115"/>
      <c r="O1496" s="115"/>
      <c r="P1496" s="115"/>
      <c r="Q1496" s="115"/>
      <c r="R1496" s="115"/>
      <c r="S1496" s="115"/>
      <c r="T1496" s="115"/>
      <c r="U1496" s="115"/>
      <c r="V1496" s="115"/>
      <c r="W1496" s="115"/>
      <c r="X1496" s="115"/>
      <c r="Y1496" s="115"/>
      <c r="Z1496" s="115"/>
      <c r="AA1496" s="115"/>
      <c r="AB1496" s="115"/>
      <c r="AC1496" s="115"/>
      <c r="AD1496" s="115"/>
      <c r="AE1496" s="115"/>
      <c r="AF1496" s="115"/>
      <c r="AG1496" s="115"/>
      <c r="AH1496" s="115"/>
      <c r="AI1496" s="115"/>
      <c r="AJ1496" s="115"/>
      <c r="AK1496" s="115"/>
      <c r="AL1496" s="115"/>
      <c r="AM1496" s="115"/>
      <c r="AN1496" s="115"/>
      <c r="AO1496" s="115"/>
      <c r="AP1496" s="115"/>
      <c r="AQ1496" s="115"/>
      <c r="AR1496" s="115"/>
      <c r="AS1496" s="115"/>
      <c r="AT1496" s="115"/>
      <c r="AU1496" s="115"/>
      <c r="AV1496" s="115"/>
      <c r="AW1496" s="115"/>
      <c r="AX1496" s="115"/>
      <c r="AY1496" s="115"/>
      <c r="AZ1496" s="115"/>
      <c r="BA1496" s="115"/>
      <c r="BB1496" s="115"/>
      <c r="BC1496" s="115"/>
      <c r="BD1496" s="115"/>
      <c r="BE1496" s="115"/>
      <c r="BF1496" s="115"/>
      <c r="BG1496" s="115"/>
      <c r="BH1496" s="122"/>
      <c r="BI1496" s="122"/>
      <c r="BJ1496" s="122"/>
      <c r="BK1496" s="115"/>
      <c r="BL1496" s="115"/>
      <c r="BM1496" s="115"/>
      <c r="BN1496" s="115"/>
      <c r="BO1496" s="115"/>
      <c r="BP1496" s="115"/>
      <c r="BQ1496" s="115"/>
      <c r="BR1496" s="115"/>
      <c r="BS1496" s="115"/>
      <c r="BT1496" s="115"/>
      <c r="BU1496" s="115"/>
      <c r="BV1496" s="115"/>
      <c r="BW1496" s="115"/>
      <c r="BX1496" s="115"/>
      <c r="BY1496" s="26"/>
      <c r="BZ1496" s="15"/>
      <c r="CC1496" s="114"/>
    </row>
    <row r="1497" spans="1:81" x14ac:dyDescent="0.4">
      <c r="A1497" s="115"/>
      <c r="B1497" s="115"/>
      <c r="C1497" s="115"/>
      <c r="D1497" s="115"/>
      <c r="E1497" s="115"/>
      <c r="F1497" s="115"/>
      <c r="G1497" s="115"/>
      <c r="H1497" s="115"/>
      <c r="I1497" s="115"/>
      <c r="J1497" s="115"/>
      <c r="K1497" s="115"/>
      <c r="L1497" s="115"/>
      <c r="M1497" s="115"/>
      <c r="N1497" s="115"/>
      <c r="O1497" s="115"/>
      <c r="P1497" s="115"/>
      <c r="Q1497" s="115"/>
      <c r="R1497" s="115"/>
      <c r="S1497" s="115"/>
      <c r="T1497" s="115"/>
      <c r="U1497" s="115"/>
      <c r="V1497" s="115"/>
      <c r="W1497" s="115"/>
      <c r="X1497" s="115"/>
      <c r="Y1497" s="115"/>
      <c r="Z1497" s="115"/>
      <c r="AA1497" s="115"/>
      <c r="AB1497" s="115"/>
      <c r="AC1497" s="115"/>
      <c r="AD1497" s="115"/>
      <c r="AE1497" s="115"/>
      <c r="AF1497" s="115"/>
      <c r="AG1497" s="115"/>
      <c r="AH1497" s="115"/>
      <c r="AI1497" s="115"/>
      <c r="AJ1497" s="115"/>
      <c r="AK1497" s="115"/>
      <c r="AL1497" s="115"/>
      <c r="AM1497" s="115"/>
      <c r="AN1497" s="115"/>
      <c r="AO1497" s="115"/>
      <c r="AP1497" s="115"/>
      <c r="AQ1497" s="115"/>
      <c r="AR1497" s="115"/>
      <c r="AS1497" s="115"/>
      <c r="AT1497" s="115"/>
      <c r="AU1497" s="115"/>
      <c r="AV1497" s="115"/>
      <c r="AW1497" s="115"/>
      <c r="AX1497" s="115"/>
      <c r="AY1497" s="115"/>
      <c r="AZ1497" s="115"/>
      <c r="BA1497" s="115"/>
      <c r="BB1497" s="115"/>
      <c r="BC1497" s="115"/>
      <c r="BD1497" s="115"/>
      <c r="BE1497" s="115"/>
      <c r="BF1497" s="115"/>
      <c r="BG1497" s="115"/>
      <c r="BH1497" s="122"/>
      <c r="BI1497" s="122"/>
      <c r="BJ1497" s="122"/>
      <c r="BK1497" s="115"/>
      <c r="BL1497" s="115"/>
      <c r="BM1497" s="115"/>
      <c r="BN1497" s="115"/>
      <c r="BO1497" s="115"/>
      <c r="BP1497" s="115"/>
      <c r="BQ1497" s="115"/>
      <c r="BR1497" s="115"/>
      <c r="BS1497" s="115"/>
      <c r="BT1497" s="115"/>
      <c r="BU1497" s="115"/>
      <c r="BV1497" s="115"/>
      <c r="BW1497" s="115"/>
      <c r="BX1497" s="115"/>
      <c r="BY1497" s="26"/>
      <c r="BZ1497" s="13"/>
      <c r="CC1497" s="114"/>
    </row>
    <row r="1498" spans="1:81" x14ac:dyDescent="0.4">
      <c r="A1498" s="115"/>
      <c r="B1498" s="115"/>
      <c r="C1498" s="115"/>
      <c r="D1498" s="115"/>
      <c r="E1498" s="115"/>
      <c r="F1498" s="115"/>
      <c r="G1498" s="115"/>
      <c r="H1498" s="115"/>
      <c r="I1498" s="115"/>
      <c r="J1498" s="115"/>
      <c r="K1498" s="115"/>
      <c r="L1498" s="115"/>
      <c r="M1498" s="115"/>
      <c r="N1498" s="115"/>
      <c r="O1498" s="115"/>
      <c r="P1498" s="115"/>
      <c r="Q1498" s="115"/>
      <c r="R1498" s="115"/>
      <c r="S1498" s="115"/>
      <c r="T1498" s="115"/>
      <c r="U1498" s="115"/>
      <c r="V1498" s="115"/>
      <c r="W1498" s="115"/>
      <c r="X1498" s="115"/>
      <c r="Y1498" s="115"/>
      <c r="Z1498" s="115"/>
      <c r="AA1498" s="115"/>
      <c r="AB1498" s="115"/>
      <c r="AC1498" s="115"/>
      <c r="AD1498" s="115"/>
      <c r="AE1498" s="115"/>
      <c r="AF1498" s="115"/>
      <c r="AG1498" s="115"/>
      <c r="AH1498" s="115"/>
      <c r="AI1498" s="115"/>
      <c r="AJ1498" s="115"/>
      <c r="AK1498" s="115"/>
      <c r="AL1498" s="115"/>
      <c r="AM1498" s="115"/>
      <c r="AN1498" s="115"/>
      <c r="AO1498" s="115"/>
      <c r="AP1498" s="115"/>
      <c r="AQ1498" s="115"/>
      <c r="AR1498" s="115"/>
      <c r="AS1498" s="115"/>
      <c r="AT1498" s="115"/>
      <c r="AU1498" s="115"/>
      <c r="AV1498" s="115"/>
      <c r="AW1498" s="115"/>
      <c r="AX1498" s="115"/>
      <c r="AY1498" s="115"/>
      <c r="AZ1498" s="115"/>
      <c r="BA1498" s="115"/>
      <c r="BB1498" s="115"/>
      <c r="BC1498" s="115"/>
      <c r="BD1498" s="115"/>
      <c r="BE1498" s="115"/>
      <c r="BF1498" s="115"/>
      <c r="BG1498" s="115"/>
      <c r="BH1498" s="122"/>
      <c r="BI1498" s="122"/>
      <c r="BJ1498" s="122"/>
      <c r="BK1498" s="115"/>
      <c r="BL1498" s="115"/>
      <c r="BM1498" s="115"/>
      <c r="BN1498" s="115"/>
      <c r="BO1498" s="115"/>
      <c r="BP1498" s="115"/>
      <c r="BQ1498" s="115"/>
      <c r="BR1498" s="115"/>
      <c r="BS1498" s="115"/>
      <c r="BT1498" s="115"/>
      <c r="BU1498" s="115"/>
      <c r="BV1498" s="115"/>
      <c r="BW1498" s="115"/>
      <c r="BX1498" s="115"/>
      <c r="BY1498" s="26"/>
      <c r="BZ1498" s="25"/>
      <c r="CC1498" s="114"/>
    </row>
    <row r="1499" spans="1:81" x14ac:dyDescent="0.4">
      <c r="A1499" s="115"/>
      <c r="B1499" s="115"/>
      <c r="C1499" s="115"/>
      <c r="D1499" s="115"/>
      <c r="E1499" s="115"/>
      <c r="F1499" s="115"/>
      <c r="G1499" s="115"/>
      <c r="H1499" s="115"/>
      <c r="I1499" s="115"/>
      <c r="J1499" s="115"/>
      <c r="K1499" s="115"/>
      <c r="L1499" s="115"/>
      <c r="M1499" s="115"/>
      <c r="N1499" s="115"/>
      <c r="O1499" s="115"/>
      <c r="P1499" s="115"/>
      <c r="Q1499" s="115"/>
      <c r="R1499" s="115"/>
      <c r="S1499" s="115"/>
      <c r="T1499" s="115"/>
      <c r="U1499" s="115"/>
      <c r="V1499" s="115"/>
      <c r="W1499" s="115"/>
      <c r="X1499" s="115"/>
      <c r="Y1499" s="115"/>
      <c r="Z1499" s="115"/>
      <c r="AA1499" s="115"/>
      <c r="AB1499" s="115"/>
      <c r="AC1499" s="115"/>
      <c r="AD1499" s="115"/>
      <c r="AE1499" s="115"/>
      <c r="AF1499" s="115"/>
      <c r="AG1499" s="115"/>
      <c r="AH1499" s="115"/>
      <c r="AI1499" s="115"/>
      <c r="AJ1499" s="115"/>
      <c r="AK1499" s="115"/>
      <c r="AL1499" s="115"/>
      <c r="AM1499" s="115"/>
      <c r="AN1499" s="115"/>
      <c r="AO1499" s="115"/>
      <c r="AP1499" s="115"/>
      <c r="AQ1499" s="115"/>
      <c r="AR1499" s="115"/>
      <c r="AS1499" s="115"/>
      <c r="AT1499" s="115"/>
      <c r="AU1499" s="115"/>
      <c r="AV1499" s="115"/>
      <c r="AW1499" s="115"/>
      <c r="AX1499" s="115"/>
      <c r="AY1499" s="115"/>
      <c r="AZ1499" s="115"/>
      <c r="BA1499" s="115"/>
      <c r="BB1499" s="115"/>
      <c r="BC1499" s="115"/>
      <c r="BD1499" s="115"/>
      <c r="BE1499" s="115"/>
      <c r="BF1499" s="115"/>
      <c r="BG1499" s="115"/>
      <c r="BH1499" s="122"/>
      <c r="BI1499" s="122"/>
      <c r="BJ1499" s="122"/>
      <c r="BK1499" s="115"/>
      <c r="BL1499" s="115"/>
      <c r="BM1499" s="115"/>
      <c r="BN1499" s="115"/>
      <c r="BO1499" s="115"/>
      <c r="BP1499" s="115"/>
      <c r="BQ1499" s="115"/>
      <c r="BR1499" s="115"/>
      <c r="BS1499" s="115"/>
      <c r="BT1499" s="115"/>
      <c r="BU1499" s="115"/>
      <c r="BV1499" s="115"/>
      <c r="BW1499" s="115"/>
      <c r="BX1499" s="115"/>
      <c r="BY1499" s="26"/>
      <c r="BZ1499" s="13"/>
      <c r="CC1499" s="114"/>
    </row>
    <row r="1500" spans="1:81" x14ac:dyDescent="0.4">
      <c r="A1500" s="115"/>
      <c r="B1500" s="115"/>
      <c r="C1500" s="115"/>
      <c r="D1500" s="115"/>
      <c r="E1500" s="115"/>
      <c r="F1500" s="115"/>
      <c r="G1500" s="115"/>
      <c r="H1500" s="115"/>
      <c r="I1500" s="115"/>
      <c r="J1500" s="115"/>
      <c r="K1500" s="115"/>
      <c r="L1500" s="115"/>
      <c r="M1500" s="115"/>
      <c r="N1500" s="115"/>
      <c r="O1500" s="115"/>
      <c r="P1500" s="115"/>
      <c r="Q1500" s="115"/>
      <c r="R1500" s="115"/>
      <c r="S1500" s="115"/>
      <c r="T1500" s="115"/>
      <c r="U1500" s="115"/>
      <c r="V1500" s="115"/>
      <c r="W1500" s="115"/>
      <c r="X1500" s="115"/>
      <c r="Y1500" s="115"/>
      <c r="Z1500" s="115"/>
      <c r="AA1500" s="115"/>
      <c r="AB1500" s="115"/>
      <c r="AC1500" s="115"/>
      <c r="AD1500" s="115"/>
      <c r="AE1500" s="115"/>
      <c r="AF1500" s="115"/>
      <c r="AG1500" s="115"/>
      <c r="AH1500" s="115"/>
      <c r="AI1500" s="115"/>
      <c r="AJ1500" s="115"/>
      <c r="AK1500" s="115"/>
      <c r="AL1500" s="115"/>
      <c r="AM1500" s="115"/>
      <c r="AN1500" s="115"/>
      <c r="AO1500" s="115"/>
      <c r="AP1500" s="115"/>
      <c r="AQ1500" s="115"/>
      <c r="AR1500" s="115"/>
      <c r="AS1500" s="115"/>
      <c r="AT1500" s="115"/>
      <c r="AU1500" s="115"/>
      <c r="AV1500" s="115"/>
      <c r="AW1500" s="115"/>
      <c r="AX1500" s="115"/>
      <c r="AY1500" s="115"/>
      <c r="AZ1500" s="115"/>
      <c r="BA1500" s="115"/>
      <c r="BB1500" s="115"/>
      <c r="BC1500" s="115"/>
      <c r="BD1500" s="115"/>
      <c r="BE1500" s="115"/>
      <c r="BF1500" s="115"/>
      <c r="BG1500" s="115"/>
      <c r="BH1500" s="122"/>
      <c r="BI1500" s="122"/>
      <c r="BJ1500" s="122"/>
      <c r="BK1500" s="115"/>
      <c r="BL1500" s="115"/>
      <c r="BM1500" s="115"/>
      <c r="BN1500" s="115"/>
      <c r="BO1500" s="115"/>
      <c r="BP1500" s="115"/>
      <c r="BQ1500" s="115"/>
      <c r="BR1500" s="115"/>
      <c r="BS1500" s="115"/>
      <c r="BT1500" s="115"/>
      <c r="BU1500" s="115"/>
      <c r="BV1500" s="115"/>
      <c r="BW1500" s="115"/>
      <c r="BX1500" s="115"/>
      <c r="BY1500" s="26"/>
      <c r="BZ1500" s="13"/>
      <c r="CC1500" s="114"/>
    </row>
    <row r="1501" spans="1:81" x14ac:dyDescent="0.4">
      <c r="A1501" s="115"/>
      <c r="B1501" s="115"/>
      <c r="C1501" s="115"/>
      <c r="D1501" s="115"/>
      <c r="E1501" s="115"/>
      <c r="F1501" s="115"/>
      <c r="G1501" s="115"/>
      <c r="H1501" s="115"/>
      <c r="I1501" s="115"/>
      <c r="J1501" s="115"/>
      <c r="K1501" s="115"/>
      <c r="L1501" s="115"/>
      <c r="M1501" s="115"/>
      <c r="N1501" s="115"/>
      <c r="O1501" s="115"/>
      <c r="P1501" s="115"/>
      <c r="Q1501" s="115"/>
      <c r="R1501" s="115"/>
      <c r="S1501" s="115"/>
      <c r="T1501" s="115"/>
      <c r="U1501" s="115"/>
      <c r="V1501" s="115"/>
      <c r="W1501" s="115"/>
      <c r="X1501" s="115"/>
      <c r="Y1501" s="115"/>
      <c r="Z1501" s="115"/>
      <c r="AA1501" s="115"/>
      <c r="AB1501" s="115"/>
      <c r="AC1501" s="115"/>
      <c r="AD1501" s="115"/>
      <c r="AE1501" s="115"/>
      <c r="AF1501" s="115"/>
      <c r="AG1501" s="115"/>
      <c r="AH1501" s="115"/>
      <c r="AI1501" s="115"/>
      <c r="AJ1501" s="115"/>
      <c r="AK1501" s="115"/>
      <c r="AL1501" s="115"/>
      <c r="AM1501" s="115"/>
      <c r="AN1501" s="115"/>
      <c r="AO1501" s="115"/>
      <c r="AP1501" s="115"/>
      <c r="AQ1501" s="115"/>
      <c r="AR1501" s="115"/>
      <c r="AS1501" s="115"/>
      <c r="AT1501" s="115"/>
      <c r="AU1501" s="115"/>
      <c r="AV1501" s="115"/>
      <c r="AW1501" s="115"/>
      <c r="AX1501" s="115"/>
      <c r="AY1501" s="115"/>
      <c r="AZ1501" s="115"/>
      <c r="BA1501" s="115"/>
      <c r="BB1501" s="115"/>
      <c r="BC1501" s="115"/>
      <c r="BD1501" s="115"/>
      <c r="BE1501" s="115"/>
      <c r="BF1501" s="115"/>
      <c r="BG1501" s="115"/>
      <c r="BH1501" s="122"/>
      <c r="BI1501" s="122"/>
      <c r="BJ1501" s="122"/>
      <c r="BK1501" s="115"/>
      <c r="BL1501" s="115"/>
      <c r="BM1501" s="115"/>
      <c r="BN1501" s="115"/>
      <c r="BO1501" s="115"/>
      <c r="BP1501" s="115"/>
      <c r="BQ1501" s="115"/>
      <c r="BR1501" s="115"/>
      <c r="BS1501" s="115"/>
      <c r="BT1501" s="115"/>
      <c r="BU1501" s="115"/>
      <c r="BV1501" s="115"/>
      <c r="BW1501" s="115"/>
      <c r="BX1501" s="115"/>
      <c r="BY1501" s="26"/>
      <c r="BZ1501" s="13"/>
      <c r="CC1501" s="114"/>
    </row>
    <row r="1502" spans="1:81" x14ac:dyDescent="0.4">
      <c r="A1502" s="115"/>
      <c r="B1502" s="115"/>
      <c r="C1502" s="115"/>
      <c r="D1502" s="115"/>
      <c r="E1502" s="115"/>
      <c r="F1502" s="115"/>
      <c r="G1502" s="115"/>
      <c r="H1502" s="115"/>
      <c r="I1502" s="115"/>
      <c r="J1502" s="115"/>
      <c r="K1502" s="115"/>
      <c r="L1502" s="115"/>
      <c r="M1502" s="115"/>
      <c r="N1502" s="115"/>
      <c r="O1502" s="115"/>
      <c r="P1502" s="115"/>
      <c r="Q1502" s="115"/>
      <c r="R1502" s="115"/>
      <c r="S1502" s="115"/>
      <c r="T1502" s="115"/>
      <c r="U1502" s="115"/>
      <c r="V1502" s="115"/>
      <c r="W1502" s="115"/>
      <c r="X1502" s="115"/>
      <c r="Y1502" s="115"/>
      <c r="Z1502" s="115"/>
      <c r="AA1502" s="115"/>
      <c r="AB1502" s="115"/>
      <c r="AC1502" s="115"/>
      <c r="AD1502" s="115"/>
      <c r="AE1502" s="115"/>
      <c r="AF1502" s="115"/>
      <c r="AG1502" s="115"/>
      <c r="AH1502" s="115"/>
      <c r="AI1502" s="115"/>
      <c r="AJ1502" s="115"/>
      <c r="AK1502" s="115"/>
      <c r="AL1502" s="115"/>
      <c r="AM1502" s="115"/>
      <c r="AN1502" s="115"/>
      <c r="AO1502" s="115"/>
      <c r="AP1502" s="115"/>
      <c r="AQ1502" s="115"/>
      <c r="AR1502" s="115"/>
      <c r="AS1502" s="115"/>
      <c r="AT1502" s="115"/>
      <c r="AU1502" s="115"/>
      <c r="AV1502" s="115"/>
      <c r="AW1502" s="115"/>
      <c r="AX1502" s="115"/>
      <c r="AY1502" s="115"/>
      <c r="AZ1502" s="115"/>
      <c r="BA1502" s="115"/>
      <c r="BB1502" s="115"/>
      <c r="BC1502" s="115"/>
      <c r="BD1502" s="115"/>
      <c r="BE1502" s="115"/>
      <c r="BF1502" s="115"/>
      <c r="BG1502" s="115"/>
      <c r="BH1502" s="122"/>
      <c r="BI1502" s="122"/>
      <c r="BJ1502" s="122"/>
      <c r="BK1502" s="115"/>
      <c r="BL1502" s="115"/>
      <c r="BM1502" s="115"/>
      <c r="BN1502" s="115"/>
      <c r="BO1502" s="115"/>
      <c r="BP1502" s="115"/>
      <c r="BQ1502" s="115"/>
      <c r="BR1502" s="115"/>
      <c r="BS1502" s="115"/>
      <c r="BT1502" s="115"/>
      <c r="BU1502" s="115"/>
      <c r="BV1502" s="115"/>
      <c r="BW1502" s="115"/>
      <c r="BX1502" s="115"/>
      <c r="BY1502" s="26"/>
      <c r="BZ1502" s="13"/>
      <c r="CC1502" s="114"/>
    </row>
    <row r="1503" spans="1:81" x14ac:dyDescent="0.4">
      <c r="A1503" s="115"/>
      <c r="B1503" s="115"/>
      <c r="C1503" s="115"/>
      <c r="D1503" s="115"/>
      <c r="E1503" s="115"/>
      <c r="F1503" s="115"/>
      <c r="G1503" s="115"/>
      <c r="H1503" s="115"/>
      <c r="I1503" s="115"/>
      <c r="J1503" s="115"/>
      <c r="K1503" s="115"/>
      <c r="L1503" s="115"/>
      <c r="M1503" s="115"/>
      <c r="N1503" s="115"/>
      <c r="O1503" s="115"/>
      <c r="P1503" s="115"/>
      <c r="Q1503" s="115"/>
      <c r="R1503" s="115"/>
      <c r="S1503" s="115"/>
      <c r="T1503" s="115"/>
      <c r="U1503" s="115"/>
      <c r="V1503" s="115"/>
      <c r="W1503" s="115"/>
      <c r="X1503" s="115"/>
      <c r="Y1503" s="115"/>
      <c r="Z1503" s="115"/>
      <c r="AA1503" s="115"/>
      <c r="AB1503" s="115"/>
      <c r="AC1503" s="115"/>
      <c r="AD1503" s="115"/>
      <c r="AE1503" s="115"/>
      <c r="AF1503" s="115"/>
      <c r="AG1503" s="115"/>
      <c r="AH1503" s="115"/>
      <c r="AI1503" s="115"/>
      <c r="AJ1503" s="115"/>
      <c r="AK1503" s="115"/>
      <c r="AL1503" s="115"/>
      <c r="AM1503" s="115"/>
      <c r="AN1503" s="115"/>
      <c r="AO1503" s="115"/>
      <c r="AP1503" s="115"/>
      <c r="AQ1503" s="115"/>
      <c r="AR1503" s="115"/>
      <c r="AS1503" s="115"/>
      <c r="AT1503" s="115"/>
      <c r="AU1503" s="115"/>
      <c r="AV1503" s="115"/>
      <c r="AW1503" s="115"/>
      <c r="AX1503" s="115"/>
      <c r="AY1503" s="115"/>
      <c r="AZ1503" s="115"/>
      <c r="BA1503" s="115"/>
      <c r="BB1503" s="115"/>
      <c r="BC1503" s="115"/>
      <c r="BD1503" s="115"/>
      <c r="BE1503" s="115"/>
      <c r="BF1503" s="115"/>
      <c r="BG1503" s="115"/>
      <c r="BH1503" s="122"/>
      <c r="BI1503" s="122"/>
      <c r="BJ1503" s="122"/>
      <c r="BK1503" s="115"/>
      <c r="BL1503" s="115"/>
      <c r="BM1503" s="115"/>
      <c r="BN1503" s="115"/>
      <c r="BO1503" s="115"/>
      <c r="BP1503" s="115"/>
      <c r="BQ1503" s="115"/>
      <c r="BR1503" s="115"/>
      <c r="BS1503" s="115"/>
      <c r="BT1503" s="115"/>
      <c r="BU1503" s="115"/>
      <c r="BV1503" s="115"/>
      <c r="BW1503" s="115"/>
      <c r="BX1503" s="115"/>
      <c r="BY1503" s="26"/>
      <c r="BZ1503" s="13"/>
      <c r="CC1503" s="114"/>
    </row>
    <row r="1504" spans="1:81" x14ac:dyDescent="0.4">
      <c r="A1504" s="115"/>
      <c r="B1504" s="115"/>
      <c r="C1504" s="115"/>
      <c r="D1504" s="115"/>
      <c r="E1504" s="115"/>
      <c r="F1504" s="115"/>
      <c r="G1504" s="115"/>
      <c r="H1504" s="115"/>
      <c r="I1504" s="115"/>
      <c r="J1504" s="115"/>
      <c r="K1504" s="115"/>
      <c r="L1504" s="115"/>
      <c r="M1504" s="115"/>
      <c r="N1504" s="115"/>
      <c r="O1504" s="115"/>
      <c r="P1504" s="115"/>
      <c r="Q1504" s="115"/>
      <c r="R1504" s="115"/>
      <c r="S1504" s="115"/>
      <c r="T1504" s="115"/>
      <c r="U1504" s="115"/>
      <c r="V1504" s="115"/>
      <c r="W1504" s="115"/>
      <c r="X1504" s="115"/>
      <c r="Y1504" s="115"/>
      <c r="Z1504" s="115"/>
      <c r="AA1504" s="115"/>
      <c r="AB1504" s="115"/>
      <c r="AC1504" s="115"/>
      <c r="AD1504" s="115"/>
      <c r="AE1504" s="115"/>
      <c r="AF1504" s="115"/>
      <c r="AG1504" s="115"/>
      <c r="AH1504" s="115"/>
      <c r="AI1504" s="115"/>
      <c r="AJ1504" s="115"/>
      <c r="AK1504" s="115"/>
      <c r="AL1504" s="115"/>
      <c r="AM1504" s="115"/>
      <c r="AN1504" s="115"/>
      <c r="AO1504" s="115"/>
      <c r="AP1504" s="115"/>
      <c r="AQ1504" s="115"/>
      <c r="AR1504" s="115"/>
      <c r="AS1504" s="115"/>
      <c r="AT1504" s="115"/>
      <c r="AU1504" s="115"/>
      <c r="AV1504" s="115"/>
      <c r="AW1504" s="115"/>
      <c r="AX1504" s="115"/>
      <c r="AY1504" s="115"/>
      <c r="AZ1504" s="115"/>
      <c r="BA1504" s="115"/>
      <c r="BB1504" s="115"/>
      <c r="BC1504" s="115"/>
      <c r="BD1504" s="115"/>
      <c r="BE1504" s="115"/>
      <c r="BF1504" s="115"/>
      <c r="BG1504" s="115"/>
      <c r="BH1504" s="122"/>
      <c r="BI1504" s="122"/>
      <c r="BJ1504" s="122"/>
      <c r="BK1504" s="115"/>
      <c r="BL1504" s="115"/>
      <c r="BM1504" s="115"/>
      <c r="BN1504" s="115"/>
      <c r="BO1504" s="115"/>
      <c r="BP1504" s="115"/>
      <c r="BQ1504" s="115"/>
      <c r="BR1504" s="115"/>
      <c r="BS1504" s="115"/>
      <c r="BT1504" s="115"/>
      <c r="BU1504" s="115"/>
      <c r="BV1504" s="115"/>
      <c r="BW1504" s="115"/>
      <c r="BX1504" s="115"/>
      <c r="BY1504" s="26"/>
      <c r="BZ1504" s="13"/>
      <c r="CC1504" s="114"/>
    </row>
    <row r="1505" spans="1:81" x14ac:dyDescent="0.4">
      <c r="A1505" s="115"/>
      <c r="B1505" s="115"/>
      <c r="C1505" s="115"/>
      <c r="D1505" s="115"/>
      <c r="E1505" s="115"/>
      <c r="F1505" s="115"/>
      <c r="G1505" s="115"/>
      <c r="H1505" s="115"/>
      <c r="I1505" s="115"/>
      <c r="J1505" s="115"/>
      <c r="K1505" s="115"/>
      <c r="L1505" s="115"/>
      <c r="M1505" s="115"/>
      <c r="N1505" s="115"/>
      <c r="O1505" s="115"/>
      <c r="P1505" s="115"/>
      <c r="Q1505" s="115"/>
      <c r="R1505" s="115"/>
      <c r="S1505" s="115"/>
      <c r="T1505" s="115"/>
      <c r="U1505" s="115"/>
      <c r="V1505" s="115"/>
      <c r="W1505" s="115"/>
      <c r="X1505" s="115"/>
      <c r="Y1505" s="115"/>
      <c r="Z1505" s="115"/>
      <c r="AA1505" s="115"/>
      <c r="AB1505" s="115"/>
      <c r="AC1505" s="115"/>
      <c r="AD1505" s="115"/>
      <c r="AE1505" s="115"/>
      <c r="AF1505" s="115"/>
      <c r="AG1505" s="115"/>
      <c r="AH1505" s="115"/>
      <c r="AI1505" s="115"/>
      <c r="AJ1505" s="115"/>
      <c r="AK1505" s="115"/>
      <c r="AL1505" s="115"/>
      <c r="AM1505" s="115"/>
      <c r="AN1505" s="115"/>
      <c r="AO1505" s="115"/>
      <c r="AP1505" s="115"/>
      <c r="AQ1505" s="115"/>
      <c r="AR1505" s="115"/>
      <c r="AS1505" s="115"/>
      <c r="AT1505" s="115"/>
      <c r="AU1505" s="115"/>
      <c r="AV1505" s="115"/>
      <c r="AW1505" s="115"/>
      <c r="AX1505" s="115"/>
      <c r="AY1505" s="115"/>
      <c r="AZ1505" s="115"/>
      <c r="BA1505" s="115"/>
      <c r="BB1505" s="115"/>
      <c r="BC1505" s="115"/>
      <c r="BD1505" s="115"/>
      <c r="BE1505" s="115"/>
      <c r="BF1505" s="115"/>
      <c r="BG1505" s="115"/>
      <c r="BH1505" s="122"/>
      <c r="BI1505" s="122"/>
      <c r="BJ1505" s="122"/>
      <c r="BK1505" s="115"/>
      <c r="BL1505" s="115"/>
      <c r="BM1505" s="115"/>
      <c r="BN1505" s="115"/>
      <c r="BO1505" s="115"/>
      <c r="BP1505" s="115"/>
      <c r="BQ1505" s="115"/>
      <c r="BR1505" s="115"/>
      <c r="BS1505" s="115"/>
      <c r="BT1505" s="115"/>
      <c r="BU1505" s="115"/>
      <c r="BV1505" s="115"/>
      <c r="BW1505" s="115"/>
      <c r="BX1505" s="115"/>
      <c r="BY1505" s="26"/>
      <c r="BZ1505" s="13"/>
      <c r="CC1505" s="114"/>
    </row>
    <row r="1506" spans="1:81" x14ac:dyDescent="0.4">
      <c r="A1506" s="115"/>
      <c r="B1506" s="115"/>
      <c r="C1506" s="115"/>
      <c r="D1506" s="115"/>
      <c r="E1506" s="115"/>
      <c r="F1506" s="115"/>
      <c r="G1506" s="115"/>
      <c r="H1506" s="115"/>
      <c r="I1506" s="115"/>
      <c r="J1506" s="115"/>
      <c r="K1506" s="115"/>
      <c r="L1506" s="115"/>
      <c r="M1506" s="115"/>
      <c r="N1506" s="115"/>
      <c r="O1506" s="115"/>
      <c r="P1506" s="115"/>
      <c r="Q1506" s="115"/>
      <c r="R1506" s="115"/>
      <c r="S1506" s="115"/>
      <c r="T1506" s="115"/>
      <c r="U1506" s="115"/>
      <c r="V1506" s="115"/>
      <c r="W1506" s="115"/>
      <c r="X1506" s="115"/>
      <c r="Y1506" s="115"/>
      <c r="Z1506" s="115"/>
      <c r="AA1506" s="115"/>
      <c r="AB1506" s="115"/>
      <c r="AC1506" s="115"/>
      <c r="AD1506" s="115"/>
      <c r="AE1506" s="115"/>
      <c r="AF1506" s="115"/>
      <c r="AG1506" s="115"/>
      <c r="AH1506" s="115"/>
      <c r="AI1506" s="115"/>
      <c r="AJ1506" s="115"/>
      <c r="AK1506" s="115"/>
      <c r="AL1506" s="115"/>
      <c r="AM1506" s="115"/>
      <c r="AN1506" s="115"/>
      <c r="AO1506" s="115"/>
      <c r="AP1506" s="115"/>
      <c r="AQ1506" s="115"/>
      <c r="AR1506" s="115"/>
      <c r="AS1506" s="115"/>
      <c r="AT1506" s="115"/>
      <c r="AU1506" s="115"/>
      <c r="AV1506" s="115"/>
      <c r="AW1506" s="115"/>
      <c r="AX1506" s="115"/>
      <c r="AY1506" s="115"/>
      <c r="AZ1506" s="115"/>
      <c r="BA1506" s="115"/>
      <c r="BB1506" s="115"/>
      <c r="BC1506" s="115"/>
      <c r="BD1506" s="115"/>
      <c r="BE1506" s="115"/>
      <c r="BF1506" s="115"/>
      <c r="BG1506" s="115"/>
      <c r="BH1506" s="122"/>
      <c r="BI1506" s="122"/>
      <c r="BJ1506" s="122"/>
      <c r="BK1506" s="115"/>
      <c r="BL1506" s="115"/>
      <c r="BM1506" s="115"/>
      <c r="BN1506" s="115"/>
      <c r="BO1506" s="115"/>
      <c r="BP1506" s="115"/>
      <c r="BQ1506" s="115"/>
      <c r="BR1506" s="115"/>
      <c r="BS1506" s="115"/>
      <c r="BT1506" s="115"/>
      <c r="BU1506" s="115"/>
      <c r="BV1506" s="115"/>
      <c r="BW1506" s="115"/>
      <c r="BX1506" s="115"/>
      <c r="BY1506" s="26"/>
      <c r="BZ1506" s="13"/>
      <c r="CC1506" s="114"/>
    </row>
    <row r="1507" spans="1:81" x14ac:dyDescent="0.4">
      <c r="A1507" s="115"/>
      <c r="B1507" s="115"/>
      <c r="C1507" s="115"/>
      <c r="D1507" s="115"/>
      <c r="E1507" s="115"/>
      <c r="F1507" s="115"/>
      <c r="G1507" s="115"/>
      <c r="H1507" s="115"/>
      <c r="I1507" s="115"/>
      <c r="J1507" s="115"/>
      <c r="K1507" s="115"/>
      <c r="L1507" s="115"/>
      <c r="M1507" s="115"/>
      <c r="N1507" s="115"/>
      <c r="O1507" s="115"/>
      <c r="P1507" s="115"/>
      <c r="Q1507" s="115"/>
      <c r="R1507" s="115"/>
      <c r="S1507" s="115"/>
      <c r="T1507" s="115"/>
      <c r="U1507" s="115"/>
      <c r="V1507" s="115"/>
      <c r="W1507" s="115"/>
      <c r="X1507" s="115"/>
      <c r="Y1507" s="115"/>
      <c r="Z1507" s="115"/>
      <c r="AA1507" s="115"/>
      <c r="AB1507" s="115"/>
      <c r="AC1507" s="115"/>
      <c r="AD1507" s="115"/>
      <c r="AE1507" s="115"/>
      <c r="AF1507" s="115"/>
      <c r="AG1507" s="115"/>
      <c r="AH1507" s="115"/>
      <c r="AI1507" s="115"/>
      <c r="AJ1507" s="115"/>
      <c r="AK1507" s="115"/>
      <c r="AL1507" s="115"/>
      <c r="AM1507" s="115"/>
      <c r="AN1507" s="115"/>
      <c r="AO1507" s="115"/>
      <c r="AP1507" s="115"/>
      <c r="AQ1507" s="115"/>
      <c r="AR1507" s="115"/>
      <c r="AS1507" s="115"/>
      <c r="AT1507" s="115"/>
      <c r="AU1507" s="115"/>
      <c r="AV1507" s="115"/>
      <c r="AW1507" s="115"/>
      <c r="AX1507" s="115"/>
      <c r="AY1507" s="115"/>
      <c r="AZ1507" s="115"/>
      <c r="BA1507" s="115"/>
      <c r="BB1507" s="115"/>
      <c r="BC1507" s="115"/>
      <c r="BD1507" s="115"/>
      <c r="BE1507" s="115"/>
      <c r="BF1507" s="115"/>
      <c r="BG1507" s="115"/>
      <c r="BH1507" s="122"/>
      <c r="BI1507" s="122"/>
      <c r="BJ1507" s="122"/>
      <c r="BK1507" s="115"/>
      <c r="BL1507" s="115"/>
      <c r="BM1507" s="115"/>
      <c r="BN1507" s="115"/>
      <c r="BO1507" s="115"/>
      <c r="BP1507" s="115"/>
      <c r="BQ1507" s="115"/>
      <c r="BR1507" s="115"/>
      <c r="BS1507" s="115"/>
      <c r="BT1507" s="115"/>
      <c r="BU1507" s="115"/>
      <c r="BV1507" s="115"/>
      <c r="BW1507" s="115"/>
      <c r="BX1507" s="115"/>
      <c r="BY1507" s="26"/>
      <c r="BZ1507" s="13"/>
      <c r="CC1507" s="114"/>
    </row>
    <row r="1508" spans="1:81" x14ac:dyDescent="0.4">
      <c r="A1508" s="115"/>
      <c r="B1508" s="115"/>
      <c r="C1508" s="115"/>
      <c r="D1508" s="115"/>
      <c r="E1508" s="115"/>
      <c r="F1508" s="115"/>
      <c r="G1508" s="115"/>
      <c r="H1508" s="115"/>
      <c r="I1508" s="115"/>
      <c r="J1508" s="115"/>
      <c r="K1508" s="115"/>
      <c r="L1508" s="115"/>
      <c r="M1508" s="115"/>
      <c r="N1508" s="115"/>
      <c r="O1508" s="115"/>
      <c r="P1508" s="115"/>
      <c r="Q1508" s="115"/>
      <c r="R1508" s="115"/>
      <c r="S1508" s="115"/>
      <c r="T1508" s="115"/>
      <c r="U1508" s="115"/>
      <c r="V1508" s="115"/>
      <c r="W1508" s="115"/>
      <c r="X1508" s="115"/>
      <c r="Y1508" s="115"/>
      <c r="Z1508" s="115"/>
      <c r="AA1508" s="115"/>
      <c r="AB1508" s="115"/>
      <c r="AC1508" s="115"/>
      <c r="AD1508" s="115"/>
      <c r="AE1508" s="115"/>
      <c r="AF1508" s="115"/>
      <c r="AG1508" s="115"/>
      <c r="AH1508" s="115"/>
      <c r="AI1508" s="115"/>
      <c r="AJ1508" s="115"/>
      <c r="AK1508" s="115"/>
      <c r="AL1508" s="115"/>
      <c r="AM1508" s="115"/>
      <c r="AN1508" s="115"/>
      <c r="AO1508" s="115"/>
      <c r="AP1508" s="115"/>
      <c r="AQ1508" s="115"/>
      <c r="AR1508" s="115"/>
      <c r="AS1508" s="115"/>
      <c r="AT1508" s="115"/>
      <c r="AU1508" s="115"/>
      <c r="AV1508" s="115"/>
      <c r="AW1508" s="115"/>
      <c r="AX1508" s="115"/>
      <c r="AY1508" s="115"/>
      <c r="AZ1508" s="115"/>
      <c r="BA1508" s="115"/>
      <c r="BB1508" s="115"/>
      <c r="BC1508" s="115"/>
      <c r="BD1508" s="115"/>
      <c r="BE1508" s="115"/>
      <c r="BF1508" s="115"/>
      <c r="BG1508" s="115"/>
      <c r="BH1508" s="122"/>
      <c r="BI1508" s="122"/>
      <c r="BJ1508" s="122"/>
      <c r="BK1508" s="115"/>
      <c r="BL1508" s="115"/>
      <c r="BM1508" s="115"/>
      <c r="BN1508" s="115"/>
      <c r="BO1508" s="115"/>
      <c r="BP1508" s="115"/>
      <c r="BQ1508" s="115"/>
      <c r="BR1508" s="115"/>
      <c r="BS1508" s="115"/>
      <c r="BT1508" s="115"/>
      <c r="BU1508" s="115"/>
      <c r="BV1508" s="115"/>
      <c r="BW1508" s="115"/>
      <c r="BX1508" s="115"/>
      <c r="BY1508" s="26"/>
      <c r="BZ1508" s="13"/>
      <c r="CC1508" s="114"/>
    </row>
    <row r="1509" spans="1:81" x14ac:dyDescent="0.4">
      <c r="A1509" s="115"/>
      <c r="B1509" s="115"/>
      <c r="C1509" s="115"/>
      <c r="D1509" s="115"/>
      <c r="E1509" s="115"/>
      <c r="F1509" s="115"/>
      <c r="G1509" s="115"/>
      <c r="H1509" s="115"/>
      <c r="I1509" s="115"/>
      <c r="J1509" s="115"/>
      <c r="K1509" s="115"/>
      <c r="L1509" s="115"/>
      <c r="M1509" s="115"/>
      <c r="N1509" s="115"/>
      <c r="O1509" s="115"/>
      <c r="P1509" s="115"/>
      <c r="Q1509" s="115"/>
      <c r="R1509" s="115"/>
      <c r="S1509" s="115"/>
      <c r="T1509" s="115"/>
      <c r="U1509" s="115"/>
      <c r="V1509" s="115"/>
      <c r="W1509" s="115"/>
      <c r="X1509" s="115"/>
      <c r="Y1509" s="115"/>
      <c r="Z1509" s="115"/>
      <c r="AA1509" s="115"/>
      <c r="AB1509" s="115"/>
      <c r="AC1509" s="115"/>
      <c r="AD1509" s="115"/>
      <c r="AE1509" s="115"/>
      <c r="AF1509" s="115"/>
      <c r="AG1509" s="115"/>
      <c r="AH1509" s="115"/>
      <c r="AI1509" s="115"/>
      <c r="AJ1509" s="115"/>
      <c r="AK1509" s="115"/>
      <c r="AL1509" s="115"/>
      <c r="AM1509" s="115"/>
      <c r="AN1509" s="115"/>
      <c r="AO1509" s="115"/>
      <c r="AP1509" s="115"/>
      <c r="AQ1509" s="115"/>
      <c r="AR1509" s="115"/>
      <c r="AS1509" s="115"/>
      <c r="AT1509" s="115"/>
      <c r="AU1509" s="115"/>
      <c r="AV1509" s="115"/>
      <c r="AW1509" s="115"/>
      <c r="AX1509" s="115"/>
      <c r="AY1509" s="115"/>
      <c r="AZ1509" s="115"/>
      <c r="BA1509" s="115"/>
      <c r="BB1509" s="115"/>
      <c r="BC1509" s="115"/>
      <c r="BD1509" s="115"/>
      <c r="BE1509" s="115"/>
      <c r="BF1509" s="115"/>
      <c r="BG1509" s="115"/>
      <c r="BH1509" s="122"/>
      <c r="BI1509" s="122"/>
      <c r="BJ1509" s="122"/>
      <c r="BK1509" s="115"/>
      <c r="BL1509" s="115"/>
      <c r="BM1509" s="115"/>
      <c r="BN1509" s="115"/>
      <c r="BO1509" s="115"/>
      <c r="BP1509" s="115"/>
      <c r="BQ1509" s="115"/>
      <c r="BR1509" s="115"/>
      <c r="BS1509" s="115"/>
      <c r="BT1509" s="115"/>
      <c r="BU1509" s="115"/>
      <c r="BV1509" s="115"/>
      <c r="BW1509" s="115"/>
      <c r="BX1509" s="115"/>
      <c r="BY1509" s="26"/>
      <c r="BZ1509" s="15"/>
      <c r="CC1509" s="114"/>
    </row>
    <row r="1510" spans="1:81" x14ac:dyDescent="0.4">
      <c r="A1510" s="115"/>
      <c r="B1510" s="115"/>
      <c r="C1510" s="115"/>
      <c r="D1510" s="115"/>
      <c r="E1510" s="115"/>
      <c r="F1510" s="115"/>
      <c r="G1510" s="115"/>
      <c r="H1510" s="115"/>
      <c r="I1510" s="115"/>
      <c r="J1510" s="115"/>
      <c r="K1510" s="115"/>
      <c r="L1510" s="115"/>
      <c r="M1510" s="115"/>
      <c r="N1510" s="115"/>
      <c r="O1510" s="115"/>
      <c r="P1510" s="115"/>
      <c r="Q1510" s="115"/>
      <c r="R1510" s="115"/>
      <c r="S1510" s="115"/>
      <c r="T1510" s="115"/>
      <c r="U1510" s="115"/>
      <c r="V1510" s="115"/>
      <c r="W1510" s="115"/>
      <c r="X1510" s="115"/>
      <c r="Y1510" s="115"/>
      <c r="Z1510" s="115"/>
      <c r="AA1510" s="115"/>
      <c r="AB1510" s="115"/>
      <c r="AC1510" s="115"/>
      <c r="AD1510" s="115"/>
      <c r="AE1510" s="115"/>
      <c r="AF1510" s="115"/>
      <c r="AG1510" s="115"/>
      <c r="AH1510" s="115"/>
      <c r="AI1510" s="115"/>
      <c r="AJ1510" s="115"/>
      <c r="AK1510" s="115"/>
      <c r="AL1510" s="115"/>
      <c r="AM1510" s="115"/>
      <c r="AN1510" s="115"/>
      <c r="AO1510" s="115"/>
      <c r="AP1510" s="115"/>
      <c r="AQ1510" s="115"/>
      <c r="AR1510" s="115"/>
      <c r="AS1510" s="115"/>
      <c r="AT1510" s="115"/>
      <c r="AU1510" s="115"/>
      <c r="AV1510" s="115"/>
      <c r="AW1510" s="115"/>
      <c r="AX1510" s="115"/>
      <c r="AY1510" s="115"/>
      <c r="AZ1510" s="115"/>
      <c r="BA1510" s="115"/>
      <c r="BB1510" s="115"/>
      <c r="BC1510" s="115"/>
      <c r="BD1510" s="115"/>
      <c r="BE1510" s="115"/>
      <c r="BF1510" s="115"/>
      <c r="BG1510" s="115"/>
      <c r="BH1510" s="122"/>
      <c r="BI1510" s="122"/>
      <c r="BJ1510" s="122"/>
      <c r="BK1510" s="115"/>
      <c r="BL1510" s="115"/>
      <c r="BM1510" s="115"/>
      <c r="BN1510" s="115"/>
      <c r="BO1510" s="115"/>
      <c r="BP1510" s="115"/>
      <c r="BQ1510" s="115"/>
      <c r="BR1510" s="115"/>
      <c r="BS1510" s="115"/>
      <c r="BT1510" s="115"/>
      <c r="BU1510" s="115"/>
      <c r="BV1510" s="115"/>
      <c r="BW1510" s="115"/>
      <c r="BX1510" s="115"/>
      <c r="BY1510" s="26"/>
      <c r="BZ1510" s="15"/>
      <c r="CC1510" s="114"/>
    </row>
    <row r="1511" spans="1:81" x14ac:dyDescent="0.4">
      <c r="A1511" s="115"/>
      <c r="B1511" s="115"/>
      <c r="C1511" s="115"/>
      <c r="D1511" s="115"/>
      <c r="E1511" s="115"/>
      <c r="F1511" s="115"/>
      <c r="G1511" s="115"/>
      <c r="H1511" s="115"/>
      <c r="I1511" s="115"/>
      <c r="J1511" s="115"/>
      <c r="K1511" s="115"/>
      <c r="L1511" s="115"/>
      <c r="M1511" s="115"/>
      <c r="N1511" s="115"/>
      <c r="O1511" s="115"/>
      <c r="P1511" s="115"/>
      <c r="Q1511" s="115"/>
      <c r="R1511" s="115"/>
      <c r="S1511" s="115"/>
      <c r="T1511" s="115"/>
      <c r="U1511" s="115"/>
      <c r="V1511" s="115"/>
      <c r="W1511" s="115"/>
      <c r="X1511" s="115"/>
      <c r="Y1511" s="115"/>
      <c r="Z1511" s="115"/>
      <c r="AA1511" s="115"/>
      <c r="AB1511" s="115"/>
      <c r="AC1511" s="115"/>
      <c r="AD1511" s="115"/>
      <c r="AE1511" s="115"/>
      <c r="AF1511" s="115"/>
      <c r="AG1511" s="115"/>
      <c r="AH1511" s="115"/>
      <c r="AI1511" s="115"/>
      <c r="AJ1511" s="115"/>
      <c r="AK1511" s="115"/>
      <c r="AL1511" s="115"/>
      <c r="AM1511" s="115"/>
      <c r="AN1511" s="115"/>
      <c r="AO1511" s="115"/>
      <c r="AP1511" s="115"/>
      <c r="AQ1511" s="115"/>
      <c r="AR1511" s="115"/>
      <c r="AS1511" s="115"/>
      <c r="AT1511" s="115"/>
      <c r="AU1511" s="115"/>
      <c r="AV1511" s="115"/>
      <c r="AW1511" s="115"/>
      <c r="AX1511" s="115"/>
      <c r="AY1511" s="115"/>
      <c r="AZ1511" s="115"/>
      <c r="BA1511" s="115"/>
      <c r="BB1511" s="115"/>
      <c r="BC1511" s="115"/>
      <c r="BD1511" s="115"/>
      <c r="BE1511" s="115"/>
      <c r="BF1511" s="115"/>
      <c r="BG1511" s="115"/>
      <c r="BH1511" s="122"/>
      <c r="BI1511" s="122"/>
      <c r="BJ1511" s="122"/>
      <c r="BK1511" s="115"/>
      <c r="BL1511" s="115"/>
      <c r="BM1511" s="115"/>
      <c r="BN1511" s="115"/>
      <c r="BO1511" s="115"/>
      <c r="BP1511" s="115"/>
      <c r="BQ1511" s="115"/>
      <c r="BR1511" s="115"/>
      <c r="BS1511" s="115"/>
      <c r="BT1511" s="115"/>
      <c r="BU1511" s="115"/>
      <c r="BV1511" s="115"/>
      <c r="BW1511" s="115"/>
      <c r="BX1511" s="115"/>
      <c r="BY1511" s="26"/>
      <c r="BZ1511" s="15"/>
      <c r="CC1511" s="114"/>
    </row>
    <row r="1512" spans="1:81" x14ac:dyDescent="0.4">
      <c r="A1512" s="115"/>
      <c r="B1512" s="115"/>
      <c r="C1512" s="115"/>
      <c r="D1512" s="115"/>
      <c r="E1512" s="115"/>
      <c r="F1512" s="115"/>
      <c r="G1512" s="115"/>
      <c r="H1512" s="115"/>
      <c r="I1512" s="115"/>
      <c r="J1512" s="115"/>
      <c r="K1512" s="115"/>
      <c r="L1512" s="115"/>
      <c r="M1512" s="115"/>
      <c r="N1512" s="115"/>
      <c r="O1512" s="115"/>
      <c r="P1512" s="115"/>
      <c r="Q1512" s="115"/>
      <c r="R1512" s="115"/>
      <c r="S1512" s="115"/>
      <c r="T1512" s="115"/>
      <c r="U1512" s="115"/>
      <c r="V1512" s="115"/>
      <c r="W1512" s="115"/>
      <c r="X1512" s="115"/>
      <c r="Y1512" s="115"/>
      <c r="Z1512" s="115"/>
      <c r="AA1512" s="115"/>
      <c r="AB1512" s="115"/>
      <c r="AC1512" s="115"/>
      <c r="AD1512" s="115"/>
      <c r="AE1512" s="115"/>
      <c r="AF1512" s="115"/>
      <c r="AG1512" s="115"/>
      <c r="AH1512" s="115"/>
      <c r="AI1512" s="115"/>
      <c r="AJ1512" s="115"/>
      <c r="AK1512" s="115"/>
      <c r="AL1512" s="115"/>
      <c r="AM1512" s="115"/>
      <c r="AN1512" s="115"/>
      <c r="AO1512" s="115"/>
      <c r="AP1512" s="115"/>
      <c r="AQ1512" s="115"/>
      <c r="AR1512" s="115"/>
      <c r="AS1512" s="115"/>
      <c r="AT1512" s="115"/>
      <c r="AU1512" s="115"/>
      <c r="AV1512" s="115"/>
      <c r="AW1512" s="115"/>
      <c r="AX1512" s="115"/>
      <c r="AY1512" s="115"/>
      <c r="AZ1512" s="115"/>
      <c r="BA1512" s="115"/>
      <c r="BB1512" s="115"/>
      <c r="BC1512" s="115"/>
      <c r="BD1512" s="115"/>
      <c r="BE1512" s="115"/>
      <c r="BF1512" s="115"/>
      <c r="BG1512" s="115"/>
      <c r="BH1512" s="122"/>
      <c r="BI1512" s="122"/>
      <c r="BJ1512" s="122"/>
      <c r="BK1512" s="115"/>
      <c r="BL1512" s="115"/>
      <c r="BM1512" s="115"/>
      <c r="BN1512" s="115"/>
      <c r="BO1512" s="115"/>
      <c r="BP1512" s="115"/>
      <c r="BQ1512" s="115"/>
      <c r="BR1512" s="115"/>
      <c r="BS1512" s="115"/>
      <c r="BT1512" s="115"/>
      <c r="BU1512" s="115"/>
      <c r="BV1512" s="115"/>
      <c r="BW1512" s="115"/>
      <c r="BX1512" s="115"/>
      <c r="BY1512" s="26"/>
      <c r="BZ1512" s="15"/>
      <c r="CC1512" s="114"/>
    </row>
    <row r="1513" spans="1:81" x14ac:dyDescent="0.4">
      <c r="A1513" s="115"/>
      <c r="B1513" s="115"/>
      <c r="C1513" s="115"/>
      <c r="D1513" s="115"/>
      <c r="E1513" s="115"/>
      <c r="F1513" s="115"/>
      <c r="G1513" s="115"/>
      <c r="H1513" s="115"/>
      <c r="I1513" s="115"/>
      <c r="J1513" s="115"/>
      <c r="K1513" s="115"/>
      <c r="L1513" s="115"/>
      <c r="M1513" s="115"/>
      <c r="N1513" s="115"/>
      <c r="O1513" s="115"/>
      <c r="P1513" s="115"/>
      <c r="Q1513" s="115"/>
      <c r="R1513" s="115"/>
      <c r="S1513" s="115"/>
      <c r="T1513" s="115"/>
      <c r="U1513" s="115"/>
      <c r="V1513" s="115"/>
      <c r="W1513" s="115"/>
      <c r="X1513" s="115"/>
      <c r="Y1513" s="115"/>
      <c r="Z1513" s="115"/>
      <c r="AA1513" s="115"/>
      <c r="AB1513" s="115"/>
      <c r="AC1513" s="115"/>
      <c r="AD1513" s="115"/>
      <c r="AE1513" s="115"/>
      <c r="AF1513" s="115"/>
      <c r="AG1513" s="115"/>
      <c r="AH1513" s="115"/>
      <c r="AI1513" s="115"/>
      <c r="AJ1513" s="115"/>
      <c r="AK1513" s="115"/>
      <c r="AL1513" s="115"/>
      <c r="AM1513" s="115"/>
      <c r="AN1513" s="115"/>
      <c r="AO1513" s="115"/>
      <c r="AP1513" s="115"/>
      <c r="AQ1513" s="115"/>
      <c r="AR1513" s="115"/>
      <c r="AS1513" s="115"/>
      <c r="AT1513" s="115"/>
      <c r="AU1513" s="115"/>
      <c r="AV1513" s="115"/>
      <c r="AW1513" s="115"/>
      <c r="AX1513" s="115"/>
      <c r="AY1513" s="115"/>
      <c r="AZ1513" s="115"/>
      <c r="BA1513" s="115"/>
      <c r="BB1513" s="115"/>
      <c r="BC1513" s="115"/>
      <c r="BD1513" s="115"/>
      <c r="BE1513" s="115"/>
      <c r="BF1513" s="115"/>
      <c r="BG1513" s="115"/>
      <c r="BH1513" s="122"/>
      <c r="BI1513" s="122"/>
      <c r="BJ1513" s="122"/>
      <c r="BK1513" s="115"/>
      <c r="BL1513" s="115"/>
      <c r="BM1513" s="115"/>
      <c r="BN1513" s="115"/>
      <c r="BO1513" s="115"/>
      <c r="BP1513" s="115"/>
      <c r="BQ1513" s="115"/>
      <c r="BR1513" s="115"/>
      <c r="BS1513" s="115"/>
      <c r="BT1513" s="115"/>
      <c r="BU1513" s="115"/>
      <c r="BV1513" s="115"/>
      <c r="BW1513" s="115"/>
      <c r="BX1513" s="115"/>
      <c r="BY1513" s="26"/>
      <c r="BZ1513" s="13"/>
      <c r="CC1513" s="114"/>
    </row>
    <row r="1514" spans="1:81" x14ac:dyDescent="0.4">
      <c r="A1514" s="115"/>
      <c r="B1514" s="115"/>
      <c r="C1514" s="115"/>
      <c r="D1514" s="115"/>
      <c r="E1514" s="115"/>
      <c r="F1514" s="115"/>
      <c r="G1514" s="115"/>
      <c r="H1514" s="115"/>
      <c r="I1514" s="115"/>
      <c r="J1514" s="115"/>
      <c r="K1514" s="115"/>
      <c r="L1514" s="115"/>
      <c r="M1514" s="115"/>
      <c r="N1514" s="115"/>
      <c r="O1514" s="115"/>
      <c r="P1514" s="115"/>
      <c r="Q1514" s="115"/>
      <c r="R1514" s="115"/>
      <c r="S1514" s="115"/>
      <c r="T1514" s="115"/>
      <c r="U1514" s="115"/>
      <c r="V1514" s="115"/>
      <c r="W1514" s="115"/>
      <c r="X1514" s="115"/>
      <c r="Y1514" s="115"/>
      <c r="Z1514" s="115"/>
      <c r="AA1514" s="115"/>
      <c r="AB1514" s="115"/>
      <c r="AC1514" s="115"/>
      <c r="AD1514" s="115"/>
      <c r="AE1514" s="115"/>
      <c r="AF1514" s="115"/>
      <c r="AG1514" s="115"/>
      <c r="AH1514" s="115"/>
      <c r="AI1514" s="115"/>
      <c r="AJ1514" s="115"/>
      <c r="AK1514" s="115"/>
      <c r="AL1514" s="115"/>
      <c r="AM1514" s="115"/>
      <c r="AN1514" s="115"/>
      <c r="AO1514" s="115"/>
      <c r="AP1514" s="115"/>
      <c r="AQ1514" s="115"/>
      <c r="AR1514" s="115"/>
      <c r="AS1514" s="115"/>
      <c r="AT1514" s="115"/>
      <c r="AU1514" s="115"/>
      <c r="AV1514" s="115"/>
      <c r="AW1514" s="115"/>
      <c r="AX1514" s="115"/>
      <c r="AY1514" s="115"/>
      <c r="AZ1514" s="115"/>
      <c r="BA1514" s="115"/>
      <c r="BB1514" s="115"/>
      <c r="BC1514" s="115"/>
      <c r="BD1514" s="115"/>
      <c r="BE1514" s="115"/>
      <c r="BF1514" s="115"/>
      <c r="BG1514" s="115"/>
      <c r="BH1514" s="122"/>
      <c r="BI1514" s="122"/>
      <c r="BJ1514" s="122"/>
      <c r="BK1514" s="115"/>
      <c r="BL1514" s="115"/>
      <c r="BM1514" s="115"/>
      <c r="BN1514" s="115"/>
      <c r="BO1514" s="115"/>
      <c r="BP1514" s="115"/>
      <c r="BQ1514" s="115"/>
      <c r="BR1514" s="115"/>
      <c r="BS1514" s="115"/>
      <c r="BT1514" s="115"/>
      <c r="BU1514" s="115"/>
      <c r="BV1514" s="115"/>
      <c r="BW1514" s="115"/>
      <c r="BX1514" s="115"/>
      <c r="BY1514" s="26"/>
      <c r="BZ1514" s="15"/>
      <c r="CC1514" s="114"/>
    </row>
    <row r="1515" spans="1:81" x14ac:dyDescent="0.4">
      <c r="A1515" s="115"/>
      <c r="B1515" s="115"/>
      <c r="C1515" s="115"/>
      <c r="D1515" s="115"/>
      <c r="E1515" s="115"/>
      <c r="F1515" s="115"/>
      <c r="G1515" s="115"/>
      <c r="H1515" s="115"/>
      <c r="I1515" s="115"/>
      <c r="J1515" s="115"/>
      <c r="K1515" s="115"/>
      <c r="L1515" s="115"/>
      <c r="M1515" s="115"/>
      <c r="N1515" s="115"/>
      <c r="O1515" s="115"/>
      <c r="P1515" s="115"/>
      <c r="Q1515" s="115"/>
      <c r="R1515" s="115"/>
      <c r="S1515" s="115"/>
      <c r="T1515" s="115"/>
      <c r="U1515" s="115"/>
      <c r="V1515" s="115"/>
      <c r="W1515" s="115"/>
      <c r="X1515" s="115"/>
      <c r="Y1515" s="115"/>
      <c r="Z1515" s="115"/>
      <c r="AA1515" s="115"/>
      <c r="AB1515" s="115"/>
      <c r="AC1515" s="115"/>
      <c r="AD1515" s="115"/>
      <c r="AE1515" s="115"/>
      <c r="AF1515" s="115"/>
      <c r="AG1515" s="115"/>
      <c r="AH1515" s="115"/>
      <c r="AI1515" s="115"/>
      <c r="AJ1515" s="115"/>
      <c r="AK1515" s="115"/>
      <c r="AL1515" s="115"/>
      <c r="AM1515" s="115"/>
      <c r="AN1515" s="115"/>
      <c r="AO1515" s="115"/>
      <c r="AP1515" s="115"/>
      <c r="AQ1515" s="115"/>
      <c r="AR1515" s="115"/>
      <c r="AS1515" s="115"/>
      <c r="AT1515" s="115"/>
      <c r="AU1515" s="115"/>
      <c r="AV1515" s="115"/>
      <c r="AW1515" s="115"/>
      <c r="AX1515" s="115"/>
      <c r="AY1515" s="115"/>
      <c r="AZ1515" s="115"/>
      <c r="BA1515" s="115"/>
      <c r="BB1515" s="115"/>
      <c r="BC1515" s="115"/>
      <c r="BD1515" s="115"/>
      <c r="BE1515" s="115"/>
      <c r="BF1515" s="115"/>
      <c r="BG1515" s="115"/>
      <c r="BH1515" s="122"/>
      <c r="BI1515" s="122"/>
      <c r="BJ1515" s="122"/>
      <c r="BK1515" s="115"/>
      <c r="BL1515" s="115"/>
      <c r="BM1515" s="115"/>
      <c r="BN1515" s="115"/>
      <c r="BO1515" s="115"/>
      <c r="BP1515" s="115"/>
      <c r="BQ1515" s="115"/>
      <c r="BR1515" s="115"/>
      <c r="BS1515" s="115"/>
      <c r="BT1515" s="115"/>
      <c r="BU1515" s="115"/>
      <c r="BV1515" s="115"/>
      <c r="BW1515" s="115"/>
      <c r="BX1515" s="115"/>
      <c r="BY1515" s="26"/>
      <c r="BZ1515" s="15"/>
      <c r="CC1515" s="114"/>
    </row>
    <row r="1516" spans="1:81" x14ac:dyDescent="0.4">
      <c r="A1516" s="115"/>
      <c r="B1516" s="115"/>
      <c r="C1516" s="115"/>
      <c r="D1516" s="115"/>
      <c r="E1516" s="115"/>
      <c r="F1516" s="115"/>
      <c r="G1516" s="115"/>
      <c r="H1516" s="115"/>
      <c r="I1516" s="115"/>
      <c r="J1516" s="115"/>
      <c r="K1516" s="115"/>
      <c r="L1516" s="115"/>
      <c r="M1516" s="115"/>
      <c r="N1516" s="115"/>
      <c r="O1516" s="115"/>
      <c r="P1516" s="115"/>
      <c r="Q1516" s="115"/>
      <c r="R1516" s="115"/>
      <c r="S1516" s="115"/>
      <c r="T1516" s="115"/>
      <c r="U1516" s="115"/>
      <c r="V1516" s="115"/>
      <c r="W1516" s="115"/>
      <c r="X1516" s="115"/>
      <c r="Y1516" s="115"/>
      <c r="Z1516" s="115"/>
      <c r="AA1516" s="115"/>
      <c r="AB1516" s="115"/>
      <c r="AC1516" s="115"/>
      <c r="AD1516" s="115"/>
      <c r="AE1516" s="115"/>
      <c r="AF1516" s="115"/>
      <c r="AG1516" s="115"/>
      <c r="AH1516" s="115"/>
      <c r="AI1516" s="115"/>
      <c r="AJ1516" s="115"/>
      <c r="AK1516" s="115"/>
      <c r="AL1516" s="115"/>
      <c r="AM1516" s="115"/>
      <c r="AN1516" s="115"/>
      <c r="AO1516" s="115"/>
      <c r="AP1516" s="115"/>
      <c r="AQ1516" s="115"/>
      <c r="AR1516" s="115"/>
      <c r="AS1516" s="115"/>
      <c r="AT1516" s="115"/>
      <c r="AU1516" s="115"/>
      <c r="AV1516" s="115"/>
      <c r="AW1516" s="115"/>
      <c r="AX1516" s="115"/>
      <c r="AY1516" s="115"/>
      <c r="AZ1516" s="115"/>
      <c r="BA1516" s="115"/>
      <c r="BB1516" s="115"/>
      <c r="BC1516" s="115"/>
      <c r="BD1516" s="115"/>
      <c r="BE1516" s="115"/>
      <c r="BF1516" s="115"/>
      <c r="BG1516" s="115"/>
      <c r="BH1516" s="122"/>
      <c r="BI1516" s="122"/>
      <c r="BJ1516" s="122"/>
      <c r="BK1516" s="115"/>
      <c r="BL1516" s="115"/>
      <c r="BM1516" s="115"/>
      <c r="BN1516" s="115"/>
      <c r="BO1516" s="115"/>
      <c r="BP1516" s="115"/>
      <c r="BQ1516" s="115"/>
      <c r="BR1516" s="115"/>
      <c r="BS1516" s="115"/>
      <c r="BT1516" s="115"/>
      <c r="BU1516" s="115"/>
      <c r="BV1516" s="115"/>
      <c r="BW1516" s="115"/>
      <c r="BX1516" s="115"/>
      <c r="BY1516" s="26"/>
      <c r="BZ1516" s="15"/>
      <c r="CC1516" s="114"/>
    </row>
    <row r="1517" spans="1:81" x14ac:dyDescent="0.4">
      <c r="A1517" s="115"/>
      <c r="B1517" s="115"/>
      <c r="C1517" s="115"/>
      <c r="D1517" s="115"/>
      <c r="E1517" s="115"/>
      <c r="F1517" s="115"/>
      <c r="G1517" s="115"/>
      <c r="H1517" s="115"/>
      <c r="I1517" s="115"/>
      <c r="J1517" s="115"/>
      <c r="K1517" s="115"/>
      <c r="L1517" s="115"/>
      <c r="M1517" s="115"/>
      <c r="N1517" s="115"/>
      <c r="O1517" s="115"/>
      <c r="P1517" s="115"/>
      <c r="Q1517" s="115"/>
      <c r="R1517" s="115"/>
      <c r="S1517" s="115"/>
      <c r="T1517" s="115"/>
      <c r="U1517" s="115"/>
      <c r="V1517" s="115"/>
      <c r="W1517" s="115"/>
      <c r="X1517" s="115"/>
      <c r="Y1517" s="115"/>
      <c r="Z1517" s="115"/>
      <c r="AA1517" s="115"/>
      <c r="AB1517" s="115"/>
      <c r="AC1517" s="115"/>
      <c r="AD1517" s="115"/>
      <c r="AE1517" s="115"/>
      <c r="AF1517" s="115"/>
      <c r="AG1517" s="115"/>
      <c r="AH1517" s="115"/>
      <c r="AI1517" s="115"/>
      <c r="AJ1517" s="115"/>
      <c r="AK1517" s="115"/>
      <c r="AL1517" s="115"/>
      <c r="AM1517" s="115"/>
      <c r="AN1517" s="115"/>
      <c r="AO1517" s="115"/>
      <c r="AP1517" s="115"/>
      <c r="AQ1517" s="115"/>
      <c r="AR1517" s="115"/>
      <c r="AS1517" s="115"/>
      <c r="AT1517" s="115"/>
      <c r="AU1517" s="115"/>
      <c r="AV1517" s="115"/>
      <c r="AW1517" s="115"/>
      <c r="AX1517" s="115"/>
      <c r="AY1517" s="115"/>
      <c r="AZ1517" s="115"/>
      <c r="BA1517" s="115"/>
      <c r="BB1517" s="115"/>
      <c r="BC1517" s="115"/>
      <c r="BD1517" s="115"/>
      <c r="BE1517" s="115"/>
      <c r="BF1517" s="115"/>
      <c r="BG1517" s="115"/>
      <c r="BH1517" s="122"/>
      <c r="BI1517" s="122"/>
      <c r="BJ1517" s="122"/>
      <c r="BK1517" s="115"/>
      <c r="BL1517" s="115"/>
      <c r="BM1517" s="115"/>
      <c r="BN1517" s="115"/>
      <c r="BO1517" s="115"/>
      <c r="BP1517" s="115"/>
      <c r="BQ1517" s="115"/>
      <c r="BR1517" s="115"/>
      <c r="BS1517" s="115"/>
      <c r="BT1517" s="115"/>
      <c r="BU1517" s="115"/>
      <c r="BV1517" s="115"/>
      <c r="BW1517" s="115"/>
      <c r="BX1517" s="115"/>
      <c r="BY1517" s="26"/>
      <c r="BZ1517" s="15"/>
      <c r="CC1517" s="114"/>
    </row>
    <row r="1518" spans="1:81" x14ac:dyDescent="0.4">
      <c r="A1518" s="115"/>
      <c r="B1518" s="115"/>
      <c r="C1518" s="115"/>
      <c r="D1518" s="115"/>
      <c r="E1518" s="115"/>
      <c r="F1518" s="115"/>
      <c r="G1518" s="115"/>
      <c r="H1518" s="115"/>
      <c r="I1518" s="115"/>
      <c r="J1518" s="115"/>
      <c r="K1518" s="115"/>
      <c r="L1518" s="115"/>
      <c r="M1518" s="115"/>
      <c r="N1518" s="115"/>
      <c r="O1518" s="115"/>
      <c r="P1518" s="115"/>
      <c r="Q1518" s="115"/>
      <c r="R1518" s="115"/>
      <c r="S1518" s="115"/>
      <c r="T1518" s="115"/>
      <c r="U1518" s="115"/>
      <c r="V1518" s="115"/>
      <c r="W1518" s="115"/>
      <c r="X1518" s="115"/>
      <c r="Y1518" s="115"/>
      <c r="Z1518" s="115"/>
      <c r="AA1518" s="115"/>
      <c r="AB1518" s="115"/>
      <c r="AC1518" s="115"/>
      <c r="AD1518" s="115"/>
      <c r="AE1518" s="115"/>
      <c r="AF1518" s="115"/>
      <c r="AG1518" s="115"/>
      <c r="AH1518" s="115"/>
      <c r="AI1518" s="115"/>
      <c r="AJ1518" s="115"/>
      <c r="AK1518" s="115"/>
      <c r="AL1518" s="115"/>
      <c r="AM1518" s="115"/>
      <c r="AN1518" s="115"/>
      <c r="AO1518" s="115"/>
      <c r="AP1518" s="115"/>
      <c r="AQ1518" s="115"/>
      <c r="AR1518" s="115"/>
      <c r="AS1518" s="115"/>
      <c r="AT1518" s="115"/>
      <c r="AU1518" s="115"/>
      <c r="AV1518" s="115"/>
      <c r="AW1518" s="115"/>
      <c r="AX1518" s="115"/>
      <c r="AY1518" s="115"/>
      <c r="AZ1518" s="115"/>
      <c r="BA1518" s="115"/>
      <c r="BB1518" s="115"/>
      <c r="BC1518" s="115"/>
      <c r="BD1518" s="115"/>
      <c r="BE1518" s="115"/>
      <c r="BF1518" s="115"/>
      <c r="BG1518" s="115"/>
      <c r="BH1518" s="122"/>
      <c r="BI1518" s="122"/>
      <c r="BJ1518" s="122"/>
      <c r="BK1518" s="115"/>
      <c r="BL1518" s="115"/>
      <c r="BM1518" s="115"/>
      <c r="BN1518" s="115"/>
      <c r="BO1518" s="115"/>
      <c r="BP1518" s="115"/>
      <c r="BQ1518" s="115"/>
      <c r="BR1518" s="115"/>
      <c r="BS1518" s="115"/>
      <c r="BT1518" s="115"/>
      <c r="BU1518" s="115"/>
      <c r="BV1518" s="115"/>
      <c r="BW1518" s="115"/>
      <c r="BX1518" s="115"/>
      <c r="BY1518" s="26"/>
      <c r="BZ1518" s="15"/>
      <c r="CC1518" s="114"/>
    </row>
    <row r="1519" spans="1:81" x14ac:dyDescent="0.4">
      <c r="A1519" s="115"/>
      <c r="B1519" s="115"/>
      <c r="C1519" s="115"/>
      <c r="D1519" s="115"/>
      <c r="E1519" s="115"/>
      <c r="F1519" s="115"/>
      <c r="G1519" s="115"/>
      <c r="H1519" s="115"/>
      <c r="I1519" s="115"/>
      <c r="J1519" s="115"/>
      <c r="K1519" s="115"/>
      <c r="L1519" s="115"/>
      <c r="M1519" s="115"/>
      <c r="N1519" s="115"/>
      <c r="O1519" s="115"/>
      <c r="P1519" s="115"/>
      <c r="Q1519" s="115"/>
      <c r="R1519" s="115"/>
      <c r="S1519" s="115"/>
      <c r="T1519" s="115"/>
      <c r="U1519" s="115"/>
      <c r="V1519" s="115"/>
      <c r="W1519" s="115"/>
      <c r="X1519" s="115"/>
      <c r="Y1519" s="115"/>
      <c r="Z1519" s="115"/>
      <c r="AA1519" s="115"/>
      <c r="AB1519" s="115"/>
      <c r="AC1519" s="115"/>
      <c r="AD1519" s="115"/>
      <c r="AE1519" s="115"/>
      <c r="AF1519" s="115"/>
      <c r="AG1519" s="115"/>
      <c r="AH1519" s="115"/>
      <c r="AI1519" s="115"/>
      <c r="AJ1519" s="115"/>
      <c r="AK1519" s="115"/>
      <c r="AL1519" s="115"/>
      <c r="AM1519" s="115"/>
      <c r="AN1519" s="115"/>
      <c r="AO1519" s="115"/>
      <c r="AP1519" s="115"/>
      <c r="AQ1519" s="115"/>
      <c r="AR1519" s="115"/>
      <c r="AS1519" s="115"/>
      <c r="AT1519" s="115"/>
      <c r="AU1519" s="115"/>
      <c r="AV1519" s="115"/>
      <c r="AW1519" s="115"/>
      <c r="AX1519" s="115"/>
      <c r="AY1519" s="115"/>
      <c r="AZ1519" s="115"/>
      <c r="BA1519" s="115"/>
      <c r="BB1519" s="115"/>
      <c r="BC1519" s="115"/>
      <c r="BD1519" s="115"/>
      <c r="BE1519" s="115"/>
      <c r="BF1519" s="115"/>
      <c r="BG1519" s="115"/>
      <c r="BH1519" s="122"/>
      <c r="BI1519" s="122"/>
      <c r="BJ1519" s="122"/>
      <c r="BK1519" s="115"/>
      <c r="BL1519" s="115"/>
      <c r="BM1519" s="115"/>
      <c r="BN1519" s="115"/>
      <c r="BO1519" s="115"/>
      <c r="BP1519" s="115"/>
      <c r="BQ1519" s="115"/>
      <c r="BR1519" s="115"/>
      <c r="BS1519" s="115"/>
      <c r="BT1519" s="115"/>
      <c r="BU1519" s="115"/>
      <c r="BV1519" s="115"/>
      <c r="BW1519" s="115"/>
      <c r="BX1519" s="115"/>
      <c r="BY1519" s="26"/>
      <c r="BZ1519" s="105"/>
      <c r="CC1519" s="114"/>
    </row>
    <row r="1520" spans="1:81" x14ac:dyDescent="0.4">
      <c r="A1520" s="115"/>
      <c r="B1520" s="115"/>
      <c r="C1520" s="115"/>
      <c r="D1520" s="115"/>
      <c r="E1520" s="115"/>
      <c r="F1520" s="115"/>
      <c r="G1520" s="115"/>
      <c r="H1520" s="115"/>
      <c r="I1520" s="115"/>
      <c r="J1520" s="115"/>
      <c r="K1520" s="115"/>
      <c r="L1520" s="115"/>
      <c r="M1520" s="115"/>
      <c r="N1520" s="115"/>
      <c r="O1520" s="115"/>
      <c r="P1520" s="115"/>
      <c r="Q1520" s="115"/>
      <c r="R1520" s="115"/>
      <c r="S1520" s="115"/>
      <c r="T1520" s="115"/>
      <c r="U1520" s="115"/>
      <c r="V1520" s="115"/>
      <c r="W1520" s="115"/>
      <c r="X1520" s="115"/>
      <c r="Y1520" s="115"/>
      <c r="Z1520" s="115"/>
      <c r="AA1520" s="115"/>
      <c r="AB1520" s="115"/>
      <c r="AC1520" s="115"/>
      <c r="AD1520" s="115"/>
      <c r="AE1520" s="115"/>
      <c r="AF1520" s="115"/>
      <c r="AG1520" s="115"/>
      <c r="AH1520" s="115"/>
      <c r="AI1520" s="115"/>
      <c r="AJ1520" s="115"/>
      <c r="AK1520" s="115"/>
      <c r="AL1520" s="115"/>
      <c r="AM1520" s="115"/>
      <c r="AN1520" s="115"/>
      <c r="AO1520" s="115"/>
      <c r="AP1520" s="115"/>
      <c r="AQ1520" s="115"/>
      <c r="AR1520" s="115"/>
      <c r="AS1520" s="115"/>
      <c r="AT1520" s="115"/>
      <c r="AU1520" s="115"/>
      <c r="AV1520" s="115"/>
      <c r="AW1520" s="115"/>
      <c r="AX1520" s="115"/>
      <c r="AY1520" s="115"/>
      <c r="AZ1520" s="115"/>
      <c r="BA1520" s="115"/>
      <c r="BB1520" s="115"/>
      <c r="BC1520" s="115"/>
      <c r="BD1520" s="115"/>
      <c r="BE1520" s="115"/>
      <c r="BF1520" s="115"/>
      <c r="BG1520" s="115"/>
      <c r="BH1520" s="122"/>
      <c r="BI1520" s="122"/>
      <c r="BJ1520" s="122"/>
      <c r="BK1520" s="115"/>
      <c r="BL1520" s="115"/>
      <c r="BM1520" s="115"/>
      <c r="BN1520" s="115"/>
      <c r="BO1520" s="115"/>
      <c r="BP1520" s="115"/>
      <c r="BQ1520" s="115"/>
      <c r="BR1520" s="115"/>
      <c r="BS1520" s="115"/>
      <c r="BT1520" s="115"/>
      <c r="BU1520" s="115"/>
      <c r="BV1520" s="115"/>
      <c r="BW1520" s="115"/>
      <c r="BX1520" s="115"/>
      <c r="BY1520" s="17"/>
      <c r="BZ1520" s="15"/>
      <c r="CC1520" s="114"/>
    </row>
    <row r="1521" spans="1:81" x14ac:dyDescent="0.4">
      <c r="A1521" s="115"/>
      <c r="B1521" s="115"/>
      <c r="C1521" s="115"/>
      <c r="D1521" s="115"/>
      <c r="E1521" s="115"/>
      <c r="F1521" s="115"/>
      <c r="G1521" s="115"/>
      <c r="H1521" s="115"/>
      <c r="I1521" s="115"/>
      <c r="J1521" s="115"/>
      <c r="K1521" s="115"/>
      <c r="L1521" s="115"/>
      <c r="M1521" s="115"/>
      <c r="N1521" s="115"/>
      <c r="O1521" s="115"/>
      <c r="P1521" s="115"/>
      <c r="Q1521" s="115"/>
      <c r="R1521" s="115"/>
      <c r="S1521" s="115"/>
      <c r="T1521" s="115"/>
      <c r="U1521" s="115"/>
      <c r="V1521" s="115"/>
      <c r="W1521" s="115"/>
      <c r="X1521" s="115"/>
      <c r="Y1521" s="115"/>
      <c r="Z1521" s="115"/>
      <c r="AA1521" s="115"/>
      <c r="AB1521" s="115"/>
      <c r="AC1521" s="115"/>
      <c r="AD1521" s="115"/>
      <c r="AE1521" s="115"/>
      <c r="AF1521" s="115"/>
      <c r="AG1521" s="115"/>
      <c r="AH1521" s="115"/>
      <c r="AI1521" s="115"/>
      <c r="AJ1521" s="115"/>
      <c r="AK1521" s="115"/>
      <c r="AL1521" s="115"/>
      <c r="AM1521" s="115"/>
      <c r="AN1521" s="115"/>
      <c r="AO1521" s="115"/>
      <c r="AP1521" s="115"/>
      <c r="AQ1521" s="115"/>
      <c r="AR1521" s="115"/>
      <c r="AS1521" s="115"/>
      <c r="AT1521" s="115"/>
      <c r="AU1521" s="115"/>
      <c r="AV1521" s="115"/>
      <c r="AW1521" s="115"/>
      <c r="AX1521" s="115"/>
      <c r="AY1521" s="115"/>
      <c r="AZ1521" s="115"/>
      <c r="BA1521" s="115"/>
      <c r="BB1521" s="115"/>
      <c r="BC1521" s="115"/>
      <c r="BD1521" s="115"/>
      <c r="BE1521" s="115"/>
      <c r="BF1521" s="115"/>
      <c r="BG1521" s="115"/>
      <c r="BH1521" s="122"/>
      <c r="BI1521" s="122"/>
      <c r="BJ1521" s="122"/>
      <c r="BK1521" s="115"/>
      <c r="BL1521" s="115"/>
      <c r="BM1521" s="115"/>
      <c r="BN1521" s="115"/>
      <c r="BO1521" s="115"/>
      <c r="BP1521" s="115"/>
      <c r="BQ1521" s="115"/>
      <c r="BR1521" s="115"/>
      <c r="BS1521" s="115"/>
      <c r="BT1521" s="115"/>
      <c r="BU1521" s="115"/>
      <c r="BV1521" s="115"/>
      <c r="BW1521" s="115"/>
      <c r="BX1521" s="115"/>
      <c r="BY1521" s="26"/>
      <c r="BZ1521" s="15"/>
      <c r="CC1521" s="114"/>
    </row>
    <row r="1522" spans="1:81" x14ac:dyDescent="0.4">
      <c r="A1522" s="115"/>
      <c r="B1522" s="115"/>
      <c r="C1522" s="115"/>
      <c r="D1522" s="115"/>
      <c r="E1522" s="115"/>
      <c r="F1522" s="115"/>
      <c r="G1522" s="115"/>
      <c r="H1522" s="115"/>
      <c r="I1522" s="115"/>
      <c r="J1522" s="115"/>
      <c r="K1522" s="115"/>
      <c r="L1522" s="115"/>
      <c r="M1522" s="115"/>
      <c r="N1522" s="115"/>
      <c r="O1522" s="115"/>
      <c r="P1522" s="115"/>
      <c r="Q1522" s="115"/>
      <c r="R1522" s="115"/>
      <c r="S1522" s="115"/>
      <c r="T1522" s="115"/>
      <c r="U1522" s="115"/>
      <c r="V1522" s="115"/>
      <c r="W1522" s="115"/>
      <c r="X1522" s="115"/>
      <c r="Y1522" s="115"/>
      <c r="Z1522" s="115"/>
      <c r="AA1522" s="115"/>
      <c r="AB1522" s="115"/>
      <c r="AC1522" s="115"/>
      <c r="AD1522" s="115"/>
      <c r="AE1522" s="115"/>
      <c r="AF1522" s="115"/>
      <c r="AG1522" s="115"/>
      <c r="AH1522" s="115"/>
      <c r="AI1522" s="115"/>
      <c r="AJ1522" s="115"/>
      <c r="AK1522" s="115"/>
      <c r="AL1522" s="115"/>
      <c r="AM1522" s="115"/>
      <c r="AN1522" s="115"/>
      <c r="AO1522" s="115"/>
      <c r="AP1522" s="115"/>
      <c r="AQ1522" s="115"/>
      <c r="AR1522" s="115"/>
      <c r="AS1522" s="115"/>
      <c r="AT1522" s="115"/>
      <c r="AU1522" s="115"/>
      <c r="AV1522" s="115"/>
      <c r="AW1522" s="115"/>
      <c r="AX1522" s="115"/>
      <c r="AY1522" s="115"/>
      <c r="AZ1522" s="115"/>
      <c r="BA1522" s="115"/>
      <c r="BB1522" s="115"/>
      <c r="BC1522" s="115"/>
      <c r="BD1522" s="115"/>
      <c r="BE1522" s="115"/>
      <c r="BF1522" s="115"/>
      <c r="BG1522" s="115"/>
      <c r="BH1522" s="122"/>
      <c r="BI1522" s="122"/>
      <c r="BJ1522" s="122"/>
      <c r="BK1522" s="115"/>
      <c r="BL1522" s="115"/>
      <c r="BM1522" s="115"/>
      <c r="BN1522" s="115"/>
      <c r="BO1522" s="115"/>
      <c r="BP1522" s="115"/>
      <c r="BQ1522" s="115"/>
      <c r="BR1522" s="115"/>
      <c r="BS1522" s="115"/>
      <c r="BT1522" s="115"/>
      <c r="BU1522" s="115"/>
      <c r="BV1522" s="115"/>
      <c r="BW1522" s="115"/>
      <c r="BX1522" s="115"/>
      <c r="BY1522" s="26"/>
      <c r="BZ1522" s="15"/>
      <c r="CC1522" s="114"/>
    </row>
    <row r="1523" spans="1:81" x14ac:dyDescent="0.4">
      <c r="A1523" s="115"/>
      <c r="B1523" s="115"/>
      <c r="C1523" s="115"/>
      <c r="D1523" s="115"/>
      <c r="E1523" s="115"/>
      <c r="F1523" s="115"/>
      <c r="G1523" s="115"/>
      <c r="H1523" s="115"/>
      <c r="I1523" s="115"/>
      <c r="J1523" s="115"/>
      <c r="K1523" s="115"/>
      <c r="L1523" s="115"/>
      <c r="M1523" s="115"/>
      <c r="N1523" s="115"/>
      <c r="O1523" s="115"/>
      <c r="P1523" s="115"/>
      <c r="Q1523" s="115"/>
      <c r="R1523" s="115"/>
      <c r="S1523" s="115"/>
      <c r="T1523" s="115"/>
      <c r="U1523" s="115"/>
      <c r="V1523" s="115"/>
      <c r="W1523" s="115"/>
      <c r="X1523" s="115"/>
      <c r="Y1523" s="115"/>
      <c r="Z1523" s="115"/>
      <c r="AA1523" s="115"/>
      <c r="AB1523" s="115"/>
      <c r="AC1523" s="115"/>
      <c r="AD1523" s="115"/>
      <c r="AE1523" s="115"/>
      <c r="AF1523" s="115"/>
      <c r="AG1523" s="115"/>
      <c r="AH1523" s="115"/>
      <c r="AI1523" s="115"/>
      <c r="AJ1523" s="115"/>
      <c r="AK1523" s="115"/>
      <c r="AL1523" s="115"/>
      <c r="AM1523" s="115"/>
      <c r="AN1523" s="115"/>
      <c r="AO1523" s="115"/>
      <c r="AP1523" s="115"/>
      <c r="AQ1523" s="115"/>
      <c r="AR1523" s="115"/>
      <c r="AS1523" s="115"/>
      <c r="AT1523" s="115"/>
      <c r="AU1523" s="115"/>
      <c r="AV1523" s="115"/>
      <c r="AW1523" s="115"/>
      <c r="AX1523" s="115"/>
      <c r="AY1523" s="115"/>
      <c r="AZ1523" s="115"/>
      <c r="BA1523" s="115"/>
      <c r="BB1523" s="115"/>
      <c r="BC1523" s="115"/>
      <c r="BD1523" s="115"/>
      <c r="BE1523" s="115"/>
      <c r="BF1523" s="115"/>
      <c r="BG1523" s="115"/>
      <c r="BH1523" s="122"/>
      <c r="BI1523" s="122"/>
      <c r="BJ1523" s="122"/>
      <c r="BK1523" s="115"/>
      <c r="BL1523" s="115"/>
      <c r="BM1523" s="115"/>
      <c r="BN1523" s="115"/>
      <c r="BO1523" s="115"/>
      <c r="BP1523" s="115"/>
      <c r="BQ1523" s="115"/>
      <c r="BR1523" s="115"/>
      <c r="BS1523" s="115"/>
      <c r="BT1523" s="115"/>
      <c r="BU1523" s="115"/>
      <c r="BV1523" s="115"/>
      <c r="BW1523" s="115"/>
      <c r="BX1523" s="115"/>
      <c r="BY1523" s="26"/>
      <c r="BZ1523" s="105"/>
      <c r="CC1523" s="114"/>
    </row>
    <row r="1524" spans="1:81" x14ac:dyDescent="0.4">
      <c r="BY1524" s="26"/>
      <c r="BZ1524" s="15"/>
      <c r="CC1524" s="114"/>
    </row>
    <row r="1525" spans="1:81" x14ac:dyDescent="0.4">
      <c r="BI1525" s="122"/>
      <c r="BJ1525" s="122"/>
      <c r="BK1525" s="115"/>
      <c r="BL1525" s="115"/>
      <c r="BM1525" s="115"/>
      <c r="BN1525" s="115"/>
      <c r="BO1525" s="115"/>
      <c r="BP1525" s="115"/>
      <c r="BQ1525" s="115"/>
      <c r="BR1525" s="115"/>
      <c r="BS1525" s="115"/>
      <c r="BT1525" s="115"/>
      <c r="BU1525" s="115"/>
      <c r="BV1525" s="115"/>
      <c r="BW1525" s="115"/>
      <c r="BX1525" s="115"/>
      <c r="BY1525" s="26"/>
      <c r="BZ1525" s="15"/>
      <c r="CC1525" s="114"/>
    </row>
    <row r="1526" spans="1:81" x14ac:dyDescent="0.4">
      <c r="BE1526" s="115"/>
      <c r="BF1526" s="115"/>
      <c r="BG1526" s="115"/>
      <c r="BH1526" s="122"/>
      <c r="BI1526" s="122"/>
      <c r="BJ1526" s="122"/>
      <c r="BK1526" s="115"/>
      <c r="BL1526" s="115"/>
      <c r="BM1526" s="115"/>
      <c r="BN1526" s="115"/>
      <c r="BO1526" s="115"/>
      <c r="BP1526" s="115"/>
      <c r="BQ1526" s="115"/>
      <c r="BR1526" s="115"/>
      <c r="BS1526" s="115"/>
      <c r="BT1526" s="115"/>
      <c r="BU1526" s="115"/>
      <c r="BV1526" s="115"/>
      <c r="BW1526" s="115"/>
      <c r="BX1526" s="115"/>
      <c r="BY1526" s="26"/>
      <c r="BZ1526" s="15"/>
      <c r="CC1526" s="114"/>
    </row>
    <row r="1527" spans="1:81" x14ac:dyDescent="0.4">
      <c r="B1527" s="115"/>
      <c r="C1527" s="115"/>
      <c r="D1527" s="115"/>
      <c r="E1527" s="115"/>
      <c r="F1527" s="115"/>
      <c r="G1527" s="115"/>
      <c r="H1527" s="115"/>
      <c r="I1527" s="115"/>
      <c r="J1527" s="115"/>
      <c r="K1527" s="115"/>
      <c r="L1527" s="115"/>
      <c r="M1527" s="115"/>
      <c r="N1527" s="115"/>
      <c r="O1527" s="115"/>
      <c r="P1527" s="115"/>
      <c r="Q1527" s="115"/>
      <c r="R1527" s="115"/>
      <c r="S1527" s="115"/>
      <c r="T1527" s="115"/>
      <c r="U1527" s="115"/>
      <c r="V1527" s="115"/>
      <c r="W1527" s="115"/>
      <c r="X1527" s="115"/>
      <c r="Y1527" s="115"/>
      <c r="Z1527" s="115"/>
      <c r="AA1527" s="115"/>
      <c r="AB1527" s="115"/>
      <c r="AC1527" s="115"/>
      <c r="AD1527" s="115"/>
      <c r="AE1527" s="115"/>
      <c r="AF1527" s="115"/>
      <c r="AG1527" s="115"/>
      <c r="AH1527" s="115"/>
      <c r="AI1527" s="115"/>
      <c r="AJ1527" s="115"/>
      <c r="AK1527" s="115"/>
      <c r="AL1527" s="115"/>
      <c r="AM1527" s="115"/>
      <c r="AN1527" s="115"/>
      <c r="AO1527" s="115"/>
      <c r="AP1527" s="115"/>
      <c r="AQ1527" s="115"/>
      <c r="AR1527" s="115"/>
      <c r="AS1527" s="115"/>
      <c r="AT1527" s="115"/>
      <c r="AU1527" s="115"/>
      <c r="AV1527" s="115"/>
      <c r="AW1527" s="115"/>
      <c r="AX1527" s="115"/>
      <c r="AY1527" s="115"/>
      <c r="AZ1527" s="115"/>
      <c r="BA1527" s="115"/>
      <c r="BB1527" s="115"/>
      <c r="BC1527" s="115"/>
      <c r="BD1527" s="115"/>
      <c r="BE1527" s="115"/>
      <c r="BF1527" s="115"/>
      <c r="BG1527" s="115"/>
      <c r="BH1527" s="122"/>
      <c r="BI1527" s="122"/>
      <c r="BJ1527" s="122"/>
      <c r="BK1527" s="115"/>
      <c r="BL1527" s="115"/>
      <c r="BM1527" s="115"/>
      <c r="BN1527" s="115"/>
      <c r="BO1527" s="115"/>
      <c r="BP1527" s="115"/>
      <c r="BQ1527" s="115"/>
      <c r="BR1527" s="115"/>
      <c r="BS1527" s="115"/>
      <c r="BT1527" s="115"/>
      <c r="BU1527" s="115"/>
      <c r="BV1527" s="115"/>
      <c r="BW1527" s="115"/>
      <c r="BX1527" s="115"/>
      <c r="BY1527" s="26"/>
      <c r="BZ1527" s="15"/>
      <c r="CC1527" s="114"/>
    </row>
    <row r="1528" spans="1:81" x14ac:dyDescent="0.4">
      <c r="B1528" s="115"/>
      <c r="C1528" s="115"/>
      <c r="D1528" s="115"/>
      <c r="E1528" s="115"/>
      <c r="F1528" s="115"/>
      <c r="G1528" s="115"/>
      <c r="H1528" s="115"/>
      <c r="I1528" s="115"/>
      <c r="J1528" s="115"/>
      <c r="K1528" s="115"/>
      <c r="L1528" s="115"/>
      <c r="M1528" s="115"/>
      <c r="N1528" s="115"/>
      <c r="O1528" s="115"/>
      <c r="P1528" s="115"/>
      <c r="Q1528" s="115"/>
      <c r="R1528" s="115"/>
      <c r="S1528" s="115"/>
      <c r="T1528" s="115"/>
      <c r="U1528" s="115"/>
      <c r="V1528" s="115"/>
      <c r="W1528" s="115"/>
      <c r="X1528" s="115"/>
      <c r="Y1528" s="115"/>
      <c r="Z1528" s="115"/>
      <c r="AA1528" s="115"/>
      <c r="AB1528" s="115"/>
      <c r="AC1528" s="115"/>
      <c r="AD1528" s="115"/>
      <c r="AE1528" s="115"/>
      <c r="AF1528" s="115"/>
      <c r="AG1528" s="115"/>
      <c r="AH1528" s="115"/>
      <c r="AI1528" s="115"/>
      <c r="AJ1528" s="115"/>
      <c r="AK1528" s="115"/>
      <c r="AL1528" s="115"/>
      <c r="AM1528" s="115"/>
      <c r="AN1528" s="115"/>
      <c r="AO1528" s="115"/>
      <c r="AP1528" s="115"/>
      <c r="AQ1528" s="115"/>
      <c r="AR1528" s="115"/>
      <c r="AS1528" s="115"/>
      <c r="AT1528" s="115"/>
      <c r="AU1528" s="115"/>
      <c r="AV1528" s="115"/>
      <c r="AW1528" s="115"/>
      <c r="AX1528" s="115"/>
      <c r="AY1528" s="115"/>
      <c r="AZ1528" s="115"/>
      <c r="BA1528" s="115"/>
      <c r="BB1528" s="115"/>
      <c r="BC1528" s="115"/>
      <c r="BD1528" s="115"/>
      <c r="BE1528" s="115"/>
      <c r="BF1528" s="115"/>
      <c r="BG1528" s="115"/>
      <c r="BH1528" s="122"/>
      <c r="BI1528" s="122"/>
      <c r="BJ1528" s="122"/>
      <c r="BK1528" s="115"/>
      <c r="BL1528" s="115"/>
      <c r="BM1528" s="115"/>
      <c r="BN1528" s="115"/>
      <c r="BO1528" s="115"/>
      <c r="BP1528" s="115"/>
      <c r="BQ1528" s="115"/>
      <c r="BR1528" s="115"/>
      <c r="BS1528" s="115"/>
      <c r="BT1528" s="115"/>
      <c r="BU1528" s="115"/>
      <c r="BV1528" s="115"/>
      <c r="BW1528" s="115"/>
      <c r="BX1528" s="115"/>
      <c r="BY1528" s="17"/>
      <c r="BZ1528" s="15"/>
      <c r="CC1528" s="114"/>
    </row>
    <row r="1529" spans="1:81" x14ac:dyDescent="0.4">
      <c r="B1529" s="115"/>
      <c r="C1529" s="115"/>
      <c r="D1529" s="115"/>
      <c r="E1529" s="115"/>
      <c r="F1529" s="115"/>
      <c r="G1529" s="115"/>
      <c r="H1529" s="115"/>
      <c r="I1529" s="115"/>
      <c r="J1529" s="115"/>
      <c r="K1529" s="115"/>
      <c r="L1529" s="115"/>
      <c r="M1529" s="115"/>
      <c r="N1529" s="115"/>
      <c r="O1529" s="115"/>
      <c r="P1529" s="115"/>
      <c r="Q1529" s="115"/>
      <c r="R1529" s="115"/>
      <c r="S1529" s="115"/>
      <c r="T1529" s="115"/>
      <c r="U1529" s="115"/>
      <c r="V1529" s="115"/>
      <c r="W1529" s="115"/>
      <c r="X1529" s="115"/>
      <c r="Y1529" s="115"/>
      <c r="Z1529" s="115"/>
      <c r="AA1529" s="115"/>
      <c r="AB1529" s="115"/>
      <c r="AC1529" s="115"/>
      <c r="AD1529" s="115"/>
      <c r="AE1529" s="115"/>
      <c r="AF1529" s="115"/>
      <c r="AG1529" s="115"/>
      <c r="AH1529" s="115"/>
      <c r="AI1529" s="115"/>
      <c r="AJ1529" s="115"/>
      <c r="AK1529" s="115"/>
      <c r="AL1529" s="115"/>
      <c r="AM1529" s="115"/>
      <c r="AN1529" s="115"/>
      <c r="AO1529" s="115"/>
      <c r="AP1529" s="115"/>
      <c r="AQ1529" s="115"/>
      <c r="AR1529" s="115"/>
      <c r="AS1529" s="115"/>
      <c r="AT1529" s="115"/>
      <c r="AU1529" s="115"/>
      <c r="AV1529" s="115"/>
      <c r="AW1529" s="115"/>
      <c r="AX1529" s="115"/>
      <c r="AY1529" s="115"/>
      <c r="AZ1529" s="115"/>
      <c r="BA1529" s="115"/>
      <c r="BB1529" s="115"/>
      <c r="BC1529" s="115"/>
      <c r="BD1529" s="115"/>
      <c r="BE1529" s="115"/>
      <c r="BF1529" s="115"/>
      <c r="BG1529" s="115"/>
      <c r="BH1529" s="122"/>
      <c r="BI1529" s="122"/>
      <c r="BJ1529" s="122"/>
      <c r="BK1529" s="115"/>
      <c r="BL1529" s="115"/>
      <c r="BM1529" s="115"/>
      <c r="BN1529" s="115"/>
      <c r="BO1529" s="115"/>
      <c r="BP1529" s="115"/>
      <c r="BQ1529" s="115"/>
      <c r="BR1529" s="115"/>
      <c r="BS1529" s="115"/>
      <c r="BT1529" s="115"/>
      <c r="BU1529" s="115"/>
      <c r="BV1529" s="115"/>
      <c r="BW1529" s="115"/>
      <c r="BX1529" s="115"/>
      <c r="BY1529" s="26"/>
      <c r="BZ1529" s="15"/>
      <c r="CC1529" s="114"/>
    </row>
    <row r="1530" spans="1:81" x14ac:dyDescent="0.4">
      <c r="B1530" s="115"/>
      <c r="C1530" s="115"/>
      <c r="D1530" s="115"/>
      <c r="E1530" s="115"/>
      <c r="F1530" s="115"/>
      <c r="G1530" s="115"/>
      <c r="H1530" s="115"/>
      <c r="I1530" s="115"/>
      <c r="J1530" s="115"/>
      <c r="K1530" s="115"/>
      <c r="L1530" s="115"/>
      <c r="M1530" s="115"/>
      <c r="N1530" s="115"/>
      <c r="O1530" s="115"/>
      <c r="P1530" s="115"/>
      <c r="Q1530" s="115"/>
      <c r="R1530" s="115"/>
      <c r="S1530" s="115"/>
      <c r="T1530" s="115"/>
      <c r="U1530" s="115"/>
      <c r="V1530" s="115"/>
      <c r="W1530" s="115"/>
      <c r="X1530" s="115"/>
      <c r="Y1530" s="115"/>
      <c r="Z1530" s="115"/>
      <c r="AA1530" s="115"/>
      <c r="AB1530" s="115"/>
      <c r="AC1530" s="115"/>
      <c r="AD1530" s="115"/>
      <c r="AE1530" s="115"/>
      <c r="AF1530" s="115"/>
      <c r="AG1530" s="115"/>
      <c r="AH1530" s="115"/>
      <c r="AI1530" s="115"/>
      <c r="AJ1530" s="115"/>
      <c r="AK1530" s="115"/>
      <c r="AL1530" s="115"/>
      <c r="AM1530" s="115"/>
      <c r="AN1530" s="115"/>
      <c r="AO1530" s="115"/>
      <c r="AP1530" s="115"/>
      <c r="AQ1530" s="115"/>
      <c r="AR1530" s="115"/>
      <c r="AS1530" s="115"/>
      <c r="AT1530" s="115"/>
      <c r="AU1530" s="115"/>
      <c r="AV1530" s="115"/>
      <c r="AW1530" s="115"/>
      <c r="AX1530" s="115"/>
      <c r="AY1530" s="115"/>
      <c r="AZ1530" s="115"/>
      <c r="BA1530" s="115"/>
      <c r="BB1530" s="115"/>
      <c r="BC1530" s="115"/>
      <c r="BD1530" s="115"/>
      <c r="BE1530" s="115"/>
      <c r="BF1530" s="115"/>
      <c r="BG1530" s="115"/>
      <c r="BH1530" s="122"/>
      <c r="BI1530" s="122"/>
      <c r="BJ1530" s="122"/>
      <c r="BK1530" s="115"/>
      <c r="BL1530" s="115"/>
      <c r="BM1530" s="115"/>
      <c r="BN1530" s="115"/>
      <c r="BO1530" s="115"/>
      <c r="BP1530" s="115"/>
      <c r="BQ1530" s="115"/>
      <c r="BR1530" s="115"/>
      <c r="BS1530" s="115"/>
      <c r="BT1530" s="115"/>
      <c r="BU1530" s="115"/>
      <c r="BV1530" s="115"/>
      <c r="BW1530" s="115"/>
      <c r="BX1530" s="115"/>
      <c r="BY1530" s="26"/>
      <c r="BZ1530" s="15"/>
      <c r="CC1530" s="114"/>
    </row>
    <row r="1531" spans="1:81" x14ac:dyDescent="0.4">
      <c r="B1531" s="115"/>
      <c r="C1531" s="115"/>
      <c r="D1531" s="115"/>
      <c r="E1531" s="115"/>
      <c r="F1531" s="115"/>
      <c r="G1531" s="115"/>
      <c r="H1531" s="115"/>
      <c r="I1531" s="115"/>
      <c r="J1531" s="115"/>
      <c r="K1531" s="115"/>
      <c r="L1531" s="115"/>
      <c r="M1531" s="115"/>
      <c r="N1531" s="115"/>
      <c r="O1531" s="115"/>
      <c r="P1531" s="115"/>
      <c r="Q1531" s="115"/>
      <c r="R1531" s="115"/>
      <c r="S1531" s="115"/>
      <c r="T1531" s="115"/>
      <c r="U1531" s="115"/>
      <c r="V1531" s="115"/>
      <c r="W1531" s="115"/>
      <c r="X1531" s="115"/>
      <c r="Y1531" s="115"/>
      <c r="Z1531" s="115"/>
      <c r="AA1531" s="115"/>
      <c r="AB1531" s="115"/>
      <c r="AC1531" s="115"/>
      <c r="AD1531" s="115"/>
      <c r="AE1531" s="115"/>
      <c r="AF1531" s="115"/>
      <c r="AG1531" s="115"/>
      <c r="AH1531" s="115"/>
      <c r="AI1531" s="115"/>
      <c r="AJ1531" s="115"/>
      <c r="AK1531" s="115"/>
      <c r="AL1531" s="115"/>
      <c r="AM1531" s="115"/>
      <c r="AN1531" s="115"/>
      <c r="AO1531" s="115"/>
      <c r="AP1531" s="115"/>
      <c r="AQ1531" s="115"/>
      <c r="AR1531" s="115"/>
      <c r="AS1531" s="115"/>
      <c r="AT1531" s="115"/>
      <c r="AU1531" s="115"/>
      <c r="AV1531" s="115"/>
      <c r="AW1531" s="115"/>
      <c r="AX1531" s="115"/>
      <c r="AY1531" s="115"/>
      <c r="AZ1531" s="115"/>
      <c r="BA1531" s="115"/>
      <c r="BB1531" s="115"/>
      <c r="BC1531" s="115"/>
      <c r="BD1531" s="115"/>
      <c r="BE1531" s="115"/>
      <c r="BF1531" s="115"/>
      <c r="BG1531" s="115"/>
      <c r="BH1531" s="122"/>
      <c r="BI1531" s="122"/>
      <c r="BJ1531" s="122"/>
      <c r="BK1531" s="115"/>
      <c r="BL1531" s="115"/>
      <c r="BM1531" s="115"/>
      <c r="BN1531" s="115"/>
      <c r="BO1531" s="115"/>
      <c r="BP1531" s="115"/>
      <c r="BQ1531" s="115"/>
      <c r="BR1531" s="115"/>
      <c r="BS1531" s="115"/>
      <c r="BT1531" s="115"/>
      <c r="BU1531" s="115"/>
      <c r="BV1531" s="115"/>
      <c r="BW1531" s="115"/>
      <c r="BX1531" s="115"/>
      <c r="BY1531" s="26"/>
      <c r="BZ1531" s="15"/>
      <c r="CC1531" s="114"/>
    </row>
    <row r="1532" spans="1:81" x14ac:dyDescent="0.4">
      <c r="B1532" s="115"/>
      <c r="C1532" s="115"/>
      <c r="D1532" s="115"/>
      <c r="E1532" s="115"/>
      <c r="F1532" s="115"/>
      <c r="G1532" s="115"/>
      <c r="H1532" s="115"/>
      <c r="I1532" s="115"/>
      <c r="J1532" s="115"/>
      <c r="K1532" s="115"/>
      <c r="L1532" s="115"/>
      <c r="M1532" s="115"/>
      <c r="N1532" s="115"/>
      <c r="O1532" s="115"/>
      <c r="P1532" s="115"/>
      <c r="Q1532" s="115"/>
      <c r="R1532" s="115"/>
      <c r="S1532" s="115"/>
      <c r="T1532" s="115"/>
      <c r="U1532" s="115"/>
      <c r="V1532" s="115"/>
      <c r="W1532" s="115"/>
      <c r="X1532" s="115"/>
      <c r="Y1532" s="115"/>
      <c r="Z1532" s="115"/>
      <c r="AA1532" s="115"/>
      <c r="AB1532" s="115"/>
      <c r="AC1532" s="115"/>
      <c r="AD1532" s="115"/>
      <c r="AE1532" s="115"/>
      <c r="AF1532" s="115"/>
      <c r="AG1532" s="115"/>
      <c r="AH1532" s="115"/>
      <c r="AI1532" s="115"/>
      <c r="AJ1532" s="115"/>
      <c r="AK1532" s="115"/>
      <c r="AL1532" s="115"/>
      <c r="AM1532" s="115"/>
      <c r="AN1532" s="115"/>
      <c r="AO1532" s="115"/>
      <c r="AP1532" s="115"/>
      <c r="AQ1532" s="115"/>
      <c r="AR1532" s="115"/>
      <c r="AS1532" s="115"/>
      <c r="AT1532" s="115"/>
      <c r="AU1532" s="115"/>
      <c r="AV1532" s="115"/>
      <c r="AW1532" s="115"/>
      <c r="AX1532" s="115"/>
      <c r="AY1532" s="115"/>
      <c r="AZ1532" s="115"/>
      <c r="BA1532" s="115"/>
      <c r="BB1532" s="115"/>
      <c r="BC1532" s="115"/>
      <c r="BD1532" s="115"/>
      <c r="BE1532" s="115"/>
      <c r="BF1532" s="115"/>
      <c r="BG1532" s="115"/>
      <c r="BH1532" s="122"/>
      <c r="BI1532" s="122"/>
      <c r="BJ1532" s="122"/>
      <c r="BK1532" s="115"/>
      <c r="BL1532" s="115"/>
      <c r="BM1532" s="115"/>
      <c r="BN1532" s="115"/>
      <c r="BO1532" s="115"/>
      <c r="BP1532" s="115"/>
      <c r="BQ1532" s="115"/>
      <c r="BR1532" s="115"/>
      <c r="BS1532" s="115"/>
      <c r="BT1532" s="115"/>
      <c r="BU1532" s="115"/>
      <c r="BV1532" s="115"/>
      <c r="BW1532" s="115"/>
      <c r="BX1532" s="115"/>
      <c r="BY1532" s="26"/>
      <c r="BZ1532" s="15"/>
      <c r="CC1532" s="114"/>
    </row>
    <row r="1533" spans="1:81" x14ac:dyDescent="0.4">
      <c r="B1533" s="115"/>
      <c r="C1533" s="115"/>
      <c r="D1533" s="115"/>
      <c r="E1533" s="115"/>
      <c r="F1533" s="115"/>
      <c r="G1533" s="115"/>
      <c r="H1533" s="115"/>
      <c r="I1533" s="115"/>
      <c r="J1533" s="115"/>
      <c r="K1533" s="115"/>
      <c r="L1533" s="115"/>
      <c r="M1533" s="115"/>
      <c r="N1533" s="115"/>
      <c r="O1533" s="115"/>
      <c r="P1533" s="115"/>
      <c r="Q1533" s="115"/>
      <c r="R1533" s="115"/>
      <c r="S1533" s="115"/>
      <c r="T1533" s="115"/>
      <c r="U1533" s="115"/>
      <c r="V1533" s="115"/>
      <c r="W1533" s="115"/>
      <c r="X1533" s="115"/>
      <c r="Y1533" s="115"/>
      <c r="Z1533" s="115"/>
      <c r="AA1533" s="115"/>
      <c r="AB1533" s="115"/>
      <c r="AC1533" s="115"/>
      <c r="AD1533" s="115"/>
      <c r="AE1533" s="115"/>
      <c r="AF1533" s="115"/>
      <c r="AG1533" s="115"/>
      <c r="AH1533" s="115"/>
      <c r="AI1533" s="115"/>
      <c r="AJ1533" s="115"/>
      <c r="AK1533" s="115"/>
      <c r="AL1533" s="115"/>
      <c r="AM1533" s="115"/>
      <c r="AN1533" s="115"/>
      <c r="AO1533" s="115"/>
      <c r="AP1533" s="115"/>
      <c r="AQ1533" s="115"/>
      <c r="AR1533" s="115"/>
      <c r="AS1533" s="115"/>
      <c r="AT1533" s="115"/>
      <c r="AU1533" s="115"/>
      <c r="AV1533" s="115"/>
      <c r="AW1533" s="115"/>
      <c r="AX1533" s="115"/>
      <c r="AY1533" s="115"/>
      <c r="AZ1533" s="115"/>
      <c r="BA1533" s="115"/>
      <c r="BB1533" s="115"/>
      <c r="BC1533" s="115"/>
      <c r="BD1533" s="115"/>
      <c r="BE1533" s="115"/>
      <c r="BF1533" s="115"/>
      <c r="BG1533" s="115"/>
      <c r="BH1533" s="122"/>
      <c r="BI1533" s="122"/>
      <c r="BJ1533" s="122"/>
      <c r="BK1533" s="115"/>
      <c r="BL1533" s="115"/>
      <c r="BM1533" s="115"/>
      <c r="BN1533" s="115"/>
      <c r="BO1533" s="115"/>
      <c r="BP1533" s="115"/>
      <c r="BQ1533" s="115"/>
      <c r="BR1533" s="115"/>
      <c r="BS1533" s="115"/>
      <c r="BT1533" s="115"/>
      <c r="BU1533" s="115"/>
      <c r="BV1533" s="115"/>
      <c r="BW1533" s="115"/>
      <c r="BX1533" s="115"/>
      <c r="BY1533" s="26"/>
      <c r="BZ1533" s="15"/>
      <c r="CC1533" s="114"/>
    </row>
    <row r="1534" spans="1:81" x14ac:dyDescent="0.4">
      <c r="B1534" s="115"/>
      <c r="C1534" s="115"/>
      <c r="D1534" s="115"/>
      <c r="E1534" s="115"/>
      <c r="F1534" s="115"/>
      <c r="G1534" s="115"/>
      <c r="H1534" s="115"/>
      <c r="I1534" s="115"/>
      <c r="J1534" s="115"/>
      <c r="K1534" s="115"/>
      <c r="L1534" s="115"/>
      <c r="M1534" s="115"/>
      <c r="N1534" s="115"/>
      <c r="O1534" s="115"/>
      <c r="P1534" s="115"/>
      <c r="Q1534" s="115"/>
      <c r="R1534" s="115"/>
      <c r="S1534" s="115"/>
      <c r="T1534" s="115"/>
      <c r="U1534" s="115"/>
      <c r="V1534" s="115"/>
      <c r="W1534" s="115"/>
      <c r="X1534" s="115"/>
      <c r="Y1534" s="115"/>
      <c r="Z1534" s="115"/>
      <c r="AA1534" s="115"/>
      <c r="AB1534" s="115"/>
      <c r="AC1534" s="115"/>
      <c r="AD1534" s="115"/>
      <c r="AE1534" s="115"/>
      <c r="AF1534" s="115"/>
      <c r="AG1534" s="115"/>
      <c r="AH1534" s="115"/>
      <c r="AI1534" s="115"/>
      <c r="AJ1534" s="115"/>
      <c r="AK1534" s="115"/>
      <c r="AL1534" s="115"/>
      <c r="AM1534" s="115"/>
      <c r="AN1534" s="115"/>
      <c r="AO1534" s="115"/>
      <c r="AP1534" s="115"/>
      <c r="AQ1534" s="115"/>
      <c r="AR1534" s="115"/>
      <c r="AS1534" s="115"/>
      <c r="AT1534" s="115"/>
      <c r="AU1534" s="115"/>
      <c r="AV1534" s="115"/>
      <c r="AW1534" s="115"/>
      <c r="AX1534" s="115"/>
      <c r="AY1534" s="115"/>
      <c r="AZ1534" s="115"/>
      <c r="BA1534" s="115"/>
      <c r="BB1534" s="115"/>
      <c r="BC1534" s="115"/>
      <c r="BD1534" s="115"/>
      <c r="BE1534" s="115"/>
      <c r="BF1534" s="115"/>
      <c r="BG1534" s="115"/>
      <c r="BH1534" s="122"/>
      <c r="BI1534" s="122"/>
      <c r="BJ1534" s="122"/>
      <c r="BK1534" s="115"/>
      <c r="BL1534" s="115"/>
      <c r="BM1534" s="115"/>
      <c r="BN1534" s="115"/>
      <c r="BO1534" s="115"/>
      <c r="BP1534" s="115"/>
      <c r="BQ1534" s="115"/>
      <c r="BR1534" s="115"/>
      <c r="BS1534" s="115"/>
      <c r="BT1534" s="115"/>
      <c r="BU1534" s="115"/>
      <c r="BV1534" s="115"/>
      <c r="BW1534" s="115"/>
      <c r="BX1534" s="115"/>
      <c r="BY1534" s="26"/>
      <c r="BZ1534" s="15"/>
      <c r="CC1534" s="114"/>
    </row>
    <row r="1535" spans="1:81" x14ac:dyDescent="0.4">
      <c r="B1535" s="115"/>
      <c r="C1535" s="115"/>
      <c r="D1535" s="115"/>
      <c r="E1535" s="115"/>
      <c r="F1535" s="115"/>
      <c r="G1535" s="115"/>
      <c r="H1535" s="115"/>
      <c r="I1535" s="115"/>
      <c r="J1535" s="115"/>
      <c r="K1535" s="115"/>
      <c r="L1535" s="115"/>
      <c r="M1535" s="115"/>
      <c r="N1535" s="115"/>
      <c r="O1535" s="115"/>
      <c r="P1535" s="115"/>
      <c r="Q1535" s="115"/>
      <c r="R1535" s="115"/>
      <c r="S1535" s="115"/>
      <c r="T1535" s="115"/>
      <c r="U1535" s="115"/>
      <c r="V1535" s="115"/>
      <c r="W1535" s="115"/>
      <c r="X1535" s="115"/>
      <c r="Y1535" s="115"/>
      <c r="Z1535" s="115"/>
      <c r="AA1535" s="115"/>
      <c r="AB1535" s="115"/>
      <c r="AC1535" s="115"/>
      <c r="AD1535" s="115"/>
      <c r="AE1535" s="115"/>
      <c r="AF1535" s="115"/>
      <c r="AG1535" s="115"/>
      <c r="AH1535" s="115"/>
      <c r="AI1535" s="115"/>
      <c r="AJ1535" s="115"/>
      <c r="AK1535" s="115"/>
      <c r="AL1535" s="115"/>
      <c r="AM1535" s="115"/>
      <c r="AN1535" s="115"/>
      <c r="AO1535" s="115"/>
      <c r="AP1535" s="115"/>
      <c r="AQ1535" s="115"/>
      <c r="AR1535" s="115"/>
      <c r="AS1535" s="115"/>
      <c r="AT1535" s="115"/>
      <c r="AU1535" s="115"/>
      <c r="AV1535" s="115"/>
      <c r="AW1535" s="115"/>
      <c r="AX1535" s="115"/>
      <c r="AY1535" s="115"/>
      <c r="AZ1535" s="115"/>
      <c r="BA1535" s="115"/>
      <c r="BB1535" s="115"/>
      <c r="BC1535" s="115"/>
      <c r="BD1535" s="115"/>
      <c r="BE1535" s="115"/>
      <c r="BF1535" s="115"/>
      <c r="BG1535" s="115"/>
      <c r="BH1535" s="122"/>
      <c r="BI1535" s="122"/>
      <c r="BJ1535" s="122"/>
      <c r="BK1535" s="115"/>
      <c r="BL1535" s="115"/>
      <c r="BM1535" s="115"/>
      <c r="BN1535" s="115"/>
      <c r="BO1535" s="115"/>
      <c r="BP1535" s="115"/>
      <c r="BQ1535" s="115"/>
      <c r="BR1535" s="115"/>
      <c r="BS1535" s="115"/>
      <c r="BT1535" s="115"/>
      <c r="BU1535" s="115"/>
      <c r="BV1535" s="115"/>
      <c r="BW1535" s="115"/>
      <c r="BX1535" s="115"/>
      <c r="BY1535" s="26"/>
      <c r="BZ1535" s="15"/>
      <c r="CC1535" s="114"/>
    </row>
    <row r="1536" spans="1:81" x14ac:dyDescent="0.4">
      <c r="B1536" s="115"/>
      <c r="C1536" s="115"/>
      <c r="D1536" s="115"/>
      <c r="E1536" s="115"/>
      <c r="F1536" s="115"/>
      <c r="G1536" s="115"/>
      <c r="H1536" s="115"/>
      <c r="I1536" s="115"/>
      <c r="J1536" s="115"/>
      <c r="K1536" s="115"/>
      <c r="L1536" s="115"/>
      <c r="M1536" s="115"/>
      <c r="N1536" s="115"/>
      <c r="O1536" s="115"/>
      <c r="P1536" s="115"/>
      <c r="Q1536" s="115"/>
      <c r="R1536" s="115"/>
      <c r="S1536" s="115"/>
      <c r="T1536" s="115"/>
      <c r="U1536" s="115"/>
      <c r="V1536" s="115"/>
      <c r="W1536" s="115"/>
      <c r="X1536" s="115"/>
      <c r="Y1536" s="115"/>
      <c r="Z1536" s="115"/>
      <c r="AA1536" s="115"/>
      <c r="AB1536" s="115"/>
      <c r="AC1536" s="115"/>
      <c r="AD1536" s="115"/>
      <c r="AE1536" s="115"/>
      <c r="AF1536" s="115"/>
      <c r="AG1536" s="115"/>
      <c r="AH1536" s="115"/>
      <c r="AI1536" s="115"/>
      <c r="AJ1536" s="115"/>
      <c r="AK1536" s="115"/>
      <c r="AL1536" s="115"/>
      <c r="AM1536" s="115"/>
      <c r="AN1536" s="115"/>
      <c r="AO1536" s="115"/>
      <c r="AP1536" s="115"/>
      <c r="AQ1536" s="115"/>
      <c r="AR1536" s="115"/>
      <c r="AS1536" s="115"/>
      <c r="AT1536" s="115"/>
      <c r="AU1536" s="115"/>
      <c r="AV1536" s="115"/>
      <c r="AW1536" s="115"/>
      <c r="AX1536" s="115"/>
      <c r="AY1536" s="115"/>
      <c r="AZ1536" s="115"/>
      <c r="BA1536" s="115"/>
      <c r="BB1536" s="115"/>
      <c r="BC1536" s="115"/>
      <c r="BD1536" s="115"/>
      <c r="BE1536" s="115"/>
      <c r="BF1536" s="115"/>
      <c r="BG1536" s="115"/>
      <c r="BH1536" s="122"/>
      <c r="BI1536" s="122"/>
      <c r="BJ1536" s="122"/>
      <c r="BK1536" s="115"/>
      <c r="BL1536" s="115"/>
      <c r="BM1536" s="115"/>
      <c r="BN1536" s="115"/>
      <c r="BO1536" s="115"/>
      <c r="BP1536" s="115"/>
      <c r="BQ1536" s="115"/>
      <c r="BR1536" s="115"/>
      <c r="BS1536" s="115"/>
      <c r="BT1536" s="115"/>
      <c r="BU1536" s="115"/>
      <c r="BV1536" s="115"/>
      <c r="BW1536" s="115"/>
      <c r="BX1536" s="115"/>
      <c r="BY1536" s="17"/>
      <c r="BZ1536" s="15"/>
      <c r="CC1536" s="114"/>
    </row>
    <row r="1537" spans="2:81" x14ac:dyDescent="0.4">
      <c r="B1537" s="115"/>
      <c r="C1537" s="115"/>
      <c r="D1537" s="115"/>
      <c r="E1537" s="115"/>
      <c r="F1537" s="115"/>
      <c r="G1537" s="115"/>
      <c r="H1537" s="115"/>
      <c r="I1537" s="115"/>
      <c r="J1537" s="115"/>
      <c r="K1537" s="115"/>
      <c r="L1537" s="115"/>
      <c r="M1537" s="115"/>
      <c r="N1537" s="115"/>
      <c r="O1537" s="115"/>
      <c r="P1537" s="115"/>
      <c r="Q1537" s="115"/>
      <c r="R1537" s="115"/>
      <c r="S1537" s="115"/>
      <c r="T1537" s="115"/>
      <c r="U1537" s="115"/>
      <c r="V1537" s="115"/>
      <c r="W1537" s="115"/>
      <c r="X1537" s="115"/>
      <c r="Y1537" s="115"/>
      <c r="Z1537" s="115"/>
      <c r="AA1537" s="115"/>
      <c r="AB1537" s="115"/>
      <c r="AC1537" s="115"/>
      <c r="AD1537" s="115"/>
      <c r="AE1537" s="115"/>
      <c r="AF1537" s="115"/>
      <c r="AG1537" s="115"/>
      <c r="AH1537" s="115"/>
      <c r="AI1537" s="115"/>
      <c r="AJ1537" s="115"/>
      <c r="AK1537" s="115"/>
      <c r="AL1537" s="115"/>
      <c r="AM1537" s="115"/>
      <c r="AN1537" s="115"/>
      <c r="AO1537" s="115"/>
      <c r="AP1537" s="115"/>
      <c r="AQ1537" s="115"/>
      <c r="AR1537" s="115"/>
      <c r="AS1537" s="115"/>
      <c r="AT1537" s="115"/>
      <c r="AU1537" s="115"/>
      <c r="AV1537" s="115"/>
      <c r="AW1537" s="115"/>
      <c r="AX1537" s="115"/>
      <c r="AY1537" s="115"/>
      <c r="AZ1537" s="115"/>
      <c r="BA1537" s="115"/>
      <c r="BB1537" s="115"/>
      <c r="BC1537" s="115"/>
      <c r="BD1537" s="115"/>
      <c r="BE1537" s="115"/>
      <c r="BF1537" s="115"/>
      <c r="BG1537" s="115"/>
      <c r="BH1537" s="122"/>
      <c r="BI1537" s="122"/>
      <c r="BJ1537" s="122"/>
      <c r="BK1537" s="115"/>
      <c r="BL1537" s="115"/>
      <c r="BM1537" s="115"/>
      <c r="BN1537" s="115"/>
      <c r="BO1537" s="115"/>
      <c r="BP1537" s="115"/>
      <c r="BQ1537" s="115"/>
      <c r="BR1537" s="115"/>
      <c r="BS1537" s="115"/>
      <c r="BT1537" s="115"/>
      <c r="BU1537" s="115"/>
      <c r="BV1537" s="115"/>
      <c r="BW1537" s="115"/>
      <c r="BX1537" s="115"/>
      <c r="BY1537" s="26"/>
      <c r="BZ1537" s="15"/>
      <c r="CC1537" s="114"/>
    </row>
    <row r="1538" spans="2:81" x14ac:dyDescent="0.4">
      <c r="B1538" s="115"/>
      <c r="C1538" s="115"/>
      <c r="D1538" s="115"/>
      <c r="E1538" s="115"/>
      <c r="F1538" s="115"/>
      <c r="G1538" s="115"/>
      <c r="H1538" s="115"/>
      <c r="I1538" s="115"/>
      <c r="J1538" s="115"/>
      <c r="K1538" s="115"/>
      <c r="L1538" s="115"/>
      <c r="M1538" s="115"/>
      <c r="N1538" s="115"/>
      <c r="O1538" s="115"/>
      <c r="P1538" s="115"/>
      <c r="Q1538" s="115"/>
      <c r="R1538" s="115"/>
      <c r="S1538" s="115"/>
      <c r="T1538" s="115"/>
      <c r="U1538" s="115"/>
      <c r="V1538" s="115"/>
      <c r="W1538" s="115"/>
      <c r="X1538" s="115"/>
      <c r="Y1538" s="115"/>
      <c r="Z1538" s="115"/>
      <c r="AA1538" s="115"/>
      <c r="AB1538" s="115"/>
      <c r="AC1538" s="115"/>
      <c r="AD1538" s="115"/>
      <c r="AE1538" s="115"/>
      <c r="AF1538" s="115"/>
      <c r="AG1538" s="115"/>
      <c r="AH1538" s="115"/>
      <c r="AI1538" s="115"/>
      <c r="AJ1538" s="115"/>
      <c r="AK1538" s="115"/>
      <c r="AL1538" s="115"/>
      <c r="AM1538" s="115"/>
      <c r="AN1538" s="115"/>
      <c r="AO1538" s="115"/>
      <c r="AP1538" s="115"/>
      <c r="AQ1538" s="115"/>
      <c r="AR1538" s="115"/>
      <c r="AS1538" s="115"/>
      <c r="AT1538" s="115"/>
      <c r="AU1538" s="115"/>
      <c r="AV1538" s="115"/>
      <c r="AW1538" s="115"/>
      <c r="AX1538" s="115"/>
      <c r="AY1538" s="115"/>
      <c r="AZ1538" s="115"/>
      <c r="BA1538" s="115"/>
      <c r="BB1538" s="115"/>
      <c r="BC1538" s="115"/>
      <c r="BD1538" s="115"/>
      <c r="BE1538" s="115"/>
      <c r="BF1538" s="115"/>
      <c r="BG1538" s="115"/>
      <c r="BH1538" s="122"/>
      <c r="BI1538" s="122"/>
      <c r="BJ1538" s="122"/>
      <c r="BK1538" s="115"/>
      <c r="BL1538" s="115"/>
      <c r="BM1538" s="115"/>
      <c r="BN1538" s="115"/>
      <c r="BO1538" s="115"/>
      <c r="BP1538" s="115"/>
      <c r="BQ1538" s="115"/>
      <c r="BR1538" s="115"/>
      <c r="BS1538" s="115"/>
      <c r="BT1538" s="115"/>
      <c r="BU1538" s="115"/>
      <c r="BV1538" s="115"/>
      <c r="BW1538" s="115"/>
      <c r="BX1538" s="115"/>
      <c r="BY1538" s="26"/>
      <c r="BZ1538" s="15"/>
      <c r="CC1538" s="114"/>
    </row>
    <row r="1539" spans="2:81" x14ac:dyDescent="0.4">
      <c r="B1539" s="115"/>
      <c r="C1539" s="115"/>
      <c r="D1539" s="115"/>
      <c r="E1539" s="115"/>
      <c r="F1539" s="115"/>
      <c r="G1539" s="115"/>
      <c r="H1539" s="115"/>
      <c r="I1539" s="115"/>
      <c r="J1539" s="115"/>
      <c r="K1539" s="115"/>
      <c r="L1539" s="115"/>
      <c r="M1539" s="115"/>
      <c r="N1539" s="115"/>
      <c r="O1539" s="115"/>
      <c r="P1539" s="115"/>
      <c r="Q1539" s="115"/>
      <c r="R1539" s="115"/>
      <c r="S1539" s="115"/>
      <c r="T1539" s="115"/>
      <c r="U1539" s="115"/>
      <c r="V1539" s="115"/>
      <c r="W1539" s="115"/>
      <c r="X1539" s="115"/>
      <c r="Y1539" s="115"/>
      <c r="Z1539" s="115"/>
      <c r="AA1539" s="115"/>
      <c r="AB1539" s="115"/>
      <c r="AC1539" s="115"/>
      <c r="AD1539" s="115"/>
      <c r="AE1539" s="115"/>
      <c r="AF1539" s="115"/>
      <c r="AG1539" s="115"/>
      <c r="AH1539" s="115"/>
      <c r="AI1539" s="115"/>
      <c r="AJ1539" s="115"/>
      <c r="AK1539" s="115"/>
      <c r="AL1539" s="115"/>
      <c r="AM1539" s="115"/>
      <c r="AN1539" s="115"/>
      <c r="AO1539" s="115"/>
      <c r="AP1539" s="115"/>
      <c r="AQ1539" s="115"/>
      <c r="AR1539" s="115"/>
      <c r="AS1539" s="115"/>
      <c r="AT1539" s="115"/>
      <c r="AU1539" s="115"/>
      <c r="AV1539" s="115"/>
      <c r="AW1539" s="115"/>
      <c r="AX1539" s="115"/>
      <c r="AY1539" s="115"/>
      <c r="AZ1539" s="115"/>
      <c r="BA1539" s="115"/>
      <c r="BB1539" s="115"/>
      <c r="BC1539" s="115"/>
      <c r="BD1539" s="115"/>
      <c r="BE1539" s="115"/>
      <c r="BF1539" s="115"/>
      <c r="BG1539" s="115"/>
      <c r="BH1539" s="122"/>
      <c r="BI1539" s="122"/>
      <c r="BJ1539" s="122"/>
      <c r="BK1539" s="115"/>
      <c r="BL1539" s="115"/>
      <c r="BM1539" s="115"/>
      <c r="BN1539" s="115"/>
      <c r="BO1539" s="115"/>
      <c r="BP1539" s="115"/>
      <c r="BQ1539" s="115"/>
      <c r="BR1539" s="115"/>
      <c r="BS1539" s="115"/>
      <c r="BT1539" s="115"/>
      <c r="BU1539" s="115"/>
      <c r="BV1539" s="115"/>
      <c r="BW1539" s="115"/>
      <c r="BX1539" s="115"/>
      <c r="BY1539" s="26"/>
      <c r="BZ1539" s="15"/>
      <c r="CC1539" s="114"/>
    </row>
    <row r="1540" spans="2:81" x14ac:dyDescent="0.4">
      <c r="B1540" s="115"/>
      <c r="C1540" s="115"/>
      <c r="D1540" s="115"/>
      <c r="E1540" s="115"/>
      <c r="F1540" s="115"/>
      <c r="G1540" s="115"/>
      <c r="H1540" s="115"/>
      <c r="I1540" s="115"/>
      <c r="J1540" s="115"/>
      <c r="K1540" s="115"/>
      <c r="L1540" s="115"/>
      <c r="M1540" s="115"/>
      <c r="N1540" s="115"/>
      <c r="O1540" s="115"/>
      <c r="P1540" s="115"/>
      <c r="Q1540" s="115"/>
      <c r="R1540" s="115"/>
      <c r="S1540" s="115"/>
      <c r="T1540" s="115"/>
      <c r="U1540" s="115"/>
      <c r="V1540" s="115"/>
      <c r="W1540" s="115"/>
      <c r="X1540" s="115"/>
      <c r="Y1540" s="115"/>
      <c r="Z1540" s="115"/>
      <c r="AA1540" s="115"/>
      <c r="AB1540" s="115"/>
      <c r="AC1540" s="115"/>
      <c r="AD1540" s="115"/>
      <c r="AE1540" s="115"/>
      <c r="AF1540" s="115"/>
      <c r="AG1540" s="115"/>
      <c r="AH1540" s="115"/>
      <c r="AI1540" s="115"/>
      <c r="AJ1540" s="115"/>
      <c r="AK1540" s="115"/>
      <c r="AL1540" s="115"/>
      <c r="AM1540" s="115"/>
      <c r="AN1540" s="115"/>
      <c r="AO1540" s="115"/>
      <c r="AP1540" s="115"/>
      <c r="AQ1540" s="115"/>
      <c r="AR1540" s="115"/>
      <c r="AS1540" s="115"/>
      <c r="AT1540" s="115"/>
      <c r="AU1540" s="115"/>
      <c r="AV1540" s="115"/>
      <c r="AW1540" s="115"/>
      <c r="AX1540" s="115"/>
      <c r="AY1540" s="115"/>
      <c r="AZ1540" s="115"/>
      <c r="BA1540" s="115"/>
      <c r="BB1540" s="115"/>
      <c r="BC1540" s="115"/>
      <c r="BD1540" s="115"/>
      <c r="BE1540" s="115"/>
      <c r="BF1540" s="115"/>
      <c r="BG1540" s="115"/>
      <c r="BH1540" s="122"/>
      <c r="BI1540" s="122"/>
      <c r="BJ1540" s="122"/>
      <c r="BK1540" s="115"/>
      <c r="BL1540" s="115"/>
      <c r="BM1540" s="115"/>
      <c r="BN1540" s="115"/>
      <c r="BO1540" s="115"/>
      <c r="BP1540" s="115"/>
      <c r="BQ1540" s="115"/>
      <c r="BR1540" s="115"/>
      <c r="BS1540" s="115"/>
      <c r="BT1540" s="115"/>
      <c r="BU1540" s="115"/>
      <c r="BV1540" s="115"/>
      <c r="BW1540" s="115"/>
      <c r="BX1540" s="115"/>
      <c r="BY1540" s="26"/>
      <c r="BZ1540" s="15"/>
      <c r="CC1540" s="114"/>
    </row>
    <row r="1541" spans="2:81" x14ac:dyDescent="0.4">
      <c r="B1541" s="115"/>
      <c r="C1541" s="115"/>
      <c r="D1541" s="115"/>
      <c r="E1541" s="115"/>
      <c r="F1541" s="115"/>
      <c r="G1541" s="115"/>
      <c r="H1541" s="115"/>
      <c r="I1541" s="115"/>
      <c r="J1541" s="115"/>
      <c r="K1541" s="115"/>
      <c r="L1541" s="115"/>
      <c r="M1541" s="115"/>
      <c r="N1541" s="115"/>
      <c r="O1541" s="115"/>
      <c r="P1541" s="115"/>
      <c r="Q1541" s="115"/>
      <c r="R1541" s="115"/>
      <c r="S1541" s="115"/>
      <c r="T1541" s="115"/>
      <c r="U1541" s="115"/>
      <c r="V1541" s="115"/>
      <c r="W1541" s="115"/>
      <c r="X1541" s="115"/>
      <c r="Y1541" s="115"/>
      <c r="Z1541" s="115"/>
      <c r="AA1541" s="115"/>
      <c r="AB1541" s="115"/>
      <c r="AC1541" s="115"/>
      <c r="AD1541" s="115"/>
      <c r="AE1541" s="115"/>
      <c r="AF1541" s="115"/>
      <c r="AG1541" s="115"/>
      <c r="AH1541" s="115"/>
      <c r="AI1541" s="115"/>
      <c r="AJ1541" s="115"/>
      <c r="AK1541" s="115"/>
      <c r="AL1541" s="115"/>
      <c r="AM1541" s="115"/>
      <c r="AN1541" s="115"/>
      <c r="AO1541" s="115"/>
      <c r="AP1541" s="115"/>
      <c r="AQ1541" s="115"/>
      <c r="AR1541" s="115"/>
      <c r="AS1541" s="115"/>
      <c r="AT1541" s="115"/>
      <c r="AU1541" s="115"/>
      <c r="AV1541" s="115"/>
      <c r="AW1541" s="115"/>
      <c r="AX1541" s="115"/>
      <c r="AY1541" s="115"/>
      <c r="AZ1541" s="115"/>
      <c r="BA1541" s="115"/>
      <c r="BB1541" s="115"/>
      <c r="BC1541" s="115"/>
      <c r="BD1541" s="115"/>
      <c r="BE1541" s="115"/>
      <c r="BF1541" s="115"/>
      <c r="BG1541" s="115"/>
      <c r="BH1541" s="122"/>
      <c r="BI1541" s="122"/>
      <c r="BJ1541" s="122"/>
      <c r="BK1541" s="115"/>
      <c r="BL1541" s="115"/>
      <c r="BM1541" s="115"/>
      <c r="BN1541" s="115"/>
      <c r="BO1541" s="115"/>
      <c r="BP1541" s="115"/>
      <c r="BQ1541" s="115"/>
      <c r="BR1541" s="115"/>
      <c r="BS1541" s="115"/>
      <c r="BT1541" s="115"/>
      <c r="BU1541" s="115"/>
      <c r="BV1541" s="115"/>
      <c r="BW1541" s="115"/>
      <c r="BX1541" s="115"/>
      <c r="BY1541" s="26"/>
      <c r="BZ1541" s="15"/>
      <c r="CC1541" s="114"/>
    </row>
    <row r="1542" spans="2:81" x14ac:dyDescent="0.4">
      <c r="B1542" s="115"/>
      <c r="C1542" s="115"/>
      <c r="D1542" s="115"/>
      <c r="E1542" s="115"/>
      <c r="F1542" s="115"/>
      <c r="G1542" s="115"/>
      <c r="H1542" s="115"/>
      <c r="I1542" s="115"/>
      <c r="J1542" s="115"/>
      <c r="K1542" s="115"/>
      <c r="L1542" s="115"/>
      <c r="M1542" s="115"/>
      <c r="N1542" s="115"/>
      <c r="O1542" s="115"/>
      <c r="P1542" s="115"/>
      <c r="Q1542" s="115"/>
      <c r="R1542" s="115"/>
      <c r="S1542" s="115"/>
      <c r="T1542" s="115"/>
      <c r="U1542" s="115"/>
      <c r="V1542" s="115"/>
      <c r="W1542" s="115"/>
      <c r="X1542" s="115"/>
      <c r="Y1542" s="115"/>
      <c r="Z1542" s="115"/>
      <c r="AA1542" s="115"/>
      <c r="AB1542" s="115"/>
      <c r="AC1542" s="115"/>
      <c r="AD1542" s="115"/>
      <c r="AE1542" s="115"/>
      <c r="AF1542" s="115"/>
      <c r="AG1542" s="115"/>
      <c r="AH1542" s="115"/>
      <c r="AI1542" s="115"/>
      <c r="AJ1542" s="115"/>
      <c r="AK1542" s="115"/>
      <c r="AL1542" s="115"/>
      <c r="AM1542" s="115"/>
      <c r="AN1542" s="115"/>
      <c r="AO1542" s="115"/>
      <c r="AP1542" s="115"/>
      <c r="AQ1542" s="115"/>
      <c r="AR1542" s="115"/>
      <c r="AS1542" s="115"/>
      <c r="AT1542" s="115"/>
      <c r="AU1542" s="115"/>
      <c r="AV1542" s="115"/>
      <c r="AW1542" s="115"/>
      <c r="AX1542" s="115"/>
      <c r="AY1542" s="115"/>
      <c r="AZ1542" s="115"/>
      <c r="BA1542" s="115"/>
      <c r="BB1542" s="115"/>
      <c r="BC1542" s="115"/>
      <c r="BD1542" s="115"/>
      <c r="BE1542" s="115"/>
      <c r="BF1542" s="115"/>
      <c r="BG1542" s="115"/>
      <c r="BH1542" s="122"/>
      <c r="BI1542" s="122"/>
      <c r="BJ1542" s="122"/>
      <c r="BK1542" s="115"/>
      <c r="BL1542" s="115"/>
      <c r="BM1542" s="115"/>
      <c r="BN1542" s="115"/>
      <c r="BO1542" s="115"/>
      <c r="BP1542" s="115"/>
      <c r="BQ1542" s="115"/>
      <c r="BR1542" s="115"/>
      <c r="BS1542" s="115"/>
      <c r="BT1542" s="115"/>
      <c r="BU1542" s="115"/>
      <c r="BV1542" s="115"/>
      <c r="BW1542" s="115"/>
      <c r="BX1542" s="115"/>
      <c r="BY1542" s="26"/>
      <c r="BZ1542" s="15"/>
      <c r="CC1542" s="114"/>
    </row>
    <row r="1543" spans="2:81" x14ac:dyDescent="0.4">
      <c r="B1543" s="115"/>
      <c r="C1543" s="115"/>
      <c r="D1543" s="115"/>
      <c r="E1543" s="115"/>
      <c r="F1543" s="115"/>
      <c r="G1543" s="115"/>
      <c r="H1543" s="115"/>
      <c r="I1543" s="115"/>
      <c r="J1543" s="115"/>
      <c r="K1543" s="115"/>
      <c r="L1543" s="115"/>
      <c r="M1543" s="115"/>
      <c r="N1543" s="115"/>
      <c r="O1543" s="115"/>
      <c r="P1543" s="115"/>
      <c r="Q1543" s="115"/>
      <c r="R1543" s="115"/>
      <c r="S1543" s="115"/>
      <c r="T1543" s="115"/>
      <c r="U1543" s="115"/>
      <c r="V1543" s="115"/>
      <c r="W1543" s="115"/>
      <c r="X1543" s="115"/>
      <c r="Y1543" s="115"/>
      <c r="Z1543" s="115"/>
      <c r="AA1543" s="115"/>
      <c r="AB1543" s="115"/>
      <c r="AC1543" s="115"/>
      <c r="AD1543" s="115"/>
      <c r="AE1543" s="115"/>
      <c r="AF1543" s="115"/>
      <c r="AG1543" s="115"/>
      <c r="AH1543" s="115"/>
      <c r="AI1543" s="115"/>
      <c r="AJ1543" s="115"/>
      <c r="AK1543" s="115"/>
      <c r="AL1543" s="115"/>
      <c r="AM1543" s="115"/>
      <c r="AN1543" s="115"/>
      <c r="AO1543" s="115"/>
      <c r="AP1543" s="115"/>
      <c r="AQ1543" s="115"/>
      <c r="AR1543" s="115"/>
      <c r="AS1543" s="115"/>
      <c r="AT1543" s="115"/>
      <c r="AU1543" s="115"/>
      <c r="AV1543" s="115"/>
      <c r="AW1543" s="115"/>
      <c r="AX1543" s="115"/>
      <c r="AY1543" s="115"/>
      <c r="AZ1543" s="115"/>
      <c r="BA1543" s="115"/>
      <c r="BB1543" s="115"/>
      <c r="BC1543" s="115"/>
      <c r="BD1543" s="115"/>
      <c r="BE1543" s="115"/>
      <c r="BF1543" s="115"/>
      <c r="BG1543" s="115"/>
      <c r="BH1543" s="122"/>
      <c r="BI1543" s="122"/>
      <c r="BJ1543" s="122"/>
      <c r="BK1543" s="115"/>
      <c r="BL1543" s="115"/>
      <c r="BM1543" s="115"/>
      <c r="BN1543" s="115"/>
      <c r="BO1543" s="115"/>
      <c r="BP1543" s="115"/>
      <c r="BQ1543" s="115"/>
      <c r="BR1543" s="115"/>
      <c r="BS1543" s="115"/>
      <c r="BT1543" s="115"/>
      <c r="BU1543" s="115"/>
      <c r="BV1543" s="115"/>
      <c r="BW1543" s="115"/>
      <c r="BX1543" s="115"/>
      <c r="BY1543" s="26"/>
      <c r="BZ1543" s="15"/>
      <c r="CC1543" s="114"/>
    </row>
    <row r="1544" spans="2:81" x14ac:dyDescent="0.4">
      <c r="B1544" s="115"/>
      <c r="C1544" s="115"/>
      <c r="D1544" s="115"/>
      <c r="E1544" s="115"/>
      <c r="F1544" s="115"/>
      <c r="G1544" s="115"/>
      <c r="H1544" s="115"/>
      <c r="I1544" s="115"/>
      <c r="J1544" s="115"/>
      <c r="K1544" s="115"/>
      <c r="L1544" s="115"/>
      <c r="M1544" s="115"/>
      <c r="N1544" s="115"/>
      <c r="O1544" s="115"/>
      <c r="P1544" s="115"/>
      <c r="Q1544" s="115"/>
      <c r="R1544" s="115"/>
      <c r="S1544" s="115"/>
      <c r="T1544" s="115"/>
      <c r="U1544" s="115"/>
      <c r="V1544" s="115"/>
      <c r="W1544" s="115"/>
      <c r="X1544" s="115"/>
      <c r="Y1544" s="115"/>
      <c r="Z1544" s="115"/>
      <c r="AA1544" s="115"/>
      <c r="AB1544" s="115"/>
      <c r="AC1544" s="115"/>
      <c r="AD1544" s="115"/>
      <c r="AE1544" s="115"/>
      <c r="AF1544" s="115"/>
      <c r="AG1544" s="115"/>
      <c r="AH1544" s="115"/>
      <c r="AI1544" s="115"/>
      <c r="AJ1544" s="115"/>
      <c r="AK1544" s="115"/>
      <c r="AL1544" s="115"/>
      <c r="AM1544" s="115"/>
      <c r="AN1544" s="115"/>
      <c r="AO1544" s="115"/>
      <c r="AP1544" s="115"/>
      <c r="AQ1544" s="115"/>
      <c r="AR1544" s="115"/>
      <c r="AS1544" s="115"/>
      <c r="AT1544" s="115"/>
      <c r="AU1544" s="115"/>
      <c r="AV1544" s="115"/>
      <c r="AW1544" s="115"/>
      <c r="AX1544" s="115"/>
      <c r="AY1544" s="115"/>
      <c r="AZ1544" s="115"/>
      <c r="BA1544" s="115"/>
      <c r="BB1544" s="115"/>
      <c r="BC1544" s="115"/>
      <c r="BD1544" s="115"/>
      <c r="BE1544" s="115"/>
      <c r="BF1544" s="115"/>
      <c r="BG1544" s="115"/>
      <c r="BH1544" s="122"/>
      <c r="BI1544" s="122"/>
      <c r="BJ1544" s="122"/>
      <c r="BK1544" s="115"/>
      <c r="BL1544" s="115"/>
      <c r="BM1544" s="115"/>
      <c r="BN1544" s="115"/>
      <c r="BO1544" s="115"/>
      <c r="BP1544" s="115"/>
      <c r="BQ1544" s="115"/>
      <c r="BR1544" s="115"/>
      <c r="BS1544" s="115"/>
      <c r="BT1544" s="115"/>
      <c r="BU1544" s="115"/>
      <c r="BV1544" s="115"/>
      <c r="BW1544" s="115"/>
      <c r="BX1544" s="115"/>
      <c r="BY1544" s="17"/>
      <c r="BZ1544" s="15"/>
      <c r="CC1544" s="114"/>
    </row>
    <row r="1545" spans="2:81" x14ac:dyDescent="0.4">
      <c r="B1545" s="115"/>
      <c r="C1545" s="115"/>
      <c r="D1545" s="115"/>
      <c r="E1545" s="115"/>
      <c r="F1545" s="115"/>
      <c r="G1545" s="115"/>
      <c r="H1545" s="115"/>
      <c r="I1545" s="115"/>
      <c r="J1545" s="115"/>
      <c r="K1545" s="115"/>
      <c r="L1545" s="115"/>
      <c r="M1545" s="115"/>
      <c r="N1545" s="115"/>
      <c r="O1545" s="115"/>
      <c r="P1545" s="115"/>
      <c r="Q1545" s="115"/>
      <c r="R1545" s="115"/>
      <c r="S1545" s="115"/>
      <c r="T1545" s="115"/>
      <c r="U1545" s="115"/>
      <c r="V1545" s="115"/>
      <c r="W1545" s="115"/>
      <c r="X1545" s="115"/>
      <c r="Y1545" s="115"/>
      <c r="Z1545" s="115"/>
      <c r="AA1545" s="115"/>
      <c r="AB1545" s="115"/>
      <c r="AC1545" s="115"/>
      <c r="AD1545" s="115"/>
      <c r="AE1545" s="115"/>
      <c r="AF1545" s="115"/>
      <c r="AG1545" s="115"/>
      <c r="AH1545" s="115"/>
      <c r="AI1545" s="115"/>
      <c r="AJ1545" s="115"/>
      <c r="AK1545" s="115"/>
      <c r="AL1545" s="115"/>
      <c r="AM1545" s="115"/>
      <c r="AN1545" s="115"/>
      <c r="AO1545" s="115"/>
      <c r="AP1545" s="115"/>
      <c r="AQ1545" s="115"/>
      <c r="AR1545" s="115"/>
      <c r="AS1545" s="115"/>
      <c r="AT1545" s="115"/>
      <c r="AU1545" s="115"/>
      <c r="AV1545" s="115"/>
      <c r="AW1545" s="115"/>
      <c r="AX1545" s="115"/>
      <c r="AY1545" s="115"/>
      <c r="AZ1545" s="115"/>
      <c r="BA1545" s="115"/>
      <c r="BB1545" s="115"/>
      <c r="BC1545" s="115"/>
      <c r="BD1545" s="115"/>
      <c r="BE1545" s="115"/>
      <c r="BF1545" s="115"/>
      <c r="BG1545" s="115"/>
      <c r="BH1545" s="122"/>
      <c r="BI1545" s="122"/>
      <c r="BJ1545" s="122"/>
      <c r="BK1545" s="115"/>
      <c r="BL1545" s="115"/>
      <c r="BM1545" s="115"/>
      <c r="BN1545" s="115"/>
      <c r="BO1545" s="115"/>
      <c r="BP1545" s="115"/>
      <c r="BQ1545" s="115"/>
      <c r="BR1545" s="115"/>
      <c r="BS1545" s="115"/>
      <c r="BT1545" s="115"/>
      <c r="BU1545" s="115"/>
      <c r="BV1545" s="115"/>
      <c r="BW1545" s="115"/>
      <c r="BX1545" s="115"/>
      <c r="BY1545" s="26"/>
      <c r="BZ1545" s="15"/>
      <c r="CC1545" s="114"/>
    </row>
    <row r="1546" spans="2:81" x14ac:dyDescent="0.4">
      <c r="B1546" s="115"/>
      <c r="C1546" s="115"/>
      <c r="D1546" s="115"/>
      <c r="E1546" s="115"/>
      <c r="F1546" s="115"/>
      <c r="G1546" s="115"/>
      <c r="H1546" s="115"/>
      <c r="I1546" s="115"/>
      <c r="J1546" s="115"/>
      <c r="K1546" s="115"/>
      <c r="L1546" s="115"/>
      <c r="M1546" s="115"/>
      <c r="N1546" s="115"/>
      <c r="O1546" s="115"/>
      <c r="P1546" s="115"/>
      <c r="Q1546" s="115"/>
      <c r="R1546" s="115"/>
      <c r="S1546" s="115"/>
      <c r="T1546" s="115"/>
      <c r="U1546" s="115"/>
      <c r="V1546" s="115"/>
      <c r="W1546" s="115"/>
      <c r="X1546" s="115"/>
      <c r="Y1546" s="115"/>
      <c r="Z1546" s="115"/>
      <c r="AA1546" s="115"/>
      <c r="AB1546" s="115"/>
      <c r="AC1546" s="115"/>
      <c r="AD1546" s="115"/>
      <c r="AE1546" s="115"/>
      <c r="AF1546" s="115"/>
      <c r="AG1546" s="115"/>
      <c r="AH1546" s="115"/>
      <c r="AI1546" s="115"/>
      <c r="AJ1546" s="115"/>
      <c r="AK1546" s="115"/>
      <c r="AL1546" s="115"/>
      <c r="AM1546" s="115"/>
      <c r="AN1546" s="115"/>
      <c r="AO1546" s="115"/>
      <c r="AP1546" s="115"/>
      <c r="AQ1546" s="115"/>
      <c r="AR1546" s="115"/>
      <c r="AS1546" s="115"/>
      <c r="AT1546" s="115"/>
      <c r="AU1546" s="115"/>
      <c r="AV1546" s="115"/>
      <c r="AW1546" s="115"/>
      <c r="AX1546" s="115"/>
      <c r="AY1546" s="115"/>
      <c r="AZ1546" s="115"/>
      <c r="BA1546" s="115"/>
      <c r="BB1546" s="115"/>
      <c r="BC1546" s="115"/>
      <c r="BD1546" s="115"/>
      <c r="BE1546" s="115"/>
      <c r="BF1546" s="115"/>
      <c r="BG1546" s="115"/>
      <c r="BH1546" s="122"/>
      <c r="BI1546" s="122"/>
      <c r="BJ1546" s="122"/>
      <c r="BK1546" s="115"/>
      <c r="BL1546" s="115"/>
      <c r="BM1546" s="115"/>
      <c r="BN1546" s="115"/>
      <c r="BO1546" s="115"/>
      <c r="BP1546" s="115"/>
      <c r="BQ1546" s="115"/>
      <c r="BR1546" s="115"/>
      <c r="BS1546" s="115"/>
      <c r="BT1546" s="115"/>
      <c r="BU1546" s="115"/>
      <c r="BV1546" s="115"/>
      <c r="BW1546" s="115"/>
      <c r="BX1546" s="115"/>
      <c r="BY1546" s="26"/>
      <c r="BZ1546" s="15"/>
      <c r="CC1546" s="114"/>
    </row>
    <row r="1547" spans="2:81" x14ac:dyDescent="0.4">
      <c r="B1547" s="115"/>
      <c r="C1547" s="115"/>
      <c r="D1547" s="115"/>
      <c r="E1547" s="115"/>
      <c r="F1547" s="115"/>
      <c r="G1547" s="115"/>
      <c r="H1547" s="115"/>
      <c r="I1547" s="115"/>
      <c r="J1547" s="115"/>
      <c r="K1547" s="115"/>
      <c r="L1547" s="115"/>
      <c r="M1547" s="115"/>
      <c r="N1547" s="115"/>
      <c r="O1547" s="115"/>
      <c r="P1547" s="115"/>
      <c r="Q1547" s="115"/>
      <c r="R1547" s="115"/>
      <c r="S1547" s="115"/>
      <c r="T1547" s="115"/>
      <c r="U1547" s="115"/>
      <c r="V1547" s="115"/>
      <c r="W1547" s="115"/>
      <c r="X1547" s="115"/>
      <c r="Y1547" s="115"/>
      <c r="Z1547" s="115"/>
      <c r="AA1547" s="115"/>
      <c r="AB1547" s="115"/>
      <c r="AC1547" s="115"/>
      <c r="AD1547" s="115"/>
      <c r="AE1547" s="115"/>
      <c r="AF1547" s="115"/>
      <c r="AG1547" s="115"/>
      <c r="AH1547" s="115"/>
      <c r="AI1547" s="115"/>
      <c r="AJ1547" s="115"/>
      <c r="AK1547" s="115"/>
      <c r="AL1547" s="115"/>
      <c r="AM1547" s="115"/>
      <c r="AN1547" s="115"/>
      <c r="AO1547" s="115"/>
      <c r="AP1547" s="115"/>
      <c r="AQ1547" s="115"/>
      <c r="AR1547" s="115"/>
      <c r="AS1547" s="115"/>
      <c r="AT1547" s="115"/>
      <c r="AU1547" s="115"/>
      <c r="AV1547" s="115"/>
      <c r="AW1547" s="115"/>
      <c r="AX1547" s="115"/>
      <c r="AY1547" s="115"/>
      <c r="AZ1547" s="115"/>
      <c r="BA1547" s="115"/>
      <c r="BB1547" s="115"/>
      <c r="BC1547" s="115"/>
      <c r="BD1547" s="115"/>
      <c r="BE1547" s="115"/>
      <c r="BF1547" s="115"/>
      <c r="BG1547" s="115"/>
      <c r="BH1547" s="122"/>
      <c r="BI1547" s="122"/>
      <c r="BJ1547" s="122"/>
      <c r="BK1547" s="115"/>
      <c r="BL1547" s="115"/>
      <c r="BM1547" s="115"/>
      <c r="BN1547" s="115"/>
      <c r="BO1547" s="115"/>
      <c r="BP1547" s="115"/>
      <c r="BQ1547" s="115"/>
      <c r="BR1547" s="115"/>
      <c r="BS1547" s="115"/>
      <c r="BT1547" s="115"/>
      <c r="BU1547" s="115"/>
      <c r="BV1547" s="115"/>
      <c r="BW1547" s="115"/>
      <c r="BX1547" s="115"/>
      <c r="BY1547" s="26"/>
      <c r="BZ1547" s="15"/>
      <c r="CC1547" s="114"/>
    </row>
    <row r="1548" spans="2:81" x14ac:dyDescent="0.4">
      <c r="B1548" s="115"/>
      <c r="C1548" s="115"/>
      <c r="D1548" s="115"/>
      <c r="E1548" s="115"/>
      <c r="F1548" s="115"/>
      <c r="G1548" s="115"/>
      <c r="H1548" s="115"/>
      <c r="I1548" s="115"/>
      <c r="J1548" s="115"/>
      <c r="K1548" s="115"/>
      <c r="L1548" s="115"/>
      <c r="M1548" s="115"/>
      <c r="N1548" s="115"/>
      <c r="O1548" s="115"/>
      <c r="P1548" s="115"/>
      <c r="Q1548" s="115"/>
      <c r="R1548" s="115"/>
      <c r="S1548" s="115"/>
      <c r="T1548" s="115"/>
      <c r="U1548" s="115"/>
      <c r="V1548" s="115"/>
      <c r="W1548" s="115"/>
      <c r="X1548" s="115"/>
      <c r="Y1548" s="115"/>
      <c r="Z1548" s="115"/>
      <c r="AA1548" s="115"/>
      <c r="AB1548" s="115"/>
      <c r="AC1548" s="115"/>
      <c r="AD1548" s="115"/>
      <c r="AE1548" s="115"/>
      <c r="AF1548" s="115"/>
      <c r="AG1548" s="115"/>
      <c r="AH1548" s="115"/>
      <c r="AI1548" s="115"/>
      <c r="AJ1548" s="115"/>
      <c r="AK1548" s="115"/>
      <c r="AL1548" s="115"/>
      <c r="AM1548" s="115"/>
      <c r="AN1548" s="115"/>
      <c r="AO1548" s="115"/>
      <c r="AP1548" s="115"/>
      <c r="AQ1548" s="115"/>
      <c r="AR1548" s="115"/>
      <c r="AS1548" s="115"/>
      <c r="AT1548" s="115"/>
      <c r="AU1548" s="115"/>
      <c r="AV1548" s="115"/>
      <c r="AW1548" s="115"/>
      <c r="AX1548" s="115"/>
      <c r="AY1548" s="115"/>
      <c r="AZ1548" s="115"/>
      <c r="BA1548" s="115"/>
      <c r="BB1548" s="115"/>
      <c r="BC1548" s="115"/>
      <c r="BD1548" s="115"/>
      <c r="BE1548" s="115"/>
      <c r="BF1548" s="115"/>
      <c r="BG1548" s="115"/>
      <c r="BH1548" s="122"/>
      <c r="BI1548" s="122"/>
      <c r="BJ1548" s="122"/>
      <c r="BK1548" s="115"/>
      <c r="BL1548" s="115"/>
      <c r="BM1548" s="115"/>
      <c r="BN1548" s="115"/>
      <c r="BO1548" s="115"/>
      <c r="BP1548" s="115"/>
      <c r="BQ1548" s="115"/>
      <c r="BR1548" s="115"/>
      <c r="BS1548" s="115"/>
      <c r="BT1548" s="115"/>
      <c r="BU1548" s="115"/>
      <c r="BV1548" s="115"/>
      <c r="BW1548" s="115"/>
      <c r="BX1548" s="115"/>
      <c r="BY1548" s="26"/>
      <c r="BZ1548" s="15"/>
      <c r="CC1548" s="114"/>
    </row>
    <row r="1549" spans="2:81" x14ac:dyDescent="0.4">
      <c r="B1549" s="115"/>
      <c r="C1549" s="115"/>
      <c r="D1549" s="115"/>
      <c r="E1549" s="115"/>
      <c r="F1549" s="115"/>
      <c r="G1549" s="115"/>
      <c r="H1549" s="115"/>
      <c r="I1549" s="115"/>
      <c r="J1549" s="115"/>
      <c r="K1549" s="115"/>
      <c r="L1549" s="115"/>
      <c r="M1549" s="115"/>
      <c r="N1549" s="115"/>
      <c r="O1549" s="115"/>
      <c r="P1549" s="115"/>
      <c r="Q1549" s="115"/>
      <c r="R1549" s="115"/>
      <c r="S1549" s="115"/>
      <c r="T1549" s="115"/>
      <c r="U1549" s="115"/>
      <c r="V1549" s="115"/>
      <c r="W1549" s="115"/>
      <c r="X1549" s="115"/>
      <c r="Y1549" s="115"/>
      <c r="Z1549" s="115"/>
      <c r="AA1549" s="115"/>
      <c r="AB1549" s="115"/>
      <c r="AC1549" s="115"/>
      <c r="AD1549" s="115"/>
      <c r="AE1549" s="115"/>
      <c r="AF1549" s="115"/>
      <c r="AG1549" s="115"/>
      <c r="AH1549" s="115"/>
      <c r="AI1549" s="115"/>
      <c r="AJ1549" s="115"/>
      <c r="AK1549" s="115"/>
      <c r="AL1549" s="115"/>
      <c r="AM1549" s="115"/>
      <c r="AN1549" s="115"/>
      <c r="AO1549" s="115"/>
      <c r="AP1549" s="115"/>
      <c r="AQ1549" s="115"/>
      <c r="AR1549" s="115"/>
      <c r="AS1549" s="115"/>
      <c r="AT1549" s="115"/>
      <c r="AU1549" s="115"/>
      <c r="AV1549" s="115"/>
      <c r="AW1549" s="115"/>
      <c r="AX1549" s="115"/>
      <c r="AY1549" s="115"/>
      <c r="AZ1549" s="115"/>
      <c r="BA1549" s="115"/>
      <c r="BB1549" s="115"/>
      <c r="BC1549" s="115"/>
      <c r="BD1549" s="115"/>
      <c r="BE1549" s="115"/>
      <c r="BF1549" s="115"/>
      <c r="BG1549" s="115"/>
      <c r="BH1549" s="122"/>
      <c r="BI1549" s="122"/>
      <c r="BJ1549" s="122"/>
      <c r="BK1549" s="115"/>
      <c r="BL1549" s="115"/>
      <c r="BM1549" s="115"/>
      <c r="BN1549" s="115"/>
      <c r="BO1549" s="115"/>
      <c r="BP1549" s="115"/>
      <c r="BQ1549" s="115"/>
      <c r="BR1549" s="115"/>
      <c r="BS1549" s="115"/>
      <c r="BT1549" s="115"/>
      <c r="BU1549" s="115"/>
      <c r="BV1549" s="115"/>
      <c r="BW1549" s="115"/>
      <c r="BX1549" s="115"/>
      <c r="BY1549" s="26"/>
      <c r="BZ1549" s="15"/>
      <c r="CC1549" s="114"/>
    </row>
    <row r="1550" spans="2:81" x14ac:dyDescent="0.4">
      <c r="B1550" s="115"/>
      <c r="C1550" s="115"/>
      <c r="D1550" s="115"/>
      <c r="E1550" s="115"/>
      <c r="F1550" s="115"/>
      <c r="G1550" s="115"/>
      <c r="H1550" s="115"/>
      <c r="I1550" s="115"/>
      <c r="J1550" s="115"/>
      <c r="K1550" s="115"/>
      <c r="L1550" s="115"/>
      <c r="M1550" s="115"/>
      <c r="N1550" s="115"/>
      <c r="O1550" s="115"/>
      <c r="P1550" s="115"/>
      <c r="Q1550" s="115"/>
      <c r="R1550" s="115"/>
      <c r="S1550" s="115"/>
      <c r="T1550" s="115"/>
      <c r="U1550" s="115"/>
      <c r="V1550" s="115"/>
      <c r="W1550" s="115"/>
      <c r="X1550" s="115"/>
      <c r="Y1550" s="115"/>
      <c r="Z1550" s="115"/>
      <c r="AA1550" s="115"/>
      <c r="AB1550" s="115"/>
      <c r="AC1550" s="115"/>
      <c r="AD1550" s="115"/>
      <c r="AE1550" s="115"/>
      <c r="AF1550" s="115"/>
      <c r="AG1550" s="115"/>
      <c r="AH1550" s="115"/>
      <c r="AI1550" s="115"/>
      <c r="AJ1550" s="115"/>
      <c r="AK1550" s="115"/>
      <c r="AL1550" s="115"/>
      <c r="AM1550" s="115"/>
      <c r="AN1550" s="115"/>
      <c r="AO1550" s="115"/>
      <c r="AP1550" s="115"/>
      <c r="AQ1550" s="115"/>
      <c r="AR1550" s="115"/>
      <c r="AS1550" s="115"/>
      <c r="AT1550" s="115"/>
      <c r="AU1550" s="115"/>
      <c r="AV1550" s="115"/>
      <c r="AW1550" s="115"/>
      <c r="AX1550" s="115"/>
      <c r="AY1550" s="115"/>
      <c r="AZ1550" s="115"/>
      <c r="BA1550" s="115"/>
      <c r="BB1550" s="115"/>
      <c r="BC1550" s="115"/>
      <c r="BD1550" s="115"/>
      <c r="BE1550" s="115"/>
      <c r="BF1550" s="115"/>
      <c r="BG1550" s="115"/>
      <c r="BH1550" s="122"/>
      <c r="BI1550" s="122"/>
      <c r="BJ1550" s="122"/>
      <c r="BK1550" s="115"/>
      <c r="BL1550" s="115"/>
      <c r="BM1550" s="115"/>
      <c r="BN1550" s="115"/>
      <c r="BO1550" s="115"/>
      <c r="BP1550" s="115"/>
      <c r="BQ1550" s="115"/>
      <c r="BR1550" s="115"/>
      <c r="BS1550" s="115"/>
      <c r="BT1550" s="115"/>
      <c r="BU1550" s="115"/>
      <c r="BV1550" s="115"/>
      <c r="BW1550" s="115"/>
      <c r="BX1550" s="115"/>
      <c r="BY1550" s="26"/>
      <c r="BZ1550" s="15"/>
      <c r="CC1550" s="114"/>
    </row>
    <row r="1551" spans="2:81" x14ac:dyDescent="0.4">
      <c r="B1551" s="115"/>
      <c r="C1551" s="115"/>
      <c r="D1551" s="115"/>
      <c r="E1551" s="115"/>
      <c r="F1551" s="115"/>
      <c r="G1551" s="115"/>
      <c r="H1551" s="115"/>
      <c r="I1551" s="115"/>
      <c r="J1551" s="115"/>
      <c r="K1551" s="115"/>
      <c r="L1551" s="115"/>
      <c r="M1551" s="115"/>
      <c r="N1551" s="115"/>
      <c r="O1551" s="115"/>
      <c r="P1551" s="115"/>
      <c r="Q1551" s="115"/>
      <c r="R1551" s="115"/>
      <c r="S1551" s="115"/>
      <c r="T1551" s="115"/>
      <c r="U1551" s="115"/>
      <c r="V1551" s="115"/>
      <c r="W1551" s="115"/>
      <c r="X1551" s="115"/>
      <c r="Y1551" s="115"/>
      <c r="Z1551" s="115"/>
      <c r="AA1551" s="115"/>
      <c r="AB1551" s="115"/>
      <c r="AC1551" s="115"/>
      <c r="AD1551" s="115"/>
      <c r="AE1551" s="115"/>
      <c r="AF1551" s="115"/>
      <c r="AG1551" s="115"/>
      <c r="AH1551" s="115"/>
      <c r="AI1551" s="115"/>
      <c r="AJ1551" s="115"/>
      <c r="AK1551" s="115"/>
      <c r="AL1551" s="115"/>
      <c r="AM1551" s="115"/>
      <c r="AN1551" s="115"/>
      <c r="AO1551" s="115"/>
      <c r="AP1551" s="115"/>
      <c r="AQ1551" s="115"/>
      <c r="AR1551" s="115"/>
      <c r="AS1551" s="115"/>
      <c r="AT1551" s="115"/>
      <c r="AU1551" s="115"/>
      <c r="AV1551" s="115"/>
      <c r="AW1551" s="115"/>
      <c r="AX1551" s="115"/>
      <c r="AY1551" s="115"/>
      <c r="AZ1551" s="115"/>
      <c r="BA1551" s="115"/>
      <c r="BB1551" s="115"/>
      <c r="BC1551" s="115"/>
      <c r="BD1551" s="115"/>
      <c r="BE1551" s="115"/>
      <c r="BF1551" s="115"/>
      <c r="BG1551" s="115"/>
      <c r="BH1551" s="122"/>
      <c r="BI1551" s="122"/>
      <c r="BJ1551" s="122"/>
      <c r="BK1551" s="115"/>
      <c r="BL1551" s="115"/>
      <c r="BM1551" s="115"/>
      <c r="BN1551" s="115"/>
      <c r="BO1551" s="115"/>
      <c r="BP1551" s="115"/>
      <c r="BQ1551" s="115"/>
      <c r="BR1551" s="115"/>
      <c r="BS1551" s="115"/>
      <c r="BT1551" s="115"/>
      <c r="BU1551" s="115"/>
      <c r="BV1551" s="115"/>
      <c r="BW1551" s="115"/>
      <c r="BX1551" s="115"/>
      <c r="BY1551" s="26"/>
      <c r="BZ1551" s="15"/>
      <c r="CC1551" s="114"/>
    </row>
    <row r="1552" spans="2:81" x14ac:dyDescent="0.4">
      <c r="B1552" s="115"/>
      <c r="C1552" s="115"/>
      <c r="D1552" s="115"/>
      <c r="E1552" s="115"/>
      <c r="F1552" s="115"/>
      <c r="G1552" s="115"/>
      <c r="H1552" s="115"/>
      <c r="I1552" s="115"/>
      <c r="J1552" s="115"/>
      <c r="K1552" s="115"/>
      <c r="L1552" s="115"/>
      <c r="M1552" s="115"/>
      <c r="N1552" s="115"/>
      <c r="O1552" s="115"/>
      <c r="P1552" s="115"/>
      <c r="Q1552" s="115"/>
      <c r="R1552" s="115"/>
      <c r="S1552" s="115"/>
      <c r="T1552" s="115"/>
      <c r="U1552" s="115"/>
      <c r="V1552" s="115"/>
      <c r="W1552" s="115"/>
      <c r="X1552" s="115"/>
      <c r="Y1552" s="115"/>
      <c r="Z1552" s="115"/>
      <c r="AA1552" s="115"/>
      <c r="AB1552" s="115"/>
      <c r="AC1552" s="115"/>
      <c r="AD1552" s="115"/>
      <c r="AE1552" s="115"/>
      <c r="AF1552" s="115"/>
      <c r="AG1552" s="115"/>
      <c r="AH1552" s="115"/>
      <c r="AI1552" s="115"/>
      <c r="AJ1552" s="115"/>
      <c r="AK1552" s="115"/>
      <c r="AL1552" s="115"/>
      <c r="AM1552" s="115"/>
      <c r="AN1552" s="115"/>
      <c r="AO1552" s="115"/>
      <c r="AP1552" s="115"/>
      <c r="AQ1552" s="115"/>
      <c r="AR1552" s="115"/>
      <c r="AS1552" s="115"/>
      <c r="AT1552" s="115"/>
      <c r="AU1552" s="115"/>
      <c r="AV1552" s="115"/>
      <c r="AW1552" s="115"/>
      <c r="AX1552" s="115"/>
      <c r="AY1552" s="115"/>
      <c r="AZ1552" s="115"/>
      <c r="BA1552" s="115"/>
      <c r="BB1552" s="115"/>
      <c r="BC1552" s="115"/>
      <c r="BD1552" s="115"/>
      <c r="BE1552" s="115"/>
      <c r="BF1552" s="115"/>
      <c r="BG1552" s="115"/>
      <c r="BH1552" s="122"/>
      <c r="BI1552" s="122"/>
      <c r="BJ1552" s="122"/>
      <c r="BK1552" s="115"/>
      <c r="BL1552" s="115"/>
      <c r="BM1552" s="115"/>
      <c r="BN1552" s="115"/>
      <c r="BO1552" s="115"/>
      <c r="BP1552" s="115"/>
      <c r="BQ1552" s="115"/>
      <c r="BR1552" s="115"/>
      <c r="BS1552" s="115"/>
      <c r="BT1552" s="115"/>
      <c r="BU1552" s="115"/>
      <c r="BV1552" s="115"/>
      <c r="BW1552" s="115"/>
      <c r="BX1552" s="115"/>
      <c r="BY1552" s="26"/>
      <c r="BZ1552" s="15"/>
      <c r="CC1552" s="114"/>
    </row>
    <row r="1553" spans="1:81" x14ac:dyDescent="0.4">
      <c r="B1553" s="115"/>
      <c r="C1553" s="115"/>
      <c r="D1553" s="115"/>
      <c r="E1553" s="115"/>
      <c r="F1553" s="115"/>
      <c r="G1553" s="115"/>
      <c r="H1553" s="115"/>
      <c r="I1553" s="115"/>
      <c r="J1553" s="115"/>
      <c r="K1553" s="115"/>
      <c r="L1553" s="115"/>
      <c r="M1553" s="115"/>
      <c r="N1553" s="115"/>
      <c r="O1553" s="115"/>
      <c r="P1553" s="115"/>
      <c r="Q1553" s="115"/>
      <c r="R1553" s="115"/>
      <c r="S1553" s="115"/>
      <c r="T1553" s="115"/>
      <c r="U1553" s="115"/>
      <c r="V1553" s="115"/>
      <c r="W1553" s="115"/>
      <c r="X1553" s="115"/>
      <c r="Y1553" s="115"/>
      <c r="Z1553" s="115"/>
      <c r="AA1553" s="115"/>
      <c r="AB1553" s="115"/>
      <c r="AC1553" s="115"/>
      <c r="AD1553" s="115"/>
      <c r="AE1553" s="115"/>
      <c r="AF1553" s="115"/>
      <c r="AG1553" s="115"/>
      <c r="AH1553" s="115"/>
      <c r="AI1553" s="115"/>
      <c r="AJ1553" s="115"/>
      <c r="AK1553" s="115"/>
      <c r="AL1553" s="115"/>
      <c r="AM1553" s="115"/>
      <c r="AN1553" s="115"/>
      <c r="AO1553" s="115"/>
      <c r="AP1553" s="115"/>
      <c r="AQ1553" s="115"/>
      <c r="AR1553" s="115"/>
      <c r="AS1553" s="115"/>
      <c r="AT1553" s="115"/>
      <c r="AU1553" s="115"/>
      <c r="AV1553" s="115"/>
      <c r="AW1553" s="115"/>
      <c r="AX1553" s="115"/>
      <c r="AY1553" s="115"/>
      <c r="AZ1553" s="115"/>
      <c r="BA1553" s="115"/>
      <c r="BB1553" s="115"/>
      <c r="BC1553" s="115"/>
      <c r="BD1553" s="115"/>
      <c r="BE1553" s="115"/>
      <c r="BF1553" s="115"/>
      <c r="BG1553" s="115"/>
      <c r="BH1553" s="122"/>
      <c r="BI1553" s="122"/>
      <c r="BJ1553" s="122"/>
      <c r="BK1553" s="115"/>
      <c r="BL1553" s="115"/>
      <c r="BM1553" s="115"/>
      <c r="BN1553" s="115"/>
      <c r="BO1553" s="115"/>
      <c r="BP1553" s="115"/>
      <c r="BQ1553" s="115"/>
      <c r="BR1553" s="115"/>
      <c r="BS1553" s="115"/>
      <c r="BT1553" s="115"/>
      <c r="BU1553" s="115"/>
      <c r="BV1553" s="115"/>
      <c r="BW1553" s="115"/>
      <c r="BX1553" s="115"/>
      <c r="BY1553" s="17"/>
      <c r="BZ1553" s="15"/>
      <c r="CC1553" s="114"/>
    </row>
    <row r="1554" spans="1:81" x14ac:dyDescent="0.4">
      <c r="B1554" s="115"/>
      <c r="C1554" s="115"/>
      <c r="D1554" s="115"/>
      <c r="E1554" s="115"/>
      <c r="F1554" s="115"/>
      <c r="G1554" s="115"/>
      <c r="H1554" s="115"/>
      <c r="I1554" s="115"/>
      <c r="J1554" s="115"/>
      <c r="K1554" s="115"/>
      <c r="L1554" s="115"/>
      <c r="M1554" s="115"/>
      <c r="N1554" s="115"/>
      <c r="O1554" s="115"/>
      <c r="P1554" s="115"/>
      <c r="Q1554" s="115"/>
      <c r="R1554" s="115"/>
      <c r="S1554" s="115"/>
      <c r="T1554" s="115"/>
      <c r="U1554" s="115"/>
      <c r="V1554" s="115"/>
      <c r="W1554" s="115"/>
      <c r="X1554" s="115"/>
      <c r="Y1554" s="115"/>
      <c r="Z1554" s="115"/>
      <c r="AA1554" s="115"/>
      <c r="AB1554" s="115"/>
      <c r="AC1554" s="115"/>
      <c r="AD1554" s="115"/>
      <c r="AE1554" s="115"/>
      <c r="AF1554" s="115"/>
      <c r="AG1554" s="115"/>
      <c r="AH1554" s="115"/>
      <c r="AI1554" s="115"/>
      <c r="AJ1554" s="115"/>
      <c r="AK1554" s="115"/>
      <c r="AL1554" s="115"/>
      <c r="AM1554" s="115"/>
      <c r="AN1554" s="115"/>
      <c r="AO1554" s="115"/>
      <c r="AP1554" s="115"/>
      <c r="AQ1554" s="115"/>
      <c r="AR1554" s="115"/>
      <c r="AS1554" s="115"/>
      <c r="AT1554" s="115"/>
      <c r="AU1554" s="115"/>
      <c r="AV1554" s="115"/>
      <c r="AW1554" s="115"/>
      <c r="AX1554" s="115"/>
      <c r="AY1554" s="115"/>
      <c r="AZ1554" s="115"/>
      <c r="BA1554" s="115"/>
      <c r="BB1554" s="115"/>
      <c r="BC1554" s="115"/>
      <c r="BD1554" s="115"/>
      <c r="BE1554" s="115"/>
      <c r="BF1554" s="115"/>
      <c r="BG1554" s="115"/>
      <c r="BH1554" s="122"/>
      <c r="BI1554" s="122"/>
      <c r="BJ1554" s="122"/>
      <c r="BK1554" s="115"/>
      <c r="BL1554" s="115"/>
      <c r="BM1554" s="115"/>
      <c r="BN1554" s="115"/>
      <c r="BO1554" s="115"/>
      <c r="BP1554" s="115"/>
      <c r="BQ1554" s="115"/>
      <c r="BR1554" s="115"/>
      <c r="BS1554" s="115"/>
      <c r="BT1554" s="115"/>
      <c r="BU1554" s="115"/>
      <c r="BV1554" s="115"/>
      <c r="BW1554" s="115"/>
      <c r="BX1554" s="115"/>
      <c r="BY1554" s="26"/>
      <c r="BZ1554" s="15"/>
      <c r="CC1554" s="114"/>
    </row>
    <row r="1555" spans="1:81" x14ac:dyDescent="0.4">
      <c r="B1555" s="115"/>
      <c r="C1555" s="115"/>
      <c r="D1555" s="115"/>
      <c r="E1555" s="115"/>
      <c r="F1555" s="115"/>
      <c r="G1555" s="115"/>
      <c r="H1555" s="115"/>
      <c r="I1555" s="115"/>
      <c r="J1555" s="115"/>
      <c r="K1555" s="115"/>
      <c r="L1555" s="115"/>
      <c r="M1555" s="115"/>
      <c r="N1555" s="115"/>
      <c r="O1555" s="115"/>
      <c r="P1555" s="115"/>
      <c r="Q1555" s="115"/>
      <c r="R1555" s="115"/>
      <c r="S1555" s="115"/>
      <c r="T1555" s="115"/>
      <c r="U1555" s="115"/>
      <c r="V1555" s="115"/>
      <c r="W1555" s="115"/>
      <c r="X1555" s="115"/>
      <c r="Y1555" s="115"/>
      <c r="Z1555" s="115"/>
      <c r="AA1555" s="115"/>
      <c r="AB1555" s="115"/>
      <c r="AC1555" s="115"/>
      <c r="AD1555" s="115"/>
      <c r="AE1555" s="115"/>
      <c r="AF1555" s="115"/>
      <c r="AG1555" s="115"/>
      <c r="AH1555" s="115"/>
      <c r="AI1555" s="115"/>
      <c r="AJ1555" s="115"/>
      <c r="AK1555" s="115"/>
      <c r="AL1555" s="115"/>
      <c r="AM1555" s="115"/>
      <c r="AN1555" s="115"/>
      <c r="AO1555" s="115"/>
      <c r="AP1555" s="115"/>
      <c r="AQ1555" s="115"/>
      <c r="AR1555" s="115"/>
      <c r="AS1555" s="115"/>
      <c r="AT1555" s="115"/>
      <c r="AU1555" s="115"/>
      <c r="AV1555" s="115"/>
      <c r="AW1555" s="115"/>
      <c r="AX1555" s="115"/>
      <c r="AY1555" s="115"/>
      <c r="AZ1555" s="115"/>
      <c r="BA1555" s="115"/>
      <c r="BB1555" s="115"/>
      <c r="BC1555" s="115"/>
      <c r="BD1555" s="115"/>
      <c r="BE1555" s="115"/>
      <c r="BF1555" s="115"/>
      <c r="BG1555" s="115"/>
      <c r="BH1555" s="122"/>
      <c r="BI1555" s="122"/>
      <c r="BJ1555" s="122"/>
      <c r="BK1555" s="115"/>
      <c r="BL1555" s="115"/>
      <c r="BM1555" s="115"/>
      <c r="BN1555" s="115"/>
      <c r="BO1555" s="115"/>
      <c r="BP1555" s="115"/>
      <c r="BQ1555" s="115"/>
      <c r="BR1555" s="115"/>
      <c r="BS1555" s="115"/>
      <c r="BT1555" s="115"/>
      <c r="BU1555" s="115"/>
      <c r="BV1555" s="115"/>
      <c r="BW1555" s="115"/>
      <c r="BX1555" s="115"/>
      <c r="BY1555" s="17"/>
      <c r="BZ1555" s="15"/>
      <c r="CC1555" s="114"/>
    </row>
    <row r="1556" spans="1:81" x14ac:dyDescent="0.4">
      <c r="B1556" s="115"/>
      <c r="C1556" s="115"/>
      <c r="D1556" s="115"/>
      <c r="E1556" s="115"/>
      <c r="F1556" s="115"/>
      <c r="G1556" s="115"/>
      <c r="H1556" s="115"/>
      <c r="I1556" s="115"/>
      <c r="J1556" s="115"/>
      <c r="K1556" s="115"/>
      <c r="L1556" s="115"/>
      <c r="M1556" s="115"/>
      <c r="N1556" s="115"/>
      <c r="O1556" s="115"/>
      <c r="P1556" s="115"/>
      <c r="Q1556" s="115"/>
      <c r="R1556" s="115"/>
      <c r="S1556" s="115"/>
      <c r="T1556" s="115"/>
      <c r="U1556" s="115"/>
      <c r="V1556" s="115"/>
      <c r="W1556" s="115"/>
      <c r="X1556" s="115"/>
      <c r="Y1556" s="115"/>
      <c r="Z1556" s="115"/>
      <c r="AA1556" s="115"/>
      <c r="AB1556" s="115"/>
      <c r="AC1556" s="115"/>
      <c r="AD1556" s="115"/>
      <c r="AE1556" s="115"/>
      <c r="AF1556" s="115"/>
      <c r="AG1556" s="115"/>
      <c r="AH1556" s="115"/>
      <c r="AI1556" s="115"/>
      <c r="AJ1556" s="115"/>
      <c r="AK1556" s="115"/>
      <c r="AL1556" s="115"/>
      <c r="AM1556" s="115"/>
      <c r="AN1556" s="115"/>
      <c r="AO1556" s="115"/>
      <c r="AP1556" s="115"/>
      <c r="AQ1556" s="115"/>
      <c r="AR1556" s="115"/>
      <c r="AS1556" s="115"/>
      <c r="AT1556" s="115"/>
      <c r="AU1556" s="115"/>
      <c r="AV1556" s="115"/>
      <c r="AW1556" s="115"/>
      <c r="AX1556" s="115"/>
      <c r="AY1556" s="115"/>
      <c r="AZ1556" s="115"/>
      <c r="BA1556" s="115"/>
      <c r="BB1556" s="115"/>
      <c r="BC1556" s="115"/>
      <c r="BD1556" s="115"/>
      <c r="BE1556" s="115"/>
      <c r="BF1556" s="115"/>
      <c r="BG1556" s="115"/>
      <c r="BH1556" s="122"/>
      <c r="BI1556" s="122"/>
      <c r="BJ1556" s="122"/>
      <c r="BK1556" s="115"/>
      <c r="BL1556" s="115"/>
      <c r="BM1556" s="115"/>
      <c r="BN1556" s="115"/>
      <c r="BO1556" s="115"/>
      <c r="BP1556" s="115"/>
      <c r="BQ1556" s="115"/>
      <c r="BR1556" s="115"/>
      <c r="BS1556" s="115"/>
      <c r="BT1556" s="115"/>
      <c r="BU1556" s="115"/>
      <c r="BV1556" s="115"/>
      <c r="BW1556" s="115"/>
      <c r="BX1556" s="115"/>
      <c r="BY1556" s="26"/>
      <c r="BZ1556" s="15"/>
      <c r="CC1556" s="114"/>
    </row>
    <row r="1557" spans="1:81" x14ac:dyDescent="0.4">
      <c r="B1557" s="115"/>
      <c r="C1557" s="115"/>
      <c r="D1557" s="115"/>
      <c r="E1557" s="115"/>
      <c r="F1557" s="115"/>
      <c r="G1557" s="115"/>
      <c r="H1557" s="115"/>
      <c r="I1557" s="115"/>
      <c r="J1557" s="115"/>
      <c r="K1557" s="115"/>
      <c r="L1557" s="115"/>
      <c r="M1557" s="115"/>
      <c r="N1557" s="115"/>
      <c r="O1557" s="115"/>
      <c r="P1557" s="115"/>
      <c r="Q1557" s="115"/>
      <c r="R1557" s="115"/>
      <c r="S1557" s="115"/>
      <c r="T1557" s="115"/>
      <c r="U1557" s="115"/>
      <c r="V1557" s="115"/>
      <c r="W1557" s="115"/>
      <c r="X1557" s="115"/>
      <c r="Y1557" s="115"/>
      <c r="Z1557" s="115"/>
      <c r="AA1557" s="115"/>
      <c r="AB1557" s="115"/>
      <c r="AC1557" s="115"/>
      <c r="AD1557" s="115"/>
      <c r="AE1557" s="115"/>
      <c r="AF1557" s="115"/>
      <c r="AG1557" s="115"/>
      <c r="AH1557" s="115"/>
      <c r="AI1557" s="115"/>
      <c r="AJ1557" s="115"/>
      <c r="AK1557" s="115"/>
      <c r="AL1557" s="115"/>
      <c r="AM1557" s="115"/>
      <c r="AN1557" s="115"/>
      <c r="AO1557" s="115"/>
      <c r="AP1557" s="115"/>
      <c r="AQ1557" s="115"/>
      <c r="AR1557" s="115"/>
      <c r="AS1557" s="115"/>
      <c r="AT1557" s="115"/>
      <c r="AU1557" s="115"/>
      <c r="AV1557" s="115"/>
      <c r="AW1557" s="115"/>
      <c r="AX1557" s="115"/>
      <c r="AY1557" s="115"/>
      <c r="AZ1557" s="115"/>
      <c r="BA1557" s="115"/>
      <c r="BB1557" s="115"/>
      <c r="BC1557" s="115"/>
      <c r="BD1557" s="115"/>
      <c r="BE1557" s="115"/>
      <c r="BF1557" s="115"/>
      <c r="BG1557" s="115"/>
      <c r="BH1557" s="122"/>
      <c r="BI1557" s="122"/>
      <c r="BJ1557" s="122"/>
      <c r="BK1557" s="115"/>
      <c r="BL1557" s="115"/>
      <c r="BM1557" s="115"/>
      <c r="BN1557" s="115"/>
      <c r="BO1557" s="115"/>
      <c r="BP1557" s="115"/>
      <c r="BQ1557" s="115"/>
      <c r="BR1557" s="115"/>
      <c r="BS1557" s="115"/>
      <c r="BT1557" s="115"/>
      <c r="BU1557" s="115"/>
      <c r="BV1557" s="115"/>
      <c r="BW1557" s="115"/>
      <c r="BX1557" s="115"/>
      <c r="BY1557" s="17"/>
      <c r="BZ1557" s="15"/>
      <c r="CC1557" s="114"/>
    </row>
    <row r="1558" spans="1:81" x14ac:dyDescent="0.4">
      <c r="B1558" s="115"/>
      <c r="C1558" s="115"/>
      <c r="D1558" s="115"/>
      <c r="E1558" s="115"/>
      <c r="F1558" s="115"/>
      <c r="G1558" s="115"/>
      <c r="H1558" s="115"/>
      <c r="I1558" s="115"/>
      <c r="J1558" s="115"/>
      <c r="K1558" s="115"/>
      <c r="L1558" s="115"/>
      <c r="M1558" s="115"/>
      <c r="N1558" s="115"/>
      <c r="O1558" s="115"/>
      <c r="P1558" s="115"/>
      <c r="Q1558" s="115"/>
      <c r="R1558" s="115"/>
      <c r="S1558" s="115"/>
      <c r="T1558" s="115"/>
      <c r="U1558" s="115"/>
      <c r="V1558" s="115"/>
      <c r="W1558" s="115"/>
      <c r="X1558" s="115"/>
      <c r="Y1558" s="115"/>
      <c r="Z1558" s="115"/>
      <c r="AA1558" s="115"/>
      <c r="AB1558" s="115"/>
      <c r="AC1558" s="115"/>
      <c r="AD1558" s="115"/>
      <c r="AE1558" s="115"/>
      <c r="AF1558" s="115"/>
      <c r="AG1558" s="115"/>
      <c r="AH1558" s="115"/>
      <c r="AI1558" s="115"/>
      <c r="AJ1558" s="115"/>
      <c r="AK1558" s="115"/>
      <c r="AL1558" s="115"/>
      <c r="AM1558" s="115"/>
      <c r="AN1558" s="115"/>
      <c r="AO1558" s="115"/>
      <c r="AP1558" s="115"/>
      <c r="AQ1558" s="115"/>
      <c r="AR1558" s="115"/>
      <c r="AS1558" s="115"/>
      <c r="AT1558" s="115"/>
      <c r="AU1558" s="115"/>
      <c r="AV1558" s="115"/>
      <c r="AW1558" s="115"/>
      <c r="AX1558" s="115"/>
      <c r="AY1558" s="115"/>
      <c r="AZ1558" s="115"/>
      <c r="BA1558" s="115"/>
      <c r="BB1558" s="115"/>
      <c r="BC1558" s="115"/>
      <c r="BD1558" s="115"/>
      <c r="BE1558" s="115"/>
      <c r="BF1558" s="115"/>
      <c r="BG1558" s="115"/>
      <c r="BH1558" s="122"/>
      <c r="BI1558" s="122"/>
      <c r="BJ1558" s="122"/>
      <c r="BK1558" s="115"/>
      <c r="BL1558" s="115"/>
      <c r="BM1558" s="115"/>
      <c r="BN1558" s="115"/>
      <c r="BO1558" s="115"/>
      <c r="BP1558" s="115"/>
      <c r="BQ1558" s="115"/>
      <c r="BR1558" s="115"/>
      <c r="BS1558" s="115"/>
      <c r="BT1558" s="115"/>
      <c r="BU1558" s="115"/>
      <c r="BV1558" s="115"/>
      <c r="BW1558" s="115"/>
      <c r="BX1558" s="115"/>
      <c r="BY1558" s="26"/>
      <c r="BZ1558" s="15"/>
      <c r="CC1558" s="114"/>
    </row>
    <row r="1559" spans="1:81" x14ac:dyDescent="0.4">
      <c r="B1559" s="115"/>
      <c r="C1559" s="115"/>
      <c r="D1559" s="115"/>
      <c r="E1559" s="115"/>
      <c r="F1559" s="115"/>
      <c r="G1559" s="115"/>
      <c r="H1559" s="115"/>
      <c r="I1559" s="115"/>
      <c r="J1559" s="115"/>
      <c r="K1559" s="115"/>
      <c r="L1559" s="115"/>
      <c r="M1559" s="115"/>
      <c r="N1559" s="115"/>
      <c r="O1559" s="115"/>
      <c r="P1559" s="115"/>
      <c r="Q1559" s="115"/>
      <c r="R1559" s="115"/>
      <c r="S1559" s="115"/>
      <c r="T1559" s="115"/>
      <c r="U1559" s="115"/>
      <c r="V1559" s="115"/>
      <c r="W1559" s="115"/>
      <c r="X1559" s="115"/>
      <c r="Y1559" s="115"/>
      <c r="Z1559" s="115"/>
      <c r="AA1559" s="115"/>
      <c r="AB1559" s="115"/>
      <c r="AC1559" s="115"/>
      <c r="AD1559" s="115"/>
      <c r="AE1559" s="115"/>
      <c r="AF1559" s="115"/>
      <c r="AG1559" s="115"/>
      <c r="AH1559" s="115"/>
      <c r="AI1559" s="115"/>
      <c r="AJ1559" s="115"/>
      <c r="AK1559" s="115"/>
      <c r="AL1559" s="115"/>
      <c r="AM1559" s="115"/>
      <c r="AN1559" s="115"/>
      <c r="AO1559" s="115"/>
      <c r="AP1559" s="115"/>
      <c r="AQ1559" s="115"/>
      <c r="AR1559" s="115"/>
      <c r="AS1559" s="115"/>
      <c r="AT1559" s="115"/>
      <c r="AU1559" s="115"/>
      <c r="AV1559" s="115"/>
      <c r="AW1559" s="115"/>
      <c r="AX1559" s="115"/>
      <c r="AY1559" s="115"/>
      <c r="AZ1559" s="115"/>
      <c r="BA1559" s="115"/>
      <c r="BB1559" s="115"/>
      <c r="BC1559" s="115"/>
      <c r="BD1559" s="115"/>
      <c r="BE1559" s="115"/>
      <c r="BF1559" s="115"/>
      <c r="BG1559" s="115"/>
      <c r="BH1559" s="122"/>
      <c r="BI1559" s="122"/>
      <c r="BJ1559" s="122"/>
      <c r="BK1559" s="115"/>
      <c r="BL1559" s="115"/>
      <c r="BM1559" s="115"/>
      <c r="BN1559" s="115"/>
      <c r="BO1559" s="115"/>
      <c r="BP1559" s="115"/>
      <c r="BQ1559" s="115"/>
      <c r="BR1559" s="115"/>
      <c r="BS1559" s="115"/>
      <c r="BT1559" s="115"/>
      <c r="BU1559" s="115"/>
      <c r="BV1559" s="115"/>
      <c r="BW1559" s="115"/>
      <c r="BX1559" s="115"/>
      <c r="BY1559" s="26"/>
      <c r="BZ1559" s="15"/>
      <c r="CC1559" s="114"/>
    </row>
    <row r="1560" spans="1:81" x14ac:dyDescent="0.4">
      <c r="B1560" s="115"/>
      <c r="C1560" s="115"/>
      <c r="D1560" s="115"/>
      <c r="E1560" s="115"/>
      <c r="F1560" s="115"/>
      <c r="G1560" s="115"/>
      <c r="H1560" s="115"/>
      <c r="I1560" s="115"/>
      <c r="J1560" s="115"/>
      <c r="K1560" s="115"/>
      <c r="L1560" s="115"/>
      <c r="M1560" s="115"/>
      <c r="N1560" s="115"/>
      <c r="O1560" s="115"/>
      <c r="P1560" s="115"/>
      <c r="Q1560" s="115"/>
      <c r="R1560" s="115"/>
      <c r="S1560" s="115"/>
      <c r="T1560" s="115"/>
      <c r="U1560" s="115"/>
      <c r="V1560" s="115"/>
      <c r="W1560" s="115"/>
      <c r="X1560" s="115"/>
      <c r="Y1560" s="115"/>
      <c r="Z1560" s="115"/>
      <c r="AA1560" s="115"/>
      <c r="AB1560" s="115"/>
      <c r="AC1560" s="115"/>
      <c r="AD1560" s="115"/>
      <c r="AE1560" s="115"/>
      <c r="AF1560" s="115"/>
      <c r="AG1560" s="115"/>
      <c r="AH1560" s="115"/>
      <c r="AI1560" s="115"/>
      <c r="AJ1560" s="115"/>
      <c r="AK1560" s="115"/>
      <c r="AL1560" s="115"/>
      <c r="AM1560" s="115"/>
      <c r="AN1560" s="115"/>
      <c r="AO1560" s="115"/>
      <c r="AP1560" s="115"/>
      <c r="AQ1560" s="115"/>
      <c r="AR1560" s="115"/>
      <c r="AS1560" s="115"/>
      <c r="AT1560" s="115"/>
      <c r="AU1560" s="115"/>
      <c r="AV1560" s="115"/>
      <c r="AW1560" s="115"/>
      <c r="AX1560" s="115"/>
      <c r="AY1560" s="115"/>
      <c r="AZ1560" s="115"/>
      <c r="BA1560" s="115"/>
      <c r="BB1560" s="115"/>
      <c r="BC1560" s="115"/>
      <c r="BD1560" s="115"/>
      <c r="BE1560" s="115"/>
      <c r="BF1560" s="115"/>
      <c r="BG1560" s="115"/>
      <c r="BH1560" s="122"/>
      <c r="BI1560" s="122"/>
      <c r="BJ1560" s="122"/>
      <c r="BK1560" s="115"/>
      <c r="BL1560" s="115"/>
      <c r="BM1560" s="115"/>
      <c r="BN1560" s="115"/>
      <c r="BO1560" s="115"/>
      <c r="BP1560" s="115"/>
      <c r="BQ1560" s="115"/>
      <c r="BR1560" s="115"/>
      <c r="BS1560" s="115"/>
      <c r="BT1560" s="115"/>
      <c r="BU1560" s="115"/>
      <c r="BV1560" s="115"/>
      <c r="BW1560" s="115"/>
      <c r="BX1560" s="115"/>
      <c r="BY1560" s="17"/>
      <c r="BZ1560" s="15"/>
      <c r="CC1560" s="114"/>
    </row>
    <row r="1561" spans="1:81" x14ac:dyDescent="0.4">
      <c r="B1561" s="115"/>
      <c r="C1561" s="115"/>
      <c r="D1561" s="115"/>
      <c r="E1561" s="115"/>
      <c r="F1561" s="115"/>
      <c r="G1561" s="115"/>
      <c r="H1561" s="115"/>
      <c r="I1561" s="115"/>
      <c r="J1561" s="115"/>
      <c r="K1561" s="115"/>
      <c r="L1561" s="115"/>
      <c r="M1561" s="115"/>
      <c r="N1561" s="115"/>
      <c r="O1561" s="115"/>
      <c r="P1561" s="115"/>
      <c r="Q1561" s="115"/>
      <c r="R1561" s="115"/>
      <c r="S1561" s="115"/>
      <c r="T1561" s="115"/>
      <c r="U1561" s="115"/>
      <c r="V1561" s="115"/>
      <c r="W1561" s="115"/>
      <c r="X1561" s="115"/>
      <c r="Y1561" s="115"/>
      <c r="Z1561" s="115"/>
      <c r="AA1561" s="115"/>
      <c r="AB1561" s="115"/>
      <c r="AC1561" s="115"/>
      <c r="AD1561" s="115"/>
      <c r="AE1561" s="115"/>
      <c r="AF1561" s="115"/>
      <c r="AG1561" s="115"/>
      <c r="AH1561" s="115"/>
      <c r="AI1561" s="115"/>
      <c r="AJ1561" s="115"/>
      <c r="AK1561" s="115"/>
      <c r="AL1561" s="115"/>
      <c r="AM1561" s="115"/>
      <c r="AN1561" s="115"/>
      <c r="AO1561" s="115"/>
      <c r="AP1561" s="115"/>
      <c r="AQ1561" s="115"/>
      <c r="AR1561" s="115"/>
      <c r="AS1561" s="115"/>
      <c r="AT1561" s="115"/>
      <c r="AU1561" s="115"/>
      <c r="AV1561" s="115"/>
      <c r="AW1561" s="115"/>
      <c r="AX1561" s="115"/>
      <c r="AY1561" s="115"/>
      <c r="AZ1561" s="115"/>
      <c r="BA1561" s="115"/>
      <c r="BB1561" s="115"/>
      <c r="BC1561" s="115"/>
      <c r="BD1561" s="115"/>
      <c r="BE1561" s="115"/>
      <c r="BF1561" s="115"/>
      <c r="BG1561" s="115"/>
      <c r="BH1561" s="122"/>
      <c r="BI1561" s="122"/>
      <c r="BJ1561" s="122"/>
      <c r="BK1561" s="115"/>
      <c r="BL1561" s="115"/>
      <c r="BM1561" s="115"/>
      <c r="BN1561" s="115"/>
      <c r="BO1561" s="115"/>
      <c r="BP1561" s="115"/>
      <c r="BQ1561" s="115"/>
      <c r="BR1561" s="115"/>
      <c r="BS1561" s="115"/>
      <c r="BT1561" s="115"/>
      <c r="BU1561" s="115"/>
      <c r="BV1561" s="115"/>
      <c r="BW1561" s="115"/>
      <c r="BX1561" s="115"/>
      <c r="BY1561" s="26"/>
      <c r="BZ1561" s="15"/>
      <c r="CC1561" s="114"/>
    </row>
    <row r="1562" spans="1:81" x14ac:dyDescent="0.4">
      <c r="B1562" s="115"/>
      <c r="C1562" s="115"/>
      <c r="D1562" s="115"/>
      <c r="E1562" s="115"/>
      <c r="F1562" s="115"/>
      <c r="G1562" s="115"/>
      <c r="H1562" s="115"/>
      <c r="I1562" s="115"/>
      <c r="J1562" s="115"/>
      <c r="K1562" s="115"/>
      <c r="L1562" s="115"/>
      <c r="M1562" s="115"/>
      <c r="N1562" s="115"/>
      <c r="O1562" s="115"/>
      <c r="P1562" s="115"/>
      <c r="Q1562" s="115"/>
      <c r="R1562" s="115"/>
      <c r="S1562" s="115"/>
      <c r="T1562" s="115"/>
      <c r="U1562" s="115"/>
      <c r="V1562" s="115"/>
      <c r="W1562" s="115"/>
      <c r="X1562" s="115"/>
      <c r="Y1562" s="115"/>
      <c r="Z1562" s="115"/>
      <c r="AA1562" s="115"/>
      <c r="AB1562" s="115"/>
      <c r="AC1562" s="115"/>
      <c r="AD1562" s="115"/>
      <c r="AE1562" s="115"/>
      <c r="AF1562" s="115"/>
      <c r="AG1562" s="115"/>
      <c r="AH1562" s="115"/>
      <c r="AI1562" s="115"/>
      <c r="AJ1562" s="115"/>
      <c r="AK1562" s="115"/>
      <c r="AL1562" s="115"/>
      <c r="AM1562" s="115"/>
      <c r="AN1562" s="115"/>
      <c r="AO1562" s="115"/>
      <c r="AP1562" s="115"/>
      <c r="AQ1562" s="115"/>
      <c r="AR1562" s="115"/>
      <c r="AS1562" s="115"/>
      <c r="AT1562" s="115"/>
      <c r="AU1562" s="115"/>
      <c r="AV1562" s="115"/>
      <c r="AW1562" s="115"/>
      <c r="AX1562" s="115"/>
      <c r="AY1562" s="115"/>
      <c r="AZ1562" s="115"/>
      <c r="BA1562" s="115"/>
      <c r="BB1562" s="115"/>
      <c r="BC1562" s="115"/>
      <c r="BD1562" s="115"/>
      <c r="BE1562" s="115"/>
      <c r="BF1562" s="115"/>
      <c r="BG1562" s="115"/>
      <c r="BH1562" s="122"/>
      <c r="BI1562" s="122"/>
      <c r="BJ1562" s="122"/>
      <c r="BK1562" s="115"/>
      <c r="BL1562" s="115"/>
      <c r="BM1562" s="115"/>
      <c r="BN1562" s="115"/>
      <c r="BO1562" s="115"/>
      <c r="BP1562" s="115"/>
      <c r="BQ1562" s="115"/>
      <c r="BR1562" s="115"/>
      <c r="BS1562" s="115"/>
      <c r="BT1562" s="115"/>
      <c r="BU1562" s="115"/>
      <c r="BV1562" s="115"/>
      <c r="BW1562" s="115"/>
      <c r="BX1562" s="115"/>
      <c r="BY1562" s="26"/>
      <c r="BZ1562" s="15"/>
      <c r="CC1562" s="114"/>
    </row>
    <row r="1563" spans="1:81" x14ac:dyDescent="0.4">
      <c r="A1563" s="115"/>
      <c r="B1563" s="115"/>
      <c r="C1563" s="115"/>
      <c r="D1563" s="115"/>
      <c r="E1563" s="115"/>
      <c r="F1563" s="115"/>
      <c r="G1563" s="115"/>
      <c r="H1563" s="115"/>
      <c r="I1563" s="115"/>
      <c r="J1563" s="115"/>
      <c r="K1563" s="115"/>
      <c r="L1563" s="115"/>
      <c r="M1563" s="115"/>
      <c r="N1563" s="115"/>
      <c r="O1563" s="115"/>
      <c r="P1563" s="115"/>
      <c r="Q1563" s="115"/>
      <c r="R1563" s="115"/>
      <c r="S1563" s="115"/>
      <c r="T1563" s="115"/>
      <c r="U1563" s="115"/>
      <c r="V1563" s="115"/>
      <c r="W1563" s="115"/>
      <c r="X1563" s="115"/>
      <c r="Y1563" s="115"/>
      <c r="Z1563" s="115"/>
      <c r="AA1563" s="115"/>
      <c r="AB1563" s="115"/>
      <c r="AC1563" s="115"/>
      <c r="AD1563" s="115"/>
      <c r="AE1563" s="115"/>
      <c r="AF1563" s="115"/>
      <c r="AG1563" s="115"/>
      <c r="AH1563" s="115"/>
      <c r="AI1563" s="115"/>
      <c r="AJ1563" s="115"/>
      <c r="AK1563" s="115"/>
      <c r="AL1563" s="115"/>
      <c r="AM1563" s="115"/>
      <c r="AN1563" s="115"/>
      <c r="AO1563" s="115"/>
      <c r="AP1563" s="115"/>
      <c r="AQ1563" s="115"/>
      <c r="AR1563" s="115"/>
      <c r="AS1563" s="115"/>
      <c r="AT1563" s="115"/>
      <c r="AU1563" s="115"/>
      <c r="AV1563" s="115"/>
      <c r="AW1563" s="115"/>
      <c r="AX1563" s="115"/>
      <c r="AY1563" s="115"/>
      <c r="AZ1563" s="115"/>
      <c r="BA1563" s="115"/>
      <c r="BB1563" s="115"/>
      <c r="BC1563" s="115"/>
      <c r="BD1563" s="115"/>
      <c r="BE1563" s="115"/>
      <c r="BF1563" s="115"/>
      <c r="BG1563" s="115"/>
      <c r="BH1563" s="122"/>
      <c r="BI1563" s="122"/>
      <c r="BJ1563" s="122"/>
      <c r="BK1563" s="115"/>
      <c r="BL1563" s="115"/>
      <c r="BM1563" s="115"/>
      <c r="BN1563" s="115"/>
      <c r="BO1563" s="115"/>
      <c r="BP1563" s="115"/>
      <c r="BQ1563" s="115"/>
      <c r="BR1563" s="115"/>
      <c r="BS1563" s="115"/>
      <c r="BT1563" s="115"/>
      <c r="BU1563" s="115"/>
      <c r="BV1563" s="115"/>
      <c r="BW1563" s="115"/>
      <c r="BX1563" s="115"/>
      <c r="BY1563" s="26"/>
      <c r="BZ1563" s="105"/>
      <c r="CC1563" s="114"/>
    </row>
    <row r="1564" spans="1:81" x14ac:dyDescent="0.4">
      <c r="A1564" s="115"/>
      <c r="B1564" s="115"/>
      <c r="C1564" s="115"/>
      <c r="D1564" s="115"/>
      <c r="E1564" s="115"/>
      <c r="F1564" s="115"/>
      <c r="G1564" s="115"/>
      <c r="H1564" s="115"/>
      <c r="I1564" s="115"/>
      <c r="J1564" s="115"/>
      <c r="K1564" s="115"/>
      <c r="L1564" s="115"/>
      <c r="M1564" s="115"/>
      <c r="N1564" s="115"/>
      <c r="O1564" s="115"/>
      <c r="P1564" s="115"/>
      <c r="Q1564" s="115"/>
      <c r="R1564" s="115"/>
      <c r="S1564" s="115"/>
      <c r="T1564" s="115"/>
      <c r="U1564" s="115"/>
      <c r="V1564" s="115"/>
      <c r="W1564" s="115"/>
      <c r="X1564" s="115"/>
      <c r="Y1564" s="115"/>
      <c r="Z1564" s="115"/>
      <c r="AA1564" s="115"/>
      <c r="AB1564" s="115"/>
      <c r="AC1564" s="115"/>
      <c r="AD1564" s="115"/>
      <c r="AE1564" s="115"/>
      <c r="AF1564" s="115"/>
      <c r="AG1564" s="115"/>
      <c r="AH1564" s="115"/>
      <c r="AI1564" s="115"/>
      <c r="AJ1564" s="115"/>
      <c r="AK1564" s="115"/>
      <c r="AL1564" s="115"/>
      <c r="AM1564" s="115"/>
      <c r="AN1564" s="115"/>
      <c r="AO1564" s="115"/>
      <c r="AP1564" s="115"/>
      <c r="AQ1564" s="115"/>
      <c r="AR1564" s="115"/>
      <c r="AS1564" s="115"/>
      <c r="AT1564" s="115"/>
      <c r="AU1564" s="115"/>
      <c r="AV1564" s="115"/>
      <c r="AW1564" s="115"/>
      <c r="AX1564" s="115"/>
      <c r="AY1564" s="115"/>
      <c r="AZ1564" s="115"/>
      <c r="BA1564" s="115"/>
      <c r="BB1564" s="115"/>
      <c r="BC1564" s="115"/>
      <c r="BD1564" s="115"/>
      <c r="BE1564" s="115"/>
      <c r="BF1564" s="115"/>
      <c r="BG1564" s="115"/>
      <c r="BH1564" s="122"/>
      <c r="BI1564" s="122"/>
      <c r="BJ1564" s="122"/>
      <c r="BK1564" s="115"/>
      <c r="BL1564" s="115"/>
      <c r="BM1564" s="115"/>
      <c r="BN1564" s="115"/>
      <c r="BO1564" s="115"/>
      <c r="BP1564" s="115"/>
      <c r="BQ1564" s="115"/>
      <c r="BR1564" s="115"/>
      <c r="BS1564" s="115"/>
      <c r="BT1564" s="115"/>
      <c r="BU1564" s="115"/>
      <c r="BV1564" s="115"/>
      <c r="BW1564" s="115"/>
      <c r="BX1564" s="115"/>
      <c r="BY1564" s="17"/>
      <c r="BZ1564" s="15"/>
      <c r="CC1564" s="114"/>
    </row>
    <row r="1565" spans="1:81" x14ac:dyDescent="0.4">
      <c r="A1565" s="115"/>
      <c r="B1565" s="115"/>
      <c r="C1565" s="115"/>
      <c r="D1565" s="115"/>
      <c r="E1565" s="115"/>
      <c r="F1565" s="115"/>
      <c r="G1565" s="115"/>
      <c r="H1565" s="115"/>
      <c r="I1565" s="115"/>
      <c r="J1565" s="115"/>
      <c r="K1565" s="115"/>
      <c r="L1565" s="115"/>
      <c r="M1565" s="115"/>
      <c r="N1565" s="115"/>
      <c r="O1565" s="115"/>
      <c r="P1565" s="115"/>
      <c r="Q1565" s="115"/>
      <c r="R1565" s="115"/>
      <c r="S1565" s="115"/>
      <c r="T1565" s="115"/>
      <c r="U1565" s="115"/>
      <c r="V1565" s="115"/>
      <c r="W1565" s="115"/>
      <c r="X1565" s="115"/>
      <c r="Y1565" s="115"/>
      <c r="Z1565" s="115"/>
      <c r="AA1565" s="115"/>
      <c r="AB1565" s="115"/>
      <c r="AC1565" s="115"/>
      <c r="AD1565" s="115"/>
      <c r="AE1565" s="115"/>
      <c r="AF1565" s="115"/>
      <c r="AG1565" s="115"/>
      <c r="AH1565" s="115"/>
      <c r="AI1565" s="115"/>
      <c r="AJ1565" s="115"/>
      <c r="AK1565" s="115"/>
      <c r="AL1565" s="115"/>
      <c r="AM1565" s="115"/>
      <c r="AN1565" s="115"/>
      <c r="AO1565" s="115"/>
      <c r="AP1565" s="115"/>
      <c r="AQ1565" s="115"/>
      <c r="AR1565" s="115"/>
      <c r="AS1565" s="115"/>
      <c r="AT1565" s="115"/>
      <c r="AU1565" s="115"/>
      <c r="AV1565" s="115"/>
      <c r="AW1565" s="115"/>
      <c r="AX1565" s="115"/>
      <c r="AY1565" s="115"/>
      <c r="AZ1565" s="115"/>
      <c r="BA1565" s="115"/>
      <c r="BB1565" s="115"/>
      <c r="BC1565" s="115"/>
      <c r="BD1565" s="115"/>
      <c r="BE1565" s="115"/>
      <c r="BF1565" s="115"/>
      <c r="BG1565" s="115"/>
      <c r="BH1565" s="122"/>
      <c r="BI1565" s="122"/>
      <c r="BJ1565" s="122"/>
      <c r="BK1565" s="115"/>
      <c r="BL1565" s="115"/>
      <c r="BM1565" s="115"/>
      <c r="BN1565" s="115"/>
      <c r="BO1565" s="115"/>
      <c r="BP1565" s="115"/>
      <c r="BQ1565" s="115"/>
      <c r="BR1565" s="115"/>
      <c r="BS1565" s="115"/>
      <c r="BT1565" s="115"/>
      <c r="BU1565" s="115"/>
      <c r="BV1565" s="115"/>
      <c r="BW1565" s="115"/>
      <c r="BX1565" s="115"/>
      <c r="BY1565" s="17"/>
      <c r="BZ1565" s="15"/>
      <c r="CC1565" s="114"/>
    </row>
    <row r="1566" spans="1:81" x14ac:dyDescent="0.4">
      <c r="A1566" s="115"/>
      <c r="B1566" s="115"/>
      <c r="C1566" s="115"/>
      <c r="D1566" s="115"/>
      <c r="E1566" s="115"/>
      <c r="F1566" s="115"/>
      <c r="G1566" s="115"/>
      <c r="H1566" s="115"/>
      <c r="I1566" s="115"/>
      <c r="J1566" s="115"/>
      <c r="K1566" s="115"/>
      <c r="L1566" s="115"/>
      <c r="M1566" s="115"/>
      <c r="N1566" s="115"/>
      <c r="O1566" s="115"/>
      <c r="P1566" s="115"/>
      <c r="Q1566" s="115"/>
      <c r="R1566" s="115"/>
      <c r="S1566" s="115"/>
      <c r="T1566" s="115"/>
      <c r="U1566" s="115"/>
      <c r="V1566" s="115"/>
      <c r="W1566" s="115"/>
      <c r="X1566" s="115"/>
      <c r="Y1566" s="115"/>
      <c r="Z1566" s="115"/>
      <c r="AA1566" s="115"/>
      <c r="AB1566" s="115"/>
      <c r="AC1566" s="115"/>
      <c r="AD1566" s="115"/>
      <c r="AE1566" s="115"/>
      <c r="AF1566" s="115"/>
      <c r="AG1566" s="115"/>
      <c r="AH1566" s="115"/>
      <c r="AI1566" s="115"/>
      <c r="AJ1566" s="115"/>
      <c r="AK1566" s="115"/>
      <c r="AL1566" s="115"/>
      <c r="AM1566" s="115"/>
      <c r="AN1566" s="115"/>
      <c r="AO1566" s="115"/>
      <c r="AP1566" s="115"/>
      <c r="AQ1566" s="115"/>
      <c r="AR1566" s="115"/>
      <c r="AS1566" s="115"/>
      <c r="AT1566" s="115"/>
      <c r="AU1566" s="115"/>
      <c r="AV1566" s="115"/>
      <c r="AW1566" s="115"/>
      <c r="AX1566" s="115"/>
      <c r="AY1566" s="115"/>
      <c r="AZ1566" s="115"/>
      <c r="BA1566" s="115"/>
      <c r="BB1566" s="115"/>
      <c r="BC1566" s="115"/>
      <c r="BD1566" s="115"/>
      <c r="BE1566" s="115"/>
      <c r="BF1566" s="115"/>
      <c r="BG1566" s="115"/>
      <c r="BH1566" s="122"/>
      <c r="BI1566" s="122"/>
      <c r="BJ1566" s="122"/>
      <c r="BK1566" s="115"/>
      <c r="BL1566" s="115"/>
      <c r="BM1566" s="115"/>
      <c r="BN1566" s="115"/>
      <c r="BO1566" s="115"/>
      <c r="BP1566" s="115"/>
      <c r="BQ1566" s="115"/>
      <c r="BR1566" s="115"/>
      <c r="BS1566" s="115"/>
      <c r="BT1566" s="115"/>
      <c r="BU1566" s="115"/>
      <c r="BV1566" s="115"/>
      <c r="BW1566" s="115"/>
      <c r="BX1566" s="115"/>
      <c r="BY1566" s="26"/>
      <c r="BZ1566" s="15"/>
      <c r="CC1566" s="114"/>
    </row>
    <row r="1567" spans="1:81" x14ac:dyDescent="0.4">
      <c r="A1567" s="115"/>
      <c r="B1567" s="115"/>
      <c r="C1567" s="115"/>
      <c r="D1567" s="115"/>
      <c r="E1567" s="115"/>
      <c r="F1567" s="115"/>
      <c r="G1567" s="115"/>
      <c r="H1567" s="115"/>
      <c r="I1567" s="115"/>
      <c r="J1567" s="115"/>
      <c r="K1567" s="115"/>
      <c r="L1567" s="115"/>
      <c r="M1567" s="115"/>
      <c r="N1567" s="115"/>
      <c r="O1567" s="115"/>
      <c r="P1567" s="115"/>
      <c r="Q1567" s="115"/>
      <c r="R1567" s="115"/>
      <c r="S1567" s="115"/>
      <c r="T1567" s="115"/>
      <c r="U1567" s="115"/>
      <c r="V1567" s="115"/>
      <c r="W1567" s="115"/>
      <c r="X1567" s="115"/>
      <c r="Y1567" s="115"/>
      <c r="Z1567" s="115"/>
      <c r="AA1567" s="115"/>
      <c r="AB1567" s="115"/>
      <c r="AC1567" s="115"/>
      <c r="AD1567" s="115"/>
      <c r="AE1567" s="115"/>
      <c r="AF1567" s="115"/>
      <c r="AG1567" s="115"/>
      <c r="AH1567" s="115"/>
      <c r="AI1567" s="115"/>
      <c r="AJ1567" s="115"/>
      <c r="AK1567" s="115"/>
      <c r="AL1567" s="115"/>
      <c r="AM1567" s="115"/>
      <c r="AN1567" s="115"/>
      <c r="AO1567" s="115"/>
      <c r="AP1567" s="115"/>
      <c r="AQ1567" s="115"/>
      <c r="AR1567" s="115"/>
      <c r="AS1567" s="115"/>
      <c r="AT1567" s="115"/>
      <c r="AU1567" s="115"/>
      <c r="AV1567" s="115"/>
      <c r="AW1567" s="115"/>
      <c r="AX1567" s="115"/>
      <c r="AY1567" s="115"/>
      <c r="AZ1567" s="115"/>
      <c r="BA1567" s="115"/>
      <c r="BB1567" s="115"/>
      <c r="BC1567" s="115"/>
      <c r="BD1567" s="115"/>
      <c r="BE1567" s="115"/>
      <c r="BF1567" s="115"/>
      <c r="BG1567" s="115"/>
      <c r="BH1567" s="122"/>
      <c r="BI1567" s="122"/>
      <c r="BJ1567" s="122"/>
      <c r="BK1567" s="115"/>
      <c r="BL1567" s="115"/>
      <c r="BM1567" s="115"/>
      <c r="BN1567" s="115"/>
      <c r="BO1567" s="115"/>
      <c r="BP1567" s="115"/>
      <c r="BQ1567" s="115"/>
      <c r="BR1567" s="115"/>
      <c r="BS1567" s="115"/>
      <c r="BT1567" s="115"/>
      <c r="BU1567" s="115"/>
      <c r="BV1567" s="115"/>
      <c r="BW1567" s="115"/>
      <c r="BX1567" s="115"/>
      <c r="BY1567" s="26"/>
      <c r="BZ1567" s="15"/>
      <c r="CC1567" s="114"/>
    </row>
    <row r="1568" spans="1:81" x14ac:dyDescent="0.4">
      <c r="A1568" s="115"/>
      <c r="B1568" s="115"/>
      <c r="C1568" s="115"/>
      <c r="D1568" s="115"/>
      <c r="E1568" s="115"/>
      <c r="F1568" s="115"/>
      <c r="G1568" s="115"/>
      <c r="H1568" s="115"/>
      <c r="I1568" s="115"/>
      <c r="J1568" s="115"/>
      <c r="K1568" s="115"/>
      <c r="L1568" s="115"/>
      <c r="M1568" s="115"/>
      <c r="N1568" s="115"/>
      <c r="O1568" s="115"/>
      <c r="P1568" s="115"/>
      <c r="Q1568" s="115"/>
      <c r="R1568" s="115"/>
      <c r="S1568" s="115"/>
      <c r="T1568" s="115"/>
      <c r="U1568" s="115"/>
      <c r="V1568" s="115"/>
      <c r="W1568" s="115"/>
      <c r="X1568" s="115"/>
      <c r="Y1568" s="115"/>
      <c r="Z1568" s="115"/>
      <c r="AA1568" s="115"/>
      <c r="AB1568" s="115"/>
      <c r="AC1568" s="115"/>
      <c r="AD1568" s="115"/>
      <c r="AE1568" s="115"/>
      <c r="AF1568" s="115"/>
      <c r="AG1568" s="115"/>
      <c r="AH1568" s="115"/>
      <c r="AI1568" s="115"/>
      <c r="AJ1568" s="115"/>
      <c r="AK1568" s="115"/>
      <c r="AL1568" s="115"/>
      <c r="AM1568" s="115"/>
      <c r="AN1568" s="115"/>
      <c r="AO1568" s="115"/>
      <c r="AP1568" s="115"/>
      <c r="AQ1568" s="115"/>
      <c r="AR1568" s="115"/>
      <c r="AS1568" s="115"/>
      <c r="AT1568" s="115"/>
      <c r="AU1568" s="115"/>
      <c r="AV1568" s="115"/>
      <c r="AW1568" s="115"/>
      <c r="AX1568" s="115"/>
      <c r="AY1568" s="115"/>
      <c r="AZ1568" s="115"/>
      <c r="BA1568" s="115"/>
      <c r="BB1568" s="115"/>
      <c r="BC1568" s="115"/>
      <c r="BD1568" s="115"/>
      <c r="BE1568" s="115"/>
      <c r="BF1568" s="115"/>
      <c r="BG1568" s="115"/>
      <c r="BH1568" s="122"/>
      <c r="BI1568" s="122"/>
      <c r="BJ1568" s="122"/>
      <c r="BK1568" s="115"/>
      <c r="BL1568" s="115"/>
      <c r="BM1568" s="115"/>
      <c r="BN1568" s="115"/>
      <c r="BO1568" s="115"/>
      <c r="BP1568" s="115"/>
      <c r="BQ1568" s="115"/>
      <c r="BR1568" s="115"/>
      <c r="BS1568" s="115"/>
      <c r="BT1568" s="115"/>
      <c r="BU1568" s="115"/>
      <c r="BV1568" s="115"/>
      <c r="BW1568" s="115"/>
      <c r="BX1568" s="115"/>
      <c r="BY1568" s="26"/>
      <c r="BZ1568" s="15"/>
      <c r="CC1568" s="114"/>
    </row>
    <row r="1569" spans="1:81" x14ac:dyDescent="0.4">
      <c r="A1569" s="115"/>
      <c r="B1569" s="115"/>
      <c r="C1569" s="115"/>
      <c r="D1569" s="115"/>
      <c r="E1569" s="115"/>
      <c r="F1569" s="115"/>
      <c r="G1569" s="115"/>
      <c r="H1569" s="115"/>
      <c r="I1569" s="115"/>
      <c r="J1569" s="115"/>
      <c r="K1569" s="115"/>
      <c r="L1569" s="115"/>
      <c r="M1569" s="115"/>
      <c r="N1569" s="115"/>
      <c r="O1569" s="115"/>
      <c r="P1569" s="115"/>
      <c r="Q1569" s="115"/>
      <c r="R1569" s="115"/>
      <c r="S1569" s="115"/>
      <c r="T1569" s="115"/>
      <c r="U1569" s="115"/>
      <c r="V1569" s="115"/>
      <c r="W1569" s="115"/>
      <c r="X1569" s="115"/>
      <c r="Y1569" s="115"/>
      <c r="Z1569" s="115"/>
      <c r="AA1569" s="115"/>
      <c r="AB1569" s="115"/>
      <c r="AC1569" s="115"/>
      <c r="AD1569" s="115"/>
      <c r="AE1569" s="115"/>
      <c r="AF1569" s="115"/>
      <c r="AG1569" s="115"/>
      <c r="AH1569" s="115"/>
      <c r="AI1569" s="115"/>
      <c r="AJ1569" s="115"/>
      <c r="AK1569" s="115"/>
      <c r="AL1569" s="115"/>
      <c r="AM1569" s="115"/>
      <c r="AN1569" s="115"/>
      <c r="AO1569" s="115"/>
      <c r="AP1569" s="115"/>
      <c r="AQ1569" s="115"/>
      <c r="AR1569" s="115"/>
      <c r="AS1569" s="115"/>
      <c r="AT1569" s="115"/>
      <c r="AU1569" s="115"/>
      <c r="AV1569" s="115"/>
      <c r="AW1569" s="115"/>
      <c r="AX1569" s="115"/>
      <c r="AY1569" s="115"/>
      <c r="AZ1569" s="115"/>
      <c r="BA1569" s="115"/>
      <c r="BB1569" s="115"/>
      <c r="BC1569" s="115"/>
      <c r="BD1569" s="115"/>
      <c r="BE1569" s="115"/>
      <c r="BF1569" s="115"/>
      <c r="BG1569" s="115"/>
      <c r="BH1569" s="122"/>
      <c r="BI1569" s="122"/>
      <c r="BJ1569" s="122"/>
      <c r="BK1569" s="115"/>
      <c r="BL1569" s="115"/>
      <c r="BM1569" s="115"/>
      <c r="BN1569" s="115"/>
      <c r="BO1569" s="115"/>
      <c r="BP1569" s="115"/>
      <c r="BQ1569" s="115"/>
      <c r="BR1569" s="115"/>
      <c r="BS1569" s="115"/>
      <c r="BT1569" s="115"/>
      <c r="BU1569" s="115"/>
      <c r="BV1569" s="115"/>
      <c r="BW1569" s="115"/>
      <c r="BX1569" s="115"/>
      <c r="BY1569" s="26"/>
      <c r="BZ1569" s="15"/>
      <c r="CC1569" s="114"/>
    </row>
    <row r="1570" spans="1:81" x14ac:dyDescent="0.4">
      <c r="A1570" s="115"/>
      <c r="B1570" s="115"/>
      <c r="C1570" s="115"/>
      <c r="D1570" s="115"/>
      <c r="E1570" s="115"/>
      <c r="F1570" s="115"/>
      <c r="G1570" s="115"/>
      <c r="H1570" s="115"/>
      <c r="I1570" s="115"/>
      <c r="J1570" s="115"/>
      <c r="K1570" s="115"/>
      <c r="L1570" s="115"/>
      <c r="M1570" s="115"/>
      <c r="N1570" s="115"/>
      <c r="O1570" s="115"/>
      <c r="P1570" s="115"/>
      <c r="Q1570" s="115"/>
      <c r="R1570" s="115"/>
      <c r="S1570" s="115"/>
      <c r="T1570" s="115"/>
      <c r="U1570" s="115"/>
      <c r="V1570" s="115"/>
      <c r="W1570" s="115"/>
      <c r="X1570" s="115"/>
      <c r="Y1570" s="115"/>
      <c r="Z1570" s="115"/>
      <c r="AA1570" s="115"/>
      <c r="AB1570" s="115"/>
      <c r="AC1570" s="115"/>
      <c r="AD1570" s="115"/>
      <c r="AE1570" s="115"/>
      <c r="AF1570" s="115"/>
      <c r="AG1570" s="115"/>
      <c r="AH1570" s="115"/>
      <c r="AI1570" s="115"/>
      <c r="AJ1570" s="115"/>
      <c r="AK1570" s="115"/>
      <c r="AL1570" s="115"/>
      <c r="AM1570" s="115"/>
      <c r="AN1570" s="115"/>
      <c r="AO1570" s="115"/>
      <c r="AP1570" s="115"/>
      <c r="AQ1570" s="115"/>
      <c r="AR1570" s="115"/>
      <c r="AS1570" s="115"/>
      <c r="AT1570" s="115"/>
      <c r="AU1570" s="115"/>
      <c r="AV1570" s="115"/>
      <c r="AW1570" s="115"/>
      <c r="AX1570" s="115"/>
      <c r="AY1570" s="115"/>
      <c r="AZ1570" s="115"/>
      <c r="BA1570" s="115"/>
      <c r="BB1570" s="115"/>
      <c r="BC1570" s="115"/>
      <c r="BD1570" s="115"/>
      <c r="BE1570" s="115"/>
      <c r="BF1570" s="115"/>
      <c r="BG1570" s="115"/>
      <c r="BH1570" s="122"/>
      <c r="BI1570" s="122"/>
      <c r="BJ1570" s="122"/>
      <c r="BK1570" s="115"/>
      <c r="BL1570" s="115"/>
      <c r="BM1570" s="115"/>
      <c r="BN1570" s="115"/>
      <c r="BO1570" s="115"/>
      <c r="BP1570" s="115"/>
      <c r="BQ1570" s="115"/>
      <c r="BR1570" s="115"/>
      <c r="BS1570" s="115"/>
      <c r="BT1570" s="115"/>
      <c r="BU1570" s="115"/>
      <c r="BV1570" s="115"/>
      <c r="BW1570" s="115"/>
      <c r="BX1570" s="115"/>
      <c r="BY1570" s="26"/>
      <c r="BZ1570" s="15"/>
      <c r="CC1570" s="114"/>
    </row>
    <row r="1571" spans="1:81" x14ac:dyDescent="0.4">
      <c r="A1571" s="115"/>
      <c r="B1571" s="115"/>
      <c r="C1571" s="115"/>
      <c r="D1571" s="115"/>
      <c r="E1571" s="115"/>
      <c r="F1571" s="115"/>
      <c r="G1571" s="115"/>
      <c r="H1571" s="115"/>
      <c r="I1571" s="115"/>
      <c r="J1571" s="115"/>
      <c r="K1571" s="115"/>
      <c r="L1571" s="115"/>
      <c r="M1571" s="115"/>
      <c r="N1571" s="115"/>
      <c r="O1571" s="115"/>
      <c r="P1571" s="115"/>
      <c r="Q1571" s="115"/>
      <c r="R1571" s="115"/>
      <c r="S1571" s="115"/>
      <c r="T1571" s="115"/>
      <c r="U1571" s="115"/>
      <c r="V1571" s="115"/>
      <c r="W1571" s="115"/>
      <c r="X1571" s="115"/>
      <c r="Y1571" s="115"/>
      <c r="Z1571" s="115"/>
      <c r="AA1571" s="115"/>
      <c r="AB1571" s="115"/>
      <c r="AC1571" s="115"/>
      <c r="AD1571" s="115"/>
      <c r="AE1571" s="115"/>
      <c r="AF1571" s="115"/>
      <c r="AG1571" s="115"/>
      <c r="AH1571" s="115"/>
      <c r="AI1571" s="115"/>
      <c r="AJ1571" s="115"/>
      <c r="AK1571" s="115"/>
      <c r="AL1571" s="115"/>
      <c r="AM1571" s="115"/>
      <c r="AN1571" s="115"/>
      <c r="AO1571" s="115"/>
      <c r="AP1571" s="115"/>
      <c r="AQ1571" s="115"/>
      <c r="AR1571" s="115"/>
      <c r="AS1571" s="115"/>
      <c r="AT1571" s="115"/>
      <c r="AU1571" s="115"/>
      <c r="AV1571" s="115"/>
      <c r="AW1571" s="115"/>
      <c r="AX1571" s="115"/>
      <c r="AY1571" s="115"/>
      <c r="AZ1571" s="115"/>
      <c r="BA1571" s="115"/>
      <c r="BB1571" s="115"/>
      <c r="BC1571" s="115"/>
      <c r="BD1571" s="115"/>
      <c r="BE1571" s="115"/>
      <c r="BF1571" s="115"/>
      <c r="BG1571" s="115"/>
      <c r="BH1571" s="122"/>
      <c r="BI1571" s="122"/>
      <c r="BJ1571" s="122"/>
      <c r="BK1571" s="115"/>
      <c r="BL1571" s="115"/>
      <c r="BM1571" s="115"/>
      <c r="BN1571" s="115"/>
      <c r="BO1571" s="115"/>
      <c r="BP1571" s="115"/>
      <c r="BQ1571" s="115"/>
      <c r="BR1571" s="115"/>
      <c r="BS1571" s="115"/>
      <c r="BT1571" s="115"/>
      <c r="BU1571" s="115"/>
      <c r="BV1571" s="115"/>
      <c r="BW1571" s="115"/>
      <c r="BX1571" s="115"/>
      <c r="BY1571" s="26"/>
      <c r="BZ1571" s="15"/>
      <c r="CC1571" s="114"/>
    </row>
    <row r="1572" spans="1:81" x14ac:dyDescent="0.4">
      <c r="A1572" s="115"/>
      <c r="B1572" s="115"/>
      <c r="C1572" s="115"/>
      <c r="D1572" s="115"/>
      <c r="E1572" s="115"/>
      <c r="F1572" s="115"/>
      <c r="G1572" s="115"/>
      <c r="H1572" s="115"/>
      <c r="I1572" s="115"/>
      <c r="J1572" s="115"/>
      <c r="K1572" s="115"/>
      <c r="L1572" s="115"/>
      <c r="M1572" s="115"/>
      <c r="N1572" s="115"/>
      <c r="O1572" s="115"/>
      <c r="P1572" s="115"/>
      <c r="Q1572" s="115"/>
      <c r="R1572" s="115"/>
      <c r="S1572" s="115"/>
      <c r="T1572" s="115"/>
      <c r="U1572" s="115"/>
      <c r="V1572" s="115"/>
      <c r="W1572" s="115"/>
      <c r="X1572" s="115"/>
      <c r="Y1572" s="115"/>
      <c r="Z1572" s="115"/>
      <c r="AA1572" s="115"/>
      <c r="AB1572" s="115"/>
      <c r="AC1572" s="115"/>
      <c r="AD1572" s="115"/>
      <c r="AE1572" s="115"/>
      <c r="AF1572" s="115"/>
      <c r="AG1572" s="115"/>
      <c r="AH1572" s="115"/>
      <c r="AI1572" s="115"/>
      <c r="AJ1572" s="115"/>
      <c r="AK1572" s="115"/>
      <c r="AL1572" s="115"/>
      <c r="AM1572" s="115"/>
      <c r="AN1572" s="115"/>
      <c r="AO1572" s="115"/>
      <c r="AP1572" s="115"/>
      <c r="AQ1572" s="115"/>
      <c r="AR1572" s="115"/>
      <c r="AS1572" s="115"/>
      <c r="AT1572" s="115"/>
      <c r="AU1572" s="115"/>
      <c r="AV1572" s="115"/>
      <c r="AW1572" s="115"/>
      <c r="AX1572" s="115"/>
      <c r="AY1572" s="115"/>
      <c r="AZ1572" s="115"/>
      <c r="BA1572" s="115"/>
      <c r="BB1572" s="115"/>
      <c r="BC1572" s="115"/>
      <c r="BD1572" s="115"/>
      <c r="BE1572" s="115"/>
      <c r="BF1572" s="115"/>
      <c r="BG1572" s="115"/>
      <c r="BH1572" s="122"/>
      <c r="BI1572" s="122"/>
      <c r="BJ1572" s="122"/>
      <c r="BK1572" s="115"/>
      <c r="BL1572" s="115"/>
      <c r="BM1572" s="115"/>
      <c r="BN1572" s="115"/>
      <c r="BO1572" s="115"/>
      <c r="BP1572" s="115"/>
      <c r="BQ1572" s="115"/>
      <c r="BR1572" s="115"/>
      <c r="BS1572" s="115"/>
      <c r="BT1572" s="115"/>
      <c r="BU1572" s="115"/>
      <c r="BV1572" s="115"/>
      <c r="BW1572" s="115"/>
      <c r="BX1572" s="115"/>
      <c r="BY1572" s="26"/>
      <c r="BZ1572" s="15"/>
      <c r="CC1572" s="114"/>
    </row>
    <row r="1573" spans="1:81" x14ac:dyDescent="0.4">
      <c r="A1573" s="115"/>
      <c r="B1573" s="115"/>
      <c r="C1573" s="115"/>
      <c r="D1573" s="115"/>
      <c r="E1573" s="115"/>
      <c r="F1573" s="115"/>
      <c r="G1573" s="115"/>
      <c r="H1573" s="115"/>
      <c r="I1573" s="115"/>
      <c r="J1573" s="115"/>
      <c r="K1573" s="115"/>
      <c r="L1573" s="115"/>
      <c r="M1573" s="115"/>
      <c r="N1573" s="115"/>
      <c r="O1573" s="115"/>
      <c r="P1573" s="115"/>
      <c r="Q1573" s="115"/>
      <c r="R1573" s="115"/>
      <c r="S1573" s="115"/>
      <c r="T1573" s="115"/>
      <c r="U1573" s="115"/>
      <c r="V1573" s="115"/>
      <c r="W1573" s="115"/>
      <c r="X1573" s="115"/>
      <c r="Y1573" s="115"/>
      <c r="Z1573" s="115"/>
      <c r="AA1573" s="115"/>
      <c r="AB1573" s="115"/>
      <c r="AC1573" s="115"/>
      <c r="AD1573" s="115"/>
      <c r="AE1573" s="115"/>
      <c r="AF1573" s="115"/>
      <c r="AG1573" s="115"/>
      <c r="AH1573" s="115"/>
      <c r="AI1573" s="115"/>
      <c r="AJ1573" s="115"/>
      <c r="AK1573" s="115"/>
      <c r="AL1573" s="115"/>
      <c r="AM1573" s="115"/>
      <c r="AN1573" s="115"/>
      <c r="AO1573" s="115"/>
      <c r="AP1573" s="115"/>
      <c r="AQ1573" s="115"/>
      <c r="AR1573" s="115"/>
      <c r="AS1573" s="115"/>
      <c r="AT1573" s="115"/>
      <c r="AU1573" s="115"/>
      <c r="AV1573" s="115"/>
      <c r="AW1573" s="115"/>
      <c r="AX1573" s="115"/>
      <c r="AY1573" s="115"/>
      <c r="AZ1573" s="115"/>
      <c r="BA1573" s="115"/>
      <c r="BB1573" s="115"/>
      <c r="BC1573" s="115"/>
      <c r="BD1573" s="115"/>
      <c r="BE1573" s="115"/>
      <c r="BF1573" s="115"/>
      <c r="BG1573" s="115"/>
      <c r="BH1573" s="122"/>
      <c r="BI1573" s="122"/>
      <c r="BJ1573" s="122"/>
      <c r="BK1573" s="115"/>
      <c r="BL1573" s="115"/>
      <c r="BM1573" s="115"/>
      <c r="BN1573" s="115"/>
      <c r="BO1573" s="115"/>
      <c r="BP1573" s="115"/>
      <c r="BQ1573" s="115"/>
      <c r="BR1573" s="115"/>
      <c r="BS1573" s="115"/>
      <c r="BT1573" s="115"/>
      <c r="BU1573" s="115"/>
      <c r="BV1573" s="115"/>
      <c r="BW1573" s="115"/>
      <c r="BX1573" s="115"/>
      <c r="BY1573" s="26"/>
      <c r="BZ1573" s="15"/>
      <c r="CC1573" s="114"/>
    </row>
    <row r="1574" spans="1:81" x14ac:dyDescent="0.4">
      <c r="A1574" s="115"/>
      <c r="B1574" s="115"/>
      <c r="C1574" s="115"/>
      <c r="D1574" s="115"/>
      <c r="E1574" s="115"/>
      <c r="F1574" s="115"/>
      <c r="G1574" s="115"/>
      <c r="H1574" s="115"/>
      <c r="I1574" s="115"/>
      <c r="J1574" s="115"/>
      <c r="K1574" s="115"/>
      <c r="L1574" s="115"/>
      <c r="M1574" s="115"/>
      <c r="N1574" s="115"/>
      <c r="O1574" s="115"/>
      <c r="P1574" s="115"/>
      <c r="Q1574" s="115"/>
      <c r="R1574" s="115"/>
      <c r="S1574" s="115"/>
      <c r="T1574" s="115"/>
      <c r="U1574" s="115"/>
      <c r="V1574" s="115"/>
      <c r="W1574" s="115"/>
      <c r="X1574" s="115"/>
      <c r="Y1574" s="115"/>
      <c r="Z1574" s="115"/>
      <c r="AA1574" s="115"/>
      <c r="AB1574" s="115"/>
      <c r="AC1574" s="115"/>
      <c r="AD1574" s="115"/>
      <c r="AE1574" s="115"/>
      <c r="AF1574" s="115"/>
      <c r="AG1574" s="115"/>
      <c r="AH1574" s="115"/>
      <c r="AI1574" s="115"/>
      <c r="AJ1574" s="115"/>
      <c r="AK1574" s="115"/>
      <c r="AL1574" s="115"/>
      <c r="AM1574" s="115"/>
      <c r="AN1574" s="115"/>
      <c r="AO1574" s="115"/>
      <c r="AP1574" s="115"/>
      <c r="AQ1574" s="115"/>
      <c r="AR1574" s="115"/>
      <c r="AS1574" s="115"/>
      <c r="AT1574" s="115"/>
      <c r="AU1574" s="115"/>
      <c r="AV1574" s="115"/>
      <c r="AW1574" s="115"/>
      <c r="AX1574" s="115"/>
      <c r="AY1574" s="115"/>
      <c r="AZ1574" s="115"/>
      <c r="BA1574" s="115"/>
      <c r="BB1574" s="115"/>
      <c r="BC1574" s="115"/>
      <c r="BD1574" s="115"/>
      <c r="BE1574" s="115"/>
      <c r="BF1574" s="115"/>
      <c r="BG1574" s="115"/>
      <c r="BH1574" s="122"/>
      <c r="BI1574" s="122"/>
      <c r="BJ1574" s="122"/>
      <c r="BK1574" s="115"/>
      <c r="BL1574" s="115"/>
      <c r="BM1574" s="115"/>
      <c r="BN1574" s="115"/>
      <c r="BO1574" s="115"/>
      <c r="BP1574" s="115"/>
      <c r="BQ1574" s="115"/>
      <c r="BR1574" s="115"/>
      <c r="BS1574" s="115"/>
      <c r="BT1574" s="115"/>
      <c r="BU1574" s="115"/>
      <c r="BV1574" s="115"/>
      <c r="BW1574" s="115"/>
      <c r="BX1574" s="115"/>
      <c r="BY1574" s="26"/>
      <c r="BZ1574" s="105"/>
      <c r="CC1574" s="114"/>
    </row>
    <row r="1575" spans="1:81" x14ac:dyDescent="0.4">
      <c r="A1575" s="115"/>
      <c r="B1575" s="115"/>
      <c r="C1575" s="115"/>
      <c r="D1575" s="115"/>
      <c r="E1575" s="115"/>
      <c r="F1575" s="115"/>
      <c r="G1575" s="115"/>
      <c r="H1575" s="115"/>
      <c r="I1575" s="115"/>
      <c r="J1575" s="115"/>
      <c r="K1575" s="115"/>
      <c r="L1575" s="115"/>
      <c r="M1575" s="115"/>
      <c r="N1575" s="115"/>
      <c r="O1575" s="115"/>
      <c r="P1575" s="115"/>
      <c r="Q1575" s="115"/>
      <c r="R1575" s="115"/>
      <c r="S1575" s="115"/>
      <c r="T1575" s="115"/>
      <c r="U1575" s="115"/>
      <c r="V1575" s="115"/>
      <c r="W1575" s="115"/>
      <c r="X1575" s="115"/>
      <c r="Y1575" s="115"/>
      <c r="Z1575" s="115"/>
      <c r="AA1575" s="115"/>
      <c r="AB1575" s="115"/>
      <c r="AC1575" s="115"/>
      <c r="AD1575" s="115"/>
      <c r="AE1575" s="115"/>
      <c r="AF1575" s="115"/>
      <c r="AG1575" s="115"/>
      <c r="AH1575" s="115"/>
      <c r="AI1575" s="115"/>
      <c r="AJ1575" s="115"/>
      <c r="AK1575" s="115"/>
      <c r="AL1575" s="115"/>
      <c r="AM1575" s="115"/>
      <c r="AN1575" s="115"/>
      <c r="AO1575" s="115"/>
      <c r="AP1575" s="115"/>
      <c r="AQ1575" s="115"/>
      <c r="AR1575" s="115"/>
      <c r="AS1575" s="115"/>
      <c r="AT1575" s="115"/>
      <c r="AU1575" s="115"/>
      <c r="AV1575" s="115"/>
      <c r="AW1575" s="115"/>
      <c r="AX1575" s="115"/>
      <c r="AY1575" s="115"/>
      <c r="AZ1575" s="115"/>
      <c r="BA1575" s="115"/>
      <c r="BB1575" s="115"/>
      <c r="BC1575" s="115"/>
      <c r="BD1575" s="115"/>
      <c r="BE1575" s="115"/>
      <c r="BF1575" s="115"/>
      <c r="BG1575" s="115"/>
      <c r="BH1575" s="122"/>
      <c r="BI1575" s="122"/>
      <c r="BJ1575" s="122"/>
      <c r="BK1575" s="115"/>
      <c r="BL1575" s="115"/>
      <c r="BM1575" s="115"/>
      <c r="BN1575" s="115"/>
      <c r="BO1575" s="115"/>
      <c r="BP1575" s="115"/>
      <c r="BQ1575" s="115"/>
      <c r="BR1575" s="115"/>
      <c r="BS1575" s="115"/>
      <c r="BT1575" s="115"/>
      <c r="BU1575" s="115"/>
      <c r="BV1575" s="115"/>
      <c r="BW1575" s="115"/>
      <c r="BX1575" s="115"/>
      <c r="BY1575" s="26"/>
      <c r="BZ1575" s="15"/>
      <c r="CC1575" s="114"/>
    </row>
    <row r="1576" spans="1:81" x14ac:dyDescent="0.4">
      <c r="A1576" s="115"/>
      <c r="B1576" s="115"/>
      <c r="C1576" s="115"/>
      <c r="D1576" s="115"/>
      <c r="E1576" s="115"/>
      <c r="F1576" s="115"/>
      <c r="G1576" s="115"/>
      <c r="H1576" s="115"/>
      <c r="I1576" s="115"/>
      <c r="J1576" s="115"/>
      <c r="K1576" s="115"/>
      <c r="L1576" s="115"/>
      <c r="M1576" s="115"/>
      <c r="N1576" s="115"/>
      <c r="O1576" s="115"/>
      <c r="P1576" s="115"/>
      <c r="Q1576" s="115"/>
      <c r="R1576" s="115"/>
      <c r="S1576" s="115"/>
      <c r="T1576" s="115"/>
      <c r="U1576" s="115"/>
      <c r="V1576" s="115"/>
      <c r="W1576" s="115"/>
      <c r="X1576" s="115"/>
      <c r="Y1576" s="115"/>
      <c r="Z1576" s="115"/>
      <c r="AA1576" s="115"/>
      <c r="AB1576" s="115"/>
      <c r="AC1576" s="115"/>
      <c r="AD1576" s="115"/>
      <c r="AE1576" s="115"/>
      <c r="AF1576" s="115"/>
      <c r="AG1576" s="115"/>
      <c r="AH1576" s="115"/>
      <c r="AI1576" s="115"/>
      <c r="AJ1576" s="115"/>
      <c r="AK1576" s="115"/>
      <c r="AL1576" s="115"/>
      <c r="AM1576" s="115"/>
      <c r="AN1576" s="115"/>
      <c r="AO1576" s="115"/>
      <c r="AP1576" s="115"/>
      <c r="AQ1576" s="115"/>
      <c r="AR1576" s="115"/>
      <c r="AS1576" s="115"/>
      <c r="AT1576" s="115"/>
      <c r="AU1576" s="115"/>
      <c r="AV1576" s="115"/>
      <c r="AW1576" s="115"/>
      <c r="AX1576" s="115"/>
      <c r="AY1576" s="115"/>
      <c r="AZ1576" s="115"/>
      <c r="BA1576" s="115"/>
      <c r="BB1576" s="115"/>
      <c r="BC1576" s="115"/>
      <c r="BD1576" s="115"/>
      <c r="BE1576" s="115"/>
      <c r="BF1576" s="115"/>
      <c r="BG1576" s="115"/>
      <c r="BH1576" s="122"/>
      <c r="BI1576" s="122"/>
      <c r="BJ1576" s="122"/>
      <c r="BK1576" s="115"/>
      <c r="BL1576" s="115"/>
      <c r="BM1576" s="115"/>
      <c r="BN1576" s="115"/>
      <c r="BO1576" s="115"/>
      <c r="BP1576" s="115"/>
      <c r="BQ1576" s="115"/>
      <c r="BR1576" s="115"/>
      <c r="BS1576" s="115"/>
      <c r="BT1576" s="115"/>
      <c r="BU1576" s="115"/>
      <c r="BV1576" s="115"/>
      <c r="BW1576" s="115"/>
      <c r="BX1576" s="115"/>
      <c r="BY1576" s="26"/>
      <c r="BZ1576" s="15"/>
      <c r="CC1576" s="114"/>
    </row>
    <row r="1577" spans="1:81" x14ac:dyDescent="0.4">
      <c r="A1577" s="115"/>
      <c r="B1577" s="115"/>
      <c r="C1577" s="115"/>
      <c r="D1577" s="115"/>
      <c r="E1577" s="115"/>
      <c r="F1577" s="115"/>
      <c r="G1577" s="115"/>
      <c r="H1577" s="115"/>
      <c r="I1577" s="115"/>
      <c r="J1577" s="115"/>
      <c r="K1577" s="115"/>
      <c r="L1577" s="115"/>
      <c r="M1577" s="115"/>
      <c r="N1577" s="115"/>
      <c r="O1577" s="115"/>
      <c r="P1577" s="115"/>
      <c r="Q1577" s="115"/>
      <c r="R1577" s="115"/>
      <c r="S1577" s="115"/>
      <c r="T1577" s="115"/>
      <c r="U1577" s="115"/>
      <c r="V1577" s="115"/>
      <c r="W1577" s="115"/>
      <c r="X1577" s="115"/>
      <c r="Y1577" s="115"/>
      <c r="Z1577" s="115"/>
      <c r="AA1577" s="115"/>
      <c r="AB1577" s="115"/>
      <c r="AC1577" s="115"/>
      <c r="AD1577" s="115"/>
      <c r="AE1577" s="115"/>
      <c r="AF1577" s="115"/>
      <c r="AG1577" s="115"/>
      <c r="AH1577" s="115"/>
      <c r="AI1577" s="115"/>
      <c r="AJ1577" s="115"/>
      <c r="AK1577" s="115"/>
      <c r="AL1577" s="115"/>
      <c r="AM1577" s="115"/>
      <c r="AN1577" s="115"/>
      <c r="AO1577" s="115"/>
      <c r="AP1577" s="115"/>
      <c r="AQ1577" s="115"/>
      <c r="AR1577" s="115"/>
      <c r="AS1577" s="115"/>
      <c r="AT1577" s="115"/>
      <c r="AU1577" s="115"/>
      <c r="AV1577" s="115"/>
      <c r="AW1577" s="115"/>
      <c r="AX1577" s="115"/>
      <c r="AY1577" s="115"/>
      <c r="AZ1577" s="115"/>
      <c r="BA1577" s="115"/>
      <c r="BB1577" s="115"/>
      <c r="BC1577" s="115"/>
      <c r="BD1577" s="115"/>
      <c r="BE1577" s="115"/>
      <c r="BF1577" s="115"/>
      <c r="BG1577" s="115"/>
      <c r="BH1577" s="122"/>
      <c r="BI1577" s="122"/>
      <c r="BJ1577" s="122"/>
      <c r="BK1577" s="115"/>
      <c r="BL1577" s="115"/>
      <c r="BM1577" s="115"/>
      <c r="BN1577" s="115"/>
      <c r="BO1577" s="115"/>
      <c r="BP1577" s="115"/>
      <c r="BQ1577" s="115"/>
      <c r="BR1577" s="115"/>
      <c r="BS1577" s="115"/>
      <c r="BT1577" s="115"/>
      <c r="BU1577" s="115"/>
      <c r="BV1577" s="115"/>
      <c r="BW1577" s="115"/>
      <c r="BX1577" s="115"/>
      <c r="BY1577" s="26"/>
      <c r="BZ1577" s="13"/>
      <c r="CC1577" s="114"/>
    </row>
    <row r="1578" spans="1:81" x14ac:dyDescent="0.4">
      <c r="A1578" s="115"/>
      <c r="B1578" s="115"/>
      <c r="C1578" s="115"/>
      <c r="D1578" s="115"/>
      <c r="E1578" s="115"/>
      <c r="F1578" s="115"/>
      <c r="G1578" s="115"/>
      <c r="H1578" s="115"/>
      <c r="I1578" s="115"/>
      <c r="J1578" s="115"/>
      <c r="K1578" s="115"/>
      <c r="L1578" s="115"/>
      <c r="M1578" s="115"/>
      <c r="N1578" s="115"/>
      <c r="O1578" s="115"/>
      <c r="P1578" s="115"/>
      <c r="Q1578" s="115"/>
      <c r="R1578" s="115"/>
      <c r="S1578" s="115"/>
      <c r="T1578" s="115"/>
      <c r="U1578" s="115"/>
      <c r="V1578" s="115"/>
      <c r="W1578" s="115"/>
      <c r="X1578" s="115"/>
      <c r="Y1578" s="115"/>
      <c r="Z1578" s="115"/>
      <c r="AA1578" s="115"/>
      <c r="AB1578" s="115"/>
      <c r="AC1578" s="115"/>
      <c r="AD1578" s="115"/>
      <c r="AE1578" s="115"/>
      <c r="AF1578" s="115"/>
      <c r="AG1578" s="115"/>
      <c r="AH1578" s="115"/>
      <c r="AI1578" s="115"/>
      <c r="AJ1578" s="115"/>
      <c r="AK1578" s="115"/>
      <c r="AL1578" s="115"/>
      <c r="AM1578" s="115"/>
      <c r="AN1578" s="115"/>
      <c r="AO1578" s="115"/>
      <c r="AP1578" s="115"/>
      <c r="AQ1578" s="115"/>
      <c r="AR1578" s="115"/>
      <c r="AS1578" s="115"/>
      <c r="AT1578" s="115"/>
      <c r="AU1578" s="115"/>
      <c r="AV1578" s="115"/>
      <c r="AW1578" s="115"/>
      <c r="AX1578" s="115"/>
      <c r="AY1578" s="115"/>
      <c r="AZ1578" s="115"/>
      <c r="BA1578" s="115"/>
      <c r="BB1578" s="115"/>
      <c r="BC1578" s="115"/>
      <c r="BD1578" s="115"/>
      <c r="BE1578" s="115"/>
      <c r="BF1578" s="115"/>
      <c r="BG1578" s="115"/>
      <c r="BH1578" s="122"/>
      <c r="BI1578" s="122"/>
      <c r="BJ1578" s="122"/>
      <c r="BK1578" s="115"/>
      <c r="BL1578" s="115"/>
      <c r="BM1578" s="115"/>
      <c r="BN1578" s="115"/>
      <c r="BO1578" s="115"/>
      <c r="BP1578" s="115"/>
      <c r="BQ1578" s="115"/>
      <c r="BR1578" s="115"/>
      <c r="BS1578" s="115"/>
      <c r="BT1578" s="115"/>
      <c r="BU1578" s="115"/>
      <c r="BV1578" s="115"/>
      <c r="BW1578" s="115"/>
      <c r="BX1578" s="115"/>
      <c r="BY1578" s="17"/>
      <c r="BZ1578" s="13"/>
      <c r="CC1578" s="114"/>
    </row>
    <row r="1579" spans="1:81" x14ac:dyDescent="0.4">
      <c r="A1579" s="115"/>
      <c r="B1579" s="115"/>
      <c r="C1579" s="115"/>
      <c r="D1579" s="115"/>
      <c r="E1579" s="115"/>
      <c r="F1579" s="115"/>
      <c r="G1579" s="115"/>
      <c r="H1579" s="115"/>
      <c r="I1579" s="115"/>
      <c r="J1579" s="115"/>
      <c r="K1579" s="115"/>
      <c r="L1579" s="115"/>
      <c r="M1579" s="115"/>
      <c r="N1579" s="115"/>
      <c r="O1579" s="115"/>
      <c r="P1579" s="115"/>
      <c r="Q1579" s="115"/>
      <c r="R1579" s="115"/>
      <c r="S1579" s="115"/>
      <c r="T1579" s="115"/>
      <c r="U1579" s="115"/>
      <c r="V1579" s="115"/>
      <c r="W1579" s="115"/>
      <c r="X1579" s="115"/>
      <c r="Y1579" s="115"/>
      <c r="Z1579" s="115"/>
      <c r="AA1579" s="115"/>
      <c r="AB1579" s="115"/>
      <c r="AC1579" s="115"/>
      <c r="AD1579" s="115"/>
      <c r="AE1579" s="115"/>
      <c r="AF1579" s="115"/>
      <c r="AG1579" s="115"/>
      <c r="AH1579" s="115"/>
      <c r="AI1579" s="115"/>
      <c r="AJ1579" s="115"/>
      <c r="AK1579" s="115"/>
      <c r="AL1579" s="115"/>
      <c r="AM1579" s="115"/>
      <c r="AN1579" s="115"/>
      <c r="AO1579" s="115"/>
      <c r="AP1579" s="115"/>
      <c r="AQ1579" s="115"/>
      <c r="AR1579" s="115"/>
      <c r="AS1579" s="115"/>
      <c r="AT1579" s="115"/>
      <c r="AU1579" s="115"/>
      <c r="AV1579" s="115"/>
      <c r="AW1579" s="115"/>
      <c r="AX1579" s="115"/>
      <c r="AY1579" s="115"/>
      <c r="AZ1579" s="115"/>
      <c r="BA1579" s="115"/>
      <c r="BB1579" s="115"/>
      <c r="BC1579" s="115"/>
      <c r="BD1579" s="115"/>
      <c r="BE1579" s="115"/>
      <c r="BF1579" s="115"/>
      <c r="BG1579" s="115"/>
      <c r="BH1579" s="122"/>
      <c r="BI1579" s="122"/>
      <c r="BJ1579" s="122"/>
      <c r="BK1579" s="115"/>
      <c r="BL1579" s="115"/>
      <c r="BM1579" s="115"/>
      <c r="BN1579" s="115"/>
      <c r="BO1579" s="115"/>
      <c r="BP1579" s="115"/>
      <c r="BQ1579" s="115"/>
      <c r="BR1579" s="115"/>
      <c r="BS1579" s="115"/>
      <c r="BT1579" s="115"/>
      <c r="BU1579" s="115"/>
      <c r="BV1579" s="115"/>
      <c r="BW1579" s="115"/>
      <c r="BX1579" s="115"/>
      <c r="BY1579" s="26"/>
      <c r="BZ1579" s="13"/>
      <c r="CC1579" s="114"/>
    </row>
    <row r="1580" spans="1:81" x14ac:dyDescent="0.4">
      <c r="A1580" s="115"/>
      <c r="B1580" s="115"/>
      <c r="C1580" s="115"/>
      <c r="D1580" s="115"/>
      <c r="E1580" s="115"/>
      <c r="F1580" s="115"/>
      <c r="G1580" s="115"/>
      <c r="H1580" s="115"/>
      <c r="I1580" s="115"/>
      <c r="J1580" s="115"/>
      <c r="K1580" s="115"/>
      <c r="L1580" s="115"/>
      <c r="M1580" s="115"/>
      <c r="N1580" s="115"/>
      <c r="O1580" s="115"/>
      <c r="P1580" s="115"/>
      <c r="Q1580" s="115"/>
      <c r="R1580" s="115"/>
      <c r="S1580" s="115"/>
      <c r="T1580" s="115"/>
      <c r="U1580" s="115"/>
      <c r="V1580" s="115"/>
      <c r="W1580" s="115"/>
      <c r="X1580" s="115"/>
      <c r="Y1580" s="115"/>
      <c r="Z1580" s="115"/>
      <c r="AA1580" s="115"/>
      <c r="AB1580" s="115"/>
      <c r="AC1580" s="115"/>
      <c r="AD1580" s="115"/>
      <c r="AE1580" s="115"/>
      <c r="AF1580" s="115"/>
      <c r="AG1580" s="115"/>
      <c r="AH1580" s="115"/>
      <c r="AI1580" s="115"/>
      <c r="AJ1580" s="115"/>
      <c r="AK1580" s="115"/>
      <c r="AL1580" s="115"/>
      <c r="AM1580" s="115"/>
      <c r="AN1580" s="115"/>
      <c r="AO1580" s="115"/>
      <c r="AP1580" s="115"/>
      <c r="AQ1580" s="115"/>
      <c r="AR1580" s="115"/>
      <c r="AS1580" s="115"/>
      <c r="AT1580" s="115"/>
      <c r="AU1580" s="115"/>
      <c r="AV1580" s="115"/>
      <c r="AW1580" s="115"/>
      <c r="AX1580" s="115"/>
      <c r="AY1580" s="115"/>
      <c r="AZ1580" s="115"/>
      <c r="BA1580" s="115"/>
      <c r="BB1580" s="115"/>
      <c r="BC1580" s="115"/>
      <c r="BD1580" s="115"/>
      <c r="BE1580" s="115"/>
      <c r="BF1580" s="115"/>
      <c r="BG1580" s="115"/>
      <c r="BH1580" s="122"/>
      <c r="BI1580" s="122"/>
      <c r="BJ1580" s="122"/>
      <c r="BK1580" s="115"/>
      <c r="BL1580" s="115"/>
      <c r="BM1580" s="115"/>
      <c r="BN1580" s="115"/>
      <c r="BO1580" s="115"/>
      <c r="BP1580" s="115"/>
      <c r="BQ1580" s="115"/>
      <c r="BR1580" s="115"/>
      <c r="BS1580" s="115"/>
      <c r="BT1580" s="115"/>
      <c r="BU1580" s="115"/>
      <c r="BV1580" s="115"/>
      <c r="BW1580" s="115"/>
      <c r="BX1580" s="115"/>
      <c r="BY1580" s="26"/>
      <c r="BZ1580" s="13"/>
      <c r="CC1580" s="114"/>
    </row>
    <row r="1581" spans="1:81" x14ac:dyDescent="0.4">
      <c r="A1581" s="115"/>
      <c r="B1581" s="115"/>
      <c r="C1581" s="115"/>
      <c r="D1581" s="115"/>
      <c r="E1581" s="115"/>
      <c r="F1581" s="115"/>
      <c r="G1581" s="115"/>
      <c r="H1581" s="115"/>
      <c r="I1581" s="115"/>
      <c r="J1581" s="115"/>
      <c r="K1581" s="115"/>
      <c r="L1581" s="115"/>
      <c r="M1581" s="115"/>
      <c r="N1581" s="115"/>
      <c r="O1581" s="115"/>
      <c r="P1581" s="115"/>
      <c r="Q1581" s="115"/>
      <c r="R1581" s="115"/>
      <c r="S1581" s="115"/>
      <c r="T1581" s="115"/>
      <c r="U1581" s="115"/>
      <c r="V1581" s="115"/>
      <c r="W1581" s="115"/>
      <c r="X1581" s="115"/>
      <c r="Y1581" s="115"/>
      <c r="Z1581" s="115"/>
      <c r="AA1581" s="115"/>
      <c r="AB1581" s="115"/>
      <c r="AC1581" s="115"/>
      <c r="AD1581" s="115"/>
      <c r="AE1581" s="115"/>
      <c r="AF1581" s="115"/>
      <c r="AG1581" s="115"/>
      <c r="AH1581" s="115"/>
      <c r="AI1581" s="115"/>
      <c r="AJ1581" s="115"/>
      <c r="AK1581" s="115"/>
      <c r="AL1581" s="115"/>
      <c r="AM1581" s="115"/>
      <c r="AN1581" s="115"/>
      <c r="AO1581" s="115"/>
      <c r="AP1581" s="115"/>
      <c r="AQ1581" s="115"/>
      <c r="AR1581" s="115"/>
      <c r="AS1581" s="115"/>
      <c r="AT1581" s="115"/>
      <c r="AU1581" s="115"/>
      <c r="AV1581" s="115"/>
      <c r="AW1581" s="115"/>
      <c r="AX1581" s="115"/>
      <c r="AY1581" s="115"/>
      <c r="AZ1581" s="115"/>
      <c r="BA1581" s="115"/>
      <c r="BB1581" s="115"/>
      <c r="BC1581" s="115"/>
      <c r="BD1581" s="115"/>
      <c r="BE1581" s="115"/>
      <c r="BF1581" s="115"/>
      <c r="BG1581" s="115"/>
      <c r="BH1581" s="122"/>
      <c r="BI1581" s="122"/>
      <c r="BJ1581" s="122"/>
      <c r="BK1581" s="115"/>
      <c r="BL1581" s="115"/>
      <c r="BM1581" s="115"/>
      <c r="BN1581" s="115"/>
      <c r="BO1581" s="115"/>
      <c r="BP1581" s="115"/>
      <c r="BQ1581" s="115"/>
      <c r="BR1581" s="115"/>
      <c r="BS1581" s="115"/>
      <c r="BT1581" s="115"/>
      <c r="BU1581" s="115"/>
      <c r="BV1581" s="115"/>
      <c r="BW1581" s="115"/>
      <c r="BX1581" s="115"/>
      <c r="BY1581" s="26"/>
      <c r="BZ1581" s="13"/>
      <c r="CC1581" s="114"/>
    </row>
    <row r="1582" spans="1:81" x14ac:dyDescent="0.4">
      <c r="A1582" s="115"/>
      <c r="B1582" s="115"/>
      <c r="C1582" s="115"/>
      <c r="D1582" s="115"/>
      <c r="E1582" s="115"/>
      <c r="F1582" s="115"/>
      <c r="G1582" s="115"/>
      <c r="H1582" s="115"/>
      <c r="I1582" s="115"/>
      <c r="J1582" s="115"/>
      <c r="K1582" s="115"/>
      <c r="L1582" s="115"/>
      <c r="M1582" s="115"/>
      <c r="N1582" s="115"/>
      <c r="O1582" s="115"/>
      <c r="P1582" s="115"/>
      <c r="Q1582" s="115"/>
      <c r="R1582" s="115"/>
      <c r="S1582" s="115"/>
      <c r="T1582" s="115"/>
      <c r="U1582" s="115"/>
      <c r="V1582" s="115"/>
      <c r="W1582" s="115"/>
      <c r="X1582" s="115"/>
      <c r="Y1582" s="115"/>
      <c r="Z1582" s="115"/>
      <c r="AA1582" s="115"/>
      <c r="AB1582" s="115"/>
      <c r="AC1582" s="115"/>
      <c r="AD1582" s="115"/>
      <c r="AE1582" s="115"/>
      <c r="AF1582" s="115"/>
      <c r="AG1582" s="115"/>
      <c r="AH1582" s="115"/>
      <c r="AI1582" s="115"/>
      <c r="AJ1582" s="115"/>
      <c r="AK1582" s="115"/>
      <c r="AL1582" s="115"/>
      <c r="AM1582" s="115"/>
      <c r="AN1582" s="115"/>
      <c r="AO1582" s="115"/>
      <c r="AP1582" s="115"/>
      <c r="AQ1582" s="115"/>
      <c r="AR1582" s="115"/>
      <c r="AS1582" s="115"/>
      <c r="AT1582" s="115"/>
      <c r="AU1582" s="115"/>
      <c r="AV1582" s="115"/>
      <c r="AW1582" s="115"/>
      <c r="AX1582" s="115"/>
      <c r="AY1582" s="115"/>
      <c r="AZ1582" s="115"/>
      <c r="BA1582" s="115"/>
      <c r="BB1582" s="115"/>
      <c r="BC1582" s="115"/>
      <c r="BD1582" s="115"/>
      <c r="BE1582" s="115"/>
      <c r="BF1582" s="115"/>
      <c r="BG1582" s="115"/>
      <c r="BH1582" s="122"/>
      <c r="BI1582" s="122"/>
      <c r="BJ1582" s="122"/>
      <c r="BK1582" s="115"/>
      <c r="BL1582" s="115"/>
      <c r="BM1582" s="115"/>
      <c r="BN1582" s="115"/>
      <c r="BO1582" s="115"/>
      <c r="BP1582" s="115"/>
      <c r="BQ1582" s="115"/>
      <c r="BR1582" s="115"/>
      <c r="BS1582" s="115"/>
      <c r="BT1582" s="115"/>
      <c r="BU1582" s="115"/>
      <c r="BV1582" s="115"/>
      <c r="BW1582" s="115"/>
      <c r="BX1582" s="115"/>
      <c r="BY1582" s="26"/>
      <c r="BZ1582" s="13"/>
      <c r="CC1582" s="114"/>
    </row>
    <row r="1583" spans="1:81" x14ac:dyDescent="0.4">
      <c r="A1583" s="115"/>
      <c r="B1583" s="115"/>
      <c r="C1583" s="115"/>
      <c r="D1583" s="115"/>
      <c r="E1583" s="115"/>
      <c r="F1583" s="115"/>
      <c r="G1583" s="115"/>
      <c r="H1583" s="115"/>
      <c r="I1583" s="115"/>
      <c r="J1583" s="115"/>
      <c r="K1583" s="115"/>
      <c r="L1583" s="115"/>
      <c r="M1583" s="115"/>
      <c r="N1583" s="115"/>
      <c r="O1583" s="115"/>
      <c r="P1583" s="115"/>
      <c r="Q1583" s="115"/>
      <c r="R1583" s="115"/>
      <c r="S1583" s="115"/>
      <c r="T1583" s="115"/>
      <c r="U1583" s="115"/>
      <c r="V1583" s="115"/>
      <c r="W1583" s="115"/>
      <c r="X1583" s="115"/>
      <c r="Y1583" s="115"/>
      <c r="Z1583" s="115"/>
      <c r="AA1583" s="115"/>
      <c r="AB1583" s="115"/>
      <c r="AC1583" s="115"/>
      <c r="AD1583" s="115"/>
      <c r="AE1583" s="115"/>
      <c r="AF1583" s="115"/>
      <c r="AG1583" s="115"/>
      <c r="AH1583" s="115"/>
      <c r="AI1583" s="115"/>
      <c r="AJ1583" s="115"/>
      <c r="AK1583" s="115"/>
      <c r="AL1583" s="115"/>
      <c r="AM1583" s="115"/>
      <c r="AN1583" s="115"/>
      <c r="AO1583" s="115"/>
      <c r="AP1583" s="115"/>
      <c r="AQ1583" s="115"/>
      <c r="AR1583" s="115"/>
      <c r="AS1583" s="115"/>
      <c r="AT1583" s="115"/>
      <c r="AU1583" s="115"/>
      <c r="AV1583" s="115"/>
      <c r="AW1583" s="115"/>
      <c r="AX1583" s="115"/>
      <c r="AY1583" s="115"/>
      <c r="AZ1583" s="115"/>
      <c r="BA1583" s="115"/>
      <c r="BB1583" s="115"/>
      <c r="BC1583" s="115"/>
      <c r="BD1583" s="115"/>
      <c r="BE1583" s="115"/>
      <c r="BF1583" s="115"/>
      <c r="BG1583" s="115"/>
      <c r="BH1583" s="122"/>
      <c r="BI1583" s="122"/>
      <c r="BJ1583" s="122"/>
      <c r="BK1583" s="115"/>
      <c r="BL1583" s="115"/>
      <c r="BM1583" s="115"/>
      <c r="BN1583" s="115"/>
      <c r="BO1583" s="115"/>
      <c r="BP1583" s="115"/>
      <c r="BQ1583" s="115"/>
      <c r="BR1583" s="115"/>
      <c r="BS1583" s="115"/>
      <c r="BT1583" s="115"/>
      <c r="BU1583" s="115"/>
      <c r="BV1583" s="115"/>
      <c r="BW1583" s="115"/>
      <c r="BX1583" s="115"/>
      <c r="BY1583" s="26"/>
      <c r="BZ1583" s="13"/>
      <c r="CC1583" s="114"/>
    </row>
    <row r="1584" spans="1:81" x14ac:dyDescent="0.4">
      <c r="A1584" s="115"/>
      <c r="B1584" s="115"/>
      <c r="C1584" s="115"/>
      <c r="D1584" s="115"/>
      <c r="E1584" s="115"/>
      <c r="F1584" s="115"/>
      <c r="G1584" s="115"/>
      <c r="H1584" s="115"/>
      <c r="I1584" s="115"/>
      <c r="J1584" s="115"/>
      <c r="K1584" s="115"/>
      <c r="L1584" s="115"/>
      <c r="M1584" s="115"/>
      <c r="N1584" s="115"/>
      <c r="O1584" s="115"/>
      <c r="P1584" s="115"/>
      <c r="Q1584" s="115"/>
      <c r="R1584" s="115"/>
      <c r="S1584" s="115"/>
      <c r="T1584" s="115"/>
      <c r="U1584" s="115"/>
      <c r="V1584" s="115"/>
      <c r="W1584" s="115"/>
      <c r="X1584" s="115"/>
      <c r="Y1584" s="115"/>
      <c r="Z1584" s="115"/>
      <c r="AA1584" s="115"/>
      <c r="AB1584" s="115"/>
      <c r="AC1584" s="115"/>
      <c r="AD1584" s="115"/>
      <c r="AE1584" s="115"/>
      <c r="AF1584" s="115"/>
      <c r="AG1584" s="115"/>
      <c r="AH1584" s="115"/>
      <c r="AI1584" s="115"/>
      <c r="AJ1584" s="115"/>
      <c r="AK1584" s="115"/>
      <c r="AL1584" s="115"/>
      <c r="AM1584" s="115"/>
      <c r="AN1584" s="115"/>
      <c r="AO1584" s="115"/>
      <c r="AP1584" s="115"/>
      <c r="AQ1584" s="115"/>
      <c r="AR1584" s="115"/>
      <c r="AS1584" s="115"/>
      <c r="AT1584" s="115"/>
      <c r="AU1584" s="115"/>
      <c r="AV1584" s="115"/>
      <c r="AW1584" s="115"/>
      <c r="AX1584" s="115"/>
      <c r="AY1584" s="115"/>
      <c r="AZ1584" s="115"/>
      <c r="BA1584" s="115"/>
      <c r="BB1584" s="115"/>
      <c r="BC1584" s="115"/>
      <c r="BD1584" s="115"/>
      <c r="BE1584" s="115"/>
      <c r="BF1584" s="115"/>
      <c r="BG1584" s="115"/>
      <c r="BH1584" s="122"/>
      <c r="BI1584" s="122"/>
      <c r="BJ1584" s="122"/>
      <c r="BK1584" s="115"/>
      <c r="BL1584" s="115"/>
      <c r="BM1584" s="115"/>
      <c r="BN1584" s="115"/>
      <c r="BO1584" s="115"/>
      <c r="BP1584" s="115"/>
      <c r="BQ1584" s="115"/>
      <c r="BR1584" s="115"/>
      <c r="BS1584" s="115"/>
      <c r="BT1584" s="115"/>
      <c r="BU1584" s="115"/>
      <c r="BV1584" s="115"/>
      <c r="BW1584" s="115"/>
      <c r="BX1584" s="115"/>
      <c r="BY1584" s="26"/>
      <c r="BZ1584" s="13"/>
      <c r="CC1584" s="114"/>
    </row>
    <row r="1585" spans="1:81" x14ac:dyDescent="0.4">
      <c r="A1585" s="115"/>
      <c r="B1585" s="115"/>
      <c r="C1585" s="115"/>
      <c r="D1585" s="115"/>
      <c r="E1585" s="115"/>
      <c r="F1585" s="115"/>
      <c r="G1585" s="115"/>
      <c r="H1585" s="115"/>
      <c r="I1585" s="115"/>
      <c r="J1585" s="115"/>
      <c r="K1585" s="115"/>
      <c r="L1585" s="115"/>
      <c r="M1585" s="115"/>
      <c r="N1585" s="115"/>
      <c r="O1585" s="115"/>
      <c r="P1585" s="115"/>
      <c r="Q1585" s="115"/>
      <c r="R1585" s="115"/>
      <c r="S1585" s="115"/>
      <c r="T1585" s="115"/>
      <c r="U1585" s="115"/>
      <c r="V1585" s="115"/>
      <c r="W1585" s="115"/>
      <c r="X1585" s="115"/>
      <c r="Y1585" s="115"/>
      <c r="Z1585" s="115"/>
      <c r="AA1585" s="115"/>
      <c r="AB1585" s="115"/>
      <c r="AC1585" s="115"/>
      <c r="AD1585" s="115"/>
      <c r="AE1585" s="115"/>
      <c r="AF1585" s="115"/>
      <c r="AG1585" s="115"/>
      <c r="AH1585" s="115"/>
      <c r="AI1585" s="115"/>
      <c r="AJ1585" s="115"/>
      <c r="AK1585" s="115"/>
      <c r="AL1585" s="115"/>
      <c r="AM1585" s="115"/>
      <c r="AN1585" s="115"/>
      <c r="AO1585" s="115"/>
      <c r="AP1585" s="115"/>
      <c r="AQ1585" s="115"/>
      <c r="AR1585" s="115"/>
      <c r="AS1585" s="115"/>
      <c r="AT1585" s="115"/>
      <c r="AU1585" s="115"/>
      <c r="AV1585" s="115"/>
      <c r="AW1585" s="115"/>
      <c r="AX1585" s="115"/>
      <c r="AY1585" s="115"/>
      <c r="AZ1585" s="115"/>
      <c r="BA1585" s="115"/>
      <c r="BB1585" s="115"/>
      <c r="BC1585" s="115"/>
      <c r="BD1585" s="115"/>
      <c r="BE1585" s="115"/>
      <c r="BF1585" s="115"/>
      <c r="BG1585" s="115"/>
      <c r="BH1585" s="122"/>
      <c r="BI1585" s="122"/>
      <c r="BJ1585" s="122"/>
      <c r="BK1585" s="115"/>
      <c r="BL1585" s="115"/>
      <c r="BM1585" s="115"/>
      <c r="BN1585" s="115"/>
      <c r="BO1585" s="115"/>
      <c r="BP1585" s="115"/>
      <c r="BQ1585" s="115"/>
      <c r="BR1585" s="115"/>
      <c r="BS1585" s="115"/>
      <c r="BT1585" s="115"/>
      <c r="BU1585" s="115"/>
      <c r="BV1585" s="115"/>
      <c r="BW1585" s="115"/>
      <c r="BX1585" s="115"/>
      <c r="BY1585" s="17"/>
      <c r="BZ1585" s="13"/>
      <c r="CC1585" s="114"/>
    </row>
    <row r="1586" spans="1:81" x14ac:dyDescent="0.4">
      <c r="A1586" s="115"/>
      <c r="B1586" s="115"/>
      <c r="C1586" s="115"/>
      <c r="D1586" s="115"/>
      <c r="E1586" s="115"/>
      <c r="F1586" s="115"/>
      <c r="G1586" s="115"/>
      <c r="H1586" s="115"/>
      <c r="I1586" s="115"/>
      <c r="J1586" s="115"/>
      <c r="K1586" s="115"/>
      <c r="L1586" s="115"/>
      <c r="M1586" s="115"/>
      <c r="N1586" s="115"/>
      <c r="O1586" s="115"/>
      <c r="P1586" s="115"/>
      <c r="Q1586" s="115"/>
      <c r="R1586" s="115"/>
      <c r="S1586" s="115"/>
      <c r="T1586" s="115"/>
      <c r="U1586" s="115"/>
      <c r="V1586" s="115"/>
      <c r="W1586" s="115"/>
      <c r="X1586" s="115"/>
      <c r="Y1586" s="115"/>
      <c r="Z1586" s="115"/>
      <c r="AA1586" s="115"/>
      <c r="AB1586" s="115"/>
      <c r="AC1586" s="115"/>
      <c r="AD1586" s="115"/>
      <c r="AE1586" s="115"/>
      <c r="AF1586" s="115"/>
      <c r="AG1586" s="115"/>
      <c r="AH1586" s="115"/>
      <c r="AI1586" s="115"/>
      <c r="AJ1586" s="115"/>
      <c r="AK1586" s="115"/>
      <c r="AL1586" s="115"/>
      <c r="AM1586" s="115"/>
      <c r="AN1586" s="115"/>
      <c r="AO1586" s="115"/>
      <c r="AP1586" s="115"/>
      <c r="AQ1586" s="115"/>
      <c r="AR1586" s="115"/>
      <c r="AS1586" s="115"/>
      <c r="AT1586" s="115"/>
      <c r="AU1586" s="115"/>
      <c r="AV1586" s="115"/>
      <c r="AW1586" s="115"/>
      <c r="AX1586" s="115"/>
      <c r="AY1586" s="115"/>
      <c r="AZ1586" s="115"/>
      <c r="BA1586" s="115"/>
      <c r="BB1586" s="115"/>
      <c r="BC1586" s="115"/>
      <c r="BD1586" s="115"/>
      <c r="BE1586" s="115"/>
      <c r="BF1586" s="115"/>
      <c r="BG1586" s="115"/>
      <c r="BH1586" s="122"/>
      <c r="BI1586" s="122"/>
      <c r="BJ1586" s="122"/>
      <c r="BK1586" s="115"/>
      <c r="BL1586" s="115"/>
      <c r="BM1586" s="115"/>
      <c r="BN1586" s="115"/>
      <c r="BO1586" s="115"/>
      <c r="BP1586" s="115"/>
      <c r="BQ1586" s="115"/>
      <c r="BR1586" s="115"/>
      <c r="BS1586" s="115"/>
      <c r="BT1586" s="115"/>
      <c r="BU1586" s="115"/>
      <c r="BV1586" s="115"/>
      <c r="BW1586" s="115"/>
      <c r="BX1586" s="115"/>
      <c r="BY1586" s="26"/>
      <c r="BZ1586" s="13"/>
      <c r="CC1586" s="114"/>
    </row>
    <row r="1587" spans="1:81" x14ac:dyDescent="0.4">
      <c r="A1587" s="115"/>
      <c r="B1587" s="115"/>
      <c r="C1587" s="115"/>
      <c r="D1587" s="115"/>
      <c r="E1587" s="115"/>
      <c r="F1587" s="115"/>
      <c r="G1587" s="115"/>
      <c r="H1587" s="115"/>
      <c r="I1587" s="115"/>
      <c r="J1587" s="115"/>
      <c r="K1587" s="115"/>
      <c r="L1587" s="115"/>
      <c r="M1587" s="115"/>
      <c r="N1587" s="115"/>
      <c r="O1587" s="115"/>
      <c r="P1587" s="115"/>
      <c r="Q1587" s="115"/>
      <c r="R1587" s="115"/>
      <c r="S1587" s="115"/>
      <c r="T1587" s="115"/>
      <c r="U1587" s="115"/>
      <c r="V1587" s="115"/>
      <c r="W1587" s="115"/>
      <c r="X1587" s="115"/>
      <c r="Y1587" s="115"/>
      <c r="Z1587" s="115"/>
      <c r="AA1587" s="115"/>
      <c r="AB1587" s="115"/>
      <c r="AC1587" s="115"/>
      <c r="AD1587" s="115"/>
      <c r="AE1587" s="115"/>
      <c r="AF1587" s="115"/>
      <c r="AG1587" s="115"/>
      <c r="AH1587" s="115"/>
      <c r="AI1587" s="115"/>
      <c r="AJ1587" s="115"/>
      <c r="AK1587" s="115"/>
      <c r="AL1587" s="115"/>
      <c r="AM1587" s="115"/>
      <c r="AN1587" s="115"/>
      <c r="AO1587" s="115"/>
      <c r="AP1587" s="115"/>
      <c r="AQ1587" s="115"/>
      <c r="AR1587" s="115"/>
      <c r="AS1587" s="115"/>
      <c r="AT1587" s="115"/>
      <c r="AU1587" s="115"/>
      <c r="AV1587" s="115"/>
      <c r="AW1587" s="115"/>
      <c r="AX1587" s="115"/>
      <c r="AY1587" s="115"/>
      <c r="AZ1587" s="115"/>
      <c r="BA1587" s="115"/>
      <c r="BB1587" s="115"/>
      <c r="BC1587" s="115"/>
      <c r="BD1587" s="115"/>
      <c r="BE1587" s="115"/>
      <c r="BF1587" s="115"/>
      <c r="BG1587" s="115"/>
      <c r="BH1587" s="122"/>
      <c r="BI1587" s="122"/>
      <c r="BJ1587" s="122"/>
      <c r="BK1587" s="115"/>
      <c r="BL1587" s="115"/>
      <c r="BM1587" s="115"/>
      <c r="BN1587" s="115"/>
      <c r="BO1587" s="115"/>
      <c r="BP1587" s="115"/>
      <c r="BQ1587" s="115"/>
      <c r="BR1587" s="115"/>
      <c r="BS1587" s="115"/>
      <c r="BT1587" s="115"/>
      <c r="BU1587" s="115"/>
      <c r="BV1587" s="115"/>
      <c r="BW1587" s="115"/>
      <c r="BX1587" s="115"/>
      <c r="BY1587" s="26"/>
      <c r="BZ1587" s="13"/>
      <c r="CC1587" s="114"/>
    </row>
    <row r="1588" spans="1:81" x14ac:dyDescent="0.4">
      <c r="A1588" s="115"/>
      <c r="B1588" s="115"/>
      <c r="C1588" s="115"/>
      <c r="D1588" s="115"/>
      <c r="E1588" s="115"/>
      <c r="F1588" s="115"/>
      <c r="G1588" s="115"/>
      <c r="H1588" s="115"/>
      <c r="I1588" s="115"/>
      <c r="J1588" s="115"/>
      <c r="K1588" s="115"/>
      <c r="L1588" s="115"/>
      <c r="M1588" s="115"/>
      <c r="N1588" s="115"/>
      <c r="O1588" s="115"/>
      <c r="P1588" s="115"/>
      <c r="Q1588" s="115"/>
      <c r="R1588" s="115"/>
      <c r="S1588" s="115"/>
      <c r="T1588" s="115"/>
      <c r="U1588" s="115"/>
      <c r="V1588" s="115"/>
      <c r="W1588" s="115"/>
      <c r="X1588" s="115"/>
      <c r="Y1588" s="115"/>
      <c r="Z1588" s="115"/>
      <c r="AA1588" s="115"/>
      <c r="AB1588" s="115"/>
      <c r="AC1588" s="115"/>
      <c r="AD1588" s="115"/>
      <c r="AE1588" s="115"/>
      <c r="AF1588" s="115"/>
      <c r="AG1588" s="115"/>
      <c r="AH1588" s="115"/>
      <c r="AI1588" s="115"/>
      <c r="AJ1588" s="115"/>
      <c r="AK1588" s="115"/>
      <c r="AL1588" s="115"/>
      <c r="AM1588" s="115"/>
      <c r="AN1588" s="115"/>
      <c r="AO1588" s="115"/>
      <c r="AP1588" s="115"/>
      <c r="AQ1588" s="115"/>
      <c r="AR1588" s="115"/>
      <c r="AS1588" s="115"/>
      <c r="AT1588" s="115"/>
      <c r="AU1588" s="115"/>
      <c r="AV1588" s="115"/>
      <c r="AW1588" s="115"/>
      <c r="AX1588" s="115"/>
      <c r="AY1588" s="115"/>
      <c r="AZ1588" s="115"/>
      <c r="BA1588" s="115"/>
      <c r="BB1588" s="115"/>
      <c r="BC1588" s="115"/>
      <c r="BD1588" s="115"/>
      <c r="BE1588" s="115"/>
      <c r="BF1588" s="115"/>
      <c r="BG1588" s="115"/>
      <c r="BH1588" s="122"/>
      <c r="BI1588" s="122"/>
      <c r="BJ1588" s="122"/>
      <c r="BK1588" s="115"/>
      <c r="BL1588" s="115"/>
      <c r="BM1588" s="115"/>
      <c r="BN1588" s="115"/>
      <c r="BO1588" s="115"/>
      <c r="BP1588" s="115"/>
      <c r="BQ1588" s="115"/>
      <c r="BR1588" s="115"/>
      <c r="BS1588" s="115"/>
      <c r="BT1588" s="115"/>
      <c r="BU1588" s="115"/>
      <c r="BV1588" s="115"/>
      <c r="BW1588" s="115"/>
      <c r="BX1588" s="115"/>
      <c r="BY1588" s="26"/>
      <c r="BZ1588" s="13"/>
      <c r="CC1588" s="114"/>
    </row>
    <row r="1589" spans="1:81" x14ac:dyDescent="0.4">
      <c r="A1589" s="115"/>
      <c r="B1589" s="115"/>
      <c r="C1589" s="115"/>
      <c r="D1589" s="115"/>
      <c r="E1589" s="115"/>
      <c r="F1589" s="115"/>
      <c r="G1589" s="115"/>
      <c r="H1589" s="115"/>
      <c r="I1589" s="115"/>
      <c r="J1589" s="115"/>
      <c r="K1589" s="115"/>
      <c r="L1589" s="115"/>
      <c r="M1589" s="115"/>
      <c r="N1589" s="115"/>
      <c r="O1589" s="115"/>
      <c r="P1589" s="115"/>
      <c r="Q1589" s="115"/>
      <c r="R1589" s="115"/>
      <c r="S1589" s="115"/>
      <c r="T1589" s="115"/>
      <c r="U1589" s="115"/>
      <c r="V1589" s="115"/>
      <c r="W1589" s="115"/>
      <c r="X1589" s="115"/>
      <c r="Y1589" s="115"/>
      <c r="Z1589" s="115"/>
      <c r="AA1589" s="115"/>
      <c r="AB1589" s="115"/>
      <c r="AC1589" s="115"/>
      <c r="AD1589" s="115"/>
      <c r="AE1589" s="115"/>
      <c r="AF1589" s="115"/>
      <c r="AG1589" s="115"/>
      <c r="AH1589" s="115"/>
      <c r="AI1589" s="115"/>
      <c r="AJ1589" s="115"/>
      <c r="AK1589" s="115"/>
      <c r="AL1589" s="115"/>
      <c r="AM1589" s="115"/>
      <c r="AN1589" s="115"/>
      <c r="AO1589" s="115"/>
      <c r="AP1589" s="115"/>
      <c r="AQ1589" s="115"/>
      <c r="AR1589" s="115"/>
      <c r="AS1589" s="115"/>
      <c r="AT1589" s="115"/>
      <c r="AU1589" s="115"/>
      <c r="AV1589" s="115"/>
      <c r="AW1589" s="115"/>
      <c r="AX1589" s="115"/>
      <c r="AY1589" s="115"/>
      <c r="AZ1589" s="115"/>
      <c r="BA1589" s="115"/>
      <c r="BB1589" s="115"/>
      <c r="BC1589" s="115"/>
      <c r="BD1589" s="115"/>
      <c r="BE1589" s="115"/>
      <c r="BF1589" s="115"/>
      <c r="BG1589" s="115"/>
      <c r="BH1589" s="122"/>
      <c r="BI1589" s="122"/>
      <c r="BJ1589" s="122"/>
      <c r="BK1589" s="115"/>
      <c r="BL1589" s="115"/>
      <c r="BM1589" s="115"/>
      <c r="BN1589" s="115"/>
      <c r="BO1589" s="115"/>
      <c r="BP1589" s="115"/>
      <c r="BQ1589" s="115"/>
      <c r="BR1589" s="115"/>
      <c r="BS1589" s="115"/>
      <c r="BT1589" s="115"/>
      <c r="BU1589" s="115"/>
      <c r="BV1589" s="115"/>
      <c r="BW1589" s="115"/>
      <c r="BX1589" s="115"/>
      <c r="BY1589" s="26"/>
      <c r="BZ1589" s="13"/>
      <c r="CC1589" s="114"/>
    </row>
    <row r="1590" spans="1:81" x14ac:dyDescent="0.4">
      <c r="A1590" s="115"/>
      <c r="B1590" s="115"/>
      <c r="C1590" s="115"/>
      <c r="D1590" s="115"/>
      <c r="E1590" s="115"/>
      <c r="F1590" s="115"/>
      <c r="G1590" s="115"/>
      <c r="H1590" s="115"/>
      <c r="I1590" s="115"/>
      <c r="J1590" s="115"/>
      <c r="K1590" s="115"/>
      <c r="L1590" s="115"/>
      <c r="M1590" s="115"/>
      <c r="N1590" s="115"/>
      <c r="O1590" s="115"/>
      <c r="P1590" s="115"/>
      <c r="Q1590" s="115"/>
      <c r="R1590" s="115"/>
      <c r="S1590" s="115"/>
      <c r="T1590" s="115"/>
      <c r="U1590" s="115"/>
      <c r="V1590" s="115"/>
      <c r="W1590" s="115"/>
      <c r="X1590" s="115"/>
      <c r="Y1590" s="115"/>
      <c r="Z1590" s="115"/>
      <c r="AA1590" s="115"/>
      <c r="AB1590" s="115"/>
      <c r="AC1590" s="115"/>
      <c r="AD1590" s="115"/>
      <c r="AE1590" s="115"/>
      <c r="AF1590" s="115"/>
      <c r="AG1590" s="115"/>
      <c r="AH1590" s="115"/>
      <c r="AI1590" s="115"/>
      <c r="AJ1590" s="115"/>
      <c r="AK1590" s="115"/>
      <c r="AL1590" s="115"/>
      <c r="AM1590" s="115"/>
      <c r="AN1590" s="115"/>
      <c r="AO1590" s="115"/>
      <c r="AP1590" s="115"/>
      <c r="AQ1590" s="115"/>
      <c r="AR1590" s="115"/>
      <c r="AS1590" s="115"/>
      <c r="AT1590" s="115"/>
      <c r="AU1590" s="115"/>
      <c r="AV1590" s="115"/>
      <c r="AW1590" s="115"/>
      <c r="AX1590" s="115"/>
      <c r="AY1590" s="115"/>
      <c r="AZ1590" s="115"/>
      <c r="BA1590" s="115"/>
      <c r="BB1590" s="115"/>
      <c r="BC1590" s="115"/>
      <c r="BD1590" s="115"/>
      <c r="BE1590" s="115"/>
      <c r="BF1590" s="115"/>
      <c r="BG1590" s="115"/>
      <c r="BH1590" s="122"/>
      <c r="BI1590" s="122"/>
      <c r="BJ1590" s="122"/>
      <c r="BK1590" s="115"/>
      <c r="BL1590" s="115"/>
      <c r="BM1590" s="115"/>
      <c r="BN1590" s="115"/>
      <c r="BO1590" s="115"/>
      <c r="BP1590" s="115"/>
      <c r="BQ1590" s="115"/>
      <c r="BR1590" s="115"/>
      <c r="BS1590" s="115"/>
      <c r="BT1590" s="115"/>
      <c r="BU1590" s="115"/>
      <c r="BV1590" s="115"/>
      <c r="BW1590" s="115"/>
      <c r="BX1590" s="115"/>
      <c r="BY1590" s="26"/>
      <c r="BZ1590" s="25"/>
      <c r="CC1590" s="114"/>
    </row>
    <row r="1591" spans="1:81" x14ac:dyDescent="0.4">
      <c r="A1591" s="115"/>
      <c r="B1591" s="115"/>
      <c r="C1591" s="115"/>
      <c r="D1591" s="115"/>
      <c r="E1591" s="115"/>
      <c r="F1591" s="115"/>
      <c r="G1591" s="115"/>
      <c r="H1591" s="115"/>
      <c r="I1591" s="115"/>
      <c r="J1591" s="115"/>
      <c r="K1591" s="115"/>
      <c r="L1591" s="115"/>
      <c r="M1591" s="115"/>
      <c r="N1591" s="115"/>
      <c r="O1591" s="115"/>
      <c r="P1591" s="115"/>
      <c r="Q1591" s="115"/>
      <c r="R1591" s="115"/>
      <c r="S1591" s="115"/>
      <c r="T1591" s="115"/>
      <c r="U1591" s="115"/>
      <c r="V1591" s="115"/>
      <c r="W1591" s="115"/>
      <c r="X1591" s="115"/>
      <c r="Y1591" s="115"/>
      <c r="Z1591" s="115"/>
      <c r="AA1591" s="115"/>
      <c r="AB1591" s="115"/>
      <c r="AC1591" s="115"/>
      <c r="AD1591" s="115"/>
      <c r="AE1591" s="115"/>
      <c r="AF1591" s="115"/>
      <c r="AG1591" s="115"/>
      <c r="AH1591" s="115"/>
      <c r="AI1591" s="115"/>
      <c r="AJ1591" s="115"/>
      <c r="AK1591" s="115"/>
      <c r="AL1591" s="115"/>
      <c r="AM1591" s="115"/>
      <c r="AN1591" s="115"/>
      <c r="AO1591" s="115"/>
      <c r="AP1591" s="115"/>
      <c r="AQ1591" s="115"/>
      <c r="AR1591" s="115"/>
      <c r="AS1591" s="115"/>
      <c r="AT1591" s="115"/>
      <c r="AU1591" s="115"/>
      <c r="AV1591" s="115"/>
      <c r="AW1591" s="115"/>
      <c r="AX1591" s="115"/>
      <c r="AY1591" s="115"/>
      <c r="AZ1591" s="115"/>
      <c r="BA1591" s="115"/>
      <c r="BB1591" s="115"/>
      <c r="BC1591" s="115"/>
      <c r="BD1591" s="115"/>
      <c r="BE1591" s="115"/>
      <c r="BF1591" s="115"/>
      <c r="BG1591" s="115"/>
      <c r="BH1591" s="122"/>
      <c r="BI1591" s="122"/>
      <c r="BJ1591" s="122"/>
      <c r="BK1591" s="115"/>
      <c r="BL1591" s="115"/>
      <c r="BM1591" s="115"/>
      <c r="BN1591" s="115"/>
      <c r="BO1591" s="115"/>
      <c r="BP1591" s="115"/>
      <c r="BQ1591" s="115"/>
      <c r="BR1591" s="115"/>
      <c r="BS1591" s="115"/>
      <c r="BT1591" s="115"/>
      <c r="BU1591" s="115"/>
      <c r="BV1591" s="115"/>
      <c r="BW1591" s="115"/>
      <c r="BX1591" s="115"/>
      <c r="BY1591" s="17"/>
      <c r="BZ1591" s="13"/>
      <c r="CC1591" s="114"/>
    </row>
    <row r="1592" spans="1:81" x14ac:dyDescent="0.4">
      <c r="A1592" s="115"/>
      <c r="B1592" s="115"/>
      <c r="C1592" s="115"/>
      <c r="D1592" s="115"/>
      <c r="E1592" s="115"/>
      <c r="F1592" s="115"/>
      <c r="G1592" s="115"/>
      <c r="H1592" s="115"/>
      <c r="I1592" s="115"/>
      <c r="J1592" s="115"/>
      <c r="K1592" s="115"/>
      <c r="L1592" s="115"/>
      <c r="M1592" s="115"/>
      <c r="N1592" s="115"/>
      <c r="O1592" s="115"/>
      <c r="P1592" s="115"/>
      <c r="Q1592" s="115"/>
      <c r="R1592" s="115"/>
      <c r="S1592" s="115"/>
      <c r="T1592" s="115"/>
      <c r="U1592" s="115"/>
      <c r="V1592" s="115"/>
      <c r="W1592" s="115"/>
      <c r="X1592" s="115"/>
      <c r="Y1592" s="115"/>
      <c r="Z1592" s="115"/>
      <c r="AA1592" s="115"/>
      <c r="AB1592" s="115"/>
      <c r="AC1592" s="115"/>
      <c r="AD1592" s="115"/>
      <c r="AE1592" s="115"/>
      <c r="AF1592" s="115"/>
      <c r="AG1592" s="115"/>
      <c r="AH1592" s="115"/>
      <c r="AI1592" s="115"/>
      <c r="AJ1592" s="115"/>
      <c r="AK1592" s="115"/>
      <c r="AL1592" s="115"/>
      <c r="AM1592" s="115"/>
      <c r="AN1592" s="115"/>
      <c r="AO1592" s="115"/>
      <c r="AP1592" s="115"/>
      <c r="AQ1592" s="115"/>
      <c r="AR1592" s="115"/>
      <c r="AS1592" s="115"/>
      <c r="AT1592" s="115"/>
      <c r="AU1592" s="115"/>
      <c r="AV1592" s="115"/>
      <c r="AW1592" s="115"/>
      <c r="AX1592" s="115"/>
      <c r="AY1592" s="115"/>
      <c r="AZ1592" s="115"/>
      <c r="BA1592" s="115"/>
      <c r="BB1592" s="115"/>
      <c r="BC1592" s="115"/>
      <c r="BD1592" s="115"/>
      <c r="BE1592" s="115"/>
      <c r="BF1592" s="115"/>
      <c r="BG1592" s="115"/>
      <c r="BH1592" s="122"/>
      <c r="BI1592" s="122"/>
      <c r="BJ1592" s="122"/>
      <c r="BK1592" s="115"/>
      <c r="BL1592" s="115"/>
      <c r="BM1592" s="115"/>
      <c r="BN1592" s="115"/>
      <c r="BO1592" s="115"/>
      <c r="BP1592" s="115"/>
      <c r="BQ1592" s="115"/>
      <c r="BR1592" s="115"/>
      <c r="BS1592" s="115"/>
      <c r="BT1592" s="115"/>
      <c r="BU1592" s="115"/>
      <c r="BV1592" s="115"/>
      <c r="BW1592" s="115"/>
      <c r="BX1592" s="115"/>
      <c r="BY1592" s="26"/>
      <c r="BZ1592" s="15"/>
      <c r="CC1592" s="114"/>
    </row>
    <row r="1593" spans="1:81" x14ac:dyDescent="0.4">
      <c r="A1593" s="115"/>
      <c r="B1593" s="115"/>
      <c r="C1593" s="115"/>
      <c r="D1593" s="115"/>
      <c r="E1593" s="115"/>
      <c r="F1593" s="115"/>
      <c r="G1593" s="115"/>
      <c r="H1593" s="115"/>
      <c r="I1593" s="115"/>
      <c r="J1593" s="115"/>
      <c r="K1593" s="115"/>
      <c r="L1593" s="115"/>
      <c r="M1593" s="115"/>
      <c r="N1593" s="115"/>
      <c r="O1593" s="115"/>
      <c r="P1593" s="115"/>
      <c r="Q1593" s="115"/>
      <c r="R1593" s="115"/>
      <c r="S1593" s="115"/>
      <c r="T1593" s="115"/>
      <c r="U1593" s="115"/>
      <c r="V1593" s="115"/>
      <c r="W1593" s="115"/>
      <c r="X1593" s="115"/>
      <c r="Y1593" s="115"/>
      <c r="Z1593" s="115"/>
      <c r="AA1593" s="115"/>
      <c r="AB1593" s="115"/>
      <c r="AC1593" s="115"/>
      <c r="AD1593" s="115"/>
      <c r="AE1593" s="115"/>
      <c r="AF1593" s="115"/>
      <c r="AG1593" s="115"/>
      <c r="AH1593" s="115"/>
      <c r="AI1593" s="115"/>
      <c r="AJ1593" s="115"/>
      <c r="AK1593" s="115"/>
      <c r="AL1593" s="115"/>
      <c r="AM1593" s="115"/>
      <c r="AN1593" s="115"/>
      <c r="AO1593" s="115"/>
      <c r="AP1593" s="115"/>
      <c r="AQ1593" s="115"/>
      <c r="AR1593" s="115"/>
      <c r="AS1593" s="115"/>
      <c r="AT1593" s="115"/>
      <c r="AU1593" s="115"/>
      <c r="AV1593" s="115"/>
      <c r="AW1593" s="115"/>
      <c r="AX1593" s="115"/>
      <c r="AY1593" s="115"/>
      <c r="AZ1593" s="115"/>
      <c r="BA1593" s="115"/>
      <c r="BB1593" s="115"/>
      <c r="BC1593" s="115"/>
      <c r="BD1593" s="115"/>
      <c r="BE1593" s="115"/>
      <c r="BF1593" s="115"/>
      <c r="BG1593" s="115"/>
      <c r="BH1593" s="122"/>
      <c r="BI1593" s="122"/>
      <c r="BJ1593" s="122"/>
      <c r="BK1593" s="115"/>
      <c r="BL1593" s="115"/>
      <c r="BM1593" s="115"/>
      <c r="BN1593" s="115"/>
      <c r="BO1593" s="115"/>
      <c r="BP1593" s="115"/>
      <c r="BQ1593" s="115"/>
      <c r="BR1593" s="115"/>
      <c r="BS1593" s="115"/>
      <c r="BT1593" s="115"/>
      <c r="BU1593" s="115"/>
      <c r="BV1593" s="115"/>
      <c r="BW1593" s="115"/>
      <c r="BX1593" s="115"/>
      <c r="BY1593" s="26"/>
      <c r="BZ1593" s="15"/>
      <c r="CC1593" s="114"/>
    </row>
    <row r="1594" spans="1:81" x14ac:dyDescent="0.4">
      <c r="A1594" s="115"/>
      <c r="B1594" s="115"/>
      <c r="C1594" s="115"/>
      <c r="D1594" s="115"/>
      <c r="E1594" s="115"/>
      <c r="F1594" s="115"/>
      <c r="G1594" s="115"/>
      <c r="H1594" s="115"/>
      <c r="I1594" s="115"/>
      <c r="J1594" s="115"/>
      <c r="K1594" s="115"/>
      <c r="L1594" s="115"/>
      <c r="M1594" s="115"/>
      <c r="N1594" s="115"/>
      <c r="O1594" s="115"/>
      <c r="P1594" s="115"/>
      <c r="Q1594" s="115"/>
      <c r="R1594" s="115"/>
      <c r="S1594" s="115"/>
      <c r="T1594" s="115"/>
      <c r="U1594" s="115"/>
      <c r="V1594" s="115"/>
      <c r="W1594" s="115"/>
      <c r="X1594" s="115"/>
      <c r="Y1594" s="115"/>
      <c r="Z1594" s="115"/>
      <c r="AA1594" s="115"/>
      <c r="AB1594" s="115"/>
      <c r="AC1594" s="115"/>
      <c r="AD1594" s="115"/>
      <c r="AE1594" s="115"/>
      <c r="AF1594" s="115"/>
      <c r="AG1594" s="115"/>
      <c r="AH1594" s="115"/>
      <c r="AI1594" s="115"/>
      <c r="AJ1594" s="115"/>
      <c r="AK1594" s="115"/>
      <c r="AL1594" s="115"/>
      <c r="AM1594" s="115"/>
      <c r="AN1594" s="115"/>
      <c r="AO1594" s="115"/>
      <c r="AP1594" s="115"/>
      <c r="AQ1594" s="115"/>
      <c r="AR1594" s="115"/>
      <c r="AS1594" s="115"/>
      <c r="AT1594" s="115"/>
      <c r="AU1594" s="115"/>
      <c r="AV1594" s="115"/>
      <c r="AW1594" s="115"/>
      <c r="AX1594" s="115"/>
      <c r="AY1594" s="115"/>
      <c r="AZ1594" s="115"/>
      <c r="BA1594" s="115"/>
      <c r="BB1594" s="115"/>
      <c r="BC1594" s="115"/>
      <c r="BD1594" s="115"/>
      <c r="BE1594" s="115"/>
      <c r="BF1594" s="115"/>
      <c r="BG1594" s="115"/>
      <c r="BH1594" s="122"/>
      <c r="BI1594" s="122"/>
      <c r="BJ1594" s="122"/>
      <c r="BK1594" s="115"/>
      <c r="BL1594" s="115"/>
      <c r="BM1594" s="115"/>
      <c r="BN1594" s="115"/>
      <c r="BO1594" s="115"/>
      <c r="BP1594" s="115"/>
      <c r="BQ1594" s="115"/>
      <c r="BR1594" s="115"/>
      <c r="BS1594" s="115"/>
      <c r="BT1594" s="115"/>
      <c r="BU1594" s="115"/>
      <c r="BV1594" s="115"/>
      <c r="BW1594" s="115"/>
      <c r="BX1594" s="115"/>
      <c r="BY1594" s="17"/>
      <c r="BZ1594" s="15"/>
      <c r="CC1594" s="114"/>
    </row>
    <row r="1595" spans="1:81" x14ac:dyDescent="0.4">
      <c r="A1595" s="115"/>
      <c r="B1595" s="115"/>
      <c r="C1595" s="115"/>
      <c r="D1595" s="115"/>
      <c r="E1595" s="115"/>
      <c r="F1595" s="115"/>
      <c r="G1595" s="115"/>
      <c r="H1595" s="115"/>
      <c r="I1595" s="115"/>
      <c r="J1595" s="115"/>
      <c r="K1595" s="115"/>
      <c r="L1595" s="115"/>
      <c r="M1595" s="115"/>
      <c r="N1595" s="115"/>
      <c r="O1595" s="115"/>
      <c r="P1595" s="115"/>
      <c r="Q1595" s="115"/>
      <c r="R1595" s="115"/>
      <c r="S1595" s="115"/>
      <c r="T1595" s="115"/>
      <c r="U1595" s="115"/>
      <c r="V1595" s="115"/>
      <c r="W1595" s="115"/>
      <c r="X1595" s="115"/>
      <c r="Y1595" s="115"/>
      <c r="Z1595" s="115"/>
      <c r="AA1595" s="115"/>
      <c r="AB1595" s="115"/>
      <c r="AC1595" s="115"/>
      <c r="AD1595" s="115"/>
      <c r="AE1595" s="115"/>
      <c r="AF1595" s="115"/>
      <c r="AG1595" s="115"/>
      <c r="AH1595" s="115"/>
      <c r="AI1595" s="115"/>
      <c r="AJ1595" s="115"/>
      <c r="AK1595" s="115"/>
      <c r="AL1595" s="115"/>
      <c r="AM1595" s="115"/>
      <c r="AN1595" s="115"/>
      <c r="AO1595" s="115"/>
      <c r="AP1595" s="115"/>
      <c r="AQ1595" s="115"/>
      <c r="AR1595" s="115"/>
      <c r="AS1595" s="115"/>
      <c r="AT1595" s="115"/>
      <c r="AU1595" s="115"/>
      <c r="AV1595" s="115"/>
      <c r="AW1595" s="115"/>
      <c r="AX1595" s="115"/>
      <c r="AY1595" s="115"/>
      <c r="AZ1595" s="115"/>
      <c r="BA1595" s="115"/>
      <c r="BB1595" s="115"/>
      <c r="BC1595" s="115"/>
      <c r="BD1595" s="115"/>
      <c r="BE1595" s="115"/>
      <c r="BF1595" s="115"/>
      <c r="BG1595" s="115"/>
      <c r="BH1595" s="122"/>
      <c r="BI1595" s="122"/>
      <c r="BJ1595" s="122"/>
      <c r="BK1595" s="115"/>
      <c r="BL1595" s="115"/>
      <c r="BM1595" s="115"/>
      <c r="BN1595" s="115"/>
      <c r="BO1595" s="115"/>
      <c r="BP1595" s="115"/>
      <c r="BQ1595" s="115"/>
      <c r="BR1595" s="115"/>
      <c r="BS1595" s="115"/>
      <c r="BT1595" s="115"/>
      <c r="BU1595" s="115"/>
      <c r="BV1595" s="115"/>
      <c r="BW1595" s="115"/>
      <c r="BX1595" s="115"/>
      <c r="BY1595" s="26"/>
      <c r="BZ1595" s="15"/>
      <c r="CC1595" s="114"/>
    </row>
    <row r="1596" spans="1:81" x14ac:dyDescent="0.4">
      <c r="A1596" s="115"/>
      <c r="B1596" s="115"/>
      <c r="C1596" s="115"/>
      <c r="D1596" s="115"/>
      <c r="E1596" s="115"/>
      <c r="F1596" s="115"/>
      <c r="G1596" s="115"/>
      <c r="H1596" s="115"/>
      <c r="I1596" s="115"/>
      <c r="J1596" s="115"/>
      <c r="K1596" s="115"/>
      <c r="L1596" s="115"/>
      <c r="M1596" s="115"/>
      <c r="N1596" s="115"/>
      <c r="O1596" s="115"/>
      <c r="P1596" s="115"/>
      <c r="Q1596" s="115"/>
      <c r="R1596" s="115"/>
      <c r="S1596" s="115"/>
      <c r="T1596" s="115"/>
      <c r="U1596" s="115"/>
      <c r="V1596" s="115"/>
      <c r="W1596" s="115"/>
      <c r="X1596" s="115"/>
      <c r="Y1596" s="115"/>
      <c r="Z1596" s="115"/>
      <c r="AA1596" s="115"/>
      <c r="AB1596" s="115"/>
      <c r="AC1596" s="115"/>
      <c r="AD1596" s="115"/>
      <c r="AE1596" s="115"/>
      <c r="AF1596" s="115"/>
      <c r="AG1596" s="115"/>
      <c r="AH1596" s="115"/>
      <c r="AI1596" s="115"/>
      <c r="AJ1596" s="115"/>
      <c r="AK1596" s="115"/>
      <c r="AL1596" s="115"/>
      <c r="AM1596" s="115"/>
      <c r="AN1596" s="115"/>
      <c r="AO1596" s="115"/>
      <c r="AP1596" s="115"/>
      <c r="AQ1596" s="115"/>
      <c r="AR1596" s="115"/>
      <c r="AS1596" s="115"/>
      <c r="AT1596" s="115"/>
      <c r="AU1596" s="115"/>
      <c r="AV1596" s="115"/>
      <c r="AW1596" s="115"/>
      <c r="AX1596" s="115"/>
      <c r="AY1596" s="115"/>
      <c r="AZ1596" s="115"/>
      <c r="BA1596" s="115"/>
      <c r="BB1596" s="115"/>
      <c r="BC1596" s="115"/>
      <c r="BD1596" s="115"/>
      <c r="BE1596" s="115"/>
      <c r="BF1596" s="115"/>
      <c r="BG1596" s="115"/>
      <c r="BH1596" s="122"/>
      <c r="BI1596" s="122"/>
      <c r="BJ1596" s="122"/>
      <c r="BK1596" s="115"/>
      <c r="BL1596" s="115"/>
      <c r="BM1596" s="115"/>
      <c r="BN1596" s="115"/>
      <c r="BO1596" s="115"/>
      <c r="BP1596" s="115"/>
      <c r="BQ1596" s="115"/>
      <c r="BR1596" s="115"/>
      <c r="BS1596" s="115"/>
      <c r="BT1596" s="115"/>
      <c r="BU1596" s="115"/>
      <c r="BV1596" s="115"/>
      <c r="BW1596" s="115"/>
      <c r="BX1596" s="115"/>
      <c r="BY1596" s="26"/>
      <c r="BZ1596" s="15"/>
      <c r="CC1596" s="114"/>
    </row>
    <row r="1597" spans="1:81" x14ac:dyDescent="0.4">
      <c r="A1597" s="115"/>
      <c r="B1597" s="115"/>
      <c r="C1597" s="115"/>
      <c r="D1597" s="115"/>
      <c r="E1597" s="115"/>
      <c r="F1597" s="115"/>
      <c r="G1597" s="115"/>
      <c r="H1597" s="115"/>
      <c r="I1597" s="115"/>
      <c r="J1597" s="115"/>
      <c r="K1597" s="115"/>
      <c r="L1597" s="115"/>
      <c r="M1597" s="115"/>
      <c r="N1597" s="115"/>
      <c r="O1597" s="115"/>
      <c r="P1597" s="115"/>
      <c r="Q1597" s="115"/>
      <c r="R1597" s="115"/>
      <c r="S1597" s="115"/>
      <c r="T1597" s="115"/>
      <c r="U1597" s="115"/>
      <c r="V1597" s="115"/>
      <c r="W1597" s="115"/>
      <c r="X1597" s="115"/>
      <c r="Y1597" s="115"/>
      <c r="Z1597" s="115"/>
      <c r="AA1597" s="115"/>
      <c r="AB1597" s="115"/>
      <c r="AC1597" s="115"/>
      <c r="AD1597" s="115"/>
      <c r="AE1597" s="115"/>
      <c r="AF1597" s="115"/>
      <c r="AG1597" s="115"/>
      <c r="AH1597" s="115"/>
      <c r="AI1597" s="115"/>
      <c r="AJ1597" s="115"/>
      <c r="AK1597" s="115"/>
      <c r="AL1597" s="115"/>
      <c r="AM1597" s="115"/>
      <c r="AN1597" s="115"/>
      <c r="AO1597" s="115"/>
      <c r="AP1597" s="115"/>
      <c r="AQ1597" s="115"/>
      <c r="AR1597" s="115"/>
      <c r="AS1597" s="115"/>
      <c r="AT1597" s="115"/>
      <c r="AU1597" s="115"/>
      <c r="AV1597" s="115"/>
      <c r="AW1597" s="115"/>
      <c r="AX1597" s="115"/>
      <c r="AY1597" s="115"/>
      <c r="AZ1597" s="115"/>
      <c r="BA1597" s="115"/>
      <c r="BB1597" s="115"/>
      <c r="BC1597" s="115"/>
      <c r="BD1597" s="115"/>
      <c r="BE1597" s="115"/>
      <c r="BF1597" s="115"/>
      <c r="BG1597" s="115"/>
      <c r="BH1597" s="122"/>
      <c r="BI1597" s="122"/>
      <c r="BJ1597" s="122"/>
      <c r="BK1597" s="115"/>
      <c r="BL1597" s="115"/>
      <c r="BM1597" s="115"/>
      <c r="BN1597" s="115"/>
      <c r="BO1597" s="115"/>
      <c r="BP1597" s="115"/>
      <c r="BQ1597" s="115"/>
      <c r="BR1597" s="115"/>
      <c r="BS1597" s="115"/>
      <c r="BT1597" s="115"/>
      <c r="BU1597" s="115"/>
      <c r="BV1597" s="115"/>
      <c r="BW1597" s="115"/>
      <c r="BX1597" s="115"/>
      <c r="BY1597" s="26"/>
      <c r="BZ1597" s="13"/>
      <c r="CC1597" s="114"/>
    </row>
    <row r="1598" spans="1:81" x14ac:dyDescent="0.4">
      <c r="A1598" s="115"/>
      <c r="B1598" s="115"/>
      <c r="C1598" s="115"/>
      <c r="D1598" s="115"/>
      <c r="E1598" s="115"/>
      <c r="F1598" s="115"/>
      <c r="G1598" s="115"/>
      <c r="H1598" s="115"/>
      <c r="I1598" s="115"/>
      <c r="J1598" s="115"/>
      <c r="K1598" s="115"/>
      <c r="L1598" s="115"/>
      <c r="M1598" s="115"/>
      <c r="N1598" s="115"/>
      <c r="O1598" s="115"/>
      <c r="P1598" s="115"/>
      <c r="Q1598" s="115"/>
      <c r="R1598" s="115"/>
      <c r="S1598" s="115"/>
      <c r="T1598" s="115"/>
      <c r="U1598" s="115"/>
      <c r="V1598" s="115"/>
      <c r="W1598" s="115"/>
      <c r="X1598" s="115"/>
      <c r="Y1598" s="115"/>
      <c r="Z1598" s="115"/>
      <c r="AA1598" s="115"/>
      <c r="AB1598" s="115"/>
      <c r="AC1598" s="115"/>
      <c r="AD1598" s="115"/>
      <c r="AE1598" s="115"/>
      <c r="AF1598" s="115"/>
      <c r="AG1598" s="115"/>
      <c r="AH1598" s="115"/>
      <c r="AI1598" s="115"/>
      <c r="AJ1598" s="115"/>
      <c r="AK1598" s="115"/>
      <c r="AL1598" s="115"/>
      <c r="AM1598" s="115"/>
      <c r="AN1598" s="115"/>
      <c r="AO1598" s="115"/>
      <c r="AP1598" s="115"/>
      <c r="AQ1598" s="115"/>
      <c r="AR1598" s="115"/>
      <c r="AS1598" s="115"/>
      <c r="AT1598" s="115"/>
      <c r="AU1598" s="115"/>
      <c r="AV1598" s="115"/>
      <c r="AW1598" s="115"/>
      <c r="AX1598" s="115"/>
      <c r="AY1598" s="115"/>
      <c r="AZ1598" s="115"/>
      <c r="BA1598" s="115"/>
      <c r="BB1598" s="115"/>
      <c r="BC1598" s="115"/>
      <c r="BD1598" s="115"/>
      <c r="BE1598" s="115"/>
      <c r="BF1598" s="115"/>
      <c r="BG1598" s="115"/>
      <c r="BH1598" s="122"/>
      <c r="BI1598" s="122"/>
      <c r="BJ1598" s="122"/>
      <c r="BK1598" s="115"/>
      <c r="BL1598" s="115"/>
      <c r="BM1598" s="115"/>
      <c r="BN1598" s="115"/>
      <c r="BO1598" s="115"/>
      <c r="BP1598" s="115"/>
      <c r="BQ1598" s="115"/>
      <c r="BR1598" s="115"/>
      <c r="BS1598" s="115"/>
      <c r="BT1598" s="115"/>
      <c r="BU1598" s="115"/>
      <c r="BV1598" s="115"/>
      <c r="BW1598" s="115"/>
      <c r="BX1598" s="115"/>
      <c r="BY1598" s="26"/>
      <c r="BZ1598" s="13"/>
      <c r="CC1598" s="114"/>
    </row>
    <row r="1599" spans="1:81" x14ac:dyDescent="0.4">
      <c r="A1599" s="115"/>
      <c r="B1599" s="115"/>
      <c r="C1599" s="115"/>
      <c r="D1599" s="115"/>
      <c r="E1599" s="115"/>
      <c r="F1599" s="115"/>
      <c r="G1599" s="115"/>
      <c r="H1599" s="115"/>
      <c r="I1599" s="115"/>
      <c r="J1599" s="115"/>
      <c r="K1599" s="115"/>
      <c r="L1599" s="115"/>
      <c r="M1599" s="115"/>
      <c r="N1599" s="115"/>
      <c r="O1599" s="115"/>
      <c r="P1599" s="115"/>
      <c r="Q1599" s="115"/>
      <c r="R1599" s="115"/>
      <c r="S1599" s="115"/>
      <c r="T1599" s="115"/>
      <c r="U1599" s="115"/>
      <c r="V1599" s="115"/>
      <c r="W1599" s="115"/>
      <c r="X1599" s="115"/>
      <c r="Y1599" s="115"/>
      <c r="Z1599" s="115"/>
      <c r="AA1599" s="115"/>
      <c r="AB1599" s="115"/>
      <c r="AC1599" s="115"/>
      <c r="AD1599" s="115"/>
      <c r="AE1599" s="115"/>
      <c r="AF1599" s="115"/>
      <c r="AG1599" s="115"/>
      <c r="AH1599" s="115"/>
      <c r="AI1599" s="115"/>
      <c r="AJ1599" s="115"/>
      <c r="AK1599" s="115"/>
      <c r="AL1599" s="115"/>
      <c r="AM1599" s="115"/>
      <c r="AN1599" s="115"/>
      <c r="AO1599" s="115"/>
      <c r="AP1599" s="115"/>
      <c r="AQ1599" s="115"/>
      <c r="AR1599" s="115"/>
      <c r="AS1599" s="115"/>
      <c r="AT1599" s="115"/>
      <c r="AU1599" s="115"/>
      <c r="AV1599" s="115"/>
      <c r="AW1599" s="115"/>
      <c r="AX1599" s="115"/>
      <c r="AY1599" s="115"/>
      <c r="AZ1599" s="115"/>
      <c r="BA1599" s="115"/>
      <c r="BB1599" s="115"/>
      <c r="BC1599" s="115"/>
      <c r="BD1599" s="115"/>
      <c r="BE1599" s="115"/>
      <c r="BF1599" s="115"/>
      <c r="BG1599" s="115"/>
      <c r="BH1599" s="122"/>
      <c r="BI1599" s="122"/>
      <c r="BJ1599" s="122"/>
      <c r="BK1599" s="115"/>
      <c r="BL1599" s="115"/>
      <c r="BM1599" s="115"/>
      <c r="BN1599" s="115"/>
      <c r="BO1599" s="115"/>
      <c r="BP1599" s="115"/>
      <c r="BQ1599" s="115"/>
      <c r="BR1599" s="115"/>
      <c r="BS1599" s="115"/>
      <c r="BT1599" s="115"/>
      <c r="BU1599" s="115"/>
      <c r="BV1599" s="115"/>
      <c r="BW1599" s="115"/>
      <c r="BX1599" s="115"/>
      <c r="BY1599" s="26"/>
      <c r="BZ1599" s="13"/>
      <c r="CC1599" s="114"/>
    </row>
    <row r="1600" spans="1:81" x14ac:dyDescent="0.4">
      <c r="A1600" s="115"/>
      <c r="B1600" s="115"/>
      <c r="C1600" s="115"/>
      <c r="D1600" s="115"/>
      <c r="E1600" s="115"/>
      <c r="F1600" s="115"/>
      <c r="G1600" s="115"/>
      <c r="H1600" s="115"/>
      <c r="I1600" s="115"/>
      <c r="J1600" s="115"/>
      <c r="K1600" s="115"/>
      <c r="L1600" s="115"/>
      <c r="M1600" s="115"/>
      <c r="N1600" s="115"/>
      <c r="O1600" s="115"/>
      <c r="P1600" s="115"/>
      <c r="Q1600" s="115"/>
      <c r="R1600" s="115"/>
      <c r="S1600" s="115"/>
      <c r="T1600" s="115"/>
      <c r="U1600" s="115"/>
      <c r="V1600" s="115"/>
      <c r="W1600" s="115"/>
      <c r="X1600" s="115"/>
      <c r="Y1600" s="115"/>
      <c r="Z1600" s="115"/>
      <c r="AA1600" s="115"/>
      <c r="AB1600" s="115"/>
      <c r="AC1600" s="115"/>
      <c r="AD1600" s="115"/>
      <c r="AE1600" s="115"/>
      <c r="AF1600" s="115"/>
      <c r="AG1600" s="115"/>
      <c r="AH1600" s="115"/>
      <c r="AI1600" s="115"/>
      <c r="AJ1600" s="115"/>
      <c r="AK1600" s="115"/>
      <c r="AL1600" s="115"/>
      <c r="AM1600" s="115"/>
      <c r="AN1600" s="115"/>
      <c r="AO1600" s="115"/>
      <c r="AP1600" s="115"/>
      <c r="AQ1600" s="115"/>
      <c r="AR1600" s="115"/>
      <c r="AS1600" s="115"/>
      <c r="AT1600" s="115"/>
      <c r="AU1600" s="115"/>
      <c r="AV1600" s="115"/>
      <c r="AW1600" s="115"/>
      <c r="AX1600" s="115"/>
      <c r="AY1600" s="115"/>
      <c r="AZ1600" s="115"/>
      <c r="BA1600" s="115"/>
      <c r="BB1600" s="115"/>
      <c r="BC1600" s="115"/>
      <c r="BD1600" s="115"/>
      <c r="BE1600" s="115"/>
      <c r="BF1600" s="115"/>
      <c r="BG1600" s="115"/>
      <c r="BH1600" s="122"/>
      <c r="BI1600" s="122"/>
      <c r="BJ1600" s="122"/>
      <c r="BK1600" s="115"/>
      <c r="BL1600" s="115"/>
      <c r="BM1600" s="115"/>
      <c r="BN1600" s="115"/>
      <c r="BO1600" s="115"/>
      <c r="BP1600" s="115"/>
      <c r="BQ1600" s="115"/>
      <c r="BR1600" s="115"/>
      <c r="BS1600" s="115"/>
      <c r="BT1600" s="115"/>
      <c r="BU1600" s="115"/>
      <c r="BV1600" s="115"/>
      <c r="BW1600" s="115"/>
      <c r="BX1600" s="115"/>
      <c r="BY1600" s="26"/>
      <c r="BZ1600" s="13"/>
      <c r="CC1600" s="114"/>
    </row>
    <row r="1601" spans="1:82" x14ac:dyDescent="0.4">
      <c r="A1601" s="115"/>
      <c r="B1601" s="115"/>
      <c r="C1601" s="115"/>
      <c r="D1601" s="115"/>
      <c r="E1601" s="115"/>
      <c r="F1601" s="115"/>
      <c r="G1601" s="115"/>
      <c r="H1601" s="115"/>
      <c r="I1601" s="115"/>
      <c r="J1601" s="115"/>
      <c r="K1601" s="115"/>
      <c r="L1601" s="115"/>
      <c r="M1601" s="115"/>
      <c r="N1601" s="115"/>
      <c r="O1601" s="115"/>
      <c r="P1601" s="115"/>
      <c r="Q1601" s="115"/>
      <c r="R1601" s="115"/>
      <c r="S1601" s="115"/>
      <c r="T1601" s="115"/>
      <c r="U1601" s="115"/>
      <c r="V1601" s="115"/>
      <c r="W1601" s="115"/>
      <c r="X1601" s="115"/>
      <c r="Y1601" s="115"/>
      <c r="Z1601" s="115"/>
      <c r="AA1601" s="115"/>
      <c r="AB1601" s="115"/>
      <c r="AC1601" s="115"/>
      <c r="AD1601" s="115"/>
      <c r="AE1601" s="115"/>
      <c r="AF1601" s="115"/>
      <c r="AG1601" s="115"/>
      <c r="AH1601" s="115"/>
      <c r="AI1601" s="115"/>
      <c r="AJ1601" s="115"/>
      <c r="AK1601" s="115"/>
      <c r="AL1601" s="115"/>
      <c r="AM1601" s="115"/>
      <c r="AN1601" s="115"/>
      <c r="AO1601" s="115"/>
      <c r="AP1601" s="115"/>
      <c r="AQ1601" s="115"/>
      <c r="AR1601" s="115"/>
      <c r="AS1601" s="115"/>
      <c r="AT1601" s="115"/>
      <c r="AU1601" s="115"/>
      <c r="AV1601" s="115"/>
      <c r="AW1601" s="115"/>
      <c r="AX1601" s="115"/>
      <c r="AY1601" s="115"/>
      <c r="AZ1601" s="115"/>
      <c r="BA1601" s="115"/>
      <c r="BB1601" s="115"/>
      <c r="BC1601" s="115"/>
      <c r="BD1601" s="115"/>
      <c r="BE1601" s="115"/>
      <c r="BF1601" s="115"/>
      <c r="BG1601" s="115"/>
      <c r="BH1601" s="122"/>
      <c r="BI1601" s="122"/>
      <c r="BJ1601" s="122"/>
      <c r="BK1601" s="115"/>
      <c r="BL1601" s="115"/>
      <c r="BM1601" s="115"/>
      <c r="BN1601" s="115"/>
      <c r="BO1601" s="115"/>
      <c r="BP1601" s="115"/>
      <c r="BQ1601" s="115"/>
      <c r="BR1601" s="115"/>
      <c r="BS1601" s="115"/>
      <c r="BT1601" s="115"/>
      <c r="BU1601" s="115"/>
      <c r="BV1601" s="115"/>
      <c r="BW1601" s="115"/>
      <c r="BX1601" s="115"/>
      <c r="BY1601" s="26"/>
      <c r="BZ1601" s="13"/>
      <c r="CC1601" s="114"/>
    </row>
    <row r="1602" spans="1:82" x14ac:dyDescent="0.4">
      <c r="A1602" s="115"/>
      <c r="B1602" s="115"/>
      <c r="C1602" s="115"/>
      <c r="D1602" s="115"/>
      <c r="E1602" s="115"/>
      <c r="F1602" s="115"/>
      <c r="G1602" s="115"/>
      <c r="H1602" s="115"/>
      <c r="I1602" s="115"/>
      <c r="J1602" s="115"/>
      <c r="K1602" s="115"/>
      <c r="L1602" s="115"/>
      <c r="M1602" s="115"/>
      <c r="N1602" s="115"/>
      <c r="O1602" s="115"/>
      <c r="P1602" s="115"/>
      <c r="Q1602" s="115"/>
      <c r="R1602" s="115"/>
      <c r="S1602" s="115"/>
      <c r="T1602" s="115"/>
      <c r="U1602" s="115"/>
      <c r="V1602" s="115"/>
      <c r="W1602" s="115"/>
      <c r="X1602" s="115"/>
      <c r="Y1602" s="115"/>
      <c r="Z1602" s="115"/>
      <c r="AA1602" s="115"/>
      <c r="AB1602" s="115"/>
      <c r="AC1602" s="115"/>
      <c r="AD1602" s="115"/>
      <c r="AE1602" s="115"/>
      <c r="AF1602" s="115"/>
      <c r="AG1602" s="115"/>
      <c r="AH1602" s="115"/>
      <c r="AI1602" s="115"/>
      <c r="AJ1602" s="115"/>
      <c r="AK1602" s="115"/>
      <c r="AL1602" s="115"/>
      <c r="AM1602" s="115"/>
      <c r="AN1602" s="115"/>
      <c r="AO1602" s="115"/>
      <c r="AP1602" s="115"/>
      <c r="AQ1602" s="115"/>
      <c r="AR1602" s="115"/>
      <c r="AS1602" s="115"/>
      <c r="AT1602" s="115"/>
      <c r="AU1602" s="115"/>
      <c r="AV1602" s="115"/>
      <c r="AW1602" s="115"/>
      <c r="AX1602" s="115"/>
      <c r="AY1602" s="115"/>
      <c r="AZ1602" s="115"/>
      <c r="BA1602" s="115"/>
      <c r="BB1602" s="115"/>
      <c r="BC1602" s="115"/>
      <c r="BD1602" s="115"/>
      <c r="BE1602" s="115"/>
      <c r="BF1602" s="115"/>
      <c r="BG1602" s="115"/>
      <c r="BH1602" s="122"/>
      <c r="BI1602" s="122"/>
      <c r="BJ1602" s="122"/>
      <c r="BK1602" s="115"/>
      <c r="BL1602" s="115"/>
      <c r="BM1602" s="115"/>
      <c r="BN1602" s="115"/>
      <c r="BO1602" s="115"/>
      <c r="BP1602" s="115"/>
      <c r="BQ1602" s="115"/>
      <c r="BR1602" s="115"/>
      <c r="BS1602" s="115"/>
      <c r="BT1602" s="115"/>
      <c r="BU1602" s="115"/>
      <c r="BV1602" s="115"/>
      <c r="BW1602" s="115"/>
      <c r="BX1602" s="115"/>
      <c r="BY1602" s="26"/>
      <c r="BZ1602" s="13"/>
      <c r="CC1602" s="114"/>
    </row>
    <row r="1603" spans="1:82" x14ac:dyDescent="0.4">
      <c r="A1603" s="115"/>
      <c r="B1603" s="115"/>
      <c r="C1603" s="115"/>
      <c r="D1603" s="115"/>
      <c r="E1603" s="115"/>
      <c r="F1603" s="115"/>
      <c r="G1603" s="115"/>
      <c r="H1603" s="115"/>
      <c r="I1603" s="115"/>
      <c r="J1603" s="115"/>
      <c r="K1603" s="115"/>
      <c r="L1603" s="115"/>
      <c r="M1603" s="115"/>
      <c r="N1603" s="115"/>
      <c r="O1603" s="115"/>
      <c r="P1603" s="115"/>
      <c r="Q1603" s="115"/>
      <c r="R1603" s="115"/>
      <c r="S1603" s="115"/>
      <c r="T1603" s="115"/>
      <c r="U1603" s="115"/>
      <c r="V1603" s="115"/>
      <c r="W1603" s="115"/>
      <c r="X1603" s="115"/>
      <c r="Y1603" s="115"/>
      <c r="Z1603" s="115"/>
      <c r="AA1603" s="115"/>
      <c r="AB1603" s="115"/>
      <c r="AC1603" s="115"/>
      <c r="AD1603" s="115"/>
      <c r="AE1603" s="115"/>
      <c r="AF1603" s="115"/>
      <c r="AG1603" s="115"/>
      <c r="AH1603" s="115"/>
      <c r="AI1603" s="115"/>
      <c r="AJ1603" s="115"/>
      <c r="AK1603" s="115"/>
      <c r="AL1603" s="115"/>
      <c r="AM1603" s="115"/>
      <c r="AN1603" s="115"/>
      <c r="AO1603" s="115"/>
      <c r="AP1603" s="115"/>
      <c r="AQ1603" s="115"/>
      <c r="AR1603" s="115"/>
      <c r="AS1603" s="115"/>
      <c r="AT1603" s="115"/>
      <c r="AU1603" s="115"/>
      <c r="AV1603" s="115"/>
      <c r="AW1603" s="115"/>
      <c r="AX1603" s="115"/>
      <c r="AY1603" s="115"/>
      <c r="AZ1603" s="115"/>
      <c r="BA1603" s="115"/>
      <c r="BB1603" s="115"/>
      <c r="BC1603" s="115"/>
      <c r="BD1603" s="115"/>
      <c r="BE1603" s="115"/>
      <c r="BF1603" s="115"/>
      <c r="BG1603" s="115"/>
      <c r="BH1603" s="122"/>
      <c r="BI1603" s="122"/>
      <c r="BJ1603" s="122"/>
      <c r="BK1603" s="115"/>
      <c r="BL1603" s="115"/>
      <c r="BM1603" s="115"/>
      <c r="BN1603" s="115"/>
      <c r="BO1603" s="115"/>
      <c r="BP1603" s="115"/>
      <c r="BQ1603" s="115"/>
      <c r="BR1603" s="115"/>
      <c r="BS1603" s="115"/>
      <c r="BT1603" s="115"/>
      <c r="BU1603" s="115"/>
      <c r="BV1603" s="115"/>
      <c r="BW1603" s="115"/>
      <c r="BX1603" s="115"/>
      <c r="BY1603" s="26"/>
      <c r="BZ1603" s="13"/>
      <c r="CC1603" s="114"/>
    </row>
    <row r="1604" spans="1:82" x14ac:dyDescent="0.4">
      <c r="A1604" s="115"/>
      <c r="B1604" s="115"/>
      <c r="C1604" s="115"/>
      <c r="D1604" s="115"/>
      <c r="E1604" s="115"/>
      <c r="F1604" s="115"/>
      <c r="G1604" s="115"/>
      <c r="H1604" s="115"/>
      <c r="I1604" s="115"/>
      <c r="J1604" s="115"/>
      <c r="K1604" s="115"/>
      <c r="L1604" s="115"/>
      <c r="M1604" s="115"/>
      <c r="N1604" s="115"/>
      <c r="O1604" s="115"/>
      <c r="P1604" s="115"/>
      <c r="Q1604" s="115"/>
      <c r="R1604" s="115"/>
      <c r="S1604" s="115"/>
      <c r="T1604" s="115"/>
      <c r="U1604" s="115"/>
      <c r="V1604" s="115"/>
      <c r="W1604" s="115"/>
      <c r="X1604" s="115"/>
      <c r="Y1604" s="115"/>
      <c r="Z1604" s="115"/>
      <c r="AA1604" s="115"/>
      <c r="AB1604" s="115"/>
      <c r="AC1604" s="115"/>
      <c r="AD1604" s="115"/>
      <c r="AE1604" s="115"/>
      <c r="AF1604" s="115"/>
      <c r="AG1604" s="115"/>
      <c r="AH1604" s="115"/>
      <c r="AI1604" s="115"/>
      <c r="AJ1604" s="115"/>
      <c r="AK1604" s="115"/>
      <c r="AL1604" s="115"/>
      <c r="AM1604" s="115"/>
      <c r="AN1604" s="115"/>
      <c r="AO1604" s="115"/>
      <c r="AP1604" s="115"/>
      <c r="AQ1604" s="115"/>
      <c r="AR1604" s="115"/>
      <c r="AS1604" s="115"/>
      <c r="AT1604" s="115"/>
      <c r="AU1604" s="115"/>
      <c r="AV1604" s="115"/>
      <c r="AW1604" s="115"/>
      <c r="AX1604" s="115"/>
      <c r="AY1604" s="115"/>
      <c r="AZ1604" s="115"/>
      <c r="BA1604" s="115"/>
      <c r="BB1604" s="115"/>
      <c r="BC1604" s="115"/>
      <c r="BD1604" s="115"/>
      <c r="BE1604" s="115"/>
      <c r="BF1604" s="115"/>
      <c r="BG1604" s="115"/>
      <c r="BH1604" s="122"/>
      <c r="BI1604" s="122"/>
      <c r="BJ1604" s="122"/>
      <c r="BK1604" s="115"/>
      <c r="BL1604" s="115"/>
      <c r="BM1604" s="115"/>
      <c r="BN1604" s="115"/>
      <c r="BO1604" s="115"/>
      <c r="BP1604" s="115"/>
      <c r="BQ1604" s="115"/>
      <c r="BR1604" s="115"/>
      <c r="BS1604" s="115"/>
      <c r="BT1604" s="115"/>
      <c r="BU1604" s="115"/>
      <c r="BV1604" s="115"/>
      <c r="BW1604" s="115"/>
      <c r="BX1604" s="115"/>
      <c r="BY1604" s="26"/>
      <c r="BZ1604" s="13"/>
      <c r="CC1604" s="114"/>
    </row>
    <row r="1605" spans="1:82" x14ac:dyDescent="0.4">
      <c r="A1605" s="115"/>
      <c r="B1605" s="115"/>
      <c r="C1605" s="115"/>
      <c r="D1605" s="115"/>
      <c r="E1605" s="115"/>
      <c r="F1605" s="115"/>
      <c r="G1605" s="115"/>
      <c r="H1605" s="115"/>
      <c r="I1605" s="115"/>
      <c r="J1605" s="115"/>
      <c r="K1605" s="115"/>
      <c r="L1605" s="115"/>
      <c r="M1605" s="115"/>
      <c r="N1605" s="115"/>
      <c r="O1605" s="115"/>
      <c r="P1605" s="115"/>
      <c r="Q1605" s="115"/>
      <c r="R1605" s="115"/>
      <c r="S1605" s="115"/>
      <c r="T1605" s="115"/>
      <c r="U1605" s="115"/>
      <c r="V1605" s="115"/>
      <c r="W1605" s="115"/>
      <c r="X1605" s="115"/>
      <c r="Y1605" s="115"/>
      <c r="Z1605" s="115"/>
      <c r="AA1605" s="115"/>
      <c r="AB1605" s="115"/>
      <c r="AC1605" s="115"/>
      <c r="AD1605" s="115"/>
      <c r="AE1605" s="115"/>
      <c r="AF1605" s="115"/>
      <c r="AG1605" s="115"/>
      <c r="AH1605" s="115"/>
      <c r="AI1605" s="115"/>
      <c r="AJ1605" s="115"/>
      <c r="AK1605" s="115"/>
      <c r="AL1605" s="115"/>
      <c r="AM1605" s="115"/>
      <c r="AN1605" s="115"/>
      <c r="AO1605" s="115"/>
      <c r="AP1605" s="115"/>
      <c r="AQ1605" s="115"/>
      <c r="AR1605" s="115"/>
      <c r="AS1605" s="115"/>
      <c r="AT1605" s="115"/>
      <c r="AU1605" s="115"/>
      <c r="AV1605" s="115"/>
      <c r="AW1605" s="115"/>
      <c r="AX1605" s="115"/>
      <c r="AY1605" s="115"/>
      <c r="AZ1605" s="115"/>
      <c r="BA1605" s="115"/>
      <c r="BB1605" s="115"/>
      <c r="BC1605" s="115"/>
      <c r="BD1605" s="115"/>
      <c r="BE1605" s="115"/>
      <c r="BF1605" s="115"/>
      <c r="BG1605" s="115"/>
      <c r="BH1605" s="122"/>
      <c r="BI1605" s="122"/>
      <c r="BJ1605" s="122"/>
      <c r="BK1605" s="115"/>
      <c r="BL1605" s="115"/>
      <c r="BM1605" s="115"/>
      <c r="BN1605" s="115"/>
      <c r="BO1605" s="115"/>
      <c r="BP1605" s="115"/>
      <c r="BQ1605" s="115"/>
      <c r="BR1605" s="115"/>
      <c r="BS1605" s="115"/>
      <c r="BT1605" s="115"/>
      <c r="BU1605" s="115"/>
      <c r="BV1605" s="115"/>
      <c r="BW1605" s="115"/>
      <c r="BX1605" s="115"/>
      <c r="BY1605" s="17"/>
      <c r="BZ1605" s="13"/>
      <c r="CC1605" s="114"/>
    </row>
    <row r="1606" spans="1:82" x14ac:dyDescent="0.4">
      <c r="A1606" s="115"/>
      <c r="B1606" s="115"/>
      <c r="C1606" s="115"/>
      <c r="D1606" s="115"/>
      <c r="E1606" s="115"/>
      <c r="F1606" s="115"/>
      <c r="G1606" s="115"/>
      <c r="H1606" s="115"/>
      <c r="I1606" s="115"/>
      <c r="J1606" s="115"/>
      <c r="K1606" s="115"/>
      <c r="L1606" s="115"/>
      <c r="M1606" s="115"/>
      <c r="N1606" s="115"/>
      <c r="O1606" s="115"/>
      <c r="P1606" s="115"/>
      <c r="Q1606" s="115"/>
      <c r="R1606" s="115"/>
      <c r="S1606" s="115"/>
      <c r="T1606" s="115"/>
      <c r="U1606" s="115"/>
      <c r="V1606" s="115"/>
      <c r="W1606" s="115"/>
      <c r="X1606" s="115"/>
      <c r="Y1606" s="115"/>
      <c r="Z1606" s="115"/>
      <c r="AA1606" s="115"/>
      <c r="AB1606" s="115"/>
      <c r="AC1606" s="115"/>
      <c r="AD1606" s="115"/>
      <c r="AE1606" s="115"/>
      <c r="AF1606" s="115"/>
      <c r="AG1606" s="115"/>
      <c r="AH1606" s="115"/>
      <c r="AI1606" s="115"/>
      <c r="AJ1606" s="115"/>
      <c r="AK1606" s="115"/>
      <c r="AL1606" s="115"/>
      <c r="AM1606" s="115"/>
      <c r="AN1606" s="115"/>
      <c r="AO1606" s="115"/>
      <c r="AP1606" s="115"/>
      <c r="AQ1606" s="115"/>
      <c r="AR1606" s="115"/>
      <c r="AS1606" s="115"/>
      <c r="AT1606" s="115"/>
      <c r="AU1606" s="115"/>
      <c r="AV1606" s="115"/>
      <c r="AW1606" s="115"/>
      <c r="AX1606" s="115"/>
      <c r="AY1606" s="115"/>
      <c r="AZ1606" s="115"/>
      <c r="BA1606" s="115"/>
      <c r="BB1606" s="115"/>
      <c r="BC1606" s="115"/>
      <c r="BD1606" s="115"/>
      <c r="BE1606" s="115"/>
      <c r="BF1606" s="115"/>
      <c r="BG1606" s="115"/>
      <c r="BH1606" s="122"/>
      <c r="BI1606" s="122"/>
      <c r="BJ1606" s="122"/>
      <c r="BK1606" s="115"/>
      <c r="BL1606" s="115"/>
      <c r="BM1606" s="115"/>
      <c r="BN1606" s="115"/>
      <c r="BO1606" s="115"/>
      <c r="BP1606" s="115"/>
      <c r="BQ1606" s="115"/>
      <c r="BR1606" s="115"/>
      <c r="BS1606" s="115"/>
      <c r="BT1606" s="115"/>
      <c r="BU1606" s="115"/>
      <c r="BV1606" s="115"/>
      <c r="BW1606" s="115"/>
      <c r="BX1606" s="115"/>
      <c r="BY1606" s="26"/>
      <c r="BZ1606" s="13"/>
      <c r="CC1606" s="114"/>
    </row>
    <row r="1607" spans="1:82" x14ac:dyDescent="0.4">
      <c r="A1607" s="115"/>
      <c r="B1607" s="115"/>
      <c r="C1607" s="115"/>
      <c r="D1607" s="115"/>
      <c r="E1607" s="115"/>
      <c r="F1607" s="115"/>
      <c r="G1607" s="115"/>
      <c r="H1607" s="115"/>
      <c r="I1607" s="115"/>
      <c r="J1607" s="115"/>
      <c r="K1607" s="115"/>
      <c r="L1607" s="115"/>
      <c r="M1607" s="115"/>
      <c r="N1607" s="115"/>
      <c r="O1607" s="115"/>
      <c r="P1607" s="115"/>
      <c r="Q1607" s="115"/>
      <c r="R1607" s="115"/>
      <c r="S1607" s="115"/>
      <c r="T1607" s="115"/>
      <c r="U1607" s="115"/>
      <c r="V1607" s="115"/>
      <c r="W1607" s="115"/>
      <c r="X1607" s="115"/>
      <c r="Y1607" s="115"/>
      <c r="Z1607" s="115"/>
      <c r="AA1607" s="115"/>
      <c r="AB1607" s="115"/>
      <c r="AC1607" s="115"/>
      <c r="AD1607" s="115"/>
      <c r="AE1607" s="115"/>
      <c r="AF1607" s="115"/>
      <c r="AG1607" s="115"/>
      <c r="AH1607" s="115"/>
      <c r="AI1607" s="115"/>
      <c r="AJ1607" s="115"/>
      <c r="AK1607" s="115"/>
      <c r="AL1607" s="115"/>
      <c r="AM1607" s="115"/>
      <c r="AN1607" s="115"/>
      <c r="AO1607" s="115"/>
      <c r="AP1607" s="115"/>
      <c r="AQ1607" s="115"/>
      <c r="AR1607" s="115"/>
      <c r="AS1607" s="115"/>
      <c r="AT1607" s="115"/>
      <c r="AU1607" s="115"/>
      <c r="AV1607" s="115"/>
      <c r="AW1607" s="115"/>
      <c r="AX1607" s="115"/>
      <c r="AY1607" s="115"/>
      <c r="AZ1607" s="115"/>
      <c r="BA1607" s="115"/>
      <c r="BB1607" s="115"/>
      <c r="BC1607" s="115"/>
      <c r="BD1607" s="115"/>
      <c r="BE1607" s="115"/>
      <c r="BF1607" s="115"/>
      <c r="BG1607" s="115"/>
      <c r="BH1607" s="122"/>
      <c r="BI1607" s="122"/>
      <c r="BJ1607" s="122"/>
      <c r="BK1607" s="115"/>
      <c r="BL1607" s="115"/>
      <c r="BM1607" s="115"/>
      <c r="BN1607" s="115"/>
      <c r="BO1607" s="115"/>
      <c r="BP1607" s="115"/>
      <c r="BQ1607" s="115"/>
      <c r="BR1607" s="115"/>
      <c r="BS1607" s="115"/>
      <c r="BT1607" s="115"/>
      <c r="BU1607" s="115"/>
      <c r="BV1607" s="115"/>
      <c r="BW1607" s="115"/>
      <c r="BX1607" s="115"/>
      <c r="BY1607" s="17"/>
      <c r="BZ1607" s="13"/>
      <c r="CC1607" s="114"/>
    </row>
    <row r="1608" spans="1:82" x14ac:dyDescent="0.4">
      <c r="A1608" s="115"/>
      <c r="B1608" s="115"/>
      <c r="C1608" s="115"/>
      <c r="D1608" s="115"/>
      <c r="E1608" s="115"/>
      <c r="F1608" s="115"/>
      <c r="G1608" s="115"/>
      <c r="H1608" s="115"/>
      <c r="I1608" s="115"/>
      <c r="J1608" s="115"/>
      <c r="K1608" s="115"/>
      <c r="L1608" s="115"/>
      <c r="M1608" s="115"/>
      <c r="N1608" s="115"/>
      <c r="O1608" s="115"/>
      <c r="P1608" s="115"/>
      <c r="Q1608" s="115"/>
      <c r="R1608" s="115"/>
      <c r="S1608" s="115"/>
      <c r="T1608" s="115"/>
      <c r="U1608" s="115"/>
      <c r="V1608" s="115"/>
      <c r="W1608" s="115"/>
      <c r="X1608" s="115"/>
      <c r="Y1608" s="115"/>
      <c r="Z1608" s="115"/>
      <c r="AA1608" s="115"/>
      <c r="AB1608" s="115"/>
      <c r="AC1608" s="115"/>
      <c r="AD1608" s="115"/>
      <c r="AE1608" s="115"/>
      <c r="AF1608" s="115"/>
      <c r="AG1608" s="115"/>
      <c r="AH1608" s="115"/>
      <c r="AI1608" s="115"/>
      <c r="AJ1608" s="115"/>
      <c r="AK1608" s="115"/>
      <c r="AL1608" s="115"/>
      <c r="AM1608" s="115"/>
      <c r="AN1608" s="115"/>
      <c r="AO1608" s="115"/>
      <c r="AP1608" s="115"/>
      <c r="AQ1608" s="115"/>
      <c r="AR1608" s="115"/>
      <c r="AS1608" s="115"/>
      <c r="AT1608" s="115"/>
      <c r="AU1608" s="115"/>
      <c r="AV1608" s="115"/>
      <c r="AW1608" s="115"/>
      <c r="AX1608" s="115"/>
      <c r="AY1608" s="115"/>
      <c r="AZ1608" s="115"/>
      <c r="BA1608" s="115"/>
      <c r="BB1608" s="115"/>
      <c r="BC1608" s="115"/>
      <c r="BD1608" s="115"/>
      <c r="BE1608" s="115"/>
      <c r="BF1608" s="115"/>
      <c r="BG1608" s="115"/>
      <c r="BH1608" s="122"/>
      <c r="BI1608" s="122"/>
      <c r="BJ1608" s="122"/>
      <c r="BK1608" s="115"/>
      <c r="BL1608" s="115"/>
      <c r="BM1608" s="115"/>
      <c r="BN1608" s="115"/>
      <c r="BO1608" s="115"/>
      <c r="BP1608" s="115"/>
      <c r="BQ1608" s="115"/>
      <c r="BR1608" s="115"/>
      <c r="BS1608" s="115"/>
      <c r="BT1608" s="115"/>
      <c r="BU1608" s="115"/>
      <c r="BV1608" s="115"/>
      <c r="BW1608" s="115"/>
      <c r="BX1608" s="115"/>
      <c r="BY1608" s="26"/>
      <c r="BZ1608" s="13"/>
      <c r="CC1608" s="114"/>
    </row>
    <row r="1609" spans="1:82" x14ac:dyDescent="0.4">
      <c r="A1609" s="115"/>
      <c r="B1609" s="115"/>
      <c r="C1609" s="115"/>
      <c r="D1609" s="115"/>
      <c r="E1609" s="115"/>
      <c r="F1609" s="115"/>
      <c r="G1609" s="115"/>
      <c r="H1609" s="115"/>
      <c r="I1609" s="115"/>
      <c r="J1609" s="115"/>
      <c r="K1609" s="115"/>
      <c r="L1609" s="115"/>
      <c r="M1609" s="115"/>
      <c r="N1609" s="115"/>
      <c r="O1609" s="115"/>
      <c r="P1609" s="115"/>
      <c r="Q1609" s="115"/>
      <c r="R1609" s="115"/>
      <c r="S1609" s="115"/>
      <c r="T1609" s="115"/>
      <c r="U1609" s="115"/>
      <c r="V1609" s="115"/>
      <c r="W1609" s="115"/>
      <c r="X1609" s="115"/>
      <c r="Y1609" s="115"/>
      <c r="Z1609" s="115"/>
      <c r="AA1609" s="115"/>
      <c r="AB1609" s="115"/>
      <c r="AC1609" s="115"/>
      <c r="AD1609" s="115"/>
      <c r="AE1609" s="115"/>
      <c r="AF1609" s="115"/>
      <c r="AG1609" s="115"/>
      <c r="AH1609" s="115"/>
      <c r="AI1609" s="115"/>
      <c r="AJ1609" s="115"/>
      <c r="AK1609" s="115"/>
      <c r="AL1609" s="115"/>
      <c r="AM1609" s="115"/>
      <c r="AN1609" s="115"/>
      <c r="AO1609" s="115"/>
      <c r="AP1609" s="115"/>
      <c r="AQ1609" s="115"/>
      <c r="AR1609" s="115"/>
      <c r="AS1609" s="115"/>
      <c r="AT1609" s="115"/>
      <c r="AU1609" s="115"/>
      <c r="AV1609" s="115"/>
      <c r="AW1609" s="115"/>
      <c r="AX1609" s="115"/>
      <c r="AY1609" s="115"/>
      <c r="AZ1609" s="115"/>
      <c r="BA1609" s="115"/>
      <c r="BB1609" s="115"/>
      <c r="BC1609" s="115"/>
      <c r="BD1609" s="115"/>
      <c r="BE1609" s="115"/>
      <c r="BF1609" s="115"/>
      <c r="BG1609" s="115"/>
      <c r="BH1609" s="122"/>
      <c r="BI1609" s="122"/>
      <c r="BJ1609" s="122"/>
      <c r="BK1609" s="115"/>
      <c r="BL1609" s="115"/>
      <c r="BM1609" s="115"/>
      <c r="BN1609" s="115"/>
      <c r="BO1609" s="115"/>
      <c r="BP1609" s="115"/>
      <c r="BQ1609" s="115"/>
      <c r="BR1609" s="115"/>
      <c r="BS1609" s="115"/>
      <c r="BT1609" s="115"/>
      <c r="BU1609" s="115"/>
      <c r="BV1609" s="115"/>
      <c r="BW1609" s="115"/>
      <c r="BX1609" s="115"/>
      <c r="BY1609" s="26"/>
      <c r="BZ1609" s="13"/>
      <c r="CC1609" s="114"/>
    </row>
    <row r="1610" spans="1:82" x14ac:dyDescent="0.4">
      <c r="A1610" s="115"/>
      <c r="B1610" s="115"/>
      <c r="C1610" s="115"/>
      <c r="D1610" s="115"/>
      <c r="E1610" s="115"/>
      <c r="F1610" s="115"/>
      <c r="G1610" s="115"/>
      <c r="H1610" s="115"/>
      <c r="I1610" s="115"/>
      <c r="J1610" s="115"/>
      <c r="K1610" s="115"/>
      <c r="L1610" s="115"/>
      <c r="M1610" s="115"/>
      <c r="N1610" s="115"/>
      <c r="O1610" s="115"/>
      <c r="P1610" s="115"/>
      <c r="Q1610" s="115"/>
      <c r="R1610" s="115"/>
      <c r="S1610" s="115"/>
      <c r="T1610" s="115"/>
      <c r="U1610" s="115"/>
      <c r="V1610" s="115"/>
      <c r="W1610" s="115"/>
      <c r="X1610" s="115"/>
      <c r="Y1610" s="115"/>
      <c r="Z1610" s="115"/>
      <c r="AA1610" s="115"/>
      <c r="AB1610" s="115"/>
      <c r="AC1610" s="115"/>
      <c r="AD1610" s="115"/>
      <c r="AE1610" s="115"/>
      <c r="AF1610" s="115"/>
      <c r="AG1610" s="115"/>
      <c r="AH1610" s="115"/>
      <c r="AI1610" s="115"/>
      <c r="AJ1610" s="115"/>
      <c r="AK1610" s="115"/>
      <c r="AL1610" s="115"/>
      <c r="AM1610" s="115"/>
      <c r="AN1610" s="115"/>
      <c r="AO1610" s="115"/>
      <c r="AP1610" s="115"/>
      <c r="AQ1610" s="115"/>
      <c r="AR1610" s="115"/>
      <c r="AS1610" s="115"/>
      <c r="AT1610" s="115"/>
      <c r="AU1610" s="115"/>
      <c r="AV1610" s="115"/>
      <c r="AW1610" s="115"/>
      <c r="AX1610" s="115"/>
      <c r="AY1610" s="115"/>
      <c r="AZ1610" s="115"/>
      <c r="BA1610" s="115"/>
      <c r="BB1610" s="115"/>
      <c r="BC1610" s="115"/>
      <c r="BD1610" s="115"/>
      <c r="BE1610" s="115"/>
      <c r="BF1610" s="115"/>
      <c r="BG1610" s="115"/>
      <c r="BH1610" s="122"/>
      <c r="BI1610" s="122"/>
      <c r="BJ1610" s="122"/>
      <c r="BK1610" s="115"/>
      <c r="BL1610" s="115"/>
      <c r="BM1610" s="115"/>
      <c r="BN1610" s="115"/>
      <c r="BO1610" s="115"/>
      <c r="BP1610" s="115"/>
      <c r="BQ1610" s="115"/>
      <c r="BR1610" s="115"/>
      <c r="BS1610" s="115"/>
      <c r="BT1610" s="115"/>
      <c r="BU1610" s="115"/>
      <c r="BV1610" s="115"/>
      <c r="BW1610" s="115"/>
      <c r="BX1610" s="115"/>
      <c r="BY1610" s="26"/>
      <c r="BZ1610" s="13"/>
      <c r="CC1610" s="114"/>
    </row>
    <row r="1611" spans="1:82" x14ac:dyDescent="0.4">
      <c r="A1611" s="115"/>
      <c r="B1611" s="115"/>
      <c r="C1611" s="115"/>
      <c r="D1611" s="115"/>
      <c r="E1611" s="115"/>
      <c r="F1611" s="115"/>
      <c r="G1611" s="115"/>
      <c r="H1611" s="115"/>
      <c r="I1611" s="115"/>
      <c r="J1611" s="115"/>
      <c r="K1611" s="115"/>
      <c r="L1611" s="115"/>
      <c r="M1611" s="115"/>
      <c r="N1611" s="115"/>
      <c r="O1611" s="115"/>
      <c r="P1611" s="115"/>
      <c r="Q1611" s="115"/>
      <c r="R1611" s="115"/>
      <c r="S1611" s="115"/>
      <c r="T1611" s="115"/>
      <c r="U1611" s="115"/>
      <c r="V1611" s="115"/>
      <c r="W1611" s="115"/>
      <c r="X1611" s="115"/>
      <c r="Y1611" s="115"/>
      <c r="Z1611" s="115"/>
      <c r="AA1611" s="115"/>
      <c r="AB1611" s="115"/>
      <c r="AC1611" s="115"/>
      <c r="AD1611" s="115"/>
      <c r="AE1611" s="115"/>
      <c r="AF1611" s="115"/>
      <c r="AG1611" s="115"/>
      <c r="AH1611" s="115"/>
      <c r="AI1611" s="115"/>
      <c r="AJ1611" s="115"/>
      <c r="AK1611" s="115"/>
      <c r="AL1611" s="115"/>
      <c r="AM1611" s="115"/>
      <c r="AN1611" s="115"/>
      <c r="AO1611" s="115"/>
      <c r="AP1611" s="115"/>
      <c r="AQ1611" s="115"/>
      <c r="AR1611" s="115"/>
      <c r="AS1611" s="115"/>
      <c r="AT1611" s="115"/>
      <c r="AU1611" s="115"/>
      <c r="AV1611" s="115"/>
      <c r="AW1611" s="115"/>
      <c r="AX1611" s="115"/>
      <c r="AY1611" s="115"/>
      <c r="AZ1611" s="115"/>
      <c r="BA1611" s="115"/>
      <c r="BB1611" s="115"/>
      <c r="BC1611" s="115"/>
      <c r="BD1611" s="115"/>
      <c r="BE1611" s="115"/>
      <c r="BF1611" s="115"/>
      <c r="BG1611" s="115"/>
      <c r="BH1611" s="122"/>
      <c r="BI1611" s="122"/>
      <c r="BJ1611" s="122"/>
      <c r="BK1611" s="115"/>
      <c r="BL1611" s="115"/>
      <c r="BM1611" s="115"/>
      <c r="BN1611" s="115"/>
      <c r="BO1611" s="115"/>
      <c r="BP1611" s="115"/>
      <c r="BQ1611" s="115"/>
      <c r="BR1611" s="115"/>
      <c r="BS1611" s="115"/>
      <c r="BT1611" s="115"/>
      <c r="BU1611" s="115"/>
      <c r="BV1611" s="115"/>
      <c r="BW1611" s="115"/>
      <c r="BX1611" s="115"/>
      <c r="BY1611" s="26"/>
      <c r="BZ1611" s="15"/>
      <c r="CC1611" s="114"/>
    </row>
    <row r="1612" spans="1:82" x14ac:dyDescent="0.4">
      <c r="A1612" s="115"/>
      <c r="B1612" s="115"/>
      <c r="C1612" s="115"/>
      <c r="D1612" s="115"/>
      <c r="E1612" s="115"/>
      <c r="F1612" s="115"/>
      <c r="G1612" s="115"/>
      <c r="H1612" s="115"/>
      <c r="I1612" s="115"/>
      <c r="J1612" s="115"/>
      <c r="K1612" s="115"/>
      <c r="L1612" s="115"/>
      <c r="M1612" s="115"/>
      <c r="N1612" s="115"/>
      <c r="O1612" s="115"/>
      <c r="P1612" s="115"/>
      <c r="Q1612" s="115"/>
      <c r="R1612" s="115"/>
      <c r="S1612" s="115"/>
      <c r="T1612" s="115"/>
      <c r="U1612" s="115"/>
      <c r="V1612" s="115"/>
      <c r="W1612" s="115"/>
      <c r="X1612" s="115"/>
      <c r="Y1612" s="115"/>
      <c r="Z1612" s="115"/>
      <c r="AA1612" s="115"/>
      <c r="AB1612" s="115"/>
      <c r="AC1612" s="115"/>
      <c r="AD1612" s="115"/>
      <c r="AE1612" s="115"/>
      <c r="AF1612" s="115"/>
      <c r="AG1612" s="115"/>
      <c r="AH1612" s="115"/>
      <c r="AI1612" s="115"/>
      <c r="AJ1612" s="115"/>
      <c r="AK1612" s="115"/>
      <c r="AL1612" s="115"/>
      <c r="AM1612" s="115"/>
      <c r="AN1612" s="115"/>
      <c r="AO1612" s="115"/>
      <c r="AP1612" s="115"/>
      <c r="AQ1612" s="115"/>
      <c r="AR1612" s="115"/>
      <c r="AS1612" s="115"/>
      <c r="AT1612" s="115"/>
      <c r="AU1612" s="115"/>
      <c r="AV1612" s="115"/>
      <c r="AW1612" s="115"/>
      <c r="AX1612" s="115"/>
      <c r="AY1612" s="115"/>
      <c r="AZ1612" s="115"/>
      <c r="BA1612" s="115"/>
      <c r="BB1612" s="115"/>
      <c r="BC1612" s="115"/>
      <c r="BD1612" s="115"/>
      <c r="BE1612" s="115"/>
      <c r="BF1612" s="115"/>
      <c r="BG1612" s="115"/>
      <c r="BH1612" s="122"/>
      <c r="BI1612" s="122"/>
      <c r="BJ1612" s="122"/>
      <c r="BK1612" s="115"/>
      <c r="BL1612" s="115"/>
      <c r="BM1612" s="115"/>
      <c r="BN1612" s="115"/>
      <c r="BO1612" s="115"/>
      <c r="BP1612" s="115"/>
      <c r="BQ1612" s="115"/>
      <c r="BR1612" s="115"/>
      <c r="BS1612" s="115"/>
      <c r="BT1612" s="115"/>
      <c r="BU1612" s="115"/>
      <c r="BV1612" s="115"/>
      <c r="BW1612" s="115"/>
      <c r="BX1612" s="115"/>
      <c r="BY1612" s="26"/>
      <c r="BZ1612" s="15"/>
      <c r="CC1612" s="114"/>
    </row>
    <row r="1613" spans="1:82" x14ac:dyDescent="0.4">
      <c r="A1613" s="115"/>
      <c r="B1613" s="115"/>
      <c r="C1613" s="115"/>
      <c r="D1613" s="115"/>
      <c r="E1613" s="115"/>
      <c r="F1613" s="115"/>
      <c r="G1613" s="115"/>
      <c r="H1613" s="115"/>
      <c r="I1613" s="115"/>
      <c r="J1613" s="115"/>
      <c r="K1613" s="115"/>
      <c r="L1613" s="115"/>
      <c r="M1613" s="115"/>
      <c r="N1613" s="115"/>
      <c r="O1613" s="115"/>
      <c r="P1613" s="115"/>
      <c r="Q1613" s="115"/>
      <c r="R1613" s="115"/>
      <c r="S1613" s="115"/>
      <c r="T1613" s="115"/>
      <c r="U1613" s="115"/>
      <c r="V1613" s="115"/>
      <c r="W1613" s="115"/>
      <c r="X1613" s="115"/>
      <c r="Y1613" s="115"/>
      <c r="Z1613" s="115"/>
      <c r="AA1613" s="115"/>
      <c r="AB1613" s="115"/>
      <c r="AC1613" s="115"/>
      <c r="AD1613" s="115"/>
      <c r="AE1613" s="115"/>
      <c r="AF1613" s="115"/>
      <c r="AG1613" s="115"/>
      <c r="AH1613" s="115"/>
      <c r="AI1613" s="115"/>
      <c r="AJ1613" s="115"/>
      <c r="AK1613" s="115"/>
      <c r="AL1613" s="115"/>
      <c r="AM1613" s="115"/>
      <c r="AN1613" s="115"/>
      <c r="AO1613" s="115"/>
      <c r="AP1613" s="115"/>
      <c r="AQ1613" s="115"/>
      <c r="AR1613" s="115"/>
      <c r="AS1613" s="115"/>
      <c r="AT1613" s="115"/>
      <c r="AU1613" s="115"/>
      <c r="AV1613" s="115"/>
      <c r="AW1613" s="115"/>
      <c r="AX1613" s="115"/>
      <c r="AY1613" s="115"/>
      <c r="AZ1613" s="115"/>
      <c r="BA1613" s="115"/>
      <c r="BB1613" s="115"/>
      <c r="BC1613" s="115"/>
      <c r="BD1613" s="115"/>
      <c r="BE1613" s="115"/>
      <c r="BF1613" s="115"/>
      <c r="BG1613" s="115"/>
      <c r="BH1613" s="122"/>
      <c r="BI1613" s="122"/>
      <c r="BJ1613" s="122"/>
      <c r="BK1613" s="115"/>
      <c r="BL1613" s="115"/>
      <c r="BM1613" s="115"/>
      <c r="BN1613" s="115"/>
      <c r="BO1613" s="115"/>
      <c r="BP1613" s="115"/>
      <c r="BQ1613" s="115"/>
      <c r="BR1613" s="115"/>
      <c r="BS1613" s="115"/>
      <c r="BT1613" s="115"/>
      <c r="BU1613" s="115"/>
      <c r="BV1613" s="115"/>
      <c r="BW1613" s="115"/>
      <c r="BX1613" s="115"/>
      <c r="BY1613" s="26"/>
      <c r="BZ1613" s="15"/>
      <c r="CC1613" s="114"/>
    </row>
    <row r="1614" spans="1:82" x14ac:dyDescent="0.4">
      <c r="A1614" s="115"/>
      <c r="B1614" s="115"/>
      <c r="C1614" s="115"/>
      <c r="D1614" s="115"/>
      <c r="E1614" s="115"/>
      <c r="F1614" s="115"/>
      <c r="G1614" s="115"/>
      <c r="H1614" s="115"/>
      <c r="I1614" s="115"/>
      <c r="J1614" s="115"/>
      <c r="K1614" s="115"/>
      <c r="L1614" s="115"/>
      <c r="M1614" s="115"/>
      <c r="N1614" s="115"/>
      <c r="O1614" s="115"/>
      <c r="P1614" s="115"/>
      <c r="Q1614" s="115"/>
      <c r="R1614" s="115"/>
      <c r="S1614" s="115"/>
      <c r="T1614" s="115"/>
      <c r="U1614" s="115"/>
      <c r="V1614" s="115"/>
      <c r="W1614" s="115"/>
      <c r="X1614" s="115"/>
      <c r="Y1614" s="115"/>
      <c r="Z1614" s="115"/>
      <c r="AA1614" s="115"/>
      <c r="AB1614" s="115"/>
      <c r="AC1614" s="115"/>
      <c r="AD1614" s="115"/>
      <c r="AE1614" s="115"/>
      <c r="AF1614" s="115"/>
      <c r="AG1614" s="115"/>
      <c r="AH1614" s="115"/>
      <c r="AI1614" s="115"/>
      <c r="AJ1614" s="115"/>
      <c r="AK1614" s="115"/>
      <c r="AL1614" s="115"/>
      <c r="AM1614" s="115"/>
      <c r="AN1614" s="115"/>
      <c r="AO1614" s="115"/>
      <c r="AP1614" s="115"/>
      <c r="AQ1614" s="115"/>
      <c r="AR1614" s="115"/>
      <c r="AS1614" s="115"/>
      <c r="AT1614" s="115"/>
      <c r="AU1614" s="115"/>
      <c r="AV1614" s="115"/>
      <c r="AW1614" s="115"/>
      <c r="AX1614" s="115"/>
      <c r="AY1614" s="115"/>
      <c r="AZ1614" s="115"/>
      <c r="BA1614" s="115"/>
      <c r="BB1614" s="115"/>
      <c r="BC1614" s="115"/>
      <c r="BD1614" s="115"/>
      <c r="BE1614" s="115"/>
      <c r="BF1614" s="115"/>
      <c r="BG1614" s="115"/>
      <c r="BH1614" s="122"/>
      <c r="BI1614" s="122"/>
      <c r="BJ1614" s="122"/>
      <c r="BK1614" s="115"/>
      <c r="BL1614" s="115"/>
      <c r="BM1614" s="115"/>
      <c r="BN1614" s="115"/>
      <c r="BO1614" s="115"/>
      <c r="BP1614" s="115"/>
      <c r="BQ1614" s="115"/>
      <c r="BR1614" s="115"/>
      <c r="BS1614" s="115"/>
      <c r="BT1614" s="115"/>
      <c r="BU1614" s="115"/>
      <c r="BV1614" s="115"/>
      <c r="BW1614" s="115"/>
      <c r="BX1614" s="115"/>
      <c r="BY1614" s="26"/>
      <c r="BZ1614" s="13"/>
      <c r="CC1614" s="114"/>
    </row>
    <row r="1615" spans="1:82" x14ac:dyDescent="0.4">
      <c r="A1615" s="115"/>
      <c r="B1615" s="115"/>
      <c r="C1615" s="115"/>
      <c r="D1615" s="115"/>
      <c r="E1615" s="115"/>
      <c r="F1615" s="115"/>
      <c r="G1615" s="115"/>
      <c r="H1615" s="115"/>
      <c r="I1615" s="115"/>
      <c r="J1615" s="115"/>
      <c r="K1615" s="115"/>
      <c r="L1615" s="115"/>
      <c r="M1615" s="115"/>
      <c r="N1615" s="115"/>
      <c r="O1615" s="115"/>
      <c r="P1615" s="115"/>
      <c r="Q1615" s="115"/>
      <c r="R1615" s="115"/>
      <c r="S1615" s="115"/>
      <c r="T1615" s="115"/>
      <c r="U1615" s="115"/>
      <c r="V1615" s="115"/>
      <c r="W1615" s="115"/>
      <c r="X1615" s="115"/>
      <c r="Y1615" s="115"/>
      <c r="Z1615" s="115"/>
      <c r="AA1615" s="115"/>
      <c r="AB1615" s="115"/>
      <c r="AC1615" s="115"/>
      <c r="AD1615" s="115"/>
      <c r="AE1615" s="115"/>
      <c r="AF1615" s="115"/>
      <c r="AG1615" s="115"/>
      <c r="AH1615" s="115"/>
      <c r="AI1615" s="115"/>
      <c r="AJ1615" s="115"/>
      <c r="AK1615" s="115"/>
      <c r="AL1615" s="115"/>
      <c r="AM1615" s="115"/>
      <c r="AN1615" s="115"/>
      <c r="AO1615" s="115"/>
      <c r="AP1615" s="115"/>
      <c r="AQ1615" s="115"/>
      <c r="AR1615" s="115"/>
      <c r="AS1615" s="115"/>
      <c r="AT1615" s="115"/>
      <c r="AU1615" s="115"/>
      <c r="AV1615" s="115"/>
      <c r="AW1615" s="115"/>
      <c r="AX1615" s="115"/>
      <c r="AY1615" s="115"/>
      <c r="AZ1615" s="115"/>
      <c r="BA1615" s="115"/>
      <c r="BB1615" s="115"/>
      <c r="BC1615" s="115"/>
      <c r="BD1615" s="115"/>
      <c r="BE1615" s="115"/>
      <c r="BF1615" s="115"/>
      <c r="BG1615" s="115"/>
      <c r="BH1615" s="122"/>
      <c r="BI1615" s="122"/>
      <c r="BJ1615" s="122"/>
      <c r="BK1615" s="115"/>
      <c r="BL1615" s="115"/>
      <c r="BM1615" s="115"/>
      <c r="BN1615" s="115"/>
      <c r="BO1615" s="115"/>
      <c r="BP1615" s="115"/>
      <c r="BQ1615" s="115"/>
      <c r="BR1615" s="115"/>
      <c r="BS1615" s="115"/>
      <c r="BT1615" s="115"/>
      <c r="BU1615" s="115"/>
      <c r="BV1615" s="115"/>
      <c r="BW1615" s="115"/>
      <c r="BX1615" s="115"/>
      <c r="BY1615" s="26"/>
      <c r="BZ1615" s="15"/>
      <c r="CC1615" s="114"/>
    </row>
    <row r="1616" spans="1:82" x14ac:dyDescent="0.4">
      <c r="A1616" s="115"/>
      <c r="B1616" s="115"/>
      <c r="C1616" s="115"/>
      <c r="D1616" s="115"/>
      <c r="E1616" s="115"/>
      <c r="F1616" s="115"/>
      <c r="G1616" s="115"/>
      <c r="H1616" s="115"/>
      <c r="I1616" s="115"/>
      <c r="J1616" s="115"/>
      <c r="K1616" s="115"/>
      <c r="L1616" s="115"/>
      <c r="M1616" s="115"/>
      <c r="N1616" s="115"/>
      <c r="O1616" s="115"/>
      <c r="P1616" s="115"/>
      <c r="Q1616" s="115"/>
      <c r="R1616" s="115"/>
      <c r="S1616" s="115"/>
      <c r="T1616" s="115"/>
      <c r="U1616" s="115"/>
      <c r="V1616" s="115"/>
      <c r="W1616" s="115"/>
      <c r="X1616" s="115"/>
      <c r="Y1616" s="115"/>
      <c r="Z1616" s="115"/>
      <c r="AA1616" s="115"/>
      <c r="AB1616" s="115"/>
      <c r="AC1616" s="115"/>
      <c r="AD1616" s="115"/>
      <c r="AE1616" s="115"/>
      <c r="AF1616" s="115"/>
      <c r="AG1616" s="115"/>
      <c r="AH1616" s="115"/>
      <c r="AI1616" s="115"/>
      <c r="AJ1616" s="115"/>
      <c r="AK1616" s="115"/>
      <c r="AL1616" s="115"/>
      <c r="AM1616" s="115"/>
      <c r="AN1616" s="115"/>
      <c r="AO1616" s="115"/>
      <c r="AP1616" s="115"/>
      <c r="AQ1616" s="115"/>
      <c r="AR1616" s="115"/>
      <c r="AS1616" s="115"/>
      <c r="AT1616" s="115"/>
      <c r="AU1616" s="115"/>
      <c r="AV1616" s="115"/>
      <c r="AW1616" s="115"/>
      <c r="AX1616" s="115"/>
      <c r="AY1616" s="115"/>
      <c r="AZ1616" s="115"/>
      <c r="BA1616" s="115"/>
      <c r="BB1616" s="115"/>
      <c r="BC1616" s="115"/>
      <c r="BD1616" s="115"/>
      <c r="BE1616" s="115"/>
      <c r="BF1616" s="115"/>
      <c r="BG1616" s="115"/>
      <c r="BH1616" s="122"/>
      <c r="BI1616" s="122"/>
      <c r="BJ1616" s="122"/>
      <c r="BK1616" s="115"/>
      <c r="BL1616" s="115"/>
      <c r="BM1616" s="115"/>
      <c r="BN1616" s="115"/>
      <c r="BO1616" s="115"/>
      <c r="BP1616" s="115"/>
      <c r="BQ1616" s="115"/>
      <c r="BR1616" s="115"/>
      <c r="BS1616" s="115"/>
      <c r="BT1616" s="115"/>
      <c r="BU1616" s="115"/>
      <c r="BV1616" s="115"/>
      <c r="BW1616" s="115"/>
      <c r="BX1616" s="115"/>
      <c r="BY1616" s="26"/>
      <c r="BZ1616" s="15"/>
      <c r="CC1616" s="114"/>
      <c r="CD1616" s="120"/>
    </row>
    <row r="1617" spans="1:82" x14ac:dyDescent="0.4">
      <c r="A1617" s="115"/>
      <c r="B1617" s="115"/>
      <c r="C1617" s="115"/>
      <c r="D1617" s="115"/>
      <c r="E1617" s="115"/>
      <c r="F1617" s="115"/>
      <c r="G1617" s="115"/>
      <c r="H1617" s="115"/>
      <c r="I1617" s="115"/>
      <c r="J1617" s="115"/>
      <c r="K1617" s="115"/>
      <c r="L1617" s="115"/>
      <c r="M1617" s="115"/>
      <c r="N1617" s="115"/>
      <c r="O1617" s="115"/>
      <c r="P1617" s="115"/>
      <c r="Q1617" s="115"/>
      <c r="R1617" s="115"/>
      <c r="S1617" s="115"/>
      <c r="T1617" s="115"/>
      <c r="U1617" s="115"/>
      <c r="V1617" s="115"/>
      <c r="W1617" s="115"/>
      <c r="X1617" s="115"/>
      <c r="Y1617" s="115"/>
      <c r="Z1617" s="115"/>
      <c r="AA1617" s="115"/>
      <c r="AB1617" s="115"/>
      <c r="AC1617" s="115"/>
      <c r="AD1617" s="115"/>
      <c r="AE1617" s="115"/>
      <c r="AF1617" s="115"/>
      <c r="AG1617" s="115"/>
      <c r="AH1617" s="115"/>
      <c r="AI1617" s="115"/>
      <c r="AJ1617" s="115"/>
      <c r="AK1617" s="115"/>
      <c r="AL1617" s="115"/>
      <c r="AM1617" s="115"/>
      <c r="AN1617" s="115"/>
      <c r="AO1617" s="115"/>
      <c r="AP1617" s="115"/>
      <c r="AQ1617" s="115"/>
      <c r="AR1617" s="115"/>
      <c r="AS1617" s="115"/>
      <c r="AT1617" s="115"/>
      <c r="AU1617" s="115"/>
      <c r="AV1617" s="115"/>
      <c r="AW1617" s="115"/>
      <c r="AX1617" s="115"/>
      <c r="AY1617" s="115"/>
      <c r="AZ1617" s="115"/>
      <c r="BA1617" s="115"/>
      <c r="BB1617" s="115"/>
      <c r="BC1617" s="115"/>
      <c r="BD1617" s="115"/>
      <c r="BE1617" s="115"/>
      <c r="BF1617" s="115"/>
      <c r="BG1617" s="115"/>
      <c r="BH1617" s="122"/>
      <c r="BI1617" s="122"/>
      <c r="BJ1617" s="122"/>
      <c r="BK1617" s="115"/>
      <c r="BL1617" s="115"/>
      <c r="BM1617" s="115"/>
      <c r="BN1617" s="115"/>
      <c r="BO1617" s="115"/>
      <c r="BP1617" s="115"/>
      <c r="BQ1617" s="115"/>
      <c r="BR1617" s="115"/>
      <c r="BS1617" s="115"/>
      <c r="BT1617" s="115"/>
      <c r="BU1617" s="115"/>
      <c r="BV1617" s="115"/>
      <c r="BW1617" s="115"/>
      <c r="BX1617" s="115"/>
      <c r="BY1617" s="26"/>
      <c r="BZ1617" s="15"/>
      <c r="CC1617" s="114"/>
      <c r="CD1617" s="120"/>
    </row>
    <row r="1618" spans="1:82" x14ac:dyDescent="0.4">
      <c r="A1618" s="115"/>
      <c r="B1618" s="115"/>
      <c r="C1618" s="115"/>
      <c r="D1618" s="115"/>
      <c r="E1618" s="115"/>
      <c r="F1618" s="115"/>
      <c r="G1618" s="115"/>
      <c r="H1618" s="115"/>
      <c r="I1618" s="115"/>
      <c r="J1618" s="115"/>
      <c r="K1618" s="115"/>
      <c r="L1618" s="115"/>
      <c r="M1618" s="115"/>
      <c r="N1618" s="115"/>
      <c r="O1618" s="115"/>
      <c r="P1618" s="115"/>
      <c r="Q1618" s="115"/>
      <c r="R1618" s="115"/>
      <c r="S1618" s="115"/>
      <c r="T1618" s="115"/>
      <c r="U1618" s="115"/>
      <c r="V1618" s="115"/>
      <c r="W1618" s="115"/>
      <c r="X1618" s="115"/>
      <c r="Y1618" s="115"/>
      <c r="Z1618" s="115"/>
      <c r="AA1618" s="115"/>
      <c r="AB1618" s="115"/>
      <c r="AC1618" s="115"/>
      <c r="AD1618" s="115"/>
      <c r="AE1618" s="115"/>
      <c r="AF1618" s="115"/>
      <c r="AG1618" s="115"/>
      <c r="AH1618" s="115"/>
      <c r="AI1618" s="115"/>
      <c r="AJ1618" s="115"/>
      <c r="AK1618" s="115"/>
      <c r="AL1618" s="115"/>
      <c r="AM1618" s="115"/>
      <c r="AN1618" s="115"/>
      <c r="AO1618" s="115"/>
      <c r="AP1618" s="115"/>
      <c r="AQ1618" s="115"/>
      <c r="AR1618" s="115"/>
      <c r="AS1618" s="115"/>
      <c r="AT1618" s="115"/>
      <c r="AU1618" s="115"/>
      <c r="AV1618" s="115"/>
      <c r="AW1618" s="115"/>
      <c r="AX1618" s="115"/>
      <c r="AY1618" s="115"/>
      <c r="AZ1618" s="115"/>
      <c r="BA1618" s="115"/>
      <c r="BB1618" s="115"/>
      <c r="BC1618" s="115"/>
      <c r="BD1618" s="115"/>
      <c r="BE1618" s="115"/>
      <c r="BF1618" s="115"/>
      <c r="BG1618" s="115"/>
      <c r="BH1618" s="122"/>
      <c r="BI1618" s="122"/>
      <c r="BJ1618" s="122"/>
      <c r="BK1618" s="115"/>
      <c r="BL1618" s="115"/>
      <c r="BM1618" s="115"/>
      <c r="BN1618" s="115"/>
      <c r="BO1618" s="115"/>
      <c r="BP1618" s="115"/>
      <c r="BQ1618" s="115"/>
      <c r="BR1618" s="115"/>
      <c r="BS1618" s="115"/>
      <c r="BT1618" s="115"/>
      <c r="BU1618" s="115"/>
      <c r="BV1618" s="115"/>
      <c r="BW1618" s="115"/>
      <c r="BX1618" s="115"/>
      <c r="BY1618" s="26"/>
      <c r="BZ1618" s="15"/>
      <c r="CC1618" s="114"/>
      <c r="CD1618" s="120"/>
    </row>
    <row r="1619" spans="1:82" x14ac:dyDescent="0.4">
      <c r="A1619" s="115"/>
      <c r="B1619" s="115"/>
      <c r="C1619" s="115"/>
      <c r="D1619" s="115"/>
      <c r="E1619" s="115"/>
      <c r="F1619" s="115"/>
      <c r="G1619" s="115"/>
      <c r="H1619" s="115"/>
      <c r="I1619" s="115"/>
      <c r="J1619" s="115"/>
      <c r="K1619" s="115"/>
      <c r="L1619" s="115"/>
      <c r="M1619" s="115"/>
      <c r="N1619" s="115"/>
      <c r="O1619" s="115"/>
      <c r="P1619" s="115"/>
      <c r="Q1619" s="115"/>
      <c r="R1619" s="115"/>
      <c r="S1619" s="115"/>
      <c r="T1619" s="115"/>
      <c r="U1619" s="115"/>
      <c r="V1619" s="115"/>
      <c r="W1619" s="115"/>
      <c r="X1619" s="115"/>
      <c r="Y1619" s="115"/>
      <c r="Z1619" s="115"/>
      <c r="AA1619" s="115"/>
      <c r="AB1619" s="115"/>
      <c r="AC1619" s="115"/>
      <c r="AD1619" s="115"/>
      <c r="AE1619" s="115"/>
      <c r="AF1619" s="115"/>
      <c r="AG1619" s="115"/>
      <c r="AH1619" s="115"/>
      <c r="AI1619" s="115"/>
      <c r="AJ1619" s="115"/>
      <c r="AK1619" s="115"/>
      <c r="AL1619" s="115"/>
      <c r="AM1619" s="115"/>
      <c r="AN1619" s="115"/>
      <c r="AO1619" s="115"/>
      <c r="AP1619" s="115"/>
      <c r="AQ1619" s="115"/>
      <c r="AR1619" s="115"/>
      <c r="AS1619" s="115"/>
      <c r="AT1619" s="115"/>
      <c r="AU1619" s="115"/>
      <c r="AV1619" s="115"/>
      <c r="AW1619" s="115"/>
      <c r="AX1619" s="115"/>
      <c r="AY1619" s="115"/>
      <c r="AZ1619" s="115"/>
      <c r="BA1619" s="115"/>
      <c r="BB1619" s="115"/>
      <c r="BC1619" s="115"/>
      <c r="BD1619" s="115"/>
      <c r="BE1619" s="115"/>
      <c r="BF1619" s="115"/>
      <c r="BG1619" s="115"/>
      <c r="BH1619" s="122"/>
      <c r="BI1619" s="122"/>
      <c r="BJ1619" s="122"/>
      <c r="BK1619" s="115"/>
      <c r="BL1619" s="115"/>
      <c r="BM1619" s="115"/>
      <c r="BN1619" s="115"/>
      <c r="BO1619" s="115"/>
      <c r="BP1619" s="115"/>
      <c r="BQ1619" s="115"/>
      <c r="BR1619" s="115"/>
      <c r="BS1619" s="115"/>
      <c r="BT1619" s="115"/>
      <c r="BU1619" s="115"/>
      <c r="BV1619" s="115"/>
      <c r="BW1619" s="115"/>
      <c r="BX1619" s="115"/>
      <c r="BY1619" s="26"/>
      <c r="BZ1619" s="15"/>
      <c r="CC1619" s="114"/>
      <c r="CD1619" s="120"/>
    </row>
    <row r="1620" spans="1:82" x14ac:dyDescent="0.4">
      <c r="A1620" s="115"/>
      <c r="B1620" s="115"/>
      <c r="C1620" s="115"/>
      <c r="D1620" s="115"/>
      <c r="E1620" s="115"/>
      <c r="F1620" s="115"/>
      <c r="G1620" s="115"/>
      <c r="H1620" s="115"/>
      <c r="I1620" s="115"/>
      <c r="J1620" s="115"/>
      <c r="K1620" s="115"/>
      <c r="L1620" s="115"/>
      <c r="M1620" s="115"/>
      <c r="N1620" s="115"/>
      <c r="O1620" s="115"/>
      <c r="P1620" s="115"/>
      <c r="Q1620" s="115"/>
      <c r="R1620" s="115"/>
      <c r="S1620" s="115"/>
      <c r="T1620" s="115"/>
      <c r="U1620" s="115"/>
      <c r="V1620" s="115"/>
      <c r="W1620" s="115"/>
      <c r="X1620" s="115"/>
      <c r="Y1620" s="115"/>
      <c r="Z1620" s="115"/>
      <c r="AA1620" s="115"/>
      <c r="AB1620" s="115"/>
      <c r="AC1620" s="115"/>
      <c r="AD1620" s="115"/>
      <c r="AE1620" s="115"/>
      <c r="AF1620" s="115"/>
      <c r="AG1620" s="115"/>
      <c r="AH1620" s="115"/>
      <c r="AI1620" s="115"/>
      <c r="AJ1620" s="115"/>
      <c r="AK1620" s="115"/>
      <c r="AL1620" s="115"/>
      <c r="AM1620" s="115"/>
      <c r="AN1620" s="115"/>
      <c r="AO1620" s="115"/>
      <c r="AP1620" s="115"/>
      <c r="AQ1620" s="115"/>
      <c r="AR1620" s="115"/>
      <c r="AS1620" s="115"/>
      <c r="AT1620" s="115"/>
      <c r="AU1620" s="115"/>
      <c r="AV1620" s="115"/>
      <c r="AW1620" s="115"/>
      <c r="AX1620" s="115"/>
      <c r="AY1620" s="115"/>
      <c r="AZ1620" s="115"/>
      <c r="BA1620" s="115"/>
      <c r="BB1620" s="115"/>
      <c r="BC1620" s="115"/>
      <c r="BD1620" s="115"/>
      <c r="BE1620" s="115"/>
      <c r="BF1620" s="115"/>
      <c r="BG1620" s="115"/>
      <c r="BH1620" s="122"/>
      <c r="BI1620" s="122"/>
      <c r="BJ1620" s="122"/>
      <c r="BK1620" s="115"/>
      <c r="BL1620" s="115"/>
      <c r="BM1620" s="115"/>
      <c r="BN1620" s="115"/>
      <c r="BO1620" s="115"/>
      <c r="BP1620" s="115"/>
      <c r="BQ1620" s="115"/>
      <c r="BR1620" s="115"/>
      <c r="BS1620" s="115"/>
      <c r="BT1620" s="115"/>
      <c r="BU1620" s="115"/>
      <c r="BV1620" s="115"/>
      <c r="BW1620" s="115"/>
      <c r="BX1620" s="115"/>
      <c r="BY1620" s="26"/>
      <c r="BZ1620" s="15"/>
      <c r="CC1620" s="114"/>
      <c r="CD1620" s="120"/>
    </row>
    <row r="1621" spans="1:82" x14ac:dyDescent="0.4">
      <c r="A1621" s="115"/>
      <c r="B1621" s="115"/>
      <c r="C1621" s="115"/>
      <c r="D1621" s="115"/>
      <c r="E1621" s="115"/>
      <c r="F1621" s="115"/>
      <c r="G1621" s="115"/>
      <c r="H1621" s="115"/>
      <c r="I1621" s="115"/>
      <c r="J1621" s="115"/>
      <c r="K1621" s="115"/>
      <c r="L1621" s="115"/>
      <c r="M1621" s="115"/>
      <c r="N1621" s="115"/>
      <c r="O1621" s="115"/>
      <c r="P1621" s="115"/>
      <c r="Q1621" s="115"/>
      <c r="R1621" s="115"/>
      <c r="S1621" s="115"/>
      <c r="T1621" s="115"/>
      <c r="U1621" s="115"/>
      <c r="V1621" s="115"/>
      <c r="W1621" s="115"/>
      <c r="X1621" s="115"/>
      <c r="Y1621" s="115"/>
      <c r="Z1621" s="115"/>
      <c r="AA1621" s="115"/>
      <c r="AB1621" s="115"/>
      <c r="AC1621" s="115"/>
      <c r="AD1621" s="115"/>
      <c r="AE1621" s="115"/>
      <c r="AF1621" s="115"/>
      <c r="AG1621" s="115"/>
      <c r="AH1621" s="115"/>
      <c r="AI1621" s="115"/>
      <c r="AJ1621" s="115"/>
      <c r="AK1621" s="115"/>
      <c r="AL1621" s="115"/>
      <c r="AM1621" s="115"/>
      <c r="AN1621" s="115"/>
      <c r="AO1621" s="115"/>
      <c r="AP1621" s="115"/>
      <c r="AQ1621" s="115"/>
      <c r="AR1621" s="115"/>
      <c r="AS1621" s="115"/>
      <c r="AT1621" s="115"/>
      <c r="AU1621" s="115"/>
      <c r="AV1621" s="115"/>
      <c r="AW1621" s="115"/>
      <c r="AX1621" s="115"/>
      <c r="AY1621" s="115"/>
      <c r="AZ1621" s="115"/>
      <c r="BA1621" s="115"/>
      <c r="BB1621" s="115"/>
      <c r="BC1621" s="115"/>
      <c r="BD1621" s="115"/>
      <c r="BE1621" s="115"/>
      <c r="BF1621" s="115"/>
      <c r="BG1621" s="115"/>
      <c r="BH1621" s="122"/>
      <c r="BI1621" s="122"/>
      <c r="BJ1621" s="122"/>
      <c r="BK1621" s="115"/>
      <c r="BL1621" s="115"/>
      <c r="BM1621" s="115"/>
      <c r="BN1621" s="115"/>
      <c r="BO1621" s="115"/>
      <c r="BP1621" s="115"/>
      <c r="BQ1621" s="115"/>
      <c r="BR1621" s="115"/>
      <c r="BS1621" s="115"/>
      <c r="BT1621" s="115"/>
      <c r="BU1621" s="115"/>
      <c r="BV1621" s="115"/>
      <c r="BW1621" s="115"/>
      <c r="BX1621" s="115"/>
      <c r="BY1621" s="26"/>
      <c r="BZ1621" s="15"/>
      <c r="CC1621" s="114"/>
      <c r="CD1621" s="120"/>
    </row>
    <row r="1622" spans="1:82" x14ac:dyDescent="0.4">
      <c r="A1622" s="115"/>
      <c r="B1622" s="115"/>
      <c r="C1622" s="115"/>
      <c r="D1622" s="115"/>
      <c r="E1622" s="115"/>
      <c r="F1622" s="115"/>
      <c r="G1622" s="115"/>
      <c r="H1622" s="115"/>
      <c r="I1622" s="115"/>
      <c r="J1622" s="115"/>
      <c r="K1622" s="115"/>
      <c r="L1622" s="115"/>
      <c r="M1622" s="115"/>
      <c r="N1622" s="115"/>
      <c r="O1622" s="115"/>
      <c r="P1622" s="115"/>
      <c r="Q1622" s="115"/>
      <c r="R1622" s="115"/>
      <c r="S1622" s="115"/>
      <c r="T1622" s="115"/>
      <c r="U1622" s="115"/>
      <c r="V1622" s="115"/>
      <c r="W1622" s="115"/>
      <c r="X1622" s="115"/>
      <c r="Y1622" s="115"/>
      <c r="Z1622" s="115"/>
      <c r="AA1622" s="115"/>
      <c r="AB1622" s="115"/>
      <c r="AC1622" s="115"/>
      <c r="AD1622" s="115"/>
      <c r="AE1622" s="115"/>
      <c r="AF1622" s="115"/>
      <c r="AG1622" s="115"/>
      <c r="AH1622" s="115"/>
      <c r="AI1622" s="115"/>
      <c r="AJ1622" s="115"/>
      <c r="AK1622" s="115"/>
      <c r="AL1622" s="115"/>
      <c r="AM1622" s="115"/>
      <c r="AN1622" s="115"/>
      <c r="AO1622" s="115"/>
      <c r="AP1622" s="115"/>
      <c r="AQ1622" s="115"/>
      <c r="AR1622" s="115"/>
      <c r="AS1622" s="115"/>
      <c r="AT1622" s="115"/>
      <c r="AU1622" s="115"/>
      <c r="AV1622" s="115"/>
      <c r="AW1622" s="115"/>
      <c r="AX1622" s="115"/>
      <c r="AY1622" s="115"/>
      <c r="AZ1622" s="115"/>
      <c r="BA1622" s="115"/>
      <c r="BB1622" s="115"/>
      <c r="BC1622" s="115"/>
      <c r="BD1622" s="115"/>
      <c r="BE1622" s="115"/>
      <c r="BF1622" s="115"/>
      <c r="BG1622" s="115"/>
      <c r="BH1622" s="122"/>
      <c r="BI1622" s="122"/>
      <c r="BJ1622" s="122"/>
      <c r="BK1622" s="115"/>
      <c r="BL1622" s="115"/>
      <c r="BM1622" s="115"/>
      <c r="BN1622" s="115"/>
      <c r="BO1622" s="115"/>
      <c r="BP1622" s="115"/>
      <c r="BQ1622" s="115"/>
      <c r="BR1622" s="115"/>
      <c r="BS1622" s="115"/>
      <c r="BT1622" s="115"/>
      <c r="BU1622" s="115"/>
      <c r="BV1622" s="115"/>
      <c r="BW1622" s="115"/>
      <c r="BX1622" s="115"/>
      <c r="BY1622" s="26"/>
      <c r="BZ1622" s="15"/>
      <c r="CC1622" s="114"/>
      <c r="CD1622" s="120"/>
    </row>
    <row r="1623" spans="1:82" x14ac:dyDescent="0.4">
      <c r="A1623" s="115"/>
      <c r="B1623" s="115"/>
      <c r="C1623" s="115"/>
      <c r="D1623" s="115"/>
      <c r="E1623" s="115"/>
      <c r="F1623" s="115"/>
      <c r="G1623" s="115"/>
      <c r="H1623" s="115"/>
      <c r="I1623" s="115"/>
      <c r="J1623" s="115"/>
      <c r="K1623" s="115"/>
      <c r="L1623" s="115"/>
      <c r="M1623" s="115"/>
      <c r="N1623" s="115"/>
      <c r="O1623" s="115"/>
      <c r="P1623" s="115"/>
      <c r="Q1623" s="115"/>
      <c r="R1623" s="115"/>
      <c r="S1623" s="115"/>
      <c r="T1623" s="115"/>
      <c r="U1623" s="115"/>
      <c r="V1623" s="115"/>
      <c r="W1623" s="115"/>
      <c r="X1623" s="115"/>
      <c r="Y1623" s="115"/>
      <c r="Z1623" s="115"/>
      <c r="AA1623" s="115"/>
      <c r="AB1623" s="115"/>
      <c r="AC1623" s="115"/>
      <c r="AD1623" s="115"/>
      <c r="AE1623" s="115"/>
      <c r="AF1623" s="115"/>
      <c r="AG1623" s="115"/>
      <c r="AH1623" s="115"/>
      <c r="AI1623" s="115"/>
      <c r="AJ1623" s="115"/>
      <c r="AK1623" s="115"/>
      <c r="AL1623" s="115"/>
      <c r="AM1623" s="115"/>
      <c r="AN1623" s="115"/>
      <c r="AO1623" s="115"/>
      <c r="AP1623" s="115"/>
      <c r="AQ1623" s="115"/>
      <c r="AR1623" s="115"/>
      <c r="AS1623" s="115"/>
      <c r="AT1623" s="115"/>
      <c r="AU1623" s="115"/>
      <c r="AV1623" s="115"/>
      <c r="AW1623" s="115"/>
      <c r="AX1623" s="115"/>
      <c r="AY1623" s="115"/>
      <c r="AZ1623" s="115"/>
      <c r="BA1623" s="115"/>
      <c r="BB1623" s="115"/>
      <c r="BC1623" s="115"/>
      <c r="BD1623" s="115"/>
      <c r="BE1623" s="115"/>
      <c r="BF1623" s="115"/>
      <c r="BG1623" s="115"/>
      <c r="BH1623" s="122"/>
      <c r="BI1623" s="122"/>
      <c r="BJ1623" s="122"/>
      <c r="BK1623" s="115"/>
      <c r="BL1623" s="115"/>
      <c r="BM1623" s="115"/>
      <c r="BN1623" s="115"/>
      <c r="BO1623" s="115"/>
      <c r="BP1623" s="115"/>
      <c r="BQ1623" s="115"/>
      <c r="BR1623" s="115"/>
      <c r="BS1623" s="115"/>
      <c r="BT1623" s="115"/>
      <c r="BU1623" s="115"/>
      <c r="BV1623" s="115"/>
      <c r="BW1623" s="115"/>
      <c r="BX1623" s="115"/>
      <c r="BY1623" s="17"/>
      <c r="BZ1623" s="15"/>
      <c r="CC1623" s="114"/>
      <c r="CD1623" s="120"/>
    </row>
    <row r="1624" spans="1:82" x14ac:dyDescent="0.4">
      <c r="A1624" s="115"/>
      <c r="B1624" s="115"/>
      <c r="C1624" s="115"/>
      <c r="D1624" s="115"/>
      <c r="E1624" s="115"/>
      <c r="F1624" s="115"/>
      <c r="G1624" s="115"/>
      <c r="H1624" s="115"/>
      <c r="I1624" s="115"/>
      <c r="J1624" s="115"/>
      <c r="K1624" s="115"/>
      <c r="L1624" s="115"/>
      <c r="M1624" s="115"/>
      <c r="N1624" s="115"/>
      <c r="O1624" s="115"/>
      <c r="P1624" s="115"/>
      <c r="Q1624" s="115"/>
      <c r="R1624" s="115"/>
      <c r="S1624" s="115"/>
      <c r="T1624" s="115"/>
      <c r="U1624" s="115"/>
      <c r="V1624" s="115"/>
      <c r="W1624" s="115"/>
      <c r="X1624" s="115"/>
      <c r="Y1624" s="115"/>
      <c r="Z1624" s="115"/>
      <c r="AA1624" s="115"/>
      <c r="AB1624" s="115"/>
      <c r="AC1624" s="115"/>
      <c r="AD1624" s="115"/>
      <c r="AE1624" s="115"/>
      <c r="AF1624" s="115"/>
      <c r="AG1624" s="115"/>
      <c r="AH1624" s="115"/>
      <c r="AI1624" s="115"/>
      <c r="AJ1624" s="115"/>
      <c r="AK1624" s="115"/>
      <c r="AL1624" s="115"/>
      <c r="AM1624" s="115"/>
      <c r="AN1624" s="115"/>
      <c r="AO1624" s="115"/>
      <c r="AP1624" s="115"/>
      <c r="AQ1624" s="115"/>
      <c r="AR1624" s="115"/>
      <c r="AS1624" s="115"/>
      <c r="AT1624" s="115"/>
      <c r="AU1624" s="115"/>
      <c r="AV1624" s="115"/>
      <c r="AW1624" s="115"/>
      <c r="AX1624" s="115"/>
      <c r="AY1624" s="115"/>
      <c r="AZ1624" s="115"/>
      <c r="BA1624" s="115"/>
      <c r="BB1624" s="115"/>
      <c r="BC1624" s="115"/>
      <c r="BD1624" s="115"/>
      <c r="BE1624" s="115"/>
      <c r="BF1624" s="115"/>
      <c r="BG1624" s="115"/>
      <c r="BH1624" s="122"/>
      <c r="BI1624" s="122"/>
      <c r="BJ1624" s="122"/>
      <c r="BK1624" s="115"/>
      <c r="BL1624" s="115"/>
      <c r="BM1624" s="115"/>
      <c r="BN1624" s="115"/>
      <c r="BO1624" s="115"/>
      <c r="BP1624" s="115"/>
      <c r="BQ1624" s="115"/>
      <c r="BR1624" s="115"/>
      <c r="BS1624" s="115"/>
      <c r="BT1624" s="115"/>
      <c r="BU1624" s="115"/>
      <c r="BV1624" s="115"/>
      <c r="BW1624" s="115"/>
      <c r="BX1624" s="115"/>
      <c r="BY1624" s="26"/>
      <c r="BZ1624" s="15"/>
      <c r="CC1624" s="114"/>
      <c r="CD1624" s="120"/>
    </row>
    <row r="1625" spans="1:82" x14ac:dyDescent="0.4">
      <c r="A1625" s="115"/>
      <c r="B1625" s="115"/>
      <c r="C1625" s="115"/>
      <c r="D1625" s="115"/>
      <c r="E1625" s="115"/>
      <c r="F1625" s="115"/>
      <c r="G1625" s="115"/>
      <c r="H1625" s="115"/>
      <c r="I1625" s="115"/>
      <c r="J1625" s="115"/>
      <c r="K1625" s="115"/>
      <c r="L1625" s="115"/>
      <c r="M1625" s="115"/>
      <c r="N1625" s="115"/>
      <c r="O1625" s="115"/>
      <c r="P1625" s="115"/>
      <c r="Q1625" s="115"/>
      <c r="R1625" s="115"/>
      <c r="S1625" s="115"/>
      <c r="T1625" s="115"/>
      <c r="U1625" s="115"/>
      <c r="V1625" s="115"/>
      <c r="W1625" s="115"/>
      <c r="X1625" s="115"/>
      <c r="Y1625" s="115"/>
      <c r="Z1625" s="115"/>
      <c r="AA1625" s="115"/>
      <c r="AB1625" s="115"/>
      <c r="AC1625" s="115"/>
      <c r="AD1625" s="115"/>
      <c r="AE1625" s="115"/>
      <c r="AF1625" s="115"/>
      <c r="AG1625" s="115"/>
      <c r="AH1625" s="115"/>
      <c r="AI1625" s="115"/>
      <c r="AJ1625" s="115"/>
      <c r="AK1625" s="115"/>
      <c r="AL1625" s="115"/>
      <c r="AM1625" s="115"/>
      <c r="AN1625" s="115"/>
      <c r="AO1625" s="115"/>
      <c r="AP1625" s="115"/>
      <c r="AQ1625" s="115"/>
      <c r="AR1625" s="115"/>
      <c r="AS1625" s="115"/>
      <c r="AT1625" s="115"/>
      <c r="AU1625" s="115"/>
      <c r="AV1625" s="115"/>
      <c r="AW1625" s="115"/>
      <c r="AX1625" s="115"/>
      <c r="AY1625" s="115"/>
      <c r="AZ1625" s="115"/>
      <c r="BA1625" s="115"/>
      <c r="BB1625" s="115"/>
      <c r="BC1625" s="115"/>
      <c r="BD1625" s="115"/>
      <c r="BE1625" s="115"/>
      <c r="BF1625" s="115"/>
      <c r="BG1625" s="115"/>
      <c r="BH1625" s="122"/>
      <c r="BI1625" s="122"/>
      <c r="BJ1625" s="122"/>
      <c r="BK1625" s="115"/>
      <c r="BL1625" s="115"/>
      <c r="BM1625" s="115"/>
      <c r="BN1625" s="115"/>
      <c r="BO1625" s="115"/>
      <c r="BP1625" s="115"/>
      <c r="BQ1625" s="115"/>
      <c r="BR1625" s="115"/>
      <c r="BS1625" s="115"/>
      <c r="BT1625" s="115"/>
      <c r="BU1625" s="115"/>
      <c r="BV1625" s="115"/>
      <c r="BW1625" s="115"/>
      <c r="BX1625" s="115"/>
      <c r="BY1625" s="26"/>
      <c r="BZ1625" s="15"/>
      <c r="CC1625" s="114"/>
    </row>
    <row r="1626" spans="1:82" x14ac:dyDescent="0.4">
      <c r="BY1626" s="26"/>
      <c r="BZ1626" s="15"/>
      <c r="CC1626" s="114"/>
    </row>
    <row r="1627" spans="1:82" x14ac:dyDescent="0.4">
      <c r="BL1627" s="115"/>
      <c r="BM1627" s="115"/>
      <c r="BN1627" s="115"/>
      <c r="BO1627" s="115"/>
      <c r="BP1627" s="115"/>
      <c r="BQ1627" s="115"/>
      <c r="BR1627" s="115"/>
      <c r="BS1627" s="115"/>
      <c r="BT1627" s="115"/>
      <c r="BU1627" s="115"/>
      <c r="BV1627" s="115"/>
      <c r="BW1627" s="115"/>
      <c r="BX1627" s="115"/>
      <c r="BY1627" s="17"/>
      <c r="BZ1627" s="15"/>
      <c r="CC1627" s="114"/>
    </row>
    <row r="1628" spans="1:82" x14ac:dyDescent="0.4">
      <c r="BL1628" s="115"/>
      <c r="BM1628" s="115"/>
      <c r="BN1628" s="115"/>
      <c r="BO1628" s="115"/>
      <c r="BP1628" s="115"/>
      <c r="BQ1628" s="115"/>
      <c r="BR1628" s="115"/>
      <c r="BS1628" s="115"/>
      <c r="BT1628" s="115"/>
      <c r="BU1628" s="115"/>
      <c r="BV1628" s="115"/>
      <c r="BW1628" s="115"/>
      <c r="BX1628" s="115"/>
      <c r="BY1628" s="17"/>
      <c r="BZ1628" s="15"/>
      <c r="CC1628" s="114"/>
    </row>
    <row r="1629" spans="1:82" x14ac:dyDescent="0.4">
      <c r="BJ1629" s="122"/>
      <c r="BK1629" s="115"/>
      <c r="BL1629" s="115"/>
      <c r="BM1629" s="115"/>
      <c r="BN1629" s="115"/>
      <c r="BO1629" s="115"/>
      <c r="BP1629" s="115"/>
      <c r="BQ1629" s="115"/>
      <c r="BR1629" s="115"/>
      <c r="BS1629" s="115"/>
      <c r="BT1629" s="115"/>
      <c r="BU1629" s="115"/>
      <c r="BV1629" s="115"/>
      <c r="BW1629" s="115"/>
      <c r="BX1629" s="115"/>
      <c r="BY1629" s="17"/>
      <c r="BZ1629" s="15"/>
      <c r="CC1629" s="114"/>
    </row>
    <row r="1630" spans="1:82" x14ac:dyDescent="0.4">
      <c r="BE1630" s="115"/>
      <c r="BF1630" s="115"/>
      <c r="BG1630" s="115"/>
      <c r="BH1630" s="122"/>
      <c r="BI1630" s="122"/>
      <c r="BJ1630" s="122"/>
      <c r="BK1630" s="115"/>
      <c r="BL1630" s="115"/>
      <c r="BM1630" s="115"/>
      <c r="BN1630" s="115"/>
      <c r="BO1630" s="115"/>
      <c r="BP1630" s="115"/>
      <c r="BQ1630" s="115"/>
      <c r="BR1630" s="115"/>
      <c r="BS1630" s="115"/>
      <c r="BT1630" s="115"/>
      <c r="BU1630" s="115"/>
      <c r="BV1630" s="115"/>
      <c r="BW1630" s="115"/>
      <c r="BX1630" s="115"/>
      <c r="BY1630" s="26"/>
      <c r="BZ1630" s="15"/>
      <c r="CC1630" s="114"/>
    </row>
    <row r="1631" spans="1:82" x14ac:dyDescent="0.4">
      <c r="BE1631" s="115"/>
      <c r="BF1631" s="115"/>
      <c r="BG1631" s="115"/>
      <c r="BH1631" s="122"/>
      <c r="BI1631" s="122"/>
      <c r="BJ1631" s="122"/>
      <c r="BK1631" s="115"/>
      <c r="BL1631" s="115"/>
      <c r="BM1631" s="115"/>
      <c r="BN1631" s="115"/>
      <c r="BO1631" s="115"/>
      <c r="BP1631" s="115"/>
      <c r="BQ1631" s="115"/>
      <c r="BR1631" s="115"/>
      <c r="BS1631" s="115"/>
      <c r="BT1631" s="115"/>
      <c r="BU1631" s="115"/>
      <c r="BV1631" s="115"/>
      <c r="BW1631" s="115"/>
      <c r="BX1631" s="115"/>
      <c r="BY1631" s="17"/>
      <c r="BZ1631" s="15"/>
      <c r="CC1631" s="114"/>
    </row>
    <row r="1632" spans="1:82" x14ac:dyDescent="0.4">
      <c r="BD1632" s="115"/>
      <c r="BE1632" s="115"/>
      <c r="BF1632" s="115"/>
      <c r="BG1632" s="115"/>
      <c r="BH1632" s="122"/>
      <c r="BI1632" s="122"/>
      <c r="BJ1632" s="122"/>
      <c r="BK1632" s="115"/>
      <c r="BL1632" s="115"/>
      <c r="BM1632" s="115"/>
      <c r="BN1632" s="115"/>
      <c r="BO1632" s="115"/>
      <c r="BP1632" s="115"/>
      <c r="BQ1632" s="115"/>
      <c r="BR1632" s="115"/>
      <c r="BS1632" s="115"/>
      <c r="BT1632" s="115"/>
      <c r="BU1632" s="115"/>
      <c r="BV1632" s="115"/>
      <c r="BW1632" s="115"/>
      <c r="BX1632" s="115"/>
      <c r="BY1632" s="26"/>
      <c r="BZ1632" s="15"/>
      <c r="CC1632" s="114"/>
    </row>
    <row r="1633" spans="4:85" x14ac:dyDescent="0.4">
      <c r="BD1633" s="115"/>
      <c r="BE1633" s="115"/>
      <c r="BF1633" s="115"/>
      <c r="BG1633" s="115"/>
      <c r="BH1633" s="122"/>
      <c r="BI1633" s="122"/>
      <c r="BJ1633" s="122"/>
      <c r="BK1633" s="115"/>
      <c r="BL1633" s="115"/>
      <c r="BM1633" s="115"/>
      <c r="BN1633" s="115"/>
      <c r="BO1633" s="115"/>
      <c r="BP1633" s="115"/>
      <c r="BQ1633" s="115"/>
      <c r="BR1633" s="115"/>
      <c r="BS1633" s="115"/>
      <c r="BT1633" s="115"/>
      <c r="BU1633" s="115"/>
      <c r="BV1633" s="115"/>
      <c r="BW1633" s="115"/>
      <c r="BX1633" s="115"/>
      <c r="BY1633" s="17"/>
      <c r="BZ1633" s="15"/>
      <c r="CC1633" s="114"/>
    </row>
    <row r="1634" spans="4:85" x14ac:dyDescent="0.4">
      <c r="BD1634" s="115"/>
      <c r="BE1634" s="115"/>
      <c r="BF1634" s="115"/>
      <c r="BG1634" s="115"/>
      <c r="BH1634" s="122"/>
      <c r="BI1634" s="122"/>
      <c r="BJ1634" s="122"/>
      <c r="BK1634" s="115"/>
      <c r="BL1634" s="115"/>
      <c r="BM1634" s="115"/>
      <c r="BN1634" s="115"/>
      <c r="BO1634" s="115"/>
      <c r="BP1634" s="115"/>
      <c r="BQ1634" s="115"/>
      <c r="BR1634" s="115"/>
      <c r="BS1634" s="115"/>
      <c r="BT1634" s="115"/>
      <c r="BU1634" s="115"/>
      <c r="BV1634" s="115"/>
      <c r="BW1634" s="115"/>
      <c r="BX1634" s="115"/>
      <c r="BY1634" s="17"/>
      <c r="BZ1634" s="15"/>
      <c r="CC1634" s="114"/>
    </row>
    <row r="1635" spans="4:85" x14ac:dyDescent="0.4">
      <c r="BD1635" s="115"/>
      <c r="BE1635" s="115"/>
      <c r="BF1635" s="115"/>
      <c r="BG1635" s="115"/>
      <c r="BH1635" s="122"/>
      <c r="BI1635" s="122"/>
      <c r="BJ1635" s="122"/>
      <c r="BK1635" s="115"/>
      <c r="BL1635" s="115"/>
      <c r="BM1635" s="115"/>
      <c r="BN1635" s="115"/>
      <c r="BO1635" s="115"/>
      <c r="BP1635" s="115"/>
      <c r="BQ1635" s="115"/>
      <c r="BR1635" s="115"/>
      <c r="BS1635" s="115"/>
      <c r="BT1635" s="115"/>
      <c r="BU1635" s="115"/>
      <c r="BV1635" s="115"/>
      <c r="BW1635" s="115"/>
      <c r="BX1635" s="115"/>
      <c r="BY1635" s="17"/>
      <c r="BZ1635" s="15"/>
      <c r="CC1635" s="114"/>
    </row>
    <row r="1636" spans="4:85" x14ac:dyDescent="0.4">
      <c r="BD1636" s="115"/>
      <c r="BE1636" s="115"/>
      <c r="BF1636" s="115"/>
      <c r="BG1636" s="115"/>
      <c r="BH1636" s="122"/>
      <c r="BI1636" s="122"/>
      <c r="BJ1636" s="122"/>
      <c r="BK1636" s="115"/>
      <c r="BL1636" s="115"/>
      <c r="BM1636" s="115"/>
      <c r="BN1636" s="115"/>
      <c r="BO1636" s="115"/>
      <c r="BP1636" s="115"/>
      <c r="BQ1636" s="115"/>
      <c r="BR1636" s="115"/>
      <c r="BS1636" s="115"/>
      <c r="BT1636" s="115"/>
      <c r="BU1636" s="115"/>
      <c r="BV1636" s="115"/>
      <c r="BW1636" s="115"/>
      <c r="BX1636" s="115"/>
      <c r="BY1636" s="26"/>
      <c r="BZ1636" s="15"/>
      <c r="CC1636" s="114"/>
    </row>
    <row r="1637" spans="4:85" x14ac:dyDescent="0.4">
      <c r="BD1637" s="115"/>
      <c r="BE1637" s="115"/>
      <c r="BF1637" s="115"/>
      <c r="BG1637" s="115"/>
      <c r="BH1637" s="122"/>
      <c r="BI1637" s="122"/>
      <c r="BJ1637" s="122"/>
      <c r="BK1637" s="115"/>
      <c r="BL1637" s="115"/>
      <c r="BM1637" s="115"/>
      <c r="BN1637" s="115"/>
      <c r="BO1637" s="115"/>
      <c r="BP1637" s="115"/>
      <c r="BQ1637" s="115"/>
      <c r="BR1637" s="115"/>
      <c r="BS1637" s="115"/>
      <c r="BT1637" s="115"/>
      <c r="BU1637" s="115"/>
      <c r="BV1637" s="115"/>
      <c r="BW1637" s="115"/>
      <c r="BX1637" s="115"/>
      <c r="BY1637" s="17"/>
      <c r="BZ1637" s="15"/>
      <c r="CC1637" s="114"/>
    </row>
    <row r="1638" spans="4:85" ht="19.5" x14ac:dyDescent="0.4">
      <c r="BY1638" s="26"/>
      <c r="BZ1638" s="15"/>
      <c r="CD1638" s="116"/>
      <c r="CE1638" s="116"/>
      <c r="CF1638" s="116"/>
      <c r="CG1638" s="116"/>
    </row>
    <row r="1639" spans="4:85" ht="19.5" x14ac:dyDescent="0.4">
      <c r="BI1639" s="122"/>
      <c r="BJ1639" s="122"/>
      <c r="BK1639" s="115"/>
      <c r="BL1639" s="115"/>
      <c r="BM1639" s="115"/>
      <c r="BN1639" s="115"/>
      <c r="BO1639" s="115"/>
      <c r="BP1639" s="115"/>
      <c r="BQ1639" s="115"/>
      <c r="BR1639" s="115"/>
      <c r="BS1639" s="115"/>
      <c r="BT1639" s="115"/>
      <c r="BU1639" s="115"/>
      <c r="BV1639" s="115"/>
      <c r="BW1639" s="115"/>
      <c r="BX1639" s="115"/>
      <c r="BY1639" s="17"/>
      <c r="BZ1639" s="15"/>
      <c r="CD1639" s="117"/>
      <c r="CE1639" s="116"/>
      <c r="CF1639" s="116"/>
      <c r="CG1639" s="116"/>
    </row>
    <row r="1640" spans="4:85" ht="19.5" x14ac:dyDescent="0.4">
      <c r="BA1640" s="115"/>
      <c r="BB1640" s="115"/>
      <c r="BC1640" s="115"/>
      <c r="BD1640" s="115"/>
      <c r="BE1640" s="115"/>
      <c r="BF1640" s="115"/>
      <c r="BG1640" s="115"/>
      <c r="BH1640" s="122"/>
      <c r="BI1640" s="122"/>
      <c r="BJ1640" s="122"/>
      <c r="BK1640" s="115"/>
      <c r="BL1640" s="115"/>
      <c r="BM1640" s="115"/>
      <c r="BN1640" s="115"/>
      <c r="BO1640" s="115"/>
      <c r="BP1640" s="115"/>
      <c r="BQ1640" s="115"/>
      <c r="BR1640" s="115"/>
      <c r="BS1640" s="115"/>
      <c r="BT1640" s="115"/>
      <c r="BU1640" s="115"/>
      <c r="BV1640" s="115"/>
      <c r="BW1640" s="115"/>
      <c r="BX1640" s="115"/>
      <c r="BY1640" s="26"/>
      <c r="BZ1640" s="15"/>
      <c r="CD1640" s="117"/>
      <c r="CE1640" s="116"/>
      <c r="CF1640" s="116"/>
      <c r="CG1640" s="116"/>
    </row>
    <row r="1641" spans="4:85" ht="19.5" x14ac:dyDescent="0.4">
      <c r="D1641" s="115"/>
      <c r="E1641" s="115"/>
      <c r="F1641" s="115"/>
      <c r="G1641" s="115"/>
      <c r="H1641" s="115"/>
      <c r="I1641" s="115"/>
      <c r="J1641" s="115"/>
      <c r="K1641" s="115"/>
      <c r="L1641" s="115"/>
      <c r="M1641" s="115"/>
      <c r="N1641" s="115"/>
      <c r="O1641" s="115"/>
      <c r="P1641" s="115"/>
      <c r="Q1641" s="115"/>
      <c r="R1641" s="115"/>
      <c r="S1641" s="115"/>
      <c r="T1641" s="115"/>
      <c r="U1641" s="115"/>
      <c r="V1641" s="115"/>
      <c r="W1641" s="115"/>
      <c r="X1641" s="115"/>
      <c r="Y1641" s="115"/>
      <c r="Z1641" s="115"/>
      <c r="AA1641" s="115"/>
      <c r="AB1641" s="115"/>
      <c r="AC1641" s="115"/>
      <c r="AD1641" s="115"/>
      <c r="AE1641" s="115"/>
      <c r="AF1641" s="115"/>
      <c r="AG1641" s="115"/>
      <c r="AH1641" s="115"/>
      <c r="AI1641" s="115"/>
      <c r="AJ1641" s="115"/>
      <c r="AK1641" s="115"/>
      <c r="AL1641" s="115"/>
      <c r="AM1641" s="115"/>
      <c r="AN1641" s="115"/>
      <c r="AO1641" s="115"/>
      <c r="AP1641" s="115"/>
      <c r="AQ1641" s="115"/>
      <c r="AR1641" s="115"/>
      <c r="AS1641" s="115"/>
      <c r="AT1641" s="115"/>
      <c r="AU1641" s="115"/>
      <c r="AV1641" s="115"/>
      <c r="AW1641" s="115"/>
      <c r="AX1641" s="115"/>
      <c r="AY1641" s="115"/>
      <c r="AZ1641" s="115"/>
      <c r="BA1641" s="115"/>
      <c r="BB1641" s="115"/>
      <c r="BC1641" s="115"/>
      <c r="BD1641" s="115"/>
      <c r="BE1641" s="115"/>
      <c r="BF1641" s="115"/>
      <c r="BG1641" s="115"/>
      <c r="BH1641" s="122"/>
      <c r="BI1641" s="122"/>
      <c r="BJ1641" s="122"/>
      <c r="BK1641" s="115"/>
      <c r="BL1641" s="115"/>
      <c r="BM1641" s="115"/>
      <c r="BN1641" s="115"/>
      <c r="BO1641" s="115"/>
      <c r="BP1641" s="115"/>
      <c r="BQ1641" s="115"/>
      <c r="BR1641" s="115"/>
      <c r="BS1641" s="115"/>
      <c r="BT1641" s="115"/>
      <c r="BU1641" s="115"/>
      <c r="BV1641" s="115"/>
      <c r="BW1641" s="115"/>
      <c r="BX1641" s="115"/>
      <c r="BY1641" s="26"/>
      <c r="BZ1641" s="13"/>
      <c r="CD1641" s="117"/>
      <c r="CE1641" s="116"/>
      <c r="CF1641" s="116"/>
      <c r="CG1641" s="116"/>
    </row>
    <row r="1642" spans="4:85" ht="19.5" x14ac:dyDescent="0.4">
      <c r="D1642" s="115"/>
      <c r="E1642" s="115"/>
      <c r="F1642" s="115"/>
      <c r="G1642" s="115"/>
      <c r="H1642" s="115"/>
      <c r="I1642" s="115"/>
      <c r="J1642" s="115"/>
      <c r="K1642" s="115"/>
      <c r="L1642" s="115"/>
      <c r="M1642" s="115"/>
      <c r="N1642" s="115"/>
      <c r="O1642" s="115"/>
      <c r="P1642" s="115"/>
      <c r="Q1642" s="115"/>
      <c r="R1642" s="115"/>
      <c r="S1642" s="115"/>
      <c r="T1642" s="115"/>
      <c r="U1642" s="115"/>
      <c r="V1642" s="115"/>
      <c r="W1642" s="115"/>
      <c r="X1642" s="115"/>
      <c r="Y1642" s="115"/>
      <c r="Z1642" s="115"/>
      <c r="AA1642" s="115"/>
      <c r="AB1642" s="115"/>
      <c r="AC1642" s="115"/>
      <c r="AD1642" s="115"/>
      <c r="AE1642" s="115"/>
      <c r="AF1642" s="115"/>
      <c r="AG1642" s="115"/>
      <c r="AH1642" s="115"/>
      <c r="AI1642" s="115"/>
      <c r="AJ1642" s="115"/>
      <c r="AK1642" s="115"/>
      <c r="AL1642" s="115"/>
      <c r="AM1642" s="115"/>
      <c r="AN1642" s="115"/>
      <c r="AO1642" s="115"/>
      <c r="AP1642" s="115"/>
      <c r="AQ1642" s="115"/>
      <c r="AR1642" s="115"/>
      <c r="AS1642" s="115"/>
      <c r="AT1642" s="115"/>
      <c r="AU1642" s="115"/>
      <c r="AV1642" s="115"/>
      <c r="AW1642" s="115"/>
      <c r="AX1642" s="115"/>
      <c r="AY1642" s="115"/>
      <c r="AZ1642" s="115"/>
      <c r="BA1642" s="115"/>
      <c r="BB1642" s="115"/>
      <c r="BC1642" s="115"/>
      <c r="BD1642" s="115"/>
      <c r="BE1642" s="115"/>
      <c r="BF1642" s="115"/>
      <c r="BG1642" s="115"/>
      <c r="BH1642" s="122"/>
      <c r="BI1642" s="122"/>
      <c r="BJ1642" s="122"/>
      <c r="BK1642" s="115"/>
      <c r="BL1642" s="115"/>
      <c r="BM1642" s="115"/>
      <c r="BN1642" s="115"/>
      <c r="BO1642" s="115"/>
      <c r="BP1642" s="115"/>
      <c r="BQ1642" s="115"/>
      <c r="BR1642" s="115"/>
      <c r="BS1642" s="115"/>
      <c r="BT1642" s="115"/>
      <c r="BU1642" s="115"/>
      <c r="BV1642" s="115"/>
      <c r="BW1642" s="115"/>
      <c r="BX1642" s="115"/>
      <c r="BY1642" s="26"/>
      <c r="BZ1642" s="15"/>
      <c r="CD1642" s="117"/>
      <c r="CE1642" s="116"/>
      <c r="CF1642" s="116"/>
      <c r="CG1642" s="116"/>
    </row>
    <row r="1643" spans="4:85" ht="19.5" x14ac:dyDescent="0.4">
      <c r="D1643" s="115"/>
      <c r="E1643" s="115"/>
      <c r="F1643" s="115"/>
      <c r="G1643" s="115"/>
      <c r="H1643" s="115"/>
      <c r="I1643" s="115"/>
      <c r="J1643" s="115"/>
      <c r="K1643" s="115"/>
      <c r="L1643" s="115"/>
      <c r="M1643" s="115"/>
      <c r="N1643" s="115"/>
      <c r="O1643" s="115"/>
      <c r="P1643" s="115"/>
      <c r="Q1643" s="115"/>
      <c r="R1643" s="115"/>
      <c r="S1643" s="115"/>
      <c r="T1643" s="115"/>
      <c r="U1643" s="115"/>
      <c r="V1643" s="115"/>
      <c r="W1643" s="115"/>
      <c r="X1643" s="115"/>
      <c r="Y1643" s="115"/>
      <c r="Z1643" s="115"/>
      <c r="AA1643" s="115"/>
      <c r="AB1643" s="115"/>
      <c r="AC1643" s="115"/>
      <c r="AD1643" s="115"/>
      <c r="AE1643" s="115"/>
      <c r="AF1643" s="115"/>
      <c r="AG1643" s="115"/>
      <c r="AH1643" s="115"/>
      <c r="AI1643" s="115"/>
      <c r="AJ1643" s="115"/>
      <c r="AK1643" s="115"/>
      <c r="AL1643" s="115"/>
      <c r="AM1643" s="115"/>
      <c r="AN1643" s="115"/>
      <c r="AO1643" s="115"/>
      <c r="AP1643" s="115"/>
      <c r="AQ1643" s="115"/>
      <c r="AR1643" s="115"/>
      <c r="AS1643" s="115"/>
      <c r="AT1643" s="115"/>
      <c r="AU1643" s="115"/>
      <c r="AV1643" s="115"/>
      <c r="AW1643" s="115"/>
      <c r="AX1643" s="115"/>
      <c r="AY1643" s="115"/>
      <c r="AZ1643" s="115"/>
      <c r="BA1643" s="115"/>
      <c r="BB1643" s="115"/>
      <c r="BC1643" s="115"/>
      <c r="BD1643" s="115"/>
      <c r="BE1643" s="115"/>
      <c r="BF1643" s="115"/>
      <c r="BG1643" s="115"/>
      <c r="BH1643" s="122"/>
      <c r="BI1643" s="122"/>
      <c r="BJ1643" s="122"/>
      <c r="BK1643" s="115"/>
      <c r="BL1643" s="115"/>
      <c r="BM1643" s="115"/>
      <c r="BN1643" s="115"/>
      <c r="BO1643" s="115"/>
      <c r="BP1643" s="115"/>
      <c r="BQ1643" s="115"/>
      <c r="BR1643" s="115"/>
      <c r="BS1643" s="115"/>
      <c r="BT1643" s="115"/>
      <c r="BU1643" s="115"/>
      <c r="BV1643" s="115"/>
      <c r="BW1643" s="115"/>
      <c r="BX1643" s="115"/>
      <c r="BY1643" s="17"/>
      <c r="BZ1643" s="15"/>
      <c r="CD1643" s="117"/>
      <c r="CE1643" s="116"/>
      <c r="CF1643" s="116"/>
      <c r="CG1643" s="116"/>
    </row>
    <row r="1644" spans="4:85" ht="19.5" x14ac:dyDescent="0.4">
      <c r="D1644" s="115"/>
      <c r="E1644" s="115"/>
      <c r="F1644" s="115"/>
      <c r="G1644" s="115"/>
      <c r="H1644" s="115"/>
      <c r="I1644" s="115"/>
      <c r="J1644" s="115"/>
      <c r="K1644" s="115"/>
      <c r="L1644" s="115"/>
      <c r="M1644" s="115"/>
      <c r="N1644" s="115"/>
      <c r="O1644" s="115"/>
      <c r="P1644" s="115"/>
      <c r="Q1644" s="115"/>
      <c r="R1644" s="115"/>
      <c r="S1644" s="115"/>
      <c r="T1644" s="115"/>
      <c r="U1644" s="115"/>
      <c r="V1644" s="115"/>
      <c r="W1644" s="115"/>
      <c r="X1644" s="115"/>
      <c r="Y1644" s="115"/>
      <c r="Z1644" s="115"/>
      <c r="AA1644" s="115"/>
      <c r="AB1644" s="115"/>
      <c r="AC1644" s="115"/>
      <c r="AD1644" s="115"/>
      <c r="AE1644" s="115"/>
      <c r="AF1644" s="115"/>
      <c r="AG1644" s="115"/>
      <c r="AH1644" s="115"/>
      <c r="AI1644" s="115"/>
      <c r="AJ1644" s="115"/>
      <c r="AK1644" s="115"/>
      <c r="AL1644" s="115"/>
      <c r="AM1644" s="115"/>
      <c r="AN1644" s="115"/>
      <c r="AO1644" s="115"/>
      <c r="AP1644" s="115"/>
      <c r="AQ1644" s="115"/>
      <c r="AR1644" s="115"/>
      <c r="AS1644" s="115"/>
      <c r="AT1644" s="115"/>
      <c r="AU1644" s="115"/>
      <c r="AV1644" s="115"/>
      <c r="AW1644" s="115"/>
      <c r="AX1644" s="115"/>
      <c r="AY1644" s="115"/>
      <c r="AZ1644" s="115"/>
      <c r="BA1644" s="115"/>
      <c r="BB1644" s="115"/>
      <c r="BC1644" s="115"/>
      <c r="BD1644" s="115"/>
      <c r="BE1644" s="115"/>
      <c r="BF1644" s="115"/>
      <c r="BG1644" s="115"/>
      <c r="BH1644" s="122"/>
      <c r="BI1644" s="122"/>
      <c r="BJ1644" s="122"/>
      <c r="BK1644" s="115"/>
      <c r="BL1644" s="115"/>
      <c r="BM1644" s="115"/>
      <c r="BN1644" s="115"/>
      <c r="BO1644" s="115"/>
      <c r="BP1644" s="115"/>
      <c r="BQ1644" s="115"/>
      <c r="BR1644" s="115"/>
      <c r="BS1644" s="115"/>
      <c r="BT1644" s="115"/>
      <c r="BU1644" s="115"/>
      <c r="BV1644" s="115"/>
      <c r="BW1644" s="115"/>
      <c r="BX1644" s="115"/>
      <c r="BY1644" s="26"/>
      <c r="BZ1644" s="15"/>
      <c r="CD1644" s="117"/>
      <c r="CE1644" s="116"/>
      <c r="CF1644" s="116"/>
      <c r="CG1644" s="116"/>
    </row>
    <row r="1645" spans="4:85" ht="19.5" x14ac:dyDescent="0.4">
      <c r="D1645" s="115"/>
      <c r="E1645" s="115"/>
      <c r="F1645" s="115"/>
      <c r="G1645" s="115"/>
      <c r="H1645" s="115"/>
      <c r="I1645" s="115"/>
      <c r="J1645" s="115"/>
      <c r="K1645" s="115"/>
      <c r="L1645" s="115"/>
      <c r="M1645" s="115"/>
      <c r="N1645" s="115"/>
      <c r="O1645" s="115"/>
      <c r="P1645" s="115"/>
      <c r="Q1645" s="115"/>
      <c r="R1645" s="115"/>
      <c r="S1645" s="115"/>
      <c r="T1645" s="115"/>
      <c r="U1645" s="115"/>
      <c r="V1645" s="115"/>
      <c r="W1645" s="115"/>
      <c r="X1645" s="115"/>
      <c r="Y1645" s="115"/>
      <c r="Z1645" s="115"/>
      <c r="AA1645" s="115"/>
      <c r="AB1645" s="115"/>
      <c r="AC1645" s="115"/>
      <c r="AD1645" s="115"/>
      <c r="AE1645" s="115"/>
      <c r="AF1645" s="115"/>
      <c r="AG1645" s="115"/>
      <c r="AH1645" s="115"/>
      <c r="AI1645" s="115"/>
      <c r="AJ1645" s="115"/>
      <c r="AK1645" s="115"/>
      <c r="AL1645" s="115"/>
      <c r="AM1645" s="115"/>
      <c r="AN1645" s="115"/>
      <c r="AO1645" s="115"/>
      <c r="AP1645" s="115"/>
      <c r="AQ1645" s="115"/>
      <c r="AR1645" s="115"/>
      <c r="AS1645" s="115"/>
      <c r="AT1645" s="115"/>
      <c r="AU1645" s="115"/>
      <c r="AV1645" s="115"/>
      <c r="AW1645" s="115"/>
      <c r="AX1645" s="115"/>
      <c r="AY1645" s="115"/>
      <c r="AZ1645" s="115"/>
      <c r="BA1645" s="115"/>
      <c r="BB1645" s="115"/>
      <c r="BC1645" s="115"/>
      <c r="BD1645" s="115"/>
      <c r="BE1645" s="115"/>
      <c r="BF1645" s="115"/>
      <c r="BG1645" s="115"/>
      <c r="BH1645" s="122"/>
      <c r="BI1645" s="122"/>
      <c r="BJ1645" s="122"/>
      <c r="BK1645" s="115"/>
      <c r="BL1645" s="115"/>
      <c r="BM1645" s="115"/>
      <c r="BN1645" s="115"/>
      <c r="BO1645" s="115"/>
      <c r="BP1645" s="115"/>
      <c r="BQ1645" s="115"/>
      <c r="BR1645" s="115"/>
      <c r="BS1645" s="115"/>
      <c r="BT1645" s="115"/>
      <c r="BU1645" s="115"/>
      <c r="BV1645" s="115"/>
      <c r="BW1645" s="115"/>
      <c r="BX1645" s="115"/>
      <c r="BY1645" s="26"/>
      <c r="BZ1645" s="15"/>
      <c r="CD1645" s="117"/>
      <c r="CE1645" s="116"/>
      <c r="CF1645" s="116"/>
      <c r="CG1645" s="116"/>
    </row>
    <row r="1646" spans="4:85" ht="19.5" x14ac:dyDescent="0.4">
      <c r="D1646" s="115"/>
      <c r="E1646" s="115"/>
      <c r="F1646" s="115"/>
      <c r="G1646" s="115"/>
      <c r="H1646" s="115"/>
      <c r="I1646" s="115"/>
      <c r="J1646" s="115"/>
      <c r="K1646" s="115"/>
      <c r="L1646" s="115"/>
      <c r="M1646" s="115"/>
      <c r="N1646" s="115"/>
      <c r="O1646" s="115"/>
      <c r="P1646" s="115"/>
      <c r="Q1646" s="115"/>
      <c r="R1646" s="115"/>
      <c r="S1646" s="115"/>
      <c r="T1646" s="115"/>
      <c r="U1646" s="115"/>
      <c r="V1646" s="115"/>
      <c r="W1646" s="115"/>
      <c r="X1646" s="115"/>
      <c r="Y1646" s="115"/>
      <c r="Z1646" s="115"/>
      <c r="AA1646" s="115"/>
      <c r="AB1646" s="115"/>
      <c r="AC1646" s="115"/>
      <c r="AD1646" s="115"/>
      <c r="AE1646" s="115"/>
      <c r="AF1646" s="115"/>
      <c r="AG1646" s="115"/>
      <c r="AH1646" s="115"/>
      <c r="AI1646" s="115"/>
      <c r="AJ1646" s="115"/>
      <c r="AK1646" s="115"/>
      <c r="AL1646" s="115"/>
      <c r="AM1646" s="115"/>
      <c r="AN1646" s="115"/>
      <c r="AO1646" s="115"/>
      <c r="AP1646" s="115"/>
      <c r="AQ1646" s="115"/>
      <c r="AR1646" s="115"/>
      <c r="AS1646" s="115"/>
      <c r="AT1646" s="115"/>
      <c r="AU1646" s="115"/>
      <c r="AV1646" s="115"/>
      <c r="AW1646" s="115"/>
      <c r="AX1646" s="115"/>
      <c r="AY1646" s="115"/>
      <c r="AZ1646" s="115"/>
      <c r="BA1646" s="115"/>
      <c r="BB1646" s="115"/>
      <c r="BC1646" s="115"/>
      <c r="BD1646" s="115"/>
      <c r="BE1646" s="115"/>
      <c r="BF1646" s="115"/>
      <c r="BG1646" s="115"/>
      <c r="BH1646" s="122"/>
      <c r="BI1646" s="122"/>
      <c r="BJ1646" s="122"/>
      <c r="BK1646" s="115"/>
      <c r="BL1646" s="115"/>
      <c r="BM1646" s="115"/>
      <c r="BN1646" s="115"/>
      <c r="BO1646" s="115"/>
      <c r="BP1646" s="115"/>
      <c r="BQ1646" s="115"/>
      <c r="BR1646" s="115"/>
      <c r="BS1646" s="115"/>
      <c r="BT1646" s="115"/>
      <c r="BU1646" s="115"/>
      <c r="BV1646" s="115"/>
      <c r="BW1646" s="115"/>
      <c r="BX1646" s="115"/>
      <c r="BY1646" s="17"/>
      <c r="BZ1646" s="15"/>
      <c r="CD1646" s="117"/>
      <c r="CE1646" s="116"/>
      <c r="CF1646" s="116"/>
      <c r="CG1646" s="116"/>
    </row>
    <row r="1647" spans="4:85" ht="19.5" x14ac:dyDescent="0.4">
      <c r="D1647" s="115"/>
      <c r="E1647" s="115"/>
      <c r="F1647" s="115"/>
      <c r="G1647" s="115"/>
      <c r="H1647" s="115"/>
      <c r="I1647" s="115"/>
      <c r="J1647" s="115"/>
      <c r="K1647" s="115"/>
      <c r="L1647" s="115"/>
      <c r="M1647" s="115"/>
      <c r="N1647" s="115"/>
      <c r="O1647" s="115"/>
      <c r="P1647" s="115"/>
      <c r="Q1647" s="115"/>
      <c r="R1647" s="115"/>
      <c r="S1647" s="115"/>
      <c r="T1647" s="115"/>
      <c r="U1647" s="115"/>
      <c r="V1647" s="115"/>
      <c r="W1647" s="115"/>
      <c r="X1647" s="115"/>
      <c r="Y1647" s="115"/>
      <c r="Z1647" s="115"/>
      <c r="AA1647" s="115"/>
      <c r="AB1647" s="115"/>
      <c r="AC1647" s="115"/>
      <c r="AD1647" s="115"/>
      <c r="AE1647" s="115"/>
      <c r="AF1647" s="115"/>
      <c r="AG1647" s="115"/>
      <c r="AH1647" s="115"/>
      <c r="AI1647" s="115"/>
      <c r="AJ1647" s="115"/>
      <c r="AK1647" s="115"/>
      <c r="AL1647" s="115"/>
      <c r="AM1647" s="115"/>
      <c r="AN1647" s="115"/>
      <c r="AO1647" s="115"/>
      <c r="AP1647" s="115"/>
      <c r="AQ1647" s="115"/>
      <c r="AR1647" s="115"/>
      <c r="AS1647" s="115"/>
      <c r="AT1647" s="115"/>
      <c r="AU1647" s="115"/>
      <c r="AV1647" s="115"/>
      <c r="AW1647" s="115"/>
      <c r="AX1647" s="115"/>
      <c r="AY1647" s="115"/>
      <c r="AZ1647" s="115"/>
      <c r="BA1647" s="115"/>
      <c r="BB1647" s="115"/>
      <c r="BC1647" s="115"/>
      <c r="BD1647" s="115"/>
      <c r="BE1647" s="115"/>
      <c r="BF1647" s="115"/>
      <c r="BG1647" s="115"/>
      <c r="BH1647" s="122"/>
      <c r="BI1647" s="122"/>
      <c r="BJ1647" s="122"/>
      <c r="BK1647" s="115"/>
      <c r="BL1647" s="115"/>
      <c r="BM1647" s="115"/>
      <c r="BN1647" s="115"/>
      <c r="BO1647" s="115"/>
      <c r="BP1647" s="115"/>
      <c r="BQ1647" s="115"/>
      <c r="BR1647" s="115"/>
      <c r="BS1647" s="115"/>
      <c r="BT1647" s="115"/>
      <c r="BU1647" s="115"/>
      <c r="BV1647" s="115"/>
      <c r="BW1647" s="115"/>
      <c r="BX1647" s="115"/>
      <c r="BY1647" s="26"/>
      <c r="BZ1647" s="15"/>
      <c r="CD1647" s="117"/>
      <c r="CE1647" s="116"/>
      <c r="CF1647" s="116"/>
      <c r="CG1647" s="116"/>
    </row>
    <row r="1648" spans="4:85" ht="19.5" x14ac:dyDescent="0.4">
      <c r="BY1648" s="26"/>
      <c r="BZ1648" s="15"/>
      <c r="CD1648" s="117"/>
      <c r="CE1648" s="116"/>
      <c r="CF1648" s="116"/>
      <c r="CG1648" s="116"/>
    </row>
    <row r="1649" spans="1:85" ht="19.5" x14ac:dyDescent="0.4">
      <c r="BI1649" s="122"/>
      <c r="BJ1649" s="122"/>
      <c r="BK1649" s="115"/>
      <c r="BL1649" s="115"/>
      <c r="BM1649" s="115"/>
      <c r="BN1649" s="115"/>
      <c r="BO1649" s="115"/>
      <c r="BP1649" s="115"/>
      <c r="BQ1649" s="115"/>
      <c r="BR1649" s="115"/>
      <c r="BS1649" s="115"/>
      <c r="BT1649" s="115"/>
      <c r="BU1649" s="115"/>
      <c r="BV1649" s="115"/>
      <c r="BW1649" s="115"/>
      <c r="BX1649" s="115"/>
      <c r="BY1649" s="17"/>
      <c r="BZ1649" s="15"/>
      <c r="CD1649" s="117"/>
      <c r="CE1649" s="116"/>
      <c r="CF1649" s="116"/>
      <c r="CG1649" s="116"/>
    </row>
    <row r="1650" spans="1:85" ht="19.5" x14ac:dyDescent="0.4">
      <c r="BF1650" s="115"/>
      <c r="BG1650" s="115"/>
      <c r="BH1650" s="122"/>
      <c r="BI1650" s="122"/>
      <c r="BJ1650" s="122"/>
      <c r="BK1650" s="115"/>
      <c r="BL1650" s="115"/>
      <c r="BM1650" s="115"/>
      <c r="BN1650" s="115"/>
      <c r="BO1650" s="115"/>
      <c r="BP1650" s="115"/>
      <c r="BQ1650" s="115"/>
      <c r="BR1650" s="115"/>
      <c r="BS1650" s="115"/>
      <c r="BT1650" s="115"/>
      <c r="BU1650" s="115"/>
      <c r="BV1650" s="115"/>
      <c r="BW1650" s="115"/>
      <c r="BX1650" s="115"/>
      <c r="BY1650" s="26"/>
      <c r="BZ1650" s="15"/>
      <c r="CD1650" s="117"/>
      <c r="CE1650" s="116"/>
      <c r="CF1650" s="116"/>
      <c r="CG1650" s="116"/>
    </row>
    <row r="1651" spans="1:85" ht="19.5" x14ac:dyDescent="0.4">
      <c r="BF1651" s="115"/>
      <c r="BG1651" s="115"/>
      <c r="BH1651" s="122"/>
      <c r="BI1651" s="122"/>
      <c r="BJ1651" s="122"/>
      <c r="BK1651" s="115"/>
      <c r="BL1651" s="115"/>
      <c r="BM1651" s="115"/>
      <c r="BN1651" s="115"/>
      <c r="BO1651" s="115"/>
      <c r="BP1651" s="115"/>
      <c r="BQ1651" s="115"/>
      <c r="BR1651" s="115"/>
      <c r="BS1651" s="115"/>
      <c r="BT1651" s="115"/>
      <c r="BU1651" s="115"/>
      <c r="BV1651" s="115"/>
      <c r="BW1651" s="115"/>
      <c r="BX1651" s="115"/>
      <c r="BY1651" s="17"/>
      <c r="BZ1651" s="15"/>
      <c r="CD1651" s="117"/>
      <c r="CE1651" s="116"/>
      <c r="CF1651" s="116"/>
      <c r="CG1651" s="116"/>
    </row>
    <row r="1652" spans="1:85" ht="19.5" x14ac:dyDescent="0.4">
      <c r="BE1652" s="115"/>
      <c r="BF1652" s="115"/>
      <c r="BG1652" s="115"/>
      <c r="BH1652" s="122"/>
      <c r="BI1652" s="122"/>
      <c r="BJ1652" s="122"/>
      <c r="BK1652" s="115"/>
      <c r="BL1652" s="115"/>
      <c r="BM1652" s="115"/>
      <c r="BN1652" s="115"/>
      <c r="BO1652" s="115"/>
      <c r="BP1652" s="115"/>
      <c r="BQ1652" s="115"/>
      <c r="BR1652" s="115"/>
      <c r="BS1652" s="115"/>
      <c r="BT1652" s="115"/>
      <c r="BU1652" s="115"/>
      <c r="BV1652" s="115"/>
      <c r="BW1652" s="115"/>
      <c r="BX1652" s="115"/>
      <c r="BY1652" s="26"/>
      <c r="BZ1652" s="15"/>
      <c r="CD1652" s="117"/>
      <c r="CE1652" s="116"/>
      <c r="CF1652" s="116"/>
      <c r="CG1652" s="116"/>
    </row>
    <row r="1653" spans="1:85" ht="19.5" x14ac:dyDescent="0.4">
      <c r="A1653" s="115"/>
      <c r="B1653" s="115"/>
      <c r="C1653" s="115"/>
      <c r="D1653" s="115"/>
      <c r="E1653" s="115"/>
      <c r="F1653" s="115"/>
      <c r="G1653" s="115"/>
      <c r="H1653" s="115"/>
      <c r="I1653" s="115"/>
      <c r="J1653" s="115"/>
      <c r="K1653" s="115"/>
      <c r="L1653" s="115"/>
      <c r="M1653" s="115"/>
      <c r="N1653" s="115"/>
      <c r="O1653" s="115"/>
      <c r="P1653" s="115"/>
      <c r="Q1653" s="115"/>
      <c r="R1653" s="115"/>
      <c r="S1653" s="115"/>
      <c r="T1653" s="115"/>
      <c r="U1653" s="115"/>
      <c r="V1653" s="115"/>
      <c r="W1653" s="115"/>
      <c r="X1653" s="115"/>
      <c r="Y1653" s="115"/>
      <c r="Z1653" s="115"/>
      <c r="AA1653" s="115"/>
      <c r="AB1653" s="115"/>
      <c r="AC1653" s="115"/>
      <c r="AD1653" s="115"/>
      <c r="AE1653" s="115"/>
      <c r="AF1653" s="115"/>
      <c r="AG1653" s="115"/>
      <c r="AH1653" s="115"/>
      <c r="AI1653" s="115"/>
      <c r="AJ1653" s="115"/>
      <c r="AK1653" s="115"/>
      <c r="AL1653" s="115"/>
      <c r="AM1653" s="115"/>
      <c r="AN1653" s="115"/>
      <c r="AO1653" s="115"/>
      <c r="AP1653" s="115"/>
      <c r="AQ1653" s="115"/>
      <c r="AR1653" s="115"/>
      <c r="AS1653" s="115"/>
      <c r="AT1653" s="115"/>
      <c r="AU1653" s="115"/>
      <c r="AV1653" s="115"/>
      <c r="AW1653" s="115"/>
      <c r="AX1653" s="115"/>
      <c r="AY1653" s="115"/>
      <c r="AZ1653" s="115"/>
      <c r="BA1653" s="115"/>
      <c r="BB1653" s="115"/>
      <c r="BC1653" s="115"/>
      <c r="BD1653" s="115"/>
      <c r="BE1653" s="115"/>
      <c r="BF1653" s="115"/>
      <c r="BG1653" s="115"/>
      <c r="BH1653" s="122"/>
      <c r="BI1653" s="122"/>
      <c r="BJ1653" s="122"/>
      <c r="BK1653" s="115"/>
      <c r="BL1653" s="115"/>
      <c r="BM1653" s="115"/>
      <c r="BN1653" s="115"/>
      <c r="BO1653" s="115"/>
      <c r="BP1653" s="115"/>
      <c r="BQ1653" s="115"/>
      <c r="BR1653" s="115"/>
      <c r="BS1653" s="115"/>
      <c r="BT1653" s="115"/>
      <c r="BU1653" s="115"/>
      <c r="BV1653" s="115"/>
      <c r="BW1653" s="115"/>
      <c r="BX1653" s="115"/>
      <c r="BY1653" s="26"/>
      <c r="BZ1653" s="15"/>
      <c r="CD1653" s="117"/>
      <c r="CE1653" s="116"/>
      <c r="CF1653" s="116"/>
      <c r="CG1653" s="116"/>
    </row>
    <row r="1654" spans="1:85" ht="19.5" x14ac:dyDescent="0.4">
      <c r="A1654" s="115"/>
      <c r="B1654" s="115"/>
      <c r="C1654" s="115"/>
      <c r="D1654" s="115"/>
      <c r="E1654" s="115"/>
      <c r="F1654" s="115"/>
      <c r="G1654" s="115"/>
      <c r="H1654" s="115"/>
      <c r="I1654" s="115"/>
      <c r="J1654" s="115"/>
      <c r="K1654" s="115"/>
      <c r="L1654" s="115"/>
      <c r="M1654" s="115"/>
      <c r="N1654" s="115"/>
      <c r="O1654" s="115"/>
      <c r="P1654" s="115"/>
      <c r="Q1654" s="115"/>
      <c r="R1654" s="115"/>
      <c r="S1654" s="115"/>
      <c r="T1654" s="115"/>
      <c r="U1654" s="115"/>
      <c r="V1654" s="115"/>
      <c r="W1654" s="115"/>
      <c r="X1654" s="115"/>
      <c r="Y1654" s="115"/>
      <c r="Z1654" s="115"/>
      <c r="AA1654" s="115"/>
      <c r="AB1654" s="115"/>
      <c r="AC1654" s="115"/>
      <c r="AD1654" s="115"/>
      <c r="AE1654" s="115"/>
      <c r="AF1654" s="115"/>
      <c r="AG1654" s="115"/>
      <c r="AH1654" s="115"/>
      <c r="AI1654" s="115"/>
      <c r="AJ1654" s="115"/>
      <c r="AK1654" s="115"/>
      <c r="AL1654" s="115"/>
      <c r="AM1654" s="115"/>
      <c r="AN1654" s="115"/>
      <c r="AO1654" s="115"/>
      <c r="AP1654" s="115"/>
      <c r="AQ1654" s="115"/>
      <c r="AR1654" s="115"/>
      <c r="AS1654" s="115"/>
      <c r="AT1654" s="115"/>
      <c r="AU1654" s="115"/>
      <c r="AV1654" s="115"/>
      <c r="AW1654" s="115"/>
      <c r="AX1654" s="115"/>
      <c r="AY1654" s="115"/>
      <c r="AZ1654" s="115"/>
      <c r="BA1654" s="115"/>
      <c r="BB1654" s="115"/>
      <c r="BC1654" s="115"/>
      <c r="BD1654" s="115"/>
      <c r="BE1654" s="115"/>
      <c r="BF1654" s="115"/>
      <c r="BG1654" s="115"/>
      <c r="BH1654" s="122"/>
      <c r="BI1654" s="122"/>
      <c r="BJ1654" s="122"/>
      <c r="BK1654" s="115"/>
      <c r="BL1654" s="115"/>
      <c r="BM1654" s="115"/>
      <c r="BN1654" s="115"/>
      <c r="BO1654" s="115"/>
      <c r="BP1654" s="115"/>
      <c r="BQ1654" s="115"/>
      <c r="BR1654" s="115"/>
      <c r="BS1654" s="115"/>
      <c r="BT1654" s="115"/>
      <c r="BU1654" s="115"/>
      <c r="BV1654" s="115"/>
      <c r="BW1654" s="115"/>
      <c r="BX1654" s="115"/>
      <c r="BY1654" s="26"/>
      <c r="BZ1654" s="15"/>
      <c r="CD1654" s="117"/>
      <c r="CE1654" s="116"/>
      <c r="CF1654" s="116"/>
      <c r="CG1654" s="116"/>
    </row>
    <row r="1655" spans="1:85" ht="19.5" x14ac:dyDescent="0.4">
      <c r="A1655" s="115"/>
      <c r="B1655" s="115"/>
      <c r="C1655" s="115"/>
      <c r="D1655" s="115"/>
      <c r="E1655" s="115"/>
      <c r="F1655" s="115"/>
      <c r="G1655" s="115"/>
      <c r="H1655" s="115"/>
      <c r="I1655" s="115"/>
      <c r="J1655" s="115"/>
      <c r="K1655" s="115"/>
      <c r="L1655" s="115"/>
      <c r="M1655" s="115"/>
      <c r="N1655" s="115"/>
      <c r="O1655" s="115"/>
      <c r="P1655" s="115"/>
      <c r="Q1655" s="115"/>
      <c r="R1655" s="115"/>
      <c r="S1655" s="115"/>
      <c r="T1655" s="115"/>
      <c r="U1655" s="115"/>
      <c r="V1655" s="115"/>
      <c r="W1655" s="115"/>
      <c r="X1655" s="115"/>
      <c r="Y1655" s="115"/>
      <c r="Z1655" s="115"/>
      <c r="AA1655" s="115"/>
      <c r="AB1655" s="115"/>
      <c r="AC1655" s="115"/>
      <c r="AD1655" s="115"/>
      <c r="AE1655" s="115"/>
      <c r="AF1655" s="115"/>
      <c r="AG1655" s="115"/>
      <c r="AH1655" s="115"/>
      <c r="AI1655" s="115"/>
      <c r="AJ1655" s="115"/>
      <c r="AK1655" s="115"/>
      <c r="AL1655" s="115"/>
      <c r="AM1655" s="115"/>
      <c r="AN1655" s="115"/>
      <c r="AO1655" s="115"/>
      <c r="AP1655" s="115"/>
      <c r="AQ1655" s="115"/>
      <c r="AR1655" s="115"/>
      <c r="AS1655" s="115"/>
      <c r="AT1655" s="115"/>
      <c r="AU1655" s="115"/>
      <c r="AV1655" s="115"/>
      <c r="AW1655" s="115"/>
      <c r="AX1655" s="115"/>
      <c r="AY1655" s="115"/>
      <c r="AZ1655" s="115"/>
      <c r="BA1655" s="115"/>
      <c r="BB1655" s="115"/>
      <c r="BC1655" s="115"/>
      <c r="BD1655" s="115"/>
      <c r="BE1655" s="115"/>
      <c r="BF1655" s="115"/>
      <c r="BG1655" s="115"/>
      <c r="BH1655" s="122"/>
      <c r="BI1655" s="122"/>
      <c r="BJ1655" s="122"/>
      <c r="BK1655" s="115"/>
      <c r="BL1655" s="115"/>
      <c r="BM1655" s="115"/>
      <c r="BN1655" s="115"/>
      <c r="BO1655" s="115"/>
      <c r="BP1655" s="115"/>
      <c r="BQ1655" s="115"/>
      <c r="BR1655" s="115"/>
      <c r="BS1655" s="115"/>
      <c r="BT1655" s="115"/>
      <c r="BU1655" s="115"/>
      <c r="BV1655" s="115"/>
      <c r="BW1655" s="115"/>
      <c r="BX1655" s="115"/>
      <c r="BY1655" s="26"/>
      <c r="BZ1655" s="15"/>
      <c r="CD1655" s="117"/>
      <c r="CE1655" s="116"/>
      <c r="CF1655" s="116"/>
      <c r="CG1655" s="116"/>
    </row>
    <row r="1656" spans="1:85" ht="19.5" x14ac:dyDescent="0.4">
      <c r="A1656" s="115"/>
      <c r="B1656" s="115"/>
      <c r="C1656" s="115"/>
      <c r="D1656" s="115"/>
      <c r="E1656" s="115"/>
      <c r="F1656" s="115"/>
      <c r="G1656" s="115"/>
      <c r="H1656" s="115"/>
      <c r="I1656" s="115"/>
      <c r="J1656" s="115"/>
      <c r="K1656" s="115"/>
      <c r="L1656" s="115"/>
      <c r="M1656" s="115"/>
      <c r="N1656" s="115"/>
      <c r="O1656" s="115"/>
      <c r="P1656" s="115"/>
      <c r="Q1656" s="115"/>
      <c r="R1656" s="115"/>
      <c r="S1656" s="115"/>
      <c r="T1656" s="115"/>
      <c r="U1656" s="115"/>
      <c r="V1656" s="115"/>
      <c r="W1656" s="115"/>
      <c r="X1656" s="115"/>
      <c r="Y1656" s="115"/>
      <c r="Z1656" s="115"/>
      <c r="AA1656" s="115"/>
      <c r="AB1656" s="115"/>
      <c r="AC1656" s="115"/>
      <c r="AD1656" s="115"/>
      <c r="AE1656" s="115"/>
      <c r="AF1656" s="115"/>
      <c r="AG1656" s="115"/>
      <c r="AH1656" s="115"/>
      <c r="AI1656" s="115"/>
      <c r="AJ1656" s="115"/>
      <c r="AK1656" s="115"/>
      <c r="AL1656" s="115"/>
      <c r="AM1656" s="115"/>
      <c r="AN1656" s="115"/>
      <c r="AO1656" s="115"/>
      <c r="AP1656" s="115"/>
      <c r="AQ1656" s="115"/>
      <c r="AR1656" s="115"/>
      <c r="AS1656" s="115"/>
      <c r="AT1656" s="115"/>
      <c r="AU1656" s="115"/>
      <c r="AV1656" s="115"/>
      <c r="AW1656" s="115"/>
      <c r="AX1656" s="115"/>
      <c r="AY1656" s="115"/>
      <c r="AZ1656" s="115"/>
      <c r="BA1656" s="115"/>
      <c r="BB1656" s="115"/>
      <c r="BC1656" s="115"/>
      <c r="BD1656" s="115"/>
      <c r="BE1656" s="115"/>
      <c r="BF1656" s="115"/>
      <c r="BG1656" s="115"/>
      <c r="BH1656" s="122"/>
      <c r="BI1656" s="122"/>
      <c r="BJ1656" s="122"/>
      <c r="BK1656" s="115"/>
      <c r="BL1656" s="115"/>
      <c r="BM1656" s="115"/>
      <c r="BN1656" s="115"/>
      <c r="BO1656" s="115"/>
      <c r="BP1656" s="115"/>
      <c r="BQ1656" s="115"/>
      <c r="BR1656" s="115"/>
      <c r="BS1656" s="115"/>
      <c r="BT1656" s="115"/>
      <c r="BU1656" s="115"/>
      <c r="BV1656" s="115"/>
      <c r="BW1656" s="115"/>
      <c r="BX1656" s="115"/>
      <c r="BY1656" s="26"/>
      <c r="BZ1656" s="105"/>
      <c r="CD1656" s="117"/>
      <c r="CE1656" s="116"/>
      <c r="CF1656" s="116"/>
      <c r="CG1656" s="116"/>
    </row>
    <row r="1657" spans="1:85" ht="19.5" x14ac:dyDescent="0.4">
      <c r="A1657" s="115"/>
      <c r="B1657" s="115"/>
      <c r="C1657" s="115"/>
      <c r="D1657" s="115"/>
      <c r="E1657" s="115"/>
      <c r="F1657" s="115"/>
      <c r="G1657" s="115"/>
      <c r="H1657" s="115"/>
      <c r="I1657" s="115"/>
      <c r="J1657" s="115"/>
      <c r="K1657" s="115"/>
      <c r="L1657" s="115"/>
      <c r="M1657" s="115"/>
      <c r="N1657" s="115"/>
      <c r="O1657" s="115"/>
      <c r="P1657" s="115"/>
      <c r="Q1657" s="115"/>
      <c r="R1657" s="115"/>
      <c r="S1657" s="115"/>
      <c r="T1657" s="115"/>
      <c r="U1657" s="115"/>
      <c r="V1657" s="115"/>
      <c r="W1657" s="115"/>
      <c r="X1657" s="115"/>
      <c r="Y1657" s="115"/>
      <c r="Z1657" s="115"/>
      <c r="AA1657" s="115"/>
      <c r="AB1657" s="115"/>
      <c r="AC1657" s="115"/>
      <c r="AD1657" s="115"/>
      <c r="AE1657" s="115"/>
      <c r="AF1657" s="115"/>
      <c r="AG1657" s="115"/>
      <c r="AH1657" s="115"/>
      <c r="AI1657" s="115"/>
      <c r="AJ1657" s="115"/>
      <c r="AK1657" s="115"/>
      <c r="AL1657" s="115"/>
      <c r="AM1657" s="115"/>
      <c r="AN1657" s="115"/>
      <c r="AO1657" s="115"/>
      <c r="AP1657" s="115"/>
      <c r="AQ1657" s="115"/>
      <c r="AR1657" s="115"/>
      <c r="AS1657" s="115"/>
      <c r="AT1657" s="115"/>
      <c r="AU1657" s="115"/>
      <c r="AV1657" s="115"/>
      <c r="AW1657" s="115"/>
      <c r="AX1657" s="115"/>
      <c r="AY1657" s="115"/>
      <c r="AZ1657" s="115"/>
      <c r="BA1657" s="115"/>
      <c r="BB1657" s="115"/>
      <c r="BC1657" s="115"/>
      <c r="BD1657" s="115"/>
      <c r="BE1657" s="115"/>
      <c r="BF1657" s="115"/>
      <c r="BG1657" s="115"/>
      <c r="BH1657" s="122"/>
      <c r="BI1657" s="122"/>
      <c r="BJ1657" s="122"/>
      <c r="BK1657" s="115"/>
      <c r="BL1657" s="115"/>
      <c r="BM1657" s="115"/>
      <c r="BN1657" s="115"/>
      <c r="BO1657" s="115"/>
      <c r="BP1657" s="115"/>
      <c r="BQ1657" s="115"/>
      <c r="BR1657" s="115"/>
      <c r="BS1657" s="115"/>
      <c r="BT1657" s="115"/>
      <c r="BU1657" s="115"/>
      <c r="BV1657" s="115"/>
      <c r="BW1657" s="115"/>
      <c r="BX1657" s="115"/>
      <c r="BY1657" s="26"/>
      <c r="BZ1657" s="105"/>
      <c r="CD1657" s="117"/>
      <c r="CE1657" s="116"/>
      <c r="CF1657" s="116"/>
      <c r="CG1657" s="116"/>
    </row>
    <row r="1658" spans="1:85" ht="19.5" x14ac:dyDescent="0.4">
      <c r="BY1658" s="26"/>
      <c r="BZ1658" s="13"/>
      <c r="CD1658" s="117"/>
      <c r="CE1658" s="116"/>
      <c r="CF1658" s="116"/>
      <c r="CG1658" s="116"/>
    </row>
    <row r="1659" spans="1:85" ht="19.5" x14ac:dyDescent="0.4">
      <c r="BF1659" s="115"/>
      <c r="BG1659" s="115"/>
      <c r="BH1659" s="122"/>
      <c r="BI1659" s="122"/>
      <c r="BJ1659" s="122"/>
      <c r="BK1659" s="115"/>
      <c r="BL1659" s="115"/>
      <c r="BM1659" s="115"/>
      <c r="BN1659" s="115"/>
      <c r="BO1659" s="115"/>
      <c r="BP1659" s="115"/>
      <c r="BQ1659" s="115"/>
      <c r="BR1659" s="115"/>
      <c r="BS1659" s="115"/>
      <c r="BT1659" s="115"/>
      <c r="BU1659" s="115"/>
      <c r="BV1659" s="115"/>
      <c r="BW1659" s="115"/>
      <c r="BX1659" s="115"/>
      <c r="BY1659" s="26"/>
      <c r="BZ1659" s="13"/>
      <c r="CD1659" s="117"/>
      <c r="CE1659" s="116"/>
      <c r="CF1659" s="116"/>
      <c r="CG1659" s="116"/>
    </row>
    <row r="1660" spans="1:85" ht="19.5" x14ac:dyDescent="0.4">
      <c r="BA1660" s="115"/>
      <c r="BB1660" s="115"/>
      <c r="BC1660" s="115"/>
      <c r="BD1660" s="115"/>
      <c r="BE1660" s="115"/>
      <c r="BF1660" s="115"/>
      <c r="BG1660" s="115"/>
      <c r="BH1660" s="122"/>
      <c r="BI1660" s="122"/>
      <c r="BJ1660" s="122"/>
      <c r="BK1660" s="115"/>
      <c r="BL1660" s="115"/>
      <c r="BM1660" s="115"/>
      <c r="BN1660" s="115"/>
      <c r="BO1660" s="115"/>
      <c r="BP1660" s="115"/>
      <c r="BQ1660" s="115"/>
      <c r="BR1660" s="115"/>
      <c r="BS1660" s="115"/>
      <c r="BT1660" s="115"/>
      <c r="BU1660" s="115"/>
      <c r="BV1660" s="115"/>
      <c r="BW1660" s="115"/>
      <c r="BX1660" s="115"/>
      <c r="BY1660" s="26"/>
      <c r="BZ1660" s="13"/>
      <c r="CD1660" s="117"/>
      <c r="CE1660" s="116"/>
      <c r="CF1660" s="116"/>
      <c r="CG1660" s="116"/>
    </row>
    <row r="1661" spans="1:85" ht="19.5" x14ac:dyDescent="0.4">
      <c r="BY1661" s="26"/>
      <c r="BZ1661" s="13"/>
      <c r="CD1661" s="117"/>
      <c r="CE1661" s="116"/>
      <c r="CF1661" s="116"/>
      <c r="CG1661" s="116"/>
    </row>
    <row r="1662" spans="1:85" ht="19.5" x14ac:dyDescent="0.4">
      <c r="E1662" s="115"/>
      <c r="F1662" s="115"/>
      <c r="G1662" s="115"/>
      <c r="H1662" s="115"/>
      <c r="I1662" s="115"/>
      <c r="J1662" s="115"/>
      <c r="K1662" s="115"/>
      <c r="L1662" s="115"/>
      <c r="M1662" s="115"/>
      <c r="N1662" s="115"/>
      <c r="O1662" s="115"/>
      <c r="P1662" s="115"/>
      <c r="Q1662" s="115"/>
      <c r="R1662" s="115"/>
      <c r="S1662" s="115"/>
      <c r="T1662" s="115"/>
      <c r="U1662" s="115"/>
      <c r="V1662" s="115"/>
      <c r="W1662" s="115"/>
      <c r="X1662" s="115"/>
      <c r="Y1662" s="115"/>
      <c r="Z1662" s="115"/>
      <c r="AA1662" s="115"/>
      <c r="AB1662" s="115"/>
      <c r="AC1662" s="115"/>
      <c r="AD1662" s="115"/>
      <c r="AE1662" s="115"/>
      <c r="AF1662" s="115"/>
      <c r="AG1662" s="115"/>
      <c r="AH1662" s="115"/>
      <c r="AI1662" s="115"/>
      <c r="AJ1662" s="115"/>
      <c r="AK1662" s="115"/>
      <c r="AL1662" s="115"/>
      <c r="AM1662" s="115"/>
      <c r="AN1662" s="115"/>
      <c r="AO1662" s="115"/>
      <c r="AP1662" s="115"/>
      <c r="AQ1662" s="115"/>
      <c r="AR1662" s="115"/>
      <c r="AS1662" s="115"/>
      <c r="AT1662" s="115"/>
      <c r="AU1662" s="115"/>
      <c r="AV1662" s="115"/>
      <c r="AW1662" s="115"/>
      <c r="AX1662" s="115"/>
      <c r="AY1662" s="115"/>
      <c r="AZ1662" s="115"/>
      <c r="BA1662" s="115"/>
      <c r="BB1662" s="115"/>
      <c r="BC1662" s="115"/>
      <c r="BD1662" s="115"/>
      <c r="BE1662" s="115"/>
      <c r="BF1662" s="115"/>
      <c r="BG1662" s="115"/>
      <c r="BH1662" s="122"/>
      <c r="BI1662" s="122"/>
      <c r="BJ1662" s="122"/>
      <c r="BK1662" s="115"/>
      <c r="BL1662" s="115"/>
      <c r="BM1662" s="115"/>
      <c r="BN1662" s="115"/>
      <c r="BO1662" s="115"/>
      <c r="BP1662" s="115"/>
      <c r="BQ1662" s="115"/>
      <c r="BR1662" s="115"/>
      <c r="BS1662" s="115"/>
      <c r="BT1662" s="115"/>
      <c r="BU1662" s="115"/>
      <c r="BV1662" s="115"/>
      <c r="BW1662" s="115"/>
      <c r="BX1662" s="115"/>
      <c r="BY1662" s="26"/>
      <c r="BZ1662" s="13"/>
      <c r="CD1662" s="117"/>
      <c r="CE1662" s="116"/>
      <c r="CF1662" s="116"/>
      <c r="CG1662" s="116"/>
    </row>
    <row r="1663" spans="1:85" ht="19.5" x14ac:dyDescent="0.4">
      <c r="E1663" s="115"/>
      <c r="F1663" s="115"/>
      <c r="G1663" s="115"/>
      <c r="H1663" s="115"/>
      <c r="I1663" s="115"/>
      <c r="J1663" s="115"/>
      <c r="K1663" s="115"/>
      <c r="L1663" s="115"/>
      <c r="M1663" s="115"/>
      <c r="N1663" s="115"/>
      <c r="O1663" s="115"/>
      <c r="P1663" s="115"/>
      <c r="Q1663" s="115"/>
      <c r="R1663" s="115"/>
      <c r="S1663" s="115"/>
      <c r="T1663" s="115"/>
      <c r="U1663" s="115"/>
      <c r="V1663" s="115"/>
      <c r="W1663" s="115"/>
      <c r="X1663" s="115"/>
      <c r="Y1663" s="115"/>
      <c r="Z1663" s="115"/>
      <c r="AA1663" s="115"/>
      <c r="AB1663" s="115"/>
      <c r="AC1663" s="115"/>
      <c r="AD1663" s="115"/>
      <c r="AE1663" s="115"/>
      <c r="AF1663" s="115"/>
      <c r="AG1663" s="115"/>
      <c r="AH1663" s="115"/>
      <c r="AI1663" s="115"/>
      <c r="AJ1663" s="115"/>
      <c r="AK1663" s="115"/>
      <c r="AL1663" s="115"/>
      <c r="AM1663" s="115"/>
      <c r="AN1663" s="115"/>
      <c r="AO1663" s="115"/>
      <c r="AP1663" s="115"/>
      <c r="AQ1663" s="115"/>
      <c r="AR1663" s="115"/>
      <c r="AS1663" s="115"/>
      <c r="AT1663" s="115"/>
      <c r="AU1663" s="115"/>
      <c r="AV1663" s="115"/>
      <c r="AW1663" s="115"/>
      <c r="AX1663" s="115"/>
      <c r="AY1663" s="115"/>
      <c r="AZ1663" s="115"/>
      <c r="BA1663" s="115"/>
      <c r="BB1663" s="115"/>
      <c r="BC1663" s="115"/>
      <c r="BD1663" s="115"/>
      <c r="BE1663" s="115"/>
      <c r="BF1663" s="115"/>
      <c r="BG1663" s="115"/>
      <c r="BH1663" s="122"/>
      <c r="BI1663" s="122"/>
      <c r="BJ1663" s="122"/>
      <c r="BK1663" s="115"/>
      <c r="BL1663" s="115"/>
      <c r="BM1663" s="115"/>
      <c r="BN1663" s="115"/>
      <c r="BO1663" s="115"/>
      <c r="BP1663" s="115"/>
      <c r="BQ1663" s="115"/>
      <c r="BR1663" s="115"/>
      <c r="BS1663" s="115"/>
      <c r="BT1663" s="115"/>
      <c r="BU1663" s="115"/>
      <c r="BV1663" s="115"/>
      <c r="BW1663" s="115"/>
      <c r="BX1663" s="115"/>
      <c r="BY1663" s="26"/>
      <c r="BZ1663" s="13"/>
      <c r="CD1663" s="117"/>
      <c r="CE1663" s="116"/>
      <c r="CF1663" s="116"/>
      <c r="CG1663" s="116"/>
    </row>
    <row r="1664" spans="1:85" ht="19.5" x14ac:dyDescent="0.4">
      <c r="C1664" s="115"/>
      <c r="D1664" s="115"/>
      <c r="E1664" s="115"/>
      <c r="F1664" s="115"/>
      <c r="G1664" s="115"/>
      <c r="H1664" s="115"/>
      <c r="I1664" s="115"/>
      <c r="J1664" s="115"/>
      <c r="K1664" s="115"/>
      <c r="L1664" s="115"/>
      <c r="M1664" s="115"/>
      <c r="N1664" s="115"/>
      <c r="O1664" s="115"/>
      <c r="P1664" s="115"/>
      <c r="Q1664" s="115"/>
      <c r="R1664" s="115"/>
      <c r="S1664" s="115"/>
      <c r="T1664" s="115"/>
      <c r="U1664" s="115"/>
      <c r="V1664" s="115"/>
      <c r="W1664" s="115"/>
      <c r="X1664" s="115"/>
      <c r="Y1664" s="115"/>
      <c r="Z1664" s="115"/>
      <c r="AA1664" s="115"/>
      <c r="AB1664" s="115"/>
      <c r="AC1664" s="115"/>
      <c r="AD1664" s="115"/>
      <c r="AE1664" s="115"/>
      <c r="AF1664" s="115"/>
      <c r="AG1664" s="115"/>
      <c r="AH1664" s="115"/>
      <c r="AI1664" s="115"/>
      <c r="AJ1664" s="115"/>
      <c r="AK1664" s="115"/>
      <c r="AL1664" s="115"/>
      <c r="AM1664" s="115"/>
      <c r="AN1664" s="115"/>
      <c r="AO1664" s="115"/>
      <c r="AP1664" s="115"/>
      <c r="AQ1664" s="115"/>
      <c r="AR1664" s="115"/>
      <c r="AS1664" s="115"/>
      <c r="AT1664" s="115"/>
      <c r="AU1664" s="115"/>
      <c r="AV1664" s="115"/>
      <c r="AW1664" s="115"/>
      <c r="AX1664" s="115"/>
      <c r="AY1664" s="115"/>
      <c r="AZ1664" s="115"/>
      <c r="BA1664" s="115"/>
      <c r="BB1664" s="115"/>
      <c r="BC1664" s="115"/>
      <c r="BD1664" s="115"/>
      <c r="BE1664" s="115"/>
      <c r="BF1664" s="115"/>
      <c r="BG1664" s="115"/>
      <c r="BH1664" s="122"/>
      <c r="BI1664" s="122"/>
      <c r="BJ1664" s="122"/>
      <c r="BK1664" s="115"/>
      <c r="BL1664" s="115"/>
      <c r="BM1664" s="115"/>
      <c r="BN1664" s="115"/>
      <c r="BO1664" s="115"/>
      <c r="BP1664" s="115"/>
      <c r="BQ1664" s="115"/>
      <c r="BR1664" s="115"/>
      <c r="BS1664" s="115"/>
      <c r="BT1664" s="115"/>
      <c r="BU1664" s="115"/>
      <c r="BV1664" s="115"/>
      <c r="BW1664" s="115"/>
      <c r="BX1664" s="115"/>
      <c r="BY1664" s="26"/>
      <c r="BZ1664" s="13"/>
      <c r="CD1664" s="117"/>
      <c r="CE1664" s="116"/>
      <c r="CF1664" s="116"/>
      <c r="CG1664" s="116"/>
    </row>
    <row r="1665" spans="3:85" ht="19.5" x14ac:dyDescent="0.4">
      <c r="C1665" s="115"/>
      <c r="D1665" s="115"/>
      <c r="E1665" s="115"/>
      <c r="F1665" s="115"/>
      <c r="G1665" s="115"/>
      <c r="H1665" s="115"/>
      <c r="I1665" s="115"/>
      <c r="J1665" s="115"/>
      <c r="K1665" s="115"/>
      <c r="L1665" s="115"/>
      <c r="M1665" s="115"/>
      <c r="N1665" s="115"/>
      <c r="O1665" s="115"/>
      <c r="P1665" s="115"/>
      <c r="Q1665" s="115"/>
      <c r="R1665" s="115"/>
      <c r="S1665" s="115"/>
      <c r="T1665" s="115"/>
      <c r="U1665" s="115"/>
      <c r="V1665" s="115"/>
      <c r="W1665" s="115"/>
      <c r="X1665" s="115"/>
      <c r="Y1665" s="115"/>
      <c r="Z1665" s="115"/>
      <c r="AA1665" s="115"/>
      <c r="AB1665" s="115"/>
      <c r="AC1665" s="115"/>
      <c r="AD1665" s="115"/>
      <c r="AE1665" s="115"/>
      <c r="AF1665" s="115"/>
      <c r="AG1665" s="115"/>
      <c r="AH1665" s="115"/>
      <c r="AI1665" s="115"/>
      <c r="AJ1665" s="115"/>
      <c r="AK1665" s="115"/>
      <c r="AL1665" s="115"/>
      <c r="AM1665" s="115"/>
      <c r="AN1665" s="115"/>
      <c r="AO1665" s="115"/>
      <c r="AP1665" s="115"/>
      <c r="AQ1665" s="115"/>
      <c r="AR1665" s="115"/>
      <c r="AS1665" s="115"/>
      <c r="AT1665" s="115"/>
      <c r="AU1665" s="115"/>
      <c r="AV1665" s="115"/>
      <c r="AW1665" s="115"/>
      <c r="AX1665" s="115"/>
      <c r="AY1665" s="115"/>
      <c r="AZ1665" s="115"/>
      <c r="BA1665" s="115"/>
      <c r="BB1665" s="115"/>
      <c r="BC1665" s="115"/>
      <c r="BD1665" s="115"/>
      <c r="BE1665" s="115"/>
      <c r="BF1665" s="115"/>
      <c r="BG1665" s="115"/>
      <c r="BH1665" s="122"/>
      <c r="BI1665" s="122"/>
      <c r="BJ1665" s="122"/>
      <c r="BK1665" s="115"/>
      <c r="BL1665" s="115"/>
      <c r="BM1665" s="115"/>
      <c r="BN1665" s="115"/>
      <c r="BO1665" s="115"/>
      <c r="BP1665" s="115"/>
      <c r="BQ1665" s="115"/>
      <c r="BR1665" s="115"/>
      <c r="BS1665" s="115"/>
      <c r="BT1665" s="115"/>
      <c r="BU1665" s="115"/>
      <c r="BV1665" s="115"/>
      <c r="BW1665" s="115"/>
      <c r="BX1665" s="115"/>
      <c r="BY1665" s="26"/>
      <c r="BZ1665" s="13"/>
      <c r="CD1665" s="117"/>
      <c r="CE1665" s="116"/>
      <c r="CF1665" s="116"/>
      <c r="CG1665" s="116"/>
    </row>
    <row r="1666" spans="3:85" ht="19.5" x14ac:dyDescent="0.4">
      <c r="C1666" s="115"/>
      <c r="D1666" s="115"/>
      <c r="E1666" s="115"/>
      <c r="F1666" s="115"/>
      <c r="G1666" s="115"/>
      <c r="H1666" s="115"/>
      <c r="I1666" s="115"/>
      <c r="J1666" s="115"/>
      <c r="K1666" s="115"/>
      <c r="L1666" s="115"/>
      <c r="M1666" s="115"/>
      <c r="N1666" s="115"/>
      <c r="O1666" s="115"/>
      <c r="P1666" s="115"/>
      <c r="Q1666" s="115"/>
      <c r="R1666" s="115"/>
      <c r="S1666" s="115"/>
      <c r="T1666" s="115"/>
      <c r="U1666" s="115"/>
      <c r="V1666" s="115"/>
      <c r="W1666" s="115"/>
      <c r="X1666" s="115"/>
      <c r="Y1666" s="115"/>
      <c r="Z1666" s="115"/>
      <c r="AA1666" s="115"/>
      <c r="AB1666" s="115"/>
      <c r="AC1666" s="115"/>
      <c r="AD1666" s="115"/>
      <c r="AE1666" s="115"/>
      <c r="AF1666" s="115"/>
      <c r="AG1666" s="115"/>
      <c r="AH1666" s="115"/>
      <c r="AI1666" s="115"/>
      <c r="AJ1666" s="115"/>
      <c r="AK1666" s="115"/>
      <c r="AL1666" s="115"/>
      <c r="AM1666" s="115"/>
      <c r="AN1666" s="115"/>
      <c r="AO1666" s="115"/>
      <c r="AP1666" s="115"/>
      <c r="AQ1666" s="115"/>
      <c r="AR1666" s="115"/>
      <c r="AS1666" s="115"/>
      <c r="AT1666" s="115"/>
      <c r="AU1666" s="115"/>
      <c r="AV1666" s="115"/>
      <c r="AW1666" s="115"/>
      <c r="AX1666" s="115"/>
      <c r="AY1666" s="115"/>
      <c r="AZ1666" s="115"/>
      <c r="BA1666" s="115"/>
      <c r="BB1666" s="115"/>
      <c r="BC1666" s="115"/>
      <c r="BD1666" s="115"/>
      <c r="BE1666" s="115"/>
      <c r="BF1666" s="115"/>
      <c r="BG1666" s="115"/>
      <c r="BH1666" s="122"/>
      <c r="BI1666" s="122"/>
      <c r="BJ1666" s="122"/>
      <c r="BK1666" s="115"/>
      <c r="BL1666" s="115"/>
      <c r="BM1666" s="115"/>
      <c r="BN1666" s="115"/>
      <c r="BO1666" s="115"/>
      <c r="BP1666" s="115"/>
      <c r="BQ1666" s="115"/>
      <c r="BR1666" s="115"/>
      <c r="BS1666" s="115"/>
      <c r="BT1666" s="115"/>
      <c r="BU1666" s="115"/>
      <c r="BV1666" s="115"/>
      <c r="BW1666" s="115"/>
      <c r="BX1666" s="115"/>
      <c r="BY1666" s="26"/>
      <c r="BZ1666" s="13"/>
      <c r="CD1666" s="117"/>
      <c r="CE1666" s="116"/>
      <c r="CF1666" s="116"/>
      <c r="CG1666" s="116"/>
    </row>
    <row r="1667" spans="3:85" ht="19.5" x14ac:dyDescent="0.4">
      <c r="C1667" s="115"/>
      <c r="D1667" s="115"/>
      <c r="E1667" s="115"/>
      <c r="F1667" s="115"/>
      <c r="G1667" s="115"/>
      <c r="H1667" s="115"/>
      <c r="I1667" s="115"/>
      <c r="J1667" s="115"/>
      <c r="K1667" s="115"/>
      <c r="L1667" s="115"/>
      <c r="M1667" s="115"/>
      <c r="N1667" s="115"/>
      <c r="O1667" s="115"/>
      <c r="P1667" s="115"/>
      <c r="Q1667" s="115"/>
      <c r="R1667" s="115"/>
      <c r="S1667" s="115"/>
      <c r="T1667" s="115"/>
      <c r="U1667" s="115"/>
      <c r="V1667" s="115"/>
      <c r="W1667" s="115"/>
      <c r="X1667" s="115"/>
      <c r="Y1667" s="115"/>
      <c r="Z1667" s="115"/>
      <c r="AA1667" s="115"/>
      <c r="AB1667" s="115"/>
      <c r="AC1667" s="115"/>
      <c r="AD1667" s="115"/>
      <c r="AE1667" s="115"/>
      <c r="AF1667" s="115"/>
      <c r="AG1667" s="115"/>
      <c r="AH1667" s="115"/>
      <c r="AI1667" s="115"/>
      <c r="AJ1667" s="115"/>
      <c r="AK1667" s="115"/>
      <c r="AL1667" s="115"/>
      <c r="AM1667" s="115"/>
      <c r="AN1667" s="115"/>
      <c r="AO1667" s="115"/>
      <c r="AP1667" s="115"/>
      <c r="AQ1667" s="115"/>
      <c r="AR1667" s="115"/>
      <c r="AS1667" s="115"/>
      <c r="AT1667" s="115"/>
      <c r="AU1667" s="115"/>
      <c r="AV1667" s="115"/>
      <c r="AW1667" s="115"/>
      <c r="AX1667" s="115"/>
      <c r="AY1667" s="115"/>
      <c r="AZ1667" s="115"/>
      <c r="BA1667" s="115"/>
      <c r="BB1667" s="115"/>
      <c r="BC1667" s="115"/>
      <c r="BD1667" s="115"/>
      <c r="BE1667" s="115"/>
      <c r="BF1667" s="115"/>
      <c r="BG1667" s="115"/>
      <c r="BH1667" s="122"/>
      <c r="BI1667" s="122"/>
      <c r="BJ1667" s="122"/>
      <c r="BK1667" s="115"/>
      <c r="BL1667" s="115"/>
      <c r="BM1667" s="115"/>
      <c r="BN1667" s="115"/>
      <c r="BO1667" s="115"/>
      <c r="BP1667" s="115"/>
      <c r="BQ1667" s="115"/>
      <c r="BR1667" s="115"/>
      <c r="BS1667" s="115"/>
      <c r="BT1667" s="115"/>
      <c r="BU1667" s="115"/>
      <c r="BV1667" s="115"/>
      <c r="BW1667" s="115"/>
      <c r="BX1667" s="115"/>
      <c r="BY1667" s="26"/>
      <c r="BZ1667" s="13"/>
      <c r="CD1667" s="117"/>
      <c r="CE1667" s="116"/>
      <c r="CF1667" s="116"/>
      <c r="CG1667" s="116"/>
    </row>
    <row r="1668" spans="3:85" ht="19.5" x14ac:dyDescent="0.4">
      <c r="C1668" s="115"/>
      <c r="D1668" s="115"/>
      <c r="E1668" s="115"/>
      <c r="F1668" s="115"/>
      <c r="G1668" s="115"/>
      <c r="H1668" s="115"/>
      <c r="I1668" s="115"/>
      <c r="J1668" s="115"/>
      <c r="K1668" s="115"/>
      <c r="L1668" s="115"/>
      <c r="M1668" s="115"/>
      <c r="N1668" s="115"/>
      <c r="O1668" s="115"/>
      <c r="P1668" s="115"/>
      <c r="Q1668" s="115"/>
      <c r="R1668" s="115"/>
      <c r="S1668" s="115"/>
      <c r="T1668" s="115"/>
      <c r="U1668" s="115"/>
      <c r="V1668" s="115"/>
      <c r="W1668" s="115"/>
      <c r="X1668" s="115"/>
      <c r="Y1668" s="115"/>
      <c r="Z1668" s="115"/>
      <c r="AA1668" s="115"/>
      <c r="AB1668" s="115"/>
      <c r="AC1668" s="115"/>
      <c r="AD1668" s="115"/>
      <c r="AE1668" s="115"/>
      <c r="AF1668" s="115"/>
      <c r="AG1668" s="115"/>
      <c r="AH1668" s="115"/>
      <c r="AI1668" s="115"/>
      <c r="AJ1668" s="115"/>
      <c r="AK1668" s="115"/>
      <c r="AL1668" s="115"/>
      <c r="AM1668" s="115"/>
      <c r="AN1668" s="115"/>
      <c r="AO1668" s="115"/>
      <c r="AP1668" s="115"/>
      <c r="AQ1668" s="115"/>
      <c r="AR1668" s="115"/>
      <c r="AS1668" s="115"/>
      <c r="AT1668" s="115"/>
      <c r="AU1668" s="115"/>
      <c r="AV1668" s="115"/>
      <c r="AW1668" s="115"/>
      <c r="AX1668" s="115"/>
      <c r="AY1668" s="115"/>
      <c r="AZ1668" s="115"/>
      <c r="BA1668" s="115"/>
      <c r="BB1668" s="115"/>
      <c r="BC1668" s="115"/>
      <c r="BD1668" s="115"/>
      <c r="BE1668" s="115"/>
      <c r="BF1668" s="115"/>
      <c r="BG1668" s="115"/>
      <c r="BH1668" s="122"/>
      <c r="BI1668" s="122"/>
      <c r="BJ1668" s="122"/>
      <c r="BK1668" s="115"/>
      <c r="BL1668" s="115"/>
      <c r="BM1668" s="115"/>
      <c r="BN1668" s="115"/>
      <c r="BO1668" s="115"/>
      <c r="BP1668" s="115"/>
      <c r="BQ1668" s="115"/>
      <c r="BR1668" s="115"/>
      <c r="BS1668" s="115"/>
      <c r="BT1668" s="115"/>
      <c r="BU1668" s="115"/>
      <c r="BV1668" s="115"/>
      <c r="BW1668" s="115"/>
      <c r="BX1668" s="115"/>
      <c r="BY1668" s="26"/>
      <c r="BZ1668" s="13"/>
      <c r="CD1668" s="117"/>
      <c r="CE1668" s="116"/>
      <c r="CF1668" s="116"/>
      <c r="CG1668" s="116"/>
    </row>
    <row r="1669" spans="3:85" ht="19.5" x14ac:dyDescent="0.4">
      <c r="C1669" s="115"/>
      <c r="D1669" s="115"/>
      <c r="E1669" s="115"/>
      <c r="F1669" s="115"/>
      <c r="G1669" s="115"/>
      <c r="H1669" s="115"/>
      <c r="I1669" s="115"/>
      <c r="J1669" s="115"/>
      <c r="K1669" s="115"/>
      <c r="L1669" s="115"/>
      <c r="M1669" s="115"/>
      <c r="N1669" s="115"/>
      <c r="O1669" s="115"/>
      <c r="P1669" s="115"/>
      <c r="Q1669" s="115"/>
      <c r="R1669" s="115"/>
      <c r="S1669" s="115"/>
      <c r="T1669" s="115"/>
      <c r="U1669" s="115"/>
      <c r="V1669" s="115"/>
      <c r="W1669" s="115"/>
      <c r="X1669" s="115"/>
      <c r="Y1669" s="115"/>
      <c r="Z1669" s="115"/>
      <c r="AA1669" s="115"/>
      <c r="AB1669" s="115"/>
      <c r="AC1669" s="115"/>
      <c r="AD1669" s="115"/>
      <c r="AE1669" s="115"/>
      <c r="AF1669" s="115"/>
      <c r="AG1669" s="115"/>
      <c r="AH1669" s="115"/>
      <c r="AI1669" s="115"/>
      <c r="AJ1669" s="115"/>
      <c r="AK1669" s="115"/>
      <c r="AL1669" s="115"/>
      <c r="AM1669" s="115"/>
      <c r="AN1669" s="115"/>
      <c r="AO1669" s="115"/>
      <c r="AP1669" s="115"/>
      <c r="AQ1669" s="115"/>
      <c r="AR1669" s="115"/>
      <c r="AS1669" s="115"/>
      <c r="AT1669" s="115"/>
      <c r="AU1669" s="115"/>
      <c r="AV1669" s="115"/>
      <c r="AW1669" s="115"/>
      <c r="AX1669" s="115"/>
      <c r="AY1669" s="115"/>
      <c r="AZ1669" s="115"/>
      <c r="BA1669" s="115"/>
      <c r="BB1669" s="115"/>
      <c r="BC1669" s="115"/>
      <c r="BD1669" s="115"/>
      <c r="BE1669" s="115"/>
      <c r="BF1669" s="115"/>
      <c r="BG1669" s="115"/>
      <c r="BH1669" s="122"/>
      <c r="BI1669" s="122"/>
      <c r="BJ1669" s="122"/>
      <c r="BK1669" s="115"/>
      <c r="BL1669" s="115"/>
      <c r="BM1669" s="115"/>
      <c r="BN1669" s="115"/>
      <c r="BO1669" s="115"/>
      <c r="BP1669" s="115"/>
      <c r="BQ1669" s="115"/>
      <c r="BR1669" s="115"/>
      <c r="BS1669" s="115"/>
      <c r="BT1669" s="115"/>
      <c r="BU1669" s="115"/>
      <c r="BV1669" s="115"/>
      <c r="BW1669" s="115"/>
      <c r="BX1669" s="115"/>
      <c r="BY1669" s="26"/>
      <c r="BZ1669" s="13"/>
      <c r="CD1669" s="117"/>
      <c r="CE1669" s="116"/>
      <c r="CF1669" s="116"/>
      <c r="CG1669" s="116"/>
    </row>
    <row r="1670" spans="3:85" ht="19.5" x14ac:dyDescent="0.4">
      <c r="BY1670" s="26"/>
      <c r="BZ1670" s="15"/>
      <c r="CD1670" s="117"/>
      <c r="CE1670" s="116"/>
      <c r="CF1670" s="116"/>
      <c r="CG1670" s="116"/>
    </row>
    <row r="1671" spans="3:85" ht="19.5" x14ac:dyDescent="0.4">
      <c r="D1671" s="115"/>
      <c r="E1671" s="115"/>
      <c r="F1671" s="115"/>
      <c r="G1671" s="115"/>
      <c r="H1671" s="115"/>
      <c r="I1671" s="115"/>
      <c r="J1671" s="115"/>
      <c r="K1671" s="115"/>
      <c r="L1671" s="115"/>
      <c r="M1671" s="115"/>
      <c r="N1671" s="115"/>
      <c r="O1671" s="115"/>
      <c r="P1671" s="115"/>
      <c r="Q1671" s="115"/>
      <c r="R1671" s="115"/>
      <c r="S1671" s="115"/>
      <c r="T1671" s="115"/>
      <c r="U1671" s="115"/>
      <c r="V1671" s="115"/>
      <c r="W1671" s="115"/>
      <c r="X1671" s="115"/>
      <c r="Y1671" s="115"/>
      <c r="Z1671" s="115"/>
      <c r="AA1671" s="115"/>
      <c r="AB1671" s="115"/>
      <c r="AC1671" s="115"/>
      <c r="AD1671" s="115"/>
      <c r="AE1671" s="115"/>
      <c r="AF1671" s="115"/>
      <c r="AG1671" s="115"/>
      <c r="AH1671" s="115"/>
      <c r="AI1671" s="115"/>
      <c r="AJ1671" s="115"/>
      <c r="AK1671" s="115"/>
      <c r="AL1671" s="115"/>
      <c r="AM1671" s="115"/>
      <c r="AN1671" s="115"/>
      <c r="AO1671" s="115"/>
      <c r="AP1671" s="115"/>
      <c r="AQ1671" s="115"/>
      <c r="AR1671" s="115"/>
      <c r="AS1671" s="115"/>
      <c r="AT1671" s="115"/>
      <c r="AU1671" s="115"/>
      <c r="AV1671" s="115"/>
      <c r="AW1671" s="115"/>
      <c r="AX1671" s="115"/>
      <c r="AY1671" s="115"/>
      <c r="AZ1671" s="115"/>
      <c r="BA1671" s="115"/>
      <c r="BB1671" s="115"/>
      <c r="BC1671" s="115"/>
      <c r="BD1671" s="115"/>
      <c r="BE1671" s="115"/>
      <c r="BF1671" s="115"/>
      <c r="BG1671" s="115"/>
      <c r="BH1671" s="122"/>
      <c r="BI1671" s="122"/>
      <c r="BJ1671" s="122"/>
      <c r="BK1671" s="115"/>
      <c r="BL1671" s="115"/>
      <c r="BM1671" s="115"/>
      <c r="BN1671" s="115"/>
      <c r="BO1671" s="115"/>
      <c r="BP1671" s="115"/>
      <c r="BQ1671" s="115"/>
      <c r="BR1671" s="115"/>
      <c r="BS1671" s="115"/>
      <c r="BT1671" s="115"/>
      <c r="BU1671" s="115"/>
      <c r="BV1671" s="115"/>
      <c r="BW1671" s="115"/>
      <c r="BX1671" s="115"/>
      <c r="BY1671" s="26"/>
      <c r="BZ1671" s="15"/>
      <c r="CD1671" s="117"/>
      <c r="CE1671" s="116"/>
      <c r="CF1671" s="116"/>
      <c r="CG1671" s="116"/>
    </row>
    <row r="1672" spans="3:85" ht="19.5" x14ac:dyDescent="0.4">
      <c r="D1672" s="115"/>
      <c r="E1672" s="115"/>
      <c r="F1672" s="115"/>
      <c r="G1672" s="115"/>
      <c r="H1672" s="115"/>
      <c r="I1672" s="115"/>
      <c r="J1672" s="115"/>
      <c r="K1672" s="115"/>
      <c r="L1672" s="115"/>
      <c r="M1672" s="115"/>
      <c r="N1672" s="115"/>
      <c r="O1672" s="115"/>
      <c r="P1672" s="115"/>
      <c r="Q1672" s="115"/>
      <c r="R1672" s="115"/>
      <c r="S1672" s="115"/>
      <c r="T1672" s="115"/>
      <c r="U1672" s="115"/>
      <c r="V1672" s="115"/>
      <c r="W1672" s="115"/>
      <c r="X1672" s="115"/>
      <c r="Y1672" s="115"/>
      <c r="Z1672" s="115"/>
      <c r="AA1672" s="115"/>
      <c r="AB1672" s="115"/>
      <c r="AC1672" s="115"/>
      <c r="AD1672" s="115"/>
      <c r="AE1672" s="115"/>
      <c r="AF1672" s="115"/>
      <c r="AG1672" s="115"/>
      <c r="AH1672" s="115"/>
      <c r="AI1672" s="115"/>
      <c r="AJ1672" s="115"/>
      <c r="AK1672" s="115"/>
      <c r="AL1672" s="115"/>
      <c r="AM1672" s="115"/>
      <c r="AN1672" s="115"/>
      <c r="AO1672" s="115"/>
      <c r="AP1672" s="115"/>
      <c r="AQ1672" s="115"/>
      <c r="AR1672" s="115"/>
      <c r="AS1672" s="115"/>
      <c r="AT1672" s="115"/>
      <c r="AU1672" s="115"/>
      <c r="AV1672" s="115"/>
      <c r="AW1672" s="115"/>
      <c r="AX1672" s="115"/>
      <c r="AY1672" s="115"/>
      <c r="AZ1672" s="115"/>
      <c r="BA1672" s="115"/>
      <c r="BB1672" s="115"/>
      <c r="BC1672" s="115"/>
      <c r="BD1672" s="115"/>
      <c r="BE1672" s="115"/>
      <c r="BF1672" s="115"/>
      <c r="BG1672" s="115"/>
      <c r="BH1672" s="122"/>
      <c r="BI1672" s="122"/>
      <c r="BJ1672" s="122"/>
      <c r="BK1672" s="115"/>
      <c r="BL1672" s="115"/>
      <c r="BM1672" s="115"/>
      <c r="BN1672" s="115"/>
      <c r="BO1672" s="115"/>
      <c r="BP1672" s="115"/>
      <c r="BQ1672" s="115"/>
      <c r="BR1672" s="115"/>
      <c r="BS1672" s="115"/>
      <c r="BT1672" s="115"/>
      <c r="BU1672" s="115"/>
      <c r="BV1672" s="115"/>
      <c r="BW1672" s="115"/>
      <c r="BX1672" s="115"/>
      <c r="BY1672" s="17"/>
      <c r="BZ1672" s="15"/>
      <c r="CD1672" s="117"/>
      <c r="CE1672" s="116"/>
      <c r="CF1672" s="116"/>
      <c r="CG1672" s="116"/>
    </row>
    <row r="1673" spans="3:85" ht="19.5" x14ac:dyDescent="0.4">
      <c r="BY1673" s="26"/>
      <c r="BZ1673" s="15"/>
      <c r="CD1673" s="117"/>
      <c r="CE1673" s="116"/>
      <c r="CF1673" s="116"/>
      <c r="CG1673" s="116"/>
    </row>
    <row r="1674" spans="3:85" ht="19.5" x14ac:dyDescent="0.4">
      <c r="BY1674" s="26"/>
      <c r="BZ1674" s="13"/>
      <c r="CD1674" s="117"/>
      <c r="CE1674" s="116"/>
      <c r="CF1674" s="116"/>
      <c r="CG1674" s="116"/>
    </row>
    <row r="1675" spans="3:85" ht="19.5" x14ac:dyDescent="0.4">
      <c r="BE1675" s="115"/>
      <c r="BF1675" s="115"/>
      <c r="BG1675" s="115"/>
      <c r="BH1675" s="122"/>
      <c r="BI1675" s="122"/>
      <c r="BJ1675" s="122"/>
      <c r="BK1675" s="115"/>
      <c r="BL1675" s="115"/>
      <c r="BM1675" s="115"/>
      <c r="BN1675" s="115"/>
      <c r="BO1675" s="115"/>
      <c r="BP1675" s="115"/>
      <c r="BQ1675" s="115"/>
      <c r="BR1675" s="115"/>
      <c r="BS1675" s="115"/>
      <c r="BT1675" s="115"/>
      <c r="BU1675" s="115"/>
      <c r="BV1675" s="115"/>
      <c r="BW1675" s="115"/>
      <c r="BX1675" s="115"/>
      <c r="BY1675" s="26"/>
      <c r="BZ1675" s="13"/>
      <c r="CD1675" s="117"/>
      <c r="CE1675" s="116"/>
      <c r="CF1675" s="116"/>
      <c r="CG1675" s="116"/>
    </row>
    <row r="1676" spans="3:85" ht="19.5" x14ac:dyDescent="0.4">
      <c r="D1676" s="115"/>
      <c r="E1676" s="115"/>
      <c r="F1676" s="115"/>
      <c r="G1676" s="115"/>
      <c r="H1676" s="115"/>
      <c r="I1676" s="115"/>
      <c r="J1676" s="115"/>
      <c r="K1676" s="115"/>
      <c r="L1676" s="115"/>
      <c r="M1676" s="115"/>
      <c r="N1676" s="115"/>
      <c r="O1676" s="115"/>
      <c r="P1676" s="115"/>
      <c r="Q1676" s="115"/>
      <c r="R1676" s="115"/>
      <c r="S1676" s="115"/>
      <c r="T1676" s="115"/>
      <c r="U1676" s="115"/>
      <c r="V1676" s="115"/>
      <c r="W1676" s="115"/>
      <c r="X1676" s="115"/>
      <c r="Y1676" s="115"/>
      <c r="Z1676" s="115"/>
      <c r="AA1676" s="115"/>
      <c r="AB1676" s="115"/>
      <c r="AC1676" s="115"/>
      <c r="AD1676" s="115"/>
      <c r="AE1676" s="115"/>
      <c r="AF1676" s="115"/>
      <c r="AG1676" s="115"/>
      <c r="AH1676" s="115"/>
      <c r="AI1676" s="115"/>
      <c r="AJ1676" s="115"/>
      <c r="AK1676" s="115"/>
      <c r="AL1676" s="115"/>
      <c r="AM1676" s="115"/>
      <c r="AN1676" s="115"/>
      <c r="AO1676" s="115"/>
      <c r="AP1676" s="115"/>
      <c r="AQ1676" s="115"/>
      <c r="AR1676" s="115"/>
      <c r="AS1676" s="115"/>
      <c r="AT1676" s="115"/>
      <c r="AU1676" s="115"/>
      <c r="AV1676" s="115"/>
      <c r="AW1676" s="115"/>
      <c r="AX1676" s="115"/>
      <c r="AY1676" s="115"/>
      <c r="AZ1676" s="115"/>
      <c r="BA1676" s="115"/>
      <c r="BB1676" s="115"/>
      <c r="BC1676" s="115"/>
      <c r="BD1676" s="115"/>
      <c r="BE1676" s="115"/>
      <c r="BF1676" s="115"/>
      <c r="BG1676" s="115"/>
      <c r="BH1676" s="122"/>
      <c r="BI1676" s="122"/>
      <c r="BJ1676" s="122"/>
      <c r="BK1676" s="115"/>
      <c r="BL1676" s="115"/>
      <c r="BM1676" s="115"/>
      <c r="BN1676" s="115"/>
      <c r="BO1676" s="115"/>
      <c r="BP1676" s="115"/>
      <c r="BQ1676" s="115"/>
      <c r="BR1676" s="115"/>
      <c r="BS1676" s="115"/>
      <c r="BT1676" s="115"/>
      <c r="BU1676" s="115"/>
      <c r="BV1676" s="115"/>
      <c r="BW1676" s="115"/>
      <c r="BX1676" s="115"/>
      <c r="BY1676" s="26"/>
      <c r="BZ1676" s="13"/>
      <c r="CD1676" s="117"/>
      <c r="CE1676" s="116"/>
      <c r="CF1676" s="116"/>
      <c r="CG1676" s="116"/>
    </row>
    <row r="1677" spans="3:85" ht="19.5" x14ac:dyDescent="0.4">
      <c r="D1677" s="115"/>
      <c r="E1677" s="115"/>
      <c r="F1677" s="115"/>
      <c r="G1677" s="115"/>
      <c r="H1677" s="115"/>
      <c r="I1677" s="115"/>
      <c r="J1677" s="115"/>
      <c r="K1677" s="115"/>
      <c r="L1677" s="115"/>
      <c r="M1677" s="115"/>
      <c r="N1677" s="115"/>
      <c r="O1677" s="115"/>
      <c r="P1677" s="115"/>
      <c r="Q1677" s="115"/>
      <c r="R1677" s="115"/>
      <c r="S1677" s="115"/>
      <c r="T1677" s="115"/>
      <c r="U1677" s="115"/>
      <c r="V1677" s="115"/>
      <c r="W1677" s="115"/>
      <c r="X1677" s="115"/>
      <c r="Y1677" s="115"/>
      <c r="Z1677" s="115"/>
      <c r="AA1677" s="115"/>
      <c r="AB1677" s="115"/>
      <c r="AC1677" s="115"/>
      <c r="AD1677" s="115"/>
      <c r="AE1677" s="115"/>
      <c r="AF1677" s="115"/>
      <c r="AG1677" s="115"/>
      <c r="AH1677" s="115"/>
      <c r="AI1677" s="115"/>
      <c r="AJ1677" s="115"/>
      <c r="AK1677" s="115"/>
      <c r="AL1677" s="115"/>
      <c r="AM1677" s="115"/>
      <c r="AN1677" s="115"/>
      <c r="AO1677" s="115"/>
      <c r="AP1677" s="115"/>
      <c r="AQ1677" s="115"/>
      <c r="AR1677" s="115"/>
      <c r="AS1677" s="115"/>
      <c r="AT1677" s="115"/>
      <c r="AU1677" s="115"/>
      <c r="AV1677" s="115"/>
      <c r="AW1677" s="115"/>
      <c r="AX1677" s="115"/>
      <c r="AY1677" s="115"/>
      <c r="AZ1677" s="115"/>
      <c r="BA1677" s="115"/>
      <c r="BB1677" s="115"/>
      <c r="BC1677" s="115"/>
      <c r="BD1677" s="115"/>
      <c r="BE1677" s="115"/>
      <c r="BF1677" s="115"/>
      <c r="BG1677" s="115"/>
      <c r="BH1677" s="122"/>
      <c r="BI1677" s="122"/>
      <c r="BJ1677" s="122"/>
      <c r="BK1677" s="115"/>
      <c r="BL1677" s="115"/>
      <c r="BM1677" s="115"/>
      <c r="BN1677" s="115"/>
      <c r="BO1677" s="115"/>
      <c r="BP1677" s="115"/>
      <c r="BQ1677" s="115"/>
      <c r="BR1677" s="115"/>
      <c r="BS1677" s="115"/>
      <c r="BT1677" s="115"/>
      <c r="BU1677" s="115"/>
      <c r="BV1677" s="115"/>
      <c r="BW1677" s="115"/>
      <c r="BX1677" s="115"/>
      <c r="BY1677" s="17"/>
      <c r="BZ1677" s="13"/>
      <c r="CD1677" s="117"/>
      <c r="CE1677" s="116"/>
      <c r="CF1677" s="116"/>
      <c r="CG1677" s="116"/>
    </row>
    <row r="1678" spans="3:85" ht="19.5" x14ac:dyDescent="0.4">
      <c r="D1678" s="115"/>
      <c r="E1678" s="115"/>
      <c r="F1678" s="115"/>
      <c r="G1678" s="115"/>
      <c r="H1678" s="115"/>
      <c r="I1678" s="115"/>
      <c r="J1678" s="115"/>
      <c r="K1678" s="115"/>
      <c r="L1678" s="115"/>
      <c r="M1678" s="115"/>
      <c r="N1678" s="115"/>
      <c r="O1678" s="115"/>
      <c r="P1678" s="115"/>
      <c r="Q1678" s="115"/>
      <c r="R1678" s="115"/>
      <c r="S1678" s="115"/>
      <c r="T1678" s="115"/>
      <c r="U1678" s="115"/>
      <c r="V1678" s="115"/>
      <c r="W1678" s="115"/>
      <c r="X1678" s="115"/>
      <c r="Y1678" s="115"/>
      <c r="Z1678" s="115"/>
      <c r="AA1678" s="115"/>
      <c r="AB1678" s="115"/>
      <c r="AC1678" s="115"/>
      <c r="AD1678" s="115"/>
      <c r="AE1678" s="115"/>
      <c r="AF1678" s="115"/>
      <c r="AG1678" s="115"/>
      <c r="AH1678" s="115"/>
      <c r="AI1678" s="115"/>
      <c r="AJ1678" s="115"/>
      <c r="AK1678" s="115"/>
      <c r="AL1678" s="115"/>
      <c r="AM1678" s="115"/>
      <c r="AN1678" s="115"/>
      <c r="AO1678" s="115"/>
      <c r="AP1678" s="115"/>
      <c r="AQ1678" s="115"/>
      <c r="AR1678" s="115"/>
      <c r="AS1678" s="115"/>
      <c r="AT1678" s="115"/>
      <c r="AU1678" s="115"/>
      <c r="AV1678" s="115"/>
      <c r="AW1678" s="115"/>
      <c r="AX1678" s="115"/>
      <c r="AY1678" s="115"/>
      <c r="AZ1678" s="115"/>
      <c r="BA1678" s="115"/>
      <c r="BB1678" s="115"/>
      <c r="BC1678" s="115"/>
      <c r="BD1678" s="115"/>
      <c r="BE1678" s="115"/>
      <c r="BF1678" s="115"/>
      <c r="BG1678" s="115"/>
      <c r="BH1678" s="122"/>
      <c r="BI1678" s="122"/>
      <c r="BJ1678" s="122"/>
      <c r="BK1678" s="115"/>
      <c r="BL1678" s="115"/>
      <c r="BM1678" s="115"/>
      <c r="BN1678" s="115"/>
      <c r="BO1678" s="115"/>
      <c r="BP1678" s="115"/>
      <c r="BQ1678" s="115"/>
      <c r="BR1678" s="115"/>
      <c r="BS1678" s="115"/>
      <c r="BT1678" s="115"/>
      <c r="BU1678" s="115"/>
      <c r="BV1678" s="115"/>
      <c r="BW1678" s="115"/>
      <c r="BX1678" s="115"/>
      <c r="BY1678" s="26"/>
      <c r="BZ1678" s="25"/>
      <c r="CD1678" s="117"/>
      <c r="CE1678" s="116"/>
      <c r="CF1678" s="116"/>
      <c r="CG1678" s="116"/>
    </row>
    <row r="1679" spans="3:85" ht="19.5" x14ac:dyDescent="0.4">
      <c r="D1679" s="115"/>
      <c r="E1679" s="115"/>
      <c r="F1679" s="115"/>
      <c r="G1679" s="115"/>
      <c r="H1679" s="115"/>
      <c r="I1679" s="115"/>
      <c r="J1679" s="115"/>
      <c r="K1679" s="115"/>
      <c r="L1679" s="115"/>
      <c r="M1679" s="115"/>
      <c r="N1679" s="115"/>
      <c r="O1679" s="115"/>
      <c r="P1679" s="115"/>
      <c r="Q1679" s="115"/>
      <c r="R1679" s="115"/>
      <c r="S1679" s="115"/>
      <c r="T1679" s="115"/>
      <c r="U1679" s="115"/>
      <c r="V1679" s="115"/>
      <c r="W1679" s="115"/>
      <c r="X1679" s="115"/>
      <c r="Y1679" s="115"/>
      <c r="Z1679" s="115"/>
      <c r="AA1679" s="115"/>
      <c r="AB1679" s="115"/>
      <c r="AC1679" s="115"/>
      <c r="AD1679" s="115"/>
      <c r="AE1679" s="115"/>
      <c r="AF1679" s="115"/>
      <c r="AG1679" s="115"/>
      <c r="AH1679" s="115"/>
      <c r="AI1679" s="115"/>
      <c r="AJ1679" s="115"/>
      <c r="AK1679" s="115"/>
      <c r="AL1679" s="115"/>
      <c r="AM1679" s="115"/>
      <c r="AN1679" s="115"/>
      <c r="AO1679" s="115"/>
      <c r="AP1679" s="115"/>
      <c r="AQ1679" s="115"/>
      <c r="AR1679" s="115"/>
      <c r="AS1679" s="115"/>
      <c r="AT1679" s="115"/>
      <c r="AU1679" s="115"/>
      <c r="AV1679" s="115"/>
      <c r="AW1679" s="115"/>
      <c r="AX1679" s="115"/>
      <c r="AY1679" s="115"/>
      <c r="AZ1679" s="115"/>
      <c r="BA1679" s="115"/>
      <c r="BB1679" s="115"/>
      <c r="BC1679" s="115"/>
      <c r="BD1679" s="115"/>
      <c r="BE1679" s="115"/>
      <c r="BF1679" s="115"/>
      <c r="BG1679" s="115"/>
      <c r="BH1679" s="122"/>
      <c r="BI1679" s="122"/>
      <c r="BJ1679" s="122"/>
      <c r="BK1679" s="115"/>
      <c r="BL1679" s="115"/>
      <c r="BM1679" s="115"/>
      <c r="BN1679" s="115"/>
      <c r="BO1679" s="115"/>
      <c r="BP1679" s="115"/>
      <c r="BQ1679" s="115"/>
      <c r="BR1679" s="115"/>
      <c r="BS1679" s="115"/>
      <c r="BT1679" s="115"/>
      <c r="BU1679" s="115"/>
      <c r="BV1679" s="115"/>
      <c r="BW1679" s="115"/>
      <c r="BX1679" s="115"/>
      <c r="BY1679" s="17"/>
      <c r="BZ1679" s="13"/>
      <c r="CD1679" s="117"/>
      <c r="CE1679" s="116"/>
      <c r="CF1679" s="116"/>
      <c r="CG1679" s="116"/>
    </row>
    <row r="1680" spans="3:85" ht="19.5" x14ac:dyDescent="0.4">
      <c r="D1680" s="115"/>
      <c r="E1680" s="115"/>
      <c r="F1680" s="115"/>
      <c r="G1680" s="115"/>
      <c r="H1680" s="115"/>
      <c r="I1680" s="115"/>
      <c r="J1680" s="115"/>
      <c r="K1680" s="115"/>
      <c r="L1680" s="115"/>
      <c r="M1680" s="115"/>
      <c r="N1680" s="115"/>
      <c r="O1680" s="115"/>
      <c r="P1680" s="115"/>
      <c r="Q1680" s="115"/>
      <c r="R1680" s="115"/>
      <c r="S1680" s="115"/>
      <c r="T1680" s="115"/>
      <c r="U1680" s="115"/>
      <c r="V1680" s="115"/>
      <c r="W1680" s="115"/>
      <c r="X1680" s="115"/>
      <c r="Y1680" s="115"/>
      <c r="Z1680" s="115"/>
      <c r="AA1680" s="115"/>
      <c r="AB1680" s="115"/>
      <c r="AC1680" s="115"/>
      <c r="AD1680" s="115"/>
      <c r="AE1680" s="115"/>
      <c r="AF1680" s="115"/>
      <c r="AG1680" s="115"/>
      <c r="AH1680" s="115"/>
      <c r="AI1680" s="115"/>
      <c r="AJ1680" s="115"/>
      <c r="AK1680" s="115"/>
      <c r="AL1680" s="115"/>
      <c r="AM1680" s="115"/>
      <c r="AN1680" s="115"/>
      <c r="AO1680" s="115"/>
      <c r="AP1680" s="115"/>
      <c r="AQ1680" s="115"/>
      <c r="AR1680" s="115"/>
      <c r="AS1680" s="115"/>
      <c r="AT1680" s="115"/>
      <c r="AU1680" s="115"/>
      <c r="AV1680" s="115"/>
      <c r="AW1680" s="115"/>
      <c r="AX1680" s="115"/>
      <c r="AY1680" s="115"/>
      <c r="AZ1680" s="115"/>
      <c r="BA1680" s="115"/>
      <c r="BB1680" s="115"/>
      <c r="BC1680" s="115"/>
      <c r="BD1680" s="115"/>
      <c r="BE1680" s="115"/>
      <c r="BF1680" s="115"/>
      <c r="BG1680" s="115"/>
      <c r="BH1680" s="122"/>
      <c r="BI1680" s="122"/>
      <c r="BJ1680" s="122"/>
      <c r="BK1680" s="115"/>
      <c r="BL1680" s="115"/>
      <c r="BM1680" s="115"/>
      <c r="BN1680" s="115"/>
      <c r="BO1680" s="115"/>
      <c r="BP1680" s="115"/>
      <c r="BQ1680" s="115"/>
      <c r="BR1680" s="115"/>
      <c r="BS1680" s="115"/>
      <c r="BT1680" s="115"/>
      <c r="BU1680" s="115"/>
      <c r="BV1680" s="115"/>
      <c r="BW1680" s="115"/>
      <c r="BX1680" s="115"/>
      <c r="BY1680" s="26"/>
      <c r="BZ1680" s="13"/>
      <c r="CD1680" s="117"/>
      <c r="CE1680" s="116"/>
      <c r="CF1680" s="116"/>
      <c r="CG1680" s="116"/>
    </row>
    <row r="1681" spans="1:85" ht="19.5" x14ac:dyDescent="0.4">
      <c r="A1681" s="115"/>
      <c r="B1681" s="115"/>
      <c r="C1681" s="115"/>
      <c r="D1681" s="115"/>
      <c r="E1681" s="115"/>
      <c r="F1681" s="115"/>
      <c r="G1681" s="115"/>
      <c r="H1681" s="115"/>
      <c r="I1681" s="115"/>
      <c r="J1681" s="115"/>
      <c r="K1681" s="115"/>
      <c r="L1681" s="115"/>
      <c r="M1681" s="115"/>
      <c r="N1681" s="115"/>
      <c r="O1681" s="115"/>
      <c r="P1681" s="115"/>
      <c r="Q1681" s="115"/>
      <c r="R1681" s="115"/>
      <c r="S1681" s="115"/>
      <c r="T1681" s="115"/>
      <c r="U1681" s="115"/>
      <c r="V1681" s="115"/>
      <c r="W1681" s="115"/>
      <c r="X1681" s="115"/>
      <c r="Y1681" s="115"/>
      <c r="Z1681" s="115"/>
      <c r="AA1681" s="115"/>
      <c r="AB1681" s="115"/>
      <c r="AC1681" s="115"/>
      <c r="AD1681" s="115"/>
      <c r="AE1681" s="115"/>
      <c r="AF1681" s="115"/>
      <c r="AG1681" s="115"/>
      <c r="AH1681" s="115"/>
      <c r="AI1681" s="115"/>
      <c r="AJ1681" s="115"/>
      <c r="AK1681" s="115"/>
      <c r="AL1681" s="115"/>
      <c r="AM1681" s="115"/>
      <c r="AN1681" s="115"/>
      <c r="AO1681" s="115"/>
      <c r="AP1681" s="115"/>
      <c r="AQ1681" s="115"/>
      <c r="AR1681" s="115"/>
      <c r="AS1681" s="115"/>
      <c r="AT1681" s="115"/>
      <c r="AU1681" s="115"/>
      <c r="AV1681" s="115"/>
      <c r="AW1681" s="115"/>
      <c r="AX1681" s="115"/>
      <c r="AY1681" s="115"/>
      <c r="AZ1681" s="115"/>
      <c r="BA1681" s="115"/>
      <c r="BB1681" s="115"/>
      <c r="BC1681" s="115"/>
      <c r="BD1681" s="115"/>
      <c r="BE1681" s="115"/>
      <c r="BF1681" s="115"/>
      <c r="BG1681" s="115"/>
      <c r="BH1681" s="122"/>
      <c r="BI1681" s="122"/>
      <c r="BJ1681" s="122"/>
      <c r="BK1681" s="115"/>
      <c r="BL1681" s="115"/>
      <c r="BM1681" s="115"/>
      <c r="BN1681" s="115"/>
      <c r="BO1681" s="115"/>
      <c r="BP1681" s="115"/>
      <c r="BQ1681" s="115"/>
      <c r="BR1681" s="115"/>
      <c r="BS1681" s="115"/>
      <c r="BT1681" s="115"/>
      <c r="BU1681" s="115"/>
      <c r="BV1681" s="115"/>
      <c r="BW1681" s="115"/>
      <c r="BX1681" s="115"/>
      <c r="BY1681" s="26"/>
      <c r="BZ1681" s="13"/>
      <c r="CD1681" s="117"/>
      <c r="CE1681" s="116"/>
      <c r="CF1681" s="116"/>
      <c r="CG1681" s="116"/>
    </row>
    <row r="1682" spans="1:85" ht="19.5" x14ac:dyDescent="0.4">
      <c r="A1682" s="115"/>
      <c r="B1682" s="115"/>
      <c r="C1682" s="115"/>
      <c r="D1682" s="115"/>
      <c r="E1682" s="115"/>
      <c r="F1682" s="115"/>
      <c r="G1682" s="115"/>
      <c r="H1682" s="115"/>
      <c r="I1682" s="115"/>
      <c r="J1682" s="115"/>
      <c r="K1682" s="115"/>
      <c r="L1682" s="115"/>
      <c r="M1682" s="115"/>
      <c r="N1682" s="115"/>
      <c r="O1682" s="115"/>
      <c r="P1682" s="115"/>
      <c r="Q1682" s="115"/>
      <c r="R1682" s="115"/>
      <c r="S1682" s="115"/>
      <c r="T1682" s="115"/>
      <c r="U1682" s="115"/>
      <c r="V1682" s="115"/>
      <c r="W1682" s="115"/>
      <c r="X1682" s="115"/>
      <c r="Y1682" s="115"/>
      <c r="Z1682" s="115"/>
      <c r="AA1682" s="115"/>
      <c r="AB1682" s="115"/>
      <c r="AC1682" s="115"/>
      <c r="AD1682" s="115"/>
      <c r="AE1682" s="115"/>
      <c r="AF1682" s="115"/>
      <c r="AG1682" s="115"/>
      <c r="AH1682" s="115"/>
      <c r="AI1682" s="115"/>
      <c r="AJ1682" s="115"/>
      <c r="AK1682" s="115"/>
      <c r="AL1682" s="115"/>
      <c r="AM1682" s="115"/>
      <c r="AN1682" s="115"/>
      <c r="AO1682" s="115"/>
      <c r="AP1682" s="115"/>
      <c r="AQ1682" s="115"/>
      <c r="AR1682" s="115"/>
      <c r="AS1682" s="115"/>
      <c r="AT1682" s="115"/>
      <c r="AU1682" s="115"/>
      <c r="AV1682" s="115"/>
      <c r="AW1682" s="115"/>
      <c r="AX1682" s="115"/>
      <c r="AY1682" s="115"/>
      <c r="AZ1682" s="115"/>
      <c r="BA1682" s="115"/>
      <c r="BB1682" s="115"/>
      <c r="BC1682" s="115"/>
      <c r="BD1682" s="115"/>
      <c r="BE1682" s="115"/>
      <c r="BF1682" s="115"/>
      <c r="BG1682" s="115"/>
      <c r="BH1682" s="122"/>
      <c r="BI1682" s="122"/>
      <c r="BJ1682" s="122"/>
      <c r="BK1682" s="115"/>
      <c r="BL1682" s="115"/>
      <c r="BM1682" s="115"/>
      <c r="BN1682" s="115"/>
      <c r="BO1682" s="115"/>
      <c r="BP1682" s="115"/>
      <c r="BQ1682" s="115"/>
      <c r="BR1682" s="115"/>
      <c r="BS1682" s="115"/>
      <c r="BT1682" s="115"/>
      <c r="BU1682" s="115"/>
      <c r="BV1682" s="115"/>
      <c r="BW1682" s="115"/>
      <c r="BX1682" s="115"/>
      <c r="BY1682" s="26"/>
      <c r="BZ1682" s="13"/>
      <c r="CD1682" s="117"/>
      <c r="CE1682" s="116"/>
      <c r="CF1682" s="116"/>
      <c r="CG1682" s="116"/>
    </row>
    <row r="1683" spans="1:85" ht="19.5" x14ac:dyDescent="0.4">
      <c r="A1683" s="115"/>
      <c r="B1683" s="115"/>
      <c r="C1683" s="115"/>
      <c r="D1683" s="115"/>
      <c r="E1683" s="115"/>
      <c r="F1683" s="115"/>
      <c r="G1683" s="115"/>
      <c r="H1683" s="115"/>
      <c r="I1683" s="115"/>
      <c r="J1683" s="115"/>
      <c r="K1683" s="115"/>
      <c r="L1683" s="115"/>
      <c r="M1683" s="115"/>
      <c r="N1683" s="115"/>
      <c r="O1683" s="115"/>
      <c r="P1683" s="115"/>
      <c r="Q1683" s="115"/>
      <c r="R1683" s="115"/>
      <c r="S1683" s="115"/>
      <c r="T1683" s="115"/>
      <c r="U1683" s="115"/>
      <c r="V1683" s="115"/>
      <c r="W1683" s="115"/>
      <c r="X1683" s="115"/>
      <c r="Y1683" s="115"/>
      <c r="Z1683" s="115"/>
      <c r="AA1683" s="115"/>
      <c r="AB1683" s="115"/>
      <c r="AC1683" s="115"/>
      <c r="AD1683" s="115"/>
      <c r="AE1683" s="115"/>
      <c r="AF1683" s="115"/>
      <c r="AG1683" s="115"/>
      <c r="AH1683" s="115"/>
      <c r="AI1683" s="115"/>
      <c r="AJ1683" s="115"/>
      <c r="AK1683" s="115"/>
      <c r="AL1683" s="115"/>
      <c r="AM1683" s="115"/>
      <c r="AN1683" s="115"/>
      <c r="AO1683" s="115"/>
      <c r="AP1683" s="115"/>
      <c r="AQ1683" s="115"/>
      <c r="AR1683" s="115"/>
      <c r="AS1683" s="115"/>
      <c r="AT1683" s="115"/>
      <c r="AU1683" s="115"/>
      <c r="AV1683" s="115"/>
      <c r="AW1683" s="115"/>
      <c r="AX1683" s="115"/>
      <c r="AY1683" s="115"/>
      <c r="AZ1683" s="115"/>
      <c r="BA1683" s="115"/>
      <c r="BB1683" s="115"/>
      <c r="BC1683" s="115"/>
      <c r="BD1683" s="115"/>
      <c r="BE1683" s="115"/>
      <c r="BF1683" s="115"/>
      <c r="BG1683" s="115"/>
      <c r="BH1683" s="122"/>
      <c r="BI1683" s="122"/>
      <c r="BJ1683" s="122"/>
      <c r="BK1683" s="115"/>
      <c r="BL1683" s="115"/>
      <c r="BM1683" s="115"/>
      <c r="BN1683" s="115"/>
      <c r="BO1683" s="115"/>
      <c r="BP1683" s="115"/>
      <c r="BQ1683" s="115"/>
      <c r="BR1683" s="115"/>
      <c r="BS1683" s="115"/>
      <c r="BT1683" s="115"/>
      <c r="BU1683" s="115"/>
      <c r="BV1683" s="115"/>
      <c r="BW1683" s="115"/>
      <c r="BX1683" s="115"/>
      <c r="BY1683" s="26"/>
      <c r="BZ1683" s="13"/>
      <c r="CD1683" s="117"/>
      <c r="CE1683" s="116"/>
      <c r="CF1683" s="116"/>
      <c r="CG1683" s="116"/>
    </row>
    <row r="1684" spans="1:85" ht="19.5" x14ac:dyDescent="0.4">
      <c r="A1684" s="115"/>
      <c r="B1684" s="115"/>
      <c r="C1684" s="115"/>
      <c r="D1684" s="115"/>
      <c r="E1684" s="115"/>
      <c r="F1684" s="115"/>
      <c r="G1684" s="115"/>
      <c r="H1684" s="115"/>
      <c r="I1684" s="115"/>
      <c r="J1684" s="115"/>
      <c r="K1684" s="115"/>
      <c r="L1684" s="115"/>
      <c r="M1684" s="115"/>
      <c r="N1684" s="115"/>
      <c r="O1684" s="115"/>
      <c r="P1684" s="115"/>
      <c r="Q1684" s="115"/>
      <c r="R1684" s="115"/>
      <c r="S1684" s="115"/>
      <c r="T1684" s="115"/>
      <c r="U1684" s="115"/>
      <c r="V1684" s="115"/>
      <c r="W1684" s="115"/>
      <c r="X1684" s="115"/>
      <c r="Y1684" s="115"/>
      <c r="Z1684" s="115"/>
      <c r="AA1684" s="115"/>
      <c r="AB1684" s="115"/>
      <c r="AC1684" s="115"/>
      <c r="AD1684" s="115"/>
      <c r="AE1684" s="115"/>
      <c r="AF1684" s="115"/>
      <c r="AG1684" s="115"/>
      <c r="AH1684" s="115"/>
      <c r="AI1684" s="115"/>
      <c r="AJ1684" s="115"/>
      <c r="AK1684" s="115"/>
      <c r="AL1684" s="115"/>
      <c r="AM1684" s="115"/>
      <c r="AN1684" s="115"/>
      <c r="AO1684" s="115"/>
      <c r="AP1684" s="115"/>
      <c r="AQ1684" s="115"/>
      <c r="AR1684" s="115"/>
      <c r="AS1684" s="115"/>
      <c r="AT1684" s="115"/>
      <c r="AU1684" s="115"/>
      <c r="AV1684" s="115"/>
      <c r="AW1684" s="115"/>
      <c r="AX1684" s="115"/>
      <c r="AY1684" s="115"/>
      <c r="AZ1684" s="115"/>
      <c r="BA1684" s="115"/>
      <c r="BB1684" s="115"/>
      <c r="BC1684" s="115"/>
      <c r="BD1684" s="115"/>
      <c r="BE1684" s="115"/>
      <c r="BF1684" s="115"/>
      <c r="BG1684" s="115"/>
      <c r="BH1684" s="122"/>
      <c r="BI1684" s="122"/>
      <c r="BJ1684" s="122"/>
      <c r="BK1684" s="115"/>
      <c r="BL1684" s="115"/>
      <c r="BM1684" s="115"/>
      <c r="BN1684" s="115"/>
      <c r="BO1684" s="115"/>
      <c r="BP1684" s="115"/>
      <c r="BQ1684" s="115"/>
      <c r="BR1684" s="115"/>
      <c r="BS1684" s="115"/>
      <c r="BT1684" s="115"/>
      <c r="BU1684" s="115"/>
      <c r="BV1684" s="115"/>
      <c r="BW1684" s="115"/>
      <c r="BX1684" s="115"/>
      <c r="BY1684" s="26"/>
      <c r="BZ1684" s="13"/>
      <c r="CD1684" s="117"/>
      <c r="CE1684" s="116"/>
      <c r="CF1684" s="116"/>
      <c r="CG1684" s="116"/>
    </row>
    <row r="1685" spans="1:85" ht="19.5" x14ac:dyDescent="0.4">
      <c r="A1685" s="115"/>
      <c r="B1685" s="115"/>
      <c r="C1685" s="115"/>
      <c r="D1685" s="115"/>
      <c r="E1685" s="115"/>
      <c r="F1685" s="115"/>
      <c r="G1685" s="115"/>
      <c r="H1685" s="115"/>
      <c r="I1685" s="115"/>
      <c r="J1685" s="115"/>
      <c r="K1685" s="115"/>
      <c r="L1685" s="115"/>
      <c r="M1685" s="115"/>
      <c r="N1685" s="115"/>
      <c r="O1685" s="115"/>
      <c r="P1685" s="115"/>
      <c r="Q1685" s="115"/>
      <c r="R1685" s="115"/>
      <c r="S1685" s="115"/>
      <c r="T1685" s="115"/>
      <c r="U1685" s="115"/>
      <c r="V1685" s="115"/>
      <c r="W1685" s="115"/>
      <c r="X1685" s="115"/>
      <c r="Y1685" s="115"/>
      <c r="Z1685" s="115"/>
      <c r="AA1685" s="115"/>
      <c r="AB1685" s="115"/>
      <c r="AC1685" s="115"/>
      <c r="AD1685" s="115"/>
      <c r="AE1685" s="115"/>
      <c r="AF1685" s="115"/>
      <c r="AG1685" s="115"/>
      <c r="AH1685" s="115"/>
      <c r="AI1685" s="115"/>
      <c r="AJ1685" s="115"/>
      <c r="AK1685" s="115"/>
      <c r="AL1685" s="115"/>
      <c r="AM1685" s="115"/>
      <c r="AN1685" s="115"/>
      <c r="AO1685" s="115"/>
      <c r="AP1685" s="115"/>
      <c r="AQ1685" s="115"/>
      <c r="AR1685" s="115"/>
      <c r="AS1685" s="115"/>
      <c r="AT1685" s="115"/>
      <c r="AU1685" s="115"/>
      <c r="AV1685" s="115"/>
      <c r="AW1685" s="115"/>
      <c r="AX1685" s="115"/>
      <c r="AY1685" s="115"/>
      <c r="AZ1685" s="115"/>
      <c r="BA1685" s="115"/>
      <c r="BB1685" s="115"/>
      <c r="BC1685" s="115"/>
      <c r="BD1685" s="115"/>
      <c r="BE1685" s="115"/>
      <c r="BF1685" s="115"/>
      <c r="BG1685" s="115"/>
      <c r="BH1685" s="122"/>
      <c r="BI1685" s="122"/>
      <c r="BJ1685" s="122"/>
      <c r="BK1685" s="115"/>
      <c r="BL1685" s="115"/>
      <c r="BM1685" s="115"/>
      <c r="BN1685" s="115"/>
      <c r="BO1685" s="115"/>
      <c r="BP1685" s="115"/>
      <c r="BQ1685" s="115"/>
      <c r="BR1685" s="115"/>
      <c r="BS1685" s="115"/>
      <c r="BT1685" s="115"/>
      <c r="BU1685" s="115"/>
      <c r="BV1685" s="115"/>
      <c r="BW1685" s="115"/>
      <c r="BX1685" s="115"/>
      <c r="BY1685" s="26"/>
      <c r="BZ1685" s="13"/>
      <c r="CD1685" s="117"/>
      <c r="CE1685" s="116"/>
      <c r="CF1685" s="116"/>
      <c r="CG1685" s="116"/>
    </row>
    <row r="1686" spans="1:85" ht="19.5" x14ac:dyDescent="0.4">
      <c r="A1686" s="115"/>
      <c r="B1686" s="115"/>
      <c r="C1686" s="115"/>
      <c r="D1686" s="115"/>
      <c r="E1686" s="115"/>
      <c r="F1686" s="115"/>
      <c r="G1686" s="115"/>
      <c r="H1686" s="115"/>
      <c r="I1686" s="115"/>
      <c r="J1686" s="115"/>
      <c r="K1686" s="115"/>
      <c r="L1686" s="115"/>
      <c r="M1686" s="115"/>
      <c r="N1686" s="115"/>
      <c r="O1686" s="115"/>
      <c r="P1686" s="115"/>
      <c r="Q1686" s="115"/>
      <c r="R1686" s="115"/>
      <c r="S1686" s="115"/>
      <c r="T1686" s="115"/>
      <c r="U1686" s="115"/>
      <c r="V1686" s="115"/>
      <c r="W1686" s="115"/>
      <c r="X1686" s="115"/>
      <c r="Y1686" s="115"/>
      <c r="Z1686" s="115"/>
      <c r="AA1686" s="115"/>
      <c r="AB1686" s="115"/>
      <c r="AC1686" s="115"/>
      <c r="AD1686" s="115"/>
      <c r="AE1686" s="115"/>
      <c r="AF1686" s="115"/>
      <c r="AG1686" s="115"/>
      <c r="AH1686" s="115"/>
      <c r="AI1686" s="115"/>
      <c r="AJ1686" s="115"/>
      <c r="AK1686" s="115"/>
      <c r="AL1686" s="115"/>
      <c r="AM1686" s="115"/>
      <c r="AN1686" s="115"/>
      <c r="AO1686" s="115"/>
      <c r="AP1686" s="115"/>
      <c r="AQ1686" s="115"/>
      <c r="AR1686" s="115"/>
      <c r="AS1686" s="115"/>
      <c r="AT1686" s="115"/>
      <c r="AU1686" s="115"/>
      <c r="AV1686" s="115"/>
      <c r="AW1686" s="115"/>
      <c r="AX1686" s="115"/>
      <c r="AY1686" s="115"/>
      <c r="AZ1686" s="115"/>
      <c r="BA1686" s="115"/>
      <c r="BB1686" s="115"/>
      <c r="BC1686" s="115"/>
      <c r="BD1686" s="115"/>
      <c r="BE1686" s="115"/>
      <c r="BF1686" s="115"/>
      <c r="BG1686" s="115"/>
      <c r="BH1686" s="122"/>
      <c r="BI1686" s="122"/>
      <c r="BJ1686" s="122"/>
      <c r="BK1686" s="115"/>
      <c r="BL1686" s="115"/>
      <c r="BM1686" s="115"/>
      <c r="BN1686" s="115"/>
      <c r="BO1686" s="115"/>
      <c r="BP1686" s="115"/>
      <c r="BQ1686" s="115"/>
      <c r="BR1686" s="115"/>
      <c r="BS1686" s="115"/>
      <c r="BT1686" s="115"/>
      <c r="BU1686" s="115"/>
      <c r="BV1686" s="115"/>
      <c r="BW1686" s="115"/>
      <c r="BX1686" s="115"/>
      <c r="BY1686" s="26"/>
      <c r="BZ1686" s="13"/>
      <c r="CD1686" s="117"/>
      <c r="CE1686" s="116"/>
      <c r="CF1686" s="116"/>
      <c r="CG1686" s="116"/>
    </row>
    <row r="1687" spans="1:85" ht="19.5" x14ac:dyDescent="0.4">
      <c r="A1687" s="115"/>
      <c r="B1687" s="115"/>
      <c r="C1687" s="115"/>
      <c r="D1687" s="115"/>
      <c r="E1687" s="115"/>
      <c r="F1687" s="115"/>
      <c r="G1687" s="115"/>
      <c r="H1687" s="115"/>
      <c r="I1687" s="115"/>
      <c r="J1687" s="115"/>
      <c r="K1687" s="115"/>
      <c r="L1687" s="115"/>
      <c r="M1687" s="115"/>
      <c r="N1687" s="115"/>
      <c r="O1687" s="115"/>
      <c r="P1687" s="115"/>
      <c r="Q1687" s="115"/>
      <c r="R1687" s="115"/>
      <c r="S1687" s="115"/>
      <c r="T1687" s="115"/>
      <c r="U1687" s="115"/>
      <c r="V1687" s="115"/>
      <c r="W1687" s="115"/>
      <c r="X1687" s="115"/>
      <c r="Y1687" s="115"/>
      <c r="Z1687" s="115"/>
      <c r="AA1687" s="115"/>
      <c r="AB1687" s="115"/>
      <c r="AC1687" s="115"/>
      <c r="AD1687" s="115"/>
      <c r="AE1687" s="115"/>
      <c r="AF1687" s="115"/>
      <c r="AG1687" s="115"/>
      <c r="AH1687" s="115"/>
      <c r="AI1687" s="115"/>
      <c r="AJ1687" s="115"/>
      <c r="AK1687" s="115"/>
      <c r="AL1687" s="115"/>
      <c r="AM1687" s="115"/>
      <c r="AN1687" s="115"/>
      <c r="AO1687" s="115"/>
      <c r="AP1687" s="115"/>
      <c r="AQ1687" s="115"/>
      <c r="AR1687" s="115"/>
      <c r="AS1687" s="115"/>
      <c r="AT1687" s="115"/>
      <c r="AU1687" s="115"/>
      <c r="AV1687" s="115"/>
      <c r="AW1687" s="115"/>
      <c r="AX1687" s="115"/>
      <c r="AY1687" s="115"/>
      <c r="AZ1687" s="115"/>
      <c r="BA1687" s="115"/>
      <c r="BB1687" s="115"/>
      <c r="BC1687" s="115"/>
      <c r="BD1687" s="115"/>
      <c r="BE1687" s="115"/>
      <c r="BF1687" s="115"/>
      <c r="BG1687" s="115"/>
      <c r="BH1687" s="122"/>
      <c r="BI1687" s="122"/>
      <c r="BJ1687" s="122"/>
      <c r="BK1687" s="115"/>
      <c r="BL1687" s="115"/>
      <c r="BM1687" s="115"/>
      <c r="BN1687" s="115"/>
      <c r="BO1687" s="115"/>
      <c r="BP1687" s="115"/>
      <c r="BQ1687" s="115"/>
      <c r="BR1687" s="115"/>
      <c r="BS1687" s="115"/>
      <c r="BT1687" s="115"/>
      <c r="BU1687" s="115"/>
      <c r="BV1687" s="115"/>
      <c r="BW1687" s="115"/>
      <c r="BX1687" s="115"/>
      <c r="BY1687" s="26"/>
      <c r="BZ1687" s="13"/>
      <c r="CD1687" s="117"/>
      <c r="CE1687" s="116"/>
      <c r="CF1687" s="116"/>
      <c r="CG1687" s="116"/>
    </row>
    <row r="1688" spans="1:85" ht="19.5" x14ac:dyDescent="0.4">
      <c r="A1688" s="115"/>
      <c r="B1688" s="115"/>
      <c r="C1688" s="115"/>
      <c r="D1688" s="115"/>
      <c r="E1688" s="115"/>
      <c r="F1688" s="115"/>
      <c r="G1688" s="115"/>
      <c r="H1688" s="115"/>
      <c r="I1688" s="115"/>
      <c r="J1688" s="115"/>
      <c r="K1688" s="115"/>
      <c r="L1688" s="115"/>
      <c r="M1688" s="115"/>
      <c r="N1688" s="115"/>
      <c r="O1688" s="115"/>
      <c r="P1688" s="115"/>
      <c r="Q1688" s="115"/>
      <c r="R1688" s="115"/>
      <c r="S1688" s="115"/>
      <c r="T1688" s="115"/>
      <c r="U1688" s="115"/>
      <c r="V1688" s="115"/>
      <c r="W1688" s="115"/>
      <c r="X1688" s="115"/>
      <c r="Y1688" s="115"/>
      <c r="Z1688" s="115"/>
      <c r="AA1688" s="115"/>
      <c r="AB1688" s="115"/>
      <c r="AC1688" s="115"/>
      <c r="AD1688" s="115"/>
      <c r="AE1688" s="115"/>
      <c r="AF1688" s="115"/>
      <c r="AG1688" s="115"/>
      <c r="AH1688" s="115"/>
      <c r="AI1688" s="115"/>
      <c r="AJ1688" s="115"/>
      <c r="AK1688" s="115"/>
      <c r="AL1688" s="115"/>
      <c r="AM1688" s="115"/>
      <c r="AN1688" s="115"/>
      <c r="AO1688" s="115"/>
      <c r="AP1688" s="115"/>
      <c r="AQ1688" s="115"/>
      <c r="AR1688" s="115"/>
      <c r="AS1688" s="115"/>
      <c r="AT1688" s="115"/>
      <c r="AU1688" s="115"/>
      <c r="AV1688" s="115"/>
      <c r="AW1688" s="115"/>
      <c r="AX1688" s="115"/>
      <c r="AY1688" s="115"/>
      <c r="AZ1688" s="115"/>
      <c r="BA1688" s="115"/>
      <c r="BB1688" s="115"/>
      <c r="BC1688" s="115"/>
      <c r="BD1688" s="115"/>
      <c r="BE1688" s="115"/>
      <c r="BF1688" s="115"/>
      <c r="BG1688" s="115"/>
      <c r="BH1688" s="122"/>
      <c r="BI1688" s="122"/>
      <c r="BJ1688" s="122"/>
      <c r="BK1688" s="115"/>
      <c r="BL1688" s="115"/>
      <c r="BM1688" s="115"/>
      <c r="BN1688" s="115"/>
      <c r="BO1688" s="115"/>
      <c r="BP1688" s="115"/>
      <c r="BQ1688" s="115"/>
      <c r="BR1688" s="115"/>
      <c r="BS1688" s="115"/>
      <c r="BT1688" s="115"/>
      <c r="BU1688" s="115"/>
      <c r="BV1688" s="115"/>
      <c r="BW1688" s="115"/>
      <c r="BX1688" s="115"/>
      <c r="BY1688" s="26"/>
      <c r="BZ1688" s="15"/>
      <c r="CD1688" s="117"/>
      <c r="CE1688" s="116"/>
      <c r="CF1688" s="116"/>
      <c r="CG1688" s="116"/>
    </row>
    <row r="1689" spans="1:85" ht="19.5" x14ac:dyDescent="0.4">
      <c r="A1689" s="115"/>
      <c r="B1689" s="115"/>
      <c r="C1689" s="115"/>
      <c r="D1689" s="115"/>
      <c r="E1689" s="115"/>
      <c r="F1689" s="115"/>
      <c r="G1689" s="115"/>
      <c r="H1689" s="115"/>
      <c r="I1689" s="115"/>
      <c r="J1689" s="115"/>
      <c r="K1689" s="115"/>
      <c r="L1689" s="115"/>
      <c r="M1689" s="115"/>
      <c r="N1689" s="115"/>
      <c r="O1689" s="115"/>
      <c r="P1689" s="115"/>
      <c r="Q1689" s="115"/>
      <c r="R1689" s="115"/>
      <c r="S1689" s="115"/>
      <c r="T1689" s="115"/>
      <c r="U1689" s="115"/>
      <c r="V1689" s="115"/>
      <c r="W1689" s="115"/>
      <c r="X1689" s="115"/>
      <c r="Y1689" s="115"/>
      <c r="Z1689" s="115"/>
      <c r="AA1689" s="115"/>
      <c r="AB1689" s="115"/>
      <c r="AC1689" s="115"/>
      <c r="AD1689" s="115"/>
      <c r="AE1689" s="115"/>
      <c r="AF1689" s="115"/>
      <c r="AG1689" s="115"/>
      <c r="AH1689" s="115"/>
      <c r="AI1689" s="115"/>
      <c r="AJ1689" s="115"/>
      <c r="AK1689" s="115"/>
      <c r="AL1689" s="115"/>
      <c r="AM1689" s="115"/>
      <c r="AN1689" s="115"/>
      <c r="AO1689" s="115"/>
      <c r="AP1689" s="115"/>
      <c r="AQ1689" s="115"/>
      <c r="AR1689" s="115"/>
      <c r="AS1689" s="115"/>
      <c r="AT1689" s="115"/>
      <c r="AU1689" s="115"/>
      <c r="AV1689" s="115"/>
      <c r="AW1689" s="115"/>
      <c r="AX1689" s="115"/>
      <c r="AY1689" s="115"/>
      <c r="AZ1689" s="115"/>
      <c r="BA1689" s="115"/>
      <c r="BB1689" s="115"/>
      <c r="BC1689" s="115"/>
      <c r="BD1689" s="115"/>
      <c r="BE1689" s="115"/>
      <c r="BF1689" s="115"/>
      <c r="BG1689" s="115"/>
      <c r="BH1689" s="122"/>
      <c r="BI1689" s="122"/>
      <c r="BJ1689" s="122"/>
      <c r="BK1689" s="115"/>
      <c r="BL1689" s="115"/>
      <c r="BM1689" s="115"/>
      <c r="BN1689" s="115"/>
      <c r="BO1689" s="115"/>
      <c r="BP1689" s="115"/>
      <c r="BQ1689" s="115"/>
      <c r="BR1689" s="115"/>
      <c r="BS1689" s="115"/>
      <c r="BT1689" s="115"/>
      <c r="BU1689" s="115"/>
      <c r="BV1689" s="115"/>
      <c r="BW1689" s="115"/>
      <c r="BX1689" s="115"/>
      <c r="BY1689" s="26"/>
      <c r="BZ1689" s="15"/>
      <c r="CD1689" s="117"/>
      <c r="CE1689" s="116"/>
      <c r="CF1689" s="116"/>
      <c r="CG1689" s="116"/>
    </row>
    <row r="1690" spans="1:85" ht="19.5" x14ac:dyDescent="0.4">
      <c r="A1690" s="115"/>
      <c r="B1690" s="115"/>
      <c r="C1690" s="115"/>
      <c r="D1690" s="115"/>
      <c r="E1690" s="115"/>
      <c r="F1690" s="115"/>
      <c r="G1690" s="115"/>
      <c r="H1690" s="115"/>
      <c r="I1690" s="115"/>
      <c r="J1690" s="115"/>
      <c r="K1690" s="115"/>
      <c r="L1690" s="115"/>
      <c r="M1690" s="115"/>
      <c r="N1690" s="115"/>
      <c r="O1690" s="115"/>
      <c r="P1690" s="115"/>
      <c r="Q1690" s="115"/>
      <c r="R1690" s="115"/>
      <c r="S1690" s="115"/>
      <c r="T1690" s="115"/>
      <c r="U1690" s="115"/>
      <c r="V1690" s="115"/>
      <c r="W1690" s="115"/>
      <c r="X1690" s="115"/>
      <c r="Y1690" s="115"/>
      <c r="Z1690" s="115"/>
      <c r="AA1690" s="115"/>
      <c r="AB1690" s="115"/>
      <c r="AC1690" s="115"/>
      <c r="AD1690" s="115"/>
      <c r="AE1690" s="115"/>
      <c r="AF1690" s="115"/>
      <c r="AG1690" s="115"/>
      <c r="AH1690" s="115"/>
      <c r="AI1690" s="115"/>
      <c r="AJ1690" s="115"/>
      <c r="AK1690" s="115"/>
      <c r="AL1690" s="115"/>
      <c r="AM1690" s="115"/>
      <c r="AN1690" s="115"/>
      <c r="AO1690" s="115"/>
      <c r="AP1690" s="115"/>
      <c r="AQ1690" s="115"/>
      <c r="AR1690" s="115"/>
      <c r="AS1690" s="115"/>
      <c r="AT1690" s="115"/>
      <c r="AU1690" s="115"/>
      <c r="AV1690" s="115"/>
      <c r="AW1690" s="115"/>
      <c r="AX1690" s="115"/>
      <c r="AY1690" s="115"/>
      <c r="AZ1690" s="115"/>
      <c r="BA1690" s="115"/>
      <c r="BB1690" s="115"/>
      <c r="BC1690" s="115"/>
      <c r="BD1690" s="115"/>
      <c r="BE1690" s="115"/>
      <c r="BF1690" s="115"/>
      <c r="BG1690" s="115"/>
      <c r="BH1690" s="122"/>
      <c r="BI1690" s="122"/>
      <c r="BJ1690" s="122"/>
      <c r="BK1690" s="115"/>
      <c r="BL1690" s="115"/>
      <c r="BM1690" s="115"/>
      <c r="BN1690" s="115"/>
      <c r="BO1690" s="115"/>
      <c r="BP1690" s="115"/>
      <c r="BQ1690" s="115"/>
      <c r="BR1690" s="115"/>
      <c r="BS1690" s="115"/>
      <c r="BT1690" s="115"/>
      <c r="BU1690" s="115"/>
      <c r="BV1690" s="115"/>
      <c r="BW1690" s="115"/>
      <c r="BX1690" s="115"/>
      <c r="BY1690" s="26"/>
      <c r="BZ1690" s="15"/>
      <c r="CD1690" s="117"/>
      <c r="CE1690" s="116"/>
      <c r="CF1690" s="116"/>
      <c r="CG1690" s="116"/>
    </row>
    <row r="1691" spans="1:85" ht="19.5" x14ac:dyDescent="0.4">
      <c r="A1691" s="115"/>
      <c r="B1691" s="115"/>
      <c r="C1691" s="115"/>
      <c r="D1691" s="115"/>
      <c r="E1691" s="115"/>
      <c r="F1691" s="115"/>
      <c r="G1691" s="115"/>
      <c r="H1691" s="115"/>
      <c r="I1691" s="115"/>
      <c r="J1691" s="115"/>
      <c r="K1691" s="115"/>
      <c r="L1691" s="115"/>
      <c r="M1691" s="115"/>
      <c r="N1691" s="115"/>
      <c r="O1691" s="115"/>
      <c r="P1691" s="115"/>
      <c r="Q1691" s="115"/>
      <c r="R1691" s="115"/>
      <c r="S1691" s="115"/>
      <c r="T1691" s="115"/>
      <c r="U1691" s="115"/>
      <c r="V1691" s="115"/>
      <c r="W1691" s="115"/>
      <c r="X1691" s="115"/>
      <c r="Y1691" s="115"/>
      <c r="Z1691" s="115"/>
      <c r="AA1691" s="115"/>
      <c r="AB1691" s="115"/>
      <c r="AC1691" s="115"/>
      <c r="AD1691" s="115"/>
      <c r="AE1691" s="115"/>
      <c r="AF1691" s="115"/>
      <c r="AG1691" s="115"/>
      <c r="AH1691" s="115"/>
      <c r="AI1691" s="115"/>
      <c r="AJ1691" s="115"/>
      <c r="AK1691" s="115"/>
      <c r="AL1691" s="115"/>
      <c r="AM1691" s="115"/>
      <c r="AN1691" s="115"/>
      <c r="AO1691" s="115"/>
      <c r="AP1691" s="115"/>
      <c r="AQ1691" s="115"/>
      <c r="AR1691" s="115"/>
      <c r="AS1691" s="115"/>
      <c r="AT1691" s="115"/>
      <c r="AU1691" s="115"/>
      <c r="AV1691" s="115"/>
      <c r="AW1691" s="115"/>
      <c r="AX1691" s="115"/>
      <c r="AY1691" s="115"/>
      <c r="AZ1691" s="115"/>
      <c r="BA1691" s="115"/>
      <c r="BB1691" s="115"/>
      <c r="BC1691" s="115"/>
      <c r="BD1691" s="115"/>
      <c r="BE1691" s="115"/>
      <c r="BF1691" s="115"/>
      <c r="BG1691" s="115"/>
      <c r="BH1691" s="122"/>
      <c r="BI1691" s="122"/>
      <c r="BJ1691" s="122"/>
      <c r="BK1691" s="115"/>
      <c r="BL1691" s="115"/>
      <c r="BM1691" s="115"/>
      <c r="BN1691" s="115"/>
      <c r="BO1691" s="115"/>
      <c r="BP1691" s="115"/>
      <c r="BQ1691" s="115"/>
      <c r="BR1691" s="115"/>
      <c r="BS1691" s="115"/>
      <c r="BT1691" s="115"/>
      <c r="BU1691" s="115"/>
      <c r="BV1691" s="115"/>
      <c r="BW1691" s="115"/>
      <c r="BX1691" s="115"/>
      <c r="BY1691" s="26"/>
      <c r="BZ1691" s="15"/>
      <c r="CD1691" s="117"/>
      <c r="CE1691" s="116"/>
      <c r="CF1691" s="116"/>
      <c r="CG1691" s="116"/>
    </row>
    <row r="1692" spans="1:85" ht="19.5" x14ac:dyDescent="0.4">
      <c r="A1692" s="115"/>
      <c r="B1692" s="115"/>
      <c r="C1692" s="115"/>
      <c r="D1692" s="115"/>
      <c r="E1692" s="115"/>
      <c r="F1692" s="115"/>
      <c r="G1692" s="115"/>
      <c r="H1692" s="115"/>
      <c r="I1692" s="115"/>
      <c r="J1692" s="115"/>
      <c r="K1692" s="115"/>
      <c r="L1692" s="115"/>
      <c r="M1692" s="115"/>
      <c r="N1692" s="115"/>
      <c r="O1692" s="115"/>
      <c r="P1692" s="115"/>
      <c r="Q1692" s="115"/>
      <c r="R1692" s="115"/>
      <c r="S1692" s="115"/>
      <c r="T1692" s="115"/>
      <c r="U1692" s="115"/>
      <c r="V1692" s="115"/>
      <c r="W1692" s="115"/>
      <c r="X1692" s="115"/>
      <c r="Y1692" s="115"/>
      <c r="Z1692" s="115"/>
      <c r="AA1692" s="115"/>
      <c r="AB1692" s="115"/>
      <c r="AC1692" s="115"/>
      <c r="AD1692" s="115"/>
      <c r="AE1692" s="115"/>
      <c r="AF1692" s="115"/>
      <c r="AG1692" s="115"/>
      <c r="AH1692" s="115"/>
      <c r="AI1692" s="115"/>
      <c r="AJ1692" s="115"/>
      <c r="AK1692" s="115"/>
      <c r="AL1692" s="115"/>
      <c r="AM1692" s="115"/>
      <c r="AN1692" s="115"/>
      <c r="AO1692" s="115"/>
      <c r="AP1692" s="115"/>
      <c r="AQ1692" s="115"/>
      <c r="AR1692" s="115"/>
      <c r="AS1692" s="115"/>
      <c r="AT1692" s="115"/>
      <c r="AU1692" s="115"/>
      <c r="AV1692" s="115"/>
      <c r="AW1692" s="115"/>
      <c r="AX1692" s="115"/>
      <c r="AY1692" s="115"/>
      <c r="AZ1692" s="115"/>
      <c r="BA1692" s="115"/>
      <c r="BB1692" s="115"/>
      <c r="BC1692" s="115"/>
      <c r="BD1692" s="115"/>
      <c r="BE1692" s="115"/>
      <c r="BF1692" s="115"/>
      <c r="BG1692" s="115"/>
      <c r="BH1692" s="122"/>
      <c r="BI1692" s="122"/>
      <c r="BJ1692" s="122"/>
      <c r="BK1692" s="115"/>
      <c r="BL1692" s="115"/>
      <c r="BM1692" s="115"/>
      <c r="BN1692" s="115"/>
      <c r="BO1692" s="115"/>
      <c r="BP1692" s="115"/>
      <c r="BQ1692" s="115"/>
      <c r="BR1692" s="115"/>
      <c r="BS1692" s="115"/>
      <c r="BT1692" s="115"/>
      <c r="BU1692" s="115"/>
      <c r="BV1692" s="115"/>
      <c r="BW1692" s="115"/>
      <c r="BX1692" s="115"/>
      <c r="BY1692" s="26"/>
      <c r="BZ1692" s="25"/>
      <c r="CD1692" s="117"/>
      <c r="CE1692" s="116"/>
      <c r="CF1692" s="116"/>
      <c r="CG1692" s="116"/>
    </row>
    <row r="1693" spans="1:85" ht="19.5" x14ac:dyDescent="0.4">
      <c r="BY1693" s="26"/>
      <c r="BZ1693" s="15"/>
      <c r="CD1693" s="117"/>
      <c r="CE1693" s="116"/>
      <c r="CF1693" s="116"/>
      <c r="CG1693" s="116"/>
    </row>
    <row r="1694" spans="1:85" ht="19.5" x14ac:dyDescent="0.4">
      <c r="BG1694" s="115"/>
      <c r="BH1694" s="122"/>
      <c r="BI1694" s="122"/>
      <c r="BJ1694" s="122"/>
      <c r="BK1694" s="115"/>
      <c r="BL1694" s="115"/>
      <c r="BM1694" s="115"/>
      <c r="BN1694" s="115"/>
      <c r="BO1694" s="115"/>
      <c r="BP1694" s="115"/>
      <c r="BQ1694" s="115"/>
      <c r="BR1694" s="115"/>
      <c r="BS1694" s="115"/>
      <c r="BT1694" s="115"/>
      <c r="BU1694" s="115"/>
      <c r="BV1694" s="115"/>
      <c r="BW1694" s="115"/>
      <c r="BX1694" s="115"/>
      <c r="BY1694" s="26"/>
      <c r="BZ1694" s="15"/>
      <c r="CD1694" s="117"/>
      <c r="CE1694" s="116"/>
      <c r="CF1694" s="116"/>
      <c r="CG1694" s="116"/>
    </row>
    <row r="1695" spans="1:85" ht="19.5" x14ac:dyDescent="0.4">
      <c r="BE1695" s="115"/>
      <c r="BF1695" s="115"/>
      <c r="BG1695" s="115"/>
      <c r="BH1695" s="122"/>
      <c r="BI1695" s="122"/>
      <c r="BJ1695" s="122"/>
      <c r="BK1695" s="115"/>
      <c r="BL1695" s="115"/>
      <c r="BM1695" s="115"/>
      <c r="BN1695" s="115"/>
      <c r="BO1695" s="115"/>
      <c r="BP1695" s="115"/>
      <c r="BQ1695" s="115"/>
      <c r="BR1695" s="115"/>
      <c r="BS1695" s="115"/>
      <c r="BT1695" s="115"/>
      <c r="BU1695" s="115"/>
      <c r="BV1695" s="115"/>
      <c r="BW1695" s="115"/>
      <c r="BX1695" s="115"/>
      <c r="BY1695" s="26"/>
      <c r="BZ1695" s="15"/>
      <c r="CD1695" s="117"/>
      <c r="CE1695" s="116"/>
      <c r="CF1695" s="116"/>
      <c r="CG1695" s="116"/>
    </row>
    <row r="1696" spans="1:85" ht="19.5" x14ac:dyDescent="0.4">
      <c r="BE1696" s="115"/>
      <c r="BF1696" s="115"/>
      <c r="BG1696" s="115"/>
      <c r="BH1696" s="122"/>
      <c r="BI1696" s="122"/>
      <c r="BJ1696" s="122"/>
      <c r="BK1696" s="115"/>
      <c r="BL1696" s="115"/>
      <c r="BM1696" s="115"/>
      <c r="BN1696" s="115"/>
      <c r="BO1696" s="115"/>
      <c r="BP1696" s="115"/>
      <c r="BQ1696" s="115"/>
      <c r="BR1696" s="115"/>
      <c r="BS1696" s="115"/>
      <c r="BT1696" s="115"/>
      <c r="BU1696" s="115"/>
      <c r="BV1696" s="115"/>
      <c r="BW1696" s="115"/>
      <c r="BX1696" s="115"/>
      <c r="BY1696" s="17"/>
      <c r="BZ1696" s="15"/>
      <c r="CD1696" s="117"/>
      <c r="CE1696" s="116"/>
      <c r="CF1696" s="116"/>
      <c r="CG1696" s="116"/>
    </row>
    <row r="1697" spans="1:85" ht="19.5" x14ac:dyDescent="0.4">
      <c r="BB1697" s="115"/>
      <c r="BC1697" s="115"/>
      <c r="BD1697" s="115"/>
      <c r="BE1697" s="115"/>
      <c r="BF1697" s="115"/>
      <c r="BG1697" s="115"/>
      <c r="BH1697" s="122"/>
      <c r="BI1697" s="122"/>
      <c r="BJ1697" s="122"/>
      <c r="BK1697" s="115"/>
      <c r="BL1697" s="115"/>
      <c r="BM1697" s="115"/>
      <c r="BN1697" s="115"/>
      <c r="BO1697" s="115"/>
      <c r="BP1697" s="115"/>
      <c r="BQ1697" s="115"/>
      <c r="BR1697" s="115"/>
      <c r="BS1697" s="115"/>
      <c r="BT1697" s="115"/>
      <c r="BU1697" s="115"/>
      <c r="BV1697" s="115"/>
      <c r="BW1697" s="115"/>
      <c r="BX1697" s="115"/>
      <c r="BY1697" s="26"/>
      <c r="BZ1697" s="15"/>
      <c r="CD1697" s="117"/>
      <c r="CE1697" s="116"/>
      <c r="CF1697" s="116"/>
      <c r="CG1697" s="116"/>
    </row>
    <row r="1698" spans="1:85" ht="19.5" x14ac:dyDescent="0.4">
      <c r="BB1698" s="115"/>
      <c r="BC1698" s="115"/>
      <c r="BD1698" s="115"/>
      <c r="BE1698" s="115"/>
      <c r="BF1698" s="115"/>
      <c r="BG1698" s="115"/>
      <c r="BH1698" s="122"/>
      <c r="BI1698" s="122"/>
      <c r="BJ1698" s="122"/>
      <c r="BK1698" s="115"/>
      <c r="BL1698" s="115"/>
      <c r="BM1698" s="115"/>
      <c r="BN1698" s="115"/>
      <c r="BO1698" s="115"/>
      <c r="BP1698" s="115"/>
      <c r="BQ1698" s="115"/>
      <c r="BR1698" s="115"/>
      <c r="BS1698" s="115"/>
      <c r="BT1698" s="115"/>
      <c r="BU1698" s="115"/>
      <c r="BV1698" s="115"/>
      <c r="BW1698" s="115"/>
      <c r="BX1698" s="115"/>
      <c r="BY1698" s="17"/>
      <c r="BZ1698" s="15"/>
      <c r="CD1698" s="117"/>
      <c r="CE1698" s="116"/>
      <c r="CF1698" s="116"/>
      <c r="CG1698" s="116"/>
    </row>
    <row r="1699" spans="1:85" ht="19.5" x14ac:dyDescent="0.4">
      <c r="BB1699" s="115"/>
      <c r="BC1699" s="115"/>
      <c r="BD1699" s="115"/>
      <c r="BE1699" s="115"/>
      <c r="BF1699" s="115"/>
      <c r="BG1699" s="115"/>
      <c r="BH1699" s="122"/>
      <c r="BI1699" s="122"/>
      <c r="BJ1699" s="122"/>
      <c r="BK1699" s="115"/>
      <c r="BL1699" s="115"/>
      <c r="BM1699" s="115"/>
      <c r="BN1699" s="115"/>
      <c r="BO1699" s="115"/>
      <c r="BP1699" s="115"/>
      <c r="BQ1699" s="115"/>
      <c r="BR1699" s="115"/>
      <c r="BS1699" s="115"/>
      <c r="BT1699" s="115"/>
      <c r="BU1699" s="115"/>
      <c r="BV1699" s="115"/>
      <c r="BW1699" s="115"/>
      <c r="BX1699" s="115"/>
      <c r="BY1699" s="26"/>
      <c r="BZ1699" s="15"/>
      <c r="CD1699" s="117"/>
      <c r="CE1699" s="116"/>
      <c r="CF1699" s="116"/>
      <c r="CG1699" s="116"/>
    </row>
    <row r="1700" spans="1:85" ht="19.5" x14ac:dyDescent="0.4">
      <c r="BB1700" s="115"/>
      <c r="BC1700" s="115"/>
      <c r="BD1700" s="115"/>
      <c r="BE1700" s="115"/>
      <c r="BF1700" s="115"/>
      <c r="BG1700" s="115"/>
      <c r="BH1700" s="122"/>
      <c r="BI1700" s="122"/>
      <c r="BJ1700" s="122"/>
      <c r="BK1700" s="115"/>
      <c r="BL1700" s="115"/>
      <c r="BM1700" s="115"/>
      <c r="BN1700" s="115"/>
      <c r="BO1700" s="115"/>
      <c r="BP1700" s="115"/>
      <c r="BQ1700" s="115"/>
      <c r="BR1700" s="115"/>
      <c r="BS1700" s="115"/>
      <c r="BT1700" s="115"/>
      <c r="BU1700" s="115"/>
      <c r="BV1700" s="115"/>
      <c r="BW1700" s="115"/>
      <c r="BX1700" s="115"/>
      <c r="BY1700" s="17"/>
      <c r="BZ1700" s="13"/>
      <c r="CD1700" s="117"/>
      <c r="CE1700" s="116"/>
      <c r="CF1700" s="116"/>
      <c r="CG1700" s="116"/>
    </row>
    <row r="1701" spans="1:85" ht="19.5" x14ac:dyDescent="0.4">
      <c r="BB1701" s="115"/>
      <c r="BC1701" s="115"/>
      <c r="BD1701" s="115"/>
      <c r="BE1701" s="115"/>
      <c r="BF1701" s="115"/>
      <c r="BG1701" s="115"/>
      <c r="BH1701" s="122"/>
      <c r="BI1701" s="122"/>
      <c r="BJ1701" s="122"/>
      <c r="BK1701" s="115"/>
      <c r="BL1701" s="115"/>
      <c r="BM1701" s="115"/>
      <c r="BN1701" s="115"/>
      <c r="BO1701" s="115"/>
      <c r="BP1701" s="115"/>
      <c r="BQ1701" s="115"/>
      <c r="BR1701" s="115"/>
      <c r="BS1701" s="115"/>
      <c r="BT1701" s="115"/>
      <c r="BU1701" s="115"/>
      <c r="BV1701" s="115"/>
      <c r="BW1701" s="115"/>
      <c r="BX1701" s="115"/>
      <c r="BY1701" s="17"/>
      <c r="BZ1701" s="13"/>
      <c r="CD1701" s="117"/>
      <c r="CE1701" s="116"/>
      <c r="CF1701" s="116"/>
      <c r="CG1701" s="116"/>
    </row>
    <row r="1702" spans="1:85" ht="19.5" x14ac:dyDescent="0.4">
      <c r="BY1702" s="26"/>
      <c r="BZ1702" s="13"/>
      <c r="CD1702" s="117"/>
      <c r="CE1702" s="116"/>
      <c r="CF1702" s="116"/>
      <c r="CG1702" s="116"/>
    </row>
    <row r="1703" spans="1:85" ht="19.5" x14ac:dyDescent="0.4">
      <c r="BG1703" s="115"/>
      <c r="BH1703" s="122"/>
      <c r="BI1703" s="122"/>
      <c r="BJ1703" s="122"/>
      <c r="BK1703" s="115"/>
      <c r="BL1703" s="115"/>
      <c r="BM1703" s="115"/>
      <c r="BN1703" s="115"/>
      <c r="BO1703" s="115"/>
      <c r="BP1703" s="115"/>
      <c r="BQ1703" s="115"/>
      <c r="BR1703" s="115"/>
      <c r="BS1703" s="115"/>
      <c r="BT1703" s="115"/>
      <c r="BU1703" s="115"/>
      <c r="BV1703" s="115"/>
      <c r="BW1703" s="115"/>
      <c r="BX1703" s="115"/>
      <c r="BY1703" s="17"/>
      <c r="BZ1703" s="13"/>
      <c r="CD1703" s="117"/>
      <c r="CE1703" s="116"/>
      <c r="CF1703" s="116"/>
      <c r="CG1703" s="116"/>
    </row>
    <row r="1704" spans="1:85" ht="19.5" x14ac:dyDescent="0.4">
      <c r="A1704" s="115"/>
      <c r="B1704" s="115"/>
      <c r="C1704" s="115"/>
      <c r="D1704" s="115"/>
      <c r="E1704" s="115"/>
      <c r="F1704" s="115"/>
      <c r="G1704" s="115"/>
      <c r="H1704" s="115"/>
      <c r="I1704" s="115"/>
      <c r="J1704" s="115"/>
      <c r="K1704" s="115"/>
      <c r="L1704" s="115"/>
      <c r="M1704" s="115"/>
      <c r="N1704" s="115"/>
      <c r="O1704" s="115"/>
      <c r="P1704" s="115"/>
      <c r="Q1704" s="115"/>
      <c r="R1704" s="115"/>
      <c r="S1704" s="115"/>
      <c r="T1704" s="115"/>
      <c r="U1704" s="115"/>
      <c r="V1704" s="115"/>
      <c r="W1704" s="115"/>
      <c r="X1704" s="115"/>
      <c r="Y1704" s="115"/>
      <c r="Z1704" s="115"/>
      <c r="AA1704" s="115"/>
      <c r="AB1704" s="115"/>
      <c r="AC1704" s="115"/>
      <c r="AD1704" s="115"/>
      <c r="AE1704" s="115"/>
      <c r="AF1704" s="115"/>
      <c r="AG1704" s="115"/>
      <c r="AH1704" s="115"/>
      <c r="AI1704" s="115"/>
      <c r="AJ1704" s="115"/>
      <c r="AK1704" s="115"/>
      <c r="AL1704" s="115"/>
      <c r="AM1704" s="115"/>
      <c r="AN1704" s="115"/>
      <c r="AO1704" s="115"/>
      <c r="AP1704" s="115"/>
      <c r="AQ1704" s="115"/>
      <c r="AR1704" s="115"/>
      <c r="AS1704" s="115"/>
      <c r="AT1704" s="115"/>
      <c r="AU1704" s="115"/>
      <c r="AV1704" s="115"/>
      <c r="AW1704" s="115"/>
      <c r="AX1704" s="115"/>
      <c r="AY1704" s="115"/>
      <c r="AZ1704" s="115"/>
      <c r="BA1704" s="115"/>
      <c r="BB1704" s="115"/>
      <c r="BC1704" s="115"/>
      <c r="BD1704" s="115"/>
      <c r="BE1704" s="115"/>
      <c r="BF1704" s="115"/>
      <c r="BG1704" s="115"/>
      <c r="BH1704" s="122"/>
      <c r="BI1704" s="122"/>
      <c r="BJ1704" s="122"/>
      <c r="BK1704" s="115"/>
      <c r="BL1704" s="115"/>
      <c r="BM1704" s="115"/>
      <c r="BN1704" s="115"/>
      <c r="BO1704" s="115"/>
      <c r="BP1704" s="115"/>
      <c r="BQ1704" s="115"/>
      <c r="BR1704" s="115"/>
      <c r="BS1704" s="115"/>
      <c r="BT1704" s="115"/>
      <c r="BU1704" s="115"/>
      <c r="BV1704" s="115"/>
      <c r="BW1704" s="115"/>
      <c r="BX1704" s="115"/>
      <c r="BY1704" s="26"/>
      <c r="BZ1704" s="13"/>
      <c r="CD1704" s="117"/>
      <c r="CE1704" s="116"/>
      <c r="CF1704" s="116"/>
      <c r="CG1704" s="116"/>
    </row>
    <row r="1705" spans="1:85" ht="19.5" x14ac:dyDescent="0.4">
      <c r="A1705" s="115"/>
      <c r="B1705" s="115"/>
      <c r="C1705" s="115"/>
      <c r="D1705" s="115"/>
      <c r="E1705" s="115"/>
      <c r="F1705" s="115"/>
      <c r="G1705" s="115"/>
      <c r="H1705" s="115"/>
      <c r="I1705" s="115"/>
      <c r="J1705" s="115"/>
      <c r="K1705" s="115"/>
      <c r="L1705" s="115"/>
      <c r="M1705" s="115"/>
      <c r="N1705" s="115"/>
      <c r="O1705" s="115"/>
      <c r="P1705" s="115"/>
      <c r="Q1705" s="115"/>
      <c r="R1705" s="115"/>
      <c r="S1705" s="115"/>
      <c r="T1705" s="115"/>
      <c r="U1705" s="115"/>
      <c r="V1705" s="115"/>
      <c r="W1705" s="115"/>
      <c r="X1705" s="115"/>
      <c r="Y1705" s="115"/>
      <c r="Z1705" s="115"/>
      <c r="AA1705" s="115"/>
      <c r="AB1705" s="115"/>
      <c r="AC1705" s="115"/>
      <c r="AD1705" s="115"/>
      <c r="AE1705" s="115"/>
      <c r="AF1705" s="115"/>
      <c r="AG1705" s="115"/>
      <c r="AH1705" s="115"/>
      <c r="AI1705" s="115"/>
      <c r="AJ1705" s="115"/>
      <c r="AK1705" s="115"/>
      <c r="AL1705" s="115"/>
      <c r="AM1705" s="115"/>
      <c r="AN1705" s="115"/>
      <c r="AO1705" s="115"/>
      <c r="AP1705" s="115"/>
      <c r="AQ1705" s="115"/>
      <c r="AR1705" s="115"/>
      <c r="AS1705" s="115"/>
      <c r="AT1705" s="115"/>
      <c r="AU1705" s="115"/>
      <c r="AV1705" s="115"/>
      <c r="AW1705" s="115"/>
      <c r="AX1705" s="115"/>
      <c r="AY1705" s="115"/>
      <c r="AZ1705" s="115"/>
      <c r="BA1705" s="115"/>
      <c r="BB1705" s="115"/>
      <c r="BC1705" s="115"/>
      <c r="BD1705" s="115"/>
      <c r="BE1705" s="115"/>
      <c r="BF1705" s="115"/>
      <c r="BG1705" s="115"/>
      <c r="BH1705" s="122"/>
      <c r="BI1705" s="122"/>
      <c r="BJ1705" s="122"/>
      <c r="BK1705" s="115"/>
      <c r="BL1705" s="115"/>
      <c r="BM1705" s="115"/>
      <c r="BN1705" s="115"/>
      <c r="BO1705" s="115"/>
      <c r="BP1705" s="115"/>
      <c r="BQ1705" s="115"/>
      <c r="BR1705" s="115"/>
      <c r="BS1705" s="115"/>
      <c r="BT1705" s="115"/>
      <c r="BU1705" s="115"/>
      <c r="BV1705" s="115"/>
      <c r="BW1705" s="115"/>
      <c r="BX1705" s="115"/>
      <c r="BY1705" s="26"/>
      <c r="BZ1705" s="13"/>
      <c r="CD1705" s="117"/>
      <c r="CE1705" s="116"/>
      <c r="CF1705" s="116"/>
      <c r="CG1705" s="116"/>
    </row>
    <row r="1706" spans="1:85" ht="19.5" x14ac:dyDescent="0.4">
      <c r="A1706" s="115"/>
      <c r="B1706" s="115"/>
      <c r="C1706" s="115"/>
      <c r="D1706" s="115"/>
      <c r="E1706" s="115"/>
      <c r="F1706" s="115"/>
      <c r="G1706" s="115"/>
      <c r="H1706" s="115"/>
      <c r="I1706" s="115"/>
      <c r="J1706" s="115"/>
      <c r="K1706" s="115"/>
      <c r="L1706" s="115"/>
      <c r="M1706" s="115"/>
      <c r="N1706" s="115"/>
      <c r="O1706" s="115"/>
      <c r="P1706" s="115"/>
      <c r="Q1706" s="115"/>
      <c r="R1706" s="115"/>
      <c r="S1706" s="115"/>
      <c r="T1706" s="115"/>
      <c r="U1706" s="115"/>
      <c r="V1706" s="115"/>
      <c r="W1706" s="115"/>
      <c r="X1706" s="115"/>
      <c r="Y1706" s="115"/>
      <c r="Z1706" s="115"/>
      <c r="AA1706" s="115"/>
      <c r="AB1706" s="115"/>
      <c r="AC1706" s="115"/>
      <c r="AD1706" s="115"/>
      <c r="AE1706" s="115"/>
      <c r="AF1706" s="115"/>
      <c r="AG1706" s="115"/>
      <c r="AH1706" s="115"/>
      <c r="AI1706" s="115"/>
      <c r="AJ1706" s="115"/>
      <c r="AK1706" s="115"/>
      <c r="AL1706" s="115"/>
      <c r="AM1706" s="115"/>
      <c r="AN1706" s="115"/>
      <c r="AO1706" s="115"/>
      <c r="AP1706" s="115"/>
      <c r="AQ1706" s="115"/>
      <c r="AR1706" s="115"/>
      <c r="AS1706" s="115"/>
      <c r="AT1706" s="115"/>
      <c r="AU1706" s="115"/>
      <c r="AV1706" s="115"/>
      <c r="AW1706" s="115"/>
      <c r="AX1706" s="115"/>
      <c r="AY1706" s="115"/>
      <c r="AZ1706" s="115"/>
      <c r="BA1706" s="115"/>
      <c r="BB1706" s="115"/>
      <c r="BC1706" s="115"/>
      <c r="BD1706" s="115"/>
      <c r="BE1706" s="115"/>
      <c r="BF1706" s="115"/>
      <c r="BG1706" s="115"/>
      <c r="BH1706" s="122"/>
      <c r="BI1706" s="122"/>
      <c r="BJ1706" s="122"/>
      <c r="BK1706" s="115"/>
      <c r="BL1706" s="115"/>
      <c r="BM1706" s="115"/>
      <c r="BN1706" s="115"/>
      <c r="BO1706" s="115"/>
      <c r="BP1706" s="115"/>
      <c r="BQ1706" s="115"/>
      <c r="BR1706" s="115"/>
      <c r="BS1706" s="115"/>
      <c r="BT1706" s="115"/>
      <c r="BU1706" s="115"/>
      <c r="BV1706" s="115"/>
      <c r="BW1706" s="115"/>
      <c r="BX1706" s="115"/>
      <c r="BY1706" s="26"/>
      <c r="BZ1706" s="13"/>
      <c r="CD1706" s="117"/>
      <c r="CE1706" s="116"/>
      <c r="CF1706" s="116"/>
      <c r="CG1706" s="116"/>
    </row>
    <row r="1707" spans="1:85" ht="19.5" x14ac:dyDescent="0.4">
      <c r="A1707" s="115"/>
      <c r="B1707" s="115"/>
      <c r="C1707" s="115"/>
      <c r="D1707" s="115"/>
      <c r="E1707" s="115"/>
      <c r="F1707" s="115"/>
      <c r="G1707" s="115"/>
      <c r="H1707" s="115"/>
      <c r="I1707" s="115"/>
      <c r="J1707" s="115"/>
      <c r="K1707" s="115"/>
      <c r="L1707" s="115"/>
      <c r="M1707" s="115"/>
      <c r="N1707" s="115"/>
      <c r="O1707" s="115"/>
      <c r="P1707" s="115"/>
      <c r="Q1707" s="115"/>
      <c r="R1707" s="115"/>
      <c r="S1707" s="115"/>
      <c r="T1707" s="115"/>
      <c r="U1707" s="115"/>
      <c r="V1707" s="115"/>
      <c r="W1707" s="115"/>
      <c r="X1707" s="115"/>
      <c r="Y1707" s="115"/>
      <c r="Z1707" s="115"/>
      <c r="AA1707" s="115"/>
      <c r="AB1707" s="115"/>
      <c r="AC1707" s="115"/>
      <c r="AD1707" s="115"/>
      <c r="AE1707" s="115"/>
      <c r="AF1707" s="115"/>
      <c r="AG1707" s="115"/>
      <c r="AH1707" s="115"/>
      <c r="AI1707" s="115"/>
      <c r="AJ1707" s="115"/>
      <c r="AK1707" s="115"/>
      <c r="AL1707" s="115"/>
      <c r="AM1707" s="115"/>
      <c r="AN1707" s="115"/>
      <c r="AO1707" s="115"/>
      <c r="AP1707" s="115"/>
      <c r="AQ1707" s="115"/>
      <c r="AR1707" s="115"/>
      <c r="AS1707" s="115"/>
      <c r="AT1707" s="115"/>
      <c r="AU1707" s="115"/>
      <c r="AV1707" s="115"/>
      <c r="AW1707" s="115"/>
      <c r="AX1707" s="115"/>
      <c r="AY1707" s="115"/>
      <c r="AZ1707" s="115"/>
      <c r="BA1707" s="115"/>
      <c r="BB1707" s="115"/>
      <c r="BC1707" s="115"/>
      <c r="BD1707" s="115"/>
      <c r="BE1707" s="115"/>
      <c r="BF1707" s="115"/>
      <c r="BG1707" s="115"/>
      <c r="BH1707" s="122"/>
      <c r="BI1707" s="122"/>
      <c r="BJ1707" s="122"/>
      <c r="BK1707" s="115"/>
      <c r="BL1707" s="115"/>
      <c r="BM1707" s="115"/>
      <c r="BN1707" s="115"/>
      <c r="BO1707" s="115"/>
      <c r="BP1707" s="115"/>
      <c r="BQ1707" s="115"/>
      <c r="BR1707" s="115"/>
      <c r="BS1707" s="115"/>
      <c r="BT1707" s="115"/>
      <c r="BU1707" s="115"/>
      <c r="BV1707" s="115"/>
      <c r="BW1707" s="115"/>
      <c r="BX1707" s="115"/>
      <c r="BY1707" s="26"/>
      <c r="BZ1707" s="13"/>
      <c r="CD1707" s="117"/>
      <c r="CE1707" s="116"/>
      <c r="CF1707" s="116"/>
      <c r="CG1707" s="116"/>
    </row>
    <row r="1708" spans="1:85" ht="19.5" x14ac:dyDescent="0.4">
      <c r="A1708" s="115"/>
      <c r="B1708" s="115"/>
      <c r="C1708" s="115"/>
      <c r="D1708" s="115"/>
      <c r="E1708" s="115"/>
      <c r="F1708" s="115"/>
      <c r="G1708" s="115"/>
      <c r="H1708" s="115"/>
      <c r="I1708" s="115"/>
      <c r="J1708" s="115"/>
      <c r="K1708" s="115"/>
      <c r="L1708" s="115"/>
      <c r="M1708" s="115"/>
      <c r="N1708" s="115"/>
      <c r="O1708" s="115"/>
      <c r="P1708" s="115"/>
      <c r="Q1708" s="115"/>
      <c r="R1708" s="115"/>
      <c r="S1708" s="115"/>
      <c r="T1708" s="115"/>
      <c r="U1708" s="115"/>
      <c r="V1708" s="115"/>
      <c r="W1708" s="115"/>
      <c r="X1708" s="115"/>
      <c r="Y1708" s="115"/>
      <c r="Z1708" s="115"/>
      <c r="AA1708" s="115"/>
      <c r="AB1708" s="115"/>
      <c r="AC1708" s="115"/>
      <c r="AD1708" s="115"/>
      <c r="AE1708" s="115"/>
      <c r="AF1708" s="115"/>
      <c r="AG1708" s="115"/>
      <c r="AH1708" s="115"/>
      <c r="AI1708" s="115"/>
      <c r="AJ1708" s="115"/>
      <c r="AK1708" s="115"/>
      <c r="AL1708" s="115"/>
      <c r="AM1708" s="115"/>
      <c r="AN1708" s="115"/>
      <c r="AO1708" s="115"/>
      <c r="AP1708" s="115"/>
      <c r="AQ1708" s="115"/>
      <c r="AR1708" s="115"/>
      <c r="AS1708" s="115"/>
      <c r="AT1708" s="115"/>
      <c r="AU1708" s="115"/>
      <c r="AV1708" s="115"/>
      <c r="AW1708" s="115"/>
      <c r="AX1708" s="115"/>
      <c r="AY1708" s="115"/>
      <c r="AZ1708" s="115"/>
      <c r="BA1708" s="115"/>
      <c r="BB1708" s="115"/>
      <c r="BC1708" s="115"/>
      <c r="BD1708" s="115"/>
      <c r="BE1708" s="115"/>
      <c r="BF1708" s="115"/>
      <c r="BG1708" s="115"/>
      <c r="BH1708" s="122"/>
      <c r="BI1708" s="122"/>
      <c r="BJ1708" s="122"/>
      <c r="BK1708" s="115"/>
      <c r="BL1708" s="115"/>
      <c r="BM1708" s="115"/>
      <c r="BN1708" s="115"/>
      <c r="BO1708" s="115"/>
      <c r="BP1708" s="115"/>
      <c r="BQ1708" s="115"/>
      <c r="BR1708" s="115"/>
      <c r="BS1708" s="115"/>
      <c r="BT1708" s="115"/>
      <c r="BU1708" s="115"/>
      <c r="BV1708" s="115"/>
      <c r="BW1708" s="115"/>
      <c r="BX1708" s="115"/>
      <c r="BY1708" s="17"/>
      <c r="BZ1708" s="13"/>
      <c r="CD1708" s="117"/>
      <c r="CE1708" s="116"/>
      <c r="CF1708" s="116"/>
      <c r="CG1708" s="116"/>
    </row>
    <row r="1709" spans="1:85" ht="19.5" x14ac:dyDescent="0.4">
      <c r="A1709" s="115"/>
      <c r="B1709" s="115"/>
      <c r="C1709" s="115"/>
      <c r="D1709" s="115"/>
      <c r="E1709" s="115"/>
      <c r="F1709" s="115"/>
      <c r="G1709" s="115"/>
      <c r="H1709" s="115"/>
      <c r="I1709" s="115"/>
      <c r="J1709" s="115"/>
      <c r="K1709" s="115"/>
      <c r="L1709" s="115"/>
      <c r="M1709" s="115"/>
      <c r="N1709" s="115"/>
      <c r="O1709" s="115"/>
      <c r="P1709" s="115"/>
      <c r="Q1709" s="115"/>
      <c r="R1709" s="115"/>
      <c r="S1709" s="115"/>
      <c r="T1709" s="115"/>
      <c r="U1709" s="115"/>
      <c r="V1709" s="115"/>
      <c r="W1709" s="115"/>
      <c r="X1709" s="115"/>
      <c r="Y1709" s="115"/>
      <c r="Z1709" s="115"/>
      <c r="AA1709" s="115"/>
      <c r="AB1709" s="115"/>
      <c r="AC1709" s="115"/>
      <c r="AD1709" s="115"/>
      <c r="AE1709" s="115"/>
      <c r="AF1709" s="115"/>
      <c r="AG1709" s="115"/>
      <c r="AH1709" s="115"/>
      <c r="AI1709" s="115"/>
      <c r="AJ1709" s="115"/>
      <c r="AK1709" s="115"/>
      <c r="AL1709" s="115"/>
      <c r="AM1709" s="115"/>
      <c r="AN1709" s="115"/>
      <c r="AO1709" s="115"/>
      <c r="AP1709" s="115"/>
      <c r="AQ1709" s="115"/>
      <c r="AR1709" s="115"/>
      <c r="AS1709" s="115"/>
      <c r="AT1709" s="115"/>
      <c r="AU1709" s="115"/>
      <c r="AV1709" s="115"/>
      <c r="AW1709" s="115"/>
      <c r="AX1709" s="115"/>
      <c r="AY1709" s="115"/>
      <c r="AZ1709" s="115"/>
      <c r="BA1709" s="115"/>
      <c r="BB1709" s="115"/>
      <c r="BC1709" s="115"/>
      <c r="BD1709" s="115"/>
      <c r="BE1709" s="115"/>
      <c r="BF1709" s="115"/>
      <c r="BG1709" s="115"/>
      <c r="BH1709" s="122"/>
      <c r="BI1709" s="122"/>
      <c r="BJ1709" s="122"/>
      <c r="BK1709" s="115"/>
      <c r="BL1709" s="115"/>
      <c r="BM1709" s="115"/>
      <c r="BN1709" s="115"/>
      <c r="BO1709" s="115"/>
      <c r="BP1709" s="115"/>
      <c r="BQ1709" s="115"/>
      <c r="BR1709" s="115"/>
      <c r="BS1709" s="115"/>
      <c r="BT1709" s="115"/>
      <c r="BU1709" s="115"/>
      <c r="BV1709" s="115"/>
      <c r="BW1709" s="115"/>
      <c r="BX1709" s="115"/>
      <c r="BY1709" s="26"/>
      <c r="BZ1709" s="13"/>
      <c r="CD1709" s="117"/>
      <c r="CE1709" s="116"/>
      <c r="CF1709" s="116"/>
      <c r="CG1709" s="116"/>
    </row>
    <row r="1710" spans="1:85" ht="19.5" x14ac:dyDescent="0.4">
      <c r="A1710" s="115"/>
      <c r="B1710" s="115"/>
      <c r="C1710" s="115"/>
      <c r="D1710" s="115"/>
      <c r="E1710" s="115"/>
      <c r="F1710" s="115"/>
      <c r="G1710" s="115"/>
      <c r="H1710" s="115"/>
      <c r="I1710" s="115"/>
      <c r="J1710" s="115"/>
      <c r="K1710" s="115"/>
      <c r="L1710" s="115"/>
      <c r="M1710" s="115"/>
      <c r="N1710" s="115"/>
      <c r="O1710" s="115"/>
      <c r="P1710" s="115"/>
      <c r="Q1710" s="115"/>
      <c r="R1710" s="115"/>
      <c r="S1710" s="115"/>
      <c r="T1710" s="115"/>
      <c r="U1710" s="115"/>
      <c r="V1710" s="115"/>
      <c r="W1710" s="115"/>
      <c r="X1710" s="115"/>
      <c r="Y1710" s="115"/>
      <c r="Z1710" s="115"/>
      <c r="AA1710" s="115"/>
      <c r="AB1710" s="115"/>
      <c r="AC1710" s="115"/>
      <c r="AD1710" s="115"/>
      <c r="AE1710" s="115"/>
      <c r="AF1710" s="115"/>
      <c r="AG1710" s="115"/>
      <c r="AH1710" s="115"/>
      <c r="AI1710" s="115"/>
      <c r="AJ1710" s="115"/>
      <c r="AK1710" s="115"/>
      <c r="AL1710" s="115"/>
      <c r="AM1710" s="115"/>
      <c r="AN1710" s="115"/>
      <c r="AO1710" s="115"/>
      <c r="AP1710" s="115"/>
      <c r="AQ1710" s="115"/>
      <c r="AR1710" s="115"/>
      <c r="AS1710" s="115"/>
      <c r="AT1710" s="115"/>
      <c r="AU1710" s="115"/>
      <c r="AV1710" s="115"/>
      <c r="AW1710" s="115"/>
      <c r="AX1710" s="115"/>
      <c r="AY1710" s="115"/>
      <c r="AZ1710" s="115"/>
      <c r="BA1710" s="115"/>
      <c r="BB1710" s="115"/>
      <c r="BC1710" s="115"/>
      <c r="BD1710" s="115"/>
      <c r="BE1710" s="115"/>
      <c r="BF1710" s="115"/>
      <c r="BG1710" s="115"/>
      <c r="BH1710" s="122"/>
      <c r="BI1710" s="122"/>
      <c r="BJ1710" s="122"/>
      <c r="BK1710" s="115"/>
      <c r="BL1710" s="115"/>
      <c r="BM1710" s="115"/>
      <c r="BN1710" s="115"/>
      <c r="BO1710" s="115"/>
      <c r="BP1710" s="115"/>
      <c r="BQ1710" s="115"/>
      <c r="BR1710" s="115"/>
      <c r="BS1710" s="115"/>
      <c r="BT1710" s="115"/>
      <c r="BU1710" s="115"/>
      <c r="BV1710" s="115"/>
      <c r="BW1710" s="115"/>
      <c r="BX1710" s="115"/>
      <c r="BY1710" s="26"/>
      <c r="BZ1710" s="15"/>
      <c r="CD1710" s="117"/>
      <c r="CE1710" s="116"/>
      <c r="CF1710" s="116"/>
      <c r="CG1710" s="116"/>
    </row>
    <row r="1711" spans="1:85" ht="19.5" x14ac:dyDescent="0.4">
      <c r="BY1711" s="26"/>
      <c r="BZ1711" s="15"/>
      <c r="CD1711" s="117"/>
      <c r="CE1711" s="116"/>
      <c r="CF1711" s="116"/>
      <c r="CG1711" s="116"/>
    </row>
    <row r="1712" spans="1:85" ht="19.5" x14ac:dyDescent="0.4">
      <c r="BF1712" s="115"/>
      <c r="BG1712" s="115"/>
      <c r="BH1712" s="122"/>
      <c r="BI1712" s="122"/>
      <c r="BJ1712" s="122"/>
      <c r="BK1712" s="115"/>
      <c r="BL1712" s="115"/>
      <c r="BM1712" s="115"/>
      <c r="BN1712" s="115"/>
      <c r="BO1712" s="115"/>
      <c r="BP1712" s="115"/>
      <c r="BQ1712" s="115"/>
      <c r="BR1712" s="115"/>
      <c r="BS1712" s="115"/>
      <c r="BT1712" s="115"/>
      <c r="BU1712" s="115"/>
      <c r="BV1712" s="115"/>
      <c r="BW1712" s="115"/>
      <c r="BX1712" s="115"/>
      <c r="BY1712" s="26"/>
      <c r="BZ1712" s="13"/>
      <c r="CD1712" s="117"/>
      <c r="CE1712" s="116"/>
      <c r="CF1712" s="116"/>
      <c r="CG1712" s="116"/>
    </row>
    <row r="1713" spans="1:85" ht="19.5" x14ac:dyDescent="0.4">
      <c r="BD1713" s="115"/>
      <c r="BE1713" s="115"/>
      <c r="BF1713" s="115"/>
      <c r="BG1713" s="115"/>
      <c r="BH1713" s="122"/>
      <c r="BI1713" s="122"/>
      <c r="BJ1713" s="122"/>
      <c r="BK1713" s="115"/>
      <c r="BL1713" s="115"/>
      <c r="BM1713" s="115"/>
      <c r="BN1713" s="115"/>
      <c r="BO1713" s="115"/>
      <c r="BP1713" s="115"/>
      <c r="BQ1713" s="115"/>
      <c r="BR1713" s="115"/>
      <c r="BS1713" s="115"/>
      <c r="BT1713" s="115"/>
      <c r="BU1713" s="115"/>
      <c r="BV1713" s="115"/>
      <c r="BW1713" s="115"/>
      <c r="BX1713" s="115"/>
      <c r="BY1713" s="26"/>
      <c r="BZ1713" s="15"/>
      <c r="CD1713" s="117"/>
      <c r="CE1713" s="116"/>
      <c r="CF1713" s="116"/>
      <c r="CG1713" s="116"/>
    </row>
    <row r="1714" spans="1:85" ht="19.5" x14ac:dyDescent="0.4">
      <c r="BD1714" s="115"/>
      <c r="BE1714" s="115"/>
      <c r="BF1714" s="115"/>
      <c r="BG1714" s="115"/>
      <c r="BH1714" s="122"/>
      <c r="BI1714" s="122"/>
      <c r="BJ1714" s="122"/>
      <c r="BK1714" s="115"/>
      <c r="BL1714" s="115"/>
      <c r="BM1714" s="115"/>
      <c r="BN1714" s="115"/>
      <c r="BO1714" s="115"/>
      <c r="BP1714" s="115"/>
      <c r="BQ1714" s="115"/>
      <c r="BR1714" s="115"/>
      <c r="BS1714" s="115"/>
      <c r="BT1714" s="115"/>
      <c r="BU1714" s="115"/>
      <c r="BV1714" s="115"/>
      <c r="BW1714" s="115"/>
      <c r="BX1714" s="115"/>
      <c r="BY1714" s="26"/>
      <c r="BZ1714" s="15"/>
      <c r="CD1714" s="117"/>
      <c r="CE1714" s="116"/>
      <c r="CF1714" s="116"/>
      <c r="CG1714" s="116"/>
    </row>
    <row r="1715" spans="1:85" ht="19.5" x14ac:dyDescent="0.4">
      <c r="BD1715" s="115"/>
      <c r="BE1715" s="115"/>
      <c r="BF1715" s="115"/>
      <c r="BG1715" s="115"/>
      <c r="BH1715" s="122"/>
      <c r="BI1715" s="122"/>
      <c r="BJ1715" s="122"/>
      <c r="BK1715" s="115"/>
      <c r="BL1715" s="115"/>
      <c r="BM1715" s="115"/>
      <c r="BN1715" s="115"/>
      <c r="BO1715" s="115"/>
      <c r="BP1715" s="115"/>
      <c r="BQ1715" s="115"/>
      <c r="BR1715" s="115"/>
      <c r="BS1715" s="115"/>
      <c r="BT1715" s="115"/>
      <c r="BU1715" s="115"/>
      <c r="BV1715" s="115"/>
      <c r="BW1715" s="115"/>
      <c r="BX1715" s="115"/>
      <c r="BY1715" s="17"/>
      <c r="BZ1715" s="15"/>
      <c r="CD1715" s="117"/>
      <c r="CE1715" s="116"/>
      <c r="CF1715" s="116"/>
      <c r="CG1715" s="116"/>
    </row>
    <row r="1716" spans="1:85" ht="19.5" x14ac:dyDescent="0.4">
      <c r="BC1716" s="115"/>
      <c r="BD1716" s="115"/>
      <c r="BE1716" s="115"/>
      <c r="BF1716" s="115"/>
      <c r="BG1716" s="115"/>
      <c r="BH1716" s="122"/>
      <c r="BI1716" s="122"/>
      <c r="BJ1716" s="122"/>
      <c r="BK1716" s="115"/>
      <c r="BL1716" s="115"/>
      <c r="BM1716" s="115"/>
      <c r="BN1716" s="115"/>
      <c r="BO1716" s="115"/>
      <c r="BP1716" s="115"/>
      <c r="BQ1716" s="115"/>
      <c r="BR1716" s="115"/>
      <c r="BS1716" s="115"/>
      <c r="BT1716" s="115"/>
      <c r="BU1716" s="115"/>
      <c r="BV1716" s="115"/>
      <c r="BW1716" s="115"/>
      <c r="BX1716" s="115"/>
      <c r="BY1716" s="26"/>
      <c r="BZ1716" s="15"/>
      <c r="CD1716" s="117"/>
      <c r="CE1716" s="116"/>
      <c r="CF1716" s="116"/>
      <c r="CG1716" s="116"/>
    </row>
    <row r="1717" spans="1:85" ht="19.5" x14ac:dyDescent="0.4">
      <c r="BC1717" s="115"/>
      <c r="BD1717" s="115"/>
      <c r="BE1717" s="115"/>
      <c r="BF1717" s="115"/>
      <c r="BG1717" s="115"/>
      <c r="BH1717" s="122"/>
      <c r="BI1717" s="122"/>
      <c r="BJ1717" s="122"/>
      <c r="BK1717" s="115"/>
      <c r="BL1717" s="115"/>
      <c r="BM1717" s="115"/>
      <c r="BN1717" s="115"/>
      <c r="BO1717" s="115"/>
      <c r="BP1717" s="115"/>
      <c r="BQ1717" s="115"/>
      <c r="BR1717" s="115"/>
      <c r="BS1717" s="115"/>
      <c r="BT1717" s="115"/>
      <c r="BU1717" s="115"/>
      <c r="BV1717" s="115"/>
      <c r="BW1717" s="115"/>
      <c r="BX1717" s="115"/>
      <c r="BY1717" s="26"/>
      <c r="BZ1717" s="15"/>
      <c r="CD1717" s="117"/>
      <c r="CE1717" s="116"/>
      <c r="CF1717" s="116"/>
      <c r="CG1717" s="116"/>
    </row>
    <row r="1718" spans="1:85" ht="19.5" x14ac:dyDescent="0.4">
      <c r="BC1718" s="115"/>
      <c r="BD1718" s="115"/>
      <c r="BE1718" s="115"/>
      <c r="BF1718" s="115"/>
      <c r="BG1718" s="115"/>
      <c r="BH1718" s="122"/>
      <c r="BI1718" s="122"/>
      <c r="BJ1718" s="122"/>
      <c r="BK1718" s="115"/>
      <c r="BL1718" s="115"/>
      <c r="BM1718" s="115"/>
      <c r="BN1718" s="115"/>
      <c r="BO1718" s="115"/>
      <c r="BP1718" s="115"/>
      <c r="BQ1718" s="115"/>
      <c r="BR1718" s="115"/>
      <c r="BS1718" s="115"/>
      <c r="BT1718" s="115"/>
      <c r="BU1718" s="115"/>
      <c r="BV1718" s="115"/>
      <c r="BW1718" s="115"/>
      <c r="BX1718" s="115"/>
      <c r="BY1718" s="26"/>
      <c r="BZ1718" s="105"/>
      <c r="CD1718" s="117"/>
      <c r="CE1718" s="116"/>
      <c r="CF1718" s="116"/>
      <c r="CG1718" s="116"/>
    </row>
    <row r="1719" spans="1:85" ht="19.5" x14ac:dyDescent="0.4">
      <c r="BC1719" s="115"/>
      <c r="BD1719" s="115"/>
      <c r="BE1719" s="115"/>
      <c r="BF1719" s="115"/>
      <c r="BG1719" s="115"/>
      <c r="BH1719" s="122"/>
      <c r="BI1719" s="122"/>
      <c r="BJ1719" s="122"/>
      <c r="BK1719" s="115"/>
      <c r="BL1719" s="115"/>
      <c r="BM1719" s="115"/>
      <c r="BN1719" s="115"/>
      <c r="BO1719" s="115"/>
      <c r="BP1719" s="115"/>
      <c r="BQ1719" s="115"/>
      <c r="BR1719" s="115"/>
      <c r="BS1719" s="115"/>
      <c r="BT1719" s="115"/>
      <c r="BU1719" s="115"/>
      <c r="BV1719" s="115"/>
      <c r="BW1719" s="115"/>
      <c r="BX1719" s="115"/>
      <c r="BY1719" s="17"/>
      <c r="BZ1719" s="15"/>
      <c r="CD1719" s="117"/>
      <c r="CE1719" s="116"/>
      <c r="CF1719" s="116"/>
      <c r="CG1719" s="116"/>
    </row>
    <row r="1720" spans="1:85" ht="19.5" x14ac:dyDescent="0.4">
      <c r="BC1720" s="115"/>
      <c r="BD1720" s="115"/>
      <c r="BE1720" s="115"/>
      <c r="BF1720" s="115"/>
      <c r="BG1720" s="115"/>
      <c r="BH1720" s="122"/>
      <c r="BI1720" s="122"/>
      <c r="BJ1720" s="122"/>
      <c r="BK1720" s="115"/>
      <c r="BL1720" s="115"/>
      <c r="BM1720" s="115"/>
      <c r="BN1720" s="115"/>
      <c r="BO1720" s="115"/>
      <c r="BP1720" s="115"/>
      <c r="BQ1720" s="115"/>
      <c r="BR1720" s="115"/>
      <c r="BS1720" s="115"/>
      <c r="BT1720" s="115"/>
      <c r="BU1720" s="115"/>
      <c r="BV1720" s="115"/>
      <c r="BW1720" s="115"/>
      <c r="BX1720" s="115"/>
      <c r="BY1720" s="26"/>
      <c r="BZ1720" s="15"/>
      <c r="CD1720" s="117"/>
      <c r="CE1720" s="116"/>
      <c r="CF1720" s="116"/>
      <c r="CG1720" s="116"/>
    </row>
    <row r="1721" spans="1:85" ht="19.5" x14ac:dyDescent="0.4">
      <c r="BC1721" s="115"/>
      <c r="BD1721" s="115"/>
      <c r="BE1721" s="115"/>
      <c r="BF1721" s="115"/>
      <c r="BG1721" s="115"/>
      <c r="BH1721" s="122"/>
      <c r="BI1721" s="122"/>
      <c r="BJ1721" s="122"/>
      <c r="BK1721" s="115"/>
      <c r="BL1721" s="115"/>
      <c r="BM1721" s="115"/>
      <c r="BN1721" s="115"/>
      <c r="BO1721" s="115"/>
      <c r="BP1721" s="115"/>
      <c r="BQ1721" s="115"/>
      <c r="BR1721" s="115"/>
      <c r="BS1721" s="115"/>
      <c r="BT1721" s="115"/>
      <c r="BU1721" s="115"/>
      <c r="BV1721" s="115"/>
      <c r="BW1721" s="115"/>
      <c r="BX1721" s="115"/>
      <c r="BY1721" s="17"/>
      <c r="BZ1721" s="15"/>
      <c r="CD1721" s="117"/>
      <c r="CE1721" s="116"/>
      <c r="CF1721" s="116"/>
      <c r="CG1721" s="116"/>
    </row>
    <row r="1722" spans="1:85" ht="19.5" x14ac:dyDescent="0.4">
      <c r="E1722" s="115"/>
      <c r="F1722" s="115"/>
      <c r="G1722" s="115"/>
      <c r="H1722" s="115"/>
      <c r="I1722" s="115"/>
      <c r="J1722" s="115"/>
      <c r="K1722" s="115"/>
      <c r="L1722" s="115"/>
      <c r="M1722" s="115"/>
      <c r="N1722" s="115"/>
      <c r="O1722" s="115"/>
      <c r="P1722" s="115"/>
      <c r="Q1722" s="115"/>
      <c r="R1722" s="115"/>
      <c r="S1722" s="115"/>
      <c r="T1722" s="115"/>
      <c r="U1722" s="115"/>
      <c r="V1722" s="115"/>
      <c r="W1722" s="115"/>
      <c r="X1722" s="115"/>
      <c r="Y1722" s="115"/>
      <c r="Z1722" s="115"/>
      <c r="AA1722" s="115"/>
      <c r="AB1722" s="115"/>
      <c r="AC1722" s="115"/>
      <c r="AD1722" s="115"/>
      <c r="AE1722" s="115"/>
      <c r="AF1722" s="115"/>
      <c r="AG1722" s="115"/>
      <c r="AH1722" s="115"/>
      <c r="AI1722" s="115"/>
      <c r="AJ1722" s="115"/>
      <c r="AK1722" s="115"/>
      <c r="AL1722" s="115"/>
      <c r="AM1722" s="115"/>
      <c r="AN1722" s="115"/>
      <c r="AO1722" s="115"/>
      <c r="AP1722" s="115"/>
      <c r="AQ1722" s="115"/>
      <c r="AR1722" s="115"/>
      <c r="AS1722" s="115"/>
      <c r="AT1722" s="115"/>
      <c r="AU1722" s="115"/>
      <c r="AV1722" s="115"/>
      <c r="AW1722" s="115"/>
      <c r="AX1722" s="115"/>
      <c r="AY1722" s="115"/>
      <c r="AZ1722" s="115"/>
      <c r="BA1722" s="115"/>
      <c r="BB1722" s="115"/>
      <c r="BC1722" s="115"/>
      <c r="BD1722" s="115"/>
      <c r="BE1722" s="115"/>
      <c r="BF1722" s="115"/>
      <c r="BG1722" s="115"/>
      <c r="BH1722" s="122"/>
      <c r="BI1722" s="122"/>
      <c r="BJ1722" s="122"/>
      <c r="BK1722" s="115"/>
      <c r="BL1722" s="115"/>
      <c r="BM1722" s="115"/>
      <c r="BN1722" s="115"/>
      <c r="BO1722" s="115"/>
      <c r="BP1722" s="115"/>
      <c r="BQ1722" s="115"/>
      <c r="BR1722" s="115"/>
      <c r="BS1722" s="115"/>
      <c r="BT1722" s="115"/>
      <c r="BU1722" s="115"/>
      <c r="BV1722" s="115"/>
      <c r="BW1722" s="115"/>
      <c r="BX1722" s="115"/>
      <c r="BY1722" s="26"/>
      <c r="BZ1722" s="15"/>
      <c r="CD1722" s="117"/>
      <c r="CE1722" s="116"/>
      <c r="CF1722" s="116"/>
      <c r="CG1722" s="116"/>
    </row>
    <row r="1723" spans="1:85" ht="19.5" x14ac:dyDescent="0.4">
      <c r="E1723" s="115"/>
      <c r="F1723" s="115"/>
      <c r="G1723" s="115"/>
      <c r="H1723" s="115"/>
      <c r="I1723" s="115"/>
      <c r="J1723" s="115"/>
      <c r="K1723" s="115"/>
      <c r="L1723" s="115"/>
      <c r="M1723" s="115"/>
      <c r="N1723" s="115"/>
      <c r="O1723" s="115"/>
      <c r="P1723" s="115"/>
      <c r="Q1723" s="115"/>
      <c r="R1723" s="115"/>
      <c r="S1723" s="115"/>
      <c r="T1723" s="115"/>
      <c r="U1723" s="115"/>
      <c r="V1723" s="115"/>
      <c r="W1723" s="115"/>
      <c r="X1723" s="115"/>
      <c r="Y1723" s="115"/>
      <c r="Z1723" s="115"/>
      <c r="AA1723" s="115"/>
      <c r="AB1723" s="115"/>
      <c r="AC1723" s="115"/>
      <c r="AD1723" s="115"/>
      <c r="AE1723" s="115"/>
      <c r="AF1723" s="115"/>
      <c r="AG1723" s="115"/>
      <c r="AH1723" s="115"/>
      <c r="AI1723" s="115"/>
      <c r="AJ1723" s="115"/>
      <c r="AK1723" s="115"/>
      <c r="AL1723" s="115"/>
      <c r="AM1723" s="115"/>
      <c r="AN1723" s="115"/>
      <c r="AO1723" s="115"/>
      <c r="AP1723" s="115"/>
      <c r="AQ1723" s="115"/>
      <c r="AR1723" s="115"/>
      <c r="AS1723" s="115"/>
      <c r="AT1723" s="115"/>
      <c r="AU1723" s="115"/>
      <c r="AV1723" s="115"/>
      <c r="AW1723" s="115"/>
      <c r="AX1723" s="115"/>
      <c r="AY1723" s="115"/>
      <c r="AZ1723" s="115"/>
      <c r="BA1723" s="115"/>
      <c r="BB1723" s="115"/>
      <c r="BC1723" s="115"/>
      <c r="BD1723" s="115"/>
      <c r="BE1723" s="115"/>
      <c r="BF1723" s="115"/>
      <c r="BG1723" s="115"/>
      <c r="BH1723" s="122"/>
      <c r="BI1723" s="122"/>
      <c r="BJ1723" s="122"/>
      <c r="BK1723" s="115"/>
      <c r="BL1723" s="115"/>
      <c r="BM1723" s="115"/>
      <c r="BN1723" s="115"/>
      <c r="BO1723" s="115"/>
      <c r="BP1723" s="115"/>
      <c r="BQ1723" s="115"/>
      <c r="BR1723" s="115"/>
      <c r="BS1723" s="115"/>
      <c r="BT1723" s="115"/>
      <c r="BU1723" s="115"/>
      <c r="BV1723" s="115"/>
      <c r="BW1723" s="115"/>
      <c r="BX1723" s="115"/>
      <c r="BY1723" s="17"/>
      <c r="BZ1723" s="15"/>
      <c r="CD1723" s="117"/>
      <c r="CE1723" s="116"/>
      <c r="CF1723" s="116"/>
      <c r="CG1723" s="116"/>
    </row>
    <row r="1724" spans="1:85" ht="19.5" x14ac:dyDescent="0.4">
      <c r="E1724" s="115"/>
      <c r="F1724" s="115"/>
      <c r="G1724" s="115"/>
      <c r="H1724" s="115"/>
      <c r="I1724" s="115"/>
      <c r="J1724" s="115"/>
      <c r="K1724" s="115"/>
      <c r="L1724" s="115"/>
      <c r="M1724" s="115"/>
      <c r="N1724" s="115"/>
      <c r="O1724" s="115"/>
      <c r="P1724" s="115"/>
      <c r="Q1724" s="115"/>
      <c r="R1724" s="115"/>
      <c r="S1724" s="115"/>
      <c r="T1724" s="115"/>
      <c r="U1724" s="115"/>
      <c r="V1724" s="115"/>
      <c r="W1724" s="115"/>
      <c r="X1724" s="115"/>
      <c r="Y1724" s="115"/>
      <c r="Z1724" s="115"/>
      <c r="AA1724" s="115"/>
      <c r="AB1724" s="115"/>
      <c r="AC1724" s="115"/>
      <c r="AD1724" s="115"/>
      <c r="AE1724" s="115"/>
      <c r="AF1724" s="115"/>
      <c r="AG1724" s="115"/>
      <c r="AH1724" s="115"/>
      <c r="AI1724" s="115"/>
      <c r="AJ1724" s="115"/>
      <c r="AK1724" s="115"/>
      <c r="AL1724" s="115"/>
      <c r="AM1724" s="115"/>
      <c r="AN1724" s="115"/>
      <c r="AO1724" s="115"/>
      <c r="AP1724" s="115"/>
      <c r="AQ1724" s="115"/>
      <c r="AR1724" s="115"/>
      <c r="AS1724" s="115"/>
      <c r="AT1724" s="115"/>
      <c r="AU1724" s="115"/>
      <c r="AV1724" s="115"/>
      <c r="AW1724" s="115"/>
      <c r="AX1724" s="115"/>
      <c r="AY1724" s="115"/>
      <c r="AZ1724" s="115"/>
      <c r="BA1724" s="115"/>
      <c r="BB1724" s="115"/>
      <c r="BC1724" s="115"/>
      <c r="BD1724" s="115"/>
      <c r="BE1724" s="115"/>
      <c r="BF1724" s="115"/>
      <c r="BG1724" s="115"/>
      <c r="BH1724" s="122"/>
      <c r="BI1724" s="122"/>
      <c r="BJ1724" s="122"/>
      <c r="BK1724" s="115"/>
      <c r="BL1724" s="115"/>
      <c r="BM1724" s="115"/>
      <c r="BN1724" s="115"/>
      <c r="BO1724" s="115"/>
      <c r="BP1724" s="115"/>
      <c r="BQ1724" s="115"/>
      <c r="BR1724" s="115"/>
      <c r="BS1724" s="115"/>
      <c r="BT1724" s="115"/>
      <c r="BU1724" s="115"/>
      <c r="BV1724" s="115"/>
      <c r="BW1724" s="115"/>
      <c r="BX1724" s="115"/>
      <c r="BY1724" s="26"/>
      <c r="BZ1724" s="15"/>
      <c r="CD1724" s="117"/>
      <c r="CE1724" s="116"/>
      <c r="CF1724" s="116"/>
      <c r="CG1724" s="116"/>
    </row>
    <row r="1725" spans="1:85" ht="19.5" x14ac:dyDescent="0.4">
      <c r="E1725" s="115"/>
      <c r="F1725" s="115"/>
      <c r="G1725" s="115"/>
      <c r="H1725" s="115"/>
      <c r="I1725" s="115"/>
      <c r="J1725" s="115"/>
      <c r="K1725" s="115"/>
      <c r="L1725" s="115"/>
      <c r="M1725" s="115"/>
      <c r="N1725" s="115"/>
      <c r="O1725" s="115"/>
      <c r="P1725" s="115"/>
      <c r="Q1725" s="115"/>
      <c r="R1725" s="115"/>
      <c r="S1725" s="115"/>
      <c r="T1725" s="115"/>
      <c r="U1725" s="115"/>
      <c r="V1725" s="115"/>
      <c r="W1725" s="115"/>
      <c r="X1725" s="115"/>
      <c r="Y1725" s="115"/>
      <c r="Z1725" s="115"/>
      <c r="AA1725" s="115"/>
      <c r="AB1725" s="115"/>
      <c r="AC1725" s="115"/>
      <c r="AD1725" s="115"/>
      <c r="AE1725" s="115"/>
      <c r="AF1725" s="115"/>
      <c r="AG1725" s="115"/>
      <c r="AH1725" s="115"/>
      <c r="AI1725" s="115"/>
      <c r="AJ1725" s="115"/>
      <c r="AK1725" s="115"/>
      <c r="AL1725" s="115"/>
      <c r="AM1725" s="115"/>
      <c r="AN1725" s="115"/>
      <c r="AO1725" s="115"/>
      <c r="AP1725" s="115"/>
      <c r="AQ1725" s="115"/>
      <c r="AR1725" s="115"/>
      <c r="AS1725" s="115"/>
      <c r="AT1725" s="115"/>
      <c r="AU1725" s="115"/>
      <c r="AV1725" s="115"/>
      <c r="AW1725" s="115"/>
      <c r="AX1725" s="115"/>
      <c r="AY1725" s="115"/>
      <c r="AZ1725" s="115"/>
      <c r="BA1725" s="115"/>
      <c r="BB1725" s="115"/>
      <c r="BC1725" s="115"/>
      <c r="BD1725" s="115"/>
      <c r="BE1725" s="115"/>
      <c r="BF1725" s="115"/>
      <c r="BG1725" s="115"/>
      <c r="BH1725" s="122"/>
      <c r="BI1725" s="122"/>
      <c r="BJ1725" s="122"/>
      <c r="BK1725" s="115"/>
      <c r="BL1725" s="115"/>
      <c r="BM1725" s="115"/>
      <c r="BN1725" s="115"/>
      <c r="BO1725" s="115"/>
      <c r="BP1725" s="115"/>
      <c r="BQ1725" s="115"/>
      <c r="BR1725" s="115"/>
      <c r="BS1725" s="115"/>
      <c r="BT1725" s="115"/>
      <c r="BU1725" s="115"/>
      <c r="BV1725" s="115"/>
      <c r="BW1725" s="115"/>
      <c r="BX1725" s="115"/>
      <c r="BY1725" s="17"/>
      <c r="BZ1725" s="15"/>
      <c r="CD1725" s="117"/>
      <c r="CE1725" s="116"/>
      <c r="CF1725" s="116"/>
      <c r="CG1725" s="116"/>
    </row>
    <row r="1726" spans="1:85" ht="19.5" x14ac:dyDescent="0.4">
      <c r="A1726" s="115"/>
      <c r="B1726" s="115"/>
      <c r="C1726" s="115"/>
      <c r="D1726" s="115"/>
      <c r="E1726" s="115"/>
      <c r="F1726" s="115"/>
      <c r="G1726" s="115"/>
      <c r="H1726" s="115"/>
      <c r="I1726" s="115"/>
      <c r="J1726" s="115"/>
      <c r="K1726" s="115"/>
      <c r="L1726" s="115"/>
      <c r="M1726" s="115"/>
      <c r="N1726" s="115"/>
      <c r="O1726" s="115"/>
      <c r="P1726" s="115"/>
      <c r="Q1726" s="115"/>
      <c r="R1726" s="115"/>
      <c r="S1726" s="115"/>
      <c r="T1726" s="115"/>
      <c r="U1726" s="115"/>
      <c r="V1726" s="115"/>
      <c r="W1726" s="115"/>
      <c r="X1726" s="115"/>
      <c r="Y1726" s="115"/>
      <c r="Z1726" s="115"/>
      <c r="AA1726" s="115"/>
      <c r="AB1726" s="115"/>
      <c r="AC1726" s="115"/>
      <c r="AD1726" s="115"/>
      <c r="AE1726" s="115"/>
      <c r="AF1726" s="115"/>
      <c r="AG1726" s="115"/>
      <c r="AH1726" s="115"/>
      <c r="AI1726" s="115"/>
      <c r="AJ1726" s="115"/>
      <c r="AK1726" s="115"/>
      <c r="AL1726" s="115"/>
      <c r="AM1726" s="115"/>
      <c r="AN1726" s="115"/>
      <c r="AO1726" s="115"/>
      <c r="AP1726" s="115"/>
      <c r="AQ1726" s="115"/>
      <c r="AR1726" s="115"/>
      <c r="AS1726" s="115"/>
      <c r="AT1726" s="115"/>
      <c r="AU1726" s="115"/>
      <c r="AV1726" s="115"/>
      <c r="AW1726" s="115"/>
      <c r="AX1726" s="115"/>
      <c r="AY1726" s="115"/>
      <c r="AZ1726" s="115"/>
      <c r="BA1726" s="115"/>
      <c r="BB1726" s="115"/>
      <c r="BC1726" s="115"/>
      <c r="BD1726" s="115"/>
      <c r="BE1726" s="115"/>
      <c r="BF1726" s="115"/>
      <c r="BG1726" s="115"/>
      <c r="BH1726" s="122"/>
      <c r="BI1726" s="122"/>
      <c r="BJ1726" s="122"/>
      <c r="BK1726" s="115"/>
      <c r="BL1726" s="115"/>
      <c r="BM1726" s="115"/>
      <c r="BN1726" s="115"/>
      <c r="BO1726" s="115"/>
      <c r="BP1726" s="115"/>
      <c r="BQ1726" s="115"/>
      <c r="BR1726" s="115"/>
      <c r="BS1726" s="115"/>
      <c r="BT1726" s="115"/>
      <c r="BU1726" s="115"/>
      <c r="BV1726" s="115"/>
      <c r="BW1726" s="115"/>
      <c r="BX1726" s="115"/>
      <c r="BY1726" s="26"/>
      <c r="BZ1726" s="15"/>
      <c r="CD1726" s="117"/>
      <c r="CE1726" s="116"/>
      <c r="CF1726" s="116"/>
      <c r="CG1726" s="116"/>
    </row>
    <row r="1727" spans="1:85" ht="19.5" x14ac:dyDescent="0.4">
      <c r="A1727" s="115"/>
      <c r="B1727" s="115"/>
      <c r="C1727" s="115"/>
      <c r="D1727" s="115"/>
      <c r="E1727" s="115"/>
      <c r="F1727" s="115"/>
      <c r="G1727" s="115"/>
      <c r="H1727" s="115"/>
      <c r="I1727" s="115"/>
      <c r="J1727" s="115"/>
      <c r="K1727" s="115"/>
      <c r="L1727" s="115"/>
      <c r="M1727" s="115"/>
      <c r="N1727" s="115"/>
      <c r="O1727" s="115"/>
      <c r="P1727" s="115"/>
      <c r="Q1727" s="115"/>
      <c r="R1727" s="115"/>
      <c r="S1727" s="115"/>
      <c r="T1727" s="115"/>
      <c r="U1727" s="115"/>
      <c r="V1727" s="115"/>
      <c r="W1727" s="115"/>
      <c r="X1727" s="115"/>
      <c r="Y1727" s="115"/>
      <c r="Z1727" s="115"/>
      <c r="AA1727" s="115"/>
      <c r="AB1727" s="115"/>
      <c r="AC1727" s="115"/>
      <c r="AD1727" s="115"/>
      <c r="AE1727" s="115"/>
      <c r="AF1727" s="115"/>
      <c r="AG1727" s="115"/>
      <c r="AH1727" s="115"/>
      <c r="AI1727" s="115"/>
      <c r="AJ1727" s="115"/>
      <c r="AK1727" s="115"/>
      <c r="AL1727" s="115"/>
      <c r="AM1727" s="115"/>
      <c r="AN1727" s="115"/>
      <c r="AO1727" s="115"/>
      <c r="AP1727" s="115"/>
      <c r="AQ1727" s="115"/>
      <c r="AR1727" s="115"/>
      <c r="AS1727" s="115"/>
      <c r="AT1727" s="115"/>
      <c r="AU1727" s="115"/>
      <c r="AV1727" s="115"/>
      <c r="AW1727" s="115"/>
      <c r="AX1727" s="115"/>
      <c r="AY1727" s="115"/>
      <c r="AZ1727" s="115"/>
      <c r="BA1727" s="115"/>
      <c r="BB1727" s="115"/>
      <c r="BC1727" s="115"/>
      <c r="BD1727" s="115"/>
      <c r="BE1727" s="115"/>
      <c r="BF1727" s="115"/>
      <c r="BG1727" s="115"/>
      <c r="BH1727" s="122"/>
      <c r="BI1727" s="122"/>
      <c r="BJ1727" s="122"/>
      <c r="BK1727" s="115"/>
      <c r="BL1727" s="115"/>
      <c r="BM1727" s="115"/>
      <c r="BN1727" s="115"/>
      <c r="BO1727" s="115"/>
      <c r="BP1727" s="115"/>
      <c r="BQ1727" s="115"/>
      <c r="BR1727" s="115"/>
      <c r="BS1727" s="115"/>
      <c r="BT1727" s="115"/>
      <c r="BU1727" s="115"/>
      <c r="BV1727" s="115"/>
      <c r="BW1727" s="115"/>
      <c r="BX1727" s="115"/>
      <c r="BY1727" s="26"/>
      <c r="BZ1727" s="15"/>
      <c r="CD1727" s="117"/>
      <c r="CE1727" s="116"/>
      <c r="CF1727" s="116"/>
      <c r="CG1727" s="116"/>
    </row>
    <row r="1728" spans="1:85" ht="19.5" x14ac:dyDescent="0.4">
      <c r="A1728" s="115"/>
      <c r="B1728" s="115"/>
      <c r="C1728" s="115"/>
      <c r="D1728" s="115"/>
      <c r="E1728" s="115"/>
      <c r="F1728" s="115"/>
      <c r="G1728" s="115"/>
      <c r="H1728" s="115"/>
      <c r="I1728" s="115"/>
      <c r="J1728" s="115"/>
      <c r="K1728" s="115"/>
      <c r="L1728" s="115"/>
      <c r="M1728" s="115"/>
      <c r="N1728" s="115"/>
      <c r="O1728" s="115"/>
      <c r="P1728" s="115"/>
      <c r="Q1728" s="115"/>
      <c r="R1728" s="115"/>
      <c r="S1728" s="115"/>
      <c r="T1728" s="115"/>
      <c r="U1728" s="115"/>
      <c r="V1728" s="115"/>
      <c r="W1728" s="115"/>
      <c r="X1728" s="115"/>
      <c r="Y1728" s="115"/>
      <c r="Z1728" s="115"/>
      <c r="AA1728" s="115"/>
      <c r="AB1728" s="115"/>
      <c r="AC1728" s="115"/>
      <c r="AD1728" s="115"/>
      <c r="AE1728" s="115"/>
      <c r="AF1728" s="115"/>
      <c r="AG1728" s="115"/>
      <c r="AH1728" s="115"/>
      <c r="AI1728" s="115"/>
      <c r="AJ1728" s="115"/>
      <c r="AK1728" s="115"/>
      <c r="AL1728" s="115"/>
      <c r="AM1728" s="115"/>
      <c r="AN1728" s="115"/>
      <c r="AO1728" s="115"/>
      <c r="AP1728" s="115"/>
      <c r="AQ1728" s="115"/>
      <c r="AR1728" s="115"/>
      <c r="AS1728" s="115"/>
      <c r="AT1728" s="115"/>
      <c r="AU1728" s="115"/>
      <c r="AV1728" s="115"/>
      <c r="AW1728" s="115"/>
      <c r="AX1728" s="115"/>
      <c r="AY1728" s="115"/>
      <c r="AZ1728" s="115"/>
      <c r="BA1728" s="115"/>
      <c r="BB1728" s="115"/>
      <c r="BC1728" s="115"/>
      <c r="BD1728" s="115"/>
      <c r="BE1728" s="115"/>
      <c r="BF1728" s="115"/>
      <c r="BG1728" s="115"/>
      <c r="BH1728" s="122"/>
      <c r="BI1728" s="122"/>
      <c r="BJ1728" s="122"/>
      <c r="BK1728" s="115"/>
      <c r="BL1728" s="115"/>
      <c r="BM1728" s="115"/>
      <c r="BN1728" s="115"/>
      <c r="BO1728" s="115"/>
      <c r="BP1728" s="115"/>
      <c r="BQ1728" s="115"/>
      <c r="BR1728" s="115"/>
      <c r="BS1728" s="115"/>
      <c r="BT1728" s="115"/>
      <c r="BU1728" s="115"/>
      <c r="BV1728" s="115"/>
      <c r="BW1728" s="115"/>
      <c r="BX1728" s="115"/>
      <c r="BY1728" s="26"/>
      <c r="BZ1728" s="15"/>
      <c r="CD1728" s="117"/>
      <c r="CE1728" s="116"/>
      <c r="CF1728" s="116"/>
      <c r="CG1728" s="116"/>
    </row>
    <row r="1729" spans="1:85" ht="19.5" x14ac:dyDescent="0.4">
      <c r="A1729" s="115"/>
      <c r="B1729" s="115"/>
      <c r="C1729" s="115"/>
      <c r="D1729" s="115"/>
      <c r="E1729" s="115"/>
      <c r="F1729" s="115"/>
      <c r="G1729" s="115"/>
      <c r="H1729" s="115"/>
      <c r="I1729" s="115"/>
      <c r="J1729" s="115"/>
      <c r="K1729" s="115"/>
      <c r="L1729" s="115"/>
      <c r="M1729" s="115"/>
      <c r="N1729" s="115"/>
      <c r="O1729" s="115"/>
      <c r="P1729" s="115"/>
      <c r="Q1729" s="115"/>
      <c r="R1729" s="115"/>
      <c r="S1729" s="115"/>
      <c r="T1729" s="115"/>
      <c r="U1729" s="115"/>
      <c r="V1729" s="115"/>
      <c r="W1729" s="115"/>
      <c r="X1729" s="115"/>
      <c r="Y1729" s="115"/>
      <c r="Z1729" s="115"/>
      <c r="AA1729" s="115"/>
      <c r="AB1729" s="115"/>
      <c r="AC1729" s="115"/>
      <c r="AD1729" s="115"/>
      <c r="AE1729" s="115"/>
      <c r="AF1729" s="115"/>
      <c r="AG1729" s="115"/>
      <c r="AH1729" s="115"/>
      <c r="AI1729" s="115"/>
      <c r="AJ1729" s="115"/>
      <c r="AK1729" s="115"/>
      <c r="AL1729" s="115"/>
      <c r="AM1729" s="115"/>
      <c r="AN1729" s="115"/>
      <c r="AO1729" s="115"/>
      <c r="AP1729" s="115"/>
      <c r="AQ1729" s="115"/>
      <c r="AR1729" s="115"/>
      <c r="AS1729" s="115"/>
      <c r="AT1729" s="115"/>
      <c r="AU1729" s="115"/>
      <c r="AV1729" s="115"/>
      <c r="AW1729" s="115"/>
      <c r="AX1729" s="115"/>
      <c r="AY1729" s="115"/>
      <c r="AZ1729" s="115"/>
      <c r="BA1729" s="115"/>
      <c r="BB1729" s="115"/>
      <c r="BC1729" s="115"/>
      <c r="BD1729" s="115"/>
      <c r="BE1729" s="115"/>
      <c r="BF1729" s="115"/>
      <c r="BG1729" s="115"/>
      <c r="BH1729" s="122"/>
      <c r="BI1729" s="122"/>
      <c r="BJ1729" s="122"/>
      <c r="BK1729" s="115"/>
      <c r="BL1729" s="115"/>
      <c r="BM1729" s="115"/>
      <c r="BN1729" s="115"/>
      <c r="BO1729" s="115"/>
      <c r="BP1729" s="115"/>
      <c r="BQ1729" s="115"/>
      <c r="BR1729" s="115"/>
      <c r="BS1729" s="115"/>
      <c r="BT1729" s="115"/>
      <c r="BU1729" s="115"/>
      <c r="BV1729" s="115"/>
      <c r="BW1729" s="115"/>
      <c r="BX1729" s="115"/>
      <c r="BY1729" s="26"/>
      <c r="BZ1729" s="15"/>
      <c r="CD1729" s="117"/>
      <c r="CE1729" s="116"/>
      <c r="CF1729" s="116"/>
      <c r="CG1729" s="116"/>
    </row>
    <row r="1730" spans="1:85" ht="19.5" x14ac:dyDescent="0.4">
      <c r="A1730" s="115"/>
      <c r="B1730" s="115"/>
      <c r="C1730" s="115"/>
      <c r="D1730" s="115"/>
      <c r="E1730" s="115"/>
      <c r="F1730" s="115"/>
      <c r="G1730" s="115"/>
      <c r="H1730" s="115"/>
      <c r="I1730" s="115"/>
      <c r="J1730" s="115"/>
      <c r="K1730" s="115"/>
      <c r="L1730" s="115"/>
      <c r="M1730" s="115"/>
      <c r="N1730" s="115"/>
      <c r="O1730" s="115"/>
      <c r="P1730" s="115"/>
      <c r="Q1730" s="115"/>
      <c r="R1730" s="115"/>
      <c r="S1730" s="115"/>
      <c r="T1730" s="115"/>
      <c r="U1730" s="115"/>
      <c r="V1730" s="115"/>
      <c r="W1730" s="115"/>
      <c r="X1730" s="115"/>
      <c r="Y1730" s="115"/>
      <c r="Z1730" s="115"/>
      <c r="AA1730" s="115"/>
      <c r="AB1730" s="115"/>
      <c r="AC1730" s="115"/>
      <c r="AD1730" s="115"/>
      <c r="AE1730" s="115"/>
      <c r="AF1730" s="115"/>
      <c r="AG1730" s="115"/>
      <c r="AH1730" s="115"/>
      <c r="AI1730" s="115"/>
      <c r="AJ1730" s="115"/>
      <c r="AK1730" s="115"/>
      <c r="AL1730" s="115"/>
      <c r="AM1730" s="115"/>
      <c r="AN1730" s="115"/>
      <c r="AO1730" s="115"/>
      <c r="AP1730" s="115"/>
      <c r="AQ1730" s="115"/>
      <c r="AR1730" s="115"/>
      <c r="AS1730" s="115"/>
      <c r="AT1730" s="115"/>
      <c r="AU1730" s="115"/>
      <c r="AV1730" s="115"/>
      <c r="AW1730" s="115"/>
      <c r="AX1730" s="115"/>
      <c r="AY1730" s="115"/>
      <c r="AZ1730" s="115"/>
      <c r="BA1730" s="115"/>
      <c r="BB1730" s="115"/>
      <c r="BC1730" s="115"/>
      <c r="BD1730" s="115"/>
      <c r="BE1730" s="115"/>
      <c r="BF1730" s="115"/>
      <c r="BG1730" s="115"/>
      <c r="BH1730" s="122"/>
      <c r="BI1730" s="122"/>
      <c r="BJ1730" s="122"/>
      <c r="BK1730" s="115"/>
      <c r="BL1730" s="115"/>
      <c r="BM1730" s="115"/>
      <c r="BN1730" s="115"/>
      <c r="BO1730" s="115"/>
      <c r="BP1730" s="115"/>
      <c r="BQ1730" s="115"/>
      <c r="BR1730" s="115"/>
      <c r="BS1730" s="115"/>
      <c r="BT1730" s="115"/>
      <c r="BU1730" s="115"/>
      <c r="BV1730" s="115"/>
      <c r="BW1730" s="115"/>
      <c r="BX1730" s="115"/>
      <c r="BY1730" s="26"/>
      <c r="BZ1730" s="15"/>
      <c r="CD1730" s="117"/>
      <c r="CE1730" s="116"/>
      <c r="CF1730" s="116"/>
      <c r="CG1730" s="116"/>
    </row>
    <row r="1731" spans="1:85" ht="19.5" x14ac:dyDescent="0.4">
      <c r="A1731" s="115"/>
      <c r="B1731" s="115"/>
      <c r="C1731" s="115"/>
      <c r="D1731" s="115"/>
      <c r="E1731" s="115"/>
      <c r="F1731" s="115"/>
      <c r="G1731" s="115"/>
      <c r="H1731" s="115"/>
      <c r="I1731" s="115"/>
      <c r="J1731" s="115"/>
      <c r="K1731" s="115"/>
      <c r="L1731" s="115"/>
      <c r="M1731" s="115"/>
      <c r="N1731" s="115"/>
      <c r="O1731" s="115"/>
      <c r="P1731" s="115"/>
      <c r="Q1731" s="115"/>
      <c r="R1731" s="115"/>
      <c r="S1731" s="115"/>
      <c r="T1731" s="115"/>
      <c r="U1731" s="115"/>
      <c r="V1731" s="115"/>
      <c r="W1731" s="115"/>
      <c r="X1731" s="115"/>
      <c r="Y1731" s="115"/>
      <c r="Z1731" s="115"/>
      <c r="AA1731" s="115"/>
      <c r="AB1731" s="115"/>
      <c r="AC1731" s="115"/>
      <c r="AD1731" s="115"/>
      <c r="AE1731" s="115"/>
      <c r="AF1731" s="115"/>
      <c r="AG1731" s="115"/>
      <c r="AH1731" s="115"/>
      <c r="AI1731" s="115"/>
      <c r="AJ1731" s="115"/>
      <c r="AK1731" s="115"/>
      <c r="AL1731" s="115"/>
      <c r="AM1731" s="115"/>
      <c r="AN1731" s="115"/>
      <c r="AO1731" s="115"/>
      <c r="AP1731" s="115"/>
      <c r="AQ1731" s="115"/>
      <c r="AR1731" s="115"/>
      <c r="AS1731" s="115"/>
      <c r="AT1731" s="115"/>
      <c r="AU1731" s="115"/>
      <c r="AV1731" s="115"/>
      <c r="AW1731" s="115"/>
      <c r="AX1731" s="115"/>
      <c r="AY1731" s="115"/>
      <c r="AZ1731" s="115"/>
      <c r="BA1731" s="115"/>
      <c r="BB1731" s="115"/>
      <c r="BC1731" s="115"/>
      <c r="BD1731" s="115"/>
      <c r="BE1731" s="115"/>
      <c r="BF1731" s="115"/>
      <c r="BG1731" s="115"/>
      <c r="BH1731" s="122"/>
      <c r="BI1731" s="122"/>
      <c r="BJ1731" s="122"/>
      <c r="BK1731" s="115"/>
      <c r="BL1731" s="115"/>
      <c r="BM1731" s="115"/>
      <c r="BN1731" s="115"/>
      <c r="BO1731" s="115"/>
      <c r="BP1731" s="115"/>
      <c r="BQ1731" s="115"/>
      <c r="BR1731" s="115"/>
      <c r="BS1731" s="115"/>
      <c r="BT1731" s="115"/>
      <c r="BU1731" s="115"/>
      <c r="BV1731" s="115"/>
      <c r="BW1731" s="115"/>
      <c r="BX1731" s="115"/>
      <c r="BY1731" s="26"/>
      <c r="BZ1731" s="15"/>
      <c r="CD1731" s="117"/>
      <c r="CE1731" s="116"/>
      <c r="CF1731" s="116"/>
      <c r="CG1731" s="116"/>
    </row>
    <row r="1732" spans="1:85" ht="19.5" x14ac:dyDescent="0.4">
      <c r="A1732" s="115"/>
      <c r="B1732" s="115"/>
      <c r="C1732" s="115"/>
      <c r="D1732" s="115"/>
      <c r="E1732" s="115"/>
      <c r="F1732" s="115"/>
      <c r="G1732" s="115"/>
      <c r="H1732" s="115"/>
      <c r="I1732" s="115"/>
      <c r="J1732" s="115"/>
      <c r="K1732" s="115"/>
      <c r="L1732" s="115"/>
      <c r="M1732" s="115"/>
      <c r="N1732" s="115"/>
      <c r="O1732" s="115"/>
      <c r="P1732" s="115"/>
      <c r="Q1732" s="115"/>
      <c r="R1732" s="115"/>
      <c r="S1732" s="115"/>
      <c r="T1732" s="115"/>
      <c r="U1732" s="115"/>
      <c r="V1732" s="115"/>
      <c r="W1732" s="115"/>
      <c r="X1732" s="115"/>
      <c r="Y1732" s="115"/>
      <c r="Z1732" s="115"/>
      <c r="AA1732" s="115"/>
      <c r="AB1732" s="115"/>
      <c r="AC1732" s="115"/>
      <c r="AD1732" s="115"/>
      <c r="AE1732" s="115"/>
      <c r="AF1732" s="115"/>
      <c r="AG1732" s="115"/>
      <c r="AH1732" s="115"/>
      <c r="AI1732" s="115"/>
      <c r="AJ1732" s="115"/>
      <c r="AK1732" s="115"/>
      <c r="AL1732" s="115"/>
      <c r="AM1732" s="115"/>
      <c r="AN1732" s="115"/>
      <c r="AO1732" s="115"/>
      <c r="AP1732" s="115"/>
      <c r="AQ1732" s="115"/>
      <c r="AR1732" s="115"/>
      <c r="AS1732" s="115"/>
      <c r="AT1732" s="115"/>
      <c r="AU1732" s="115"/>
      <c r="AV1732" s="115"/>
      <c r="AW1732" s="115"/>
      <c r="AX1732" s="115"/>
      <c r="AY1732" s="115"/>
      <c r="AZ1732" s="115"/>
      <c r="BA1732" s="115"/>
      <c r="BB1732" s="115"/>
      <c r="BC1732" s="115"/>
      <c r="BD1732" s="115"/>
      <c r="BE1732" s="115"/>
      <c r="BF1732" s="115"/>
      <c r="BG1732" s="115"/>
      <c r="BH1732" s="122"/>
      <c r="BI1732" s="122"/>
      <c r="BJ1732" s="122"/>
      <c r="BK1732" s="115"/>
      <c r="BL1732" s="115"/>
      <c r="BM1732" s="115"/>
      <c r="BN1732" s="115"/>
      <c r="BO1732" s="115"/>
      <c r="BP1732" s="115"/>
      <c r="BQ1732" s="115"/>
      <c r="BR1732" s="115"/>
      <c r="BS1732" s="115"/>
      <c r="BT1732" s="115"/>
      <c r="BU1732" s="115"/>
      <c r="BV1732" s="115"/>
      <c r="BW1732" s="115"/>
      <c r="BX1732" s="115"/>
      <c r="BY1732" s="17"/>
      <c r="BZ1732" s="15"/>
      <c r="CD1732" s="117"/>
      <c r="CE1732" s="116"/>
      <c r="CF1732" s="116"/>
      <c r="CG1732" s="116"/>
    </row>
    <row r="1733" spans="1:85" ht="19.5" x14ac:dyDescent="0.4">
      <c r="A1733" s="115"/>
      <c r="B1733" s="115"/>
      <c r="C1733" s="115"/>
      <c r="D1733" s="115"/>
      <c r="E1733" s="115"/>
      <c r="F1733" s="115"/>
      <c r="G1733" s="115"/>
      <c r="H1733" s="115"/>
      <c r="I1733" s="115"/>
      <c r="J1733" s="115"/>
      <c r="K1733" s="115"/>
      <c r="L1733" s="115"/>
      <c r="M1733" s="115"/>
      <c r="N1733" s="115"/>
      <c r="O1733" s="115"/>
      <c r="P1733" s="115"/>
      <c r="Q1733" s="115"/>
      <c r="R1733" s="115"/>
      <c r="S1733" s="115"/>
      <c r="T1733" s="115"/>
      <c r="U1733" s="115"/>
      <c r="V1733" s="115"/>
      <c r="W1733" s="115"/>
      <c r="X1733" s="115"/>
      <c r="Y1733" s="115"/>
      <c r="Z1733" s="115"/>
      <c r="AA1733" s="115"/>
      <c r="AB1733" s="115"/>
      <c r="AC1733" s="115"/>
      <c r="AD1733" s="115"/>
      <c r="AE1733" s="115"/>
      <c r="AF1733" s="115"/>
      <c r="AG1733" s="115"/>
      <c r="AH1733" s="115"/>
      <c r="AI1733" s="115"/>
      <c r="AJ1733" s="115"/>
      <c r="AK1733" s="115"/>
      <c r="AL1733" s="115"/>
      <c r="AM1733" s="115"/>
      <c r="AN1733" s="115"/>
      <c r="AO1733" s="115"/>
      <c r="AP1733" s="115"/>
      <c r="AQ1733" s="115"/>
      <c r="AR1733" s="115"/>
      <c r="AS1733" s="115"/>
      <c r="AT1733" s="115"/>
      <c r="AU1733" s="115"/>
      <c r="AV1733" s="115"/>
      <c r="AW1733" s="115"/>
      <c r="AX1733" s="115"/>
      <c r="AY1733" s="115"/>
      <c r="AZ1733" s="115"/>
      <c r="BA1733" s="115"/>
      <c r="BB1733" s="115"/>
      <c r="BC1733" s="115"/>
      <c r="BD1733" s="115"/>
      <c r="BE1733" s="115"/>
      <c r="BF1733" s="115"/>
      <c r="BG1733" s="115"/>
      <c r="BH1733" s="122"/>
      <c r="BI1733" s="122"/>
      <c r="BJ1733" s="122"/>
      <c r="BK1733" s="115"/>
      <c r="BL1733" s="115"/>
      <c r="BM1733" s="115"/>
      <c r="BN1733" s="115"/>
      <c r="BO1733" s="115"/>
      <c r="BP1733" s="115"/>
      <c r="BQ1733" s="115"/>
      <c r="BR1733" s="115"/>
      <c r="BS1733" s="115"/>
      <c r="BT1733" s="115"/>
      <c r="BU1733" s="115"/>
      <c r="BV1733" s="115"/>
      <c r="BW1733" s="115"/>
      <c r="BX1733" s="115"/>
      <c r="BY1733" s="26"/>
      <c r="BZ1733" s="15"/>
      <c r="CD1733" s="117"/>
      <c r="CE1733" s="116"/>
      <c r="CF1733" s="116"/>
      <c r="CG1733" s="116"/>
    </row>
    <row r="1734" spans="1:85" ht="19.5" x14ac:dyDescent="0.4">
      <c r="A1734" s="115"/>
      <c r="B1734" s="115"/>
      <c r="C1734" s="115"/>
      <c r="D1734" s="115"/>
      <c r="E1734" s="115"/>
      <c r="F1734" s="115"/>
      <c r="G1734" s="115"/>
      <c r="H1734" s="115"/>
      <c r="I1734" s="115"/>
      <c r="J1734" s="115"/>
      <c r="K1734" s="115"/>
      <c r="L1734" s="115"/>
      <c r="M1734" s="115"/>
      <c r="N1734" s="115"/>
      <c r="O1734" s="115"/>
      <c r="P1734" s="115"/>
      <c r="Q1734" s="115"/>
      <c r="R1734" s="115"/>
      <c r="S1734" s="115"/>
      <c r="T1734" s="115"/>
      <c r="U1734" s="115"/>
      <c r="V1734" s="115"/>
      <c r="W1734" s="115"/>
      <c r="X1734" s="115"/>
      <c r="Y1734" s="115"/>
      <c r="Z1734" s="115"/>
      <c r="AA1734" s="115"/>
      <c r="AB1734" s="115"/>
      <c r="AC1734" s="115"/>
      <c r="AD1734" s="115"/>
      <c r="AE1734" s="115"/>
      <c r="AF1734" s="115"/>
      <c r="AG1734" s="115"/>
      <c r="AH1734" s="115"/>
      <c r="AI1734" s="115"/>
      <c r="AJ1734" s="115"/>
      <c r="AK1734" s="115"/>
      <c r="AL1734" s="115"/>
      <c r="AM1734" s="115"/>
      <c r="AN1734" s="115"/>
      <c r="AO1734" s="115"/>
      <c r="AP1734" s="115"/>
      <c r="AQ1734" s="115"/>
      <c r="AR1734" s="115"/>
      <c r="AS1734" s="115"/>
      <c r="AT1734" s="115"/>
      <c r="AU1734" s="115"/>
      <c r="AV1734" s="115"/>
      <c r="AW1734" s="115"/>
      <c r="AX1734" s="115"/>
      <c r="AY1734" s="115"/>
      <c r="AZ1734" s="115"/>
      <c r="BA1734" s="115"/>
      <c r="BB1734" s="115"/>
      <c r="BC1734" s="115"/>
      <c r="BD1734" s="115"/>
      <c r="BE1734" s="115"/>
      <c r="BF1734" s="115"/>
      <c r="BG1734" s="115"/>
      <c r="BH1734" s="122"/>
      <c r="BI1734" s="122"/>
      <c r="BJ1734" s="122"/>
      <c r="BK1734" s="115"/>
      <c r="BL1734" s="115"/>
      <c r="BM1734" s="115"/>
      <c r="BN1734" s="115"/>
      <c r="BO1734" s="115"/>
      <c r="BP1734" s="115"/>
      <c r="BQ1734" s="115"/>
      <c r="BR1734" s="115"/>
      <c r="BS1734" s="115"/>
      <c r="BT1734" s="115"/>
      <c r="BU1734" s="115"/>
      <c r="BV1734" s="115"/>
      <c r="BW1734" s="115"/>
      <c r="BX1734" s="115"/>
      <c r="BY1734" s="17"/>
      <c r="BZ1734" s="15"/>
      <c r="CD1734" s="117"/>
      <c r="CE1734" s="116"/>
      <c r="CF1734" s="116"/>
      <c r="CG1734" s="116"/>
    </row>
    <row r="1735" spans="1:85" ht="19.5" x14ac:dyDescent="0.4">
      <c r="A1735" s="115"/>
      <c r="B1735" s="115"/>
      <c r="C1735" s="115"/>
      <c r="D1735" s="115"/>
      <c r="E1735" s="115"/>
      <c r="F1735" s="115"/>
      <c r="G1735" s="115"/>
      <c r="H1735" s="115"/>
      <c r="I1735" s="115"/>
      <c r="J1735" s="115"/>
      <c r="K1735" s="115"/>
      <c r="L1735" s="115"/>
      <c r="M1735" s="115"/>
      <c r="N1735" s="115"/>
      <c r="O1735" s="115"/>
      <c r="P1735" s="115"/>
      <c r="Q1735" s="115"/>
      <c r="R1735" s="115"/>
      <c r="S1735" s="115"/>
      <c r="T1735" s="115"/>
      <c r="U1735" s="115"/>
      <c r="V1735" s="115"/>
      <c r="W1735" s="115"/>
      <c r="X1735" s="115"/>
      <c r="Y1735" s="115"/>
      <c r="Z1735" s="115"/>
      <c r="AA1735" s="115"/>
      <c r="AB1735" s="115"/>
      <c r="AC1735" s="115"/>
      <c r="AD1735" s="115"/>
      <c r="AE1735" s="115"/>
      <c r="AF1735" s="115"/>
      <c r="AG1735" s="115"/>
      <c r="AH1735" s="115"/>
      <c r="AI1735" s="115"/>
      <c r="AJ1735" s="115"/>
      <c r="AK1735" s="115"/>
      <c r="AL1735" s="115"/>
      <c r="AM1735" s="115"/>
      <c r="AN1735" s="115"/>
      <c r="AO1735" s="115"/>
      <c r="AP1735" s="115"/>
      <c r="AQ1735" s="115"/>
      <c r="AR1735" s="115"/>
      <c r="AS1735" s="115"/>
      <c r="AT1735" s="115"/>
      <c r="AU1735" s="115"/>
      <c r="AV1735" s="115"/>
      <c r="AW1735" s="115"/>
      <c r="AX1735" s="115"/>
      <c r="AY1735" s="115"/>
      <c r="AZ1735" s="115"/>
      <c r="BA1735" s="115"/>
      <c r="BB1735" s="115"/>
      <c r="BC1735" s="115"/>
      <c r="BD1735" s="115"/>
      <c r="BE1735" s="115"/>
      <c r="BF1735" s="115"/>
      <c r="BG1735" s="115"/>
      <c r="BH1735" s="122"/>
      <c r="BI1735" s="122"/>
      <c r="BJ1735" s="122"/>
      <c r="BK1735" s="115"/>
      <c r="BL1735" s="115"/>
      <c r="BM1735" s="115"/>
      <c r="BN1735" s="115"/>
      <c r="BO1735" s="115"/>
      <c r="BP1735" s="115"/>
      <c r="BQ1735" s="115"/>
      <c r="BR1735" s="115"/>
      <c r="BS1735" s="115"/>
      <c r="BT1735" s="115"/>
      <c r="BU1735" s="115"/>
      <c r="BV1735" s="115"/>
      <c r="BW1735" s="115"/>
      <c r="BX1735" s="115"/>
      <c r="BY1735" s="26"/>
      <c r="BZ1735" s="15"/>
      <c r="CD1735" s="117"/>
      <c r="CE1735" s="116"/>
      <c r="CF1735" s="116"/>
      <c r="CG1735" s="116"/>
    </row>
    <row r="1736" spans="1:85" ht="19.5" x14ac:dyDescent="0.4">
      <c r="A1736" s="115"/>
      <c r="B1736" s="115"/>
      <c r="C1736" s="115"/>
      <c r="D1736" s="115"/>
      <c r="E1736" s="115"/>
      <c r="F1736" s="115"/>
      <c r="G1736" s="115"/>
      <c r="H1736" s="115"/>
      <c r="I1736" s="115"/>
      <c r="J1736" s="115"/>
      <c r="K1736" s="115"/>
      <c r="L1736" s="115"/>
      <c r="M1736" s="115"/>
      <c r="N1736" s="115"/>
      <c r="O1736" s="115"/>
      <c r="P1736" s="115"/>
      <c r="Q1736" s="115"/>
      <c r="R1736" s="115"/>
      <c r="S1736" s="115"/>
      <c r="T1736" s="115"/>
      <c r="U1736" s="115"/>
      <c r="V1736" s="115"/>
      <c r="W1736" s="115"/>
      <c r="X1736" s="115"/>
      <c r="Y1736" s="115"/>
      <c r="Z1736" s="115"/>
      <c r="AA1736" s="115"/>
      <c r="AB1736" s="115"/>
      <c r="AC1736" s="115"/>
      <c r="AD1736" s="115"/>
      <c r="AE1736" s="115"/>
      <c r="AF1736" s="115"/>
      <c r="AG1736" s="115"/>
      <c r="AH1736" s="115"/>
      <c r="AI1736" s="115"/>
      <c r="AJ1736" s="115"/>
      <c r="AK1736" s="115"/>
      <c r="AL1736" s="115"/>
      <c r="AM1736" s="115"/>
      <c r="AN1736" s="115"/>
      <c r="AO1736" s="115"/>
      <c r="AP1736" s="115"/>
      <c r="AQ1736" s="115"/>
      <c r="AR1736" s="115"/>
      <c r="AS1736" s="115"/>
      <c r="AT1736" s="115"/>
      <c r="AU1736" s="115"/>
      <c r="AV1736" s="115"/>
      <c r="AW1736" s="115"/>
      <c r="AX1736" s="115"/>
      <c r="AY1736" s="115"/>
      <c r="AZ1736" s="115"/>
      <c r="BA1736" s="115"/>
      <c r="BB1736" s="115"/>
      <c r="BC1736" s="115"/>
      <c r="BD1736" s="115"/>
      <c r="BE1736" s="115"/>
      <c r="BF1736" s="115"/>
      <c r="BG1736" s="115"/>
      <c r="BH1736" s="122"/>
      <c r="BI1736" s="122"/>
      <c r="BJ1736" s="122"/>
      <c r="BK1736" s="115"/>
      <c r="BL1736" s="115"/>
      <c r="BM1736" s="115"/>
      <c r="BN1736" s="115"/>
      <c r="BO1736" s="115"/>
      <c r="BP1736" s="115"/>
      <c r="BQ1736" s="115"/>
      <c r="BR1736" s="115"/>
      <c r="BS1736" s="115"/>
      <c r="BT1736" s="115"/>
      <c r="BU1736" s="115"/>
      <c r="BV1736" s="115"/>
      <c r="BW1736" s="115"/>
      <c r="BX1736" s="115"/>
      <c r="BY1736" s="20"/>
      <c r="BZ1736" s="15"/>
      <c r="CD1736" s="117"/>
      <c r="CE1736" s="116"/>
      <c r="CF1736" s="116"/>
      <c r="CG1736" s="116"/>
    </row>
    <row r="1737" spans="1:85" ht="19.5" x14ac:dyDescent="0.4">
      <c r="A1737" s="115"/>
      <c r="B1737" s="115"/>
      <c r="C1737" s="115"/>
      <c r="D1737" s="115"/>
      <c r="E1737" s="115"/>
      <c r="F1737" s="115"/>
      <c r="G1737" s="115"/>
      <c r="H1737" s="115"/>
      <c r="I1737" s="115"/>
      <c r="J1737" s="115"/>
      <c r="K1737" s="115"/>
      <c r="L1737" s="115"/>
      <c r="M1737" s="115"/>
      <c r="N1737" s="115"/>
      <c r="O1737" s="115"/>
      <c r="P1737" s="115"/>
      <c r="Q1737" s="115"/>
      <c r="R1737" s="115"/>
      <c r="S1737" s="115"/>
      <c r="T1737" s="115"/>
      <c r="U1737" s="115"/>
      <c r="V1737" s="115"/>
      <c r="W1737" s="115"/>
      <c r="X1737" s="115"/>
      <c r="Y1737" s="115"/>
      <c r="Z1737" s="115"/>
      <c r="AA1737" s="115"/>
      <c r="AB1737" s="115"/>
      <c r="AC1737" s="115"/>
      <c r="AD1737" s="115"/>
      <c r="AE1737" s="115"/>
      <c r="AF1737" s="115"/>
      <c r="AG1737" s="115"/>
      <c r="AH1737" s="115"/>
      <c r="AI1737" s="115"/>
      <c r="AJ1737" s="115"/>
      <c r="AK1737" s="115"/>
      <c r="AL1737" s="115"/>
      <c r="AM1737" s="115"/>
      <c r="AN1737" s="115"/>
      <c r="AO1737" s="115"/>
      <c r="AP1737" s="115"/>
      <c r="AQ1737" s="115"/>
      <c r="AR1737" s="115"/>
      <c r="AS1737" s="115"/>
      <c r="AT1737" s="115"/>
      <c r="AU1737" s="115"/>
      <c r="AV1737" s="115"/>
      <c r="AW1737" s="115"/>
      <c r="AX1737" s="115"/>
      <c r="AY1737" s="115"/>
      <c r="AZ1737" s="115"/>
      <c r="BA1737" s="115"/>
      <c r="BB1737" s="115"/>
      <c r="BC1737" s="115"/>
      <c r="BD1737" s="115"/>
      <c r="BE1737" s="115"/>
      <c r="BF1737" s="115"/>
      <c r="BG1737" s="115"/>
      <c r="BH1737" s="122"/>
      <c r="BI1737" s="122"/>
      <c r="BJ1737" s="122"/>
      <c r="BK1737" s="115"/>
      <c r="BL1737" s="115"/>
      <c r="BM1737" s="115"/>
      <c r="BN1737" s="115"/>
      <c r="BO1737" s="115"/>
      <c r="BP1737" s="115"/>
      <c r="BQ1737" s="115"/>
      <c r="BR1737" s="115"/>
      <c r="BS1737" s="115"/>
      <c r="BT1737" s="115"/>
      <c r="BU1737" s="115"/>
      <c r="BV1737" s="115"/>
      <c r="BW1737" s="115"/>
      <c r="BX1737" s="115"/>
      <c r="BY1737" s="20"/>
      <c r="BZ1737" s="15"/>
      <c r="CD1737" s="117"/>
      <c r="CE1737" s="116"/>
      <c r="CF1737" s="116"/>
      <c r="CG1737" s="116"/>
    </row>
    <row r="1738" spans="1:85" ht="19.5" x14ac:dyDescent="0.4">
      <c r="A1738" s="115"/>
      <c r="B1738" s="115"/>
      <c r="C1738" s="115"/>
      <c r="D1738" s="115"/>
      <c r="E1738" s="115"/>
      <c r="F1738" s="115"/>
      <c r="G1738" s="115"/>
      <c r="H1738" s="115"/>
      <c r="I1738" s="115"/>
      <c r="J1738" s="115"/>
      <c r="K1738" s="115"/>
      <c r="L1738" s="115"/>
      <c r="M1738" s="115"/>
      <c r="N1738" s="115"/>
      <c r="O1738" s="115"/>
      <c r="P1738" s="115"/>
      <c r="Q1738" s="115"/>
      <c r="R1738" s="115"/>
      <c r="S1738" s="115"/>
      <c r="T1738" s="115"/>
      <c r="U1738" s="115"/>
      <c r="V1738" s="115"/>
      <c r="W1738" s="115"/>
      <c r="X1738" s="115"/>
      <c r="Y1738" s="115"/>
      <c r="Z1738" s="115"/>
      <c r="AA1738" s="115"/>
      <c r="AB1738" s="115"/>
      <c r="AC1738" s="115"/>
      <c r="AD1738" s="115"/>
      <c r="AE1738" s="115"/>
      <c r="AF1738" s="115"/>
      <c r="AG1738" s="115"/>
      <c r="AH1738" s="115"/>
      <c r="AI1738" s="115"/>
      <c r="AJ1738" s="115"/>
      <c r="AK1738" s="115"/>
      <c r="AL1738" s="115"/>
      <c r="AM1738" s="115"/>
      <c r="AN1738" s="115"/>
      <c r="AO1738" s="115"/>
      <c r="AP1738" s="115"/>
      <c r="AQ1738" s="115"/>
      <c r="AR1738" s="115"/>
      <c r="AS1738" s="115"/>
      <c r="AT1738" s="115"/>
      <c r="AU1738" s="115"/>
      <c r="AV1738" s="115"/>
      <c r="AW1738" s="115"/>
      <c r="AX1738" s="115"/>
      <c r="AY1738" s="115"/>
      <c r="AZ1738" s="115"/>
      <c r="BA1738" s="115"/>
      <c r="BB1738" s="115"/>
      <c r="BC1738" s="115"/>
      <c r="BD1738" s="115"/>
      <c r="BE1738" s="115"/>
      <c r="BF1738" s="115"/>
      <c r="BG1738" s="115"/>
      <c r="BH1738" s="122"/>
      <c r="BI1738" s="122"/>
      <c r="BJ1738" s="122"/>
      <c r="BK1738" s="115"/>
      <c r="BL1738" s="115"/>
      <c r="BM1738" s="115"/>
      <c r="BN1738" s="115"/>
      <c r="BO1738" s="115"/>
      <c r="BP1738" s="115"/>
      <c r="BQ1738" s="115"/>
      <c r="BR1738" s="115"/>
      <c r="BS1738" s="115"/>
      <c r="BT1738" s="115"/>
      <c r="BU1738" s="115"/>
      <c r="BV1738" s="115"/>
      <c r="BW1738" s="115"/>
      <c r="BX1738" s="115"/>
      <c r="BY1738" s="20"/>
      <c r="BZ1738" s="15"/>
      <c r="CD1738" s="117"/>
      <c r="CE1738" s="116"/>
      <c r="CF1738" s="116"/>
      <c r="CG1738" s="116"/>
    </row>
    <row r="1739" spans="1:85" ht="19.5" x14ac:dyDescent="0.4">
      <c r="A1739" s="115"/>
      <c r="B1739" s="115"/>
      <c r="C1739" s="115"/>
      <c r="D1739" s="115"/>
      <c r="E1739" s="115"/>
      <c r="F1739" s="115"/>
      <c r="G1739" s="115"/>
      <c r="H1739" s="115"/>
      <c r="I1739" s="115"/>
      <c r="J1739" s="115"/>
      <c r="K1739" s="115"/>
      <c r="L1739" s="115"/>
      <c r="M1739" s="115"/>
      <c r="N1739" s="115"/>
      <c r="O1739" s="115"/>
      <c r="P1739" s="115"/>
      <c r="Q1739" s="115"/>
      <c r="R1739" s="115"/>
      <c r="S1739" s="115"/>
      <c r="T1739" s="115"/>
      <c r="U1739" s="115"/>
      <c r="V1739" s="115"/>
      <c r="W1739" s="115"/>
      <c r="X1739" s="115"/>
      <c r="Y1739" s="115"/>
      <c r="Z1739" s="115"/>
      <c r="AA1739" s="115"/>
      <c r="AB1739" s="115"/>
      <c r="AC1739" s="115"/>
      <c r="AD1739" s="115"/>
      <c r="AE1739" s="115"/>
      <c r="AF1739" s="115"/>
      <c r="AG1739" s="115"/>
      <c r="AH1739" s="115"/>
      <c r="AI1739" s="115"/>
      <c r="AJ1739" s="115"/>
      <c r="AK1739" s="115"/>
      <c r="AL1739" s="115"/>
      <c r="AM1739" s="115"/>
      <c r="AN1739" s="115"/>
      <c r="AO1739" s="115"/>
      <c r="AP1739" s="115"/>
      <c r="AQ1739" s="115"/>
      <c r="AR1739" s="115"/>
      <c r="AS1739" s="115"/>
      <c r="AT1739" s="115"/>
      <c r="AU1739" s="115"/>
      <c r="AV1739" s="115"/>
      <c r="AW1739" s="115"/>
      <c r="AX1739" s="115"/>
      <c r="AY1739" s="115"/>
      <c r="AZ1739" s="115"/>
      <c r="BA1739" s="115"/>
      <c r="BB1739" s="115"/>
      <c r="BC1739" s="115"/>
      <c r="BD1739" s="115"/>
      <c r="BE1739" s="115"/>
      <c r="BF1739" s="115"/>
      <c r="BG1739" s="115"/>
      <c r="BH1739" s="122"/>
      <c r="BI1739" s="122"/>
      <c r="BJ1739" s="122"/>
      <c r="BK1739" s="115"/>
      <c r="BL1739" s="115"/>
      <c r="BM1739" s="115"/>
      <c r="BN1739" s="115"/>
      <c r="BO1739" s="115"/>
      <c r="BP1739" s="115"/>
      <c r="BQ1739" s="115"/>
      <c r="BR1739" s="115"/>
      <c r="BS1739" s="115"/>
      <c r="BT1739" s="115"/>
      <c r="BU1739" s="115"/>
      <c r="BV1739" s="115"/>
      <c r="BW1739" s="115"/>
      <c r="BX1739" s="115"/>
      <c r="BY1739" s="20"/>
      <c r="BZ1739" s="15"/>
      <c r="CD1739" s="117"/>
      <c r="CE1739" s="116"/>
      <c r="CF1739" s="116"/>
      <c r="CG1739" s="116"/>
    </row>
    <row r="1740" spans="1:85" ht="19.5" x14ac:dyDescent="0.4">
      <c r="A1740" s="115"/>
      <c r="B1740" s="115"/>
      <c r="C1740" s="115"/>
      <c r="D1740" s="115"/>
      <c r="E1740" s="115"/>
      <c r="F1740" s="115"/>
      <c r="G1740" s="115"/>
      <c r="H1740" s="115"/>
      <c r="I1740" s="115"/>
      <c r="J1740" s="115"/>
      <c r="K1740" s="115"/>
      <c r="L1740" s="115"/>
      <c r="M1740" s="115"/>
      <c r="N1740" s="115"/>
      <c r="O1740" s="115"/>
      <c r="P1740" s="115"/>
      <c r="Q1740" s="115"/>
      <c r="R1740" s="115"/>
      <c r="S1740" s="115"/>
      <c r="T1740" s="115"/>
      <c r="U1740" s="115"/>
      <c r="V1740" s="115"/>
      <c r="W1740" s="115"/>
      <c r="X1740" s="115"/>
      <c r="Y1740" s="115"/>
      <c r="Z1740" s="115"/>
      <c r="AA1740" s="115"/>
      <c r="AB1740" s="115"/>
      <c r="AC1740" s="115"/>
      <c r="AD1740" s="115"/>
      <c r="AE1740" s="115"/>
      <c r="AF1740" s="115"/>
      <c r="AG1740" s="115"/>
      <c r="AH1740" s="115"/>
      <c r="AI1740" s="115"/>
      <c r="AJ1740" s="115"/>
      <c r="AK1740" s="115"/>
      <c r="AL1740" s="115"/>
      <c r="AM1740" s="115"/>
      <c r="AN1740" s="115"/>
      <c r="AO1740" s="115"/>
      <c r="AP1740" s="115"/>
      <c r="AQ1740" s="115"/>
      <c r="AR1740" s="115"/>
      <c r="AS1740" s="115"/>
      <c r="AT1740" s="115"/>
      <c r="AU1740" s="115"/>
      <c r="AV1740" s="115"/>
      <c r="AW1740" s="115"/>
      <c r="AX1740" s="115"/>
      <c r="AY1740" s="115"/>
      <c r="AZ1740" s="115"/>
      <c r="BA1740" s="115"/>
      <c r="BB1740" s="115"/>
      <c r="BC1740" s="115"/>
      <c r="BD1740" s="115"/>
      <c r="BE1740" s="115"/>
      <c r="BF1740" s="115"/>
      <c r="BG1740" s="115"/>
      <c r="BH1740" s="122"/>
      <c r="BI1740" s="122"/>
      <c r="BJ1740" s="122"/>
      <c r="BK1740" s="115"/>
      <c r="BL1740" s="115"/>
      <c r="BM1740" s="115"/>
      <c r="BN1740" s="115"/>
      <c r="BO1740" s="115"/>
      <c r="BP1740" s="115"/>
      <c r="BQ1740" s="115"/>
      <c r="BR1740" s="115"/>
      <c r="BS1740" s="115"/>
      <c r="BT1740" s="115"/>
      <c r="BU1740" s="115"/>
      <c r="BV1740" s="115"/>
      <c r="BW1740" s="115"/>
      <c r="BX1740" s="115"/>
      <c r="BY1740" s="25"/>
      <c r="BZ1740" s="15"/>
      <c r="CD1740" s="117"/>
      <c r="CE1740" s="116"/>
      <c r="CF1740" s="116"/>
      <c r="CG1740" s="116"/>
    </row>
    <row r="1741" spans="1:85" ht="19.5" x14ac:dyDescent="0.4">
      <c r="A1741" s="115"/>
      <c r="B1741" s="115"/>
      <c r="C1741" s="115"/>
      <c r="D1741" s="115"/>
      <c r="E1741" s="115"/>
      <c r="F1741" s="115"/>
      <c r="G1741" s="115"/>
      <c r="H1741" s="115"/>
      <c r="I1741" s="115"/>
      <c r="J1741" s="115"/>
      <c r="K1741" s="115"/>
      <c r="L1741" s="115"/>
      <c r="M1741" s="115"/>
      <c r="N1741" s="115"/>
      <c r="O1741" s="115"/>
      <c r="P1741" s="115"/>
      <c r="Q1741" s="115"/>
      <c r="R1741" s="115"/>
      <c r="S1741" s="115"/>
      <c r="T1741" s="115"/>
      <c r="U1741" s="115"/>
      <c r="V1741" s="115"/>
      <c r="W1741" s="115"/>
      <c r="X1741" s="115"/>
      <c r="Y1741" s="115"/>
      <c r="Z1741" s="115"/>
      <c r="AA1741" s="115"/>
      <c r="AB1741" s="115"/>
      <c r="AC1741" s="115"/>
      <c r="AD1741" s="115"/>
      <c r="AE1741" s="115"/>
      <c r="AF1741" s="115"/>
      <c r="AG1741" s="115"/>
      <c r="AH1741" s="115"/>
      <c r="AI1741" s="115"/>
      <c r="AJ1741" s="115"/>
      <c r="AK1741" s="115"/>
      <c r="AL1741" s="115"/>
      <c r="AM1741" s="115"/>
      <c r="AN1741" s="115"/>
      <c r="AO1741" s="115"/>
      <c r="AP1741" s="115"/>
      <c r="AQ1741" s="115"/>
      <c r="AR1741" s="115"/>
      <c r="AS1741" s="115"/>
      <c r="AT1741" s="115"/>
      <c r="AU1741" s="115"/>
      <c r="AV1741" s="115"/>
      <c r="AW1741" s="115"/>
      <c r="AX1741" s="115"/>
      <c r="AY1741" s="115"/>
      <c r="AZ1741" s="115"/>
      <c r="BA1741" s="115"/>
      <c r="BB1741" s="115"/>
      <c r="BC1741" s="115"/>
      <c r="BD1741" s="115"/>
      <c r="BE1741" s="115"/>
      <c r="BF1741" s="115"/>
      <c r="BG1741" s="115"/>
      <c r="BH1741" s="122"/>
      <c r="BI1741" s="122"/>
      <c r="BJ1741" s="122"/>
      <c r="BK1741" s="115"/>
      <c r="BL1741" s="115"/>
      <c r="BM1741" s="115"/>
      <c r="BN1741" s="115"/>
      <c r="BO1741" s="115"/>
      <c r="BP1741" s="115"/>
      <c r="BQ1741" s="115"/>
      <c r="BR1741" s="115"/>
      <c r="BS1741" s="115"/>
      <c r="BT1741" s="115"/>
      <c r="BU1741" s="115"/>
      <c r="BV1741" s="115"/>
      <c r="BW1741" s="115"/>
      <c r="BX1741" s="115"/>
      <c r="BY1741" s="13"/>
      <c r="BZ1741" s="15"/>
      <c r="CD1741" s="117"/>
      <c r="CE1741" s="116"/>
      <c r="CF1741" s="116"/>
      <c r="CG1741" s="116"/>
    </row>
    <row r="1742" spans="1:85" ht="19.5" x14ac:dyDescent="0.4">
      <c r="BY1742" s="25"/>
      <c r="BZ1742" s="15"/>
      <c r="CD1742" s="117"/>
      <c r="CE1742" s="116"/>
      <c r="CF1742" s="116"/>
      <c r="CG1742" s="116"/>
    </row>
    <row r="1743" spans="1:85" ht="19.5" x14ac:dyDescent="0.4">
      <c r="BE1743" s="115"/>
      <c r="BF1743" s="115"/>
      <c r="BG1743" s="115"/>
      <c r="BH1743" s="122"/>
      <c r="BI1743" s="122"/>
      <c r="BJ1743" s="122"/>
      <c r="BK1743" s="115"/>
      <c r="BL1743" s="115"/>
      <c r="BM1743" s="115"/>
      <c r="BN1743" s="115"/>
      <c r="BO1743" s="115"/>
      <c r="BP1743" s="115"/>
      <c r="BQ1743" s="115"/>
      <c r="BR1743" s="115"/>
      <c r="BS1743" s="115"/>
      <c r="BT1743" s="115"/>
      <c r="BU1743" s="115"/>
      <c r="BV1743" s="115"/>
      <c r="BW1743" s="115"/>
      <c r="BX1743" s="115"/>
      <c r="BY1743" s="13"/>
      <c r="BZ1743" s="15"/>
      <c r="CD1743" s="117"/>
      <c r="CE1743" s="116"/>
      <c r="CF1743" s="116"/>
      <c r="CG1743" s="116"/>
    </row>
    <row r="1744" spans="1:85" ht="19.5" x14ac:dyDescent="0.4">
      <c r="D1744" s="115"/>
      <c r="E1744" s="115"/>
      <c r="F1744" s="115"/>
      <c r="G1744" s="115"/>
      <c r="H1744" s="115"/>
      <c r="I1744" s="115"/>
      <c r="J1744" s="115"/>
      <c r="K1744" s="115"/>
      <c r="L1744" s="115"/>
      <c r="M1744" s="115"/>
      <c r="N1744" s="115"/>
      <c r="O1744" s="115"/>
      <c r="P1744" s="115"/>
      <c r="Q1744" s="115"/>
      <c r="R1744" s="115"/>
      <c r="S1744" s="115"/>
      <c r="T1744" s="115"/>
      <c r="U1744" s="115"/>
      <c r="V1744" s="115"/>
      <c r="W1744" s="115"/>
      <c r="X1744" s="115"/>
      <c r="Y1744" s="115"/>
      <c r="Z1744" s="115"/>
      <c r="AA1744" s="115"/>
      <c r="AB1744" s="115"/>
      <c r="AC1744" s="115"/>
      <c r="AD1744" s="115"/>
      <c r="AE1744" s="115"/>
      <c r="AF1744" s="115"/>
      <c r="AG1744" s="115"/>
      <c r="AH1744" s="115"/>
      <c r="AI1744" s="115"/>
      <c r="AJ1744" s="115"/>
      <c r="AK1744" s="115"/>
      <c r="AL1744" s="115"/>
      <c r="AM1744" s="115"/>
      <c r="AN1744" s="115"/>
      <c r="AO1744" s="115"/>
      <c r="AP1744" s="115"/>
      <c r="AQ1744" s="115"/>
      <c r="AR1744" s="115"/>
      <c r="AS1744" s="115"/>
      <c r="AT1744" s="115"/>
      <c r="AU1744" s="115"/>
      <c r="AV1744" s="115"/>
      <c r="AW1744" s="115"/>
      <c r="AX1744" s="115"/>
      <c r="AY1744" s="115"/>
      <c r="AZ1744" s="115"/>
      <c r="BA1744" s="115"/>
      <c r="BB1744" s="115"/>
      <c r="BC1744" s="115"/>
      <c r="BD1744" s="115"/>
      <c r="BE1744" s="115"/>
      <c r="BF1744" s="115"/>
      <c r="BG1744" s="115"/>
      <c r="BH1744" s="122"/>
      <c r="BI1744" s="122"/>
      <c r="BJ1744" s="122"/>
      <c r="BK1744" s="115"/>
      <c r="BL1744" s="115"/>
      <c r="BM1744" s="115"/>
      <c r="BN1744" s="115"/>
      <c r="BO1744" s="115"/>
      <c r="BP1744" s="115"/>
      <c r="BQ1744" s="115"/>
      <c r="BR1744" s="115"/>
      <c r="BS1744" s="115"/>
      <c r="BT1744" s="115"/>
      <c r="BU1744" s="115"/>
      <c r="BV1744" s="115"/>
      <c r="BW1744" s="115"/>
      <c r="BX1744" s="115"/>
      <c r="BY1744" s="25"/>
      <c r="BZ1744" s="15"/>
      <c r="CD1744" s="117"/>
      <c r="CE1744" s="116"/>
      <c r="CF1744" s="116"/>
      <c r="CG1744" s="116"/>
    </row>
    <row r="1745" spans="1:85" ht="19.5" x14ac:dyDescent="0.4">
      <c r="A1745" s="115"/>
      <c r="B1745" s="115"/>
      <c r="C1745" s="115"/>
      <c r="D1745" s="115"/>
      <c r="E1745" s="115"/>
      <c r="F1745" s="115"/>
      <c r="G1745" s="115"/>
      <c r="H1745" s="115"/>
      <c r="I1745" s="115"/>
      <c r="J1745" s="115"/>
      <c r="K1745" s="115"/>
      <c r="L1745" s="115"/>
      <c r="M1745" s="115"/>
      <c r="N1745" s="115"/>
      <c r="O1745" s="115"/>
      <c r="P1745" s="115"/>
      <c r="Q1745" s="115"/>
      <c r="R1745" s="115"/>
      <c r="S1745" s="115"/>
      <c r="T1745" s="115"/>
      <c r="U1745" s="115"/>
      <c r="V1745" s="115"/>
      <c r="W1745" s="115"/>
      <c r="X1745" s="115"/>
      <c r="Y1745" s="115"/>
      <c r="Z1745" s="115"/>
      <c r="AA1745" s="115"/>
      <c r="AB1745" s="115"/>
      <c r="AC1745" s="115"/>
      <c r="AD1745" s="115"/>
      <c r="AE1745" s="115"/>
      <c r="AF1745" s="115"/>
      <c r="AG1745" s="115"/>
      <c r="AH1745" s="115"/>
      <c r="AI1745" s="115"/>
      <c r="AJ1745" s="115"/>
      <c r="AK1745" s="115"/>
      <c r="AL1745" s="115"/>
      <c r="AM1745" s="115"/>
      <c r="AN1745" s="115"/>
      <c r="AO1745" s="115"/>
      <c r="AP1745" s="115"/>
      <c r="AQ1745" s="115"/>
      <c r="AR1745" s="115"/>
      <c r="AS1745" s="115"/>
      <c r="AT1745" s="115"/>
      <c r="AU1745" s="115"/>
      <c r="AV1745" s="115"/>
      <c r="AW1745" s="115"/>
      <c r="AX1745" s="115"/>
      <c r="AY1745" s="115"/>
      <c r="AZ1745" s="115"/>
      <c r="BA1745" s="115"/>
      <c r="BB1745" s="115"/>
      <c r="BC1745" s="115"/>
      <c r="BD1745" s="115"/>
      <c r="BE1745" s="115"/>
      <c r="BF1745" s="115"/>
      <c r="BG1745" s="115"/>
      <c r="BH1745" s="122"/>
      <c r="BI1745" s="122"/>
      <c r="BJ1745" s="122"/>
      <c r="BK1745" s="115"/>
      <c r="BL1745" s="115"/>
      <c r="BM1745" s="115"/>
      <c r="BN1745" s="115"/>
      <c r="BO1745" s="115"/>
      <c r="BP1745" s="115"/>
      <c r="BQ1745" s="115"/>
      <c r="BR1745" s="115"/>
      <c r="BS1745" s="115"/>
      <c r="BT1745" s="115"/>
      <c r="BU1745" s="115"/>
      <c r="BV1745" s="115"/>
      <c r="BW1745" s="115"/>
      <c r="BX1745" s="115"/>
      <c r="BY1745" s="25"/>
      <c r="BZ1745" s="15"/>
      <c r="CD1745" s="117"/>
      <c r="CE1745" s="116"/>
      <c r="CF1745" s="116"/>
      <c r="CG1745" s="116"/>
    </row>
    <row r="1746" spans="1:85" ht="19.5" x14ac:dyDescent="0.4">
      <c r="A1746" s="115"/>
      <c r="B1746" s="115"/>
      <c r="C1746" s="115"/>
      <c r="D1746" s="115"/>
      <c r="E1746" s="115"/>
      <c r="F1746" s="115"/>
      <c r="G1746" s="115"/>
      <c r="H1746" s="115"/>
      <c r="I1746" s="115"/>
      <c r="J1746" s="115"/>
      <c r="K1746" s="115"/>
      <c r="L1746" s="115"/>
      <c r="M1746" s="115"/>
      <c r="N1746" s="115"/>
      <c r="O1746" s="115"/>
      <c r="P1746" s="115"/>
      <c r="Q1746" s="115"/>
      <c r="R1746" s="115"/>
      <c r="S1746" s="115"/>
      <c r="T1746" s="115"/>
      <c r="U1746" s="115"/>
      <c r="V1746" s="115"/>
      <c r="W1746" s="115"/>
      <c r="X1746" s="115"/>
      <c r="Y1746" s="115"/>
      <c r="Z1746" s="115"/>
      <c r="AA1746" s="115"/>
      <c r="AB1746" s="115"/>
      <c r="AC1746" s="115"/>
      <c r="AD1746" s="115"/>
      <c r="AE1746" s="115"/>
      <c r="AF1746" s="115"/>
      <c r="AG1746" s="115"/>
      <c r="AH1746" s="115"/>
      <c r="AI1746" s="115"/>
      <c r="AJ1746" s="115"/>
      <c r="AK1746" s="115"/>
      <c r="AL1746" s="115"/>
      <c r="AM1746" s="115"/>
      <c r="AN1746" s="115"/>
      <c r="AO1746" s="115"/>
      <c r="AP1746" s="115"/>
      <c r="AQ1746" s="115"/>
      <c r="AR1746" s="115"/>
      <c r="AS1746" s="115"/>
      <c r="AT1746" s="115"/>
      <c r="AU1746" s="115"/>
      <c r="AV1746" s="115"/>
      <c r="AW1746" s="115"/>
      <c r="AX1746" s="115"/>
      <c r="AY1746" s="115"/>
      <c r="AZ1746" s="115"/>
      <c r="BA1746" s="115"/>
      <c r="BB1746" s="115"/>
      <c r="BC1746" s="115"/>
      <c r="BD1746" s="115"/>
      <c r="BE1746" s="115"/>
      <c r="BF1746" s="115"/>
      <c r="BG1746" s="115"/>
      <c r="BH1746" s="122"/>
      <c r="BI1746" s="122"/>
      <c r="BJ1746" s="122"/>
      <c r="BK1746" s="115"/>
      <c r="BL1746" s="115"/>
      <c r="BM1746" s="115"/>
      <c r="BN1746" s="115"/>
      <c r="BO1746" s="115"/>
      <c r="BP1746" s="115"/>
      <c r="BQ1746" s="115"/>
      <c r="BR1746" s="115"/>
      <c r="BS1746" s="115"/>
      <c r="BT1746" s="115"/>
      <c r="BU1746" s="115"/>
      <c r="BV1746" s="115"/>
      <c r="BW1746" s="115"/>
      <c r="BX1746" s="115"/>
      <c r="BY1746" s="13"/>
      <c r="BZ1746" s="15"/>
      <c r="CD1746" s="117"/>
      <c r="CE1746" s="116"/>
      <c r="CF1746" s="116"/>
      <c r="CG1746" s="116"/>
    </row>
    <row r="1747" spans="1:85" ht="19.5" x14ac:dyDescent="0.4">
      <c r="A1747" s="115"/>
      <c r="B1747" s="115"/>
      <c r="C1747" s="115"/>
      <c r="D1747" s="115"/>
      <c r="E1747" s="115"/>
      <c r="F1747" s="115"/>
      <c r="G1747" s="115"/>
      <c r="H1747" s="115"/>
      <c r="I1747" s="115"/>
      <c r="J1747" s="115"/>
      <c r="K1747" s="115"/>
      <c r="L1747" s="115"/>
      <c r="M1747" s="115"/>
      <c r="N1747" s="115"/>
      <c r="O1747" s="115"/>
      <c r="P1747" s="115"/>
      <c r="Q1747" s="115"/>
      <c r="R1747" s="115"/>
      <c r="S1747" s="115"/>
      <c r="T1747" s="115"/>
      <c r="U1747" s="115"/>
      <c r="V1747" s="115"/>
      <c r="W1747" s="115"/>
      <c r="X1747" s="115"/>
      <c r="Y1747" s="115"/>
      <c r="Z1747" s="115"/>
      <c r="AA1747" s="115"/>
      <c r="AB1747" s="115"/>
      <c r="AC1747" s="115"/>
      <c r="AD1747" s="115"/>
      <c r="AE1747" s="115"/>
      <c r="AF1747" s="115"/>
      <c r="AG1747" s="115"/>
      <c r="AH1747" s="115"/>
      <c r="AI1747" s="115"/>
      <c r="AJ1747" s="115"/>
      <c r="AK1747" s="115"/>
      <c r="AL1747" s="115"/>
      <c r="AM1747" s="115"/>
      <c r="AN1747" s="115"/>
      <c r="AO1747" s="115"/>
      <c r="AP1747" s="115"/>
      <c r="AQ1747" s="115"/>
      <c r="AR1747" s="115"/>
      <c r="AS1747" s="115"/>
      <c r="AT1747" s="115"/>
      <c r="AU1747" s="115"/>
      <c r="AV1747" s="115"/>
      <c r="AW1747" s="115"/>
      <c r="AX1747" s="115"/>
      <c r="AY1747" s="115"/>
      <c r="AZ1747" s="115"/>
      <c r="BA1747" s="115"/>
      <c r="BB1747" s="115"/>
      <c r="BC1747" s="115"/>
      <c r="BD1747" s="115"/>
      <c r="BE1747" s="115"/>
      <c r="BF1747" s="115"/>
      <c r="BG1747" s="115"/>
      <c r="BH1747" s="122"/>
      <c r="BI1747" s="122"/>
      <c r="BJ1747" s="122"/>
      <c r="BK1747" s="115"/>
      <c r="BL1747" s="115"/>
      <c r="BM1747" s="115"/>
      <c r="BN1747" s="115"/>
      <c r="BO1747" s="115"/>
      <c r="BP1747" s="115"/>
      <c r="BQ1747" s="115"/>
      <c r="BR1747" s="115"/>
      <c r="BS1747" s="115"/>
      <c r="BT1747" s="115"/>
      <c r="BU1747" s="115"/>
      <c r="BV1747" s="115"/>
      <c r="BW1747" s="115"/>
      <c r="BX1747" s="115"/>
      <c r="BY1747" s="25"/>
      <c r="BZ1747" s="15"/>
      <c r="CD1747" s="117"/>
      <c r="CE1747" s="116"/>
      <c r="CF1747" s="116"/>
      <c r="CG1747" s="116"/>
    </row>
    <row r="1748" spans="1:85" ht="19.5" x14ac:dyDescent="0.4">
      <c r="A1748" s="115"/>
      <c r="B1748" s="115"/>
      <c r="C1748" s="115"/>
      <c r="D1748" s="115"/>
      <c r="E1748" s="115"/>
      <c r="F1748" s="115"/>
      <c r="G1748" s="115"/>
      <c r="H1748" s="115"/>
      <c r="I1748" s="115"/>
      <c r="J1748" s="115"/>
      <c r="K1748" s="115"/>
      <c r="L1748" s="115"/>
      <c r="M1748" s="115"/>
      <c r="N1748" s="115"/>
      <c r="O1748" s="115"/>
      <c r="P1748" s="115"/>
      <c r="Q1748" s="115"/>
      <c r="R1748" s="115"/>
      <c r="S1748" s="115"/>
      <c r="T1748" s="115"/>
      <c r="U1748" s="115"/>
      <c r="V1748" s="115"/>
      <c r="W1748" s="115"/>
      <c r="X1748" s="115"/>
      <c r="Y1748" s="115"/>
      <c r="Z1748" s="115"/>
      <c r="AA1748" s="115"/>
      <c r="AB1748" s="115"/>
      <c r="AC1748" s="115"/>
      <c r="AD1748" s="115"/>
      <c r="AE1748" s="115"/>
      <c r="AF1748" s="115"/>
      <c r="AG1748" s="115"/>
      <c r="AH1748" s="115"/>
      <c r="AI1748" s="115"/>
      <c r="AJ1748" s="115"/>
      <c r="AK1748" s="115"/>
      <c r="AL1748" s="115"/>
      <c r="AM1748" s="115"/>
      <c r="AN1748" s="115"/>
      <c r="AO1748" s="115"/>
      <c r="AP1748" s="115"/>
      <c r="AQ1748" s="115"/>
      <c r="AR1748" s="115"/>
      <c r="AS1748" s="115"/>
      <c r="AT1748" s="115"/>
      <c r="AU1748" s="115"/>
      <c r="AV1748" s="115"/>
      <c r="AW1748" s="115"/>
      <c r="AX1748" s="115"/>
      <c r="AY1748" s="115"/>
      <c r="AZ1748" s="115"/>
      <c r="BA1748" s="115"/>
      <c r="BB1748" s="115"/>
      <c r="BC1748" s="115"/>
      <c r="BD1748" s="115"/>
      <c r="BE1748" s="115"/>
      <c r="BF1748" s="115"/>
      <c r="BG1748" s="115"/>
      <c r="BH1748" s="122"/>
      <c r="BI1748" s="122"/>
      <c r="BJ1748" s="122"/>
      <c r="BK1748" s="115"/>
      <c r="BL1748" s="115"/>
      <c r="BM1748" s="115"/>
      <c r="BN1748" s="115"/>
      <c r="BO1748" s="115"/>
      <c r="BP1748" s="115"/>
      <c r="BQ1748" s="115"/>
      <c r="BR1748" s="115"/>
      <c r="BS1748" s="115"/>
      <c r="BT1748" s="115"/>
      <c r="BU1748" s="115"/>
      <c r="BV1748" s="115"/>
      <c r="BW1748" s="115"/>
      <c r="BX1748" s="115"/>
      <c r="BY1748" s="13"/>
      <c r="BZ1748" s="15"/>
      <c r="CD1748" s="117"/>
      <c r="CE1748" s="116"/>
      <c r="CF1748" s="116"/>
      <c r="CG1748" s="116"/>
    </row>
    <row r="1749" spans="1:85" ht="19.5" x14ac:dyDescent="0.4">
      <c r="A1749" s="115"/>
      <c r="B1749" s="115"/>
      <c r="C1749" s="115"/>
      <c r="D1749" s="115"/>
      <c r="E1749" s="115"/>
      <c r="F1749" s="115"/>
      <c r="G1749" s="115"/>
      <c r="H1749" s="115"/>
      <c r="I1749" s="115"/>
      <c r="J1749" s="115"/>
      <c r="K1749" s="115"/>
      <c r="L1749" s="115"/>
      <c r="M1749" s="115"/>
      <c r="N1749" s="115"/>
      <c r="O1749" s="115"/>
      <c r="P1749" s="115"/>
      <c r="Q1749" s="115"/>
      <c r="R1749" s="115"/>
      <c r="S1749" s="115"/>
      <c r="T1749" s="115"/>
      <c r="U1749" s="115"/>
      <c r="V1749" s="115"/>
      <c r="W1749" s="115"/>
      <c r="X1749" s="115"/>
      <c r="Y1749" s="115"/>
      <c r="Z1749" s="115"/>
      <c r="AA1749" s="115"/>
      <c r="AB1749" s="115"/>
      <c r="AC1749" s="115"/>
      <c r="AD1749" s="115"/>
      <c r="AE1749" s="115"/>
      <c r="AF1749" s="115"/>
      <c r="AG1749" s="115"/>
      <c r="AH1749" s="115"/>
      <c r="AI1749" s="115"/>
      <c r="AJ1749" s="115"/>
      <c r="AK1749" s="115"/>
      <c r="AL1749" s="115"/>
      <c r="AM1749" s="115"/>
      <c r="AN1749" s="115"/>
      <c r="AO1749" s="115"/>
      <c r="AP1749" s="115"/>
      <c r="AQ1749" s="115"/>
      <c r="AR1749" s="115"/>
      <c r="AS1749" s="115"/>
      <c r="AT1749" s="115"/>
      <c r="AU1749" s="115"/>
      <c r="AV1749" s="115"/>
      <c r="AW1749" s="115"/>
      <c r="AX1749" s="115"/>
      <c r="AY1749" s="115"/>
      <c r="AZ1749" s="115"/>
      <c r="BA1749" s="115"/>
      <c r="BB1749" s="115"/>
      <c r="BC1749" s="115"/>
      <c r="BD1749" s="115"/>
      <c r="BE1749" s="115"/>
      <c r="BF1749" s="115"/>
      <c r="BG1749" s="115"/>
      <c r="BH1749" s="122"/>
      <c r="BI1749" s="122"/>
      <c r="BJ1749" s="122"/>
      <c r="BK1749" s="115"/>
      <c r="BL1749" s="115"/>
      <c r="BM1749" s="115"/>
      <c r="BN1749" s="115"/>
      <c r="BO1749" s="115"/>
      <c r="BP1749" s="115"/>
      <c r="BQ1749" s="115"/>
      <c r="BR1749" s="115"/>
      <c r="BS1749" s="115"/>
      <c r="BT1749" s="115"/>
      <c r="BU1749" s="115"/>
      <c r="BV1749" s="115"/>
      <c r="BW1749" s="115"/>
      <c r="BX1749" s="115"/>
      <c r="BY1749" s="25"/>
      <c r="BZ1749" s="15"/>
      <c r="CD1749" s="117"/>
      <c r="CE1749" s="116"/>
      <c r="CF1749" s="116"/>
      <c r="CG1749" s="116"/>
    </row>
    <row r="1750" spans="1:85" ht="19.5" x14ac:dyDescent="0.4">
      <c r="A1750" s="115"/>
      <c r="B1750" s="115"/>
      <c r="C1750" s="115"/>
      <c r="D1750" s="115"/>
      <c r="E1750" s="115"/>
      <c r="F1750" s="115"/>
      <c r="G1750" s="115"/>
      <c r="H1750" s="115"/>
      <c r="I1750" s="115"/>
      <c r="J1750" s="115"/>
      <c r="K1750" s="115"/>
      <c r="L1750" s="115"/>
      <c r="M1750" s="115"/>
      <c r="N1750" s="115"/>
      <c r="O1750" s="115"/>
      <c r="P1750" s="115"/>
      <c r="Q1750" s="115"/>
      <c r="R1750" s="115"/>
      <c r="S1750" s="115"/>
      <c r="T1750" s="115"/>
      <c r="U1750" s="115"/>
      <c r="V1750" s="115"/>
      <c r="W1750" s="115"/>
      <c r="X1750" s="115"/>
      <c r="Y1750" s="115"/>
      <c r="Z1750" s="115"/>
      <c r="AA1750" s="115"/>
      <c r="AB1750" s="115"/>
      <c r="AC1750" s="115"/>
      <c r="AD1750" s="115"/>
      <c r="AE1750" s="115"/>
      <c r="AF1750" s="115"/>
      <c r="AG1750" s="115"/>
      <c r="AH1750" s="115"/>
      <c r="AI1750" s="115"/>
      <c r="AJ1750" s="115"/>
      <c r="AK1750" s="115"/>
      <c r="AL1750" s="115"/>
      <c r="AM1750" s="115"/>
      <c r="AN1750" s="115"/>
      <c r="AO1750" s="115"/>
      <c r="AP1750" s="115"/>
      <c r="AQ1750" s="115"/>
      <c r="AR1750" s="115"/>
      <c r="AS1750" s="115"/>
      <c r="AT1750" s="115"/>
      <c r="AU1750" s="115"/>
      <c r="AV1750" s="115"/>
      <c r="AW1750" s="115"/>
      <c r="AX1750" s="115"/>
      <c r="AY1750" s="115"/>
      <c r="AZ1750" s="115"/>
      <c r="BA1750" s="115"/>
      <c r="BB1750" s="115"/>
      <c r="BC1750" s="115"/>
      <c r="BD1750" s="115"/>
      <c r="BE1750" s="115"/>
      <c r="BF1750" s="115"/>
      <c r="BG1750" s="115"/>
      <c r="BH1750" s="122"/>
      <c r="BI1750" s="122"/>
      <c r="BJ1750" s="122"/>
      <c r="BK1750" s="115"/>
      <c r="BL1750" s="115"/>
      <c r="BM1750" s="115"/>
      <c r="BN1750" s="115"/>
      <c r="BO1750" s="115"/>
      <c r="BP1750" s="115"/>
      <c r="BQ1750" s="115"/>
      <c r="BR1750" s="115"/>
      <c r="BS1750" s="115"/>
      <c r="BT1750" s="115"/>
      <c r="BU1750" s="115"/>
      <c r="BV1750" s="115"/>
      <c r="BW1750" s="115"/>
      <c r="BX1750" s="115"/>
      <c r="BY1750" s="26"/>
      <c r="BZ1750" s="15"/>
      <c r="CD1750" s="117"/>
      <c r="CE1750" s="116"/>
      <c r="CF1750" s="116"/>
      <c r="CG1750" s="116"/>
    </row>
    <row r="1751" spans="1:85" ht="19.5" x14ac:dyDescent="0.4">
      <c r="A1751" s="115"/>
      <c r="B1751" s="115"/>
      <c r="C1751" s="115"/>
      <c r="D1751" s="115"/>
      <c r="E1751" s="115"/>
      <c r="F1751" s="115"/>
      <c r="G1751" s="115"/>
      <c r="H1751" s="115"/>
      <c r="I1751" s="115"/>
      <c r="J1751" s="115"/>
      <c r="K1751" s="115"/>
      <c r="L1751" s="115"/>
      <c r="M1751" s="115"/>
      <c r="N1751" s="115"/>
      <c r="O1751" s="115"/>
      <c r="P1751" s="115"/>
      <c r="Q1751" s="115"/>
      <c r="R1751" s="115"/>
      <c r="S1751" s="115"/>
      <c r="T1751" s="115"/>
      <c r="U1751" s="115"/>
      <c r="V1751" s="115"/>
      <c r="W1751" s="115"/>
      <c r="X1751" s="115"/>
      <c r="Y1751" s="115"/>
      <c r="Z1751" s="115"/>
      <c r="AA1751" s="115"/>
      <c r="AB1751" s="115"/>
      <c r="AC1751" s="115"/>
      <c r="AD1751" s="115"/>
      <c r="AE1751" s="115"/>
      <c r="AF1751" s="115"/>
      <c r="AG1751" s="115"/>
      <c r="AH1751" s="115"/>
      <c r="AI1751" s="115"/>
      <c r="AJ1751" s="115"/>
      <c r="AK1751" s="115"/>
      <c r="AL1751" s="115"/>
      <c r="AM1751" s="115"/>
      <c r="AN1751" s="115"/>
      <c r="AO1751" s="115"/>
      <c r="AP1751" s="115"/>
      <c r="AQ1751" s="115"/>
      <c r="AR1751" s="115"/>
      <c r="AS1751" s="115"/>
      <c r="AT1751" s="115"/>
      <c r="AU1751" s="115"/>
      <c r="AV1751" s="115"/>
      <c r="AW1751" s="115"/>
      <c r="AX1751" s="115"/>
      <c r="AY1751" s="115"/>
      <c r="AZ1751" s="115"/>
      <c r="BA1751" s="115"/>
      <c r="BB1751" s="115"/>
      <c r="BC1751" s="115"/>
      <c r="BD1751" s="115"/>
      <c r="BE1751" s="115"/>
      <c r="BF1751" s="115"/>
      <c r="BG1751" s="115"/>
      <c r="BH1751" s="122"/>
      <c r="BI1751" s="122"/>
      <c r="BJ1751" s="122"/>
      <c r="BK1751" s="115"/>
      <c r="BL1751" s="115"/>
      <c r="BM1751" s="115"/>
      <c r="BN1751" s="115"/>
      <c r="BO1751" s="115"/>
      <c r="BP1751" s="115"/>
      <c r="BQ1751" s="115"/>
      <c r="BR1751" s="115"/>
      <c r="BS1751" s="115"/>
      <c r="BT1751" s="115"/>
      <c r="BU1751" s="115"/>
      <c r="BV1751" s="115"/>
      <c r="BW1751" s="115"/>
      <c r="BX1751" s="115"/>
      <c r="BY1751" s="17"/>
      <c r="BZ1751" s="13"/>
      <c r="CD1751" s="117"/>
      <c r="CE1751" s="116"/>
      <c r="CF1751" s="116"/>
      <c r="CG1751" s="116"/>
    </row>
    <row r="1752" spans="1:85" ht="19.5" x14ac:dyDescent="0.4">
      <c r="A1752" s="115"/>
      <c r="B1752" s="115"/>
      <c r="C1752" s="115"/>
      <c r="D1752" s="115"/>
      <c r="E1752" s="115"/>
      <c r="F1752" s="115"/>
      <c r="G1752" s="115"/>
      <c r="H1752" s="115"/>
      <c r="I1752" s="115"/>
      <c r="J1752" s="115"/>
      <c r="K1752" s="115"/>
      <c r="L1752" s="115"/>
      <c r="M1752" s="115"/>
      <c r="N1752" s="115"/>
      <c r="O1752" s="115"/>
      <c r="P1752" s="115"/>
      <c r="Q1752" s="115"/>
      <c r="R1752" s="115"/>
      <c r="S1752" s="115"/>
      <c r="T1752" s="115"/>
      <c r="U1752" s="115"/>
      <c r="V1752" s="115"/>
      <c r="W1752" s="115"/>
      <c r="X1752" s="115"/>
      <c r="Y1752" s="115"/>
      <c r="Z1752" s="115"/>
      <c r="AA1752" s="115"/>
      <c r="AB1752" s="115"/>
      <c r="AC1752" s="115"/>
      <c r="AD1752" s="115"/>
      <c r="AE1752" s="115"/>
      <c r="AF1752" s="115"/>
      <c r="AG1752" s="115"/>
      <c r="AH1752" s="115"/>
      <c r="AI1752" s="115"/>
      <c r="AJ1752" s="115"/>
      <c r="AK1752" s="115"/>
      <c r="AL1752" s="115"/>
      <c r="AM1752" s="115"/>
      <c r="AN1752" s="115"/>
      <c r="AO1752" s="115"/>
      <c r="AP1752" s="115"/>
      <c r="AQ1752" s="115"/>
      <c r="AR1752" s="115"/>
      <c r="AS1752" s="115"/>
      <c r="AT1752" s="115"/>
      <c r="AU1752" s="115"/>
      <c r="AV1752" s="115"/>
      <c r="AW1752" s="115"/>
      <c r="AX1752" s="115"/>
      <c r="AY1752" s="115"/>
      <c r="AZ1752" s="115"/>
      <c r="BA1752" s="115"/>
      <c r="BB1752" s="115"/>
      <c r="BC1752" s="115"/>
      <c r="BD1752" s="115"/>
      <c r="BE1752" s="115"/>
      <c r="BF1752" s="115"/>
      <c r="BG1752" s="115"/>
      <c r="BH1752" s="122"/>
      <c r="BI1752" s="122"/>
      <c r="BJ1752" s="122"/>
      <c r="BK1752" s="115"/>
      <c r="BL1752" s="115"/>
      <c r="BM1752" s="115"/>
      <c r="BN1752" s="115"/>
      <c r="BO1752" s="115"/>
      <c r="BP1752" s="115"/>
      <c r="BQ1752" s="115"/>
      <c r="BR1752" s="115"/>
      <c r="BS1752" s="115"/>
      <c r="BT1752" s="115"/>
      <c r="BU1752" s="115"/>
      <c r="BV1752" s="115"/>
      <c r="BW1752" s="115"/>
      <c r="BX1752" s="115"/>
      <c r="BY1752" s="26"/>
      <c r="BZ1752" s="13"/>
      <c r="CD1752" s="117"/>
      <c r="CE1752" s="116"/>
      <c r="CF1752" s="116"/>
      <c r="CG1752" s="116"/>
    </row>
    <row r="1753" spans="1:85" ht="19.5" x14ac:dyDescent="0.4">
      <c r="A1753" s="115"/>
      <c r="B1753" s="115"/>
      <c r="C1753" s="115"/>
      <c r="D1753" s="115"/>
      <c r="E1753" s="115"/>
      <c r="F1753" s="115"/>
      <c r="G1753" s="115"/>
      <c r="H1753" s="115"/>
      <c r="I1753" s="115"/>
      <c r="J1753" s="115"/>
      <c r="K1753" s="115"/>
      <c r="L1753" s="115"/>
      <c r="M1753" s="115"/>
      <c r="N1753" s="115"/>
      <c r="O1753" s="115"/>
      <c r="P1753" s="115"/>
      <c r="Q1753" s="115"/>
      <c r="R1753" s="115"/>
      <c r="S1753" s="115"/>
      <c r="T1753" s="115"/>
      <c r="U1753" s="115"/>
      <c r="V1753" s="115"/>
      <c r="W1753" s="115"/>
      <c r="X1753" s="115"/>
      <c r="Y1753" s="115"/>
      <c r="Z1753" s="115"/>
      <c r="AA1753" s="115"/>
      <c r="AB1753" s="115"/>
      <c r="AC1753" s="115"/>
      <c r="AD1753" s="115"/>
      <c r="AE1753" s="115"/>
      <c r="AF1753" s="115"/>
      <c r="AG1753" s="115"/>
      <c r="AH1753" s="115"/>
      <c r="AI1753" s="115"/>
      <c r="AJ1753" s="115"/>
      <c r="AK1753" s="115"/>
      <c r="AL1753" s="115"/>
      <c r="AM1753" s="115"/>
      <c r="AN1753" s="115"/>
      <c r="AO1753" s="115"/>
      <c r="AP1753" s="115"/>
      <c r="AQ1753" s="115"/>
      <c r="AR1753" s="115"/>
      <c r="AS1753" s="115"/>
      <c r="AT1753" s="115"/>
      <c r="AU1753" s="115"/>
      <c r="AV1753" s="115"/>
      <c r="AW1753" s="115"/>
      <c r="AX1753" s="115"/>
      <c r="AY1753" s="115"/>
      <c r="AZ1753" s="115"/>
      <c r="BA1753" s="115"/>
      <c r="BB1753" s="115"/>
      <c r="BC1753" s="115"/>
      <c r="BD1753" s="115"/>
      <c r="BE1753" s="115"/>
      <c r="BF1753" s="115"/>
      <c r="BG1753" s="115"/>
      <c r="BH1753" s="122"/>
      <c r="BI1753" s="122"/>
      <c r="BJ1753" s="122"/>
      <c r="BK1753" s="115"/>
      <c r="BL1753" s="115"/>
      <c r="BM1753" s="115"/>
      <c r="BN1753" s="115"/>
      <c r="BO1753" s="115"/>
      <c r="BP1753" s="115"/>
      <c r="BQ1753" s="115"/>
      <c r="BR1753" s="115"/>
      <c r="BS1753" s="115"/>
      <c r="BT1753" s="115"/>
      <c r="BU1753" s="115"/>
      <c r="BV1753" s="115"/>
      <c r="BW1753" s="115"/>
      <c r="BX1753" s="115"/>
      <c r="BY1753" s="17"/>
      <c r="BZ1753" s="13"/>
      <c r="CD1753" s="117"/>
      <c r="CE1753" s="116"/>
      <c r="CF1753" s="116"/>
      <c r="CG1753" s="116"/>
    </row>
    <row r="1754" spans="1:85" ht="19.5" x14ac:dyDescent="0.4">
      <c r="A1754" s="115"/>
      <c r="B1754" s="115"/>
      <c r="C1754" s="115"/>
      <c r="D1754" s="115"/>
      <c r="E1754" s="115"/>
      <c r="F1754" s="115"/>
      <c r="G1754" s="115"/>
      <c r="H1754" s="115"/>
      <c r="I1754" s="115"/>
      <c r="J1754" s="115"/>
      <c r="K1754" s="115"/>
      <c r="L1754" s="115"/>
      <c r="M1754" s="115"/>
      <c r="N1754" s="115"/>
      <c r="O1754" s="115"/>
      <c r="P1754" s="115"/>
      <c r="Q1754" s="115"/>
      <c r="R1754" s="115"/>
      <c r="S1754" s="115"/>
      <c r="T1754" s="115"/>
      <c r="U1754" s="115"/>
      <c r="V1754" s="115"/>
      <c r="W1754" s="115"/>
      <c r="X1754" s="115"/>
      <c r="Y1754" s="115"/>
      <c r="Z1754" s="115"/>
      <c r="AA1754" s="115"/>
      <c r="AB1754" s="115"/>
      <c r="AC1754" s="115"/>
      <c r="AD1754" s="115"/>
      <c r="AE1754" s="115"/>
      <c r="AF1754" s="115"/>
      <c r="AG1754" s="115"/>
      <c r="AH1754" s="115"/>
      <c r="AI1754" s="115"/>
      <c r="AJ1754" s="115"/>
      <c r="AK1754" s="115"/>
      <c r="AL1754" s="115"/>
      <c r="AM1754" s="115"/>
      <c r="AN1754" s="115"/>
      <c r="AO1754" s="115"/>
      <c r="AP1754" s="115"/>
      <c r="AQ1754" s="115"/>
      <c r="AR1754" s="115"/>
      <c r="AS1754" s="115"/>
      <c r="AT1754" s="115"/>
      <c r="AU1754" s="115"/>
      <c r="AV1754" s="115"/>
      <c r="AW1754" s="115"/>
      <c r="AX1754" s="115"/>
      <c r="AY1754" s="115"/>
      <c r="AZ1754" s="115"/>
      <c r="BA1754" s="115"/>
      <c r="BB1754" s="115"/>
      <c r="BC1754" s="115"/>
      <c r="BD1754" s="115"/>
      <c r="BE1754" s="115"/>
      <c r="BF1754" s="115"/>
      <c r="BG1754" s="115"/>
      <c r="BH1754" s="122"/>
      <c r="BI1754" s="122"/>
      <c r="BJ1754" s="122"/>
      <c r="BK1754" s="115"/>
      <c r="BL1754" s="115"/>
      <c r="BM1754" s="115"/>
      <c r="BN1754" s="115"/>
      <c r="BO1754" s="115"/>
      <c r="BP1754" s="115"/>
      <c r="BQ1754" s="115"/>
      <c r="BR1754" s="115"/>
      <c r="BS1754" s="115"/>
      <c r="BT1754" s="115"/>
      <c r="BU1754" s="115"/>
      <c r="BV1754" s="115"/>
      <c r="BW1754" s="115"/>
      <c r="BX1754" s="115"/>
      <c r="BY1754" s="26"/>
      <c r="BZ1754" s="15"/>
      <c r="CD1754" s="117"/>
      <c r="CE1754" s="116"/>
      <c r="CF1754" s="116"/>
      <c r="CG1754" s="116"/>
    </row>
    <row r="1755" spans="1:85" ht="19.5" x14ac:dyDescent="0.4">
      <c r="A1755" s="115"/>
      <c r="B1755" s="115"/>
      <c r="C1755" s="115"/>
      <c r="D1755" s="115"/>
      <c r="E1755" s="115"/>
      <c r="F1755" s="115"/>
      <c r="G1755" s="115"/>
      <c r="H1755" s="115"/>
      <c r="I1755" s="115"/>
      <c r="J1755" s="115"/>
      <c r="K1755" s="115"/>
      <c r="L1755" s="115"/>
      <c r="M1755" s="115"/>
      <c r="N1755" s="115"/>
      <c r="O1755" s="115"/>
      <c r="P1755" s="115"/>
      <c r="Q1755" s="115"/>
      <c r="R1755" s="115"/>
      <c r="S1755" s="115"/>
      <c r="T1755" s="115"/>
      <c r="U1755" s="115"/>
      <c r="V1755" s="115"/>
      <c r="W1755" s="115"/>
      <c r="X1755" s="115"/>
      <c r="Y1755" s="115"/>
      <c r="Z1755" s="115"/>
      <c r="AA1755" s="115"/>
      <c r="AB1755" s="115"/>
      <c r="AC1755" s="115"/>
      <c r="AD1755" s="115"/>
      <c r="AE1755" s="115"/>
      <c r="AF1755" s="115"/>
      <c r="AG1755" s="115"/>
      <c r="AH1755" s="115"/>
      <c r="AI1755" s="115"/>
      <c r="AJ1755" s="115"/>
      <c r="AK1755" s="115"/>
      <c r="AL1755" s="115"/>
      <c r="AM1755" s="115"/>
      <c r="AN1755" s="115"/>
      <c r="AO1755" s="115"/>
      <c r="AP1755" s="115"/>
      <c r="AQ1755" s="115"/>
      <c r="AR1755" s="115"/>
      <c r="AS1755" s="115"/>
      <c r="AT1755" s="115"/>
      <c r="AU1755" s="115"/>
      <c r="AV1755" s="115"/>
      <c r="AW1755" s="115"/>
      <c r="AX1755" s="115"/>
      <c r="AY1755" s="115"/>
      <c r="AZ1755" s="115"/>
      <c r="BA1755" s="115"/>
      <c r="BB1755" s="115"/>
      <c r="BC1755" s="115"/>
      <c r="BD1755" s="115"/>
      <c r="BE1755" s="115"/>
      <c r="BF1755" s="115"/>
      <c r="BG1755" s="115"/>
      <c r="BH1755" s="122"/>
      <c r="BI1755" s="122"/>
      <c r="BJ1755" s="122"/>
      <c r="BK1755" s="115"/>
      <c r="BL1755" s="115"/>
      <c r="BM1755" s="115"/>
      <c r="BN1755" s="115"/>
      <c r="BO1755" s="115"/>
      <c r="BP1755" s="115"/>
      <c r="BQ1755" s="115"/>
      <c r="BR1755" s="115"/>
      <c r="BS1755" s="115"/>
      <c r="BT1755" s="115"/>
      <c r="BU1755" s="115"/>
      <c r="BV1755" s="115"/>
      <c r="BW1755" s="115"/>
      <c r="BX1755" s="115"/>
      <c r="BY1755" s="17"/>
      <c r="BZ1755" s="15"/>
      <c r="CD1755" s="117"/>
      <c r="CE1755" s="116"/>
      <c r="CF1755" s="116"/>
      <c r="CG1755" s="116"/>
    </row>
    <row r="1756" spans="1:85" ht="19.5" x14ac:dyDescent="0.4">
      <c r="BY1756" s="26"/>
      <c r="BZ1756" s="105"/>
      <c r="CD1756" s="117"/>
      <c r="CE1756" s="116"/>
      <c r="CF1756" s="116"/>
      <c r="CG1756" s="116"/>
    </row>
    <row r="1757" spans="1:85" ht="19.5" x14ac:dyDescent="0.4">
      <c r="BE1757" s="115"/>
      <c r="BF1757" s="115"/>
      <c r="BG1757" s="115"/>
      <c r="BH1757" s="122"/>
      <c r="BI1757" s="122"/>
      <c r="BJ1757" s="122"/>
      <c r="BK1757" s="115"/>
      <c r="BL1757" s="115"/>
      <c r="BM1757" s="115"/>
      <c r="BN1757" s="115"/>
      <c r="BO1757" s="115"/>
      <c r="BP1757" s="115"/>
      <c r="BQ1757" s="115"/>
      <c r="BR1757" s="115"/>
      <c r="BS1757" s="115"/>
      <c r="BT1757" s="115"/>
      <c r="BU1757" s="115"/>
      <c r="BV1757" s="115"/>
      <c r="BW1757" s="115"/>
      <c r="BX1757" s="115"/>
      <c r="BY1757" s="17"/>
      <c r="BZ1757" s="15"/>
      <c r="CD1757" s="117"/>
      <c r="CE1757" s="116"/>
      <c r="CF1757" s="116"/>
      <c r="CG1757" s="116"/>
    </row>
    <row r="1758" spans="1:85" ht="19.5" x14ac:dyDescent="0.4">
      <c r="BB1758" s="115"/>
      <c r="BC1758" s="115"/>
      <c r="BD1758" s="115"/>
      <c r="BE1758" s="115"/>
      <c r="BF1758" s="115"/>
      <c r="BG1758" s="115"/>
      <c r="BH1758" s="122"/>
      <c r="BI1758" s="122"/>
      <c r="BJ1758" s="122"/>
      <c r="BK1758" s="115"/>
      <c r="BL1758" s="115"/>
      <c r="BM1758" s="115"/>
      <c r="BN1758" s="115"/>
      <c r="BO1758" s="115"/>
      <c r="BP1758" s="115"/>
      <c r="BQ1758" s="115"/>
      <c r="BR1758" s="115"/>
      <c r="BS1758" s="115"/>
      <c r="BT1758" s="115"/>
      <c r="BU1758" s="115"/>
      <c r="BV1758" s="115"/>
      <c r="BW1758" s="115"/>
      <c r="BX1758" s="115"/>
      <c r="BY1758" s="26"/>
      <c r="BZ1758" s="15"/>
      <c r="CD1758" s="117"/>
      <c r="CE1758" s="116"/>
      <c r="CF1758" s="116"/>
      <c r="CG1758" s="116"/>
    </row>
    <row r="1759" spans="1:85" ht="19.5" x14ac:dyDescent="0.4">
      <c r="BB1759" s="115"/>
      <c r="BC1759" s="115"/>
      <c r="BD1759" s="115"/>
      <c r="BE1759" s="115"/>
      <c r="BF1759" s="115"/>
      <c r="BG1759" s="115"/>
      <c r="BH1759" s="122"/>
      <c r="BI1759" s="122"/>
      <c r="BJ1759" s="122"/>
      <c r="BK1759" s="115"/>
      <c r="BL1759" s="115"/>
      <c r="BM1759" s="115"/>
      <c r="BN1759" s="115"/>
      <c r="BO1759" s="115"/>
      <c r="BP1759" s="115"/>
      <c r="BQ1759" s="115"/>
      <c r="BR1759" s="115"/>
      <c r="BS1759" s="115"/>
      <c r="BT1759" s="115"/>
      <c r="BU1759" s="115"/>
      <c r="BV1759" s="115"/>
      <c r="BW1759" s="115"/>
      <c r="BX1759" s="115"/>
      <c r="BY1759" s="17"/>
      <c r="BZ1759" s="15"/>
      <c r="CD1759" s="117"/>
      <c r="CE1759" s="116"/>
      <c r="CF1759" s="116"/>
      <c r="CG1759" s="116"/>
    </row>
    <row r="1760" spans="1:85" ht="19.5" x14ac:dyDescent="0.4">
      <c r="E1760" s="115"/>
      <c r="F1760" s="115"/>
      <c r="G1760" s="115"/>
      <c r="H1760" s="115"/>
      <c r="I1760" s="115"/>
      <c r="J1760" s="115"/>
      <c r="K1760" s="115"/>
      <c r="L1760" s="115"/>
      <c r="M1760" s="115"/>
      <c r="N1760" s="115"/>
      <c r="O1760" s="115"/>
      <c r="P1760" s="115"/>
      <c r="Q1760" s="115"/>
      <c r="R1760" s="115"/>
      <c r="S1760" s="115"/>
      <c r="T1760" s="115"/>
      <c r="U1760" s="115"/>
      <c r="V1760" s="115"/>
      <c r="W1760" s="115"/>
      <c r="X1760" s="115"/>
      <c r="Y1760" s="115"/>
      <c r="Z1760" s="115"/>
      <c r="AA1760" s="115"/>
      <c r="AB1760" s="115"/>
      <c r="AC1760" s="115"/>
      <c r="AD1760" s="115"/>
      <c r="AE1760" s="115"/>
      <c r="AF1760" s="115"/>
      <c r="AG1760" s="115"/>
      <c r="AH1760" s="115"/>
      <c r="AI1760" s="115"/>
      <c r="AJ1760" s="115"/>
      <c r="AK1760" s="115"/>
      <c r="AL1760" s="115"/>
      <c r="AM1760" s="115"/>
      <c r="AN1760" s="115"/>
      <c r="AO1760" s="115"/>
      <c r="AP1760" s="115"/>
      <c r="AQ1760" s="115"/>
      <c r="AR1760" s="115"/>
      <c r="AS1760" s="115"/>
      <c r="AT1760" s="115"/>
      <c r="AU1760" s="115"/>
      <c r="AV1760" s="115"/>
      <c r="AW1760" s="115"/>
      <c r="AX1760" s="115"/>
      <c r="AY1760" s="115"/>
      <c r="AZ1760" s="115"/>
      <c r="BA1760" s="115"/>
      <c r="BB1760" s="115"/>
      <c r="BC1760" s="115"/>
      <c r="BD1760" s="115"/>
      <c r="BE1760" s="115"/>
      <c r="BF1760" s="115"/>
      <c r="BG1760" s="115"/>
      <c r="BH1760" s="122"/>
      <c r="BI1760" s="122"/>
      <c r="BJ1760" s="122"/>
      <c r="BK1760" s="115"/>
      <c r="BL1760" s="115"/>
      <c r="BM1760" s="115"/>
      <c r="BN1760" s="115"/>
      <c r="BO1760" s="115"/>
      <c r="BP1760" s="115"/>
      <c r="BQ1760" s="115"/>
      <c r="BR1760" s="115"/>
      <c r="BS1760" s="115"/>
      <c r="BT1760" s="115"/>
      <c r="BU1760" s="115"/>
      <c r="BV1760" s="115"/>
      <c r="BW1760" s="115"/>
      <c r="BX1760" s="115"/>
      <c r="BY1760" s="26"/>
      <c r="BZ1760" s="15"/>
      <c r="CD1760" s="117"/>
      <c r="CE1760" s="116"/>
      <c r="CF1760" s="116"/>
      <c r="CG1760" s="116"/>
    </row>
    <row r="1761" spans="1:85" ht="19.5" x14ac:dyDescent="0.4">
      <c r="E1761" s="115"/>
      <c r="F1761" s="115"/>
      <c r="G1761" s="115"/>
      <c r="H1761" s="115"/>
      <c r="I1761" s="115"/>
      <c r="J1761" s="115"/>
      <c r="K1761" s="115"/>
      <c r="L1761" s="115"/>
      <c r="M1761" s="115"/>
      <c r="N1761" s="115"/>
      <c r="O1761" s="115"/>
      <c r="P1761" s="115"/>
      <c r="Q1761" s="115"/>
      <c r="R1761" s="115"/>
      <c r="S1761" s="115"/>
      <c r="T1761" s="115"/>
      <c r="U1761" s="115"/>
      <c r="V1761" s="115"/>
      <c r="W1761" s="115"/>
      <c r="X1761" s="115"/>
      <c r="Y1761" s="115"/>
      <c r="Z1761" s="115"/>
      <c r="AA1761" s="115"/>
      <c r="AB1761" s="115"/>
      <c r="AC1761" s="115"/>
      <c r="AD1761" s="115"/>
      <c r="AE1761" s="115"/>
      <c r="AF1761" s="115"/>
      <c r="AG1761" s="115"/>
      <c r="AH1761" s="115"/>
      <c r="AI1761" s="115"/>
      <c r="AJ1761" s="115"/>
      <c r="AK1761" s="115"/>
      <c r="AL1761" s="115"/>
      <c r="AM1761" s="115"/>
      <c r="AN1761" s="115"/>
      <c r="AO1761" s="115"/>
      <c r="AP1761" s="115"/>
      <c r="AQ1761" s="115"/>
      <c r="AR1761" s="115"/>
      <c r="AS1761" s="115"/>
      <c r="AT1761" s="115"/>
      <c r="AU1761" s="115"/>
      <c r="AV1761" s="115"/>
      <c r="AW1761" s="115"/>
      <c r="AX1761" s="115"/>
      <c r="AY1761" s="115"/>
      <c r="AZ1761" s="115"/>
      <c r="BA1761" s="115"/>
      <c r="BB1761" s="115"/>
      <c r="BC1761" s="115"/>
      <c r="BD1761" s="115"/>
      <c r="BE1761" s="115"/>
      <c r="BF1761" s="115"/>
      <c r="BG1761" s="115"/>
      <c r="BH1761" s="122"/>
      <c r="BI1761" s="122"/>
      <c r="BJ1761" s="122"/>
      <c r="BK1761" s="115"/>
      <c r="BL1761" s="115"/>
      <c r="BM1761" s="115"/>
      <c r="BN1761" s="115"/>
      <c r="BO1761" s="115"/>
      <c r="BP1761" s="115"/>
      <c r="BQ1761" s="115"/>
      <c r="BR1761" s="115"/>
      <c r="BS1761" s="115"/>
      <c r="BT1761" s="115"/>
      <c r="BU1761" s="115"/>
      <c r="BV1761" s="115"/>
      <c r="BW1761" s="115"/>
      <c r="BX1761" s="115"/>
      <c r="BY1761" s="17"/>
      <c r="BZ1761" s="15"/>
      <c r="CD1761" s="117"/>
      <c r="CE1761" s="116"/>
      <c r="CF1761" s="116"/>
      <c r="CG1761" s="116"/>
    </row>
    <row r="1762" spans="1:85" ht="19.5" x14ac:dyDescent="0.4">
      <c r="A1762" s="115"/>
      <c r="B1762" s="115"/>
      <c r="C1762" s="115"/>
      <c r="D1762" s="115"/>
      <c r="E1762" s="115"/>
      <c r="F1762" s="115"/>
      <c r="G1762" s="115"/>
      <c r="H1762" s="115"/>
      <c r="I1762" s="115"/>
      <c r="J1762" s="115"/>
      <c r="K1762" s="115"/>
      <c r="L1762" s="115"/>
      <c r="M1762" s="115"/>
      <c r="N1762" s="115"/>
      <c r="O1762" s="115"/>
      <c r="P1762" s="115"/>
      <c r="Q1762" s="115"/>
      <c r="R1762" s="115"/>
      <c r="S1762" s="115"/>
      <c r="T1762" s="115"/>
      <c r="U1762" s="115"/>
      <c r="V1762" s="115"/>
      <c r="W1762" s="115"/>
      <c r="X1762" s="115"/>
      <c r="Y1762" s="115"/>
      <c r="Z1762" s="115"/>
      <c r="AA1762" s="115"/>
      <c r="AB1762" s="115"/>
      <c r="AC1762" s="115"/>
      <c r="AD1762" s="115"/>
      <c r="AE1762" s="115"/>
      <c r="AF1762" s="115"/>
      <c r="AG1762" s="115"/>
      <c r="AH1762" s="115"/>
      <c r="AI1762" s="115"/>
      <c r="AJ1762" s="115"/>
      <c r="AK1762" s="115"/>
      <c r="AL1762" s="115"/>
      <c r="AM1762" s="115"/>
      <c r="AN1762" s="115"/>
      <c r="AO1762" s="115"/>
      <c r="AP1762" s="115"/>
      <c r="AQ1762" s="115"/>
      <c r="AR1762" s="115"/>
      <c r="AS1762" s="115"/>
      <c r="AT1762" s="115"/>
      <c r="AU1762" s="115"/>
      <c r="AV1762" s="115"/>
      <c r="AW1762" s="115"/>
      <c r="AX1762" s="115"/>
      <c r="AY1762" s="115"/>
      <c r="AZ1762" s="115"/>
      <c r="BA1762" s="115"/>
      <c r="BB1762" s="115"/>
      <c r="BC1762" s="115"/>
      <c r="BD1762" s="115"/>
      <c r="BE1762" s="115"/>
      <c r="BF1762" s="115"/>
      <c r="BG1762" s="115"/>
      <c r="BH1762" s="122"/>
      <c r="BI1762" s="122"/>
      <c r="BJ1762" s="122"/>
      <c r="BK1762" s="115"/>
      <c r="BL1762" s="115"/>
      <c r="BM1762" s="115"/>
      <c r="BN1762" s="115"/>
      <c r="BO1762" s="115"/>
      <c r="BP1762" s="115"/>
      <c r="BQ1762" s="115"/>
      <c r="BR1762" s="115"/>
      <c r="BS1762" s="115"/>
      <c r="BT1762" s="115"/>
      <c r="BU1762" s="115"/>
      <c r="BV1762" s="115"/>
      <c r="BW1762" s="115"/>
      <c r="BX1762" s="115"/>
      <c r="BY1762" s="26"/>
      <c r="BZ1762" s="15"/>
      <c r="CD1762" s="117"/>
      <c r="CE1762" s="116"/>
      <c r="CF1762" s="116"/>
      <c r="CG1762" s="116"/>
    </row>
    <row r="1763" spans="1:85" ht="19.5" x14ac:dyDescent="0.4">
      <c r="A1763" s="115"/>
      <c r="B1763" s="115"/>
      <c r="C1763" s="115"/>
      <c r="D1763" s="115"/>
      <c r="E1763" s="115"/>
      <c r="F1763" s="115"/>
      <c r="G1763" s="115"/>
      <c r="H1763" s="115"/>
      <c r="I1763" s="115"/>
      <c r="J1763" s="115"/>
      <c r="K1763" s="115"/>
      <c r="L1763" s="115"/>
      <c r="M1763" s="115"/>
      <c r="N1763" s="115"/>
      <c r="O1763" s="115"/>
      <c r="P1763" s="115"/>
      <c r="Q1763" s="115"/>
      <c r="R1763" s="115"/>
      <c r="S1763" s="115"/>
      <c r="T1763" s="115"/>
      <c r="U1763" s="115"/>
      <c r="V1763" s="115"/>
      <c r="W1763" s="115"/>
      <c r="X1763" s="115"/>
      <c r="Y1763" s="115"/>
      <c r="Z1763" s="115"/>
      <c r="AA1763" s="115"/>
      <c r="AB1763" s="115"/>
      <c r="AC1763" s="115"/>
      <c r="AD1763" s="115"/>
      <c r="AE1763" s="115"/>
      <c r="AF1763" s="115"/>
      <c r="AG1763" s="115"/>
      <c r="AH1763" s="115"/>
      <c r="AI1763" s="115"/>
      <c r="AJ1763" s="115"/>
      <c r="AK1763" s="115"/>
      <c r="AL1763" s="115"/>
      <c r="AM1763" s="115"/>
      <c r="AN1763" s="115"/>
      <c r="AO1763" s="115"/>
      <c r="AP1763" s="115"/>
      <c r="AQ1763" s="115"/>
      <c r="AR1763" s="115"/>
      <c r="AS1763" s="115"/>
      <c r="AT1763" s="115"/>
      <c r="AU1763" s="115"/>
      <c r="AV1763" s="115"/>
      <c r="AW1763" s="115"/>
      <c r="AX1763" s="115"/>
      <c r="AY1763" s="115"/>
      <c r="AZ1763" s="115"/>
      <c r="BA1763" s="115"/>
      <c r="BB1763" s="115"/>
      <c r="BC1763" s="115"/>
      <c r="BD1763" s="115"/>
      <c r="BE1763" s="115"/>
      <c r="BF1763" s="115"/>
      <c r="BG1763" s="115"/>
      <c r="BH1763" s="122"/>
      <c r="BI1763" s="122"/>
      <c r="BJ1763" s="122"/>
      <c r="BK1763" s="115"/>
      <c r="BL1763" s="115"/>
      <c r="BM1763" s="115"/>
      <c r="BN1763" s="115"/>
      <c r="BO1763" s="115"/>
      <c r="BP1763" s="115"/>
      <c r="BQ1763" s="115"/>
      <c r="BR1763" s="115"/>
      <c r="BS1763" s="115"/>
      <c r="BT1763" s="115"/>
      <c r="BU1763" s="115"/>
      <c r="BV1763" s="115"/>
      <c r="BW1763" s="115"/>
      <c r="BX1763" s="115"/>
      <c r="BY1763" s="26"/>
      <c r="BZ1763" s="15"/>
      <c r="CD1763" s="117"/>
      <c r="CE1763" s="116"/>
      <c r="CF1763" s="116"/>
      <c r="CG1763" s="116"/>
    </row>
    <row r="1764" spans="1:85" ht="19.5" x14ac:dyDescent="0.4">
      <c r="A1764" s="115"/>
      <c r="B1764" s="115"/>
      <c r="C1764" s="115"/>
      <c r="D1764" s="115"/>
      <c r="E1764" s="115"/>
      <c r="F1764" s="115"/>
      <c r="G1764" s="115"/>
      <c r="H1764" s="115"/>
      <c r="I1764" s="115"/>
      <c r="J1764" s="115"/>
      <c r="K1764" s="115"/>
      <c r="L1764" s="115"/>
      <c r="M1764" s="115"/>
      <c r="N1764" s="115"/>
      <c r="O1764" s="115"/>
      <c r="P1764" s="115"/>
      <c r="Q1764" s="115"/>
      <c r="R1764" s="115"/>
      <c r="S1764" s="115"/>
      <c r="T1764" s="115"/>
      <c r="U1764" s="115"/>
      <c r="V1764" s="115"/>
      <c r="W1764" s="115"/>
      <c r="X1764" s="115"/>
      <c r="Y1764" s="115"/>
      <c r="Z1764" s="115"/>
      <c r="AA1764" s="115"/>
      <c r="AB1764" s="115"/>
      <c r="AC1764" s="115"/>
      <c r="AD1764" s="115"/>
      <c r="AE1764" s="115"/>
      <c r="AF1764" s="115"/>
      <c r="AG1764" s="115"/>
      <c r="AH1764" s="115"/>
      <c r="AI1764" s="115"/>
      <c r="AJ1764" s="115"/>
      <c r="AK1764" s="115"/>
      <c r="AL1764" s="115"/>
      <c r="AM1764" s="115"/>
      <c r="AN1764" s="115"/>
      <c r="AO1764" s="115"/>
      <c r="AP1764" s="115"/>
      <c r="AQ1764" s="115"/>
      <c r="AR1764" s="115"/>
      <c r="AS1764" s="115"/>
      <c r="AT1764" s="115"/>
      <c r="AU1764" s="115"/>
      <c r="AV1764" s="115"/>
      <c r="AW1764" s="115"/>
      <c r="AX1764" s="115"/>
      <c r="AY1764" s="115"/>
      <c r="AZ1764" s="115"/>
      <c r="BA1764" s="115"/>
      <c r="BB1764" s="115"/>
      <c r="BC1764" s="115"/>
      <c r="BD1764" s="115"/>
      <c r="BE1764" s="115"/>
      <c r="BF1764" s="115"/>
      <c r="BG1764" s="115"/>
      <c r="BH1764" s="122"/>
      <c r="BI1764" s="122"/>
      <c r="BJ1764" s="122"/>
      <c r="BK1764" s="115"/>
      <c r="BL1764" s="115"/>
      <c r="BM1764" s="115"/>
      <c r="BN1764" s="115"/>
      <c r="BO1764" s="115"/>
      <c r="BP1764" s="115"/>
      <c r="BQ1764" s="115"/>
      <c r="BR1764" s="115"/>
      <c r="BS1764" s="115"/>
      <c r="BT1764" s="115"/>
      <c r="BU1764" s="115"/>
      <c r="BV1764" s="115"/>
      <c r="BW1764" s="115"/>
      <c r="BX1764" s="115"/>
      <c r="BY1764" s="17"/>
      <c r="BZ1764" s="15"/>
      <c r="CD1764" s="117"/>
      <c r="CE1764" s="116"/>
      <c r="CF1764" s="116"/>
      <c r="CG1764" s="116"/>
    </row>
    <row r="1765" spans="1:85" ht="19.5" x14ac:dyDescent="0.4">
      <c r="A1765" s="115"/>
      <c r="B1765" s="115"/>
      <c r="C1765" s="115"/>
      <c r="D1765" s="115"/>
      <c r="E1765" s="115"/>
      <c r="F1765" s="115"/>
      <c r="G1765" s="115"/>
      <c r="H1765" s="115"/>
      <c r="I1765" s="115"/>
      <c r="J1765" s="115"/>
      <c r="K1765" s="115"/>
      <c r="L1765" s="115"/>
      <c r="M1765" s="115"/>
      <c r="N1765" s="115"/>
      <c r="O1765" s="115"/>
      <c r="P1765" s="115"/>
      <c r="Q1765" s="115"/>
      <c r="R1765" s="115"/>
      <c r="S1765" s="115"/>
      <c r="T1765" s="115"/>
      <c r="U1765" s="115"/>
      <c r="V1765" s="115"/>
      <c r="W1765" s="115"/>
      <c r="X1765" s="115"/>
      <c r="Y1765" s="115"/>
      <c r="Z1765" s="115"/>
      <c r="AA1765" s="115"/>
      <c r="AB1765" s="115"/>
      <c r="AC1765" s="115"/>
      <c r="AD1765" s="115"/>
      <c r="AE1765" s="115"/>
      <c r="AF1765" s="115"/>
      <c r="AG1765" s="115"/>
      <c r="AH1765" s="115"/>
      <c r="AI1765" s="115"/>
      <c r="AJ1765" s="115"/>
      <c r="AK1765" s="115"/>
      <c r="AL1765" s="115"/>
      <c r="AM1765" s="115"/>
      <c r="AN1765" s="115"/>
      <c r="AO1765" s="115"/>
      <c r="AP1765" s="115"/>
      <c r="AQ1765" s="115"/>
      <c r="AR1765" s="115"/>
      <c r="AS1765" s="115"/>
      <c r="AT1765" s="115"/>
      <c r="AU1765" s="115"/>
      <c r="AV1765" s="115"/>
      <c r="AW1765" s="115"/>
      <c r="AX1765" s="115"/>
      <c r="AY1765" s="115"/>
      <c r="AZ1765" s="115"/>
      <c r="BA1765" s="115"/>
      <c r="BB1765" s="115"/>
      <c r="BC1765" s="115"/>
      <c r="BD1765" s="115"/>
      <c r="BE1765" s="115"/>
      <c r="BF1765" s="115"/>
      <c r="BG1765" s="115"/>
      <c r="BH1765" s="122"/>
      <c r="BI1765" s="122"/>
      <c r="BJ1765" s="122"/>
      <c r="BK1765" s="115"/>
      <c r="BL1765" s="115"/>
      <c r="BM1765" s="115"/>
      <c r="BN1765" s="115"/>
      <c r="BO1765" s="115"/>
      <c r="BP1765" s="115"/>
      <c r="BQ1765" s="115"/>
      <c r="BR1765" s="115"/>
      <c r="BS1765" s="115"/>
      <c r="BT1765" s="115"/>
      <c r="BU1765" s="115"/>
      <c r="BV1765" s="115"/>
      <c r="BW1765" s="115"/>
      <c r="BX1765" s="115"/>
      <c r="BY1765" s="26"/>
      <c r="BZ1765" s="15"/>
      <c r="CD1765" s="117"/>
      <c r="CE1765" s="116"/>
      <c r="CF1765" s="116"/>
      <c r="CG1765" s="116"/>
    </row>
    <row r="1766" spans="1:85" ht="19.5" x14ac:dyDescent="0.4">
      <c r="A1766" s="115"/>
      <c r="B1766" s="115"/>
      <c r="C1766" s="115"/>
      <c r="D1766" s="115"/>
      <c r="E1766" s="115"/>
      <c r="F1766" s="115"/>
      <c r="G1766" s="115"/>
      <c r="H1766" s="115"/>
      <c r="I1766" s="115"/>
      <c r="J1766" s="115"/>
      <c r="K1766" s="115"/>
      <c r="L1766" s="115"/>
      <c r="M1766" s="115"/>
      <c r="N1766" s="115"/>
      <c r="O1766" s="115"/>
      <c r="P1766" s="115"/>
      <c r="Q1766" s="115"/>
      <c r="R1766" s="115"/>
      <c r="S1766" s="115"/>
      <c r="T1766" s="115"/>
      <c r="U1766" s="115"/>
      <c r="V1766" s="115"/>
      <c r="W1766" s="115"/>
      <c r="X1766" s="115"/>
      <c r="Y1766" s="115"/>
      <c r="Z1766" s="115"/>
      <c r="AA1766" s="115"/>
      <c r="AB1766" s="115"/>
      <c r="AC1766" s="115"/>
      <c r="AD1766" s="115"/>
      <c r="AE1766" s="115"/>
      <c r="AF1766" s="115"/>
      <c r="AG1766" s="115"/>
      <c r="AH1766" s="115"/>
      <c r="AI1766" s="115"/>
      <c r="AJ1766" s="115"/>
      <c r="AK1766" s="115"/>
      <c r="AL1766" s="115"/>
      <c r="AM1766" s="115"/>
      <c r="AN1766" s="115"/>
      <c r="AO1766" s="115"/>
      <c r="AP1766" s="115"/>
      <c r="AQ1766" s="115"/>
      <c r="AR1766" s="115"/>
      <c r="AS1766" s="115"/>
      <c r="AT1766" s="115"/>
      <c r="AU1766" s="115"/>
      <c r="AV1766" s="115"/>
      <c r="AW1766" s="115"/>
      <c r="AX1766" s="115"/>
      <c r="AY1766" s="115"/>
      <c r="AZ1766" s="115"/>
      <c r="BA1766" s="115"/>
      <c r="BB1766" s="115"/>
      <c r="BC1766" s="115"/>
      <c r="BD1766" s="115"/>
      <c r="BE1766" s="115"/>
      <c r="BF1766" s="115"/>
      <c r="BG1766" s="115"/>
      <c r="BH1766" s="122"/>
      <c r="BI1766" s="122"/>
      <c r="BJ1766" s="122"/>
      <c r="BK1766" s="115"/>
      <c r="BL1766" s="115"/>
      <c r="BM1766" s="115"/>
      <c r="BN1766" s="115"/>
      <c r="BO1766" s="115"/>
      <c r="BP1766" s="115"/>
      <c r="BQ1766" s="115"/>
      <c r="BR1766" s="115"/>
      <c r="BS1766" s="115"/>
      <c r="BT1766" s="115"/>
      <c r="BU1766" s="115"/>
      <c r="BV1766" s="115"/>
      <c r="BW1766" s="115"/>
      <c r="BX1766" s="115"/>
      <c r="BY1766" s="17"/>
      <c r="BZ1766" s="15"/>
      <c r="CD1766" s="117"/>
      <c r="CE1766" s="116"/>
      <c r="CF1766" s="116"/>
      <c r="CG1766" s="116"/>
    </row>
    <row r="1767" spans="1:85" ht="19.5" x14ac:dyDescent="0.4">
      <c r="BY1767" s="26"/>
      <c r="BZ1767" s="15"/>
      <c r="CD1767" s="117"/>
      <c r="CE1767" s="116"/>
      <c r="CF1767" s="116"/>
      <c r="CG1767" s="116"/>
    </row>
    <row r="1768" spans="1:85" ht="19.5" x14ac:dyDescent="0.4">
      <c r="BE1768" s="115"/>
      <c r="BF1768" s="115"/>
      <c r="BG1768" s="115"/>
      <c r="BH1768" s="122"/>
      <c r="BI1768" s="122"/>
      <c r="BJ1768" s="122"/>
      <c r="BK1768" s="115"/>
      <c r="BL1768" s="115"/>
      <c r="BM1768" s="115"/>
      <c r="BN1768" s="115"/>
      <c r="BO1768" s="115"/>
      <c r="BP1768" s="115"/>
      <c r="BQ1768" s="115"/>
      <c r="BR1768" s="115"/>
      <c r="BS1768" s="115"/>
      <c r="BT1768" s="115"/>
      <c r="BU1768" s="115"/>
      <c r="BV1768" s="115"/>
      <c r="BW1768" s="115"/>
      <c r="BX1768" s="115"/>
      <c r="BY1768" s="17"/>
      <c r="BZ1768" s="15"/>
      <c r="CD1768" s="117"/>
      <c r="CE1768" s="116"/>
      <c r="CF1768" s="116"/>
      <c r="CG1768" s="116"/>
    </row>
    <row r="1769" spans="1:85" ht="19.5" x14ac:dyDescent="0.4">
      <c r="BY1769" s="26"/>
      <c r="BZ1769" s="15"/>
      <c r="CD1769" s="117"/>
      <c r="CE1769" s="116"/>
      <c r="CF1769" s="116"/>
      <c r="CG1769" s="116"/>
    </row>
    <row r="1770" spans="1:85" ht="19.5" x14ac:dyDescent="0.4">
      <c r="BE1770" s="115"/>
      <c r="BF1770" s="115"/>
      <c r="BG1770" s="115"/>
      <c r="BH1770" s="122"/>
      <c r="BI1770" s="122"/>
      <c r="BJ1770" s="122"/>
      <c r="BK1770" s="115"/>
      <c r="BL1770" s="115"/>
      <c r="BM1770" s="115"/>
      <c r="BN1770" s="115"/>
      <c r="BO1770" s="115"/>
      <c r="BP1770" s="115"/>
      <c r="BQ1770" s="115"/>
      <c r="BR1770" s="115"/>
      <c r="BS1770" s="115"/>
      <c r="BT1770" s="115"/>
      <c r="BU1770" s="115"/>
      <c r="BV1770" s="115"/>
      <c r="BW1770" s="115"/>
      <c r="BX1770" s="115"/>
      <c r="BY1770" s="17"/>
      <c r="BZ1770" s="15"/>
      <c r="CD1770" s="117"/>
      <c r="CE1770" s="116"/>
      <c r="CF1770" s="116"/>
      <c r="CG1770" s="116"/>
    </row>
    <row r="1771" spans="1:85" ht="19.5" x14ac:dyDescent="0.4">
      <c r="BY1771" s="26"/>
      <c r="BZ1771" s="15"/>
      <c r="CD1771" s="117"/>
      <c r="CE1771" s="116"/>
      <c r="CF1771" s="116"/>
      <c r="CG1771" s="116"/>
    </row>
    <row r="1772" spans="1:85" ht="19.5" x14ac:dyDescent="0.4">
      <c r="BE1772" s="115"/>
      <c r="BF1772" s="115"/>
      <c r="BG1772" s="115"/>
      <c r="BH1772" s="122"/>
      <c r="BI1772" s="122"/>
      <c r="BJ1772" s="122"/>
      <c r="BK1772" s="115"/>
      <c r="BL1772" s="115"/>
      <c r="BM1772" s="115"/>
      <c r="BN1772" s="115"/>
      <c r="BO1772" s="115"/>
      <c r="BP1772" s="115"/>
      <c r="BQ1772" s="115"/>
      <c r="BR1772" s="115"/>
      <c r="BS1772" s="115"/>
      <c r="BT1772" s="115"/>
      <c r="BU1772" s="115"/>
      <c r="BV1772" s="115"/>
      <c r="BW1772" s="115"/>
      <c r="BX1772" s="115"/>
      <c r="BY1772" s="17"/>
      <c r="BZ1772" s="15"/>
      <c r="CD1772" s="117"/>
      <c r="CE1772" s="116"/>
      <c r="CF1772" s="116"/>
      <c r="CG1772" s="116"/>
    </row>
    <row r="1773" spans="1:85" ht="19.5" x14ac:dyDescent="0.4">
      <c r="B1773" s="115"/>
      <c r="C1773" s="115"/>
      <c r="D1773" s="115"/>
      <c r="E1773" s="115"/>
      <c r="F1773" s="115"/>
      <c r="G1773" s="115"/>
      <c r="H1773" s="115"/>
      <c r="I1773" s="115"/>
      <c r="J1773" s="115"/>
      <c r="K1773" s="115"/>
      <c r="L1773" s="115"/>
      <c r="M1773" s="115"/>
      <c r="N1773" s="115"/>
      <c r="O1773" s="115"/>
      <c r="P1773" s="115"/>
      <c r="Q1773" s="115"/>
      <c r="R1773" s="115"/>
      <c r="S1773" s="115"/>
      <c r="T1773" s="115"/>
      <c r="U1773" s="115"/>
      <c r="V1773" s="115"/>
      <c r="W1773" s="115"/>
      <c r="X1773" s="115"/>
      <c r="Y1773" s="115"/>
      <c r="Z1773" s="115"/>
      <c r="AA1773" s="115"/>
      <c r="AB1773" s="115"/>
      <c r="AC1773" s="115"/>
      <c r="AD1773" s="115"/>
      <c r="AE1773" s="115"/>
      <c r="AF1773" s="115"/>
      <c r="AG1773" s="115"/>
      <c r="AH1773" s="115"/>
      <c r="AI1773" s="115"/>
      <c r="AJ1773" s="115"/>
      <c r="AK1773" s="115"/>
      <c r="AL1773" s="115"/>
      <c r="AM1773" s="115"/>
      <c r="AN1773" s="115"/>
      <c r="AO1773" s="115"/>
      <c r="AP1773" s="115"/>
      <c r="AQ1773" s="115"/>
      <c r="AR1773" s="115"/>
      <c r="AS1773" s="115"/>
      <c r="AT1773" s="115"/>
      <c r="AU1773" s="115"/>
      <c r="AV1773" s="115"/>
      <c r="AW1773" s="115"/>
      <c r="AX1773" s="115"/>
      <c r="AY1773" s="115"/>
      <c r="AZ1773" s="115"/>
      <c r="BA1773" s="115"/>
      <c r="BB1773" s="115"/>
      <c r="BC1773" s="115"/>
      <c r="BD1773" s="115"/>
      <c r="BE1773" s="115"/>
      <c r="BF1773" s="115"/>
      <c r="BG1773" s="115"/>
      <c r="BH1773" s="122"/>
      <c r="BI1773" s="122"/>
      <c r="BJ1773" s="122"/>
      <c r="BK1773" s="115"/>
      <c r="BL1773" s="115"/>
      <c r="BM1773" s="115"/>
      <c r="BN1773" s="115"/>
      <c r="BO1773" s="115"/>
      <c r="BP1773" s="115"/>
      <c r="BQ1773" s="115"/>
      <c r="BR1773" s="115"/>
      <c r="BS1773" s="115"/>
      <c r="BT1773" s="115"/>
      <c r="BU1773" s="115"/>
      <c r="BV1773" s="115"/>
      <c r="BW1773" s="115"/>
      <c r="BX1773" s="115"/>
      <c r="BY1773" s="26"/>
      <c r="BZ1773" s="15"/>
      <c r="CD1773" s="117"/>
      <c r="CE1773" s="116"/>
      <c r="CF1773" s="116"/>
      <c r="CG1773" s="116"/>
    </row>
    <row r="1774" spans="1:85" ht="19.5" x14ac:dyDescent="0.4">
      <c r="B1774" s="115"/>
      <c r="C1774" s="115"/>
      <c r="D1774" s="115"/>
      <c r="E1774" s="115"/>
      <c r="F1774" s="115"/>
      <c r="G1774" s="115"/>
      <c r="H1774" s="115"/>
      <c r="I1774" s="115"/>
      <c r="J1774" s="115"/>
      <c r="K1774" s="115"/>
      <c r="L1774" s="115"/>
      <c r="M1774" s="115"/>
      <c r="N1774" s="115"/>
      <c r="O1774" s="115"/>
      <c r="P1774" s="115"/>
      <c r="Q1774" s="115"/>
      <c r="R1774" s="115"/>
      <c r="S1774" s="115"/>
      <c r="T1774" s="115"/>
      <c r="U1774" s="115"/>
      <c r="V1774" s="115"/>
      <c r="W1774" s="115"/>
      <c r="X1774" s="115"/>
      <c r="Y1774" s="115"/>
      <c r="Z1774" s="115"/>
      <c r="AA1774" s="115"/>
      <c r="AB1774" s="115"/>
      <c r="AC1774" s="115"/>
      <c r="AD1774" s="115"/>
      <c r="AE1774" s="115"/>
      <c r="AF1774" s="115"/>
      <c r="AG1774" s="115"/>
      <c r="AH1774" s="115"/>
      <c r="AI1774" s="115"/>
      <c r="AJ1774" s="115"/>
      <c r="AK1774" s="115"/>
      <c r="AL1774" s="115"/>
      <c r="AM1774" s="115"/>
      <c r="AN1774" s="115"/>
      <c r="AO1774" s="115"/>
      <c r="AP1774" s="115"/>
      <c r="AQ1774" s="115"/>
      <c r="AR1774" s="115"/>
      <c r="AS1774" s="115"/>
      <c r="AT1774" s="115"/>
      <c r="AU1774" s="115"/>
      <c r="AV1774" s="115"/>
      <c r="AW1774" s="115"/>
      <c r="AX1774" s="115"/>
      <c r="AY1774" s="115"/>
      <c r="AZ1774" s="115"/>
      <c r="BA1774" s="115"/>
      <c r="BB1774" s="115"/>
      <c r="BC1774" s="115"/>
      <c r="BD1774" s="115"/>
      <c r="BE1774" s="115"/>
      <c r="BF1774" s="115"/>
      <c r="BG1774" s="115"/>
      <c r="BH1774" s="122"/>
      <c r="BI1774" s="122"/>
      <c r="BJ1774" s="122"/>
      <c r="BK1774" s="115"/>
      <c r="BL1774" s="115"/>
      <c r="BM1774" s="115"/>
      <c r="BN1774" s="115"/>
      <c r="BO1774" s="115"/>
      <c r="BP1774" s="115"/>
      <c r="BQ1774" s="115"/>
      <c r="BR1774" s="115"/>
      <c r="BS1774" s="115"/>
      <c r="BT1774" s="115"/>
      <c r="BU1774" s="115"/>
      <c r="BV1774" s="115"/>
      <c r="BW1774" s="115"/>
      <c r="BX1774" s="115"/>
      <c r="BY1774" s="17"/>
      <c r="BZ1774" s="15"/>
      <c r="CD1774" s="117"/>
      <c r="CE1774" s="116"/>
      <c r="CF1774" s="116"/>
      <c r="CG1774" s="116"/>
    </row>
    <row r="1775" spans="1:85" ht="19.5" x14ac:dyDescent="0.4">
      <c r="B1775" s="115"/>
      <c r="C1775" s="115"/>
      <c r="D1775" s="115"/>
      <c r="E1775" s="115"/>
      <c r="F1775" s="115"/>
      <c r="G1775" s="115"/>
      <c r="H1775" s="115"/>
      <c r="I1775" s="115"/>
      <c r="J1775" s="115"/>
      <c r="K1775" s="115"/>
      <c r="L1775" s="115"/>
      <c r="M1775" s="115"/>
      <c r="N1775" s="115"/>
      <c r="O1775" s="115"/>
      <c r="P1775" s="115"/>
      <c r="Q1775" s="115"/>
      <c r="R1775" s="115"/>
      <c r="S1775" s="115"/>
      <c r="T1775" s="115"/>
      <c r="U1775" s="115"/>
      <c r="V1775" s="115"/>
      <c r="W1775" s="115"/>
      <c r="X1775" s="115"/>
      <c r="Y1775" s="115"/>
      <c r="Z1775" s="115"/>
      <c r="AA1775" s="115"/>
      <c r="AB1775" s="115"/>
      <c r="AC1775" s="115"/>
      <c r="AD1775" s="115"/>
      <c r="AE1775" s="115"/>
      <c r="AF1775" s="115"/>
      <c r="AG1775" s="115"/>
      <c r="AH1775" s="115"/>
      <c r="AI1775" s="115"/>
      <c r="AJ1775" s="115"/>
      <c r="AK1775" s="115"/>
      <c r="AL1775" s="115"/>
      <c r="AM1775" s="115"/>
      <c r="AN1775" s="115"/>
      <c r="AO1775" s="115"/>
      <c r="AP1775" s="115"/>
      <c r="AQ1775" s="115"/>
      <c r="AR1775" s="115"/>
      <c r="AS1775" s="115"/>
      <c r="AT1775" s="115"/>
      <c r="AU1775" s="115"/>
      <c r="AV1775" s="115"/>
      <c r="AW1775" s="115"/>
      <c r="AX1775" s="115"/>
      <c r="AY1775" s="115"/>
      <c r="AZ1775" s="115"/>
      <c r="BA1775" s="115"/>
      <c r="BB1775" s="115"/>
      <c r="BC1775" s="115"/>
      <c r="BD1775" s="115"/>
      <c r="BE1775" s="115"/>
      <c r="BF1775" s="115"/>
      <c r="BG1775" s="115"/>
      <c r="BH1775" s="122"/>
      <c r="BI1775" s="122"/>
      <c r="BJ1775" s="122"/>
      <c r="BK1775" s="115"/>
      <c r="BL1775" s="115"/>
      <c r="BM1775" s="115"/>
      <c r="BN1775" s="115"/>
      <c r="BO1775" s="115"/>
      <c r="BP1775" s="115"/>
      <c r="BQ1775" s="115"/>
      <c r="BR1775" s="115"/>
      <c r="BS1775" s="115"/>
      <c r="BT1775" s="115"/>
      <c r="BU1775" s="115"/>
      <c r="BV1775" s="115"/>
      <c r="BW1775" s="115"/>
      <c r="BX1775" s="115"/>
      <c r="BY1775" s="26"/>
      <c r="BZ1775" s="15"/>
      <c r="CD1775" s="117"/>
      <c r="CE1775" s="116"/>
      <c r="CF1775" s="116"/>
      <c r="CG1775" s="116"/>
    </row>
    <row r="1776" spans="1:85" ht="19.5" x14ac:dyDescent="0.4">
      <c r="BY1776" s="26"/>
      <c r="BZ1776" s="15"/>
      <c r="CD1776" s="117"/>
      <c r="CE1776" s="116"/>
      <c r="CF1776" s="116"/>
      <c r="CG1776" s="116"/>
    </row>
    <row r="1777" spans="1:85" ht="19.5" x14ac:dyDescent="0.4">
      <c r="BE1777" s="115"/>
      <c r="BF1777" s="115"/>
      <c r="BG1777" s="115"/>
      <c r="BH1777" s="122"/>
      <c r="BI1777" s="122"/>
      <c r="BJ1777" s="122"/>
      <c r="BK1777" s="115"/>
      <c r="BL1777" s="115"/>
      <c r="BM1777" s="115"/>
      <c r="BN1777" s="115"/>
      <c r="BO1777" s="115"/>
      <c r="BP1777" s="115"/>
      <c r="BQ1777" s="115"/>
      <c r="BR1777" s="115"/>
      <c r="BS1777" s="115"/>
      <c r="BT1777" s="115"/>
      <c r="BU1777" s="115"/>
      <c r="BV1777" s="115"/>
      <c r="BW1777" s="115"/>
      <c r="BX1777" s="115"/>
      <c r="BY1777" s="17"/>
      <c r="BZ1777" s="15"/>
      <c r="CD1777" s="117"/>
      <c r="CE1777" s="116"/>
      <c r="CF1777" s="116"/>
      <c r="CG1777" s="116"/>
    </row>
    <row r="1778" spans="1:85" ht="19.5" x14ac:dyDescent="0.4">
      <c r="BC1778" s="115"/>
      <c r="BD1778" s="115"/>
      <c r="BE1778" s="115"/>
      <c r="BF1778" s="115"/>
      <c r="BG1778" s="115"/>
      <c r="BH1778" s="122"/>
      <c r="BI1778" s="122"/>
      <c r="BJ1778" s="122"/>
      <c r="BK1778" s="115"/>
      <c r="BL1778" s="115"/>
      <c r="BM1778" s="115"/>
      <c r="BN1778" s="115"/>
      <c r="BO1778" s="115"/>
      <c r="BP1778" s="115"/>
      <c r="BQ1778" s="115"/>
      <c r="BR1778" s="115"/>
      <c r="BS1778" s="115"/>
      <c r="BT1778" s="115"/>
      <c r="BU1778" s="115"/>
      <c r="BV1778" s="115"/>
      <c r="BW1778" s="115"/>
      <c r="BX1778" s="115"/>
      <c r="BY1778" s="26"/>
      <c r="BZ1778" s="15"/>
      <c r="CD1778" s="117"/>
      <c r="CE1778" s="116"/>
      <c r="CF1778" s="116"/>
      <c r="CG1778" s="116"/>
    </row>
    <row r="1779" spans="1:85" ht="19.5" x14ac:dyDescent="0.4">
      <c r="BC1779" s="115"/>
      <c r="BD1779" s="115"/>
      <c r="BE1779" s="115"/>
      <c r="BF1779" s="115"/>
      <c r="BG1779" s="115"/>
      <c r="BH1779" s="122"/>
      <c r="BI1779" s="122"/>
      <c r="BJ1779" s="122"/>
      <c r="BK1779" s="115"/>
      <c r="BL1779" s="115"/>
      <c r="BM1779" s="115"/>
      <c r="BN1779" s="115"/>
      <c r="BO1779" s="115"/>
      <c r="BP1779" s="115"/>
      <c r="BQ1779" s="115"/>
      <c r="BR1779" s="115"/>
      <c r="BS1779" s="115"/>
      <c r="BT1779" s="115"/>
      <c r="BU1779" s="115"/>
      <c r="BV1779" s="115"/>
      <c r="BW1779" s="115"/>
      <c r="BX1779" s="115"/>
      <c r="BY1779" s="17"/>
      <c r="BZ1779" s="13"/>
      <c r="CD1779" s="117"/>
      <c r="CE1779" s="116"/>
      <c r="CF1779" s="116"/>
      <c r="CG1779" s="116"/>
    </row>
    <row r="1780" spans="1:85" ht="19.5" x14ac:dyDescent="0.4">
      <c r="BB1780" s="115"/>
      <c r="BC1780" s="115"/>
      <c r="BD1780" s="115"/>
      <c r="BE1780" s="115"/>
      <c r="BF1780" s="115"/>
      <c r="BG1780" s="115"/>
      <c r="BH1780" s="122"/>
      <c r="BI1780" s="122"/>
      <c r="BJ1780" s="122"/>
      <c r="BK1780" s="115"/>
      <c r="BL1780" s="115"/>
      <c r="BM1780" s="115"/>
      <c r="BN1780" s="115"/>
      <c r="BO1780" s="115"/>
      <c r="BP1780" s="115"/>
      <c r="BQ1780" s="115"/>
      <c r="BR1780" s="115"/>
      <c r="BS1780" s="115"/>
      <c r="BT1780" s="115"/>
      <c r="BU1780" s="115"/>
      <c r="BV1780" s="115"/>
      <c r="BW1780" s="115"/>
      <c r="BX1780" s="115"/>
      <c r="BY1780" s="26"/>
      <c r="BZ1780" s="13"/>
      <c r="CD1780" s="117"/>
      <c r="CE1780" s="116"/>
      <c r="CF1780" s="116"/>
      <c r="CG1780" s="116"/>
    </row>
    <row r="1781" spans="1:85" ht="19.5" x14ac:dyDescent="0.4">
      <c r="BB1781" s="115"/>
      <c r="BC1781" s="115"/>
      <c r="BD1781" s="115"/>
      <c r="BE1781" s="115"/>
      <c r="BF1781" s="115"/>
      <c r="BG1781" s="115"/>
      <c r="BH1781" s="122"/>
      <c r="BI1781" s="122"/>
      <c r="BJ1781" s="122"/>
      <c r="BK1781" s="115"/>
      <c r="BL1781" s="115"/>
      <c r="BM1781" s="115"/>
      <c r="BN1781" s="115"/>
      <c r="BO1781" s="115"/>
      <c r="BP1781" s="115"/>
      <c r="BQ1781" s="115"/>
      <c r="BR1781" s="115"/>
      <c r="BS1781" s="115"/>
      <c r="BT1781" s="115"/>
      <c r="BU1781" s="115"/>
      <c r="BV1781" s="115"/>
      <c r="BW1781" s="115"/>
      <c r="BX1781" s="115"/>
      <c r="BY1781" s="17"/>
      <c r="BZ1781" s="13"/>
      <c r="CD1781" s="117"/>
      <c r="CE1781" s="116"/>
      <c r="CF1781" s="116"/>
      <c r="CG1781" s="116"/>
    </row>
    <row r="1782" spans="1:85" ht="19.5" x14ac:dyDescent="0.4">
      <c r="C1782" s="115"/>
      <c r="D1782" s="115"/>
      <c r="E1782" s="115"/>
      <c r="F1782" s="115"/>
      <c r="G1782" s="115"/>
      <c r="H1782" s="115"/>
      <c r="I1782" s="115"/>
      <c r="J1782" s="115"/>
      <c r="K1782" s="115"/>
      <c r="L1782" s="115"/>
      <c r="M1782" s="115"/>
      <c r="N1782" s="115"/>
      <c r="O1782" s="115"/>
      <c r="P1782" s="115"/>
      <c r="Q1782" s="115"/>
      <c r="R1782" s="115"/>
      <c r="S1782" s="115"/>
      <c r="T1782" s="115"/>
      <c r="U1782" s="115"/>
      <c r="V1782" s="115"/>
      <c r="W1782" s="115"/>
      <c r="X1782" s="115"/>
      <c r="Y1782" s="115"/>
      <c r="Z1782" s="115"/>
      <c r="AA1782" s="115"/>
      <c r="AB1782" s="115"/>
      <c r="AC1782" s="115"/>
      <c r="AD1782" s="115"/>
      <c r="AE1782" s="115"/>
      <c r="AF1782" s="115"/>
      <c r="AG1782" s="115"/>
      <c r="AH1782" s="115"/>
      <c r="AI1782" s="115"/>
      <c r="AJ1782" s="115"/>
      <c r="AK1782" s="115"/>
      <c r="AL1782" s="115"/>
      <c r="AM1782" s="115"/>
      <c r="AN1782" s="115"/>
      <c r="AO1782" s="115"/>
      <c r="AP1782" s="115"/>
      <c r="AQ1782" s="115"/>
      <c r="AR1782" s="115"/>
      <c r="AS1782" s="115"/>
      <c r="AT1782" s="115"/>
      <c r="AU1782" s="115"/>
      <c r="AV1782" s="115"/>
      <c r="AW1782" s="115"/>
      <c r="AX1782" s="115"/>
      <c r="AY1782" s="115"/>
      <c r="AZ1782" s="115"/>
      <c r="BA1782" s="115"/>
      <c r="BB1782" s="115"/>
      <c r="BC1782" s="115"/>
      <c r="BD1782" s="115"/>
      <c r="BE1782" s="115"/>
      <c r="BF1782" s="115"/>
      <c r="BG1782" s="115"/>
      <c r="BH1782" s="122"/>
      <c r="BI1782" s="122"/>
      <c r="BJ1782" s="122"/>
      <c r="BK1782" s="115"/>
      <c r="BL1782" s="115"/>
      <c r="BM1782" s="115"/>
      <c r="BN1782" s="115"/>
      <c r="BO1782" s="115"/>
      <c r="BP1782" s="115"/>
      <c r="BQ1782" s="115"/>
      <c r="BR1782" s="115"/>
      <c r="BS1782" s="115"/>
      <c r="BT1782" s="115"/>
      <c r="BU1782" s="115"/>
      <c r="BV1782" s="115"/>
      <c r="BW1782" s="115"/>
      <c r="BX1782" s="115"/>
      <c r="BY1782" s="26"/>
      <c r="BZ1782" s="15"/>
      <c r="CD1782" s="117"/>
      <c r="CE1782" s="116"/>
      <c r="CF1782" s="116"/>
      <c r="CG1782" s="116"/>
    </row>
    <row r="1783" spans="1:85" ht="19.5" x14ac:dyDescent="0.4">
      <c r="C1783" s="115"/>
      <c r="D1783" s="115"/>
      <c r="E1783" s="115"/>
      <c r="F1783" s="115"/>
      <c r="G1783" s="115"/>
      <c r="H1783" s="115"/>
      <c r="I1783" s="115"/>
      <c r="J1783" s="115"/>
      <c r="K1783" s="115"/>
      <c r="L1783" s="115"/>
      <c r="M1783" s="115"/>
      <c r="N1783" s="115"/>
      <c r="O1783" s="115"/>
      <c r="P1783" s="115"/>
      <c r="Q1783" s="115"/>
      <c r="R1783" s="115"/>
      <c r="S1783" s="115"/>
      <c r="T1783" s="115"/>
      <c r="U1783" s="115"/>
      <c r="V1783" s="115"/>
      <c r="W1783" s="115"/>
      <c r="X1783" s="115"/>
      <c r="Y1783" s="115"/>
      <c r="Z1783" s="115"/>
      <c r="AA1783" s="115"/>
      <c r="AB1783" s="115"/>
      <c r="AC1783" s="115"/>
      <c r="AD1783" s="115"/>
      <c r="AE1783" s="115"/>
      <c r="AF1783" s="115"/>
      <c r="AG1783" s="115"/>
      <c r="AH1783" s="115"/>
      <c r="AI1783" s="115"/>
      <c r="AJ1783" s="115"/>
      <c r="AK1783" s="115"/>
      <c r="AL1783" s="115"/>
      <c r="AM1783" s="115"/>
      <c r="AN1783" s="115"/>
      <c r="AO1783" s="115"/>
      <c r="AP1783" s="115"/>
      <c r="AQ1783" s="115"/>
      <c r="AR1783" s="115"/>
      <c r="AS1783" s="115"/>
      <c r="AT1783" s="115"/>
      <c r="AU1783" s="115"/>
      <c r="AV1783" s="115"/>
      <c r="AW1783" s="115"/>
      <c r="AX1783" s="115"/>
      <c r="AY1783" s="115"/>
      <c r="AZ1783" s="115"/>
      <c r="BA1783" s="115"/>
      <c r="BB1783" s="115"/>
      <c r="BC1783" s="115"/>
      <c r="BD1783" s="115"/>
      <c r="BE1783" s="115"/>
      <c r="BF1783" s="115"/>
      <c r="BG1783" s="115"/>
      <c r="BH1783" s="122"/>
      <c r="BI1783" s="122"/>
      <c r="BJ1783" s="122"/>
      <c r="BK1783" s="115"/>
      <c r="BL1783" s="115"/>
      <c r="BM1783" s="115"/>
      <c r="BN1783" s="115"/>
      <c r="BO1783" s="115"/>
      <c r="BP1783" s="115"/>
      <c r="BQ1783" s="115"/>
      <c r="BR1783" s="115"/>
      <c r="BS1783" s="115"/>
      <c r="BT1783" s="115"/>
      <c r="BU1783" s="115"/>
      <c r="BV1783" s="115"/>
      <c r="BW1783" s="115"/>
      <c r="BX1783" s="115"/>
      <c r="BY1783" s="17"/>
      <c r="BZ1783" s="15"/>
      <c r="CD1783" s="117"/>
      <c r="CE1783" s="116"/>
      <c r="CF1783" s="116"/>
      <c r="CG1783" s="116"/>
    </row>
    <row r="1784" spans="1:85" ht="19.5" x14ac:dyDescent="0.4">
      <c r="C1784" s="115"/>
      <c r="D1784" s="115"/>
      <c r="E1784" s="115"/>
      <c r="F1784" s="115"/>
      <c r="G1784" s="115"/>
      <c r="H1784" s="115"/>
      <c r="I1784" s="115"/>
      <c r="J1784" s="115"/>
      <c r="K1784" s="115"/>
      <c r="L1784" s="115"/>
      <c r="M1784" s="115"/>
      <c r="N1784" s="115"/>
      <c r="O1784" s="115"/>
      <c r="P1784" s="115"/>
      <c r="Q1784" s="115"/>
      <c r="R1784" s="115"/>
      <c r="S1784" s="115"/>
      <c r="T1784" s="115"/>
      <c r="U1784" s="115"/>
      <c r="V1784" s="115"/>
      <c r="W1784" s="115"/>
      <c r="X1784" s="115"/>
      <c r="Y1784" s="115"/>
      <c r="Z1784" s="115"/>
      <c r="AA1784" s="115"/>
      <c r="AB1784" s="115"/>
      <c r="AC1784" s="115"/>
      <c r="AD1784" s="115"/>
      <c r="AE1784" s="115"/>
      <c r="AF1784" s="115"/>
      <c r="AG1784" s="115"/>
      <c r="AH1784" s="115"/>
      <c r="AI1784" s="115"/>
      <c r="AJ1784" s="115"/>
      <c r="AK1784" s="115"/>
      <c r="AL1784" s="115"/>
      <c r="AM1784" s="115"/>
      <c r="AN1784" s="115"/>
      <c r="AO1784" s="115"/>
      <c r="AP1784" s="115"/>
      <c r="AQ1784" s="115"/>
      <c r="AR1784" s="115"/>
      <c r="AS1784" s="115"/>
      <c r="AT1784" s="115"/>
      <c r="AU1784" s="115"/>
      <c r="AV1784" s="115"/>
      <c r="AW1784" s="115"/>
      <c r="AX1784" s="115"/>
      <c r="AY1784" s="115"/>
      <c r="AZ1784" s="115"/>
      <c r="BA1784" s="115"/>
      <c r="BB1784" s="115"/>
      <c r="BC1784" s="115"/>
      <c r="BD1784" s="115"/>
      <c r="BE1784" s="115"/>
      <c r="BF1784" s="115"/>
      <c r="BG1784" s="115"/>
      <c r="BH1784" s="122"/>
      <c r="BI1784" s="122"/>
      <c r="BJ1784" s="122"/>
      <c r="BK1784" s="115"/>
      <c r="BL1784" s="115"/>
      <c r="BM1784" s="115"/>
      <c r="BN1784" s="115"/>
      <c r="BO1784" s="115"/>
      <c r="BP1784" s="115"/>
      <c r="BQ1784" s="115"/>
      <c r="BR1784" s="115"/>
      <c r="BS1784" s="115"/>
      <c r="BT1784" s="115"/>
      <c r="BU1784" s="115"/>
      <c r="BV1784" s="115"/>
      <c r="BW1784" s="115"/>
      <c r="BX1784" s="115"/>
      <c r="BY1784" s="26"/>
      <c r="BZ1784" s="105"/>
      <c r="CD1784" s="117"/>
      <c r="CE1784" s="116"/>
      <c r="CF1784" s="116"/>
      <c r="CG1784" s="116"/>
    </row>
    <row r="1785" spans="1:85" ht="19.5" x14ac:dyDescent="0.4">
      <c r="C1785" s="115"/>
      <c r="D1785" s="115"/>
      <c r="E1785" s="115"/>
      <c r="F1785" s="115"/>
      <c r="G1785" s="115"/>
      <c r="H1785" s="115"/>
      <c r="I1785" s="115"/>
      <c r="J1785" s="115"/>
      <c r="K1785" s="115"/>
      <c r="L1785" s="115"/>
      <c r="M1785" s="115"/>
      <c r="N1785" s="115"/>
      <c r="O1785" s="115"/>
      <c r="P1785" s="115"/>
      <c r="Q1785" s="115"/>
      <c r="R1785" s="115"/>
      <c r="S1785" s="115"/>
      <c r="T1785" s="115"/>
      <c r="U1785" s="115"/>
      <c r="V1785" s="115"/>
      <c r="W1785" s="115"/>
      <c r="X1785" s="115"/>
      <c r="Y1785" s="115"/>
      <c r="Z1785" s="115"/>
      <c r="AA1785" s="115"/>
      <c r="AB1785" s="115"/>
      <c r="AC1785" s="115"/>
      <c r="AD1785" s="115"/>
      <c r="AE1785" s="115"/>
      <c r="AF1785" s="115"/>
      <c r="AG1785" s="115"/>
      <c r="AH1785" s="115"/>
      <c r="AI1785" s="115"/>
      <c r="AJ1785" s="115"/>
      <c r="AK1785" s="115"/>
      <c r="AL1785" s="115"/>
      <c r="AM1785" s="115"/>
      <c r="AN1785" s="115"/>
      <c r="AO1785" s="115"/>
      <c r="AP1785" s="115"/>
      <c r="AQ1785" s="115"/>
      <c r="AR1785" s="115"/>
      <c r="AS1785" s="115"/>
      <c r="AT1785" s="115"/>
      <c r="AU1785" s="115"/>
      <c r="AV1785" s="115"/>
      <c r="AW1785" s="115"/>
      <c r="AX1785" s="115"/>
      <c r="AY1785" s="115"/>
      <c r="AZ1785" s="115"/>
      <c r="BA1785" s="115"/>
      <c r="BB1785" s="115"/>
      <c r="BC1785" s="115"/>
      <c r="BD1785" s="115"/>
      <c r="BE1785" s="115"/>
      <c r="BF1785" s="115"/>
      <c r="BG1785" s="115"/>
      <c r="BH1785" s="122"/>
      <c r="BI1785" s="122"/>
      <c r="BJ1785" s="122"/>
      <c r="BK1785" s="115"/>
      <c r="BL1785" s="115"/>
      <c r="BM1785" s="115"/>
      <c r="BN1785" s="115"/>
      <c r="BO1785" s="115"/>
      <c r="BP1785" s="115"/>
      <c r="BQ1785" s="115"/>
      <c r="BR1785" s="115"/>
      <c r="BS1785" s="115"/>
      <c r="BT1785" s="115"/>
      <c r="BU1785" s="115"/>
      <c r="BV1785" s="115"/>
      <c r="BW1785" s="115"/>
      <c r="BX1785" s="115"/>
      <c r="BY1785" s="17"/>
      <c r="BZ1785" s="15"/>
      <c r="CD1785" s="117"/>
      <c r="CE1785" s="116"/>
      <c r="CF1785" s="116"/>
      <c r="CG1785" s="116"/>
    </row>
    <row r="1786" spans="1:85" ht="19.5" x14ac:dyDescent="0.4">
      <c r="C1786" s="115"/>
      <c r="D1786" s="115"/>
      <c r="E1786" s="115"/>
      <c r="F1786" s="115"/>
      <c r="G1786" s="115"/>
      <c r="H1786" s="115"/>
      <c r="I1786" s="115"/>
      <c r="J1786" s="115"/>
      <c r="K1786" s="115"/>
      <c r="L1786" s="115"/>
      <c r="M1786" s="115"/>
      <c r="N1786" s="115"/>
      <c r="O1786" s="115"/>
      <c r="P1786" s="115"/>
      <c r="Q1786" s="115"/>
      <c r="R1786" s="115"/>
      <c r="S1786" s="115"/>
      <c r="T1786" s="115"/>
      <c r="U1786" s="115"/>
      <c r="V1786" s="115"/>
      <c r="W1786" s="115"/>
      <c r="X1786" s="115"/>
      <c r="Y1786" s="115"/>
      <c r="Z1786" s="115"/>
      <c r="AA1786" s="115"/>
      <c r="AB1786" s="115"/>
      <c r="AC1786" s="115"/>
      <c r="AD1786" s="115"/>
      <c r="AE1786" s="115"/>
      <c r="AF1786" s="115"/>
      <c r="AG1786" s="115"/>
      <c r="AH1786" s="115"/>
      <c r="AI1786" s="115"/>
      <c r="AJ1786" s="115"/>
      <c r="AK1786" s="115"/>
      <c r="AL1786" s="115"/>
      <c r="AM1786" s="115"/>
      <c r="AN1786" s="115"/>
      <c r="AO1786" s="115"/>
      <c r="AP1786" s="115"/>
      <c r="AQ1786" s="115"/>
      <c r="AR1786" s="115"/>
      <c r="AS1786" s="115"/>
      <c r="AT1786" s="115"/>
      <c r="AU1786" s="115"/>
      <c r="AV1786" s="115"/>
      <c r="AW1786" s="115"/>
      <c r="AX1786" s="115"/>
      <c r="AY1786" s="115"/>
      <c r="AZ1786" s="115"/>
      <c r="BA1786" s="115"/>
      <c r="BB1786" s="115"/>
      <c r="BC1786" s="115"/>
      <c r="BD1786" s="115"/>
      <c r="BE1786" s="115"/>
      <c r="BF1786" s="115"/>
      <c r="BG1786" s="115"/>
      <c r="BH1786" s="122"/>
      <c r="BI1786" s="122"/>
      <c r="BJ1786" s="122"/>
      <c r="BK1786" s="115"/>
      <c r="BL1786" s="115"/>
      <c r="BM1786" s="115"/>
      <c r="BN1786" s="115"/>
      <c r="BO1786" s="115"/>
      <c r="BP1786" s="115"/>
      <c r="BQ1786" s="115"/>
      <c r="BR1786" s="115"/>
      <c r="BS1786" s="115"/>
      <c r="BT1786" s="115"/>
      <c r="BU1786" s="115"/>
      <c r="BV1786" s="115"/>
      <c r="BW1786" s="115"/>
      <c r="BX1786" s="115"/>
      <c r="BY1786" s="26"/>
      <c r="BZ1786" s="15"/>
      <c r="CD1786" s="117"/>
      <c r="CE1786" s="116"/>
      <c r="CF1786" s="116"/>
      <c r="CG1786" s="116"/>
    </row>
    <row r="1787" spans="1:85" ht="19.5" x14ac:dyDescent="0.4">
      <c r="C1787" s="115"/>
      <c r="D1787" s="115"/>
      <c r="E1787" s="115"/>
      <c r="F1787" s="115"/>
      <c r="G1787" s="115"/>
      <c r="H1787" s="115"/>
      <c r="I1787" s="115"/>
      <c r="J1787" s="115"/>
      <c r="K1787" s="115"/>
      <c r="L1787" s="115"/>
      <c r="M1787" s="115"/>
      <c r="N1787" s="115"/>
      <c r="O1787" s="115"/>
      <c r="P1787" s="115"/>
      <c r="Q1787" s="115"/>
      <c r="R1787" s="115"/>
      <c r="S1787" s="115"/>
      <c r="T1787" s="115"/>
      <c r="U1787" s="115"/>
      <c r="V1787" s="115"/>
      <c r="W1787" s="115"/>
      <c r="X1787" s="115"/>
      <c r="Y1787" s="115"/>
      <c r="Z1787" s="115"/>
      <c r="AA1787" s="115"/>
      <c r="AB1787" s="115"/>
      <c r="AC1787" s="115"/>
      <c r="AD1787" s="115"/>
      <c r="AE1787" s="115"/>
      <c r="AF1787" s="115"/>
      <c r="AG1787" s="115"/>
      <c r="AH1787" s="115"/>
      <c r="AI1787" s="115"/>
      <c r="AJ1787" s="115"/>
      <c r="AK1787" s="115"/>
      <c r="AL1787" s="115"/>
      <c r="AM1787" s="115"/>
      <c r="AN1787" s="115"/>
      <c r="AO1787" s="115"/>
      <c r="AP1787" s="115"/>
      <c r="AQ1787" s="115"/>
      <c r="AR1787" s="115"/>
      <c r="AS1787" s="115"/>
      <c r="AT1787" s="115"/>
      <c r="AU1787" s="115"/>
      <c r="AV1787" s="115"/>
      <c r="AW1787" s="115"/>
      <c r="AX1787" s="115"/>
      <c r="AY1787" s="115"/>
      <c r="AZ1787" s="115"/>
      <c r="BA1787" s="115"/>
      <c r="BB1787" s="115"/>
      <c r="BC1787" s="115"/>
      <c r="BD1787" s="115"/>
      <c r="BE1787" s="115"/>
      <c r="BF1787" s="115"/>
      <c r="BG1787" s="115"/>
      <c r="BH1787" s="122"/>
      <c r="BI1787" s="122"/>
      <c r="BJ1787" s="122"/>
      <c r="BK1787" s="115"/>
      <c r="BL1787" s="115"/>
      <c r="BM1787" s="115"/>
      <c r="BN1787" s="115"/>
      <c r="BO1787" s="115"/>
      <c r="BP1787" s="115"/>
      <c r="BQ1787" s="115"/>
      <c r="BR1787" s="115"/>
      <c r="BS1787" s="115"/>
      <c r="BT1787" s="115"/>
      <c r="BU1787" s="115"/>
      <c r="BV1787" s="115"/>
      <c r="BW1787" s="115"/>
      <c r="BX1787" s="115"/>
      <c r="BY1787" s="26"/>
      <c r="BZ1787" s="15"/>
      <c r="CD1787" s="117"/>
      <c r="CE1787" s="116"/>
      <c r="CF1787" s="116"/>
      <c r="CG1787" s="116"/>
    </row>
    <row r="1788" spans="1:85" ht="19.5" x14ac:dyDescent="0.4">
      <c r="BY1788" s="26"/>
      <c r="BZ1788" s="15"/>
      <c r="CD1788" s="117"/>
      <c r="CE1788" s="116"/>
      <c r="CF1788" s="116"/>
      <c r="CG1788" s="116"/>
    </row>
    <row r="1789" spans="1:85" ht="19.5" x14ac:dyDescent="0.4">
      <c r="BD1789" s="115"/>
      <c r="BE1789" s="115"/>
      <c r="BF1789" s="115"/>
      <c r="BG1789" s="115"/>
      <c r="BH1789" s="122"/>
      <c r="BI1789" s="122"/>
      <c r="BJ1789" s="122"/>
      <c r="BK1789" s="115"/>
      <c r="BL1789" s="115"/>
      <c r="BM1789" s="115"/>
      <c r="BN1789" s="115"/>
      <c r="BO1789" s="115"/>
      <c r="BP1789" s="115"/>
      <c r="BQ1789" s="115"/>
      <c r="BR1789" s="115"/>
      <c r="BS1789" s="115"/>
      <c r="BT1789" s="115"/>
      <c r="BU1789" s="115"/>
      <c r="BV1789" s="115"/>
      <c r="BW1789" s="115"/>
      <c r="BX1789" s="115"/>
      <c r="BY1789" s="26"/>
      <c r="BZ1789" s="15"/>
      <c r="CD1789" s="117"/>
      <c r="CE1789" s="116"/>
      <c r="CF1789" s="116"/>
      <c r="CG1789" s="116"/>
    </row>
    <row r="1790" spans="1:85" ht="19.5" x14ac:dyDescent="0.4">
      <c r="A1790" s="115"/>
      <c r="B1790" s="115"/>
      <c r="C1790" s="115"/>
      <c r="D1790" s="115"/>
      <c r="E1790" s="115"/>
      <c r="F1790" s="115"/>
      <c r="G1790" s="115"/>
      <c r="H1790" s="115"/>
      <c r="I1790" s="115"/>
      <c r="J1790" s="115"/>
      <c r="K1790" s="115"/>
      <c r="L1790" s="115"/>
      <c r="M1790" s="115"/>
      <c r="N1790" s="115"/>
      <c r="O1790" s="115"/>
      <c r="P1790" s="115"/>
      <c r="Q1790" s="115"/>
      <c r="R1790" s="115"/>
      <c r="S1790" s="115"/>
      <c r="T1790" s="115"/>
      <c r="U1790" s="115"/>
      <c r="V1790" s="115"/>
      <c r="W1790" s="115"/>
      <c r="X1790" s="115"/>
      <c r="Y1790" s="115"/>
      <c r="Z1790" s="115"/>
      <c r="AA1790" s="115"/>
      <c r="AB1790" s="115"/>
      <c r="AC1790" s="115"/>
      <c r="AD1790" s="115"/>
      <c r="AE1790" s="115"/>
      <c r="AF1790" s="115"/>
      <c r="AG1790" s="115"/>
      <c r="AH1790" s="115"/>
      <c r="AI1790" s="115"/>
      <c r="AJ1790" s="115"/>
      <c r="AK1790" s="115"/>
      <c r="AL1790" s="115"/>
      <c r="AM1790" s="115"/>
      <c r="AN1790" s="115"/>
      <c r="AO1790" s="115"/>
      <c r="AP1790" s="115"/>
      <c r="AQ1790" s="115"/>
      <c r="AR1790" s="115"/>
      <c r="AS1790" s="115"/>
      <c r="AT1790" s="115"/>
      <c r="AU1790" s="115"/>
      <c r="AV1790" s="115"/>
      <c r="AW1790" s="115"/>
      <c r="AX1790" s="115"/>
      <c r="AY1790" s="115"/>
      <c r="AZ1790" s="115"/>
      <c r="BA1790" s="115"/>
      <c r="BB1790" s="115"/>
      <c r="BC1790" s="115"/>
      <c r="BD1790" s="115"/>
      <c r="BE1790" s="115"/>
      <c r="BF1790" s="115"/>
      <c r="BG1790" s="115"/>
      <c r="BH1790" s="122"/>
      <c r="BI1790" s="122"/>
      <c r="BJ1790" s="122"/>
      <c r="BK1790" s="115"/>
      <c r="BL1790" s="115"/>
      <c r="BM1790" s="115"/>
      <c r="BN1790" s="115"/>
      <c r="BO1790" s="115"/>
      <c r="BP1790" s="115"/>
      <c r="BQ1790" s="115"/>
      <c r="BR1790" s="115"/>
      <c r="BS1790" s="115"/>
      <c r="BT1790" s="115"/>
      <c r="BU1790" s="115"/>
      <c r="BV1790" s="115"/>
      <c r="BW1790" s="115"/>
      <c r="BX1790" s="115"/>
      <c r="BY1790" s="26"/>
      <c r="BZ1790" s="15"/>
      <c r="CD1790" s="117"/>
      <c r="CE1790" s="116"/>
      <c r="CF1790" s="116"/>
      <c r="CG1790" s="116"/>
    </row>
    <row r="1791" spans="1:85" ht="19.5" x14ac:dyDescent="0.4">
      <c r="A1791" s="115"/>
      <c r="B1791" s="115"/>
      <c r="C1791" s="115"/>
      <c r="D1791" s="115"/>
      <c r="E1791" s="115"/>
      <c r="F1791" s="115"/>
      <c r="G1791" s="115"/>
      <c r="H1791" s="115"/>
      <c r="I1791" s="115"/>
      <c r="J1791" s="115"/>
      <c r="K1791" s="115"/>
      <c r="L1791" s="115"/>
      <c r="M1791" s="115"/>
      <c r="N1791" s="115"/>
      <c r="O1791" s="115"/>
      <c r="P1791" s="115"/>
      <c r="Q1791" s="115"/>
      <c r="R1791" s="115"/>
      <c r="S1791" s="115"/>
      <c r="T1791" s="115"/>
      <c r="U1791" s="115"/>
      <c r="V1791" s="115"/>
      <c r="W1791" s="115"/>
      <c r="X1791" s="115"/>
      <c r="Y1791" s="115"/>
      <c r="Z1791" s="115"/>
      <c r="AA1791" s="115"/>
      <c r="AB1791" s="115"/>
      <c r="AC1791" s="115"/>
      <c r="AD1791" s="115"/>
      <c r="AE1791" s="115"/>
      <c r="AF1791" s="115"/>
      <c r="AG1791" s="115"/>
      <c r="AH1791" s="115"/>
      <c r="AI1791" s="115"/>
      <c r="AJ1791" s="115"/>
      <c r="AK1791" s="115"/>
      <c r="AL1791" s="115"/>
      <c r="AM1791" s="115"/>
      <c r="AN1791" s="115"/>
      <c r="AO1791" s="115"/>
      <c r="AP1791" s="115"/>
      <c r="AQ1791" s="115"/>
      <c r="AR1791" s="115"/>
      <c r="AS1791" s="115"/>
      <c r="AT1791" s="115"/>
      <c r="AU1791" s="115"/>
      <c r="AV1791" s="115"/>
      <c r="AW1791" s="115"/>
      <c r="AX1791" s="115"/>
      <c r="AY1791" s="115"/>
      <c r="AZ1791" s="115"/>
      <c r="BA1791" s="115"/>
      <c r="BB1791" s="115"/>
      <c r="BC1791" s="115"/>
      <c r="BD1791" s="115"/>
      <c r="BE1791" s="115"/>
      <c r="BF1791" s="115"/>
      <c r="BG1791" s="115"/>
      <c r="BH1791" s="122"/>
      <c r="BI1791" s="122"/>
      <c r="BJ1791" s="122"/>
      <c r="BK1791" s="115"/>
      <c r="BL1791" s="115"/>
      <c r="BM1791" s="115"/>
      <c r="BN1791" s="115"/>
      <c r="BO1791" s="115"/>
      <c r="BP1791" s="115"/>
      <c r="BQ1791" s="115"/>
      <c r="BR1791" s="115"/>
      <c r="BS1791" s="115"/>
      <c r="BT1791" s="115"/>
      <c r="BU1791" s="115"/>
      <c r="BV1791" s="115"/>
      <c r="BW1791" s="115"/>
      <c r="BX1791" s="115"/>
      <c r="BY1791" s="26"/>
      <c r="BZ1791" s="15"/>
      <c r="CD1791" s="117"/>
      <c r="CE1791" s="116"/>
      <c r="CF1791" s="116"/>
      <c r="CG1791" s="116"/>
    </row>
    <row r="1792" spans="1:85" ht="19.5" x14ac:dyDescent="0.4">
      <c r="A1792" s="115"/>
      <c r="B1792" s="115"/>
      <c r="C1792" s="115"/>
      <c r="D1792" s="115"/>
      <c r="E1792" s="115"/>
      <c r="F1792" s="115"/>
      <c r="G1792" s="115"/>
      <c r="H1792" s="115"/>
      <c r="I1792" s="115"/>
      <c r="J1792" s="115"/>
      <c r="K1792" s="115"/>
      <c r="L1792" s="115"/>
      <c r="M1792" s="115"/>
      <c r="N1792" s="115"/>
      <c r="O1792" s="115"/>
      <c r="P1792" s="115"/>
      <c r="Q1792" s="115"/>
      <c r="R1792" s="115"/>
      <c r="S1792" s="115"/>
      <c r="T1792" s="115"/>
      <c r="U1792" s="115"/>
      <c r="V1792" s="115"/>
      <c r="W1792" s="115"/>
      <c r="X1792" s="115"/>
      <c r="Y1792" s="115"/>
      <c r="Z1792" s="115"/>
      <c r="AA1792" s="115"/>
      <c r="AB1792" s="115"/>
      <c r="AC1792" s="115"/>
      <c r="AD1792" s="115"/>
      <c r="AE1792" s="115"/>
      <c r="AF1792" s="115"/>
      <c r="AG1792" s="115"/>
      <c r="AH1792" s="115"/>
      <c r="AI1792" s="115"/>
      <c r="AJ1792" s="115"/>
      <c r="AK1792" s="115"/>
      <c r="AL1792" s="115"/>
      <c r="AM1792" s="115"/>
      <c r="AN1792" s="115"/>
      <c r="AO1792" s="115"/>
      <c r="AP1792" s="115"/>
      <c r="AQ1792" s="115"/>
      <c r="AR1792" s="115"/>
      <c r="AS1792" s="115"/>
      <c r="AT1792" s="115"/>
      <c r="AU1792" s="115"/>
      <c r="AV1792" s="115"/>
      <c r="AW1792" s="115"/>
      <c r="AX1792" s="115"/>
      <c r="AY1792" s="115"/>
      <c r="AZ1792" s="115"/>
      <c r="BA1792" s="115"/>
      <c r="BB1792" s="115"/>
      <c r="BC1792" s="115"/>
      <c r="BD1792" s="115"/>
      <c r="BE1792" s="115"/>
      <c r="BF1792" s="115"/>
      <c r="BG1792" s="115"/>
      <c r="BH1792" s="122"/>
      <c r="BI1792" s="122"/>
      <c r="BJ1792" s="122"/>
      <c r="BK1792" s="115"/>
      <c r="BL1792" s="115"/>
      <c r="BM1792" s="115"/>
      <c r="BN1792" s="115"/>
      <c r="BO1792" s="115"/>
      <c r="BP1792" s="115"/>
      <c r="BQ1792" s="115"/>
      <c r="BR1792" s="115"/>
      <c r="BS1792" s="115"/>
      <c r="BT1792" s="115"/>
      <c r="BU1792" s="115"/>
      <c r="BV1792" s="115"/>
      <c r="BW1792" s="115"/>
      <c r="BX1792" s="115"/>
      <c r="BY1792" s="17"/>
      <c r="BZ1792" s="15"/>
      <c r="CD1792" s="117"/>
      <c r="CE1792" s="116"/>
      <c r="CF1792" s="116"/>
      <c r="CG1792" s="116"/>
    </row>
    <row r="1793" spans="1:85" ht="19.5" x14ac:dyDescent="0.4">
      <c r="BY1793" s="26"/>
      <c r="BZ1793" s="15"/>
      <c r="CD1793" s="117"/>
      <c r="CE1793" s="116"/>
      <c r="CF1793" s="116"/>
      <c r="CG1793" s="116"/>
    </row>
    <row r="1794" spans="1:85" ht="19.5" x14ac:dyDescent="0.4">
      <c r="BE1794" s="115"/>
      <c r="BF1794" s="115"/>
      <c r="BG1794" s="115"/>
      <c r="BH1794" s="122"/>
      <c r="BI1794" s="122"/>
      <c r="BJ1794" s="122"/>
      <c r="BK1794" s="115"/>
      <c r="BL1794" s="115"/>
      <c r="BM1794" s="115"/>
      <c r="BN1794" s="115"/>
      <c r="BO1794" s="115"/>
      <c r="BP1794" s="115"/>
      <c r="BQ1794" s="115"/>
      <c r="BR1794" s="115"/>
      <c r="BS1794" s="115"/>
      <c r="BT1794" s="115"/>
      <c r="BU1794" s="115"/>
      <c r="BV1794" s="115"/>
      <c r="BW1794" s="115"/>
      <c r="BX1794" s="115"/>
      <c r="BY1794" s="17"/>
      <c r="BZ1794" s="15"/>
      <c r="CD1794" s="117"/>
      <c r="CE1794" s="116"/>
      <c r="CF1794" s="116"/>
      <c r="CG1794" s="116"/>
    </row>
    <row r="1795" spans="1:85" ht="19.5" x14ac:dyDescent="0.4">
      <c r="BD1795" s="115"/>
      <c r="BE1795" s="115"/>
      <c r="BF1795" s="115"/>
      <c r="BG1795" s="115"/>
      <c r="BH1795" s="122"/>
      <c r="BI1795" s="122"/>
      <c r="BJ1795" s="122"/>
      <c r="BK1795" s="115"/>
      <c r="BL1795" s="115"/>
      <c r="BM1795" s="115"/>
      <c r="BN1795" s="115"/>
      <c r="BO1795" s="115"/>
      <c r="BP1795" s="115"/>
      <c r="BQ1795" s="115"/>
      <c r="BR1795" s="115"/>
      <c r="BS1795" s="115"/>
      <c r="BT1795" s="115"/>
      <c r="BU1795" s="115"/>
      <c r="BV1795" s="115"/>
      <c r="BW1795" s="115"/>
      <c r="BX1795" s="115"/>
      <c r="BY1795" s="26"/>
      <c r="BZ1795" s="15"/>
      <c r="CD1795" s="117"/>
      <c r="CE1795" s="116"/>
      <c r="CF1795" s="116"/>
      <c r="CG1795" s="116"/>
    </row>
    <row r="1796" spans="1:85" ht="19.5" x14ac:dyDescent="0.4">
      <c r="C1796" s="115"/>
      <c r="D1796" s="115"/>
      <c r="E1796" s="115"/>
      <c r="F1796" s="115"/>
      <c r="G1796" s="115"/>
      <c r="H1796" s="115"/>
      <c r="I1796" s="115"/>
      <c r="J1796" s="115"/>
      <c r="K1796" s="115"/>
      <c r="L1796" s="115"/>
      <c r="M1796" s="115"/>
      <c r="N1796" s="115"/>
      <c r="O1796" s="115"/>
      <c r="P1796" s="115"/>
      <c r="Q1796" s="115"/>
      <c r="R1796" s="115"/>
      <c r="S1796" s="115"/>
      <c r="T1796" s="115"/>
      <c r="U1796" s="115"/>
      <c r="V1796" s="115"/>
      <c r="W1796" s="115"/>
      <c r="X1796" s="115"/>
      <c r="Y1796" s="115"/>
      <c r="Z1796" s="115"/>
      <c r="AA1796" s="115"/>
      <c r="AB1796" s="115"/>
      <c r="AC1796" s="115"/>
      <c r="AD1796" s="115"/>
      <c r="AE1796" s="115"/>
      <c r="AF1796" s="115"/>
      <c r="AG1796" s="115"/>
      <c r="AH1796" s="115"/>
      <c r="AI1796" s="115"/>
      <c r="AJ1796" s="115"/>
      <c r="AK1796" s="115"/>
      <c r="AL1796" s="115"/>
      <c r="AM1796" s="115"/>
      <c r="AN1796" s="115"/>
      <c r="AO1796" s="115"/>
      <c r="AP1796" s="115"/>
      <c r="AQ1796" s="115"/>
      <c r="AR1796" s="115"/>
      <c r="AS1796" s="115"/>
      <c r="AT1796" s="115"/>
      <c r="AU1796" s="115"/>
      <c r="AV1796" s="115"/>
      <c r="AW1796" s="115"/>
      <c r="AX1796" s="115"/>
      <c r="AY1796" s="115"/>
      <c r="AZ1796" s="115"/>
      <c r="BA1796" s="115"/>
      <c r="BB1796" s="115"/>
      <c r="BC1796" s="115"/>
      <c r="BD1796" s="115"/>
      <c r="BE1796" s="115"/>
      <c r="BF1796" s="115"/>
      <c r="BG1796" s="115"/>
      <c r="BH1796" s="122"/>
      <c r="BI1796" s="122"/>
      <c r="BJ1796" s="122"/>
      <c r="BK1796" s="115"/>
      <c r="BL1796" s="115"/>
      <c r="BM1796" s="115"/>
      <c r="BN1796" s="115"/>
      <c r="BO1796" s="115"/>
      <c r="BP1796" s="115"/>
      <c r="BQ1796" s="115"/>
      <c r="BR1796" s="115"/>
      <c r="BS1796" s="115"/>
      <c r="BT1796" s="115"/>
      <c r="BU1796" s="115"/>
      <c r="BV1796" s="115"/>
      <c r="BW1796" s="115"/>
      <c r="BX1796" s="115"/>
      <c r="BY1796" s="26"/>
      <c r="BZ1796" s="15"/>
      <c r="CD1796" s="117"/>
      <c r="CE1796" s="116"/>
      <c r="CF1796" s="116"/>
      <c r="CG1796" s="116"/>
    </row>
    <row r="1797" spans="1:85" ht="19.5" x14ac:dyDescent="0.4">
      <c r="C1797" s="115"/>
      <c r="D1797" s="115"/>
      <c r="E1797" s="115"/>
      <c r="F1797" s="115"/>
      <c r="G1797" s="115"/>
      <c r="H1797" s="115"/>
      <c r="I1797" s="115"/>
      <c r="J1797" s="115"/>
      <c r="K1797" s="115"/>
      <c r="L1797" s="115"/>
      <c r="M1797" s="115"/>
      <c r="N1797" s="115"/>
      <c r="O1797" s="115"/>
      <c r="P1797" s="115"/>
      <c r="Q1797" s="115"/>
      <c r="R1797" s="115"/>
      <c r="S1797" s="115"/>
      <c r="T1797" s="115"/>
      <c r="U1797" s="115"/>
      <c r="V1797" s="115"/>
      <c r="W1797" s="115"/>
      <c r="X1797" s="115"/>
      <c r="Y1797" s="115"/>
      <c r="Z1797" s="115"/>
      <c r="AA1797" s="115"/>
      <c r="AB1797" s="115"/>
      <c r="AC1797" s="115"/>
      <c r="AD1797" s="115"/>
      <c r="AE1797" s="115"/>
      <c r="AF1797" s="115"/>
      <c r="AG1797" s="115"/>
      <c r="AH1797" s="115"/>
      <c r="AI1797" s="115"/>
      <c r="AJ1797" s="115"/>
      <c r="AK1797" s="115"/>
      <c r="AL1797" s="115"/>
      <c r="AM1797" s="115"/>
      <c r="AN1797" s="115"/>
      <c r="AO1797" s="115"/>
      <c r="AP1797" s="115"/>
      <c r="AQ1797" s="115"/>
      <c r="AR1797" s="115"/>
      <c r="AS1797" s="115"/>
      <c r="AT1797" s="115"/>
      <c r="AU1797" s="115"/>
      <c r="AV1797" s="115"/>
      <c r="AW1797" s="115"/>
      <c r="AX1797" s="115"/>
      <c r="AY1797" s="115"/>
      <c r="AZ1797" s="115"/>
      <c r="BA1797" s="115"/>
      <c r="BB1797" s="115"/>
      <c r="BC1797" s="115"/>
      <c r="BD1797" s="115"/>
      <c r="BE1797" s="115"/>
      <c r="BF1797" s="115"/>
      <c r="BG1797" s="115"/>
      <c r="BH1797" s="122"/>
      <c r="BI1797" s="122"/>
      <c r="BJ1797" s="122"/>
      <c r="BK1797" s="115"/>
      <c r="BL1797" s="115"/>
      <c r="BM1797" s="115"/>
      <c r="BN1797" s="115"/>
      <c r="BO1797" s="115"/>
      <c r="BP1797" s="115"/>
      <c r="BQ1797" s="115"/>
      <c r="BR1797" s="115"/>
      <c r="BS1797" s="115"/>
      <c r="BT1797" s="115"/>
      <c r="BU1797" s="115"/>
      <c r="BV1797" s="115"/>
      <c r="BW1797" s="115"/>
      <c r="BX1797" s="115"/>
      <c r="BY1797" s="26"/>
      <c r="BZ1797" s="15"/>
      <c r="CD1797" s="117"/>
      <c r="CE1797" s="116"/>
      <c r="CF1797" s="116"/>
      <c r="CG1797" s="116"/>
    </row>
    <row r="1798" spans="1:85" ht="19.5" x14ac:dyDescent="0.4">
      <c r="B1798" s="115"/>
      <c r="C1798" s="115"/>
      <c r="D1798" s="115"/>
      <c r="E1798" s="115"/>
      <c r="F1798" s="115"/>
      <c r="G1798" s="115"/>
      <c r="H1798" s="115"/>
      <c r="I1798" s="115"/>
      <c r="J1798" s="115"/>
      <c r="K1798" s="115"/>
      <c r="L1798" s="115"/>
      <c r="M1798" s="115"/>
      <c r="N1798" s="115"/>
      <c r="O1798" s="115"/>
      <c r="P1798" s="115"/>
      <c r="Q1798" s="115"/>
      <c r="R1798" s="115"/>
      <c r="S1798" s="115"/>
      <c r="T1798" s="115"/>
      <c r="U1798" s="115"/>
      <c r="V1798" s="115"/>
      <c r="W1798" s="115"/>
      <c r="X1798" s="115"/>
      <c r="Y1798" s="115"/>
      <c r="Z1798" s="115"/>
      <c r="AA1798" s="115"/>
      <c r="AB1798" s="115"/>
      <c r="AC1798" s="115"/>
      <c r="AD1798" s="115"/>
      <c r="AE1798" s="115"/>
      <c r="AF1798" s="115"/>
      <c r="AG1798" s="115"/>
      <c r="AH1798" s="115"/>
      <c r="AI1798" s="115"/>
      <c r="AJ1798" s="115"/>
      <c r="AK1798" s="115"/>
      <c r="AL1798" s="115"/>
      <c r="AM1798" s="115"/>
      <c r="AN1798" s="115"/>
      <c r="AO1798" s="115"/>
      <c r="AP1798" s="115"/>
      <c r="AQ1798" s="115"/>
      <c r="AR1798" s="115"/>
      <c r="AS1798" s="115"/>
      <c r="AT1798" s="115"/>
      <c r="AU1798" s="115"/>
      <c r="AV1798" s="115"/>
      <c r="AW1798" s="115"/>
      <c r="AX1798" s="115"/>
      <c r="AY1798" s="115"/>
      <c r="AZ1798" s="115"/>
      <c r="BA1798" s="115"/>
      <c r="BB1798" s="115"/>
      <c r="BC1798" s="115"/>
      <c r="BD1798" s="115"/>
      <c r="BE1798" s="115"/>
      <c r="BF1798" s="115"/>
      <c r="BG1798" s="115"/>
      <c r="BH1798" s="122"/>
      <c r="BI1798" s="122"/>
      <c r="BJ1798" s="122"/>
      <c r="BK1798" s="115"/>
      <c r="BL1798" s="115"/>
      <c r="BM1798" s="115"/>
      <c r="BN1798" s="115"/>
      <c r="BO1798" s="115"/>
      <c r="BP1798" s="115"/>
      <c r="BQ1798" s="115"/>
      <c r="BR1798" s="115"/>
      <c r="BS1798" s="115"/>
      <c r="BT1798" s="115"/>
      <c r="BU1798" s="115"/>
      <c r="BV1798" s="115"/>
      <c r="BW1798" s="115"/>
      <c r="BX1798" s="115"/>
      <c r="BY1798" s="26"/>
      <c r="BZ1798" s="15"/>
      <c r="CD1798" s="117"/>
      <c r="CE1798" s="116"/>
      <c r="CF1798" s="116"/>
      <c r="CG1798" s="116"/>
    </row>
    <row r="1799" spans="1:85" ht="19.5" x14ac:dyDescent="0.4">
      <c r="A1799" s="115"/>
      <c r="B1799" s="115"/>
      <c r="C1799" s="115"/>
      <c r="D1799" s="115"/>
      <c r="E1799" s="115"/>
      <c r="F1799" s="115"/>
      <c r="G1799" s="115"/>
      <c r="H1799" s="115"/>
      <c r="I1799" s="115"/>
      <c r="J1799" s="115"/>
      <c r="K1799" s="115"/>
      <c r="L1799" s="115"/>
      <c r="M1799" s="115"/>
      <c r="N1799" s="115"/>
      <c r="O1799" s="115"/>
      <c r="P1799" s="115"/>
      <c r="Q1799" s="115"/>
      <c r="R1799" s="115"/>
      <c r="S1799" s="115"/>
      <c r="T1799" s="115"/>
      <c r="U1799" s="115"/>
      <c r="V1799" s="115"/>
      <c r="W1799" s="115"/>
      <c r="X1799" s="115"/>
      <c r="Y1799" s="115"/>
      <c r="Z1799" s="115"/>
      <c r="AA1799" s="115"/>
      <c r="AB1799" s="115"/>
      <c r="AC1799" s="115"/>
      <c r="AD1799" s="115"/>
      <c r="AE1799" s="115"/>
      <c r="AF1799" s="115"/>
      <c r="AG1799" s="115"/>
      <c r="AH1799" s="115"/>
      <c r="AI1799" s="115"/>
      <c r="AJ1799" s="115"/>
      <c r="AK1799" s="115"/>
      <c r="AL1799" s="115"/>
      <c r="AM1799" s="115"/>
      <c r="AN1799" s="115"/>
      <c r="AO1799" s="115"/>
      <c r="AP1799" s="115"/>
      <c r="AQ1799" s="115"/>
      <c r="AR1799" s="115"/>
      <c r="AS1799" s="115"/>
      <c r="AT1799" s="115"/>
      <c r="AU1799" s="115"/>
      <c r="AV1799" s="115"/>
      <c r="AW1799" s="115"/>
      <c r="AX1799" s="115"/>
      <c r="AY1799" s="115"/>
      <c r="AZ1799" s="115"/>
      <c r="BA1799" s="115"/>
      <c r="BB1799" s="115"/>
      <c r="BC1799" s="115"/>
      <c r="BD1799" s="115"/>
      <c r="BE1799" s="115"/>
      <c r="BF1799" s="115"/>
      <c r="BG1799" s="115"/>
      <c r="BH1799" s="122"/>
      <c r="BI1799" s="122"/>
      <c r="BJ1799" s="122"/>
      <c r="BK1799" s="115"/>
      <c r="BL1799" s="115"/>
      <c r="BM1799" s="115"/>
      <c r="BN1799" s="115"/>
      <c r="BO1799" s="115"/>
      <c r="BP1799" s="115"/>
      <c r="BQ1799" s="115"/>
      <c r="BR1799" s="115"/>
      <c r="BS1799" s="115"/>
      <c r="BT1799" s="115"/>
      <c r="BU1799" s="115"/>
      <c r="BV1799" s="115"/>
      <c r="BW1799" s="115"/>
      <c r="BX1799" s="115"/>
      <c r="BY1799" s="26"/>
      <c r="BZ1799" s="15"/>
      <c r="CD1799" s="117"/>
      <c r="CE1799" s="116"/>
      <c r="CF1799" s="116"/>
      <c r="CG1799" s="116"/>
    </row>
    <row r="1800" spans="1:85" ht="19.5" x14ac:dyDescent="0.4">
      <c r="A1800" s="115"/>
      <c r="B1800" s="115"/>
      <c r="C1800" s="115"/>
      <c r="D1800" s="115"/>
      <c r="E1800" s="115"/>
      <c r="F1800" s="115"/>
      <c r="G1800" s="115"/>
      <c r="H1800" s="115"/>
      <c r="I1800" s="115"/>
      <c r="J1800" s="115"/>
      <c r="K1800" s="115"/>
      <c r="L1800" s="115"/>
      <c r="M1800" s="115"/>
      <c r="N1800" s="115"/>
      <c r="O1800" s="115"/>
      <c r="P1800" s="115"/>
      <c r="Q1800" s="115"/>
      <c r="R1800" s="115"/>
      <c r="S1800" s="115"/>
      <c r="T1800" s="115"/>
      <c r="U1800" s="115"/>
      <c r="V1800" s="115"/>
      <c r="W1800" s="115"/>
      <c r="X1800" s="115"/>
      <c r="Y1800" s="115"/>
      <c r="Z1800" s="115"/>
      <c r="AA1800" s="115"/>
      <c r="AB1800" s="115"/>
      <c r="AC1800" s="115"/>
      <c r="AD1800" s="115"/>
      <c r="AE1800" s="115"/>
      <c r="AF1800" s="115"/>
      <c r="AG1800" s="115"/>
      <c r="AH1800" s="115"/>
      <c r="AI1800" s="115"/>
      <c r="AJ1800" s="115"/>
      <c r="AK1800" s="115"/>
      <c r="AL1800" s="115"/>
      <c r="AM1800" s="115"/>
      <c r="AN1800" s="115"/>
      <c r="AO1800" s="115"/>
      <c r="AP1800" s="115"/>
      <c r="AQ1800" s="115"/>
      <c r="AR1800" s="115"/>
      <c r="AS1800" s="115"/>
      <c r="AT1800" s="115"/>
      <c r="AU1800" s="115"/>
      <c r="AV1800" s="115"/>
      <c r="AW1800" s="115"/>
      <c r="AX1800" s="115"/>
      <c r="AY1800" s="115"/>
      <c r="AZ1800" s="115"/>
      <c r="BA1800" s="115"/>
      <c r="BB1800" s="115"/>
      <c r="BC1800" s="115"/>
      <c r="BD1800" s="115"/>
      <c r="BE1800" s="115"/>
      <c r="BF1800" s="115"/>
      <c r="BG1800" s="115"/>
      <c r="BH1800" s="122"/>
      <c r="BI1800" s="122"/>
      <c r="BJ1800" s="122"/>
      <c r="BK1800" s="115"/>
      <c r="BL1800" s="115"/>
      <c r="BM1800" s="115"/>
      <c r="BN1800" s="115"/>
      <c r="BO1800" s="115"/>
      <c r="BP1800" s="115"/>
      <c r="BQ1800" s="115"/>
      <c r="BR1800" s="115"/>
      <c r="BS1800" s="115"/>
      <c r="BT1800" s="115"/>
      <c r="BU1800" s="115"/>
      <c r="BV1800" s="115"/>
      <c r="BW1800" s="115"/>
      <c r="BX1800" s="115"/>
      <c r="BY1800" s="26"/>
      <c r="BZ1800" s="15"/>
      <c r="CD1800" s="117"/>
      <c r="CE1800" s="116"/>
      <c r="CF1800" s="116"/>
      <c r="CG1800" s="116"/>
    </row>
    <row r="1801" spans="1:85" ht="19.5" x14ac:dyDescent="0.4">
      <c r="A1801" s="115"/>
      <c r="B1801" s="115"/>
      <c r="C1801" s="115"/>
      <c r="D1801" s="115"/>
      <c r="E1801" s="115"/>
      <c r="F1801" s="115"/>
      <c r="G1801" s="115"/>
      <c r="H1801" s="115"/>
      <c r="I1801" s="115"/>
      <c r="J1801" s="115"/>
      <c r="K1801" s="115"/>
      <c r="L1801" s="115"/>
      <c r="M1801" s="115"/>
      <c r="N1801" s="115"/>
      <c r="O1801" s="115"/>
      <c r="P1801" s="115"/>
      <c r="Q1801" s="115"/>
      <c r="R1801" s="115"/>
      <c r="S1801" s="115"/>
      <c r="T1801" s="115"/>
      <c r="U1801" s="115"/>
      <c r="V1801" s="115"/>
      <c r="W1801" s="115"/>
      <c r="X1801" s="115"/>
      <c r="Y1801" s="115"/>
      <c r="Z1801" s="115"/>
      <c r="AA1801" s="115"/>
      <c r="AB1801" s="115"/>
      <c r="AC1801" s="115"/>
      <c r="AD1801" s="115"/>
      <c r="AE1801" s="115"/>
      <c r="AF1801" s="115"/>
      <c r="AG1801" s="115"/>
      <c r="AH1801" s="115"/>
      <c r="AI1801" s="115"/>
      <c r="AJ1801" s="115"/>
      <c r="AK1801" s="115"/>
      <c r="AL1801" s="115"/>
      <c r="AM1801" s="115"/>
      <c r="AN1801" s="115"/>
      <c r="AO1801" s="115"/>
      <c r="AP1801" s="115"/>
      <c r="AQ1801" s="115"/>
      <c r="AR1801" s="115"/>
      <c r="AS1801" s="115"/>
      <c r="AT1801" s="115"/>
      <c r="AU1801" s="115"/>
      <c r="AV1801" s="115"/>
      <c r="AW1801" s="115"/>
      <c r="AX1801" s="115"/>
      <c r="AY1801" s="115"/>
      <c r="AZ1801" s="115"/>
      <c r="BA1801" s="115"/>
      <c r="BB1801" s="115"/>
      <c r="BC1801" s="115"/>
      <c r="BD1801" s="115"/>
      <c r="BE1801" s="115"/>
      <c r="BF1801" s="115"/>
      <c r="BG1801" s="115"/>
      <c r="BH1801" s="122"/>
      <c r="BI1801" s="122"/>
      <c r="BJ1801" s="122"/>
      <c r="BK1801" s="115"/>
      <c r="BL1801" s="115"/>
      <c r="BM1801" s="115"/>
      <c r="BN1801" s="115"/>
      <c r="BO1801" s="115"/>
      <c r="BP1801" s="115"/>
      <c r="BQ1801" s="115"/>
      <c r="BR1801" s="115"/>
      <c r="BS1801" s="115"/>
      <c r="BT1801" s="115"/>
      <c r="BU1801" s="115"/>
      <c r="BV1801" s="115"/>
      <c r="BW1801" s="115"/>
      <c r="BX1801" s="115"/>
      <c r="BY1801" s="17"/>
      <c r="BZ1801" s="15"/>
      <c r="CD1801" s="117"/>
      <c r="CE1801" s="116"/>
      <c r="CF1801" s="116"/>
      <c r="CG1801" s="116"/>
    </row>
    <row r="1802" spans="1:85" ht="19.5" x14ac:dyDescent="0.4">
      <c r="BY1802" s="26"/>
      <c r="BZ1802" s="15"/>
      <c r="CD1802" s="117"/>
      <c r="CE1802" s="116"/>
      <c r="CF1802" s="116"/>
      <c r="CG1802" s="116"/>
    </row>
    <row r="1803" spans="1:85" ht="19.5" x14ac:dyDescent="0.4">
      <c r="BE1803" s="115"/>
      <c r="BF1803" s="115"/>
      <c r="BG1803" s="115"/>
      <c r="BH1803" s="122"/>
      <c r="BI1803" s="122"/>
      <c r="BJ1803" s="122"/>
      <c r="BK1803" s="115"/>
      <c r="BL1803" s="115"/>
      <c r="BM1803" s="115"/>
      <c r="BN1803" s="115"/>
      <c r="BO1803" s="115"/>
      <c r="BP1803" s="115"/>
      <c r="BQ1803" s="115"/>
      <c r="BR1803" s="115"/>
      <c r="BS1803" s="115"/>
      <c r="BT1803" s="115"/>
      <c r="BU1803" s="115"/>
      <c r="BV1803" s="115"/>
      <c r="BW1803" s="115"/>
      <c r="BX1803" s="115"/>
      <c r="BY1803" s="17"/>
      <c r="BZ1803" s="13"/>
      <c r="CD1803" s="117"/>
      <c r="CE1803" s="116"/>
      <c r="CF1803" s="116"/>
      <c r="CG1803" s="116"/>
    </row>
    <row r="1804" spans="1:85" ht="19.5" x14ac:dyDescent="0.4">
      <c r="BE1804" s="115"/>
      <c r="BF1804" s="115"/>
      <c r="BG1804" s="115"/>
      <c r="BH1804" s="122"/>
      <c r="BI1804" s="122"/>
      <c r="BJ1804" s="122"/>
      <c r="BK1804" s="115"/>
      <c r="BL1804" s="115"/>
      <c r="BM1804" s="115"/>
      <c r="BN1804" s="115"/>
      <c r="BO1804" s="115"/>
      <c r="BP1804" s="115"/>
      <c r="BQ1804" s="115"/>
      <c r="BR1804" s="115"/>
      <c r="BS1804" s="115"/>
      <c r="BT1804" s="115"/>
      <c r="BU1804" s="115"/>
      <c r="BV1804" s="115"/>
      <c r="BW1804" s="115"/>
      <c r="BX1804" s="115"/>
      <c r="BY1804" s="17"/>
      <c r="BZ1804" s="13"/>
      <c r="CD1804" s="117"/>
      <c r="CE1804" s="116"/>
      <c r="CF1804" s="116"/>
      <c r="CG1804" s="116"/>
    </row>
    <row r="1805" spans="1:85" ht="19.5" x14ac:dyDescent="0.4">
      <c r="BY1805" s="26"/>
      <c r="BZ1805" s="13"/>
      <c r="CD1805" s="117"/>
      <c r="CE1805" s="116"/>
      <c r="CF1805" s="116"/>
      <c r="CG1805" s="116"/>
    </row>
    <row r="1806" spans="1:85" ht="19.5" x14ac:dyDescent="0.4">
      <c r="BY1806" s="26"/>
      <c r="BZ1806" s="13"/>
      <c r="CD1806" s="116"/>
      <c r="CE1806" s="116"/>
      <c r="CF1806" s="116"/>
      <c r="CG1806" s="116"/>
    </row>
    <row r="1807" spans="1:85" ht="19.5" x14ac:dyDescent="0.4">
      <c r="D1807" s="115"/>
      <c r="E1807" s="115"/>
      <c r="F1807" s="115"/>
      <c r="G1807" s="115"/>
      <c r="H1807" s="115"/>
      <c r="I1807" s="115"/>
      <c r="J1807" s="115"/>
      <c r="K1807" s="115"/>
      <c r="L1807" s="115"/>
      <c r="M1807" s="115"/>
      <c r="N1807" s="115"/>
      <c r="O1807" s="115"/>
      <c r="P1807" s="115"/>
      <c r="Q1807" s="115"/>
      <c r="R1807" s="115"/>
      <c r="S1807" s="115"/>
      <c r="T1807" s="115"/>
      <c r="U1807" s="115"/>
      <c r="V1807" s="115"/>
      <c r="W1807" s="115"/>
      <c r="X1807" s="115"/>
      <c r="Y1807" s="115"/>
      <c r="Z1807" s="115"/>
      <c r="AA1807" s="115"/>
      <c r="AB1807" s="115"/>
      <c r="AC1807" s="115"/>
      <c r="AD1807" s="115"/>
      <c r="AE1807" s="115"/>
      <c r="AF1807" s="115"/>
      <c r="AG1807" s="115"/>
      <c r="AH1807" s="115"/>
      <c r="AI1807" s="115"/>
      <c r="AJ1807" s="115"/>
      <c r="AK1807" s="115"/>
      <c r="AL1807" s="115"/>
      <c r="AM1807" s="115"/>
      <c r="AN1807" s="115"/>
      <c r="AO1807" s="115"/>
      <c r="AP1807" s="115"/>
      <c r="AQ1807" s="115"/>
      <c r="AR1807" s="115"/>
      <c r="AS1807" s="115"/>
      <c r="AT1807" s="115"/>
      <c r="AU1807" s="115"/>
      <c r="AV1807" s="115"/>
      <c r="AW1807" s="115"/>
      <c r="AX1807" s="115"/>
      <c r="AY1807" s="115"/>
      <c r="AZ1807" s="115"/>
      <c r="BA1807" s="115"/>
      <c r="BB1807" s="115"/>
      <c r="BC1807" s="115"/>
      <c r="BD1807" s="115"/>
      <c r="BE1807" s="115"/>
      <c r="BF1807" s="115"/>
      <c r="BG1807" s="115"/>
      <c r="BH1807" s="122"/>
      <c r="BI1807" s="122"/>
      <c r="BJ1807" s="122"/>
      <c r="BK1807" s="115"/>
      <c r="BL1807" s="115"/>
      <c r="BM1807" s="115"/>
      <c r="BN1807" s="115"/>
      <c r="BO1807" s="115"/>
      <c r="BP1807" s="115"/>
      <c r="BQ1807" s="115"/>
      <c r="BR1807" s="115"/>
      <c r="BS1807" s="115"/>
      <c r="BT1807" s="115"/>
      <c r="BU1807" s="115"/>
      <c r="BV1807" s="115"/>
      <c r="BW1807" s="115"/>
      <c r="BX1807" s="115"/>
      <c r="BY1807" s="26"/>
      <c r="BZ1807" s="13"/>
      <c r="CD1807" s="118"/>
      <c r="CE1807" s="118"/>
      <c r="CF1807" s="118"/>
      <c r="CG1807" s="118"/>
    </row>
    <row r="1808" spans="1:85" ht="19.5" x14ac:dyDescent="0.4">
      <c r="D1808" s="115"/>
      <c r="E1808" s="115"/>
      <c r="F1808" s="115"/>
      <c r="G1808" s="115"/>
      <c r="H1808" s="115"/>
      <c r="I1808" s="115"/>
      <c r="J1808" s="115"/>
      <c r="K1808" s="115"/>
      <c r="L1808" s="115"/>
      <c r="M1808" s="115"/>
      <c r="N1808" s="115"/>
      <c r="O1808" s="115"/>
      <c r="P1808" s="115"/>
      <c r="Q1808" s="115"/>
      <c r="R1808" s="115"/>
      <c r="S1808" s="115"/>
      <c r="T1808" s="115"/>
      <c r="U1808" s="115"/>
      <c r="V1808" s="115"/>
      <c r="W1808" s="115"/>
      <c r="X1808" s="115"/>
      <c r="Y1808" s="115"/>
      <c r="Z1808" s="115"/>
      <c r="AA1808" s="115"/>
      <c r="AB1808" s="115"/>
      <c r="AC1808" s="115"/>
      <c r="AD1808" s="115"/>
      <c r="AE1808" s="115"/>
      <c r="AF1808" s="115"/>
      <c r="AG1808" s="115"/>
      <c r="AH1808" s="115"/>
      <c r="AI1808" s="115"/>
      <c r="AJ1808" s="115"/>
      <c r="AK1808" s="115"/>
      <c r="AL1808" s="115"/>
      <c r="AM1808" s="115"/>
      <c r="AN1808" s="115"/>
      <c r="AO1808" s="115"/>
      <c r="AP1808" s="115"/>
      <c r="AQ1808" s="115"/>
      <c r="AR1808" s="115"/>
      <c r="AS1808" s="115"/>
      <c r="AT1808" s="115"/>
      <c r="AU1808" s="115"/>
      <c r="AV1808" s="115"/>
      <c r="AW1808" s="115"/>
      <c r="AX1808" s="115"/>
      <c r="AY1808" s="115"/>
      <c r="AZ1808" s="115"/>
      <c r="BA1808" s="115"/>
      <c r="BB1808" s="115"/>
      <c r="BC1808" s="115"/>
      <c r="BD1808" s="115"/>
      <c r="BE1808" s="115"/>
      <c r="BF1808" s="115"/>
      <c r="BG1808" s="115"/>
      <c r="BH1808" s="122"/>
      <c r="BI1808" s="122"/>
      <c r="BJ1808" s="122"/>
      <c r="BK1808" s="115"/>
      <c r="BL1808" s="115"/>
      <c r="BM1808" s="115"/>
      <c r="BN1808" s="115"/>
      <c r="BO1808" s="115"/>
      <c r="BP1808" s="115"/>
      <c r="BQ1808" s="115"/>
      <c r="BR1808" s="115"/>
      <c r="BS1808" s="115"/>
      <c r="BT1808" s="115"/>
      <c r="BU1808" s="115"/>
      <c r="BV1808" s="115"/>
      <c r="BW1808" s="115"/>
      <c r="BX1808" s="115"/>
      <c r="BY1808" s="26"/>
      <c r="BZ1808" s="13"/>
      <c r="CD1808" s="118"/>
      <c r="CE1808" s="118"/>
      <c r="CF1808" s="118"/>
      <c r="CG1808" s="118"/>
    </row>
    <row r="1809" spans="1:85" ht="19.5" x14ac:dyDescent="0.4">
      <c r="B1809" s="115"/>
      <c r="C1809" s="115"/>
      <c r="D1809" s="115"/>
      <c r="E1809" s="115"/>
      <c r="F1809" s="115"/>
      <c r="G1809" s="115"/>
      <c r="H1809" s="115"/>
      <c r="I1809" s="115"/>
      <c r="J1809" s="115"/>
      <c r="K1809" s="115"/>
      <c r="L1809" s="115"/>
      <c r="M1809" s="115"/>
      <c r="N1809" s="115"/>
      <c r="O1809" s="115"/>
      <c r="P1809" s="115"/>
      <c r="Q1809" s="115"/>
      <c r="R1809" s="115"/>
      <c r="S1809" s="115"/>
      <c r="T1809" s="115"/>
      <c r="U1809" s="115"/>
      <c r="V1809" s="115"/>
      <c r="W1809" s="115"/>
      <c r="X1809" s="115"/>
      <c r="Y1809" s="115"/>
      <c r="Z1809" s="115"/>
      <c r="AA1809" s="115"/>
      <c r="AB1809" s="115"/>
      <c r="AC1809" s="115"/>
      <c r="AD1809" s="115"/>
      <c r="AE1809" s="115"/>
      <c r="AF1809" s="115"/>
      <c r="AG1809" s="115"/>
      <c r="AH1809" s="115"/>
      <c r="AI1809" s="115"/>
      <c r="AJ1809" s="115"/>
      <c r="AK1809" s="115"/>
      <c r="AL1809" s="115"/>
      <c r="AM1809" s="115"/>
      <c r="AN1809" s="115"/>
      <c r="AO1809" s="115"/>
      <c r="AP1809" s="115"/>
      <c r="AQ1809" s="115"/>
      <c r="AR1809" s="115"/>
      <c r="AS1809" s="115"/>
      <c r="AT1809" s="115"/>
      <c r="AU1809" s="115"/>
      <c r="AV1809" s="115"/>
      <c r="AW1809" s="115"/>
      <c r="AX1809" s="115"/>
      <c r="AY1809" s="115"/>
      <c r="AZ1809" s="115"/>
      <c r="BA1809" s="115"/>
      <c r="BB1809" s="115"/>
      <c r="BC1809" s="115"/>
      <c r="BD1809" s="115"/>
      <c r="BE1809" s="115"/>
      <c r="BF1809" s="115"/>
      <c r="BG1809" s="115"/>
      <c r="BH1809" s="122"/>
      <c r="BI1809" s="122"/>
      <c r="BJ1809" s="122"/>
      <c r="BK1809" s="115"/>
      <c r="BL1809" s="115"/>
      <c r="BM1809" s="115"/>
      <c r="BN1809" s="115"/>
      <c r="BO1809" s="115"/>
      <c r="BP1809" s="115"/>
      <c r="BQ1809" s="115"/>
      <c r="BR1809" s="115"/>
      <c r="BS1809" s="115"/>
      <c r="BT1809" s="115"/>
      <c r="BU1809" s="115"/>
      <c r="BV1809" s="115"/>
      <c r="BW1809" s="115"/>
      <c r="BX1809" s="115"/>
      <c r="BY1809" s="26"/>
      <c r="BZ1809" s="13"/>
      <c r="CD1809" s="118"/>
      <c r="CE1809" s="118"/>
      <c r="CF1809" s="118"/>
      <c r="CG1809" s="118"/>
    </row>
    <row r="1810" spans="1:85" ht="19.5" x14ac:dyDescent="0.4">
      <c r="B1810" s="115"/>
      <c r="C1810" s="115"/>
      <c r="D1810" s="115"/>
      <c r="E1810" s="115"/>
      <c r="F1810" s="115"/>
      <c r="G1810" s="115"/>
      <c r="H1810" s="115"/>
      <c r="I1810" s="115"/>
      <c r="J1810" s="115"/>
      <c r="K1810" s="115"/>
      <c r="L1810" s="115"/>
      <c r="M1810" s="115"/>
      <c r="N1810" s="115"/>
      <c r="O1810" s="115"/>
      <c r="P1810" s="115"/>
      <c r="Q1810" s="115"/>
      <c r="R1810" s="115"/>
      <c r="S1810" s="115"/>
      <c r="T1810" s="115"/>
      <c r="U1810" s="115"/>
      <c r="V1810" s="115"/>
      <c r="W1810" s="115"/>
      <c r="X1810" s="115"/>
      <c r="Y1810" s="115"/>
      <c r="Z1810" s="115"/>
      <c r="AA1810" s="115"/>
      <c r="AB1810" s="115"/>
      <c r="AC1810" s="115"/>
      <c r="AD1810" s="115"/>
      <c r="AE1810" s="115"/>
      <c r="AF1810" s="115"/>
      <c r="AG1810" s="115"/>
      <c r="AH1810" s="115"/>
      <c r="AI1810" s="115"/>
      <c r="AJ1810" s="115"/>
      <c r="AK1810" s="115"/>
      <c r="AL1810" s="115"/>
      <c r="AM1810" s="115"/>
      <c r="AN1810" s="115"/>
      <c r="AO1810" s="115"/>
      <c r="AP1810" s="115"/>
      <c r="AQ1810" s="115"/>
      <c r="AR1810" s="115"/>
      <c r="AS1810" s="115"/>
      <c r="AT1810" s="115"/>
      <c r="AU1810" s="115"/>
      <c r="AV1810" s="115"/>
      <c r="AW1810" s="115"/>
      <c r="AX1810" s="115"/>
      <c r="AY1810" s="115"/>
      <c r="AZ1810" s="115"/>
      <c r="BA1810" s="115"/>
      <c r="BB1810" s="115"/>
      <c r="BC1810" s="115"/>
      <c r="BD1810" s="115"/>
      <c r="BE1810" s="115"/>
      <c r="BF1810" s="115"/>
      <c r="BG1810" s="115"/>
      <c r="BH1810" s="122"/>
      <c r="BI1810" s="122"/>
      <c r="BJ1810" s="122"/>
      <c r="BK1810" s="115"/>
      <c r="BL1810" s="115"/>
      <c r="BM1810" s="115"/>
      <c r="BN1810" s="115"/>
      <c r="BO1810" s="115"/>
      <c r="BP1810" s="115"/>
      <c r="BQ1810" s="115"/>
      <c r="BR1810" s="115"/>
      <c r="BS1810" s="115"/>
      <c r="BT1810" s="115"/>
      <c r="BU1810" s="115"/>
      <c r="BV1810" s="115"/>
      <c r="BW1810" s="115"/>
      <c r="BX1810" s="115"/>
      <c r="BY1810" s="26"/>
      <c r="BZ1810" s="15"/>
      <c r="CD1810" s="118"/>
      <c r="CE1810" s="118"/>
      <c r="CF1810" s="118"/>
      <c r="CG1810" s="118"/>
    </row>
    <row r="1811" spans="1:85" ht="19.5" x14ac:dyDescent="0.4">
      <c r="B1811" s="115"/>
      <c r="C1811" s="115"/>
      <c r="D1811" s="115"/>
      <c r="E1811" s="115"/>
      <c r="F1811" s="115"/>
      <c r="G1811" s="115"/>
      <c r="H1811" s="115"/>
      <c r="I1811" s="115"/>
      <c r="J1811" s="115"/>
      <c r="K1811" s="115"/>
      <c r="L1811" s="115"/>
      <c r="M1811" s="115"/>
      <c r="N1811" s="115"/>
      <c r="O1811" s="115"/>
      <c r="P1811" s="115"/>
      <c r="Q1811" s="115"/>
      <c r="R1811" s="115"/>
      <c r="S1811" s="115"/>
      <c r="T1811" s="115"/>
      <c r="U1811" s="115"/>
      <c r="V1811" s="115"/>
      <c r="W1811" s="115"/>
      <c r="X1811" s="115"/>
      <c r="Y1811" s="115"/>
      <c r="Z1811" s="115"/>
      <c r="AA1811" s="115"/>
      <c r="AB1811" s="115"/>
      <c r="AC1811" s="115"/>
      <c r="AD1811" s="115"/>
      <c r="AE1811" s="115"/>
      <c r="AF1811" s="115"/>
      <c r="AG1811" s="115"/>
      <c r="AH1811" s="115"/>
      <c r="AI1811" s="115"/>
      <c r="AJ1811" s="115"/>
      <c r="AK1811" s="115"/>
      <c r="AL1811" s="115"/>
      <c r="AM1811" s="115"/>
      <c r="AN1811" s="115"/>
      <c r="AO1811" s="115"/>
      <c r="AP1811" s="115"/>
      <c r="AQ1811" s="115"/>
      <c r="AR1811" s="115"/>
      <c r="AS1811" s="115"/>
      <c r="AT1811" s="115"/>
      <c r="AU1811" s="115"/>
      <c r="AV1811" s="115"/>
      <c r="AW1811" s="115"/>
      <c r="AX1811" s="115"/>
      <c r="AY1811" s="115"/>
      <c r="AZ1811" s="115"/>
      <c r="BA1811" s="115"/>
      <c r="BB1811" s="115"/>
      <c r="BC1811" s="115"/>
      <c r="BD1811" s="115"/>
      <c r="BE1811" s="115"/>
      <c r="BF1811" s="115"/>
      <c r="BG1811" s="115"/>
      <c r="BH1811" s="122"/>
      <c r="BI1811" s="122"/>
      <c r="BJ1811" s="122"/>
      <c r="BK1811" s="115"/>
      <c r="BL1811" s="115"/>
      <c r="BM1811" s="115"/>
      <c r="BN1811" s="115"/>
      <c r="BO1811" s="115"/>
      <c r="BP1811" s="115"/>
      <c r="BQ1811" s="115"/>
      <c r="BR1811" s="115"/>
      <c r="BS1811" s="115"/>
      <c r="BT1811" s="115"/>
      <c r="BU1811" s="115"/>
      <c r="BV1811" s="115"/>
      <c r="BW1811" s="115"/>
      <c r="BX1811" s="115"/>
      <c r="BY1811" s="26"/>
      <c r="BZ1811" s="15"/>
      <c r="CD1811" s="118"/>
      <c r="CE1811" s="118"/>
      <c r="CF1811" s="118"/>
      <c r="CG1811" s="118"/>
    </row>
    <row r="1812" spans="1:85" ht="19.5" x14ac:dyDescent="0.4">
      <c r="A1812" s="115"/>
      <c r="B1812" s="115"/>
      <c r="C1812" s="115"/>
      <c r="D1812" s="115"/>
      <c r="E1812" s="115"/>
      <c r="F1812" s="115"/>
      <c r="G1812" s="115"/>
      <c r="H1812" s="115"/>
      <c r="I1812" s="115"/>
      <c r="J1812" s="115"/>
      <c r="K1812" s="115"/>
      <c r="L1812" s="115"/>
      <c r="M1812" s="115"/>
      <c r="N1812" s="115"/>
      <c r="O1812" s="115"/>
      <c r="P1812" s="115"/>
      <c r="Q1812" s="115"/>
      <c r="R1812" s="115"/>
      <c r="S1812" s="115"/>
      <c r="T1812" s="115"/>
      <c r="U1812" s="115"/>
      <c r="V1812" s="115"/>
      <c r="W1812" s="115"/>
      <c r="X1812" s="115"/>
      <c r="Y1812" s="115"/>
      <c r="Z1812" s="115"/>
      <c r="AA1812" s="115"/>
      <c r="AB1812" s="115"/>
      <c r="AC1812" s="115"/>
      <c r="AD1812" s="115"/>
      <c r="AE1812" s="115"/>
      <c r="AF1812" s="115"/>
      <c r="AG1812" s="115"/>
      <c r="AH1812" s="115"/>
      <c r="AI1812" s="115"/>
      <c r="AJ1812" s="115"/>
      <c r="AK1812" s="115"/>
      <c r="AL1812" s="115"/>
      <c r="AM1812" s="115"/>
      <c r="AN1812" s="115"/>
      <c r="AO1812" s="115"/>
      <c r="AP1812" s="115"/>
      <c r="AQ1812" s="115"/>
      <c r="AR1812" s="115"/>
      <c r="AS1812" s="115"/>
      <c r="AT1812" s="115"/>
      <c r="AU1812" s="115"/>
      <c r="AV1812" s="115"/>
      <c r="AW1812" s="115"/>
      <c r="AX1812" s="115"/>
      <c r="AY1812" s="115"/>
      <c r="AZ1812" s="115"/>
      <c r="BA1812" s="115"/>
      <c r="BB1812" s="115"/>
      <c r="BC1812" s="115"/>
      <c r="BD1812" s="115"/>
      <c r="BE1812" s="115"/>
      <c r="BF1812" s="115"/>
      <c r="BG1812" s="115"/>
      <c r="BH1812" s="122"/>
      <c r="BI1812" s="122"/>
      <c r="BJ1812" s="122"/>
      <c r="BK1812" s="115"/>
      <c r="BL1812" s="115"/>
      <c r="BM1812" s="115"/>
      <c r="BN1812" s="115"/>
      <c r="BO1812" s="115"/>
      <c r="BP1812" s="115"/>
      <c r="BQ1812" s="115"/>
      <c r="BR1812" s="115"/>
      <c r="BS1812" s="115"/>
      <c r="BT1812" s="115"/>
      <c r="BU1812" s="115"/>
      <c r="BV1812" s="115"/>
      <c r="BW1812" s="115"/>
      <c r="BX1812" s="115"/>
      <c r="BY1812" s="26"/>
      <c r="BZ1812" s="15"/>
      <c r="CD1812" s="118"/>
      <c r="CE1812" s="118"/>
      <c r="CF1812" s="118"/>
      <c r="CG1812" s="118"/>
    </row>
    <row r="1813" spans="1:85" ht="19.5" x14ac:dyDescent="0.4">
      <c r="A1813" s="115"/>
      <c r="B1813" s="115"/>
      <c r="C1813" s="115"/>
      <c r="D1813" s="115"/>
      <c r="E1813" s="115"/>
      <c r="F1813" s="115"/>
      <c r="G1813" s="115"/>
      <c r="H1813" s="115"/>
      <c r="I1813" s="115"/>
      <c r="J1813" s="115"/>
      <c r="K1813" s="115"/>
      <c r="L1813" s="115"/>
      <c r="M1813" s="115"/>
      <c r="N1813" s="115"/>
      <c r="O1813" s="115"/>
      <c r="P1813" s="115"/>
      <c r="Q1813" s="115"/>
      <c r="R1813" s="115"/>
      <c r="S1813" s="115"/>
      <c r="T1813" s="115"/>
      <c r="U1813" s="115"/>
      <c r="V1813" s="115"/>
      <c r="W1813" s="115"/>
      <c r="X1813" s="115"/>
      <c r="Y1813" s="115"/>
      <c r="Z1813" s="115"/>
      <c r="AA1813" s="115"/>
      <c r="AB1813" s="115"/>
      <c r="AC1813" s="115"/>
      <c r="AD1813" s="115"/>
      <c r="AE1813" s="115"/>
      <c r="AF1813" s="115"/>
      <c r="AG1813" s="115"/>
      <c r="AH1813" s="115"/>
      <c r="AI1813" s="115"/>
      <c r="AJ1813" s="115"/>
      <c r="AK1813" s="115"/>
      <c r="AL1813" s="115"/>
      <c r="AM1813" s="115"/>
      <c r="AN1813" s="115"/>
      <c r="AO1813" s="115"/>
      <c r="AP1813" s="115"/>
      <c r="AQ1813" s="115"/>
      <c r="AR1813" s="115"/>
      <c r="AS1813" s="115"/>
      <c r="AT1813" s="115"/>
      <c r="AU1813" s="115"/>
      <c r="AV1813" s="115"/>
      <c r="AW1813" s="115"/>
      <c r="AX1813" s="115"/>
      <c r="AY1813" s="115"/>
      <c r="AZ1813" s="115"/>
      <c r="BA1813" s="115"/>
      <c r="BB1813" s="115"/>
      <c r="BC1813" s="115"/>
      <c r="BD1813" s="115"/>
      <c r="BE1813" s="115"/>
      <c r="BF1813" s="115"/>
      <c r="BG1813" s="115"/>
      <c r="BH1813" s="122"/>
      <c r="BI1813" s="122"/>
      <c r="BJ1813" s="122"/>
      <c r="BK1813" s="115"/>
      <c r="BL1813" s="115"/>
      <c r="BM1813" s="115"/>
      <c r="BN1813" s="115"/>
      <c r="BO1813" s="115"/>
      <c r="BP1813" s="115"/>
      <c r="BQ1813" s="115"/>
      <c r="BR1813" s="115"/>
      <c r="BS1813" s="115"/>
      <c r="BT1813" s="115"/>
      <c r="BU1813" s="115"/>
      <c r="BV1813" s="115"/>
      <c r="BW1813" s="115"/>
      <c r="BX1813" s="115"/>
      <c r="BY1813" s="26"/>
      <c r="BZ1813" s="15"/>
      <c r="CD1813" s="118"/>
      <c r="CE1813" s="118"/>
      <c r="CF1813" s="118"/>
      <c r="CG1813" s="118"/>
    </row>
    <row r="1814" spans="1:85" ht="20.25" customHeight="1" x14ac:dyDescent="0.4">
      <c r="A1814" s="115"/>
      <c r="B1814" s="115"/>
      <c r="C1814" s="115"/>
      <c r="D1814" s="115"/>
      <c r="E1814" s="115"/>
      <c r="F1814" s="115"/>
      <c r="G1814" s="115"/>
      <c r="H1814" s="115"/>
      <c r="I1814" s="115"/>
      <c r="J1814" s="115"/>
      <c r="K1814" s="115"/>
      <c r="L1814" s="115"/>
      <c r="M1814" s="115"/>
      <c r="N1814" s="115"/>
      <c r="O1814" s="115"/>
      <c r="P1814" s="115"/>
      <c r="Q1814" s="115"/>
      <c r="R1814" s="115"/>
      <c r="S1814" s="115"/>
      <c r="T1814" s="115"/>
      <c r="U1814" s="115"/>
      <c r="V1814" s="115"/>
      <c r="W1814" s="115"/>
      <c r="X1814" s="115"/>
      <c r="Y1814" s="115"/>
      <c r="Z1814" s="115"/>
      <c r="AA1814" s="115"/>
      <c r="AB1814" s="115"/>
      <c r="AC1814" s="115"/>
      <c r="AD1814" s="115"/>
      <c r="AE1814" s="115"/>
      <c r="AF1814" s="115"/>
      <c r="AG1814" s="115"/>
      <c r="AH1814" s="115"/>
      <c r="AI1814" s="115"/>
      <c r="AJ1814" s="115"/>
      <c r="AK1814" s="115"/>
      <c r="AL1814" s="115"/>
      <c r="AM1814" s="115"/>
      <c r="AN1814" s="115"/>
      <c r="AO1814" s="115"/>
      <c r="AP1814" s="115"/>
      <c r="AQ1814" s="115"/>
      <c r="AR1814" s="115"/>
      <c r="AS1814" s="115"/>
      <c r="AT1814" s="115"/>
      <c r="AU1814" s="115"/>
      <c r="AV1814" s="115"/>
      <c r="AW1814" s="115"/>
      <c r="AX1814" s="115"/>
      <c r="AY1814" s="115"/>
      <c r="AZ1814" s="115"/>
      <c r="BA1814" s="115"/>
      <c r="BB1814" s="115"/>
      <c r="BC1814" s="115"/>
      <c r="BD1814" s="115"/>
      <c r="BE1814" s="115"/>
      <c r="BF1814" s="115"/>
      <c r="BG1814" s="115"/>
      <c r="BH1814" s="122"/>
      <c r="BI1814" s="122"/>
      <c r="BJ1814" s="122"/>
      <c r="BK1814" s="115"/>
      <c r="BL1814" s="115"/>
      <c r="BM1814" s="115"/>
      <c r="BN1814" s="115"/>
      <c r="BO1814" s="115"/>
      <c r="BP1814" s="115"/>
      <c r="BQ1814" s="115"/>
      <c r="BR1814" s="115"/>
      <c r="BS1814" s="115"/>
      <c r="BT1814" s="115"/>
      <c r="BU1814" s="115"/>
      <c r="BV1814" s="115"/>
      <c r="BW1814" s="115"/>
      <c r="BX1814" s="115"/>
      <c r="BY1814" s="26"/>
      <c r="BZ1814" s="15"/>
      <c r="CD1814" s="118"/>
      <c r="CE1814" s="118"/>
      <c r="CF1814" s="118"/>
      <c r="CG1814" s="118"/>
    </row>
    <row r="1815" spans="1:85" x14ac:dyDescent="0.4">
      <c r="BY1815" s="26"/>
      <c r="BZ1815" s="15"/>
    </row>
    <row r="1816" spans="1:85" x14ac:dyDescent="0.4">
      <c r="BY1816" s="26"/>
      <c r="BZ1816" s="13"/>
    </row>
    <row r="1817" spans="1:85" x14ac:dyDescent="0.4">
      <c r="BC1817" s="115"/>
      <c r="BD1817" s="115"/>
      <c r="BE1817" s="115"/>
      <c r="BF1817" s="115"/>
      <c r="BG1817" s="115"/>
      <c r="BH1817" s="122"/>
      <c r="BI1817" s="122"/>
      <c r="BJ1817" s="122"/>
      <c r="BK1817" s="115"/>
      <c r="BL1817" s="115"/>
      <c r="BM1817" s="115"/>
      <c r="BN1817" s="115"/>
      <c r="BO1817" s="115"/>
      <c r="BP1817" s="115"/>
      <c r="BQ1817" s="115"/>
      <c r="BR1817" s="115"/>
      <c r="BS1817" s="115"/>
      <c r="BT1817" s="115"/>
      <c r="BU1817" s="115"/>
      <c r="BV1817" s="115"/>
      <c r="BW1817" s="115"/>
      <c r="BX1817" s="115"/>
      <c r="BY1817" s="26"/>
      <c r="BZ1817" s="13"/>
    </row>
    <row r="1818" spans="1:85" x14ac:dyDescent="0.4">
      <c r="BC1818" s="115"/>
      <c r="BD1818" s="115"/>
      <c r="BE1818" s="115"/>
      <c r="BF1818" s="115"/>
      <c r="BG1818" s="115"/>
      <c r="BH1818" s="122"/>
      <c r="BI1818" s="122"/>
      <c r="BJ1818" s="122"/>
      <c r="BK1818" s="115"/>
      <c r="BL1818" s="115"/>
      <c r="BM1818" s="115"/>
      <c r="BN1818" s="115"/>
      <c r="BO1818" s="115"/>
      <c r="BP1818" s="115"/>
      <c r="BQ1818" s="115"/>
      <c r="BR1818" s="115"/>
      <c r="BS1818" s="115"/>
      <c r="BT1818" s="115"/>
      <c r="BU1818" s="115"/>
      <c r="BV1818" s="115"/>
      <c r="BW1818" s="115"/>
      <c r="BX1818" s="115"/>
      <c r="BY1818" s="17"/>
      <c r="BZ1818" s="13"/>
    </row>
    <row r="1819" spans="1:85" x14ac:dyDescent="0.4">
      <c r="C1819" s="115"/>
      <c r="D1819" s="115"/>
      <c r="E1819" s="115"/>
      <c r="F1819" s="115"/>
      <c r="G1819" s="115"/>
      <c r="H1819" s="115"/>
      <c r="I1819" s="115"/>
      <c r="J1819" s="115"/>
      <c r="K1819" s="115"/>
      <c r="L1819" s="115"/>
      <c r="M1819" s="115"/>
      <c r="N1819" s="115"/>
      <c r="O1819" s="115"/>
      <c r="P1819" s="115"/>
      <c r="Q1819" s="115"/>
      <c r="R1819" s="115"/>
      <c r="S1819" s="115"/>
      <c r="T1819" s="115"/>
      <c r="U1819" s="115"/>
      <c r="V1819" s="115"/>
      <c r="W1819" s="115"/>
      <c r="X1819" s="115"/>
      <c r="Y1819" s="115"/>
      <c r="Z1819" s="115"/>
      <c r="AA1819" s="115"/>
      <c r="AB1819" s="115"/>
      <c r="AC1819" s="115"/>
      <c r="AD1819" s="115"/>
      <c r="AE1819" s="115"/>
      <c r="AF1819" s="115"/>
      <c r="AG1819" s="115"/>
      <c r="AH1819" s="115"/>
      <c r="AI1819" s="115"/>
      <c r="AJ1819" s="115"/>
      <c r="AK1819" s="115"/>
      <c r="AL1819" s="115"/>
      <c r="AM1819" s="115"/>
      <c r="AN1819" s="115"/>
      <c r="AO1819" s="115"/>
      <c r="AP1819" s="115"/>
      <c r="AQ1819" s="115"/>
      <c r="AR1819" s="115"/>
      <c r="AS1819" s="115"/>
      <c r="AT1819" s="115"/>
      <c r="AU1819" s="115"/>
      <c r="AV1819" s="115"/>
      <c r="AW1819" s="115"/>
      <c r="AX1819" s="115"/>
      <c r="AY1819" s="115"/>
      <c r="AZ1819" s="115"/>
      <c r="BA1819" s="115"/>
      <c r="BB1819" s="115"/>
      <c r="BC1819" s="115"/>
      <c r="BD1819" s="115"/>
      <c r="BE1819" s="115"/>
      <c r="BF1819" s="115"/>
      <c r="BG1819" s="115"/>
      <c r="BH1819" s="122"/>
      <c r="BI1819" s="122"/>
      <c r="BJ1819" s="122"/>
      <c r="BK1819" s="115"/>
      <c r="BL1819" s="115"/>
      <c r="BM1819" s="115"/>
      <c r="BN1819" s="115"/>
      <c r="BO1819" s="115"/>
      <c r="BP1819" s="115"/>
      <c r="BQ1819" s="115"/>
      <c r="BR1819" s="115"/>
      <c r="BS1819" s="115"/>
      <c r="BT1819" s="115"/>
      <c r="BU1819" s="115"/>
      <c r="BV1819" s="115"/>
      <c r="BW1819" s="115"/>
      <c r="BX1819" s="115"/>
      <c r="BY1819" s="26"/>
      <c r="BZ1819" s="13"/>
    </row>
    <row r="1820" spans="1:85" x14ac:dyDescent="0.4">
      <c r="C1820" s="115"/>
      <c r="D1820" s="115"/>
      <c r="E1820" s="115"/>
      <c r="F1820" s="115"/>
      <c r="G1820" s="115"/>
      <c r="H1820" s="115"/>
      <c r="I1820" s="115"/>
      <c r="J1820" s="115"/>
      <c r="K1820" s="115"/>
      <c r="L1820" s="115"/>
      <c r="M1820" s="115"/>
      <c r="N1820" s="115"/>
      <c r="O1820" s="115"/>
      <c r="P1820" s="115"/>
      <c r="Q1820" s="115"/>
      <c r="R1820" s="115"/>
      <c r="S1820" s="115"/>
      <c r="T1820" s="115"/>
      <c r="U1820" s="115"/>
      <c r="V1820" s="115"/>
      <c r="W1820" s="115"/>
      <c r="X1820" s="115"/>
      <c r="Y1820" s="115"/>
      <c r="Z1820" s="115"/>
      <c r="AA1820" s="115"/>
      <c r="AB1820" s="115"/>
      <c r="AC1820" s="115"/>
      <c r="AD1820" s="115"/>
      <c r="AE1820" s="115"/>
      <c r="AF1820" s="115"/>
      <c r="AG1820" s="115"/>
      <c r="AH1820" s="115"/>
      <c r="AI1820" s="115"/>
      <c r="AJ1820" s="115"/>
      <c r="AK1820" s="115"/>
      <c r="AL1820" s="115"/>
      <c r="AM1820" s="115"/>
      <c r="AN1820" s="115"/>
      <c r="AO1820" s="115"/>
      <c r="AP1820" s="115"/>
      <c r="AQ1820" s="115"/>
      <c r="AR1820" s="115"/>
      <c r="AS1820" s="115"/>
      <c r="AT1820" s="115"/>
      <c r="AU1820" s="115"/>
      <c r="AV1820" s="115"/>
      <c r="AW1820" s="115"/>
      <c r="AX1820" s="115"/>
      <c r="AY1820" s="115"/>
      <c r="AZ1820" s="115"/>
      <c r="BA1820" s="115"/>
      <c r="BB1820" s="115"/>
      <c r="BC1820" s="115"/>
      <c r="BD1820" s="115"/>
      <c r="BE1820" s="115"/>
      <c r="BF1820" s="115"/>
      <c r="BG1820" s="115"/>
      <c r="BH1820" s="122"/>
      <c r="BI1820" s="122"/>
      <c r="BJ1820" s="122"/>
      <c r="BK1820" s="115"/>
      <c r="BL1820" s="115"/>
      <c r="BM1820" s="115"/>
      <c r="BN1820" s="115"/>
      <c r="BO1820" s="115"/>
      <c r="BP1820" s="115"/>
      <c r="BQ1820" s="115"/>
      <c r="BR1820" s="115"/>
      <c r="BS1820" s="115"/>
      <c r="BT1820" s="115"/>
      <c r="BU1820" s="115"/>
      <c r="BV1820" s="115"/>
      <c r="BW1820" s="115"/>
      <c r="BX1820" s="115"/>
      <c r="BY1820" s="26"/>
      <c r="BZ1820" s="13"/>
    </row>
    <row r="1821" spans="1:85" x14ac:dyDescent="0.4">
      <c r="BY1821" s="26"/>
      <c r="BZ1821" s="13"/>
    </row>
    <row r="1822" spans="1:85" x14ac:dyDescent="0.4">
      <c r="E1822" s="115"/>
      <c r="F1822" s="115"/>
      <c r="G1822" s="115"/>
      <c r="H1822" s="115"/>
      <c r="I1822" s="115"/>
      <c r="J1822" s="115"/>
      <c r="K1822" s="115"/>
      <c r="L1822" s="115"/>
      <c r="M1822" s="115"/>
      <c r="N1822" s="115"/>
      <c r="O1822" s="115"/>
      <c r="P1822" s="115"/>
      <c r="Q1822" s="115"/>
      <c r="R1822" s="115"/>
      <c r="S1822" s="115"/>
      <c r="T1822" s="115"/>
      <c r="U1822" s="115"/>
      <c r="V1822" s="115"/>
      <c r="W1822" s="115"/>
      <c r="X1822" s="115"/>
      <c r="Y1822" s="115"/>
      <c r="Z1822" s="115"/>
      <c r="AA1822" s="115"/>
      <c r="AB1822" s="115"/>
      <c r="AC1822" s="115"/>
      <c r="AD1822" s="115"/>
      <c r="AE1822" s="115"/>
      <c r="AF1822" s="115"/>
      <c r="AG1822" s="115"/>
      <c r="AH1822" s="115"/>
      <c r="AI1822" s="115"/>
      <c r="AJ1822" s="115"/>
      <c r="AK1822" s="115"/>
      <c r="AL1822" s="115"/>
      <c r="AM1822" s="115"/>
      <c r="AN1822" s="115"/>
      <c r="AO1822" s="115"/>
      <c r="AP1822" s="115"/>
      <c r="AQ1822" s="115"/>
      <c r="AR1822" s="115"/>
      <c r="AS1822" s="115"/>
      <c r="AT1822" s="115"/>
      <c r="AU1822" s="115"/>
      <c r="AV1822" s="115"/>
      <c r="AW1822" s="115"/>
      <c r="AX1822" s="115"/>
      <c r="AY1822" s="115"/>
      <c r="AZ1822" s="115"/>
      <c r="BA1822" s="115"/>
      <c r="BB1822" s="115"/>
      <c r="BC1822" s="115"/>
      <c r="BD1822" s="115"/>
      <c r="BE1822" s="115"/>
      <c r="BF1822" s="115"/>
      <c r="BG1822" s="115"/>
      <c r="BH1822" s="122"/>
      <c r="BI1822" s="122"/>
      <c r="BJ1822" s="122"/>
      <c r="BK1822" s="115"/>
      <c r="BL1822" s="115"/>
      <c r="BM1822" s="115"/>
      <c r="BN1822" s="115"/>
      <c r="BO1822" s="115"/>
      <c r="BP1822" s="115"/>
      <c r="BQ1822" s="115"/>
      <c r="BR1822" s="115"/>
      <c r="BS1822" s="115"/>
      <c r="BT1822" s="115"/>
      <c r="BU1822" s="115"/>
      <c r="BV1822" s="115"/>
      <c r="BW1822" s="115"/>
      <c r="BX1822" s="115"/>
      <c r="BY1822" s="26"/>
      <c r="BZ1822" s="13"/>
    </row>
    <row r="1823" spans="1:85" x14ac:dyDescent="0.4">
      <c r="C1823" s="115"/>
      <c r="D1823" s="115"/>
      <c r="E1823" s="115"/>
      <c r="F1823" s="115"/>
      <c r="G1823" s="115"/>
      <c r="H1823" s="115"/>
      <c r="I1823" s="115"/>
      <c r="J1823" s="115"/>
      <c r="K1823" s="115"/>
      <c r="L1823" s="115"/>
      <c r="M1823" s="115"/>
      <c r="N1823" s="115"/>
      <c r="O1823" s="115"/>
      <c r="P1823" s="115"/>
      <c r="Q1823" s="115"/>
      <c r="R1823" s="115"/>
      <c r="S1823" s="115"/>
      <c r="T1823" s="115"/>
      <c r="U1823" s="115"/>
      <c r="V1823" s="115"/>
      <c r="W1823" s="115"/>
      <c r="X1823" s="115"/>
      <c r="Y1823" s="115"/>
      <c r="Z1823" s="115"/>
      <c r="AA1823" s="115"/>
      <c r="AB1823" s="115"/>
      <c r="AC1823" s="115"/>
      <c r="AD1823" s="115"/>
      <c r="AE1823" s="115"/>
      <c r="AF1823" s="115"/>
      <c r="AG1823" s="115"/>
      <c r="AH1823" s="115"/>
      <c r="AI1823" s="115"/>
      <c r="AJ1823" s="115"/>
      <c r="AK1823" s="115"/>
      <c r="AL1823" s="115"/>
      <c r="AM1823" s="115"/>
      <c r="AN1823" s="115"/>
      <c r="AO1823" s="115"/>
      <c r="AP1823" s="115"/>
      <c r="AQ1823" s="115"/>
      <c r="AR1823" s="115"/>
      <c r="AS1823" s="115"/>
      <c r="AT1823" s="115"/>
      <c r="AU1823" s="115"/>
      <c r="AV1823" s="115"/>
      <c r="AW1823" s="115"/>
      <c r="AX1823" s="115"/>
      <c r="AY1823" s="115"/>
      <c r="AZ1823" s="115"/>
      <c r="BA1823" s="115"/>
      <c r="BB1823" s="115"/>
      <c r="BC1823" s="115"/>
      <c r="BD1823" s="115"/>
      <c r="BE1823" s="115"/>
      <c r="BF1823" s="115"/>
      <c r="BG1823" s="115"/>
      <c r="BH1823" s="122"/>
      <c r="BI1823" s="122"/>
      <c r="BJ1823" s="122"/>
      <c r="BK1823" s="115"/>
      <c r="BL1823" s="115"/>
      <c r="BM1823" s="115"/>
      <c r="BN1823" s="115"/>
      <c r="BO1823" s="115"/>
      <c r="BP1823" s="115"/>
      <c r="BQ1823" s="115"/>
      <c r="BR1823" s="115"/>
      <c r="BS1823" s="115"/>
      <c r="BT1823" s="115"/>
      <c r="BU1823" s="115"/>
      <c r="BV1823" s="115"/>
      <c r="BW1823" s="115"/>
      <c r="BX1823" s="115"/>
      <c r="BY1823" s="26"/>
      <c r="BZ1823" s="13"/>
    </row>
    <row r="1824" spans="1:85" x14ac:dyDescent="0.4">
      <c r="BY1824" s="26"/>
      <c r="BZ1824" s="13"/>
    </row>
    <row r="1825" spans="1:78" x14ac:dyDescent="0.4">
      <c r="C1825" s="115"/>
      <c r="D1825" s="115"/>
      <c r="E1825" s="115"/>
      <c r="F1825" s="115"/>
      <c r="G1825" s="115"/>
      <c r="H1825" s="115"/>
      <c r="I1825" s="115"/>
      <c r="J1825" s="115"/>
      <c r="K1825" s="115"/>
      <c r="L1825" s="115"/>
      <c r="M1825" s="115"/>
      <c r="N1825" s="115"/>
      <c r="O1825" s="115"/>
      <c r="P1825" s="115"/>
      <c r="Q1825" s="115"/>
      <c r="R1825" s="115"/>
      <c r="S1825" s="115"/>
      <c r="T1825" s="115"/>
      <c r="U1825" s="115"/>
      <c r="V1825" s="115"/>
      <c r="W1825" s="115"/>
      <c r="X1825" s="115"/>
      <c r="Y1825" s="115"/>
      <c r="Z1825" s="115"/>
      <c r="AA1825" s="115"/>
      <c r="AB1825" s="115"/>
      <c r="AC1825" s="115"/>
      <c r="AD1825" s="115"/>
      <c r="AE1825" s="115"/>
      <c r="AF1825" s="115"/>
      <c r="AG1825" s="115"/>
      <c r="AH1825" s="115"/>
      <c r="AI1825" s="115"/>
      <c r="AJ1825" s="115"/>
      <c r="AK1825" s="115"/>
      <c r="AL1825" s="115"/>
      <c r="AM1825" s="115"/>
      <c r="AN1825" s="115"/>
      <c r="AO1825" s="115"/>
      <c r="AP1825" s="115"/>
      <c r="AQ1825" s="115"/>
      <c r="AR1825" s="115"/>
      <c r="AS1825" s="115"/>
      <c r="AT1825" s="115"/>
      <c r="AU1825" s="115"/>
      <c r="AV1825" s="115"/>
      <c r="AW1825" s="115"/>
      <c r="AX1825" s="115"/>
      <c r="AY1825" s="115"/>
      <c r="AZ1825" s="115"/>
      <c r="BA1825" s="115"/>
      <c r="BB1825" s="115"/>
      <c r="BC1825" s="115"/>
      <c r="BD1825" s="115"/>
      <c r="BE1825" s="115"/>
      <c r="BF1825" s="115"/>
      <c r="BG1825" s="115"/>
      <c r="BH1825" s="122"/>
      <c r="BI1825" s="122"/>
      <c r="BJ1825" s="122"/>
      <c r="BK1825" s="115"/>
      <c r="BL1825" s="115"/>
      <c r="BM1825" s="115"/>
      <c r="BN1825" s="115"/>
      <c r="BO1825" s="115"/>
      <c r="BP1825" s="115"/>
      <c r="BQ1825" s="115"/>
      <c r="BR1825" s="115"/>
      <c r="BS1825" s="115"/>
      <c r="BT1825" s="115"/>
      <c r="BU1825" s="115"/>
      <c r="BV1825" s="115"/>
      <c r="BW1825" s="115"/>
      <c r="BX1825" s="115"/>
      <c r="BY1825" s="26"/>
      <c r="BZ1825" s="13"/>
    </row>
    <row r="1826" spans="1:78" x14ac:dyDescent="0.4">
      <c r="BY1826" s="26"/>
      <c r="BZ1826" s="13"/>
    </row>
    <row r="1827" spans="1:78" x14ac:dyDescent="0.4">
      <c r="BB1827" s="115"/>
      <c r="BC1827" s="115"/>
      <c r="BD1827" s="115"/>
      <c r="BE1827" s="115"/>
      <c r="BF1827" s="115"/>
      <c r="BG1827" s="115"/>
      <c r="BH1827" s="122"/>
      <c r="BI1827" s="122"/>
      <c r="BJ1827" s="122"/>
      <c r="BK1827" s="115"/>
      <c r="BL1827" s="115"/>
      <c r="BM1827" s="115"/>
      <c r="BN1827" s="115"/>
      <c r="BO1827" s="115"/>
      <c r="BP1827" s="115"/>
      <c r="BQ1827" s="115"/>
      <c r="BR1827" s="115"/>
      <c r="BS1827" s="115"/>
      <c r="BT1827" s="115"/>
      <c r="BU1827" s="115"/>
      <c r="BV1827" s="115"/>
      <c r="BW1827" s="115"/>
      <c r="BX1827" s="115"/>
      <c r="BY1827" s="26"/>
      <c r="BZ1827" s="13"/>
    </row>
    <row r="1828" spans="1:78" x14ac:dyDescent="0.4">
      <c r="BY1828" s="26"/>
      <c r="BZ1828" s="13"/>
    </row>
    <row r="1829" spans="1:78" x14ac:dyDescent="0.4">
      <c r="D1829" s="115"/>
      <c r="E1829" s="115"/>
      <c r="F1829" s="115"/>
      <c r="G1829" s="115"/>
      <c r="H1829" s="115"/>
      <c r="I1829" s="115"/>
      <c r="J1829" s="115"/>
      <c r="K1829" s="115"/>
      <c r="L1829" s="115"/>
      <c r="M1829" s="115"/>
      <c r="N1829" s="115"/>
      <c r="O1829" s="115"/>
      <c r="P1829" s="115"/>
      <c r="Q1829" s="115"/>
      <c r="R1829" s="115"/>
      <c r="S1829" s="115"/>
      <c r="T1829" s="115"/>
      <c r="U1829" s="115"/>
      <c r="V1829" s="115"/>
      <c r="W1829" s="115"/>
      <c r="X1829" s="115"/>
      <c r="Y1829" s="115"/>
      <c r="Z1829" s="115"/>
      <c r="AA1829" s="115"/>
      <c r="AB1829" s="115"/>
      <c r="AC1829" s="115"/>
      <c r="AD1829" s="115"/>
      <c r="AE1829" s="115"/>
      <c r="AF1829" s="115"/>
      <c r="AG1829" s="115"/>
      <c r="AH1829" s="115"/>
      <c r="AI1829" s="115"/>
      <c r="AJ1829" s="115"/>
      <c r="AK1829" s="115"/>
      <c r="AL1829" s="115"/>
      <c r="AM1829" s="115"/>
      <c r="AN1829" s="115"/>
      <c r="AO1829" s="115"/>
      <c r="AP1829" s="115"/>
      <c r="AQ1829" s="115"/>
      <c r="AR1829" s="115"/>
      <c r="AS1829" s="115"/>
      <c r="AT1829" s="115"/>
      <c r="AU1829" s="115"/>
      <c r="AV1829" s="115"/>
      <c r="AW1829" s="115"/>
      <c r="AX1829" s="115"/>
      <c r="AY1829" s="115"/>
      <c r="AZ1829" s="115"/>
      <c r="BA1829" s="115"/>
      <c r="BB1829" s="115"/>
      <c r="BC1829" s="115"/>
      <c r="BD1829" s="115"/>
      <c r="BE1829" s="115"/>
      <c r="BF1829" s="115"/>
      <c r="BG1829" s="115"/>
      <c r="BH1829" s="122"/>
      <c r="BI1829" s="122"/>
      <c r="BJ1829" s="122"/>
      <c r="BK1829" s="115"/>
      <c r="BL1829" s="115"/>
      <c r="BM1829" s="115"/>
      <c r="BN1829" s="115"/>
      <c r="BO1829" s="115"/>
      <c r="BP1829" s="115"/>
      <c r="BQ1829" s="115"/>
      <c r="BR1829" s="115"/>
      <c r="BS1829" s="115"/>
      <c r="BT1829" s="115"/>
      <c r="BU1829" s="115"/>
      <c r="BV1829" s="115"/>
      <c r="BW1829" s="115"/>
      <c r="BX1829" s="115"/>
      <c r="BY1829" s="26"/>
      <c r="BZ1829" s="15"/>
    </row>
    <row r="1830" spans="1:78" x14ac:dyDescent="0.4">
      <c r="D1830" s="115"/>
      <c r="E1830" s="115"/>
      <c r="F1830" s="115"/>
      <c r="G1830" s="115"/>
      <c r="H1830" s="115"/>
      <c r="I1830" s="115"/>
      <c r="J1830" s="115"/>
      <c r="K1830" s="115"/>
      <c r="L1830" s="115"/>
      <c r="M1830" s="115"/>
      <c r="N1830" s="115"/>
      <c r="O1830" s="115"/>
      <c r="P1830" s="115"/>
      <c r="Q1830" s="115"/>
      <c r="R1830" s="115"/>
      <c r="S1830" s="115"/>
      <c r="T1830" s="115"/>
      <c r="U1830" s="115"/>
      <c r="V1830" s="115"/>
      <c r="W1830" s="115"/>
      <c r="X1830" s="115"/>
      <c r="Y1830" s="115"/>
      <c r="Z1830" s="115"/>
      <c r="AA1830" s="115"/>
      <c r="AB1830" s="115"/>
      <c r="AC1830" s="115"/>
      <c r="AD1830" s="115"/>
      <c r="AE1830" s="115"/>
      <c r="AF1830" s="115"/>
      <c r="AG1830" s="115"/>
      <c r="AH1830" s="115"/>
      <c r="AI1830" s="115"/>
      <c r="AJ1830" s="115"/>
      <c r="AK1830" s="115"/>
      <c r="AL1830" s="115"/>
      <c r="AM1830" s="115"/>
      <c r="AN1830" s="115"/>
      <c r="AO1830" s="115"/>
      <c r="AP1830" s="115"/>
      <c r="AQ1830" s="115"/>
      <c r="AR1830" s="115"/>
      <c r="AS1830" s="115"/>
      <c r="AT1830" s="115"/>
      <c r="AU1830" s="115"/>
      <c r="AV1830" s="115"/>
      <c r="AW1830" s="115"/>
      <c r="AX1830" s="115"/>
      <c r="AY1830" s="115"/>
      <c r="AZ1830" s="115"/>
      <c r="BA1830" s="115"/>
      <c r="BB1830" s="115"/>
      <c r="BC1830" s="115"/>
      <c r="BD1830" s="115"/>
      <c r="BE1830" s="115"/>
      <c r="BF1830" s="115"/>
      <c r="BG1830" s="115"/>
      <c r="BH1830" s="122"/>
      <c r="BI1830" s="122"/>
      <c r="BJ1830" s="122"/>
      <c r="BK1830" s="115"/>
      <c r="BL1830" s="115"/>
      <c r="BM1830" s="115"/>
      <c r="BN1830" s="115"/>
      <c r="BO1830" s="115"/>
      <c r="BP1830" s="115"/>
      <c r="BQ1830" s="115"/>
      <c r="BR1830" s="115"/>
      <c r="BS1830" s="115"/>
      <c r="BT1830" s="115"/>
      <c r="BU1830" s="115"/>
      <c r="BV1830" s="115"/>
      <c r="BW1830" s="115"/>
      <c r="BX1830" s="115"/>
      <c r="BY1830" s="26"/>
      <c r="BZ1830" s="15"/>
    </row>
    <row r="1831" spans="1:78" x14ac:dyDescent="0.4">
      <c r="D1831" s="115"/>
      <c r="E1831" s="115"/>
      <c r="F1831" s="115"/>
      <c r="G1831" s="115"/>
      <c r="H1831" s="115"/>
      <c r="I1831" s="115"/>
      <c r="J1831" s="115"/>
      <c r="K1831" s="115"/>
      <c r="L1831" s="115"/>
      <c r="M1831" s="115"/>
      <c r="N1831" s="115"/>
      <c r="O1831" s="115"/>
      <c r="P1831" s="115"/>
      <c r="Q1831" s="115"/>
      <c r="R1831" s="115"/>
      <c r="S1831" s="115"/>
      <c r="T1831" s="115"/>
      <c r="U1831" s="115"/>
      <c r="V1831" s="115"/>
      <c r="W1831" s="115"/>
      <c r="X1831" s="115"/>
      <c r="Y1831" s="115"/>
      <c r="Z1831" s="115"/>
      <c r="AA1831" s="115"/>
      <c r="AB1831" s="115"/>
      <c r="AC1831" s="115"/>
      <c r="AD1831" s="115"/>
      <c r="AE1831" s="115"/>
      <c r="AF1831" s="115"/>
      <c r="AG1831" s="115"/>
      <c r="AH1831" s="115"/>
      <c r="AI1831" s="115"/>
      <c r="AJ1831" s="115"/>
      <c r="AK1831" s="115"/>
      <c r="AL1831" s="115"/>
      <c r="AM1831" s="115"/>
      <c r="AN1831" s="115"/>
      <c r="AO1831" s="115"/>
      <c r="AP1831" s="115"/>
      <c r="AQ1831" s="115"/>
      <c r="AR1831" s="115"/>
      <c r="AS1831" s="115"/>
      <c r="AT1831" s="115"/>
      <c r="AU1831" s="115"/>
      <c r="AV1831" s="115"/>
      <c r="AW1831" s="115"/>
      <c r="AX1831" s="115"/>
      <c r="AY1831" s="115"/>
      <c r="AZ1831" s="115"/>
      <c r="BA1831" s="115"/>
      <c r="BB1831" s="115"/>
      <c r="BC1831" s="115"/>
      <c r="BD1831" s="115"/>
      <c r="BE1831" s="115"/>
      <c r="BF1831" s="115"/>
      <c r="BG1831" s="115"/>
      <c r="BH1831" s="122"/>
      <c r="BI1831" s="122"/>
      <c r="BJ1831" s="122"/>
      <c r="BK1831" s="115"/>
      <c r="BL1831" s="115"/>
      <c r="BM1831" s="115"/>
      <c r="BN1831" s="115"/>
      <c r="BO1831" s="115"/>
      <c r="BP1831" s="115"/>
      <c r="BQ1831" s="115"/>
      <c r="BR1831" s="115"/>
      <c r="BS1831" s="115"/>
      <c r="BT1831" s="115"/>
      <c r="BU1831" s="115"/>
      <c r="BV1831" s="115"/>
      <c r="BW1831" s="115"/>
      <c r="BX1831" s="115"/>
      <c r="BY1831" s="26"/>
      <c r="BZ1831" s="15"/>
    </row>
    <row r="1832" spans="1:78" x14ac:dyDescent="0.4">
      <c r="BY1832" s="26"/>
      <c r="BZ1832" s="13"/>
    </row>
    <row r="1833" spans="1:78" x14ac:dyDescent="0.4">
      <c r="A1833" s="115"/>
      <c r="B1833" s="115"/>
      <c r="C1833" s="115"/>
      <c r="D1833" s="115"/>
      <c r="E1833" s="115"/>
      <c r="F1833" s="115"/>
      <c r="G1833" s="115"/>
      <c r="H1833" s="115"/>
      <c r="I1833" s="115"/>
      <c r="J1833" s="115"/>
      <c r="K1833" s="115"/>
      <c r="L1833" s="115"/>
      <c r="M1833" s="115"/>
      <c r="N1833" s="115"/>
      <c r="O1833" s="115"/>
      <c r="P1833" s="115"/>
      <c r="Q1833" s="115"/>
      <c r="R1833" s="115"/>
      <c r="S1833" s="115"/>
      <c r="T1833" s="115"/>
      <c r="U1833" s="115"/>
      <c r="V1833" s="115"/>
      <c r="W1833" s="115"/>
      <c r="X1833" s="115"/>
      <c r="Y1833" s="115"/>
      <c r="Z1833" s="115"/>
      <c r="AA1833" s="115"/>
      <c r="AB1833" s="115"/>
      <c r="AC1833" s="115"/>
      <c r="AD1833" s="115"/>
      <c r="AE1833" s="115"/>
      <c r="AF1833" s="115"/>
      <c r="AG1833" s="115"/>
      <c r="AH1833" s="115"/>
      <c r="AI1833" s="115"/>
      <c r="AJ1833" s="115"/>
      <c r="AK1833" s="115"/>
      <c r="AL1833" s="115"/>
      <c r="AM1833" s="115"/>
      <c r="AN1833" s="115"/>
      <c r="AO1833" s="115"/>
      <c r="AP1833" s="115"/>
      <c r="AQ1833" s="115"/>
      <c r="AR1833" s="115"/>
      <c r="AS1833" s="115"/>
      <c r="AT1833" s="115"/>
      <c r="AU1833" s="115"/>
      <c r="AV1833" s="115"/>
      <c r="AW1833" s="115"/>
      <c r="AX1833" s="115"/>
      <c r="AY1833" s="115"/>
      <c r="AZ1833" s="115"/>
      <c r="BA1833" s="115"/>
      <c r="BB1833" s="115"/>
      <c r="BC1833" s="115"/>
      <c r="BD1833" s="115"/>
      <c r="BE1833" s="115"/>
      <c r="BF1833" s="115"/>
      <c r="BG1833" s="115"/>
      <c r="BH1833" s="122"/>
      <c r="BI1833" s="122"/>
      <c r="BJ1833" s="122"/>
      <c r="BK1833" s="115"/>
      <c r="BL1833" s="115"/>
      <c r="BM1833" s="115"/>
      <c r="BN1833" s="115"/>
      <c r="BO1833" s="115"/>
      <c r="BP1833" s="115"/>
      <c r="BQ1833" s="115"/>
      <c r="BR1833" s="115"/>
      <c r="BS1833" s="115"/>
      <c r="BT1833" s="115"/>
      <c r="BU1833" s="115"/>
      <c r="BV1833" s="115"/>
      <c r="BW1833" s="115"/>
      <c r="BX1833" s="115"/>
      <c r="BY1833" s="26"/>
      <c r="BZ1833" s="15"/>
    </row>
    <row r="1834" spans="1:78" x14ac:dyDescent="0.4">
      <c r="BY1834" s="26"/>
      <c r="BZ1834" s="15"/>
    </row>
    <row r="1835" spans="1:78" x14ac:dyDescent="0.4">
      <c r="BY1835" s="26"/>
      <c r="BZ1835" s="15"/>
    </row>
    <row r="1836" spans="1:78" x14ac:dyDescent="0.4">
      <c r="E1836" s="115"/>
      <c r="F1836" s="115"/>
      <c r="G1836" s="115"/>
      <c r="H1836" s="115"/>
      <c r="I1836" s="115"/>
      <c r="J1836" s="115"/>
      <c r="K1836" s="115"/>
      <c r="L1836" s="115"/>
      <c r="M1836" s="115"/>
      <c r="N1836" s="115"/>
      <c r="O1836" s="115"/>
      <c r="P1836" s="115"/>
      <c r="Q1836" s="115"/>
      <c r="R1836" s="115"/>
      <c r="S1836" s="115"/>
      <c r="T1836" s="115"/>
      <c r="U1836" s="115"/>
      <c r="V1836" s="115"/>
      <c r="W1836" s="115"/>
      <c r="X1836" s="115"/>
      <c r="Y1836" s="115"/>
      <c r="Z1836" s="115"/>
      <c r="AA1836" s="115"/>
      <c r="AB1836" s="115"/>
      <c r="AC1836" s="115"/>
      <c r="AD1836" s="115"/>
      <c r="AE1836" s="115"/>
      <c r="AF1836" s="115"/>
      <c r="AG1836" s="115"/>
      <c r="AH1836" s="115"/>
      <c r="AI1836" s="115"/>
      <c r="AJ1836" s="115"/>
      <c r="AK1836" s="115"/>
      <c r="AL1836" s="115"/>
      <c r="AM1836" s="115"/>
      <c r="AN1836" s="115"/>
      <c r="AO1836" s="115"/>
      <c r="AP1836" s="115"/>
      <c r="AQ1836" s="115"/>
      <c r="AR1836" s="115"/>
      <c r="AS1836" s="115"/>
      <c r="AT1836" s="115"/>
      <c r="AU1836" s="115"/>
      <c r="AV1836" s="115"/>
      <c r="AW1836" s="115"/>
      <c r="AX1836" s="115"/>
      <c r="AY1836" s="115"/>
      <c r="AZ1836" s="115"/>
      <c r="BA1836" s="115"/>
      <c r="BB1836" s="115"/>
      <c r="BC1836" s="115"/>
      <c r="BD1836" s="115"/>
      <c r="BE1836" s="115"/>
      <c r="BF1836" s="115"/>
      <c r="BG1836" s="115"/>
      <c r="BH1836" s="122"/>
      <c r="BI1836" s="122"/>
      <c r="BJ1836" s="122"/>
      <c r="BK1836" s="115"/>
      <c r="BL1836" s="115"/>
      <c r="BM1836" s="115"/>
      <c r="BN1836" s="115"/>
      <c r="BO1836" s="115"/>
      <c r="BP1836" s="115"/>
      <c r="BQ1836" s="115"/>
      <c r="BR1836" s="115"/>
      <c r="BS1836" s="115"/>
      <c r="BT1836" s="115"/>
      <c r="BU1836" s="115"/>
      <c r="BV1836" s="115"/>
      <c r="BW1836" s="115"/>
      <c r="BX1836" s="115"/>
      <c r="BY1836" s="26"/>
      <c r="BZ1836" s="15"/>
    </row>
    <row r="1837" spans="1:78" x14ac:dyDescent="0.4">
      <c r="C1837" s="115"/>
      <c r="D1837" s="115"/>
      <c r="E1837" s="115"/>
      <c r="F1837" s="115"/>
      <c r="G1837" s="115"/>
      <c r="H1837" s="115"/>
      <c r="I1837" s="115"/>
      <c r="J1837" s="115"/>
      <c r="K1837" s="115"/>
      <c r="L1837" s="115"/>
      <c r="M1837" s="115"/>
      <c r="N1837" s="115"/>
      <c r="O1837" s="115"/>
      <c r="P1837" s="115"/>
      <c r="Q1837" s="115"/>
      <c r="R1837" s="115"/>
      <c r="S1837" s="115"/>
      <c r="T1837" s="115"/>
      <c r="U1837" s="115"/>
      <c r="V1837" s="115"/>
      <c r="W1837" s="115"/>
      <c r="X1837" s="115"/>
      <c r="Y1837" s="115"/>
      <c r="Z1837" s="115"/>
      <c r="AA1837" s="115"/>
      <c r="AB1837" s="115"/>
      <c r="AC1837" s="115"/>
      <c r="AD1837" s="115"/>
      <c r="AE1837" s="115"/>
      <c r="AF1837" s="115"/>
      <c r="AG1837" s="115"/>
      <c r="AH1837" s="115"/>
      <c r="AI1837" s="115"/>
      <c r="AJ1837" s="115"/>
      <c r="AK1837" s="115"/>
      <c r="AL1837" s="115"/>
      <c r="AM1837" s="115"/>
      <c r="AN1837" s="115"/>
      <c r="AO1837" s="115"/>
      <c r="AP1837" s="115"/>
      <c r="AQ1837" s="115"/>
      <c r="AR1837" s="115"/>
      <c r="AS1837" s="115"/>
      <c r="AT1837" s="115"/>
      <c r="AU1837" s="115"/>
      <c r="AV1837" s="115"/>
      <c r="AW1837" s="115"/>
      <c r="AX1837" s="115"/>
      <c r="AY1837" s="115"/>
      <c r="AZ1837" s="115"/>
      <c r="BA1837" s="115"/>
      <c r="BB1837" s="115"/>
      <c r="BC1837" s="115"/>
      <c r="BD1837" s="115"/>
      <c r="BE1837" s="115"/>
      <c r="BF1837" s="115"/>
      <c r="BG1837" s="115"/>
      <c r="BH1837" s="122"/>
      <c r="BI1837" s="122"/>
      <c r="BJ1837" s="122"/>
      <c r="BK1837" s="115"/>
      <c r="BL1837" s="115"/>
      <c r="BM1837" s="115"/>
      <c r="BN1837" s="115"/>
      <c r="BO1837" s="115"/>
      <c r="BP1837" s="115"/>
      <c r="BQ1837" s="115"/>
      <c r="BR1837" s="115"/>
      <c r="BS1837" s="115"/>
      <c r="BT1837" s="115"/>
      <c r="BU1837" s="115"/>
      <c r="BV1837" s="115"/>
      <c r="BW1837" s="115"/>
      <c r="BX1837" s="115"/>
      <c r="BY1837" s="26"/>
      <c r="BZ1837" s="15"/>
    </row>
    <row r="1838" spans="1:78" x14ac:dyDescent="0.4">
      <c r="BY1838" s="26"/>
      <c r="BZ1838" s="15"/>
    </row>
    <row r="1839" spans="1:78" x14ac:dyDescent="0.4">
      <c r="BA1839" s="115"/>
      <c r="BB1839" s="115"/>
      <c r="BC1839" s="115"/>
      <c r="BD1839" s="115"/>
      <c r="BE1839" s="115"/>
      <c r="BF1839" s="115"/>
      <c r="BG1839" s="115"/>
      <c r="BH1839" s="122"/>
      <c r="BI1839" s="122"/>
      <c r="BJ1839" s="122"/>
      <c r="BK1839" s="115"/>
      <c r="BL1839" s="115"/>
      <c r="BM1839" s="115"/>
      <c r="BN1839" s="115"/>
      <c r="BO1839" s="115"/>
      <c r="BP1839" s="115"/>
      <c r="BQ1839" s="115"/>
      <c r="BR1839" s="115"/>
      <c r="BS1839" s="115"/>
      <c r="BT1839" s="115"/>
      <c r="BU1839" s="115"/>
      <c r="BV1839" s="115"/>
      <c r="BW1839" s="115"/>
      <c r="BX1839" s="115"/>
      <c r="BY1839" s="26"/>
      <c r="BZ1839" s="15"/>
    </row>
    <row r="1840" spans="1:78" x14ac:dyDescent="0.4">
      <c r="D1840" s="115"/>
      <c r="E1840" s="115"/>
      <c r="F1840" s="115"/>
      <c r="G1840" s="115"/>
      <c r="H1840" s="115"/>
      <c r="I1840" s="115"/>
      <c r="J1840" s="115"/>
      <c r="K1840" s="115"/>
      <c r="L1840" s="115"/>
      <c r="M1840" s="115"/>
      <c r="N1840" s="115"/>
      <c r="O1840" s="115"/>
      <c r="P1840" s="115"/>
      <c r="Q1840" s="115"/>
      <c r="R1840" s="115"/>
      <c r="S1840" s="115"/>
      <c r="T1840" s="115"/>
      <c r="U1840" s="115"/>
      <c r="V1840" s="115"/>
      <c r="W1840" s="115"/>
      <c r="X1840" s="115"/>
      <c r="Y1840" s="115"/>
      <c r="Z1840" s="115"/>
      <c r="AA1840" s="115"/>
      <c r="AB1840" s="115"/>
      <c r="AC1840" s="115"/>
      <c r="AD1840" s="115"/>
      <c r="AE1840" s="115"/>
      <c r="AF1840" s="115"/>
      <c r="AG1840" s="115"/>
      <c r="AH1840" s="115"/>
      <c r="AI1840" s="115"/>
      <c r="AJ1840" s="115"/>
      <c r="AK1840" s="115"/>
      <c r="AL1840" s="115"/>
      <c r="AM1840" s="115"/>
      <c r="AN1840" s="115"/>
      <c r="AO1840" s="115"/>
      <c r="AP1840" s="115"/>
      <c r="AQ1840" s="115"/>
      <c r="AR1840" s="115"/>
      <c r="AS1840" s="115"/>
      <c r="AT1840" s="115"/>
      <c r="AU1840" s="115"/>
      <c r="AV1840" s="115"/>
      <c r="AW1840" s="115"/>
      <c r="AX1840" s="115"/>
      <c r="AY1840" s="115"/>
      <c r="AZ1840" s="115"/>
      <c r="BA1840" s="115"/>
      <c r="BB1840" s="115"/>
      <c r="BC1840" s="115"/>
      <c r="BD1840" s="115"/>
      <c r="BE1840" s="115"/>
      <c r="BF1840" s="115"/>
      <c r="BG1840" s="115"/>
      <c r="BH1840" s="122"/>
      <c r="BI1840" s="122"/>
      <c r="BJ1840" s="122"/>
      <c r="BK1840" s="115"/>
      <c r="BL1840" s="115"/>
      <c r="BM1840" s="115"/>
      <c r="BN1840" s="115"/>
      <c r="BO1840" s="115"/>
      <c r="BP1840" s="115"/>
      <c r="BQ1840" s="115"/>
      <c r="BR1840" s="115"/>
      <c r="BS1840" s="115"/>
      <c r="BT1840" s="115"/>
      <c r="BU1840" s="115"/>
      <c r="BV1840" s="115"/>
      <c r="BW1840" s="115"/>
      <c r="BX1840" s="115"/>
      <c r="BY1840" s="26"/>
      <c r="BZ1840" s="15"/>
    </row>
    <row r="1841" spans="1:78" x14ac:dyDescent="0.4">
      <c r="D1841" s="115"/>
      <c r="E1841" s="115"/>
      <c r="F1841" s="115"/>
      <c r="G1841" s="115"/>
      <c r="H1841" s="115"/>
      <c r="I1841" s="115"/>
      <c r="J1841" s="115"/>
      <c r="K1841" s="115"/>
      <c r="L1841" s="115"/>
      <c r="M1841" s="115"/>
      <c r="N1841" s="115"/>
      <c r="O1841" s="115"/>
      <c r="P1841" s="115"/>
      <c r="Q1841" s="115"/>
      <c r="R1841" s="115"/>
      <c r="S1841" s="115"/>
      <c r="T1841" s="115"/>
      <c r="U1841" s="115"/>
      <c r="V1841" s="115"/>
      <c r="W1841" s="115"/>
      <c r="X1841" s="115"/>
      <c r="Y1841" s="115"/>
      <c r="Z1841" s="115"/>
      <c r="AA1841" s="115"/>
      <c r="AB1841" s="115"/>
      <c r="AC1841" s="115"/>
      <c r="AD1841" s="115"/>
      <c r="AE1841" s="115"/>
      <c r="AF1841" s="115"/>
      <c r="AG1841" s="115"/>
      <c r="AH1841" s="115"/>
      <c r="AI1841" s="115"/>
      <c r="AJ1841" s="115"/>
      <c r="AK1841" s="115"/>
      <c r="AL1841" s="115"/>
      <c r="AM1841" s="115"/>
      <c r="AN1841" s="115"/>
      <c r="AO1841" s="115"/>
      <c r="AP1841" s="115"/>
      <c r="AQ1841" s="115"/>
      <c r="AR1841" s="115"/>
      <c r="AS1841" s="115"/>
      <c r="AT1841" s="115"/>
      <c r="AU1841" s="115"/>
      <c r="AV1841" s="115"/>
      <c r="AW1841" s="115"/>
      <c r="AX1841" s="115"/>
      <c r="AY1841" s="115"/>
      <c r="AZ1841" s="115"/>
      <c r="BA1841" s="115"/>
      <c r="BB1841" s="115"/>
      <c r="BC1841" s="115"/>
      <c r="BD1841" s="115"/>
      <c r="BE1841" s="115"/>
      <c r="BF1841" s="115"/>
      <c r="BG1841" s="115"/>
      <c r="BH1841" s="122"/>
      <c r="BI1841" s="122"/>
      <c r="BJ1841" s="122"/>
      <c r="BK1841" s="115"/>
      <c r="BL1841" s="115"/>
      <c r="BM1841" s="115"/>
      <c r="BN1841" s="115"/>
      <c r="BO1841" s="115"/>
      <c r="BP1841" s="115"/>
      <c r="BQ1841" s="115"/>
      <c r="BR1841" s="115"/>
      <c r="BS1841" s="115"/>
      <c r="BT1841" s="115"/>
      <c r="BU1841" s="115"/>
      <c r="BV1841" s="115"/>
      <c r="BW1841" s="115"/>
      <c r="BX1841" s="115"/>
      <c r="BY1841" s="26"/>
      <c r="BZ1841" s="15"/>
    </row>
    <row r="1842" spans="1:78" x14ac:dyDescent="0.4">
      <c r="D1842" s="115"/>
      <c r="E1842" s="115"/>
      <c r="F1842" s="115"/>
      <c r="G1842" s="115"/>
      <c r="H1842" s="115"/>
      <c r="I1842" s="115"/>
      <c r="J1842" s="115"/>
      <c r="K1842" s="115"/>
      <c r="L1842" s="115"/>
      <c r="M1842" s="115"/>
      <c r="N1842" s="115"/>
      <c r="O1842" s="115"/>
      <c r="P1842" s="115"/>
      <c r="Q1842" s="115"/>
      <c r="R1842" s="115"/>
      <c r="S1842" s="115"/>
      <c r="T1842" s="115"/>
      <c r="U1842" s="115"/>
      <c r="V1842" s="115"/>
      <c r="W1842" s="115"/>
      <c r="X1842" s="115"/>
      <c r="Y1842" s="115"/>
      <c r="Z1842" s="115"/>
      <c r="AA1842" s="115"/>
      <c r="AB1842" s="115"/>
      <c r="AC1842" s="115"/>
      <c r="AD1842" s="115"/>
      <c r="AE1842" s="115"/>
      <c r="AF1842" s="115"/>
      <c r="AG1842" s="115"/>
      <c r="AH1842" s="115"/>
      <c r="AI1842" s="115"/>
      <c r="AJ1842" s="115"/>
      <c r="AK1842" s="115"/>
      <c r="AL1842" s="115"/>
      <c r="AM1842" s="115"/>
      <c r="AN1842" s="115"/>
      <c r="AO1842" s="115"/>
      <c r="AP1842" s="115"/>
      <c r="AQ1842" s="115"/>
      <c r="AR1842" s="115"/>
      <c r="AS1842" s="115"/>
      <c r="AT1842" s="115"/>
      <c r="AU1842" s="115"/>
      <c r="AV1842" s="115"/>
      <c r="AW1842" s="115"/>
      <c r="AX1842" s="115"/>
      <c r="AY1842" s="115"/>
      <c r="AZ1842" s="115"/>
      <c r="BA1842" s="115"/>
      <c r="BB1842" s="115"/>
      <c r="BC1842" s="115"/>
      <c r="BD1842" s="115"/>
      <c r="BE1842" s="115"/>
      <c r="BF1842" s="115"/>
      <c r="BG1842" s="115"/>
      <c r="BH1842" s="122"/>
      <c r="BI1842" s="122"/>
      <c r="BJ1842" s="122"/>
      <c r="BK1842" s="115"/>
      <c r="BL1842" s="115"/>
      <c r="BM1842" s="115"/>
      <c r="BN1842" s="115"/>
      <c r="BO1842" s="115"/>
      <c r="BP1842" s="115"/>
      <c r="BQ1842" s="115"/>
      <c r="BR1842" s="115"/>
      <c r="BS1842" s="115"/>
      <c r="BT1842" s="115"/>
      <c r="BU1842" s="115"/>
      <c r="BV1842" s="115"/>
      <c r="BW1842" s="115"/>
      <c r="BX1842" s="115"/>
      <c r="BY1842" s="26"/>
      <c r="BZ1842" s="15"/>
    </row>
    <row r="1843" spans="1:78" x14ac:dyDescent="0.4">
      <c r="C1843" s="115"/>
      <c r="D1843" s="115"/>
      <c r="E1843" s="115"/>
      <c r="F1843" s="115"/>
      <c r="G1843" s="115"/>
      <c r="H1843" s="115"/>
      <c r="I1843" s="115"/>
      <c r="J1843" s="115"/>
      <c r="K1843" s="115"/>
      <c r="L1843" s="115"/>
      <c r="M1843" s="115"/>
      <c r="N1843" s="115"/>
      <c r="O1843" s="115"/>
      <c r="P1843" s="115"/>
      <c r="Q1843" s="115"/>
      <c r="R1843" s="115"/>
      <c r="S1843" s="115"/>
      <c r="T1843" s="115"/>
      <c r="U1843" s="115"/>
      <c r="V1843" s="115"/>
      <c r="W1843" s="115"/>
      <c r="X1843" s="115"/>
      <c r="Y1843" s="115"/>
      <c r="Z1843" s="115"/>
      <c r="AA1843" s="115"/>
      <c r="AB1843" s="115"/>
      <c r="AC1843" s="115"/>
      <c r="AD1843" s="115"/>
      <c r="AE1843" s="115"/>
      <c r="AF1843" s="115"/>
      <c r="AG1843" s="115"/>
      <c r="AH1843" s="115"/>
      <c r="AI1843" s="115"/>
      <c r="AJ1843" s="115"/>
      <c r="AK1843" s="115"/>
      <c r="AL1843" s="115"/>
      <c r="AM1843" s="115"/>
      <c r="AN1843" s="115"/>
      <c r="AO1843" s="115"/>
      <c r="AP1843" s="115"/>
      <c r="AQ1843" s="115"/>
      <c r="AR1843" s="115"/>
      <c r="AS1843" s="115"/>
      <c r="AT1843" s="115"/>
      <c r="AU1843" s="115"/>
      <c r="AV1843" s="115"/>
      <c r="AW1843" s="115"/>
      <c r="AX1843" s="115"/>
      <c r="AY1843" s="115"/>
      <c r="AZ1843" s="115"/>
      <c r="BA1843" s="115"/>
      <c r="BB1843" s="115"/>
      <c r="BC1843" s="115"/>
      <c r="BD1843" s="115"/>
      <c r="BE1843" s="115"/>
      <c r="BF1843" s="115"/>
      <c r="BG1843" s="115"/>
      <c r="BH1843" s="122"/>
      <c r="BI1843" s="122"/>
      <c r="BJ1843" s="122"/>
      <c r="BK1843" s="115"/>
      <c r="BL1843" s="115"/>
      <c r="BM1843" s="115"/>
      <c r="BN1843" s="115"/>
      <c r="BO1843" s="115"/>
      <c r="BP1843" s="115"/>
      <c r="BQ1843" s="115"/>
      <c r="BR1843" s="115"/>
      <c r="BS1843" s="115"/>
      <c r="BT1843" s="115"/>
      <c r="BU1843" s="115"/>
      <c r="BV1843" s="115"/>
      <c r="BW1843" s="115"/>
      <c r="BX1843" s="115"/>
      <c r="BY1843" s="26"/>
      <c r="BZ1843" s="15"/>
    </row>
    <row r="1844" spans="1:78" x14ac:dyDescent="0.4">
      <c r="BY1844" s="26"/>
      <c r="BZ1844" s="15"/>
    </row>
    <row r="1845" spans="1:78" x14ac:dyDescent="0.4">
      <c r="BD1845" s="115"/>
      <c r="BE1845" s="115"/>
      <c r="BF1845" s="115"/>
      <c r="BG1845" s="115"/>
      <c r="BH1845" s="122"/>
      <c r="BI1845" s="122"/>
      <c r="BJ1845" s="122"/>
      <c r="BK1845" s="115"/>
      <c r="BL1845" s="115"/>
      <c r="BM1845" s="115"/>
      <c r="BN1845" s="115"/>
      <c r="BO1845" s="115"/>
      <c r="BP1845" s="115"/>
      <c r="BQ1845" s="115"/>
      <c r="BR1845" s="115"/>
      <c r="BS1845" s="115"/>
      <c r="BT1845" s="115"/>
      <c r="BU1845" s="115"/>
      <c r="BV1845" s="115"/>
      <c r="BW1845" s="115"/>
      <c r="BX1845" s="115"/>
      <c r="BY1845" s="17"/>
      <c r="BZ1845" s="15"/>
    </row>
    <row r="1846" spans="1:78" x14ac:dyDescent="0.4">
      <c r="BY1846" s="26"/>
      <c r="BZ1846" s="15"/>
    </row>
    <row r="1847" spans="1:78" x14ac:dyDescent="0.4">
      <c r="BB1847" s="115"/>
      <c r="BC1847" s="115"/>
      <c r="BD1847" s="115"/>
      <c r="BE1847" s="115"/>
      <c r="BF1847" s="115"/>
      <c r="BG1847" s="115"/>
      <c r="BH1847" s="122"/>
      <c r="BI1847" s="122"/>
      <c r="BJ1847" s="122"/>
      <c r="BK1847" s="115"/>
      <c r="BL1847" s="115"/>
      <c r="BM1847" s="115"/>
      <c r="BN1847" s="115"/>
      <c r="BO1847" s="115"/>
      <c r="BP1847" s="115"/>
      <c r="BQ1847" s="115"/>
      <c r="BR1847" s="115"/>
      <c r="BS1847" s="115"/>
      <c r="BT1847" s="115"/>
      <c r="BU1847" s="115"/>
      <c r="BV1847" s="115"/>
      <c r="BW1847" s="115"/>
      <c r="BX1847" s="115"/>
      <c r="BY1847" s="26"/>
      <c r="BZ1847" s="15"/>
    </row>
    <row r="1848" spans="1:78" x14ac:dyDescent="0.4">
      <c r="BY1848" s="26"/>
      <c r="BZ1848" s="15"/>
    </row>
    <row r="1849" spans="1:78" x14ac:dyDescent="0.4">
      <c r="BY1849" s="26"/>
      <c r="BZ1849" s="15"/>
    </row>
    <row r="1850" spans="1:78" x14ac:dyDescent="0.4">
      <c r="E1850" s="115"/>
      <c r="F1850" s="115"/>
      <c r="G1850" s="115"/>
      <c r="H1850" s="115"/>
      <c r="I1850" s="115"/>
      <c r="J1850" s="115"/>
      <c r="K1850" s="115"/>
      <c r="L1850" s="115"/>
      <c r="M1850" s="115"/>
      <c r="N1850" s="115"/>
      <c r="O1850" s="115"/>
      <c r="P1850" s="115"/>
      <c r="Q1850" s="115"/>
      <c r="R1850" s="115"/>
      <c r="S1850" s="115"/>
      <c r="T1850" s="115"/>
      <c r="U1850" s="115"/>
      <c r="V1850" s="115"/>
      <c r="W1850" s="115"/>
      <c r="X1850" s="115"/>
      <c r="Y1850" s="115"/>
      <c r="Z1850" s="115"/>
      <c r="AA1850" s="115"/>
      <c r="AB1850" s="115"/>
      <c r="AC1850" s="115"/>
      <c r="AD1850" s="115"/>
      <c r="AE1850" s="115"/>
      <c r="AF1850" s="115"/>
      <c r="AG1850" s="115"/>
      <c r="AH1850" s="115"/>
      <c r="AI1850" s="115"/>
      <c r="AJ1850" s="115"/>
      <c r="AK1850" s="115"/>
      <c r="AL1850" s="115"/>
      <c r="AM1850" s="115"/>
      <c r="AN1850" s="115"/>
      <c r="AO1850" s="115"/>
      <c r="AP1850" s="115"/>
      <c r="AQ1850" s="115"/>
      <c r="AR1850" s="115"/>
      <c r="AS1850" s="115"/>
      <c r="AT1850" s="115"/>
      <c r="AU1850" s="115"/>
      <c r="AV1850" s="115"/>
      <c r="AW1850" s="115"/>
      <c r="AX1850" s="115"/>
      <c r="AY1850" s="115"/>
      <c r="AZ1850" s="115"/>
      <c r="BA1850" s="115"/>
      <c r="BB1850" s="115"/>
      <c r="BC1850" s="115"/>
      <c r="BD1850" s="115"/>
      <c r="BE1850" s="115"/>
      <c r="BF1850" s="115"/>
      <c r="BG1850" s="115"/>
      <c r="BH1850" s="122"/>
      <c r="BI1850" s="122"/>
      <c r="BJ1850" s="122"/>
      <c r="BK1850" s="115"/>
      <c r="BL1850" s="115"/>
      <c r="BM1850" s="115"/>
      <c r="BN1850" s="115"/>
      <c r="BO1850" s="115"/>
      <c r="BP1850" s="115"/>
      <c r="BQ1850" s="115"/>
      <c r="BR1850" s="115"/>
      <c r="BS1850" s="115"/>
      <c r="BT1850" s="115"/>
      <c r="BU1850" s="115"/>
      <c r="BV1850" s="115"/>
      <c r="BW1850" s="115"/>
      <c r="BX1850" s="115"/>
      <c r="BY1850" s="26"/>
      <c r="BZ1850" s="15"/>
    </row>
    <row r="1851" spans="1:78" x14ac:dyDescent="0.4">
      <c r="E1851" s="115"/>
      <c r="F1851" s="115"/>
      <c r="G1851" s="115"/>
      <c r="H1851" s="115"/>
      <c r="I1851" s="115"/>
      <c r="J1851" s="115"/>
      <c r="K1851" s="115"/>
      <c r="L1851" s="115"/>
      <c r="M1851" s="115"/>
      <c r="N1851" s="115"/>
      <c r="O1851" s="115"/>
      <c r="P1851" s="115"/>
      <c r="Q1851" s="115"/>
      <c r="R1851" s="115"/>
      <c r="S1851" s="115"/>
      <c r="T1851" s="115"/>
      <c r="U1851" s="115"/>
      <c r="V1851" s="115"/>
      <c r="W1851" s="115"/>
      <c r="X1851" s="115"/>
      <c r="Y1851" s="115"/>
      <c r="Z1851" s="115"/>
      <c r="AA1851" s="115"/>
      <c r="AB1851" s="115"/>
      <c r="AC1851" s="115"/>
      <c r="AD1851" s="115"/>
      <c r="AE1851" s="115"/>
      <c r="AF1851" s="115"/>
      <c r="AG1851" s="115"/>
      <c r="AH1851" s="115"/>
      <c r="AI1851" s="115"/>
      <c r="AJ1851" s="115"/>
      <c r="AK1851" s="115"/>
      <c r="AL1851" s="115"/>
      <c r="AM1851" s="115"/>
      <c r="AN1851" s="115"/>
      <c r="AO1851" s="115"/>
      <c r="AP1851" s="115"/>
      <c r="AQ1851" s="115"/>
      <c r="AR1851" s="115"/>
      <c r="AS1851" s="115"/>
      <c r="AT1851" s="115"/>
      <c r="AU1851" s="115"/>
      <c r="AV1851" s="115"/>
      <c r="AW1851" s="115"/>
      <c r="AX1851" s="115"/>
      <c r="AY1851" s="115"/>
      <c r="AZ1851" s="115"/>
      <c r="BA1851" s="115"/>
      <c r="BB1851" s="115"/>
      <c r="BC1851" s="115"/>
      <c r="BD1851" s="115"/>
      <c r="BE1851" s="115"/>
      <c r="BF1851" s="115"/>
      <c r="BG1851" s="115"/>
      <c r="BH1851" s="122"/>
      <c r="BI1851" s="122"/>
      <c r="BJ1851" s="122"/>
      <c r="BK1851" s="115"/>
      <c r="BL1851" s="115"/>
      <c r="BM1851" s="115"/>
      <c r="BN1851" s="115"/>
      <c r="BO1851" s="115"/>
      <c r="BP1851" s="115"/>
      <c r="BQ1851" s="115"/>
      <c r="BR1851" s="115"/>
      <c r="BS1851" s="115"/>
      <c r="BT1851" s="115"/>
      <c r="BU1851" s="115"/>
      <c r="BV1851" s="115"/>
      <c r="BW1851" s="115"/>
      <c r="BX1851" s="115"/>
      <c r="BY1851" s="26"/>
      <c r="BZ1851" s="15"/>
    </row>
    <row r="1852" spans="1:78" x14ac:dyDescent="0.4">
      <c r="A1852" s="115"/>
      <c r="B1852" s="115"/>
      <c r="C1852" s="115"/>
      <c r="D1852" s="115"/>
      <c r="E1852" s="115"/>
      <c r="F1852" s="115"/>
      <c r="G1852" s="115"/>
      <c r="H1852" s="115"/>
      <c r="I1852" s="115"/>
      <c r="J1852" s="115"/>
      <c r="K1852" s="115"/>
      <c r="L1852" s="115"/>
      <c r="M1852" s="115"/>
      <c r="N1852" s="115"/>
      <c r="O1852" s="115"/>
      <c r="P1852" s="115"/>
      <c r="Q1852" s="115"/>
      <c r="R1852" s="115"/>
      <c r="S1852" s="115"/>
      <c r="T1852" s="115"/>
      <c r="U1852" s="115"/>
      <c r="V1852" s="115"/>
      <c r="W1852" s="115"/>
      <c r="X1852" s="115"/>
      <c r="Y1852" s="115"/>
      <c r="Z1852" s="115"/>
      <c r="AA1852" s="115"/>
      <c r="AB1852" s="115"/>
      <c r="AC1852" s="115"/>
      <c r="AD1852" s="115"/>
      <c r="AE1852" s="115"/>
      <c r="AF1852" s="115"/>
      <c r="AG1852" s="115"/>
      <c r="AH1852" s="115"/>
      <c r="AI1852" s="115"/>
      <c r="AJ1852" s="115"/>
      <c r="AK1852" s="115"/>
      <c r="AL1852" s="115"/>
      <c r="AM1852" s="115"/>
      <c r="AN1852" s="115"/>
      <c r="AO1852" s="115"/>
      <c r="AP1852" s="115"/>
      <c r="AQ1852" s="115"/>
      <c r="AR1852" s="115"/>
      <c r="AS1852" s="115"/>
      <c r="AT1852" s="115"/>
      <c r="AU1852" s="115"/>
      <c r="AV1852" s="115"/>
      <c r="AW1852" s="115"/>
      <c r="AX1852" s="115"/>
      <c r="AY1852" s="115"/>
      <c r="AZ1852" s="115"/>
      <c r="BA1852" s="115"/>
      <c r="BB1852" s="115"/>
      <c r="BC1852" s="115"/>
      <c r="BD1852" s="115"/>
      <c r="BE1852" s="115"/>
      <c r="BF1852" s="115"/>
      <c r="BG1852" s="115"/>
      <c r="BH1852" s="122"/>
      <c r="BI1852" s="122"/>
      <c r="BJ1852" s="122"/>
      <c r="BK1852" s="115"/>
      <c r="BL1852" s="115"/>
      <c r="BM1852" s="115"/>
      <c r="BN1852" s="115"/>
      <c r="BO1852" s="115"/>
      <c r="BP1852" s="115"/>
      <c r="BQ1852" s="115"/>
      <c r="BR1852" s="115"/>
      <c r="BS1852" s="115"/>
      <c r="BT1852" s="115"/>
      <c r="BU1852" s="115"/>
      <c r="BV1852" s="115"/>
      <c r="BW1852" s="115"/>
      <c r="BX1852" s="115"/>
      <c r="BY1852" s="26"/>
      <c r="BZ1852" s="15"/>
    </row>
    <row r="1853" spans="1:78" x14ac:dyDescent="0.4">
      <c r="A1853" s="115"/>
      <c r="B1853" s="115"/>
      <c r="C1853" s="115"/>
      <c r="D1853" s="115"/>
      <c r="E1853" s="115"/>
      <c r="F1853" s="115"/>
      <c r="G1853" s="115"/>
      <c r="H1853" s="115"/>
      <c r="I1853" s="115"/>
      <c r="J1853" s="115"/>
      <c r="K1853" s="115"/>
      <c r="L1853" s="115"/>
      <c r="M1853" s="115"/>
      <c r="N1853" s="115"/>
      <c r="O1853" s="115"/>
      <c r="P1853" s="115"/>
      <c r="Q1853" s="115"/>
      <c r="R1853" s="115"/>
      <c r="S1853" s="115"/>
      <c r="T1853" s="115"/>
      <c r="U1853" s="115"/>
      <c r="V1853" s="115"/>
      <c r="W1853" s="115"/>
      <c r="X1853" s="115"/>
      <c r="Y1853" s="115"/>
      <c r="Z1853" s="115"/>
      <c r="AA1853" s="115"/>
      <c r="AB1853" s="115"/>
      <c r="AC1853" s="115"/>
      <c r="AD1853" s="115"/>
      <c r="AE1853" s="115"/>
      <c r="AF1853" s="115"/>
      <c r="AG1853" s="115"/>
      <c r="AH1853" s="115"/>
      <c r="AI1853" s="115"/>
      <c r="AJ1853" s="115"/>
      <c r="AK1853" s="115"/>
      <c r="AL1853" s="115"/>
      <c r="AM1853" s="115"/>
      <c r="AN1853" s="115"/>
      <c r="AO1853" s="115"/>
      <c r="AP1853" s="115"/>
      <c r="AQ1853" s="115"/>
      <c r="AR1853" s="115"/>
      <c r="AS1853" s="115"/>
      <c r="AT1853" s="115"/>
      <c r="AU1853" s="115"/>
      <c r="AV1853" s="115"/>
      <c r="AW1853" s="115"/>
      <c r="AX1853" s="115"/>
      <c r="AY1853" s="115"/>
      <c r="AZ1853" s="115"/>
      <c r="BA1853" s="115"/>
      <c r="BB1853" s="115"/>
      <c r="BC1853" s="115"/>
      <c r="BD1853" s="115"/>
      <c r="BE1853" s="115"/>
      <c r="BF1853" s="115"/>
      <c r="BG1853" s="115"/>
      <c r="BH1853" s="122"/>
      <c r="BI1853" s="122"/>
      <c r="BJ1853" s="122"/>
      <c r="BK1853" s="115"/>
      <c r="BL1853" s="115"/>
      <c r="BM1853" s="115"/>
      <c r="BN1853" s="115"/>
      <c r="BO1853" s="115"/>
      <c r="BP1853" s="115"/>
      <c r="BQ1853" s="115"/>
      <c r="BR1853" s="115"/>
      <c r="BS1853" s="115"/>
      <c r="BT1853" s="115"/>
      <c r="BU1853" s="115"/>
      <c r="BV1853" s="115"/>
      <c r="BW1853" s="115"/>
      <c r="BX1853" s="115"/>
      <c r="BY1853" s="26"/>
      <c r="BZ1853" s="15"/>
    </row>
    <row r="1854" spans="1:78" x14ac:dyDescent="0.4">
      <c r="BY1854" s="26"/>
      <c r="BZ1854" s="15"/>
    </row>
    <row r="1855" spans="1:78" x14ac:dyDescent="0.4">
      <c r="BD1855" s="115"/>
      <c r="BE1855" s="115"/>
      <c r="BF1855" s="115"/>
      <c r="BG1855" s="115"/>
      <c r="BH1855" s="122"/>
      <c r="BI1855" s="122"/>
      <c r="BJ1855" s="122"/>
      <c r="BK1855" s="115"/>
      <c r="BL1855" s="115"/>
      <c r="BM1855" s="115"/>
      <c r="BN1855" s="115"/>
      <c r="BO1855" s="115"/>
      <c r="BP1855" s="115"/>
      <c r="BQ1855" s="115"/>
      <c r="BR1855" s="115"/>
      <c r="BS1855" s="115"/>
      <c r="BT1855" s="115"/>
      <c r="BU1855" s="115"/>
      <c r="BV1855" s="115"/>
      <c r="BW1855" s="115"/>
      <c r="BX1855" s="115"/>
      <c r="BY1855" s="17"/>
      <c r="BZ1855" s="15"/>
    </row>
    <row r="1856" spans="1:78" x14ac:dyDescent="0.4">
      <c r="BY1856" s="26"/>
      <c r="BZ1856" s="15"/>
    </row>
    <row r="1857" spans="3:78" x14ac:dyDescent="0.4">
      <c r="E1857" s="115"/>
      <c r="F1857" s="115"/>
      <c r="G1857" s="115"/>
      <c r="H1857" s="115"/>
      <c r="I1857" s="115"/>
      <c r="J1857" s="115"/>
      <c r="K1857" s="115"/>
      <c r="L1857" s="115"/>
      <c r="M1857" s="115"/>
      <c r="N1857" s="115"/>
      <c r="O1857" s="115"/>
      <c r="P1857" s="115"/>
      <c r="Q1857" s="115"/>
      <c r="R1857" s="115"/>
      <c r="S1857" s="115"/>
      <c r="T1857" s="115"/>
      <c r="U1857" s="115"/>
      <c r="V1857" s="115"/>
      <c r="W1857" s="115"/>
      <c r="X1857" s="115"/>
      <c r="Y1857" s="115"/>
      <c r="Z1857" s="115"/>
      <c r="AA1857" s="115"/>
      <c r="AB1857" s="115"/>
      <c r="AC1857" s="115"/>
      <c r="AD1857" s="115"/>
      <c r="AE1857" s="115"/>
      <c r="AF1857" s="115"/>
      <c r="AG1857" s="115"/>
      <c r="AH1857" s="115"/>
      <c r="AI1857" s="115"/>
      <c r="AJ1857" s="115"/>
      <c r="AK1857" s="115"/>
      <c r="AL1857" s="115"/>
      <c r="AM1857" s="115"/>
      <c r="AN1857" s="115"/>
      <c r="AO1857" s="115"/>
      <c r="AP1857" s="115"/>
      <c r="AQ1857" s="115"/>
      <c r="AR1857" s="115"/>
      <c r="AS1857" s="115"/>
      <c r="AT1857" s="115"/>
      <c r="AU1857" s="115"/>
      <c r="AV1857" s="115"/>
      <c r="AW1857" s="115"/>
      <c r="AX1857" s="115"/>
      <c r="AY1857" s="115"/>
      <c r="AZ1857" s="115"/>
      <c r="BA1857" s="115"/>
      <c r="BB1857" s="115"/>
      <c r="BC1857" s="115"/>
      <c r="BD1857" s="115"/>
      <c r="BE1857" s="115"/>
      <c r="BF1857" s="115"/>
      <c r="BG1857" s="115"/>
      <c r="BH1857" s="122"/>
      <c r="BI1857" s="122"/>
      <c r="BJ1857" s="122"/>
      <c r="BK1857" s="115"/>
      <c r="BL1857" s="115"/>
      <c r="BM1857" s="115"/>
      <c r="BN1857" s="115"/>
      <c r="BO1857" s="115"/>
      <c r="BP1857" s="115"/>
      <c r="BQ1857" s="115"/>
      <c r="BR1857" s="115"/>
      <c r="BS1857" s="115"/>
      <c r="BT1857" s="115"/>
      <c r="BU1857" s="115"/>
      <c r="BV1857" s="115"/>
      <c r="BW1857" s="115"/>
      <c r="BX1857" s="115"/>
      <c r="BY1857" s="26"/>
      <c r="BZ1857" s="15"/>
    </row>
    <row r="1858" spans="3:78" x14ac:dyDescent="0.4">
      <c r="C1858" s="115"/>
      <c r="D1858" s="115"/>
      <c r="E1858" s="115"/>
      <c r="F1858" s="115"/>
      <c r="G1858" s="115"/>
      <c r="H1858" s="115"/>
      <c r="I1858" s="115"/>
      <c r="J1858" s="115"/>
      <c r="K1858" s="115"/>
      <c r="L1858" s="115"/>
      <c r="M1858" s="115"/>
      <c r="N1858" s="115"/>
      <c r="O1858" s="115"/>
      <c r="P1858" s="115"/>
      <c r="Q1858" s="115"/>
      <c r="R1858" s="115"/>
      <c r="S1858" s="115"/>
      <c r="T1858" s="115"/>
      <c r="U1858" s="115"/>
      <c r="V1858" s="115"/>
      <c r="W1858" s="115"/>
      <c r="X1858" s="115"/>
      <c r="Y1858" s="115"/>
      <c r="Z1858" s="115"/>
      <c r="AA1858" s="115"/>
      <c r="AB1858" s="115"/>
      <c r="AC1858" s="115"/>
      <c r="AD1858" s="115"/>
      <c r="AE1858" s="115"/>
      <c r="AF1858" s="115"/>
      <c r="AG1858" s="115"/>
      <c r="AH1858" s="115"/>
      <c r="AI1858" s="115"/>
      <c r="AJ1858" s="115"/>
      <c r="AK1858" s="115"/>
      <c r="AL1858" s="115"/>
      <c r="AM1858" s="115"/>
      <c r="AN1858" s="115"/>
      <c r="AO1858" s="115"/>
      <c r="AP1858" s="115"/>
      <c r="AQ1858" s="115"/>
      <c r="AR1858" s="115"/>
      <c r="AS1858" s="115"/>
      <c r="AT1858" s="115"/>
      <c r="AU1858" s="115"/>
      <c r="AV1858" s="115"/>
      <c r="AW1858" s="115"/>
      <c r="AX1858" s="115"/>
      <c r="AY1858" s="115"/>
      <c r="AZ1858" s="115"/>
      <c r="BA1858" s="115"/>
      <c r="BB1858" s="115"/>
      <c r="BC1858" s="115"/>
      <c r="BD1858" s="115"/>
      <c r="BE1858" s="115"/>
      <c r="BF1858" s="115"/>
      <c r="BG1858" s="115"/>
      <c r="BH1858" s="122"/>
      <c r="BI1858" s="122"/>
      <c r="BJ1858" s="122"/>
      <c r="BK1858" s="115"/>
      <c r="BL1858" s="115"/>
      <c r="BM1858" s="115"/>
      <c r="BN1858" s="115"/>
      <c r="BO1858" s="115"/>
      <c r="BP1858" s="115"/>
      <c r="BQ1858" s="115"/>
      <c r="BR1858" s="115"/>
      <c r="BS1858" s="115"/>
      <c r="BT1858" s="115"/>
      <c r="BU1858" s="115"/>
      <c r="BV1858" s="115"/>
      <c r="BW1858" s="115"/>
      <c r="BX1858" s="115"/>
      <c r="BY1858" s="26"/>
      <c r="BZ1858" s="15"/>
    </row>
    <row r="1859" spans="3:78" x14ac:dyDescent="0.4">
      <c r="C1859" s="115"/>
      <c r="D1859" s="115"/>
      <c r="E1859" s="115"/>
      <c r="F1859" s="115"/>
      <c r="G1859" s="115"/>
      <c r="H1859" s="115"/>
      <c r="I1859" s="115"/>
      <c r="J1859" s="115"/>
      <c r="K1859" s="115"/>
      <c r="L1859" s="115"/>
      <c r="M1859" s="115"/>
      <c r="N1859" s="115"/>
      <c r="O1859" s="115"/>
      <c r="P1859" s="115"/>
      <c r="Q1859" s="115"/>
      <c r="R1859" s="115"/>
      <c r="S1859" s="115"/>
      <c r="T1859" s="115"/>
      <c r="U1859" s="115"/>
      <c r="V1859" s="115"/>
      <c r="W1859" s="115"/>
      <c r="X1859" s="115"/>
      <c r="Y1859" s="115"/>
      <c r="Z1859" s="115"/>
      <c r="AA1859" s="115"/>
      <c r="AB1859" s="115"/>
      <c r="AC1859" s="115"/>
      <c r="AD1859" s="115"/>
      <c r="AE1859" s="115"/>
      <c r="AF1859" s="115"/>
      <c r="AG1859" s="115"/>
      <c r="AH1859" s="115"/>
      <c r="AI1859" s="115"/>
      <c r="AJ1859" s="115"/>
      <c r="AK1859" s="115"/>
      <c r="AL1859" s="115"/>
      <c r="AM1859" s="115"/>
      <c r="AN1859" s="115"/>
      <c r="AO1859" s="115"/>
      <c r="AP1859" s="115"/>
      <c r="AQ1859" s="115"/>
      <c r="AR1859" s="115"/>
      <c r="AS1859" s="115"/>
      <c r="AT1859" s="115"/>
      <c r="AU1859" s="115"/>
      <c r="AV1859" s="115"/>
      <c r="AW1859" s="115"/>
      <c r="AX1859" s="115"/>
      <c r="AY1859" s="115"/>
      <c r="AZ1859" s="115"/>
      <c r="BA1859" s="115"/>
      <c r="BB1859" s="115"/>
      <c r="BC1859" s="115"/>
      <c r="BD1859" s="115"/>
      <c r="BE1859" s="115"/>
      <c r="BF1859" s="115"/>
      <c r="BG1859" s="115"/>
      <c r="BH1859" s="122"/>
      <c r="BI1859" s="122"/>
      <c r="BJ1859" s="122"/>
      <c r="BK1859" s="115"/>
      <c r="BL1859" s="115"/>
      <c r="BM1859" s="115"/>
      <c r="BN1859" s="115"/>
      <c r="BO1859" s="115"/>
      <c r="BP1859" s="115"/>
      <c r="BQ1859" s="115"/>
      <c r="BR1859" s="115"/>
      <c r="BS1859" s="115"/>
      <c r="BT1859" s="115"/>
      <c r="BU1859" s="115"/>
      <c r="BV1859" s="115"/>
      <c r="BW1859" s="115"/>
      <c r="BX1859" s="115"/>
      <c r="BY1859" s="17"/>
      <c r="BZ1859" s="15"/>
    </row>
    <row r="1860" spans="3:78" x14ac:dyDescent="0.4">
      <c r="BY1860" s="26"/>
      <c r="BZ1860" s="15"/>
    </row>
    <row r="1861" spans="3:78" x14ac:dyDescent="0.4">
      <c r="D1861" s="115"/>
      <c r="E1861" s="115"/>
      <c r="F1861" s="115"/>
      <c r="G1861" s="115"/>
      <c r="H1861" s="115"/>
      <c r="I1861" s="115"/>
      <c r="J1861" s="115"/>
      <c r="K1861" s="115"/>
      <c r="L1861" s="115"/>
      <c r="M1861" s="115"/>
      <c r="N1861" s="115"/>
      <c r="O1861" s="115"/>
      <c r="P1861" s="115"/>
      <c r="Q1861" s="115"/>
      <c r="R1861" s="115"/>
      <c r="S1861" s="115"/>
      <c r="T1861" s="115"/>
      <c r="U1861" s="115"/>
      <c r="V1861" s="115"/>
      <c r="W1861" s="115"/>
      <c r="X1861" s="115"/>
      <c r="Y1861" s="115"/>
      <c r="Z1861" s="115"/>
      <c r="AA1861" s="115"/>
      <c r="AB1861" s="115"/>
      <c r="AC1861" s="115"/>
      <c r="AD1861" s="115"/>
      <c r="AE1861" s="115"/>
      <c r="AF1861" s="115"/>
      <c r="AG1861" s="115"/>
      <c r="AH1861" s="115"/>
      <c r="AI1861" s="115"/>
      <c r="AJ1861" s="115"/>
      <c r="AK1861" s="115"/>
      <c r="AL1861" s="115"/>
      <c r="AM1861" s="115"/>
      <c r="AN1861" s="115"/>
      <c r="AO1861" s="115"/>
      <c r="AP1861" s="115"/>
      <c r="AQ1861" s="115"/>
      <c r="AR1861" s="115"/>
      <c r="AS1861" s="115"/>
      <c r="AT1861" s="115"/>
      <c r="AU1861" s="115"/>
      <c r="AV1861" s="115"/>
      <c r="AW1861" s="115"/>
      <c r="AX1861" s="115"/>
      <c r="AY1861" s="115"/>
      <c r="AZ1861" s="115"/>
      <c r="BA1861" s="115"/>
      <c r="BB1861" s="115"/>
      <c r="BC1861" s="115"/>
      <c r="BD1861" s="115"/>
      <c r="BE1861" s="115"/>
      <c r="BF1861" s="115"/>
      <c r="BG1861" s="115"/>
      <c r="BH1861" s="122"/>
      <c r="BI1861" s="122"/>
      <c r="BJ1861" s="122"/>
      <c r="BK1861" s="115"/>
      <c r="BL1861" s="115"/>
      <c r="BM1861" s="115"/>
      <c r="BN1861" s="115"/>
      <c r="BO1861" s="115"/>
      <c r="BP1861" s="115"/>
      <c r="BQ1861" s="115"/>
      <c r="BR1861" s="115"/>
      <c r="BS1861" s="115"/>
      <c r="BT1861" s="115"/>
      <c r="BU1861" s="115"/>
      <c r="BV1861" s="115"/>
      <c r="BW1861" s="115"/>
      <c r="BX1861" s="115"/>
      <c r="BY1861" s="26"/>
      <c r="BZ1861" s="15"/>
    </row>
    <row r="1862" spans="3:78" x14ac:dyDescent="0.4">
      <c r="D1862" s="115"/>
      <c r="E1862" s="115"/>
      <c r="F1862" s="115"/>
      <c r="G1862" s="115"/>
      <c r="H1862" s="115"/>
      <c r="I1862" s="115"/>
      <c r="J1862" s="115"/>
      <c r="K1862" s="115"/>
      <c r="L1862" s="115"/>
      <c r="M1862" s="115"/>
      <c r="N1862" s="115"/>
      <c r="O1862" s="115"/>
      <c r="P1862" s="115"/>
      <c r="Q1862" s="115"/>
      <c r="R1862" s="115"/>
      <c r="S1862" s="115"/>
      <c r="T1862" s="115"/>
      <c r="U1862" s="115"/>
      <c r="V1862" s="115"/>
      <c r="W1862" s="115"/>
      <c r="X1862" s="115"/>
      <c r="Y1862" s="115"/>
      <c r="Z1862" s="115"/>
      <c r="AA1862" s="115"/>
      <c r="AB1862" s="115"/>
      <c r="AC1862" s="115"/>
      <c r="AD1862" s="115"/>
      <c r="AE1862" s="115"/>
      <c r="AF1862" s="115"/>
      <c r="AG1862" s="115"/>
      <c r="AH1862" s="115"/>
      <c r="AI1862" s="115"/>
      <c r="AJ1862" s="115"/>
      <c r="AK1862" s="115"/>
      <c r="AL1862" s="115"/>
      <c r="AM1862" s="115"/>
      <c r="AN1862" s="115"/>
      <c r="AO1862" s="115"/>
      <c r="AP1862" s="115"/>
      <c r="AQ1862" s="115"/>
      <c r="AR1862" s="115"/>
      <c r="AS1862" s="115"/>
      <c r="AT1862" s="115"/>
      <c r="AU1862" s="115"/>
      <c r="AV1862" s="115"/>
      <c r="AW1862" s="115"/>
      <c r="AX1862" s="115"/>
      <c r="AY1862" s="115"/>
      <c r="AZ1862" s="115"/>
      <c r="BA1862" s="115"/>
      <c r="BB1862" s="115"/>
      <c r="BC1862" s="115"/>
      <c r="BD1862" s="115"/>
      <c r="BE1862" s="115"/>
      <c r="BF1862" s="115"/>
      <c r="BG1862" s="115"/>
      <c r="BH1862" s="122"/>
      <c r="BI1862" s="122"/>
      <c r="BJ1862" s="122"/>
      <c r="BK1862" s="115"/>
      <c r="BL1862" s="115"/>
      <c r="BM1862" s="115"/>
      <c r="BN1862" s="115"/>
      <c r="BO1862" s="115"/>
      <c r="BP1862" s="115"/>
      <c r="BQ1862" s="115"/>
      <c r="BR1862" s="115"/>
      <c r="BS1862" s="115"/>
      <c r="BT1862" s="115"/>
      <c r="BU1862" s="115"/>
      <c r="BV1862" s="115"/>
      <c r="BW1862" s="115"/>
      <c r="BX1862" s="115"/>
      <c r="BY1862" s="17"/>
      <c r="BZ1862" s="15"/>
    </row>
    <row r="1863" spans="3:78" x14ac:dyDescent="0.4">
      <c r="BY1863" s="26"/>
      <c r="BZ1863" s="15"/>
    </row>
    <row r="1864" spans="3:78" x14ac:dyDescent="0.4">
      <c r="BD1864" s="115"/>
      <c r="BE1864" s="115"/>
      <c r="BF1864" s="115"/>
      <c r="BG1864" s="115"/>
      <c r="BH1864" s="122"/>
      <c r="BI1864" s="122"/>
      <c r="BJ1864" s="122"/>
      <c r="BK1864" s="115"/>
      <c r="BL1864" s="115"/>
      <c r="BM1864" s="115"/>
      <c r="BN1864" s="115"/>
      <c r="BO1864" s="115"/>
      <c r="BP1864" s="115"/>
      <c r="BQ1864" s="115"/>
      <c r="BR1864" s="115"/>
      <c r="BS1864" s="115"/>
      <c r="BT1864" s="115"/>
      <c r="BU1864" s="115"/>
      <c r="BV1864" s="115"/>
      <c r="BW1864" s="115"/>
      <c r="BX1864" s="115"/>
      <c r="BY1864" s="17"/>
      <c r="BZ1864" s="15"/>
    </row>
    <row r="1865" spans="3:78" x14ac:dyDescent="0.4">
      <c r="C1865" s="115"/>
      <c r="D1865" s="115"/>
      <c r="E1865" s="115"/>
      <c r="F1865" s="115"/>
      <c r="G1865" s="115"/>
      <c r="H1865" s="115"/>
      <c r="I1865" s="115"/>
      <c r="J1865" s="115"/>
      <c r="K1865" s="115"/>
      <c r="L1865" s="115"/>
      <c r="M1865" s="115"/>
      <c r="N1865" s="115"/>
      <c r="O1865" s="115"/>
      <c r="P1865" s="115"/>
      <c r="Q1865" s="115"/>
      <c r="R1865" s="115"/>
      <c r="S1865" s="115"/>
      <c r="T1865" s="115"/>
      <c r="U1865" s="115"/>
      <c r="V1865" s="115"/>
      <c r="W1865" s="115"/>
      <c r="X1865" s="115"/>
      <c r="Y1865" s="115"/>
      <c r="Z1865" s="115"/>
      <c r="AA1865" s="115"/>
      <c r="AB1865" s="115"/>
      <c r="AC1865" s="115"/>
      <c r="AD1865" s="115"/>
      <c r="AE1865" s="115"/>
      <c r="AF1865" s="115"/>
      <c r="AG1865" s="115"/>
      <c r="AH1865" s="115"/>
      <c r="AI1865" s="115"/>
      <c r="AJ1865" s="115"/>
      <c r="AK1865" s="115"/>
      <c r="AL1865" s="115"/>
      <c r="AM1865" s="115"/>
      <c r="AN1865" s="115"/>
      <c r="AO1865" s="115"/>
      <c r="AP1865" s="115"/>
      <c r="AQ1865" s="115"/>
      <c r="AR1865" s="115"/>
      <c r="AS1865" s="115"/>
      <c r="AT1865" s="115"/>
      <c r="AU1865" s="115"/>
      <c r="AV1865" s="115"/>
      <c r="AW1865" s="115"/>
      <c r="AX1865" s="115"/>
      <c r="AY1865" s="115"/>
      <c r="AZ1865" s="115"/>
      <c r="BA1865" s="115"/>
      <c r="BB1865" s="115"/>
      <c r="BC1865" s="115"/>
      <c r="BD1865" s="115"/>
      <c r="BE1865" s="115"/>
      <c r="BF1865" s="115"/>
      <c r="BG1865" s="115"/>
      <c r="BH1865" s="122"/>
      <c r="BI1865" s="122"/>
      <c r="BJ1865" s="122"/>
      <c r="BK1865" s="115"/>
      <c r="BL1865" s="115"/>
      <c r="BM1865" s="115"/>
      <c r="BN1865" s="115"/>
      <c r="BO1865" s="115"/>
      <c r="BP1865" s="115"/>
      <c r="BQ1865" s="115"/>
      <c r="BR1865" s="115"/>
      <c r="BS1865" s="115"/>
      <c r="BT1865" s="115"/>
      <c r="BU1865" s="115"/>
      <c r="BV1865" s="115"/>
      <c r="BW1865" s="115"/>
      <c r="BX1865" s="115"/>
      <c r="BY1865" s="26"/>
      <c r="BZ1865" s="15"/>
    </row>
    <row r="1866" spans="3:78" x14ac:dyDescent="0.4">
      <c r="C1866" s="115"/>
      <c r="D1866" s="115"/>
      <c r="E1866" s="115"/>
      <c r="F1866" s="115"/>
      <c r="G1866" s="115"/>
      <c r="H1866" s="115"/>
      <c r="I1866" s="115"/>
      <c r="J1866" s="115"/>
      <c r="K1866" s="115"/>
      <c r="L1866" s="115"/>
      <c r="M1866" s="115"/>
      <c r="N1866" s="115"/>
      <c r="O1866" s="115"/>
      <c r="P1866" s="115"/>
      <c r="Q1866" s="115"/>
      <c r="R1866" s="115"/>
      <c r="S1866" s="115"/>
      <c r="T1866" s="115"/>
      <c r="U1866" s="115"/>
      <c r="V1866" s="115"/>
      <c r="W1866" s="115"/>
      <c r="X1866" s="115"/>
      <c r="Y1866" s="115"/>
      <c r="Z1866" s="115"/>
      <c r="AA1866" s="115"/>
      <c r="AB1866" s="115"/>
      <c r="AC1866" s="115"/>
      <c r="AD1866" s="115"/>
      <c r="AE1866" s="115"/>
      <c r="AF1866" s="115"/>
      <c r="AG1866" s="115"/>
      <c r="AH1866" s="115"/>
      <c r="AI1866" s="115"/>
      <c r="AJ1866" s="115"/>
      <c r="AK1866" s="115"/>
      <c r="AL1866" s="115"/>
      <c r="AM1866" s="115"/>
      <c r="AN1866" s="115"/>
      <c r="AO1866" s="115"/>
      <c r="AP1866" s="115"/>
      <c r="AQ1866" s="115"/>
      <c r="AR1866" s="115"/>
      <c r="AS1866" s="115"/>
      <c r="AT1866" s="115"/>
      <c r="AU1866" s="115"/>
      <c r="AV1866" s="115"/>
      <c r="AW1866" s="115"/>
      <c r="AX1866" s="115"/>
      <c r="AY1866" s="115"/>
      <c r="AZ1866" s="115"/>
      <c r="BA1866" s="115"/>
      <c r="BB1866" s="115"/>
      <c r="BC1866" s="115"/>
      <c r="BD1866" s="115"/>
      <c r="BE1866" s="115"/>
      <c r="BF1866" s="115"/>
      <c r="BG1866" s="115"/>
      <c r="BH1866" s="122"/>
      <c r="BI1866" s="122"/>
      <c r="BJ1866" s="122"/>
      <c r="BK1866" s="115"/>
      <c r="BL1866" s="115"/>
      <c r="BM1866" s="115"/>
      <c r="BN1866" s="115"/>
      <c r="BO1866" s="115"/>
      <c r="BP1866" s="115"/>
      <c r="BQ1866" s="115"/>
      <c r="BR1866" s="115"/>
      <c r="BS1866" s="115"/>
      <c r="BT1866" s="115"/>
      <c r="BU1866" s="115"/>
      <c r="BV1866" s="115"/>
      <c r="BW1866" s="115"/>
      <c r="BX1866" s="115"/>
      <c r="BY1866" s="17"/>
      <c r="BZ1866" s="15"/>
    </row>
    <row r="1867" spans="3:78" x14ac:dyDescent="0.4">
      <c r="BY1867" s="26"/>
      <c r="BZ1867" s="15"/>
    </row>
    <row r="1868" spans="3:78" x14ac:dyDescent="0.4">
      <c r="BY1868" s="26"/>
      <c r="BZ1868" s="15"/>
    </row>
    <row r="1869" spans="3:78" x14ac:dyDescent="0.4">
      <c r="BC1869" s="115"/>
      <c r="BD1869" s="115"/>
      <c r="BE1869" s="115"/>
      <c r="BF1869" s="115"/>
      <c r="BG1869" s="115"/>
      <c r="BH1869" s="122"/>
      <c r="BI1869" s="122"/>
      <c r="BJ1869" s="122"/>
      <c r="BK1869" s="115"/>
      <c r="BL1869" s="115"/>
      <c r="BM1869" s="115"/>
      <c r="BN1869" s="115"/>
      <c r="BO1869" s="115"/>
      <c r="BP1869" s="115"/>
      <c r="BQ1869" s="115"/>
      <c r="BR1869" s="115"/>
      <c r="BS1869" s="115"/>
      <c r="BT1869" s="115"/>
      <c r="BU1869" s="115"/>
      <c r="BV1869" s="115"/>
      <c r="BW1869" s="115"/>
      <c r="BX1869" s="115"/>
      <c r="BY1869" s="26"/>
      <c r="BZ1869" s="15"/>
    </row>
    <row r="1870" spans="3:78" x14ac:dyDescent="0.4">
      <c r="BA1870" s="115"/>
      <c r="BB1870" s="115"/>
      <c r="BC1870" s="115"/>
      <c r="BD1870" s="115"/>
      <c r="BE1870" s="115"/>
      <c r="BF1870" s="115"/>
      <c r="BG1870" s="115"/>
      <c r="BH1870" s="122"/>
      <c r="BI1870" s="122"/>
      <c r="BJ1870" s="122"/>
      <c r="BK1870" s="115"/>
      <c r="BL1870" s="115"/>
      <c r="BM1870" s="115"/>
      <c r="BN1870" s="115"/>
      <c r="BO1870" s="115"/>
      <c r="BP1870" s="115"/>
      <c r="BQ1870" s="115"/>
      <c r="BR1870" s="115"/>
      <c r="BS1870" s="115"/>
      <c r="BT1870" s="115"/>
      <c r="BU1870" s="115"/>
      <c r="BV1870" s="115"/>
      <c r="BW1870" s="115"/>
      <c r="BX1870" s="115"/>
      <c r="BY1870" s="26"/>
      <c r="BZ1870" s="15"/>
    </row>
    <row r="1871" spans="3:78" x14ac:dyDescent="0.4">
      <c r="BA1871" s="115"/>
      <c r="BB1871" s="115"/>
      <c r="BC1871" s="115"/>
      <c r="BD1871" s="115"/>
      <c r="BE1871" s="115"/>
      <c r="BF1871" s="115"/>
      <c r="BG1871" s="115"/>
      <c r="BH1871" s="122"/>
      <c r="BI1871" s="122"/>
      <c r="BJ1871" s="122"/>
      <c r="BK1871" s="115"/>
      <c r="BL1871" s="115"/>
      <c r="BM1871" s="115"/>
      <c r="BN1871" s="115"/>
      <c r="BO1871" s="115"/>
      <c r="BP1871" s="115"/>
      <c r="BQ1871" s="115"/>
      <c r="BR1871" s="115"/>
      <c r="BS1871" s="115"/>
      <c r="BT1871" s="115"/>
      <c r="BU1871" s="115"/>
      <c r="BV1871" s="115"/>
      <c r="BW1871" s="115"/>
      <c r="BX1871" s="115"/>
      <c r="BY1871" s="26"/>
      <c r="BZ1871" s="15"/>
    </row>
    <row r="1872" spans="3:78" x14ac:dyDescent="0.4">
      <c r="E1872" s="115"/>
      <c r="F1872" s="115"/>
      <c r="G1872" s="115"/>
      <c r="H1872" s="115"/>
      <c r="I1872" s="115"/>
      <c r="J1872" s="115"/>
      <c r="K1872" s="115"/>
      <c r="L1872" s="115"/>
      <c r="M1872" s="115"/>
      <c r="N1872" s="115"/>
      <c r="O1872" s="115"/>
      <c r="P1872" s="115"/>
      <c r="Q1872" s="115"/>
      <c r="R1872" s="115"/>
      <c r="S1872" s="115"/>
      <c r="T1872" s="115"/>
      <c r="U1872" s="115"/>
      <c r="V1872" s="115"/>
      <c r="W1872" s="115"/>
      <c r="X1872" s="115"/>
      <c r="Y1872" s="115"/>
      <c r="Z1872" s="115"/>
      <c r="AA1872" s="115"/>
      <c r="AB1872" s="115"/>
      <c r="AC1872" s="115"/>
      <c r="AD1872" s="115"/>
      <c r="AE1872" s="115"/>
      <c r="AF1872" s="115"/>
      <c r="AG1872" s="115"/>
      <c r="AH1872" s="115"/>
      <c r="AI1872" s="115"/>
      <c r="AJ1872" s="115"/>
      <c r="AK1872" s="115"/>
      <c r="AL1872" s="115"/>
      <c r="AM1872" s="115"/>
      <c r="AN1872" s="115"/>
      <c r="AO1872" s="115"/>
      <c r="AP1872" s="115"/>
      <c r="AQ1872" s="115"/>
      <c r="AR1872" s="115"/>
      <c r="AS1872" s="115"/>
      <c r="AT1872" s="115"/>
      <c r="AU1872" s="115"/>
      <c r="AV1872" s="115"/>
      <c r="AW1872" s="115"/>
      <c r="AX1872" s="115"/>
      <c r="AY1872" s="115"/>
      <c r="AZ1872" s="115"/>
      <c r="BA1872" s="115"/>
      <c r="BB1872" s="115"/>
      <c r="BC1872" s="115"/>
      <c r="BD1872" s="115"/>
      <c r="BE1872" s="115"/>
      <c r="BF1872" s="115"/>
      <c r="BG1872" s="115"/>
      <c r="BH1872" s="122"/>
      <c r="BI1872" s="122"/>
      <c r="BJ1872" s="122"/>
      <c r="BK1872" s="115"/>
      <c r="BL1872" s="115"/>
      <c r="BM1872" s="115"/>
      <c r="BN1872" s="115"/>
      <c r="BO1872" s="115"/>
      <c r="BP1872" s="115"/>
      <c r="BQ1872" s="115"/>
      <c r="BR1872" s="115"/>
      <c r="BS1872" s="115"/>
      <c r="BT1872" s="115"/>
      <c r="BU1872" s="115"/>
      <c r="BV1872" s="115"/>
      <c r="BW1872" s="115"/>
      <c r="BX1872" s="115"/>
      <c r="BY1872" s="26"/>
      <c r="BZ1872" s="15"/>
    </row>
    <row r="1873" spans="3:78" x14ac:dyDescent="0.4">
      <c r="E1873" s="115"/>
      <c r="F1873" s="115"/>
      <c r="G1873" s="115"/>
      <c r="H1873" s="115"/>
      <c r="I1873" s="115"/>
      <c r="J1873" s="115"/>
      <c r="K1873" s="115"/>
      <c r="L1873" s="115"/>
      <c r="M1873" s="115"/>
      <c r="N1873" s="115"/>
      <c r="O1873" s="115"/>
      <c r="P1873" s="115"/>
      <c r="Q1873" s="115"/>
      <c r="R1873" s="115"/>
      <c r="S1873" s="115"/>
      <c r="T1873" s="115"/>
      <c r="U1873" s="115"/>
      <c r="V1873" s="115"/>
      <c r="W1873" s="115"/>
      <c r="X1873" s="115"/>
      <c r="Y1873" s="115"/>
      <c r="Z1873" s="115"/>
      <c r="AA1873" s="115"/>
      <c r="AB1873" s="115"/>
      <c r="AC1873" s="115"/>
      <c r="AD1873" s="115"/>
      <c r="AE1873" s="115"/>
      <c r="AF1873" s="115"/>
      <c r="AG1873" s="115"/>
      <c r="AH1873" s="115"/>
      <c r="AI1873" s="115"/>
      <c r="AJ1873" s="115"/>
      <c r="AK1873" s="115"/>
      <c r="AL1873" s="115"/>
      <c r="AM1873" s="115"/>
      <c r="AN1873" s="115"/>
      <c r="AO1873" s="115"/>
      <c r="AP1873" s="115"/>
      <c r="AQ1873" s="115"/>
      <c r="AR1873" s="115"/>
      <c r="AS1873" s="115"/>
      <c r="AT1873" s="115"/>
      <c r="AU1873" s="115"/>
      <c r="AV1873" s="115"/>
      <c r="AW1873" s="115"/>
      <c r="AX1873" s="115"/>
      <c r="AY1873" s="115"/>
      <c r="AZ1873" s="115"/>
      <c r="BA1873" s="115"/>
      <c r="BB1873" s="115"/>
      <c r="BC1873" s="115"/>
      <c r="BD1873" s="115"/>
      <c r="BE1873" s="115"/>
      <c r="BF1873" s="115"/>
      <c r="BG1873" s="115"/>
      <c r="BH1873" s="122"/>
      <c r="BI1873" s="122"/>
      <c r="BJ1873" s="122"/>
      <c r="BK1873" s="115"/>
      <c r="BL1873" s="115"/>
      <c r="BM1873" s="115"/>
      <c r="BN1873" s="115"/>
      <c r="BO1873" s="115"/>
      <c r="BP1873" s="115"/>
      <c r="BQ1873" s="115"/>
      <c r="BR1873" s="115"/>
      <c r="BS1873" s="115"/>
      <c r="BT1873" s="115"/>
      <c r="BU1873" s="115"/>
      <c r="BV1873" s="115"/>
      <c r="BW1873" s="115"/>
      <c r="BX1873" s="115"/>
      <c r="BY1873" s="26"/>
      <c r="BZ1873" s="15"/>
    </row>
    <row r="1874" spans="3:78" x14ac:dyDescent="0.4">
      <c r="BY1874" s="26"/>
      <c r="BZ1874" s="15"/>
    </row>
    <row r="1875" spans="3:78" x14ac:dyDescent="0.4">
      <c r="BC1875" s="115"/>
      <c r="BD1875" s="115"/>
      <c r="BE1875" s="115"/>
      <c r="BF1875" s="115"/>
      <c r="BG1875" s="115"/>
      <c r="BH1875" s="122"/>
      <c r="BI1875" s="122"/>
      <c r="BJ1875" s="122"/>
      <c r="BK1875" s="115"/>
      <c r="BL1875" s="115"/>
      <c r="BM1875" s="115"/>
      <c r="BN1875" s="115"/>
      <c r="BO1875" s="115"/>
      <c r="BP1875" s="115"/>
      <c r="BQ1875" s="115"/>
      <c r="BR1875" s="115"/>
      <c r="BS1875" s="115"/>
      <c r="BT1875" s="115"/>
      <c r="BU1875" s="115"/>
      <c r="BV1875" s="115"/>
      <c r="BW1875" s="115"/>
      <c r="BX1875" s="115"/>
      <c r="BY1875" s="26"/>
      <c r="BZ1875" s="15"/>
    </row>
    <row r="1876" spans="3:78" x14ac:dyDescent="0.4">
      <c r="BY1876" s="26"/>
      <c r="BZ1876" s="15"/>
    </row>
    <row r="1877" spans="3:78" x14ac:dyDescent="0.4">
      <c r="BD1877" s="115"/>
      <c r="BE1877" s="115"/>
      <c r="BF1877" s="115"/>
      <c r="BG1877" s="115"/>
      <c r="BH1877" s="122"/>
      <c r="BI1877" s="122"/>
      <c r="BJ1877" s="122"/>
      <c r="BK1877" s="115"/>
      <c r="BL1877" s="115"/>
      <c r="BM1877" s="115"/>
      <c r="BN1877" s="115"/>
      <c r="BO1877" s="115"/>
      <c r="BP1877" s="115"/>
      <c r="BQ1877" s="115"/>
      <c r="BR1877" s="115"/>
      <c r="BS1877" s="115"/>
      <c r="BT1877" s="115"/>
      <c r="BU1877" s="115"/>
      <c r="BV1877" s="115"/>
      <c r="BW1877" s="115"/>
      <c r="BX1877" s="115"/>
      <c r="BY1877" s="17"/>
      <c r="BZ1877" s="15"/>
    </row>
    <row r="1878" spans="3:78" x14ac:dyDescent="0.4">
      <c r="BC1878" s="115"/>
      <c r="BD1878" s="115"/>
      <c r="BE1878" s="115"/>
      <c r="BF1878" s="115"/>
      <c r="BG1878" s="115"/>
      <c r="BH1878" s="122"/>
      <c r="BI1878" s="122"/>
      <c r="BJ1878" s="122"/>
      <c r="BK1878" s="115"/>
      <c r="BL1878" s="115"/>
      <c r="BM1878" s="115"/>
      <c r="BN1878" s="115"/>
      <c r="BO1878" s="115"/>
      <c r="BP1878" s="115"/>
      <c r="BQ1878" s="115"/>
      <c r="BR1878" s="115"/>
      <c r="BS1878" s="115"/>
      <c r="BT1878" s="115"/>
      <c r="BU1878" s="115"/>
      <c r="BV1878" s="115"/>
      <c r="BW1878" s="115"/>
      <c r="BX1878" s="115"/>
      <c r="BY1878" s="26"/>
      <c r="BZ1878" s="15"/>
    </row>
    <row r="1879" spans="3:78" x14ac:dyDescent="0.4">
      <c r="C1879" s="115"/>
      <c r="D1879" s="115"/>
      <c r="E1879" s="115"/>
      <c r="F1879" s="115"/>
      <c r="G1879" s="115"/>
      <c r="H1879" s="115"/>
      <c r="I1879" s="115"/>
      <c r="J1879" s="115"/>
      <c r="K1879" s="115"/>
      <c r="L1879" s="115"/>
      <c r="M1879" s="115"/>
      <c r="N1879" s="115"/>
      <c r="O1879" s="115"/>
      <c r="P1879" s="115"/>
      <c r="Q1879" s="115"/>
      <c r="R1879" s="115"/>
      <c r="S1879" s="115"/>
      <c r="T1879" s="115"/>
      <c r="U1879" s="115"/>
      <c r="V1879" s="115"/>
      <c r="W1879" s="115"/>
      <c r="X1879" s="115"/>
      <c r="Y1879" s="115"/>
      <c r="Z1879" s="115"/>
      <c r="AA1879" s="115"/>
      <c r="AB1879" s="115"/>
      <c r="AC1879" s="115"/>
      <c r="AD1879" s="115"/>
      <c r="AE1879" s="115"/>
      <c r="AF1879" s="115"/>
      <c r="AG1879" s="115"/>
      <c r="AH1879" s="115"/>
      <c r="AI1879" s="115"/>
      <c r="AJ1879" s="115"/>
      <c r="AK1879" s="115"/>
      <c r="AL1879" s="115"/>
      <c r="AM1879" s="115"/>
      <c r="AN1879" s="115"/>
      <c r="AO1879" s="115"/>
      <c r="AP1879" s="115"/>
      <c r="AQ1879" s="115"/>
      <c r="AR1879" s="115"/>
      <c r="AS1879" s="115"/>
      <c r="AT1879" s="115"/>
      <c r="AU1879" s="115"/>
      <c r="AV1879" s="115"/>
      <c r="AW1879" s="115"/>
      <c r="AX1879" s="115"/>
      <c r="AY1879" s="115"/>
      <c r="AZ1879" s="115"/>
      <c r="BA1879" s="115"/>
      <c r="BB1879" s="115"/>
      <c r="BC1879" s="115"/>
      <c r="BD1879" s="115"/>
      <c r="BE1879" s="115"/>
      <c r="BF1879" s="115"/>
      <c r="BG1879" s="115"/>
      <c r="BH1879" s="122"/>
      <c r="BI1879" s="122"/>
      <c r="BJ1879" s="122"/>
      <c r="BK1879" s="115"/>
      <c r="BL1879" s="115"/>
      <c r="BM1879" s="115"/>
      <c r="BN1879" s="115"/>
      <c r="BO1879" s="115"/>
      <c r="BP1879" s="115"/>
      <c r="BQ1879" s="115"/>
      <c r="BR1879" s="115"/>
      <c r="BS1879" s="115"/>
      <c r="BT1879" s="115"/>
      <c r="BU1879" s="115"/>
      <c r="BV1879" s="115"/>
      <c r="BW1879" s="115"/>
      <c r="BX1879" s="115"/>
      <c r="BY1879" s="26"/>
      <c r="BZ1879" s="15"/>
    </row>
    <row r="1880" spans="3:78" x14ac:dyDescent="0.4">
      <c r="C1880" s="115"/>
      <c r="D1880" s="115"/>
      <c r="E1880" s="115"/>
      <c r="F1880" s="115"/>
      <c r="G1880" s="115"/>
      <c r="H1880" s="115"/>
      <c r="I1880" s="115"/>
      <c r="J1880" s="115"/>
      <c r="K1880" s="115"/>
      <c r="L1880" s="115"/>
      <c r="M1880" s="115"/>
      <c r="N1880" s="115"/>
      <c r="O1880" s="115"/>
      <c r="P1880" s="115"/>
      <c r="Q1880" s="115"/>
      <c r="R1880" s="115"/>
      <c r="S1880" s="115"/>
      <c r="T1880" s="115"/>
      <c r="U1880" s="115"/>
      <c r="V1880" s="115"/>
      <c r="W1880" s="115"/>
      <c r="X1880" s="115"/>
      <c r="Y1880" s="115"/>
      <c r="Z1880" s="115"/>
      <c r="AA1880" s="115"/>
      <c r="AB1880" s="115"/>
      <c r="AC1880" s="115"/>
      <c r="AD1880" s="115"/>
      <c r="AE1880" s="115"/>
      <c r="AF1880" s="115"/>
      <c r="AG1880" s="115"/>
      <c r="AH1880" s="115"/>
      <c r="AI1880" s="115"/>
      <c r="AJ1880" s="115"/>
      <c r="AK1880" s="115"/>
      <c r="AL1880" s="115"/>
      <c r="AM1880" s="115"/>
      <c r="AN1880" s="115"/>
      <c r="AO1880" s="115"/>
      <c r="AP1880" s="115"/>
      <c r="AQ1880" s="115"/>
      <c r="AR1880" s="115"/>
      <c r="AS1880" s="115"/>
      <c r="AT1880" s="115"/>
      <c r="AU1880" s="115"/>
      <c r="AV1880" s="115"/>
      <c r="AW1880" s="115"/>
      <c r="AX1880" s="115"/>
      <c r="AY1880" s="115"/>
      <c r="AZ1880" s="115"/>
      <c r="BA1880" s="115"/>
      <c r="BB1880" s="115"/>
      <c r="BC1880" s="115"/>
      <c r="BD1880" s="115"/>
      <c r="BE1880" s="115"/>
      <c r="BF1880" s="115"/>
      <c r="BG1880" s="115"/>
      <c r="BH1880" s="122"/>
      <c r="BI1880" s="122"/>
      <c r="BJ1880" s="122"/>
      <c r="BK1880" s="115"/>
      <c r="BL1880" s="115"/>
      <c r="BM1880" s="115"/>
      <c r="BN1880" s="115"/>
      <c r="BO1880" s="115"/>
      <c r="BP1880" s="115"/>
      <c r="BQ1880" s="115"/>
      <c r="BR1880" s="115"/>
      <c r="BS1880" s="115"/>
      <c r="BT1880" s="115"/>
      <c r="BU1880" s="115"/>
      <c r="BV1880" s="115"/>
      <c r="BW1880" s="115"/>
      <c r="BX1880" s="115"/>
      <c r="BY1880" s="17"/>
      <c r="BZ1880" s="15"/>
    </row>
    <row r="1881" spans="3:78" x14ac:dyDescent="0.4">
      <c r="BY1881" s="26"/>
      <c r="BZ1881" s="15"/>
    </row>
    <row r="1882" spans="3:78" x14ac:dyDescent="0.4">
      <c r="BD1882" s="115"/>
      <c r="BE1882" s="115"/>
      <c r="BF1882" s="115"/>
      <c r="BG1882" s="115"/>
      <c r="BH1882" s="122"/>
      <c r="BI1882" s="122"/>
      <c r="BJ1882" s="122"/>
      <c r="BK1882" s="115"/>
      <c r="BL1882" s="115"/>
      <c r="BM1882" s="115"/>
      <c r="BN1882" s="115"/>
      <c r="BO1882" s="115"/>
      <c r="BP1882" s="115"/>
      <c r="BQ1882" s="115"/>
      <c r="BR1882" s="115"/>
      <c r="BS1882" s="115"/>
      <c r="BT1882" s="115"/>
      <c r="BU1882" s="115"/>
      <c r="BV1882" s="115"/>
      <c r="BW1882" s="115"/>
      <c r="BX1882" s="115"/>
      <c r="BY1882" s="17"/>
      <c r="BZ1882" s="15"/>
    </row>
    <row r="1883" spans="3:78" x14ac:dyDescent="0.4">
      <c r="BC1883" s="115"/>
      <c r="BD1883" s="115"/>
      <c r="BE1883" s="115"/>
      <c r="BF1883" s="115"/>
      <c r="BG1883" s="115"/>
      <c r="BH1883" s="122"/>
      <c r="BI1883" s="122"/>
      <c r="BJ1883" s="122"/>
      <c r="BK1883" s="115"/>
      <c r="BL1883" s="115"/>
      <c r="BM1883" s="115"/>
      <c r="BN1883" s="115"/>
      <c r="BO1883" s="115"/>
      <c r="BP1883" s="115"/>
      <c r="BQ1883" s="115"/>
      <c r="BR1883" s="115"/>
      <c r="BS1883" s="115"/>
      <c r="BT1883" s="115"/>
      <c r="BU1883" s="115"/>
      <c r="BV1883" s="115"/>
      <c r="BW1883" s="115"/>
      <c r="BX1883" s="115"/>
      <c r="BY1883" s="26"/>
      <c r="BZ1883" s="15"/>
    </row>
    <row r="1884" spans="3:78" x14ac:dyDescent="0.4">
      <c r="BC1884" s="115"/>
      <c r="BD1884" s="115"/>
      <c r="BE1884" s="115"/>
      <c r="BF1884" s="115"/>
      <c r="BG1884" s="115"/>
      <c r="BH1884" s="122"/>
      <c r="BI1884" s="122"/>
      <c r="BJ1884" s="122"/>
      <c r="BK1884" s="115"/>
      <c r="BL1884" s="115"/>
      <c r="BM1884" s="115"/>
      <c r="BN1884" s="115"/>
      <c r="BO1884" s="115"/>
      <c r="BP1884" s="115"/>
      <c r="BQ1884" s="115"/>
      <c r="BR1884" s="115"/>
      <c r="BS1884" s="115"/>
      <c r="BT1884" s="115"/>
      <c r="BU1884" s="115"/>
      <c r="BV1884" s="115"/>
      <c r="BW1884" s="115"/>
      <c r="BX1884" s="115"/>
      <c r="BY1884" s="17"/>
      <c r="BZ1884" s="15"/>
    </row>
    <row r="1885" spans="3:78" x14ac:dyDescent="0.4">
      <c r="BC1885" s="115"/>
      <c r="BD1885" s="115"/>
      <c r="BE1885" s="115"/>
      <c r="BF1885" s="115"/>
      <c r="BG1885" s="115"/>
      <c r="BH1885" s="122"/>
      <c r="BI1885" s="122"/>
      <c r="BJ1885" s="122"/>
      <c r="BK1885" s="115"/>
      <c r="BL1885" s="115"/>
      <c r="BM1885" s="115"/>
      <c r="BN1885" s="115"/>
      <c r="BO1885" s="115"/>
      <c r="BP1885" s="115"/>
      <c r="BQ1885" s="115"/>
      <c r="BR1885" s="115"/>
      <c r="BS1885" s="115"/>
      <c r="BT1885" s="115"/>
      <c r="BU1885" s="115"/>
      <c r="BV1885" s="115"/>
      <c r="BW1885" s="115"/>
      <c r="BX1885" s="115"/>
      <c r="BY1885" s="17"/>
      <c r="BZ1885" s="15"/>
    </row>
    <row r="1886" spans="3:78" x14ac:dyDescent="0.4">
      <c r="E1886" s="115"/>
      <c r="F1886" s="115"/>
      <c r="G1886" s="115"/>
      <c r="H1886" s="115"/>
      <c r="I1886" s="115"/>
      <c r="J1886" s="115"/>
      <c r="K1886" s="115"/>
      <c r="L1886" s="115"/>
      <c r="M1886" s="115"/>
      <c r="N1886" s="115"/>
      <c r="O1886" s="115"/>
      <c r="P1886" s="115"/>
      <c r="Q1886" s="115"/>
      <c r="R1886" s="115"/>
      <c r="S1886" s="115"/>
      <c r="T1886" s="115"/>
      <c r="U1886" s="115"/>
      <c r="V1886" s="115"/>
      <c r="W1886" s="115"/>
      <c r="X1886" s="115"/>
      <c r="Y1886" s="115"/>
      <c r="Z1886" s="115"/>
      <c r="AA1886" s="115"/>
      <c r="AB1886" s="115"/>
      <c r="AC1886" s="115"/>
      <c r="AD1886" s="115"/>
      <c r="AE1886" s="115"/>
      <c r="AF1886" s="115"/>
      <c r="AG1886" s="115"/>
      <c r="AH1886" s="115"/>
      <c r="AI1886" s="115"/>
      <c r="AJ1886" s="115"/>
      <c r="AK1886" s="115"/>
      <c r="AL1886" s="115"/>
      <c r="AM1886" s="115"/>
      <c r="AN1886" s="115"/>
      <c r="AO1886" s="115"/>
      <c r="AP1886" s="115"/>
      <c r="AQ1886" s="115"/>
      <c r="AR1886" s="115"/>
      <c r="AS1886" s="115"/>
      <c r="AT1886" s="115"/>
      <c r="AU1886" s="115"/>
      <c r="AV1886" s="115"/>
      <c r="AW1886" s="115"/>
      <c r="AX1886" s="115"/>
      <c r="AY1886" s="115"/>
      <c r="AZ1886" s="115"/>
      <c r="BA1886" s="115"/>
      <c r="BB1886" s="115"/>
      <c r="BC1886" s="115"/>
      <c r="BD1886" s="115"/>
      <c r="BE1886" s="115"/>
      <c r="BF1886" s="115"/>
      <c r="BG1886" s="115"/>
      <c r="BH1886" s="122"/>
      <c r="BI1886" s="122"/>
      <c r="BJ1886" s="122"/>
      <c r="BK1886" s="115"/>
      <c r="BL1886" s="115"/>
      <c r="BM1886" s="115"/>
      <c r="BN1886" s="115"/>
      <c r="BO1886" s="115"/>
      <c r="BP1886" s="115"/>
      <c r="BQ1886" s="115"/>
      <c r="BR1886" s="115"/>
      <c r="BS1886" s="115"/>
      <c r="BT1886" s="115"/>
      <c r="BU1886" s="115"/>
      <c r="BV1886" s="115"/>
      <c r="BW1886" s="115"/>
      <c r="BX1886" s="115"/>
      <c r="BY1886" s="26"/>
      <c r="BZ1886" s="15"/>
    </row>
    <row r="1887" spans="3:78" x14ac:dyDescent="0.4">
      <c r="E1887" s="115"/>
      <c r="F1887" s="115"/>
      <c r="G1887" s="115"/>
      <c r="H1887" s="115"/>
      <c r="I1887" s="115"/>
      <c r="J1887" s="115"/>
      <c r="K1887" s="115"/>
      <c r="L1887" s="115"/>
      <c r="M1887" s="115"/>
      <c r="N1887" s="115"/>
      <c r="O1887" s="115"/>
      <c r="P1887" s="115"/>
      <c r="Q1887" s="115"/>
      <c r="R1887" s="115"/>
      <c r="S1887" s="115"/>
      <c r="T1887" s="115"/>
      <c r="U1887" s="115"/>
      <c r="V1887" s="115"/>
      <c r="W1887" s="115"/>
      <c r="X1887" s="115"/>
      <c r="Y1887" s="115"/>
      <c r="Z1887" s="115"/>
      <c r="AA1887" s="115"/>
      <c r="AB1887" s="115"/>
      <c r="AC1887" s="115"/>
      <c r="AD1887" s="115"/>
      <c r="AE1887" s="115"/>
      <c r="AF1887" s="115"/>
      <c r="AG1887" s="115"/>
      <c r="AH1887" s="115"/>
      <c r="AI1887" s="115"/>
      <c r="AJ1887" s="115"/>
      <c r="AK1887" s="115"/>
      <c r="AL1887" s="115"/>
      <c r="AM1887" s="115"/>
      <c r="AN1887" s="115"/>
      <c r="AO1887" s="115"/>
      <c r="AP1887" s="115"/>
      <c r="AQ1887" s="115"/>
      <c r="AR1887" s="115"/>
      <c r="AS1887" s="115"/>
      <c r="AT1887" s="115"/>
      <c r="AU1887" s="115"/>
      <c r="AV1887" s="115"/>
      <c r="AW1887" s="115"/>
      <c r="AX1887" s="115"/>
      <c r="AY1887" s="115"/>
      <c r="AZ1887" s="115"/>
      <c r="BA1887" s="115"/>
      <c r="BB1887" s="115"/>
      <c r="BC1887" s="115"/>
      <c r="BD1887" s="115"/>
      <c r="BE1887" s="115"/>
      <c r="BF1887" s="115"/>
      <c r="BG1887" s="115"/>
      <c r="BH1887" s="122"/>
      <c r="BI1887" s="122"/>
      <c r="BJ1887" s="122"/>
      <c r="BK1887" s="115"/>
      <c r="BL1887" s="115"/>
      <c r="BM1887" s="115"/>
      <c r="BN1887" s="115"/>
      <c r="BO1887" s="115"/>
      <c r="BP1887" s="115"/>
      <c r="BQ1887" s="115"/>
      <c r="BR1887" s="115"/>
      <c r="BS1887" s="115"/>
      <c r="BT1887" s="115"/>
      <c r="BU1887" s="115"/>
      <c r="BV1887" s="115"/>
      <c r="BW1887" s="115"/>
      <c r="BX1887" s="115"/>
      <c r="BY1887" s="26"/>
      <c r="BZ1887" s="15"/>
    </row>
    <row r="1888" spans="3:78" x14ac:dyDescent="0.4">
      <c r="E1888" s="115"/>
      <c r="F1888" s="115"/>
      <c r="G1888" s="115"/>
      <c r="H1888" s="115"/>
      <c r="I1888" s="115"/>
      <c r="J1888" s="115"/>
      <c r="K1888" s="115"/>
      <c r="L1888" s="115"/>
      <c r="M1888" s="115"/>
      <c r="N1888" s="115"/>
      <c r="O1888" s="115"/>
      <c r="P1888" s="115"/>
      <c r="Q1888" s="115"/>
      <c r="R1888" s="115"/>
      <c r="S1888" s="115"/>
      <c r="T1888" s="115"/>
      <c r="U1888" s="115"/>
      <c r="V1888" s="115"/>
      <c r="W1888" s="115"/>
      <c r="X1888" s="115"/>
      <c r="Y1888" s="115"/>
      <c r="Z1888" s="115"/>
      <c r="AA1888" s="115"/>
      <c r="AB1888" s="115"/>
      <c r="AC1888" s="115"/>
      <c r="AD1888" s="115"/>
      <c r="AE1888" s="115"/>
      <c r="AF1888" s="115"/>
      <c r="AG1888" s="115"/>
      <c r="AH1888" s="115"/>
      <c r="AI1888" s="115"/>
      <c r="AJ1888" s="115"/>
      <c r="AK1888" s="115"/>
      <c r="AL1888" s="115"/>
      <c r="AM1888" s="115"/>
      <c r="AN1888" s="115"/>
      <c r="AO1888" s="115"/>
      <c r="AP1888" s="115"/>
      <c r="AQ1888" s="115"/>
      <c r="AR1888" s="115"/>
      <c r="AS1888" s="115"/>
      <c r="AT1888" s="115"/>
      <c r="AU1888" s="115"/>
      <c r="AV1888" s="115"/>
      <c r="AW1888" s="115"/>
      <c r="AX1888" s="115"/>
      <c r="AY1888" s="115"/>
      <c r="AZ1888" s="115"/>
      <c r="BA1888" s="115"/>
      <c r="BB1888" s="115"/>
      <c r="BC1888" s="115"/>
      <c r="BD1888" s="115"/>
      <c r="BE1888" s="115"/>
      <c r="BF1888" s="115"/>
      <c r="BG1888" s="115"/>
      <c r="BH1888" s="122"/>
      <c r="BI1888" s="122"/>
      <c r="BJ1888" s="122"/>
      <c r="BK1888" s="115"/>
      <c r="BL1888" s="115"/>
      <c r="BM1888" s="115"/>
      <c r="BN1888" s="115"/>
      <c r="BO1888" s="115"/>
      <c r="BP1888" s="115"/>
      <c r="BQ1888" s="115"/>
      <c r="BR1888" s="115"/>
      <c r="BS1888" s="115"/>
      <c r="BT1888" s="115"/>
      <c r="BU1888" s="115"/>
      <c r="BV1888" s="115"/>
      <c r="BW1888" s="115"/>
      <c r="BX1888" s="115"/>
      <c r="BY1888" s="26"/>
      <c r="BZ1888" s="15"/>
    </row>
    <row r="1889" spans="3:78" x14ac:dyDescent="0.4">
      <c r="D1889" s="115"/>
      <c r="E1889" s="115"/>
      <c r="F1889" s="115"/>
      <c r="G1889" s="115"/>
      <c r="H1889" s="115"/>
      <c r="I1889" s="115"/>
      <c r="J1889" s="115"/>
      <c r="K1889" s="115"/>
      <c r="L1889" s="115"/>
      <c r="M1889" s="115"/>
      <c r="N1889" s="115"/>
      <c r="O1889" s="115"/>
      <c r="P1889" s="115"/>
      <c r="Q1889" s="115"/>
      <c r="R1889" s="115"/>
      <c r="S1889" s="115"/>
      <c r="T1889" s="115"/>
      <c r="U1889" s="115"/>
      <c r="V1889" s="115"/>
      <c r="W1889" s="115"/>
      <c r="X1889" s="115"/>
      <c r="Y1889" s="115"/>
      <c r="Z1889" s="115"/>
      <c r="AA1889" s="115"/>
      <c r="AB1889" s="115"/>
      <c r="AC1889" s="115"/>
      <c r="AD1889" s="115"/>
      <c r="AE1889" s="115"/>
      <c r="AF1889" s="115"/>
      <c r="AG1889" s="115"/>
      <c r="AH1889" s="115"/>
      <c r="AI1889" s="115"/>
      <c r="AJ1889" s="115"/>
      <c r="AK1889" s="115"/>
      <c r="AL1889" s="115"/>
      <c r="AM1889" s="115"/>
      <c r="AN1889" s="115"/>
      <c r="AO1889" s="115"/>
      <c r="AP1889" s="115"/>
      <c r="AQ1889" s="115"/>
      <c r="AR1889" s="115"/>
      <c r="AS1889" s="115"/>
      <c r="AT1889" s="115"/>
      <c r="AU1889" s="115"/>
      <c r="AV1889" s="115"/>
      <c r="AW1889" s="115"/>
      <c r="AX1889" s="115"/>
      <c r="AY1889" s="115"/>
      <c r="AZ1889" s="115"/>
      <c r="BA1889" s="115"/>
      <c r="BB1889" s="115"/>
      <c r="BC1889" s="115"/>
      <c r="BD1889" s="115"/>
      <c r="BE1889" s="115"/>
      <c r="BF1889" s="115"/>
      <c r="BG1889" s="115"/>
      <c r="BH1889" s="122"/>
      <c r="BI1889" s="122"/>
      <c r="BJ1889" s="122"/>
      <c r="BK1889" s="115"/>
      <c r="BL1889" s="115"/>
      <c r="BM1889" s="115"/>
      <c r="BN1889" s="115"/>
      <c r="BO1889" s="115"/>
      <c r="BP1889" s="115"/>
      <c r="BQ1889" s="115"/>
      <c r="BR1889" s="115"/>
      <c r="BS1889" s="115"/>
      <c r="BT1889" s="115"/>
      <c r="BU1889" s="115"/>
      <c r="BV1889" s="115"/>
      <c r="BW1889" s="115"/>
      <c r="BX1889" s="115"/>
      <c r="BY1889" s="26"/>
      <c r="BZ1889" s="15"/>
    </row>
    <row r="1890" spans="3:78" x14ac:dyDescent="0.4">
      <c r="D1890" s="115"/>
      <c r="E1890" s="115"/>
      <c r="F1890" s="115"/>
      <c r="G1890" s="115"/>
      <c r="H1890" s="115"/>
      <c r="I1890" s="115"/>
      <c r="J1890" s="115"/>
      <c r="K1890" s="115"/>
      <c r="L1890" s="115"/>
      <c r="M1890" s="115"/>
      <c r="N1890" s="115"/>
      <c r="O1890" s="115"/>
      <c r="P1890" s="115"/>
      <c r="Q1890" s="115"/>
      <c r="R1890" s="115"/>
      <c r="S1890" s="115"/>
      <c r="T1890" s="115"/>
      <c r="U1890" s="115"/>
      <c r="V1890" s="115"/>
      <c r="W1890" s="115"/>
      <c r="X1890" s="115"/>
      <c r="Y1890" s="115"/>
      <c r="Z1890" s="115"/>
      <c r="AA1890" s="115"/>
      <c r="AB1890" s="115"/>
      <c r="AC1890" s="115"/>
      <c r="AD1890" s="115"/>
      <c r="AE1890" s="115"/>
      <c r="AF1890" s="115"/>
      <c r="AG1890" s="115"/>
      <c r="AH1890" s="115"/>
      <c r="AI1890" s="115"/>
      <c r="AJ1890" s="115"/>
      <c r="AK1890" s="115"/>
      <c r="AL1890" s="115"/>
      <c r="AM1890" s="115"/>
      <c r="AN1890" s="115"/>
      <c r="AO1890" s="115"/>
      <c r="AP1890" s="115"/>
      <c r="AQ1890" s="115"/>
      <c r="AR1890" s="115"/>
      <c r="AS1890" s="115"/>
      <c r="AT1890" s="115"/>
      <c r="AU1890" s="115"/>
      <c r="AV1890" s="115"/>
      <c r="AW1890" s="115"/>
      <c r="AX1890" s="115"/>
      <c r="AY1890" s="115"/>
      <c r="AZ1890" s="115"/>
      <c r="BA1890" s="115"/>
      <c r="BB1890" s="115"/>
      <c r="BC1890" s="115"/>
      <c r="BD1890" s="115"/>
      <c r="BE1890" s="115"/>
      <c r="BF1890" s="115"/>
      <c r="BG1890" s="115"/>
      <c r="BH1890" s="122"/>
      <c r="BI1890" s="122"/>
      <c r="BJ1890" s="122"/>
      <c r="BK1890" s="115"/>
      <c r="BL1890" s="115"/>
      <c r="BM1890" s="115"/>
      <c r="BN1890" s="115"/>
      <c r="BO1890" s="115"/>
      <c r="BP1890" s="115"/>
      <c r="BQ1890" s="115"/>
      <c r="BR1890" s="115"/>
      <c r="BS1890" s="115"/>
      <c r="BT1890" s="115"/>
      <c r="BU1890" s="115"/>
      <c r="BV1890" s="115"/>
      <c r="BW1890" s="115"/>
      <c r="BX1890" s="115"/>
      <c r="BY1890" s="26"/>
      <c r="BZ1890" s="15"/>
    </row>
    <row r="1891" spans="3:78" x14ac:dyDescent="0.4">
      <c r="D1891" s="115"/>
      <c r="E1891" s="115"/>
      <c r="F1891" s="115"/>
      <c r="G1891" s="115"/>
      <c r="H1891" s="115"/>
      <c r="I1891" s="115"/>
      <c r="J1891" s="115"/>
      <c r="K1891" s="115"/>
      <c r="L1891" s="115"/>
      <c r="M1891" s="115"/>
      <c r="N1891" s="115"/>
      <c r="O1891" s="115"/>
      <c r="P1891" s="115"/>
      <c r="Q1891" s="115"/>
      <c r="R1891" s="115"/>
      <c r="S1891" s="115"/>
      <c r="T1891" s="115"/>
      <c r="U1891" s="115"/>
      <c r="V1891" s="115"/>
      <c r="W1891" s="115"/>
      <c r="X1891" s="115"/>
      <c r="Y1891" s="115"/>
      <c r="Z1891" s="115"/>
      <c r="AA1891" s="115"/>
      <c r="AB1891" s="115"/>
      <c r="AC1891" s="115"/>
      <c r="AD1891" s="115"/>
      <c r="AE1891" s="115"/>
      <c r="AF1891" s="115"/>
      <c r="AG1891" s="115"/>
      <c r="AH1891" s="115"/>
      <c r="AI1891" s="115"/>
      <c r="AJ1891" s="115"/>
      <c r="AK1891" s="115"/>
      <c r="AL1891" s="115"/>
      <c r="AM1891" s="115"/>
      <c r="AN1891" s="115"/>
      <c r="AO1891" s="115"/>
      <c r="AP1891" s="115"/>
      <c r="AQ1891" s="115"/>
      <c r="AR1891" s="115"/>
      <c r="AS1891" s="115"/>
      <c r="AT1891" s="115"/>
      <c r="AU1891" s="115"/>
      <c r="AV1891" s="115"/>
      <c r="AW1891" s="115"/>
      <c r="AX1891" s="115"/>
      <c r="AY1891" s="115"/>
      <c r="AZ1891" s="115"/>
      <c r="BA1891" s="115"/>
      <c r="BB1891" s="115"/>
      <c r="BC1891" s="115"/>
      <c r="BD1891" s="115"/>
      <c r="BE1891" s="115"/>
      <c r="BF1891" s="115"/>
      <c r="BG1891" s="115"/>
      <c r="BH1891" s="122"/>
      <c r="BI1891" s="122"/>
      <c r="BJ1891" s="122"/>
      <c r="BK1891" s="115"/>
      <c r="BL1891" s="115"/>
      <c r="BM1891" s="115"/>
      <c r="BN1891" s="115"/>
      <c r="BO1891" s="115"/>
      <c r="BP1891" s="115"/>
      <c r="BQ1891" s="115"/>
      <c r="BR1891" s="115"/>
      <c r="BS1891" s="115"/>
      <c r="BT1891" s="115"/>
      <c r="BU1891" s="115"/>
      <c r="BV1891" s="115"/>
      <c r="BW1891" s="115"/>
      <c r="BX1891" s="115"/>
      <c r="BY1891" s="17"/>
      <c r="BZ1891" s="15"/>
    </row>
    <row r="1892" spans="3:78" x14ac:dyDescent="0.4">
      <c r="BY1892" s="26"/>
      <c r="BZ1892" s="15"/>
    </row>
    <row r="1893" spans="3:78" x14ac:dyDescent="0.4">
      <c r="BC1893" s="115"/>
      <c r="BD1893" s="115"/>
      <c r="BE1893" s="115"/>
      <c r="BF1893" s="115"/>
      <c r="BG1893" s="115"/>
      <c r="BH1893" s="122"/>
      <c r="BI1893" s="122"/>
      <c r="BJ1893" s="122"/>
      <c r="BK1893" s="115"/>
      <c r="BL1893" s="115"/>
      <c r="BM1893" s="115"/>
      <c r="BN1893" s="115"/>
      <c r="BO1893" s="115"/>
      <c r="BP1893" s="115"/>
      <c r="BQ1893" s="115"/>
      <c r="BR1893" s="115"/>
      <c r="BS1893" s="115"/>
      <c r="BT1893" s="115"/>
      <c r="BU1893" s="115"/>
      <c r="BV1893" s="115"/>
      <c r="BW1893" s="115"/>
      <c r="BX1893" s="115"/>
      <c r="BY1893" s="17"/>
      <c r="BZ1893" s="13"/>
    </row>
    <row r="1894" spans="3:78" x14ac:dyDescent="0.4">
      <c r="BC1894" s="115"/>
      <c r="BD1894" s="115"/>
      <c r="BE1894" s="115"/>
      <c r="BF1894" s="115"/>
      <c r="BG1894" s="115"/>
      <c r="BH1894" s="122"/>
      <c r="BI1894" s="122"/>
      <c r="BJ1894" s="122"/>
      <c r="BK1894" s="115"/>
      <c r="BL1894" s="115"/>
      <c r="BM1894" s="115"/>
      <c r="BN1894" s="115"/>
      <c r="BO1894" s="115"/>
      <c r="BP1894" s="115"/>
      <c r="BQ1894" s="115"/>
      <c r="BR1894" s="115"/>
      <c r="BS1894" s="115"/>
      <c r="BT1894" s="115"/>
      <c r="BU1894" s="115"/>
      <c r="BV1894" s="115"/>
      <c r="BW1894" s="115"/>
      <c r="BX1894" s="115"/>
      <c r="BY1894" s="17"/>
      <c r="BZ1894" s="13"/>
    </row>
    <row r="1895" spans="3:78" x14ac:dyDescent="0.4">
      <c r="BA1895" s="115"/>
      <c r="BB1895" s="115"/>
      <c r="BC1895" s="115"/>
      <c r="BD1895" s="115"/>
      <c r="BE1895" s="115"/>
      <c r="BF1895" s="115"/>
      <c r="BG1895" s="115"/>
      <c r="BH1895" s="122"/>
      <c r="BI1895" s="122"/>
      <c r="BJ1895" s="122"/>
      <c r="BK1895" s="115"/>
      <c r="BL1895" s="115"/>
      <c r="BM1895" s="115"/>
      <c r="BN1895" s="115"/>
      <c r="BO1895" s="115"/>
      <c r="BP1895" s="115"/>
      <c r="BQ1895" s="115"/>
      <c r="BR1895" s="115"/>
      <c r="BS1895" s="115"/>
      <c r="BT1895" s="115"/>
      <c r="BU1895" s="115"/>
      <c r="BV1895" s="115"/>
      <c r="BW1895" s="115"/>
      <c r="BX1895" s="115"/>
      <c r="BY1895" s="26"/>
      <c r="BZ1895" s="13"/>
    </row>
    <row r="1896" spans="3:78" x14ac:dyDescent="0.4">
      <c r="BA1896" s="115"/>
      <c r="BB1896" s="115"/>
      <c r="BC1896" s="115"/>
      <c r="BD1896" s="115"/>
      <c r="BE1896" s="115"/>
      <c r="BF1896" s="115"/>
      <c r="BG1896" s="115"/>
      <c r="BH1896" s="122"/>
      <c r="BI1896" s="122"/>
      <c r="BJ1896" s="122"/>
      <c r="BK1896" s="115"/>
      <c r="BL1896" s="115"/>
      <c r="BM1896" s="115"/>
      <c r="BN1896" s="115"/>
      <c r="BO1896" s="115"/>
      <c r="BP1896" s="115"/>
      <c r="BQ1896" s="115"/>
      <c r="BR1896" s="115"/>
      <c r="BS1896" s="115"/>
      <c r="BT1896" s="115"/>
      <c r="BU1896" s="115"/>
      <c r="BV1896" s="115"/>
      <c r="BW1896" s="115"/>
      <c r="BX1896" s="115"/>
      <c r="BY1896" s="17"/>
      <c r="BZ1896" s="13"/>
    </row>
    <row r="1897" spans="3:78" x14ac:dyDescent="0.4">
      <c r="BY1897" s="26"/>
      <c r="BZ1897" s="13"/>
    </row>
    <row r="1898" spans="3:78" x14ac:dyDescent="0.4">
      <c r="BB1898" s="115"/>
      <c r="BC1898" s="115"/>
      <c r="BD1898" s="115"/>
      <c r="BE1898" s="115"/>
      <c r="BF1898" s="115"/>
      <c r="BG1898" s="115"/>
      <c r="BH1898" s="122"/>
      <c r="BI1898" s="122"/>
      <c r="BJ1898" s="122"/>
      <c r="BK1898" s="115"/>
      <c r="BL1898" s="115"/>
      <c r="BM1898" s="115"/>
      <c r="BN1898" s="115"/>
      <c r="BO1898" s="115"/>
      <c r="BP1898" s="115"/>
      <c r="BQ1898" s="115"/>
      <c r="BR1898" s="115"/>
      <c r="BS1898" s="115"/>
      <c r="BT1898" s="115"/>
      <c r="BU1898" s="115"/>
      <c r="BV1898" s="115"/>
      <c r="BW1898" s="115"/>
      <c r="BX1898" s="115"/>
      <c r="BY1898" s="17"/>
      <c r="BZ1898" s="13"/>
    </row>
    <row r="1899" spans="3:78" x14ac:dyDescent="0.4">
      <c r="BY1899" s="26"/>
      <c r="BZ1899" s="13"/>
    </row>
    <row r="1900" spans="3:78" x14ac:dyDescent="0.4">
      <c r="BY1900" s="26"/>
      <c r="BZ1900" s="13"/>
    </row>
    <row r="1901" spans="3:78" x14ac:dyDescent="0.4">
      <c r="D1901" s="115"/>
      <c r="E1901" s="115"/>
      <c r="F1901" s="115"/>
      <c r="G1901" s="115"/>
      <c r="H1901" s="115"/>
      <c r="I1901" s="115"/>
      <c r="J1901" s="115"/>
      <c r="K1901" s="115"/>
      <c r="L1901" s="115"/>
      <c r="M1901" s="115"/>
      <c r="N1901" s="115"/>
      <c r="O1901" s="115"/>
      <c r="P1901" s="115"/>
      <c r="Q1901" s="115"/>
      <c r="R1901" s="115"/>
      <c r="S1901" s="115"/>
      <c r="T1901" s="115"/>
      <c r="U1901" s="115"/>
      <c r="V1901" s="115"/>
      <c r="W1901" s="115"/>
      <c r="X1901" s="115"/>
      <c r="Y1901" s="115"/>
      <c r="Z1901" s="115"/>
      <c r="AA1901" s="115"/>
      <c r="AB1901" s="115"/>
      <c r="AC1901" s="115"/>
      <c r="AD1901" s="115"/>
      <c r="AE1901" s="115"/>
      <c r="AF1901" s="115"/>
      <c r="AG1901" s="115"/>
      <c r="AH1901" s="115"/>
      <c r="AI1901" s="115"/>
      <c r="AJ1901" s="115"/>
      <c r="AK1901" s="115"/>
      <c r="AL1901" s="115"/>
      <c r="AM1901" s="115"/>
      <c r="AN1901" s="115"/>
      <c r="AO1901" s="115"/>
      <c r="AP1901" s="115"/>
      <c r="AQ1901" s="115"/>
      <c r="AR1901" s="115"/>
      <c r="AS1901" s="115"/>
      <c r="AT1901" s="115"/>
      <c r="AU1901" s="115"/>
      <c r="AV1901" s="115"/>
      <c r="AW1901" s="115"/>
      <c r="AX1901" s="115"/>
      <c r="AY1901" s="115"/>
      <c r="AZ1901" s="115"/>
      <c r="BA1901" s="115"/>
      <c r="BB1901" s="115"/>
      <c r="BC1901" s="115"/>
      <c r="BD1901" s="115"/>
      <c r="BE1901" s="115"/>
      <c r="BF1901" s="115"/>
      <c r="BG1901" s="115"/>
      <c r="BH1901" s="122"/>
      <c r="BI1901" s="122"/>
      <c r="BJ1901" s="122"/>
      <c r="BK1901" s="115"/>
      <c r="BL1901" s="115"/>
      <c r="BM1901" s="115"/>
      <c r="BN1901" s="115"/>
      <c r="BO1901" s="115"/>
      <c r="BP1901" s="115"/>
      <c r="BQ1901" s="115"/>
      <c r="BR1901" s="115"/>
      <c r="BS1901" s="115"/>
      <c r="BT1901" s="115"/>
      <c r="BU1901" s="115"/>
      <c r="BV1901" s="115"/>
      <c r="BW1901" s="115"/>
      <c r="BX1901" s="115"/>
      <c r="BY1901" s="26"/>
      <c r="BZ1901" s="13"/>
    </row>
    <row r="1902" spans="3:78" x14ac:dyDescent="0.4">
      <c r="C1902" s="115"/>
      <c r="D1902" s="115"/>
      <c r="E1902" s="115"/>
      <c r="F1902" s="115"/>
      <c r="G1902" s="115"/>
      <c r="H1902" s="115"/>
      <c r="I1902" s="115"/>
      <c r="J1902" s="115"/>
      <c r="K1902" s="115"/>
      <c r="L1902" s="115"/>
      <c r="M1902" s="115"/>
      <c r="N1902" s="115"/>
      <c r="O1902" s="115"/>
      <c r="P1902" s="115"/>
      <c r="Q1902" s="115"/>
      <c r="R1902" s="115"/>
      <c r="S1902" s="115"/>
      <c r="T1902" s="115"/>
      <c r="U1902" s="115"/>
      <c r="V1902" s="115"/>
      <c r="W1902" s="115"/>
      <c r="X1902" s="115"/>
      <c r="Y1902" s="115"/>
      <c r="Z1902" s="115"/>
      <c r="AA1902" s="115"/>
      <c r="AB1902" s="115"/>
      <c r="AC1902" s="115"/>
      <c r="AD1902" s="115"/>
      <c r="AE1902" s="115"/>
      <c r="AF1902" s="115"/>
      <c r="AG1902" s="115"/>
      <c r="AH1902" s="115"/>
      <c r="AI1902" s="115"/>
      <c r="AJ1902" s="115"/>
      <c r="AK1902" s="115"/>
      <c r="AL1902" s="115"/>
      <c r="AM1902" s="115"/>
      <c r="AN1902" s="115"/>
      <c r="AO1902" s="115"/>
      <c r="AP1902" s="115"/>
      <c r="AQ1902" s="115"/>
      <c r="AR1902" s="115"/>
      <c r="AS1902" s="115"/>
      <c r="AT1902" s="115"/>
      <c r="AU1902" s="115"/>
      <c r="AV1902" s="115"/>
      <c r="AW1902" s="115"/>
      <c r="AX1902" s="115"/>
      <c r="AY1902" s="115"/>
      <c r="AZ1902" s="115"/>
      <c r="BA1902" s="115"/>
      <c r="BB1902" s="115"/>
      <c r="BC1902" s="115"/>
      <c r="BD1902" s="115"/>
      <c r="BE1902" s="115"/>
      <c r="BF1902" s="115"/>
      <c r="BG1902" s="115"/>
      <c r="BH1902" s="122"/>
      <c r="BI1902" s="122"/>
      <c r="BJ1902" s="122"/>
      <c r="BK1902" s="115"/>
      <c r="BL1902" s="115"/>
      <c r="BM1902" s="115"/>
      <c r="BN1902" s="115"/>
      <c r="BO1902" s="115"/>
      <c r="BP1902" s="115"/>
      <c r="BQ1902" s="115"/>
      <c r="BR1902" s="115"/>
      <c r="BS1902" s="115"/>
      <c r="BT1902" s="115"/>
      <c r="BU1902" s="115"/>
      <c r="BV1902" s="115"/>
      <c r="BW1902" s="115"/>
      <c r="BX1902" s="115"/>
      <c r="BY1902" s="26"/>
      <c r="BZ1902" s="13"/>
    </row>
    <row r="1903" spans="3:78" x14ac:dyDescent="0.4">
      <c r="BY1903" s="26"/>
      <c r="BZ1903" s="13"/>
    </row>
    <row r="1904" spans="3:78" x14ac:dyDescent="0.4">
      <c r="BY1904" s="26"/>
      <c r="BZ1904" s="13"/>
    </row>
    <row r="1905" spans="2:78" x14ac:dyDescent="0.4">
      <c r="E1905" s="115"/>
      <c r="F1905" s="115"/>
      <c r="G1905" s="115"/>
      <c r="H1905" s="115"/>
      <c r="I1905" s="115"/>
      <c r="J1905" s="115"/>
      <c r="K1905" s="115"/>
      <c r="L1905" s="115"/>
      <c r="M1905" s="115"/>
      <c r="N1905" s="115"/>
      <c r="O1905" s="115"/>
      <c r="P1905" s="115"/>
      <c r="Q1905" s="115"/>
      <c r="R1905" s="115"/>
      <c r="S1905" s="115"/>
      <c r="T1905" s="115"/>
      <c r="U1905" s="115"/>
      <c r="V1905" s="115"/>
      <c r="W1905" s="115"/>
      <c r="X1905" s="115"/>
      <c r="Y1905" s="115"/>
      <c r="Z1905" s="115"/>
      <c r="AA1905" s="115"/>
      <c r="AB1905" s="115"/>
      <c r="AC1905" s="115"/>
      <c r="AD1905" s="115"/>
      <c r="AE1905" s="115"/>
      <c r="AF1905" s="115"/>
      <c r="AG1905" s="115"/>
      <c r="AH1905" s="115"/>
      <c r="AI1905" s="115"/>
      <c r="AJ1905" s="115"/>
      <c r="AK1905" s="115"/>
      <c r="AL1905" s="115"/>
      <c r="AM1905" s="115"/>
      <c r="AN1905" s="115"/>
      <c r="AO1905" s="115"/>
      <c r="AP1905" s="115"/>
      <c r="AQ1905" s="115"/>
      <c r="AR1905" s="115"/>
      <c r="AS1905" s="115"/>
      <c r="AT1905" s="115"/>
      <c r="AU1905" s="115"/>
      <c r="AV1905" s="115"/>
      <c r="AW1905" s="115"/>
      <c r="AX1905" s="115"/>
      <c r="AY1905" s="115"/>
      <c r="AZ1905" s="115"/>
      <c r="BA1905" s="115"/>
      <c r="BB1905" s="115"/>
      <c r="BC1905" s="115"/>
      <c r="BD1905" s="115"/>
      <c r="BE1905" s="115"/>
      <c r="BF1905" s="115"/>
      <c r="BG1905" s="115"/>
      <c r="BH1905" s="122"/>
      <c r="BI1905" s="122"/>
      <c r="BJ1905" s="122"/>
      <c r="BK1905" s="115"/>
      <c r="BL1905" s="115"/>
      <c r="BM1905" s="115"/>
      <c r="BN1905" s="115"/>
      <c r="BO1905" s="115"/>
      <c r="BP1905" s="115"/>
      <c r="BQ1905" s="115"/>
      <c r="BR1905" s="115"/>
      <c r="BS1905" s="115"/>
      <c r="BT1905" s="115"/>
      <c r="BU1905" s="115"/>
      <c r="BV1905" s="115"/>
      <c r="BW1905" s="115"/>
      <c r="BX1905" s="115"/>
      <c r="BY1905" s="26"/>
      <c r="BZ1905" s="13"/>
    </row>
    <row r="1906" spans="2:78" x14ac:dyDescent="0.4">
      <c r="BY1906" s="26"/>
      <c r="BZ1906" s="105"/>
    </row>
    <row r="1907" spans="2:78" x14ac:dyDescent="0.4">
      <c r="E1907" s="115"/>
      <c r="F1907" s="115"/>
      <c r="G1907" s="115"/>
      <c r="H1907" s="115"/>
      <c r="I1907" s="115"/>
      <c r="J1907" s="115"/>
      <c r="K1907" s="115"/>
      <c r="L1907" s="115"/>
      <c r="M1907" s="115"/>
      <c r="N1907" s="115"/>
      <c r="O1907" s="115"/>
      <c r="P1907" s="115"/>
      <c r="Q1907" s="115"/>
      <c r="R1907" s="115"/>
      <c r="S1907" s="115"/>
      <c r="T1907" s="115"/>
      <c r="U1907" s="115"/>
      <c r="V1907" s="115"/>
      <c r="W1907" s="115"/>
      <c r="X1907" s="115"/>
      <c r="Y1907" s="115"/>
      <c r="Z1907" s="115"/>
      <c r="AA1907" s="115"/>
      <c r="AB1907" s="115"/>
      <c r="AC1907" s="115"/>
      <c r="AD1907" s="115"/>
      <c r="AE1907" s="115"/>
      <c r="AF1907" s="115"/>
      <c r="AG1907" s="115"/>
      <c r="AH1907" s="115"/>
      <c r="AI1907" s="115"/>
      <c r="AJ1907" s="115"/>
      <c r="AK1907" s="115"/>
      <c r="AL1907" s="115"/>
      <c r="AM1907" s="115"/>
      <c r="AN1907" s="115"/>
      <c r="AO1907" s="115"/>
      <c r="AP1907" s="115"/>
      <c r="AQ1907" s="115"/>
      <c r="AR1907" s="115"/>
      <c r="AS1907" s="115"/>
      <c r="AT1907" s="115"/>
      <c r="AU1907" s="115"/>
      <c r="AV1907" s="115"/>
      <c r="AW1907" s="115"/>
      <c r="AX1907" s="115"/>
      <c r="AY1907" s="115"/>
      <c r="AZ1907" s="115"/>
      <c r="BA1907" s="115"/>
      <c r="BB1907" s="115"/>
      <c r="BC1907" s="115"/>
      <c r="BD1907" s="115"/>
      <c r="BE1907" s="115"/>
      <c r="BF1907" s="115"/>
      <c r="BG1907" s="115"/>
      <c r="BH1907" s="122"/>
      <c r="BI1907" s="122"/>
      <c r="BJ1907" s="122"/>
      <c r="BK1907" s="115"/>
      <c r="BL1907" s="115"/>
      <c r="BM1907" s="115"/>
      <c r="BN1907" s="115"/>
      <c r="BO1907" s="115"/>
      <c r="BP1907" s="115"/>
      <c r="BQ1907" s="115"/>
      <c r="BR1907" s="115"/>
      <c r="BS1907" s="115"/>
      <c r="BT1907" s="115"/>
      <c r="BU1907" s="115"/>
      <c r="BV1907" s="115"/>
      <c r="BW1907" s="115"/>
      <c r="BX1907" s="115"/>
      <c r="BY1907" s="26"/>
      <c r="BZ1907" s="15"/>
    </row>
    <row r="1908" spans="2:78" x14ac:dyDescent="0.4">
      <c r="E1908" s="115"/>
      <c r="F1908" s="115"/>
      <c r="G1908" s="115"/>
      <c r="H1908" s="115"/>
      <c r="I1908" s="115"/>
      <c r="J1908" s="115"/>
      <c r="K1908" s="115"/>
      <c r="L1908" s="115"/>
      <c r="M1908" s="115"/>
      <c r="N1908" s="115"/>
      <c r="O1908" s="115"/>
      <c r="P1908" s="115"/>
      <c r="Q1908" s="115"/>
      <c r="R1908" s="115"/>
      <c r="S1908" s="115"/>
      <c r="T1908" s="115"/>
      <c r="U1908" s="115"/>
      <c r="V1908" s="115"/>
      <c r="W1908" s="115"/>
      <c r="X1908" s="115"/>
      <c r="Y1908" s="115"/>
      <c r="Z1908" s="115"/>
      <c r="AA1908" s="115"/>
      <c r="AB1908" s="115"/>
      <c r="AC1908" s="115"/>
      <c r="AD1908" s="115"/>
      <c r="AE1908" s="115"/>
      <c r="AF1908" s="115"/>
      <c r="AG1908" s="115"/>
      <c r="AH1908" s="115"/>
      <c r="AI1908" s="115"/>
      <c r="AJ1908" s="115"/>
      <c r="AK1908" s="115"/>
      <c r="AL1908" s="115"/>
      <c r="AM1908" s="115"/>
      <c r="AN1908" s="115"/>
      <c r="AO1908" s="115"/>
      <c r="AP1908" s="115"/>
      <c r="AQ1908" s="115"/>
      <c r="AR1908" s="115"/>
      <c r="AS1908" s="115"/>
      <c r="AT1908" s="115"/>
      <c r="AU1908" s="115"/>
      <c r="AV1908" s="115"/>
      <c r="AW1908" s="115"/>
      <c r="AX1908" s="115"/>
      <c r="AY1908" s="115"/>
      <c r="AZ1908" s="115"/>
      <c r="BA1908" s="115"/>
      <c r="BB1908" s="115"/>
      <c r="BC1908" s="115"/>
      <c r="BD1908" s="115"/>
      <c r="BE1908" s="115"/>
      <c r="BF1908" s="115"/>
      <c r="BG1908" s="115"/>
      <c r="BH1908" s="122"/>
      <c r="BI1908" s="122"/>
      <c r="BJ1908" s="122"/>
      <c r="BK1908" s="115"/>
      <c r="BL1908" s="115"/>
      <c r="BM1908" s="115"/>
      <c r="BN1908" s="115"/>
      <c r="BO1908" s="115"/>
      <c r="BP1908" s="115"/>
      <c r="BQ1908" s="115"/>
      <c r="BR1908" s="115"/>
      <c r="BS1908" s="115"/>
      <c r="BT1908" s="115"/>
      <c r="BU1908" s="115"/>
      <c r="BV1908" s="115"/>
      <c r="BW1908" s="115"/>
      <c r="BX1908" s="115"/>
      <c r="BY1908" s="17"/>
      <c r="BZ1908" s="15"/>
    </row>
    <row r="1909" spans="2:78" x14ac:dyDescent="0.4">
      <c r="BY1909" s="26"/>
      <c r="BZ1909" s="15"/>
    </row>
    <row r="1910" spans="2:78" x14ac:dyDescent="0.4">
      <c r="E1910" s="115"/>
      <c r="F1910" s="115"/>
      <c r="G1910" s="115"/>
      <c r="H1910" s="115"/>
      <c r="I1910" s="115"/>
      <c r="J1910" s="115"/>
      <c r="K1910" s="115"/>
      <c r="L1910" s="115"/>
      <c r="M1910" s="115"/>
      <c r="N1910" s="115"/>
      <c r="O1910" s="115"/>
      <c r="P1910" s="115"/>
      <c r="Q1910" s="115"/>
      <c r="R1910" s="115"/>
      <c r="S1910" s="115"/>
      <c r="T1910" s="115"/>
      <c r="U1910" s="115"/>
      <c r="V1910" s="115"/>
      <c r="W1910" s="115"/>
      <c r="X1910" s="115"/>
      <c r="Y1910" s="115"/>
      <c r="Z1910" s="115"/>
      <c r="AA1910" s="115"/>
      <c r="AB1910" s="115"/>
      <c r="AC1910" s="115"/>
      <c r="AD1910" s="115"/>
      <c r="AE1910" s="115"/>
      <c r="AF1910" s="115"/>
      <c r="AG1910" s="115"/>
      <c r="AH1910" s="115"/>
      <c r="AI1910" s="115"/>
      <c r="AJ1910" s="115"/>
      <c r="AK1910" s="115"/>
      <c r="AL1910" s="115"/>
      <c r="AM1910" s="115"/>
      <c r="AN1910" s="115"/>
      <c r="AO1910" s="115"/>
      <c r="AP1910" s="115"/>
      <c r="AQ1910" s="115"/>
      <c r="AR1910" s="115"/>
      <c r="AS1910" s="115"/>
      <c r="AT1910" s="115"/>
      <c r="AU1910" s="115"/>
      <c r="AV1910" s="115"/>
      <c r="AW1910" s="115"/>
      <c r="AX1910" s="115"/>
      <c r="AY1910" s="115"/>
      <c r="AZ1910" s="115"/>
      <c r="BA1910" s="115"/>
      <c r="BB1910" s="115"/>
      <c r="BC1910" s="115"/>
      <c r="BD1910" s="115"/>
      <c r="BE1910" s="115"/>
      <c r="BF1910" s="115"/>
      <c r="BG1910" s="115"/>
      <c r="BH1910" s="122"/>
      <c r="BI1910" s="122"/>
      <c r="BJ1910" s="122"/>
      <c r="BK1910" s="115"/>
      <c r="BL1910" s="115"/>
      <c r="BM1910" s="115"/>
      <c r="BN1910" s="115"/>
      <c r="BO1910" s="115"/>
      <c r="BP1910" s="115"/>
      <c r="BQ1910" s="115"/>
      <c r="BR1910" s="115"/>
      <c r="BS1910" s="115"/>
      <c r="BT1910" s="115"/>
      <c r="BU1910" s="115"/>
      <c r="BV1910" s="115"/>
      <c r="BW1910" s="115"/>
      <c r="BX1910" s="115"/>
      <c r="BY1910" s="26"/>
      <c r="BZ1910" s="15"/>
    </row>
    <row r="1911" spans="2:78" x14ac:dyDescent="0.4">
      <c r="C1911" s="115"/>
      <c r="D1911" s="115"/>
      <c r="E1911" s="115"/>
      <c r="F1911" s="115"/>
      <c r="G1911" s="115"/>
      <c r="H1911" s="115"/>
      <c r="I1911" s="115"/>
      <c r="J1911" s="115"/>
      <c r="K1911" s="115"/>
      <c r="L1911" s="115"/>
      <c r="M1911" s="115"/>
      <c r="N1911" s="115"/>
      <c r="O1911" s="115"/>
      <c r="P1911" s="115"/>
      <c r="Q1911" s="115"/>
      <c r="R1911" s="115"/>
      <c r="S1911" s="115"/>
      <c r="T1911" s="115"/>
      <c r="U1911" s="115"/>
      <c r="V1911" s="115"/>
      <c r="W1911" s="115"/>
      <c r="X1911" s="115"/>
      <c r="Y1911" s="115"/>
      <c r="Z1911" s="115"/>
      <c r="AA1911" s="115"/>
      <c r="AB1911" s="115"/>
      <c r="AC1911" s="115"/>
      <c r="AD1911" s="115"/>
      <c r="AE1911" s="115"/>
      <c r="AF1911" s="115"/>
      <c r="AG1911" s="115"/>
      <c r="AH1911" s="115"/>
      <c r="AI1911" s="115"/>
      <c r="AJ1911" s="115"/>
      <c r="AK1911" s="115"/>
      <c r="AL1911" s="115"/>
      <c r="AM1911" s="115"/>
      <c r="AN1911" s="115"/>
      <c r="AO1911" s="115"/>
      <c r="AP1911" s="115"/>
      <c r="AQ1911" s="115"/>
      <c r="AR1911" s="115"/>
      <c r="AS1911" s="115"/>
      <c r="AT1911" s="115"/>
      <c r="AU1911" s="115"/>
      <c r="AV1911" s="115"/>
      <c r="AW1911" s="115"/>
      <c r="AX1911" s="115"/>
      <c r="AY1911" s="115"/>
      <c r="AZ1911" s="115"/>
      <c r="BA1911" s="115"/>
      <c r="BB1911" s="115"/>
      <c r="BC1911" s="115"/>
      <c r="BD1911" s="115"/>
      <c r="BE1911" s="115"/>
      <c r="BF1911" s="115"/>
      <c r="BG1911" s="115"/>
      <c r="BH1911" s="122"/>
      <c r="BI1911" s="122"/>
      <c r="BJ1911" s="122"/>
      <c r="BK1911" s="115"/>
      <c r="BL1911" s="115"/>
      <c r="BM1911" s="115"/>
      <c r="BN1911" s="115"/>
      <c r="BO1911" s="115"/>
      <c r="BP1911" s="115"/>
      <c r="BQ1911" s="115"/>
      <c r="BR1911" s="115"/>
      <c r="BS1911" s="115"/>
      <c r="BT1911" s="115"/>
      <c r="BU1911" s="115"/>
      <c r="BV1911" s="115"/>
      <c r="BW1911" s="115"/>
      <c r="BX1911" s="115"/>
      <c r="BY1911" s="26"/>
      <c r="BZ1911" s="15"/>
    </row>
    <row r="1912" spans="2:78" x14ac:dyDescent="0.4">
      <c r="C1912" s="115"/>
      <c r="D1912" s="115"/>
      <c r="E1912" s="115"/>
      <c r="F1912" s="115"/>
      <c r="G1912" s="115"/>
      <c r="H1912" s="115"/>
      <c r="I1912" s="115"/>
      <c r="J1912" s="115"/>
      <c r="K1912" s="115"/>
      <c r="L1912" s="115"/>
      <c r="M1912" s="115"/>
      <c r="N1912" s="115"/>
      <c r="O1912" s="115"/>
      <c r="P1912" s="115"/>
      <c r="Q1912" s="115"/>
      <c r="R1912" s="115"/>
      <c r="S1912" s="115"/>
      <c r="T1912" s="115"/>
      <c r="U1912" s="115"/>
      <c r="V1912" s="115"/>
      <c r="W1912" s="115"/>
      <c r="X1912" s="115"/>
      <c r="Y1912" s="115"/>
      <c r="Z1912" s="115"/>
      <c r="AA1912" s="115"/>
      <c r="AB1912" s="115"/>
      <c r="AC1912" s="115"/>
      <c r="AD1912" s="115"/>
      <c r="AE1912" s="115"/>
      <c r="AF1912" s="115"/>
      <c r="AG1912" s="115"/>
      <c r="AH1912" s="115"/>
      <c r="AI1912" s="115"/>
      <c r="AJ1912" s="115"/>
      <c r="AK1912" s="115"/>
      <c r="AL1912" s="115"/>
      <c r="AM1912" s="115"/>
      <c r="AN1912" s="115"/>
      <c r="AO1912" s="115"/>
      <c r="AP1912" s="115"/>
      <c r="AQ1912" s="115"/>
      <c r="AR1912" s="115"/>
      <c r="AS1912" s="115"/>
      <c r="AT1912" s="115"/>
      <c r="AU1912" s="115"/>
      <c r="AV1912" s="115"/>
      <c r="AW1912" s="115"/>
      <c r="AX1912" s="115"/>
      <c r="AY1912" s="115"/>
      <c r="AZ1912" s="115"/>
      <c r="BA1912" s="115"/>
      <c r="BB1912" s="115"/>
      <c r="BC1912" s="115"/>
      <c r="BD1912" s="115"/>
      <c r="BE1912" s="115"/>
      <c r="BF1912" s="115"/>
      <c r="BG1912" s="115"/>
      <c r="BH1912" s="122"/>
      <c r="BI1912" s="122"/>
      <c r="BJ1912" s="122"/>
      <c r="BK1912" s="115"/>
      <c r="BL1912" s="115"/>
      <c r="BM1912" s="115"/>
      <c r="BN1912" s="115"/>
      <c r="BO1912" s="115"/>
      <c r="BP1912" s="115"/>
      <c r="BQ1912" s="115"/>
      <c r="BR1912" s="115"/>
      <c r="BS1912" s="115"/>
      <c r="BT1912" s="115"/>
      <c r="BU1912" s="115"/>
      <c r="BV1912" s="115"/>
      <c r="BW1912" s="115"/>
      <c r="BX1912" s="115"/>
      <c r="BY1912" s="26"/>
      <c r="BZ1912" s="13"/>
    </row>
    <row r="1913" spans="2:78" x14ac:dyDescent="0.4">
      <c r="BY1913" s="26"/>
      <c r="BZ1913" s="15"/>
    </row>
    <row r="1914" spans="2:78" x14ac:dyDescent="0.4">
      <c r="E1914" s="115"/>
      <c r="F1914" s="115"/>
      <c r="G1914" s="115"/>
      <c r="H1914" s="115"/>
      <c r="I1914" s="115"/>
      <c r="J1914" s="115"/>
      <c r="K1914" s="115"/>
      <c r="L1914" s="115"/>
      <c r="M1914" s="115"/>
      <c r="N1914" s="115"/>
      <c r="O1914" s="115"/>
      <c r="P1914" s="115"/>
      <c r="Q1914" s="115"/>
      <c r="R1914" s="115"/>
      <c r="S1914" s="115"/>
      <c r="T1914" s="115"/>
      <c r="U1914" s="115"/>
      <c r="V1914" s="115"/>
      <c r="W1914" s="115"/>
      <c r="X1914" s="115"/>
      <c r="Y1914" s="115"/>
      <c r="Z1914" s="115"/>
      <c r="AA1914" s="115"/>
      <c r="AB1914" s="115"/>
      <c r="AC1914" s="115"/>
      <c r="AD1914" s="115"/>
      <c r="AE1914" s="115"/>
      <c r="AF1914" s="115"/>
      <c r="AG1914" s="115"/>
      <c r="AH1914" s="115"/>
      <c r="AI1914" s="115"/>
      <c r="AJ1914" s="115"/>
      <c r="AK1914" s="115"/>
      <c r="AL1914" s="115"/>
      <c r="AM1914" s="115"/>
      <c r="AN1914" s="115"/>
      <c r="AO1914" s="115"/>
      <c r="AP1914" s="115"/>
      <c r="AQ1914" s="115"/>
      <c r="AR1914" s="115"/>
      <c r="AS1914" s="115"/>
      <c r="AT1914" s="115"/>
      <c r="AU1914" s="115"/>
      <c r="AV1914" s="115"/>
      <c r="AW1914" s="115"/>
      <c r="AX1914" s="115"/>
      <c r="AY1914" s="115"/>
      <c r="AZ1914" s="115"/>
      <c r="BA1914" s="115"/>
      <c r="BB1914" s="115"/>
      <c r="BC1914" s="115"/>
      <c r="BD1914" s="115"/>
      <c r="BE1914" s="115"/>
      <c r="BF1914" s="115"/>
      <c r="BG1914" s="115"/>
      <c r="BH1914" s="122"/>
      <c r="BI1914" s="122"/>
      <c r="BJ1914" s="122"/>
      <c r="BK1914" s="115"/>
      <c r="BL1914" s="115"/>
      <c r="BM1914" s="115"/>
      <c r="BN1914" s="115"/>
      <c r="BO1914" s="115"/>
      <c r="BP1914" s="115"/>
      <c r="BQ1914" s="115"/>
      <c r="BR1914" s="115"/>
      <c r="BS1914" s="115"/>
      <c r="BT1914" s="115"/>
      <c r="BU1914" s="115"/>
      <c r="BV1914" s="115"/>
      <c r="BW1914" s="115"/>
      <c r="BX1914" s="115"/>
      <c r="BY1914" s="26"/>
      <c r="BZ1914" s="15"/>
    </row>
    <row r="1915" spans="2:78" x14ac:dyDescent="0.4">
      <c r="E1915" s="115"/>
      <c r="F1915" s="115"/>
      <c r="G1915" s="115"/>
      <c r="H1915" s="115"/>
      <c r="I1915" s="115"/>
      <c r="J1915" s="115"/>
      <c r="K1915" s="115"/>
      <c r="L1915" s="115"/>
      <c r="M1915" s="115"/>
      <c r="N1915" s="115"/>
      <c r="O1915" s="115"/>
      <c r="P1915" s="115"/>
      <c r="Q1915" s="115"/>
      <c r="R1915" s="115"/>
      <c r="S1915" s="115"/>
      <c r="T1915" s="115"/>
      <c r="U1915" s="115"/>
      <c r="V1915" s="115"/>
      <c r="W1915" s="115"/>
      <c r="X1915" s="115"/>
      <c r="Y1915" s="115"/>
      <c r="Z1915" s="115"/>
      <c r="AA1915" s="115"/>
      <c r="AB1915" s="115"/>
      <c r="AC1915" s="115"/>
      <c r="AD1915" s="115"/>
      <c r="AE1915" s="115"/>
      <c r="AF1915" s="115"/>
      <c r="AG1915" s="115"/>
      <c r="AH1915" s="115"/>
      <c r="AI1915" s="115"/>
      <c r="AJ1915" s="115"/>
      <c r="AK1915" s="115"/>
      <c r="AL1915" s="115"/>
      <c r="AM1915" s="115"/>
      <c r="AN1915" s="115"/>
      <c r="AO1915" s="115"/>
      <c r="AP1915" s="115"/>
      <c r="AQ1915" s="115"/>
      <c r="AR1915" s="115"/>
      <c r="AS1915" s="115"/>
      <c r="AT1915" s="115"/>
      <c r="AU1915" s="115"/>
      <c r="AV1915" s="115"/>
      <c r="AW1915" s="115"/>
      <c r="AX1915" s="115"/>
      <c r="AY1915" s="115"/>
      <c r="AZ1915" s="115"/>
      <c r="BA1915" s="115"/>
      <c r="BB1915" s="115"/>
      <c r="BC1915" s="115"/>
      <c r="BD1915" s="115"/>
      <c r="BE1915" s="115"/>
      <c r="BF1915" s="115"/>
      <c r="BG1915" s="115"/>
      <c r="BH1915" s="122"/>
      <c r="BI1915" s="122"/>
      <c r="BJ1915" s="122"/>
      <c r="BK1915" s="115"/>
      <c r="BL1915" s="115"/>
      <c r="BM1915" s="115"/>
      <c r="BN1915" s="115"/>
      <c r="BO1915" s="115"/>
      <c r="BP1915" s="115"/>
      <c r="BQ1915" s="115"/>
      <c r="BR1915" s="115"/>
      <c r="BS1915" s="115"/>
      <c r="BT1915" s="115"/>
      <c r="BU1915" s="115"/>
      <c r="BV1915" s="115"/>
      <c r="BW1915" s="115"/>
      <c r="BX1915" s="115"/>
      <c r="BY1915" s="26"/>
      <c r="BZ1915" s="15"/>
    </row>
    <row r="1916" spans="2:78" x14ac:dyDescent="0.4">
      <c r="D1916" s="115"/>
      <c r="E1916" s="115"/>
      <c r="F1916" s="115"/>
      <c r="G1916" s="115"/>
      <c r="H1916" s="115"/>
      <c r="I1916" s="115"/>
      <c r="J1916" s="115"/>
      <c r="K1916" s="115"/>
      <c r="L1916" s="115"/>
      <c r="M1916" s="115"/>
      <c r="N1916" s="115"/>
      <c r="O1916" s="115"/>
      <c r="P1916" s="115"/>
      <c r="Q1916" s="115"/>
      <c r="R1916" s="115"/>
      <c r="S1916" s="115"/>
      <c r="T1916" s="115"/>
      <c r="U1916" s="115"/>
      <c r="V1916" s="115"/>
      <c r="W1916" s="115"/>
      <c r="X1916" s="115"/>
      <c r="Y1916" s="115"/>
      <c r="Z1916" s="115"/>
      <c r="AA1916" s="115"/>
      <c r="AB1916" s="115"/>
      <c r="AC1916" s="115"/>
      <c r="AD1916" s="115"/>
      <c r="AE1916" s="115"/>
      <c r="AF1916" s="115"/>
      <c r="AG1916" s="115"/>
      <c r="AH1916" s="115"/>
      <c r="AI1916" s="115"/>
      <c r="AJ1916" s="115"/>
      <c r="AK1916" s="115"/>
      <c r="AL1916" s="115"/>
      <c r="AM1916" s="115"/>
      <c r="AN1916" s="115"/>
      <c r="AO1916" s="115"/>
      <c r="AP1916" s="115"/>
      <c r="AQ1916" s="115"/>
      <c r="AR1916" s="115"/>
      <c r="AS1916" s="115"/>
      <c r="AT1916" s="115"/>
      <c r="AU1916" s="115"/>
      <c r="AV1916" s="115"/>
      <c r="AW1916" s="115"/>
      <c r="AX1916" s="115"/>
      <c r="AY1916" s="115"/>
      <c r="AZ1916" s="115"/>
      <c r="BA1916" s="115"/>
      <c r="BB1916" s="115"/>
      <c r="BC1916" s="115"/>
      <c r="BD1916" s="115"/>
      <c r="BE1916" s="115"/>
      <c r="BF1916" s="115"/>
      <c r="BG1916" s="115"/>
      <c r="BH1916" s="122"/>
      <c r="BI1916" s="122"/>
      <c r="BJ1916" s="122"/>
      <c r="BK1916" s="115"/>
      <c r="BL1916" s="115"/>
      <c r="BM1916" s="115"/>
      <c r="BN1916" s="115"/>
      <c r="BO1916" s="115"/>
      <c r="BP1916" s="115"/>
      <c r="BQ1916" s="115"/>
      <c r="BR1916" s="115"/>
      <c r="BS1916" s="115"/>
      <c r="BT1916" s="115"/>
      <c r="BU1916" s="115"/>
      <c r="BV1916" s="115"/>
      <c r="BW1916" s="115"/>
      <c r="BX1916" s="115"/>
      <c r="BY1916" s="26"/>
      <c r="BZ1916" s="15"/>
    </row>
    <row r="1917" spans="2:78" x14ac:dyDescent="0.4">
      <c r="D1917" s="115"/>
      <c r="E1917" s="115"/>
      <c r="F1917" s="115"/>
      <c r="G1917" s="115"/>
      <c r="H1917" s="115"/>
      <c r="I1917" s="115"/>
      <c r="J1917" s="115"/>
      <c r="K1917" s="115"/>
      <c r="L1917" s="115"/>
      <c r="M1917" s="115"/>
      <c r="N1917" s="115"/>
      <c r="O1917" s="115"/>
      <c r="P1917" s="115"/>
      <c r="Q1917" s="115"/>
      <c r="R1917" s="115"/>
      <c r="S1917" s="115"/>
      <c r="T1917" s="115"/>
      <c r="U1917" s="115"/>
      <c r="V1917" s="115"/>
      <c r="W1917" s="115"/>
      <c r="X1917" s="115"/>
      <c r="Y1917" s="115"/>
      <c r="Z1917" s="115"/>
      <c r="AA1917" s="115"/>
      <c r="AB1917" s="115"/>
      <c r="AC1917" s="115"/>
      <c r="AD1917" s="115"/>
      <c r="AE1917" s="115"/>
      <c r="AF1917" s="115"/>
      <c r="AG1917" s="115"/>
      <c r="AH1917" s="115"/>
      <c r="AI1917" s="115"/>
      <c r="AJ1917" s="115"/>
      <c r="AK1917" s="115"/>
      <c r="AL1917" s="115"/>
      <c r="AM1917" s="115"/>
      <c r="AN1917" s="115"/>
      <c r="AO1917" s="115"/>
      <c r="AP1917" s="115"/>
      <c r="AQ1917" s="115"/>
      <c r="AR1917" s="115"/>
      <c r="AS1917" s="115"/>
      <c r="AT1917" s="115"/>
      <c r="AU1917" s="115"/>
      <c r="AV1917" s="115"/>
      <c r="AW1917" s="115"/>
      <c r="AX1917" s="115"/>
      <c r="AY1917" s="115"/>
      <c r="AZ1917" s="115"/>
      <c r="BA1917" s="115"/>
      <c r="BB1917" s="115"/>
      <c r="BC1917" s="115"/>
      <c r="BD1917" s="115"/>
      <c r="BE1917" s="115"/>
      <c r="BF1917" s="115"/>
      <c r="BG1917" s="115"/>
      <c r="BH1917" s="122"/>
      <c r="BI1917" s="122"/>
      <c r="BJ1917" s="122"/>
      <c r="BK1917" s="115"/>
      <c r="BL1917" s="115"/>
      <c r="BM1917" s="115"/>
      <c r="BN1917" s="115"/>
      <c r="BO1917" s="115"/>
      <c r="BP1917" s="115"/>
      <c r="BQ1917" s="115"/>
      <c r="BR1917" s="115"/>
      <c r="BS1917" s="115"/>
      <c r="BT1917" s="115"/>
      <c r="BU1917" s="115"/>
      <c r="BV1917" s="115"/>
      <c r="BW1917" s="115"/>
      <c r="BX1917" s="115"/>
      <c r="BY1917" s="26"/>
      <c r="BZ1917" s="15"/>
    </row>
    <row r="1918" spans="2:78" x14ac:dyDescent="0.4">
      <c r="D1918" s="115"/>
      <c r="E1918" s="115"/>
      <c r="F1918" s="115"/>
      <c r="G1918" s="115"/>
      <c r="H1918" s="115"/>
      <c r="I1918" s="115"/>
      <c r="J1918" s="115"/>
      <c r="K1918" s="115"/>
      <c r="L1918" s="115"/>
      <c r="M1918" s="115"/>
      <c r="N1918" s="115"/>
      <c r="O1918" s="115"/>
      <c r="P1918" s="115"/>
      <c r="Q1918" s="115"/>
      <c r="R1918" s="115"/>
      <c r="S1918" s="115"/>
      <c r="T1918" s="115"/>
      <c r="U1918" s="115"/>
      <c r="V1918" s="115"/>
      <c r="W1918" s="115"/>
      <c r="X1918" s="115"/>
      <c r="Y1918" s="115"/>
      <c r="Z1918" s="115"/>
      <c r="AA1918" s="115"/>
      <c r="AB1918" s="115"/>
      <c r="AC1918" s="115"/>
      <c r="AD1918" s="115"/>
      <c r="AE1918" s="115"/>
      <c r="AF1918" s="115"/>
      <c r="AG1918" s="115"/>
      <c r="AH1918" s="115"/>
      <c r="AI1918" s="115"/>
      <c r="AJ1918" s="115"/>
      <c r="AK1918" s="115"/>
      <c r="AL1918" s="115"/>
      <c r="AM1918" s="115"/>
      <c r="AN1918" s="115"/>
      <c r="AO1918" s="115"/>
      <c r="AP1918" s="115"/>
      <c r="AQ1918" s="115"/>
      <c r="AR1918" s="115"/>
      <c r="AS1918" s="115"/>
      <c r="AT1918" s="115"/>
      <c r="AU1918" s="115"/>
      <c r="AV1918" s="115"/>
      <c r="AW1918" s="115"/>
      <c r="AX1918" s="115"/>
      <c r="AY1918" s="115"/>
      <c r="AZ1918" s="115"/>
      <c r="BA1918" s="115"/>
      <c r="BB1918" s="115"/>
      <c r="BC1918" s="115"/>
      <c r="BD1918" s="115"/>
      <c r="BE1918" s="115"/>
      <c r="BF1918" s="115"/>
      <c r="BG1918" s="115"/>
      <c r="BH1918" s="122"/>
      <c r="BI1918" s="122"/>
      <c r="BJ1918" s="122"/>
      <c r="BK1918" s="115"/>
      <c r="BL1918" s="115"/>
      <c r="BM1918" s="115"/>
      <c r="BN1918" s="115"/>
      <c r="BO1918" s="115"/>
      <c r="BP1918" s="115"/>
      <c r="BQ1918" s="115"/>
      <c r="BR1918" s="115"/>
      <c r="BS1918" s="115"/>
      <c r="BT1918" s="115"/>
      <c r="BU1918" s="115"/>
      <c r="BV1918" s="115"/>
      <c r="BW1918" s="115"/>
      <c r="BX1918" s="115"/>
      <c r="BY1918" s="26"/>
      <c r="BZ1918" s="15"/>
    </row>
    <row r="1919" spans="2:78" x14ac:dyDescent="0.4">
      <c r="C1919" s="115"/>
      <c r="D1919" s="115"/>
      <c r="E1919" s="115"/>
      <c r="F1919" s="115"/>
      <c r="G1919" s="115"/>
      <c r="H1919" s="115"/>
      <c r="I1919" s="115"/>
      <c r="J1919" s="115"/>
      <c r="K1919" s="115"/>
      <c r="L1919" s="115"/>
      <c r="M1919" s="115"/>
      <c r="N1919" s="115"/>
      <c r="O1919" s="115"/>
      <c r="P1919" s="115"/>
      <c r="Q1919" s="115"/>
      <c r="R1919" s="115"/>
      <c r="S1919" s="115"/>
      <c r="T1919" s="115"/>
      <c r="U1919" s="115"/>
      <c r="V1919" s="115"/>
      <c r="W1919" s="115"/>
      <c r="X1919" s="115"/>
      <c r="Y1919" s="115"/>
      <c r="Z1919" s="115"/>
      <c r="AA1919" s="115"/>
      <c r="AB1919" s="115"/>
      <c r="AC1919" s="115"/>
      <c r="AD1919" s="115"/>
      <c r="AE1919" s="115"/>
      <c r="AF1919" s="115"/>
      <c r="AG1919" s="115"/>
      <c r="AH1919" s="115"/>
      <c r="AI1919" s="115"/>
      <c r="AJ1919" s="115"/>
      <c r="AK1919" s="115"/>
      <c r="AL1919" s="115"/>
      <c r="AM1919" s="115"/>
      <c r="AN1919" s="115"/>
      <c r="AO1919" s="115"/>
      <c r="AP1919" s="115"/>
      <c r="AQ1919" s="115"/>
      <c r="AR1919" s="115"/>
      <c r="AS1919" s="115"/>
      <c r="AT1919" s="115"/>
      <c r="AU1919" s="115"/>
      <c r="AV1919" s="115"/>
      <c r="AW1919" s="115"/>
      <c r="AX1919" s="115"/>
      <c r="AY1919" s="115"/>
      <c r="AZ1919" s="115"/>
      <c r="BA1919" s="115"/>
      <c r="BB1919" s="115"/>
      <c r="BC1919" s="115"/>
      <c r="BD1919" s="115"/>
      <c r="BE1919" s="115"/>
      <c r="BF1919" s="115"/>
      <c r="BG1919" s="115"/>
      <c r="BH1919" s="122"/>
      <c r="BI1919" s="122"/>
      <c r="BJ1919" s="122"/>
      <c r="BK1919" s="115"/>
      <c r="BL1919" s="115"/>
      <c r="BM1919" s="115"/>
      <c r="BN1919" s="115"/>
      <c r="BO1919" s="115"/>
      <c r="BP1919" s="115"/>
      <c r="BQ1919" s="115"/>
      <c r="BR1919" s="115"/>
      <c r="BS1919" s="115"/>
      <c r="BT1919" s="115"/>
      <c r="BU1919" s="115"/>
      <c r="BV1919" s="115"/>
      <c r="BW1919" s="115"/>
      <c r="BX1919" s="115"/>
      <c r="BY1919" s="26"/>
      <c r="BZ1919" s="15"/>
    </row>
    <row r="1920" spans="2:78" ht="19.5" customHeight="1" x14ac:dyDescent="0.4">
      <c r="B1920" s="115"/>
      <c r="C1920" s="115"/>
      <c r="D1920" s="115"/>
      <c r="E1920" s="115"/>
      <c r="F1920" s="115"/>
      <c r="G1920" s="115"/>
      <c r="H1920" s="115"/>
      <c r="I1920" s="115"/>
      <c r="J1920" s="115"/>
      <c r="K1920" s="115"/>
      <c r="L1920" s="115"/>
      <c r="M1920" s="115"/>
      <c r="N1920" s="115"/>
      <c r="O1920" s="115"/>
      <c r="P1920" s="115"/>
      <c r="Q1920" s="115"/>
      <c r="R1920" s="115"/>
      <c r="S1920" s="115"/>
      <c r="T1920" s="115"/>
      <c r="U1920" s="115"/>
      <c r="V1920" s="115"/>
      <c r="W1920" s="115"/>
      <c r="X1920" s="115"/>
      <c r="Y1920" s="115"/>
      <c r="Z1920" s="115"/>
      <c r="AA1920" s="115"/>
      <c r="AB1920" s="115"/>
      <c r="AC1920" s="115"/>
      <c r="AD1920" s="115"/>
      <c r="AE1920" s="115"/>
      <c r="AF1920" s="115"/>
      <c r="AG1920" s="115"/>
      <c r="AH1920" s="115"/>
      <c r="AI1920" s="115"/>
      <c r="AJ1920" s="115"/>
      <c r="AK1920" s="115"/>
      <c r="AL1920" s="115"/>
      <c r="AM1920" s="115"/>
      <c r="AN1920" s="115"/>
      <c r="AO1920" s="115"/>
      <c r="AP1920" s="115"/>
      <c r="AQ1920" s="115"/>
      <c r="AR1920" s="115"/>
      <c r="AS1920" s="115"/>
      <c r="AT1920" s="115"/>
      <c r="AU1920" s="115"/>
      <c r="AV1920" s="115"/>
      <c r="AW1920" s="115"/>
      <c r="AX1920" s="115"/>
      <c r="AY1920" s="115"/>
      <c r="AZ1920" s="115"/>
      <c r="BA1920" s="115"/>
      <c r="BB1920" s="115"/>
      <c r="BC1920" s="115"/>
      <c r="BD1920" s="115"/>
      <c r="BE1920" s="115"/>
      <c r="BF1920" s="115"/>
      <c r="BG1920" s="115"/>
      <c r="BH1920" s="122"/>
      <c r="BI1920" s="122"/>
      <c r="BJ1920" s="122"/>
      <c r="BK1920" s="115"/>
      <c r="BL1920" s="115"/>
      <c r="BM1920" s="115"/>
      <c r="BN1920" s="115"/>
      <c r="BO1920" s="115"/>
      <c r="BP1920" s="115"/>
      <c r="BQ1920" s="115"/>
      <c r="BR1920" s="115"/>
      <c r="BS1920" s="115"/>
      <c r="BT1920" s="115"/>
      <c r="BU1920" s="115"/>
      <c r="BV1920" s="115"/>
      <c r="BW1920" s="115"/>
      <c r="BX1920" s="115"/>
      <c r="BY1920" s="26"/>
      <c r="BZ1920" s="15"/>
    </row>
    <row r="1921" spans="1:78" ht="19.5" customHeight="1" x14ac:dyDescent="0.4">
      <c r="B1921" s="115"/>
      <c r="C1921" s="115"/>
      <c r="D1921" s="115"/>
      <c r="E1921" s="115"/>
      <c r="F1921" s="115"/>
      <c r="G1921" s="115"/>
      <c r="H1921" s="115"/>
      <c r="I1921" s="115"/>
      <c r="J1921" s="115"/>
      <c r="K1921" s="115"/>
      <c r="L1921" s="115"/>
      <c r="M1921" s="115"/>
      <c r="N1921" s="115"/>
      <c r="O1921" s="115"/>
      <c r="P1921" s="115"/>
      <c r="Q1921" s="115"/>
      <c r="R1921" s="115"/>
      <c r="S1921" s="115"/>
      <c r="T1921" s="115"/>
      <c r="U1921" s="115"/>
      <c r="V1921" s="115"/>
      <c r="W1921" s="115"/>
      <c r="X1921" s="115"/>
      <c r="Y1921" s="115"/>
      <c r="Z1921" s="115"/>
      <c r="AA1921" s="115"/>
      <c r="AB1921" s="115"/>
      <c r="AC1921" s="115"/>
      <c r="AD1921" s="115"/>
      <c r="AE1921" s="115"/>
      <c r="AF1921" s="115"/>
      <c r="AG1921" s="115"/>
      <c r="AH1921" s="115"/>
      <c r="AI1921" s="115"/>
      <c r="AJ1921" s="115"/>
      <c r="AK1921" s="115"/>
      <c r="AL1921" s="115"/>
      <c r="AM1921" s="115"/>
      <c r="AN1921" s="115"/>
      <c r="AO1921" s="115"/>
      <c r="AP1921" s="115"/>
      <c r="AQ1921" s="115"/>
      <c r="AR1921" s="115"/>
      <c r="AS1921" s="115"/>
      <c r="AT1921" s="115"/>
      <c r="AU1921" s="115"/>
      <c r="AV1921" s="115"/>
      <c r="AW1921" s="115"/>
      <c r="AX1921" s="115"/>
      <c r="AY1921" s="115"/>
      <c r="AZ1921" s="115"/>
      <c r="BA1921" s="115"/>
      <c r="BB1921" s="115"/>
      <c r="BC1921" s="115"/>
      <c r="BD1921" s="115"/>
      <c r="BE1921" s="115"/>
      <c r="BF1921" s="115"/>
      <c r="BG1921" s="115"/>
      <c r="BH1921" s="122"/>
      <c r="BI1921" s="122"/>
      <c r="BJ1921" s="122"/>
      <c r="BK1921" s="115"/>
      <c r="BL1921" s="115"/>
      <c r="BM1921" s="115"/>
      <c r="BN1921" s="115"/>
      <c r="BO1921" s="115"/>
      <c r="BP1921" s="115"/>
      <c r="BQ1921" s="115"/>
      <c r="BR1921" s="115"/>
      <c r="BS1921" s="115"/>
      <c r="BT1921" s="115"/>
      <c r="BU1921" s="115"/>
      <c r="BV1921" s="115"/>
      <c r="BW1921" s="115"/>
      <c r="BX1921" s="115"/>
      <c r="BY1921" s="26"/>
      <c r="BZ1921" s="15"/>
    </row>
    <row r="1922" spans="1:78" x14ac:dyDescent="0.4">
      <c r="BY1922" s="26"/>
      <c r="BZ1922" s="15"/>
    </row>
    <row r="1923" spans="1:78" x14ac:dyDescent="0.4">
      <c r="D1923" s="115"/>
      <c r="E1923" s="115"/>
      <c r="F1923" s="115"/>
      <c r="G1923" s="115"/>
      <c r="H1923" s="115"/>
      <c r="I1923" s="115"/>
      <c r="J1923" s="115"/>
      <c r="K1923" s="115"/>
      <c r="L1923" s="115"/>
      <c r="M1923" s="115"/>
      <c r="N1923" s="115"/>
      <c r="O1923" s="115"/>
      <c r="P1923" s="115"/>
      <c r="Q1923" s="115"/>
      <c r="R1923" s="115"/>
      <c r="S1923" s="115"/>
      <c r="T1923" s="115"/>
      <c r="U1923" s="115"/>
      <c r="V1923" s="115"/>
      <c r="W1923" s="115"/>
      <c r="X1923" s="115"/>
      <c r="Y1923" s="115"/>
      <c r="Z1923" s="115"/>
      <c r="AA1923" s="115"/>
      <c r="AB1923" s="115"/>
      <c r="AC1923" s="115"/>
      <c r="AD1923" s="115"/>
      <c r="AE1923" s="115"/>
      <c r="AF1923" s="115"/>
      <c r="AG1923" s="115"/>
      <c r="AH1923" s="115"/>
      <c r="AI1923" s="115"/>
      <c r="AJ1923" s="115"/>
      <c r="AK1923" s="115"/>
      <c r="AL1923" s="115"/>
      <c r="AM1923" s="115"/>
      <c r="AN1923" s="115"/>
      <c r="AO1923" s="115"/>
      <c r="AP1923" s="115"/>
      <c r="AQ1923" s="115"/>
      <c r="AR1923" s="115"/>
      <c r="AS1923" s="115"/>
      <c r="AT1923" s="115"/>
      <c r="AU1923" s="115"/>
      <c r="AV1923" s="115"/>
      <c r="AW1923" s="115"/>
      <c r="AX1923" s="115"/>
      <c r="AY1923" s="115"/>
      <c r="AZ1923" s="115"/>
      <c r="BA1923" s="115"/>
      <c r="BB1923" s="115"/>
      <c r="BC1923" s="115"/>
      <c r="BD1923" s="115"/>
      <c r="BE1923" s="115"/>
      <c r="BF1923" s="115"/>
      <c r="BG1923" s="115"/>
      <c r="BH1923" s="122"/>
      <c r="BI1923" s="122"/>
      <c r="BJ1923" s="122"/>
      <c r="BK1923" s="115"/>
      <c r="BL1923" s="115"/>
      <c r="BM1923" s="115"/>
      <c r="BN1923" s="115"/>
      <c r="BO1923" s="115"/>
      <c r="BP1923" s="115"/>
      <c r="BQ1923" s="115"/>
      <c r="BR1923" s="115"/>
      <c r="BS1923" s="115"/>
      <c r="BT1923" s="115"/>
      <c r="BU1923" s="115"/>
      <c r="BV1923" s="115"/>
      <c r="BW1923" s="115"/>
      <c r="BX1923" s="115"/>
      <c r="BY1923" s="26"/>
      <c r="BZ1923" s="15"/>
    </row>
    <row r="1924" spans="1:78" x14ac:dyDescent="0.4">
      <c r="C1924" s="115"/>
      <c r="D1924" s="115"/>
      <c r="E1924" s="115"/>
      <c r="F1924" s="115"/>
      <c r="G1924" s="115"/>
      <c r="H1924" s="115"/>
      <c r="I1924" s="115"/>
      <c r="J1924" s="115"/>
      <c r="K1924" s="115"/>
      <c r="L1924" s="115"/>
      <c r="M1924" s="115"/>
      <c r="N1924" s="115"/>
      <c r="O1924" s="115"/>
      <c r="P1924" s="115"/>
      <c r="Q1924" s="115"/>
      <c r="R1924" s="115"/>
      <c r="S1924" s="115"/>
      <c r="T1924" s="115"/>
      <c r="U1924" s="115"/>
      <c r="V1924" s="115"/>
      <c r="W1924" s="115"/>
      <c r="X1924" s="115"/>
      <c r="Y1924" s="115"/>
      <c r="Z1924" s="115"/>
      <c r="AA1924" s="115"/>
      <c r="AB1924" s="115"/>
      <c r="AC1924" s="115"/>
      <c r="AD1924" s="115"/>
      <c r="AE1924" s="115"/>
      <c r="AF1924" s="115"/>
      <c r="AG1924" s="115"/>
      <c r="AH1924" s="115"/>
      <c r="AI1924" s="115"/>
      <c r="AJ1924" s="115"/>
      <c r="AK1924" s="115"/>
      <c r="AL1924" s="115"/>
      <c r="AM1924" s="115"/>
      <c r="AN1924" s="115"/>
      <c r="AO1924" s="115"/>
      <c r="AP1924" s="115"/>
      <c r="AQ1924" s="115"/>
      <c r="AR1924" s="115"/>
      <c r="AS1924" s="115"/>
      <c r="AT1924" s="115"/>
      <c r="AU1924" s="115"/>
      <c r="AV1924" s="115"/>
      <c r="AW1924" s="115"/>
      <c r="AX1924" s="115"/>
      <c r="AY1924" s="115"/>
      <c r="AZ1924" s="115"/>
      <c r="BA1924" s="115"/>
      <c r="BB1924" s="115"/>
      <c r="BC1924" s="115"/>
      <c r="BD1924" s="115"/>
      <c r="BE1924" s="115"/>
      <c r="BF1924" s="115"/>
      <c r="BG1924" s="115"/>
      <c r="BH1924" s="122"/>
      <c r="BI1924" s="122"/>
      <c r="BJ1924" s="122"/>
      <c r="BK1924" s="115"/>
      <c r="BL1924" s="115"/>
      <c r="BM1924" s="115"/>
      <c r="BN1924" s="115"/>
      <c r="BO1924" s="115"/>
      <c r="BP1924" s="115"/>
      <c r="BQ1924" s="115"/>
      <c r="BR1924" s="115"/>
      <c r="BS1924" s="115"/>
      <c r="BT1924" s="115"/>
      <c r="BU1924" s="115"/>
      <c r="BV1924" s="115"/>
      <c r="BW1924" s="115"/>
      <c r="BX1924" s="115"/>
      <c r="BY1924" s="26"/>
      <c r="BZ1924" s="15"/>
    </row>
    <row r="1925" spans="1:78" x14ac:dyDescent="0.4">
      <c r="C1925" s="115"/>
      <c r="D1925" s="115"/>
      <c r="E1925" s="115"/>
      <c r="F1925" s="115"/>
      <c r="G1925" s="115"/>
      <c r="H1925" s="115"/>
      <c r="I1925" s="115"/>
      <c r="J1925" s="115"/>
      <c r="K1925" s="115"/>
      <c r="L1925" s="115"/>
      <c r="M1925" s="115"/>
      <c r="N1925" s="115"/>
      <c r="O1925" s="115"/>
      <c r="P1925" s="115"/>
      <c r="Q1925" s="115"/>
      <c r="R1925" s="115"/>
      <c r="S1925" s="115"/>
      <c r="T1925" s="115"/>
      <c r="U1925" s="115"/>
      <c r="V1925" s="115"/>
      <c r="W1925" s="115"/>
      <c r="X1925" s="115"/>
      <c r="Y1925" s="115"/>
      <c r="Z1925" s="115"/>
      <c r="AA1925" s="115"/>
      <c r="AB1925" s="115"/>
      <c r="AC1925" s="115"/>
      <c r="AD1925" s="115"/>
      <c r="AE1925" s="115"/>
      <c r="AF1925" s="115"/>
      <c r="AG1925" s="115"/>
      <c r="AH1925" s="115"/>
      <c r="AI1925" s="115"/>
      <c r="AJ1925" s="115"/>
      <c r="AK1925" s="115"/>
      <c r="AL1925" s="115"/>
      <c r="AM1925" s="115"/>
      <c r="AN1925" s="115"/>
      <c r="AO1925" s="115"/>
      <c r="AP1925" s="115"/>
      <c r="AQ1925" s="115"/>
      <c r="AR1925" s="115"/>
      <c r="AS1925" s="115"/>
      <c r="AT1925" s="115"/>
      <c r="AU1925" s="115"/>
      <c r="AV1925" s="115"/>
      <c r="AW1925" s="115"/>
      <c r="AX1925" s="115"/>
      <c r="AY1925" s="115"/>
      <c r="AZ1925" s="115"/>
      <c r="BA1925" s="115"/>
      <c r="BB1925" s="115"/>
      <c r="BC1925" s="115"/>
      <c r="BD1925" s="115"/>
      <c r="BE1925" s="115"/>
      <c r="BF1925" s="115"/>
      <c r="BG1925" s="115"/>
      <c r="BH1925" s="122"/>
      <c r="BI1925" s="122"/>
      <c r="BJ1925" s="122"/>
      <c r="BK1925" s="115"/>
      <c r="BL1925" s="115"/>
      <c r="BM1925" s="115"/>
      <c r="BN1925" s="115"/>
      <c r="BO1925" s="115"/>
      <c r="BP1925" s="115"/>
      <c r="BQ1925" s="115"/>
      <c r="BR1925" s="115"/>
      <c r="BS1925" s="115"/>
      <c r="BT1925" s="115"/>
      <c r="BU1925" s="115"/>
      <c r="BV1925" s="115"/>
      <c r="BW1925" s="115"/>
      <c r="BX1925" s="115"/>
      <c r="BY1925" s="17"/>
      <c r="BZ1925" s="15"/>
    </row>
    <row r="1926" spans="1:78" x14ac:dyDescent="0.4">
      <c r="BY1926" s="26"/>
      <c r="BZ1926" s="15"/>
    </row>
    <row r="1927" spans="1:78" x14ac:dyDescent="0.4">
      <c r="BB1927" s="115"/>
      <c r="BC1927" s="115"/>
      <c r="BD1927" s="115"/>
      <c r="BE1927" s="115"/>
      <c r="BF1927" s="115"/>
      <c r="BG1927" s="115"/>
      <c r="BH1927" s="122"/>
      <c r="BI1927" s="122"/>
      <c r="BJ1927" s="122"/>
      <c r="BK1927" s="115"/>
      <c r="BL1927" s="115"/>
      <c r="BM1927" s="115"/>
      <c r="BN1927" s="115"/>
      <c r="BO1927" s="115"/>
      <c r="BP1927" s="115"/>
      <c r="BQ1927" s="115"/>
      <c r="BR1927" s="115"/>
      <c r="BS1927" s="115"/>
      <c r="BT1927" s="115"/>
      <c r="BU1927" s="115"/>
      <c r="BV1927" s="115"/>
      <c r="BW1927" s="115"/>
      <c r="BX1927" s="115"/>
      <c r="BY1927" s="17"/>
      <c r="BZ1927" s="15"/>
    </row>
    <row r="1928" spans="1:78" x14ac:dyDescent="0.4">
      <c r="C1928" s="115"/>
      <c r="D1928" s="115"/>
      <c r="E1928" s="115"/>
      <c r="F1928" s="115"/>
      <c r="G1928" s="115"/>
      <c r="H1928" s="115"/>
      <c r="I1928" s="115"/>
      <c r="J1928" s="115"/>
      <c r="K1928" s="115"/>
      <c r="L1928" s="115"/>
      <c r="M1928" s="115"/>
      <c r="N1928" s="115"/>
      <c r="O1928" s="115"/>
      <c r="P1928" s="115"/>
      <c r="Q1928" s="115"/>
      <c r="R1928" s="115"/>
      <c r="S1928" s="115"/>
      <c r="T1928" s="115"/>
      <c r="U1928" s="115"/>
      <c r="V1928" s="115"/>
      <c r="W1928" s="115"/>
      <c r="X1928" s="115"/>
      <c r="Y1928" s="115"/>
      <c r="Z1928" s="115"/>
      <c r="AA1928" s="115"/>
      <c r="AB1928" s="115"/>
      <c r="AC1928" s="115"/>
      <c r="AD1928" s="115"/>
      <c r="AE1928" s="115"/>
      <c r="AF1928" s="115"/>
      <c r="AG1928" s="115"/>
      <c r="AH1928" s="115"/>
      <c r="AI1928" s="115"/>
      <c r="AJ1928" s="115"/>
      <c r="AK1928" s="115"/>
      <c r="AL1928" s="115"/>
      <c r="AM1928" s="115"/>
      <c r="AN1928" s="115"/>
      <c r="AO1928" s="115"/>
      <c r="AP1928" s="115"/>
      <c r="AQ1928" s="115"/>
      <c r="AR1928" s="115"/>
      <c r="AS1928" s="115"/>
      <c r="AT1928" s="115"/>
      <c r="AU1928" s="115"/>
      <c r="AV1928" s="115"/>
      <c r="AW1928" s="115"/>
      <c r="AX1928" s="115"/>
      <c r="AY1928" s="115"/>
      <c r="AZ1928" s="115"/>
      <c r="BA1928" s="115"/>
      <c r="BB1928" s="115"/>
      <c r="BC1928" s="115"/>
      <c r="BD1928" s="115"/>
      <c r="BE1928" s="115"/>
      <c r="BF1928" s="115"/>
      <c r="BG1928" s="115"/>
      <c r="BH1928" s="122"/>
      <c r="BI1928" s="122"/>
      <c r="BJ1928" s="122"/>
      <c r="BK1928" s="115"/>
      <c r="BL1928" s="115"/>
      <c r="BM1928" s="115"/>
      <c r="BN1928" s="115"/>
      <c r="BO1928" s="115"/>
      <c r="BP1928" s="115"/>
      <c r="BQ1928" s="115"/>
      <c r="BR1928" s="115"/>
      <c r="BS1928" s="115"/>
      <c r="BT1928" s="115"/>
      <c r="BU1928" s="115"/>
      <c r="BV1928" s="115"/>
      <c r="BW1928" s="115"/>
      <c r="BX1928" s="115"/>
      <c r="BY1928" s="26"/>
      <c r="BZ1928" s="15"/>
    </row>
    <row r="1929" spans="1:78" x14ac:dyDescent="0.4">
      <c r="BY1929" s="26"/>
      <c r="BZ1929" s="15"/>
    </row>
    <row r="1930" spans="1:78" x14ac:dyDescent="0.4">
      <c r="BY1930" s="26"/>
      <c r="BZ1930" s="15"/>
    </row>
    <row r="1931" spans="1:78" x14ac:dyDescent="0.4">
      <c r="BA1931" s="115"/>
      <c r="BB1931" s="115"/>
      <c r="BC1931" s="115"/>
      <c r="BD1931" s="115"/>
      <c r="BE1931" s="115"/>
      <c r="BF1931" s="115"/>
      <c r="BG1931" s="115"/>
      <c r="BH1931" s="122"/>
      <c r="BI1931" s="122"/>
      <c r="BJ1931" s="122"/>
      <c r="BK1931" s="115"/>
      <c r="BL1931" s="115"/>
      <c r="BM1931" s="115"/>
      <c r="BN1931" s="115"/>
      <c r="BO1931" s="115"/>
      <c r="BP1931" s="115"/>
      <c r="BQ1931" s="115"/>
      <c r="BR1931" s="115"/>
      <c r="BS1931" s="115"/>
      <c r="BT1931" s="115"/>
      <c r="BU1931" s="115"/>
      <c r="BV1931" s="115"/>
      <c r="BW1931" s="115"/>
      <c r="BX1931" s="115"/>
      <c r="BY1931" s="26"/>
      <c r="BZ1931" s="15"/>
    </row>
    <row r="1932" spans="1:78" x14ac:dyDescent="0.4">
      <c r="BY1932" s="26"/>
      <c r="BZ1932" s="15"/>
    </row>
    <row r="1933" spans="1:78" x14ac:dyDescent="0.4">
      <c r="BB1933" s="115"/>
      <c r="BC1933" s="115"/>
      <c r="BD1933" s="115"/>
      <c r="BE1933" s="115"/>
      <c r="BF1933" s="115"/>
      <c r="BG1933" s="115"/>
      <c r="BH1933" s="122"/>
      <c r="BI1933" s="122"/>
      <c r="BJ1933" s="122"/>
      <c r="BK1933" s="115"/>
      <c r="BL1933" s="115"/>
      <c r="BM1933" s="115"/>
      <c r="BN1933" s="115"/>
      <c r="BO1933" s="115"/>
      <c r="BP1933" s="115"/>
      <c r="BQ1933" s="115"/>
      <c r="BR1933" s="115"/>
      <c r="BS1933" s="115"/>
      <c r="BT1933" s="115"/>
      <c r="BU1933" s="115"/>
      <c r="BV1933" s="115"/>
      <c r="BW1933" s="115"/>
      <c r="BX1933" s="115"/>
      <c r="BY1933" s="17"/>
      <c r="BZ1933" s="15"/>
    </row>
    <row r="1934" spans="1:78" x14ac:dyDescent="0.4">
      <c r="A1934" s="115"/>
      <c r="B1934" s="115"/>
      <c r="C1934" s="115"/>
      <c r="D1934" s="115"/>
      <c r="E1934" s="115"/>
      <c r="F1934" s="115"/>
      <c r="G1934" s="115"/>
      <c r="H1934" s="115"/>
      <c r="I1934" s="115"/>
      <c r="J1934" s="115"/>
      <c r="K1934" s="115"/>
      <c r="L1934" s="115"/>
      <c r="M1934" s="115"/>
      <c r="N1934" s="115"/>
      <c r="O1934" s="115"/>
      <c r="P1934" s="115"/>
      <c r="Q1934" s="115"/>
      <c r="R1934" s="115"/>
      <c r="S1934" s="115"/>
      <c r="T1934" s="115"/>
      <c r="U1934" s="115"/>
      <c r="V1934" s="115"/>
      <c r="W1934" s="115"/>
      <c r="X1934" s="115"/>
      <c r="Y1934" s="115"/>
      <c r="Z1934" s="115"/>
      <c r="AA1934" s="115"/>
      <c r="AB1934" s="115"/>
      <c r="AC1934" s="115"/>
      <c r="AD1934" s="115"/>
      <c r="AE1934" s="115"/>
      <c r="AF1934" s="115"/>
      <c r="AG1934" s="115"/>
      <c r="AH1934" s="115"/>
      <c r="AI1934" s="115"/>
      <c r="AJ1934" s="115"/>
      <c r="AK1934" s="115"/>
      <c r="AL1934" s="115"/>
      <c r="AM1934" s="115"/>
      <c r="AN1934" s="115"/>
      <c r="AO1934" s="115"/>
      <c r="AP1934" s="115"/>
      <c r="AQ1934" s="115"/>
      <c r="AR1934" s="115"/>
      <c r="AS1934" s="115"/>
      <c r="AT1934" s="115"/>
      <c r="AU1934" s="115"/>
      <c r="AV1934" s="115"/>
      <c r="AW1934" s="115"/>
      <c r="AX1934" s="115"/>
      <c r="AY1934" s="115"/>
      <c r="AZ1934" s="115"/>
      <c r="BA1934" s="115"/>
      <c r="BB1934" s="115"/>
      <c r="BC1934" s="115"/>
      <c r="BD1934" s="115"/>
      <c r="BE1934" s="115"/>
      <c r="BF1934" s="115"/>
      <c r="BG1934" s="115"/>
      <c r="BH1934" s="122"/>
      <c r="BI1934" s="122"/>
      <c r="BJ1934" s="122"/>
      <c r="BK1934" s="115"/>
      <c r="BL1934" s="115"/>
      <c r="BM1934" s="115"/>
      <c r="BN1934" s="115"/>
      <c r="BO1934" s="115"/>
      <c r="BP1934" s="115"/>
      <c r="BQ1934" s="115"/>
      <c r="BR1934" s="115"/>
      <c r="BS1934" s="115"/>
      <c r="BT1934" s="115"/>
      <c r="BU1934" s="115"/>
      <c r="BV1934" s="115"/>
      <c r="BW1934" s="115"/>
      <c r="BX1934" s="115"/>
      <c r="BY1934" s="26"/>
      <c r="BZ1934" s="15"/>
    </row>
    <row r="1935" spans="1:78" x14ac:dyDescent="0.4">
      <c r="A1935" s="115"/>
      <c r="B1935" s="115"/>
      <c r="C1935" s="115"/>
      <c r="D1935" s="115"/>
      <c r="E1935" s="115"/>
      <c r="F1935" s="115"/>
      <c r="G1935" s="115"/>
      <c r="H1935" s="115"/>
      <c r="I1935" s="115"/>
      <c r="J1935" s="115"/>
      <c r="K1935" s="115"/>
      <c r="L1935" s="115"/>
      <c r="M1935" s="115"/>
      <c r="N1935" s="115"/>
      <c r="O1935" s="115"/>
      <c r="P1935" s="115"/>
      <c r="Q1935" s="115"/>
      <c r="R1935" s="115"/>
      <c r="S1935" s="115"/>
      <c r="T1935" s="115"/>
      <c r="U1935" s="115"/>
      <c r="V1935" s="115"/>
      <c r="W1935" s="115"/>
      <c r="X1935" s="115"/>
      <c r="Y1935" s="115"/>
      <c r="Z1935" s="115"/>
      <c r="AA1935" s="115"/>
      <c r="AB1935" s="115"/>
      <c r="AC1935" s="115"/>
      <c r="AD1935" s="115"/>
      <c r="AE1935" s="115"/>
      <c r="AF1935" s="115"/>
      <c r="AG1935" s="115"/>
      <c r="AH1935" s="115"/>
      <c r="AI1935" s="115"/>
      <c r="AJ1935" s="115"/>
      <c r="AK1935" s="115"/>
      <c r="AL1935" s="115"/>
      <c r="AM1935" s="115"/>
      <c r="AN1935" s="115"/>
      <c r="AO1935" s="115"/>
      <c r="AP1935" s="115"/>
      <c r="AQ1935" s="115"/>
      <c r="AR1935" s="115"/>
      <c r="AS1935" s="115"/>
      <c r="AT1935" s="115"/>
      <c r="AU1935" s="115"/>
      <c r="AV1935" s="115"/>
      <c r="AW1935" s="115"/>
      <c r="AX1935" s="115"/>
      <c r="AY1935" s="115"/>
      <c r="AZ1935" s="115"/>
      <c r="BA1935" s="115"/>
      <c r="BB1935" s="115"/>
      <c r="BC1935" s="115"/>
      <c r="BD1935" s="115"/>
      <c r="BE1935" s="115"/>
      <c r="BF1935" s="115"/>
      <c r="BG1935" s="115"/>
      <c r="BH1935" s="122"/>
      <c r="BI1935" s="122"/>
      <c r="BJ1935" s="122"/>
      <c r="BK1935" s="115"/>
      <c r="BL1935" s="115"/>
      <c r="BM1935" s="115"/>
      <c r="BN1935" s="115"/>
      <c r="BO1935" s="115"/>
      <c r="BP1935" s="115"/>
      <c r="BQ1935" s="115"/>
      <c r="BR1935" s="115"/>
      <c r="BS1935" s="115"/>
      <c r="BT1935" s="115"/>
      <c r="BU1935" s="115"/>
      <c r="BV1935" s="115"/>
      <c r="BW1935" s="115"/>
      <c r="BX1935" s="115"/>
      <c r="BY1935" s="17"/>
      <c r="BZ1935" s="13"/>
    </row>
    <row r="1936" spans="1:78" x14ac:dyDescent="0.4">
      <c r="A1936" s="115"/>
      <c r="B1936" s="115"/>
      <c r="C1936" s="115"/>
      <c r="D1936" s="115"/>
      <c r="E1936" s="115"/>
      <c r="F1936" s="115"/>
      <c r="G1936" s="115"/>
      <c r="H1936" s="115"/>
      <c r="I1936" s="115"/>
      <c r="J1936" s="115"/>
      <c r="K1936" s="115"/>
      <c r="L1936" s="115"/>
      <c r="M1936" s="115"/>
      <c r="N1936" s="115"/>
      <c r="O1936" s="115"/>
      <c r="P1936" s="115"/>
      <c r="Q1936" s="115"/>
      <c r="R1936" s="115"/>
      <c r="S1936" s="115"/>
      <c r="T1936" s="115"/>
      <c r="U1936" s="115"/>
      <c r="V1936" s="115"/>
      <c r="W1936" s="115"/>
      <c r="X1936" s="115"/>
      <c r="Y1936" s="115"/>
      <c r="Z1936" s="115"/>
      <c r="AA1936" s="115"/>
      <c r="AB1936" s="115"/>
      <c r="AC1936" s="115"/>
      <c r="AD1936" s="115"/>
      <c r="AE1936" s="115"/>
      <c r="AF1936" s="115"/>
      <c r="AG1936" s="115"/>
      <c r="AH1936" s="115"/>
      <c r="AI1936" s="115"/>
      <c r="AJ1936" s="115"/>
      <c r="AK1936" s="115"/>
      <c r="AL1936" s="115"/>
      <c r="AM1936" s="115"/>
      <c r="AN1936" s="115"/>
      <c r="AO1936" s="115"/>
      <c r="AP1936" s="115"/>
      <c r="AQ1936" s="115"/>
      <c r="AR1936" s="115"/>
      <c r="AS1936" s="115"/>
      <c r="AT1936" s="115"/>
      <c r="AU1936" s="115"/>
      <c r="AV1936" s="115"/>
      <c r="AW1936" s="115"/>
      <c r="AX1936" s="115"/>
      <c r="AY1936" s="115"/>
      <c r="AZ1936" s="115"/>
      <c r="BA1936" s="115"/>
      <c r="BB1936" s="115"/>
      <c r="BC1936" s="115"/>
      <c r="BD1936" s="115"/>
      <c r="BE1936" s="115"/>
      <c r="BF1936" s="115"/>
      <c r="BG1936" s="115"/>
      <c r="BH1936" s="122"/>
      <c r="BI1936" s="122"/>
      <c r="BJ1936" s="122"/>
      <c r="BK1936" s="115"/>
      <c r="BL1936" s="115"/>
      <c r="BM1936" s="115"/>
      <c r="BN1936" s="115"/>
      <c r="BO1936" s="115"/>
      <c r="BP1936" s="115"/>
      <c r="BQ1936" s="115"/>
      <c r="BR1936" s="115"/>
      <c r="BS1936" s="115"/>
      <c r="BT1936" s="115"/>
      <c r="BU1936" s="115"/>
      <c r="BV1936" s="115"/>
      <c r="BW1936" s="115"/>
      <c r="BX1936" s="115"/>
      <c r="BY1936" s="17"/>
      <c r="BZ1936" s="13"/>
    </row>
    <row r="1937" spans="3:78" x14ac:dyDescent="0.4">
      <c r="BY1937" s="26"/>
      <c r="BZ1937" s="13"/>
    </row>
    <row r="1938" spans="3:78" x14ac:dyDescent="0.4">
      <c r="C1938" s="115"/>
      <c r="D1938" s="115"/>
      <c r="E1938" s="115"/>
      <c r="F1938" s="115"/>
      <c r="G1938" s="115"/>
      <c r="H1938" s="115"/>
      <c r="I1938" s="115"/>
      <c r="J1938" s="115"/>
      <c r="K1938" s="115"/>
      <c r="L1938" s="115"/>
      <c r="M1938" s="115"/>
      <c r="N1938" s="115"/>
      <c r="O1938" s="115"/>
      <c r="P1938" s="115"/>
      <c r="Q1938" s="115"/>
      <c r="R1938" s="115"/>
      <c r="S1938" s="115"/>
      <c r="T1938" s="115"/>
      <c r="U1938" s="115"/>
      <c r="V1938" s="115"/>
      <c r="W1938" s="115"/>
      <c r="X1938" s="115"/>
      <c r="Y1938" s="115"/>
      <c r="Z1938" s="115"/>
      <c r="AA1938" s="115"/>
      <c r="AB1938" s="115"/>
      <c r="AC1938" s="115"/>
      <c r="AD1938" s="115"/>
      <c r="AE1938" s="115"/>
      <c r="AF1938" s="115"/>
      <c r="AG1938" s="115"/>
      <c r="AH1938" s="115"/>
      <c r="AI1938" s="115"/>
      <c r="AJ1938" s="115"/>
      <c r="AK1938" s="115"/>
      <c r="AL1938" s="115"/>
      <c r="AM1938" s="115"/>
      <c r="AN1938" s="115"/>
      <c r="AO1938" s="115"/>
      <c r="AP1938" s="115"/>
      <c r="AQ1938" s="115"/>
      <c r="AR1938" s="115"/>
      <c r="AS1938" s="115"/>
      <c r="AT1938" s="115"/>
      <c r="AU1938" s="115"/>
      <c r="AV1938" s="115"/>
      <c r="AW1938" s="115"/>
      <c r="AX1938" s="115"/>
      <c r="AY1938" s="115"/>
      <c r="AZ1938" s="115"/>
      <c r="BA1938" s="115"/>
      <c r="BB1938" s="115"/>
      <c r="BC1938" s="115"/>
      <c r="BD1938" s="115"/>
      <c r="BE1938" s="115"/>
      <c r="BF1938" s="115"/>
      <c r="BG1938" s="115"/>
      <c r="BH1938" s="122"/>
      <c r="BI1938" s="122"/>
      <c r="BJ1938" s="122"/>
      <c r="BK1938" s="115"/>
      <c r="BL1938" s="115"/>
      <c r="BM1938" s="115"/>
      <c r="BN1938" s="115"/>
      <c r="BO1938" s="115"/>
      <c r="BP1938" s="115"/>
      <c r="BQ1938" s="115"/>
      <c r="BR1938" s="115"/>
      <c r="BS1938" s="115"/>
      <c r="BT1938" s="115"/>
      <c r="BU1938" s="115"/>
      <c r="BV1938" s="115"/>
      <c r="BW1938" s="115"/>
      <c r="BX1938" s="115"/>
      <c r="BY1938" s="26"/>
      <c r="BZ1938" s="15"/>
    </row>
    <row r="1939" spans="3:78" x14ac:dyDescent="0.4">
      <c r="C1939" s="115"/>
      <c r="D1939" s="115"/>
      <c r="E1939" s="115"/>
      <c r="F1939" s="115"/>
      <c r="G1939" s="115"/>
      <c r="H1939" s="115"/>
      <c r="I1939" s="115"/>
      <c r="J1939" s="115"/>
      <c r="K1939" s="115"/>
      <c r="L1939" s="115"/>
      <c r="M1939" s="115"/>
      <c r="N1939" s="115"/>
      <c r="O1939" s="115"/>
      <c r="P1939" s="115"/>
      <c r="Q1939" s="115"/>
      <c r="R1939" s="115"/>
      <c r="S1939" s="115"/>
      <c r="T1939" s="115"/>
      <c r="U1939" s="115"/>
      <c r="V1939" s="115"/>
      <c r="W1939" s="115"/>
      <c r="X1939" s="115"/>
      <c r="Y1939" s="115"/>
      <c r="Z1939" s="115"/>
      <c r="AA1939" s="115"/>
      <c r="AB1939" s="115"/>
      <c r="AC1939" s="115"/>
      <c r="AD1939" s="115"/>
      <c r="AE1939" s="115"/>
      <c r="AF1939" s="115"/>
      <c r="AG1939" s="115"/>
      <c r="AH1939" s="115"/>
      <c r="AI1939" s="115"/>
      <c r="AJ1939" s="115"/>
      <c r="AK1939" s="115"/>
      <c r="AL1939" s="115"/>
      <c r="AM1939" s="115"/>
      <c r="AN1939" s="115"/>
      <c r="AO1939" s="115"/>
      <c r="AP1939" s="115"/>
      <c r="AQ1939" s="115"/>
      <c r="AR1939" s="115"/>
      <c r="AS1939" s="115"/>
      <c r="AT1939" s="115"/>
      <c r="AU1939" s="115"/>
      <c r="AV1939" s="115"/>
      <c r="AW1939" s="115"/>
      <c r="AX1939" s="115"/>
      <c r="AY1939" s="115"/>
      <c r="AZ1939" s="115"/>
      <c r="BA1939" s="115"/>
      <c r="BB1939" s="115"/>
      <c r="BC1939" s="115"/>
      <c r="BD1939" s="115"/>
      <c r="BE1939" s="115"/>
      <c r="BF1939" s="115"/>
      <c r="BG1939" s="115"/>
      <c r="BH1939" s="122"/>
      <c r="BI1939" s="122"/>
      <c r="BJ1939" s="122"/>
      <c r="BK1939" s="115"/>
      <c r="BL1939" s="115"/>
      <c r="BM1939" s="115"/>
      <c r="BN1939" s="115"/>
      <c r="BO1939" s="115"/>
      <c r="BP1939" s="115"/>
      <c r="BQ1939" s="115"/>
      <c r="BR1939" s="115"/>
      <c r="BS1939" s="115"/>
      <c r="BT1939" s="115"/>
      <c r="BU1939" s="115"/>
      <c r="BV1939" s="115"/>
      <c r="BW1939" s="115"/>
      <c r="BX1939" s="115"/>
      <c r="BY1939" s="26"/>
      <c r="BZ1939" s="15"/>
    </row>
    <row r="1940" spans="3:78" x14ac:dyDescent="0.4">
      <c r="BY1940" s="26"/>
      <c r="BZ1940" s="15"/>
    </row>
    <row r="1941" spans="3:78" x14ac:dyDescent="0.4">
      <c r="D1941" s="115"/>
      <c r="E1941" s="115"/>
      <c r="F1941" s="115"/>
      <c r="G1941" s="115"/>
      <c r="H1941" s="115"/>
      <c r="I1941" s="115"/>
      <c r="J1941" s="115"/>
      <c r="K1941" s="115"/>
      <c r="L1941" s="115"/>
      <c r="M1941" s="115"/>
      <c r="N1941" s="115"/>
      <c r="O1941" s="115"/>
      <c r="P1941" s="115"/>
      <c r="Q1941" s="115"/>
      <c r="R1941" s="115"/>
      <c r="S1941" s="115"/>
      <c r="T1941" s="115"/>
      <c r="U1941" s="115"/>
      <c r="V1941" s="115"/>
      <c r="W1941" s="115"/>
      <c r="X1941" s="115"/>
      <c r="Y1941" s="115"/>
      <c r="Z1941" s="115"/>
      <c r="AA1941" s="115"/>
      <c r="AB1941" s="115"/>
      <c r="AC1941" s="115"/>
      <c r="AD1941" s="115"/>
      <c r="AE1941" s="115"/>
      <c r="AF1941" s="115"/>
      <c r="AG1941" s="115"/>
      <c r="AH1941" s="115"/>
      <c r="AI1941" s="115"/>
      <c r="AJ1941" s="115"/>
      <c r="AK1941" s="115"/>
      <c r="AL1941" s="115"/>
      <c r="AM1941" s="115"/>
      <c r="AN1941" s="115"/>
      <c r="AO1941" s="115"/>
      <c r="AP1941" s="115"/>
      <c r="AQ1941" s="115"/>
      <c r="AR1941" s="115"/>
      <c r="AS1941" s="115"/>
      <c r="AT1941" s="115"/>
      <c r="AU1941" s="115"/>
      <c r="AV1941" s="115"/>
      <c r="AW1941" s="115"/>
      <c r="AX1941" s="115"/>
      <c r="AY1941" s="115"/>
      <c r="AZ1941" s="115"/>
      <c r="BA1941" s="115"/>
      <c r="BB1941" s="115"/>
      <c r="BC1941" s="115"/>
      <c r="BD1941" s="115"/>
      <c r="BE1941" s="115"/>
      <c r="BF1941" s="115"/>
      <c r="BG1941" s="115"/>
      <c r="BH1941" s="122"/>
      <c r="BI1941" s="122"/>
      <c r="BJ1941" s="122"/>
      <c r="BK1941" s="115"/>
      <c r="BL1941" s="115"/>
      <c r="BM1941" s="115"/>
      <c r="BN1941" s="115"/>
      <c r="BO1941" s="115"/>
      <c r="BP1941" s="115"/>
      <c r="BQ1941" s="115"/>
      <c r="BR1941" s="115"/>
      <c r="BS1941" s="115"/>
      <c r="BT1941" s="115"/>
      <c r="BU1941" s="115"/>
      <c r="BV1941" s="115"/>
      <c r="BW1941" s="115"/>
      <c r="BX1941" s="115"/>
      <c r="BY1941" s="26"/>
      <c r="BZ1941" s="15"/>
    </row>
    <row r="1942" spans="3:78" x14ac:dyDescent="0.4">
      <c r="C1942" s="115"/>
      <c r="D1942" s="115"/>
      <c r="E1942" s="115"/>
      <c r="F1942" s="115"/>
      <c r="G1942" s="115"/>
      <c r="H1942" s="115"/>
      <c r="I1942" s="115"/>
      <c r="J1942" s="115"/>
      <c r="K1942" s="115"/>
      <c r="L1942" s="115"/>
      <c r="M1942" s="115"/>
      <c r="N1942" s="115"/>
      <c r="O1942" s="115"/>
      <c r="P1942" s="115"/>
      <c r="Q1942" s="115"/>
      <c r="R1942" s="115"/>
      <c r="S1942" s="115"/>
      <c r="T1942" s="115"/>
      <c r="U1942" s="115"/>
      <c r="V1942" s="115"/>
      <c r="W1942" s="115"/>
      <c r="X1942" s="115"/>
      <c r="Y1942" s="115"/>
      <c r="Z1942" s="115"/>
      <c r="AA1942" s="115"/>
      <c r="AB1942" s="115"/>
      <c r="AC1942" s="115"/>
      <c r="AD1942" s="115"/>
      <c r="AE1942" s="115"/>
      <c r="AF1942" s="115"/>
      <c r="AG1942" s="115"/>
      <c r="AH1942" s="115"/>
      <c r="AI1942" s="115"/>
      <c r="AJ1942" s="115"/>
      <c r="AK1942" s="115"/>
      <c r="AL1942" s="115"/>
      <c r="AM1942" s="115"/>
      <c r="AN1942" s="115"/>
      <c r="AO1942" s="115"/>
      <c r="AP1942" s="115"/>
      <c r="AQ1942" s="115"/>
      <c r="AR1942" s="115"/>
      <c r="AS1942" s="115"/>
      <c r="AT1942" s="115"/>
      <c r="AU1942" s="115"/>
      <c r="AV1942" s="115"/>
      <c r="AW1942" s="115"/>
      <c r="AX1942" s="115"/>
      <c r="AY1942" s="115"/>
      <c r="AZ1942" s="115"/>
      <c r="BA1942" s="115"/>
      <c r="BB1942" s="115"/>
      <c r="BC1942" s="115"/>
      <c r="BD1942" s="115"/>
      <c r="BE1942" s="115"/>
      <c r="BF1942" s="115"/>
      <c r="BG1942" s="115"/>
      <c r="BH1942" s="122"/>
      <c r="BI1942" s="122"/>
      <c r="BJ1942" s="122"/>
      <c r="BK1942" s="115"/>
      <c r="BL1942" s="115"/>
      <c r="BM1942" s="115"/>
      <c r="BN1942" s="115"/>
      <c r="BO1942" s="115"/>
      <c r="BP1942" s="115"/>
      <c r="BQ1942" s="115"/>
      <c r="BR1942" s="115"/>
      <c r="BS1942" s="115"/>
      <c r="BT1942" s="115"/>
      <c r="BU1942" s="115"/>
      <c r="BV1942" s="115"/>
      <c r="BW1942" s="115"/>
      <c r="BX1942" s="115"/>
      <c r="BY1942" s="26"/>
      <c r="BZ1942" s="15"/>
    </row>
    <row r="1943" spans="3:78" x14ac:dyDescent="0.4">
      <c r="C1943" s="115"/>
      <c r="D1943" s="115"/>
      <c r="E1943" s="115"/>
      <c r="F1943" s="115"/>
      <c r="G1943" s="115"/>
      <c r="H1943" s="115"/>
      <c r="I1943" s="115"/>
      <c r="J1943" s="115"/>
      <c r="K1943" s="115"/>
      <c r="L1943" s="115"/>
      <c r="M1943" s="115"/>
      <c r="N1943" s="115"/>
      <c r="O1943" s="115"/>
      <c r="P1943" s="115"/>
      <c r="Q1943" s="115"/>
      <c r="R1943" s="115"/>
      <c r="S1943" s="115"/>
      <c r="T1943" s="115"/>
      <c r="U1943" s="115"/>
      <c r="V1943" s="115"/>
      <c r="W1943" s="115"/>
      <c r="X1943" s="115"/>
      <c r="Y1943" s="115"/>
      <c r="Z1943" s="115"/>
      <c r="AA1943" s="115"/>
      <c r="AB1943" s="115"/>
      <c r="AC1943" s="115"/>
      <c r="AD1943" s="115"/>
      <c r="AE1943" s="115"/>
      <c r="AF1943" s="115"/>
      <c r="AG1943" s="115"/>
      <c r="AH1943" s="115"/>
      <c r="AI1943" s="115"/>
      <c r="AJ1943" s="115"/>
      <c r="AK1943" s="115"/>
      <c r="AL1943" s="115"/>
      <c r="AM1943" s="115"/>
      <c r="AN1943" s="115"/>
      <c r="AO1943" s="115"/>
      <c r="AP1943" s="115"/>
      <c r="AQ1943" s="115"/>
      <c r="AR1943" s="115"/>
      <c r="AS1943" s="115"/>
      <c r="AT1943" s="115"/>
      <c r="AU1943" s="115"/>
      <c r="AV1943" s="115"/>
      <c r="AW1943" s="115"/>
      <c r="AX1943" s="115"/>
      <c r="AY1943" s="115"/>
      <c r="AZ1943" s="115"/>
      <c r="BA1943" s="115"/>
      <c r="BB1943" s="115"/>
      <c r="BC1943" s="115"/>
      <c r="BD1943" s="115"/>
      <c r="BE1943" s="115"/>
      <c r="BF1943" s="115"/>
      <c r="BG1943" s="115"/>
      <c r="BH1943" s="122"/>
      <c r="BI1943" s="122"/>
      <c r="BJ1943" s="122"/>
      <c r="BK1943" s="115"/>
      <c r="BL1943" s="115"/>
      <c r="BM1943" s="115"/>
      <c r="BN1943" s="115"/>
      <c r="BO1943" s="115"/>
      <c r="BP1943" s="115"/>
      <c r="BQ1943" s="115"/>
      <c r="BR1943" s="115"/>
      <c r="BS1943" s="115"/>
      <c r="BT1943" s="115"/>
      <c r="BU1943" s="115"/>
      <c r="BV1943" s="115"/>
      <c r="BW1943" s="115"/>
      <c r="BX1943" s="115"/>
      <c r="BY1943" s="26"/>
      <c r="BZ1943" s="15"/>
    </row>
    <row r="1944" spans="3:78" x14ac:dyDescent="0.4">
      <c r="C1944" s="115"/>
      <c r="D1944" s="115"/>
      <c r="E1944" s="115"/>
      <c r="F1944" s="115"/>
      <c r="G1944" s="115"/>
      <c r="H1944" s="115"/>
      <c r="I1944" s="115"/>
      <c r="J1944" s="115"/>
      <c r="K1944" s="115"/>
      <c r="L1944" s="115"/>
      <c r="M1944" s="115"/>
      <c r="N1944" s="115"/>
      <c r="O1944" s="115"/>
      <c r="P1944" s="115"/>
      <c r="Q1944" s="115"/>
      <c r="R1944" s="115"/>
      <c r="S1944" s="115"/>
      <c r="T1944" s="115"/>
      <c r="U1944" s="115"/>
      <c r="V1944" s="115"/>
      <c r="W1944" s="115"/>
      <c r="X1944" s="115"/>
      <c r="Y1944" s="115"/>
      <c r="Z1944" s="115"/>
      <c r="AA1944" s="115"/>
      <c r="AB1944" s="115"/>
      <c r="AC1944" s="115"/>
      <c r="AD1944" s="115"/>
      <c r="AE1944" s="115"/>
      <c r="AF1944" s="115"/>
      <c r="AG1944" s="115"/>
      <c r="AH1944" s="115"/>
      <c r="AI1944" s="115"/>
      <c r="AJ1944" s="115"/>
      <c r="AK1944" s="115"/>
      <c r="AL1944" s="115"/>
      <c r="AM1944" s="115"/>
      <c r="AN1944" s="115"/>
      <c r="AO1944" s="115"/>
      <c r="AP1944" s="115"/>
      <c r="AQ1944" s="115"/>
      <c r="AR1944" s="115"/>
      <c r="AS1944" s="115"/>
      <c r="AT1944" s="115"/>
      <c r="AU1944" s="115"/>
      <c r="AV1944" s="115"/>
      <c r="AW1944" s="115"/>
      <c r="AX1944" s="115"/>
      <c r="AY1944" s="115"/>
      <c r="AZ1944" s="115"/>
      <c r="BA1944" s="115"/>
      <c r="BB1944" s="115"/>
      <c r="BC1944" s="115"/>
      <c r="BD1944" s="115"/>
      <c r="BE1944" s="115"/>
      <c r="BF1944" s="115"/>
      <c r="BG1944" s="115"/>
      <c r="BH1944" s="122"/>
      <c r="BI1944" s="122"/>
      <c r="BJ1944" s="122"/>
      <c r="BK1944" s="115"/>
      <c r="BL1944" s="115"/>
      <c r="BM1944" s="115"/>
      <c r="BN1944" s="115"/>
      <c r="BO1944" s="115"/>
      <c r="BP1944" s="115"/>
      <c r="BQ1944" s="115"/>
      <c r="BR1944" s="115"/>
      <c r="BS1944" s="115"/>
      <c r="BT1944" s="115"/>
      <c r="BU1944" s="115"/>
      <c r="BV1944" s="115"/>
      <c r="BW1944" s="115"/>
      <c r="BX1944" s="115"/>
      <c r="BY1944" s="26"/>
      <c r="BZ1944" s="15"/>
    </row>
    <row r="1945" spans="3:78" x14ac:dyDescent="0.4">
      <c r="BY1945" s="26"/>
      <c r="BZ1945" s="15"/>
    </row>
    <row r="1946" spans="3:78" x14ac:dyDescent="0.4">
      <c r="D1946" s="115"/>
      <c r="E1946" s="115"/>
      <c r="F1946" s="115"/>
      <c r="G1946" s="115"/>
      <c r="H1946" s="115"/>
      <c r="I1946" s="115"/>
      <c r="J1946" s="115"/>
      <c r="K1946" s="115"/>
      <c r="L1946" s="115"/>
      <c r="M1946" s="115"/>
      <c r="N1946" s="115"/>
      <c r="O1946" s="115"/>
      <c r="P1946" s="115"/>
      <c r="Q1946" s="115"/>
      <c r="R1946" s="115"/>
      <c r="S1946" s="115"/>
      <c r="T1946" s="115"/>
      <c r="U1946" s="115"/>
      <c r="V1946" s="115"/>
      <c r="W1946" s="115"/>
      <c r="X1946" s="115"/>
      <c r="Y1946" s="115"/>
      <c r="Z1946" s="115"/>
      <c r="AA1946" s="115"/>
      <c r="AB1946" s="115"/>
      <c r="AC1946" s="115"/>
      <c r="AD1946" s="115"/>
      <c r="AE1946" s="115"/>
      <c r="AF1946" s="115"/>
      <c r="AG1946" s="115"/>
      <c r="AH1946" s="115"/>
      <c r="AI1946" s="115"/>
      <c r="AJ1946" s="115"/>
      <c r="AK1946" s="115"/>
      <c r="AL1946" s="115"/>
      <c r="AM1946" s="115"/>
      <c r="AN1946" s="115"/>
      <c r="AO1946" s="115"/>
      <c r="AP1946" s="115"/>
      <c r="AQ1946" s="115"/>
      <c r="AR1946" s="115"/>
      <c r="AS1946" s="115"/>
      <c r="AT1946" s="115"/>
      <c r="AU1946" s="115"/>
      <c r="AV1946" s="115"/>
      <c r="AW1946" s="115"/>
      <c r="AX1946" s="115"/>
      <c r="AY1946" s="115"/>
      <c r="AZ1946" s="115"/>
      <c r="BA1946" s="115"/>
      <c r="BB1946" s="115"/>
      <c r="BC1946" s="115"/>
      <c r="BD1946" s="115"/>
      <c r="BE1946" s="115"/>
      <c r="BF1946" s="115"/>
      <c r="BG1946" s="115"/>
      <c r="BH1946" s="122"/>
      <c r="BI1946" s="122"/>
      <c r="BJ1946" s="122"/>
      <c r="BK1946" s="115"/>
      <c r="BL1946" s="115"/>
      <c r="BM1946" s="115"/>
      <c r="BN1946" s="115"/>
      <c r="BO1946" s="115"/>
      <c r="BP1946" s="115"/>
      <c r="BQ1946" s="115"/>
      <c r="BR1946" s="115"/>
      <c r="BS1946" s="115"/>
      <c r="BT1946" s="115"/>
      <c r="BU1946" s="115"/>
      <c r="BV1946" s="115"/>
      <c r="BW1946" s="115"/>
      <c r="BX1946" s="115"/>
      <c r="BY1946" s="26"/>
      <c r="BZ1946" s="15"/>
    </row>
    <row r="1947" spans="3:78" x14ac:dyDescent="0.4">
      <c r="BY1947" s="26"/>
      <c r="BZ1947" s="15"/>
    </row>
    <row r="1948" spans="3:78" x14ac:dyDescent="0.4">
      <c r="D1948" s="115"/>
      <c r="E1948" s="115"/>
      <c r="F1948" s="115"/>
      <c r="G1948" s="115"/>
      <c r="H1948" s="115"/>
      <c r="I1948" s="115"/>
      <c r="J1948" s="115"/>
      <c r="K1948" s="115"/>
      <c r="L1948" s="115"/>
      <c r="M1948" s="115"/>
      <c r="N1948" s="115"/>
      <c r="O1948" s="115"/>
      <c r="P1948" s="115"/>
      <c r="Q1948" s="115"/>
      <c r="R1948" s="115"/>
      <c r="S1948" s="115"/>
      <c r="T1948" s="115"/>
      <c r="U1948" s="115"/>
      <c r="V1948" s="115"/>
      <c r="W1948" s="115"/>
      <c r="X1948" s="115"/>
      <c r="Y1948" s="115"/>
      <c r="Z1948" s="115"/>
      <c r="AA1948" s="115"/>
      <c r="AB1948" s="115"/>
      <c r="AC1948" s="115"/>
      <c r="AD1948" s="115"/>
      <c r="AE1948" s="115"/>
      <c r="AF1948" s="115"/>
      <c r="AG1948" s="115"/>
      <c r="AH1948" s="115"/>
      <c r="AI1948" s="115"/>
      <c r="AJ1948" s="115"/>
      <c r="AK1948" s="115"/>
      <c r="AL1948" s="115"/>
      <c r="AM1948" s="115"/>
      <c r="AN1948" s="115"/>
      <c r="AO1948" s="115"/>
      <c r="AP1948" s="115"/>
      <c r="AQ1948" s="115"/>
      <c r="AR1948" s="115"/>
      <c r="AS1948" s="115"/>
      <c r="AT1948" s="115"/>
      <c r="AU1948" s="115"/>
      <c r="AV1948" s="115"/>
      <c r="AW1948" s="115"/>
      <c r="AX1948" s="115"/>
      <c r="AY1948" s="115"/>
      <c r="AZ1948" s="115"/>
      <c r="BA1948" s="115"/>
      <c r="BB1948" s="115"/>
      <c r="BC1948" s="115"/>
      <c r="BD1948" s="115"/>
      <c r="BE1948" s="115"/>
      <c r="BF1948" s="115"/>
      <c r="BG1948" s="115"/>
      <c r="BH1948" s="122"/>
      <c r="BI1948" s="122"/>
      <c r="BJ1948" s="122"/>
      <c r="BK1948" s="115"/>
      <c r="BL1948" s="115"/>
      <c r="BM1948" s="115"/>
      <c r="BN1948" s="115"/>
      <c r="BO1948" s="115"/>
      <c r="BP1948" s="115"/>
      <c r="BQ1948" s="115"/>
      <c r="BR1948" s="115"/>
      <c r="BS1948" s="115"/>
      <c r="BT1948" s="115"/>
      <c r="BU1948" s="115"/>
      <c r="BV1948" s="115"/>
      <c r="BW1948" s="115"/>
      <c r="BX1948" s="115"/>
      <c r="BY1948" s="26"/>
      <c r="BZ1948" s="15"/>
    </row>
    <row r="1949" spans="3:78" x14ac:dyDescent="0.4">
      <c r="D1949" s="115"/>
      <c r="E1949" s="115"/>
      <c r="F1949" s="115"/>
      <c r="G1949" s="115"/>
      <c r="H1949" s="115"/>
      <c r="I1949" s="115"/>
      <c r="J1949" s="115"/>
      <c r="K1949" s="115"/>
      <c r="L1949" s="115"/>
      <c r="M1949" s="115"/>
      <c r="N1949" s="115"/>
      <c r="O1949" s="115"/>
      <c r="P1949" s="115"/>
      <c r="Q1949" s="115"/>
      <c r="R1949" s="115"/>
      <c r="S1949" s="115"/>
      <c r="T1949" s="115"/>
      <c r="U1949" s="115"/>
      <c r="V1949" s="115"/>
      <c r="W1949" s="115"/>
      <c r="X1949" s="115"/>
      <c r="Y1949" s="115"/>
      <c r="Z1949" s="115"/>
      <c r="AA1949" s="115"/>
      <c r="AB1949" s="115"/>
      <c r="AC1949" s="115"/>
      <c r="AD1949" s="115"/>
      <c r="AE1949" s="115"/>
      <c r="AF1949" s="115"/>
      <c r="AG1949" s="115"/>
      <c r="AH1949" s="115"/>
      <c r="AI1949" s="115"/>
      <c r="AJ1949" s="115"/>
      <c r="AK1949" s="115"/>
      <c r="AL1949" s="115"/>
      <c r="AM1949" s="115"/>
      <c r="AN1949" s="115"/>
      <c r="AO1949" s="115"/>
      <c r="AP1949" s="115"/>
      <c r="AQ1949" s="115"/>
      <c r="AR1949" s="115"/>
      <c r="AS1949" s="115"/>
      <c r="AT1949" s="115"/>
      <c r="AU1949" s="115"/>
      <c r="AV1949" s="115"/>
      <c r="AW1949" s="115"/>
      <c r="AX1949" s="115"/>
      <c r="AY1949" s="115"/>
      <c r="AZ1949" s="115"/>
      <c r="BA1949" s="115"/>
      <c r="BB1949" s="115"/>
      <c r="BC1949" s="115"/>
      <c r="BD1949" s="115"/>
      <c r="BE1949" s="115"/>
      <c r="BF1949" s="115"/>
      <c r="BG1949" s="115"/>
      <c r="BH1949" s="122"/>
      <c r="BI1949" s="122"/>
      <c r="BJ1949" s="122"/>
      <c r="BK1949" s="115"/>
      <c r="BL1949" s="115"/>
      <c r="BM1949" s="115"/>
      <c r="BN1949" s="115"/>
      <c r="BO1949" s="115"/>
      <c r="BP1949" s="115"/>
      <c r="BQ1949" s="115"/>
      <c r="BR1949" s="115"/>
      <c r="BS1949" s="115"/>
      <c r="BT1949" s="115"/>
      <c r="BU1949" s="115"/>
      <c r="BV1949" s="115"/>
      <c r="BW1949" s="115"/>
      <c r="BX1949" s="115"/>
      <c r="BY1949" s="26"/>
      <c r="BZ1949" s="15"/>
    </row>
    <row r="1950" spans="3:78" x14ac:dyDescent="0.4">
      <c r="D1950" s="115"/>
      <c r="E1950" s="115"/>
      <c r="F1950" s="115"/>
      <c r="G1950" s="115"/>
      <c r="H1950" s="115"/>
      <c r="I1950" s="115"/>
      <c r="J1950" s="115"/>
      <c r="K1950" s="115"/>
      <c r="L1950" s="115"/>
      <c r="M1950" s="115"/>
      <c r="N1950" s="115"/>
      <c r="O1950" s="115"/>
      <c r="P1950" s="115"/>
      <c r="Q1950" s="115"/>
      <c r="R1950" s="115"/>
      <c r="S1950" s="115"/>
      <c r="T1950" s="115"/>
      <c r="U1950" s="115"/>
      <c r="V1950" s="115"/>
      <c r="W1950" s="115"/>
      <c r="X1950" s="115"/>
      <c r="Y1950" s="115"/>
      <c r="Z1950" s="115"/>
      <c r="AA1950" s="115"/>
      <c r="AB1950" s="115"/>
      <c r="AC1950" s="115"/>
      <c r="AD1950" s="115"/>
      <c r="AE1950" s="115"/>
      <c r="AF1950" s="115"/>
      <c r="AG1950" s="115"/>
      <c r="AH1950" s="115"/>
      <c r="AI1950" s="115"/>
      <c r="AJ1950" s="115"/>
      <c r="AK1950" s="115"/>
      <c r="AL1950" s="115"/>
      <c r="AM1950" s="115"/>
      <c r="AN1950" s="115"/>
      <c r="AO1950" s="115"/>
      <c r="AP1950" s="115"/>
      <c r="AQ1950" s="115"/>
      <c r="AR1950" s="115"/>
      <c r="AS1950" s="115"/>
      <c r="AT1950" s="115"/>
      <c r="AU1950" s="115"/>
      <c r="AV1950" s="115"/>
      <c r="AW1950" s="115"/>
      <c r="AX1950" s="115"/>
      <c r="AY1950" s="115"/>
      <c r="AZ1950" s="115"/>
      <c r="BA1950" s="115"/>
      <c r="BB1950" s="115"/>
      <c r="BC1950" s="115"/>
      <c r="BD1950" s="115"/>
      <c r="BE1950" s="115"/>
      <c r="BF1950" s="115"/>
      <c r="BG1950" s="115"/>
      <c r="BH1950" s="122"/>
      <c r="BI1950" s="122"/>
      <c r="BJ1950" s="122"/>
      <c r="BK1950" s="115"/>
      <c r="BL1950" s="115"/>
      <c r="BM1950" s="115"/>
      <c r="BN1950" s="115"/>
      <c r="BO1950" s="115"/>
      <c r="BP1950" s="115"/>
      <c r="BQ1950" s="115"/>
      <c r="BR1950" s="115"/>
      <c r="BS1950" s="115"/>
      <c r="BT1950" s="115"/>
      <c r="BU1950" s="115"/>
      <c r="BV1950" s="115"/>
      <c r="BW1950" s="115"/>
      <c r="BX1950" s="115"/>
      <c r="BY1950" s="17"/>
      <c r="BZ1950" s="15"/>
    </row>
    <row r="1951" spans="3:78" x14ac:dyDescent="0.4">
      <c r="BY1951" s="26"/>
      <c r="BZ1951" s="15"/>
    </row>
    <row r="1952" spans="3:78" x14ac:dyDescent="0.4">
      <c r="BY1952" s="26"/>
      <c r="BZ1952" s="15"/>
    </row>
    <row r="1953" spans="1:78" x14ac:dyDescent="0.4">
      <c r="A1953" s="115"/>
      <c r="B1953" s="115"/>
      <c r="C1953" s="115"/>
      <c r="D1953" s="115"/>
      <c r="E1953" s="115"/>
      <c r="F1953" s="115"/>
      <c r="G1953" s="115"/>
      <c r="H1953" s="115"/>
      <c r="I1953" s="115"/>
      <c r="J1953" s="115"/>
      <c r="K1953" s="115"/>
      <c r="L1953" s="115"/>
      <c r="M1953" s="115"/>
      <c r="N1953" s="115"/>
      <c r="O1953" s="115"/>
      <c r="P1953" s="115"/>
      <c r="Q1953" s="115"/>
      <c r="R1953" s="115"/>
      <c r="S1953" s="115"/>
      <c r="T1953" s="115"/>
      <c r="U1953" s="115"/>
      <c r="V1953" s="115"/>
      <c r="W1953" s="115"/>
      <c r="X1953" s="115"/>
      <c r="Y1953" s="115"/>
      <c r="Z1953" s="115"/>
      <c r="AA1953" s="115"/>
      <c r="AB1953" s="115"/>
      <c r="AC1953" s="115"/>
      <c r="AD1953" s="115"/>
      <c r="AE1953" s="115"/>
      <c r="AF1953" s="115"/>
      <c r="AG1953" s="115"/>
      <c r="AH1953" s="115"/>
      <c r="AI1953" s="115"/>
      <c r="AJ1953" s="115"/>
      <c r="AK1953" s="115"/>
      <c r="AL1953" s="115"/>
      <c r="AM1953" s="115"/>
      <c r="AN1953" s="115"/>
      <c r="AO1953" s="115"/>
      <c r="AP1953" s="115"/>
      <c r="AQ1953" s="115"/>
      <c r="AR1953" s="115"/>
      <c r="AS1953" s="115"/>
      <c r="AT1953" s="115"/>
      <c r="AU1953" s="115"/>
      <c r="AV1953" s="115"/>
      <c r="AW1953" s="115"/>
      <c r="AX1953" s="115"/>
      <c r="AY1953" s="115"/>
      <c r="AZ1953" s="115"/>
      <c r="BA1953" s="115"/>
      <c r="BB1953" s="115"/>
      <c r="BC1953" s="115"/>
      <c r="BD1953" s="115"/>
      <c r="BE1953" s="115"/>
      <c r="BF1953" s="115"/>
      <c r="BG1953" s="115"/>
      <c r="BH1953" s="122"/>
      <c r="BI1953" s="122"/>
      <c r="BJ1953" s="122"/>
      <c r="BK1953" s="115"/>
      <c r="BL1953" s="115"/>
      <c r="BM1953" s="115"/>
      <c r="BN1953" s="115"/>
      <c r="BO1953" s="115"/>
      <c r="BP1953" s="115"/>
      <c r="BQ1953" s="115"/>
      <c r="BR1953" s="115"/>
      <c r="BS1953" s="115"/>
      <c r="BT1953" s="115"/>
      <c r="BU1953" s="115"/>
      <c r="BV1953" s="115"/>
      <c r="BW1953" s="115"/>
      <c r="BX1953" s="115"/>
      <c r="BY1953" s="26"/>
      <c r="BZ1953" s="15"/>
    </row>
    <row r="1954" spans="1:78" x14ac:dyDescent="0.4">
      <c r="A1954" s="115"/>
      <c r="B1954" s="115"/>
      <c r="C1954" s="115"/>
      <c r="D1954" s="115"/>
      <c r="E1954" s="115"/>
      <c r="F1954" s="115"/>
      <c r="G1954" s="115"/>
      <c r="H1954" s="115"/>
      <c r="I1954" s="115"/>
      <c r="J1954" s="115"/>
      <c r="K1954" s="115"/>
      <c r="L1954" s="115"/>
      <c r="M1954" s="115"/>
      <c r="N1954" s="115"/>
      <c r="O1954" s="115"/>
      <c r="P1954" s="115"/>
      <c r="Q1954" s="115"/>
      <c r="R1954" s="115"/>
      <c r="S1954" s="115"/>
      <c r="T1954" s="115"/>
      <c r="U1954" s="115"/>
      <c r="V1954" s="115"/>
      <c r="W1954" s="115"/>
      <c r="X1954" s="115"/>
      <c r="Y1954" s="115"/>
      <c r="Z1954" s="115"/>
      <c r="AA1954" s="115"/>
      <c r="AB1954" s="115"/>
      <c r="AC1954" s="115"/>
      <c r="AD1954" s="115"/>
      <c r="AE1954" s="115"/>
      <c r="AF1954" s="115"/>
      <c r="AG1954" s="115"/>
      <c r="AH1954" s="115"/>
      <c r="AI1954" s="115"/>
      <c r="AJ1954" s="115"/>
      <c r="AK1954" s="115"/>
      <c r="AL1954" s="115"/>
      <c r="AM1954" s="115"/>
      <c r="AN1954" s="115"/>
      <c r="AO1954" s="115"/>
      <c r="AP1954" s="115"/>
      <c r="AQ1954" s="115"/>
      <c r="AR1954" s="115"/>
      <c r="AS1954" s="115"/>
      <c r="AT1954" s="115"/>
      <c r="AU1954" s="115"/>
      <c r="AV1954" s="115"/>
      <c r="AW1954" s="115"/>
      <c r="AX1954" s="115"/>
      <c r="AY1954" s="115"/>
      <c r="AZ1954" s="115"/>
      <c r="BA1954" s="115"/>
      <c r="BB1954" s="115"/>
      <c r="BC1954" s="115"/>
      <c r="BD1954" s="115"/>
      <c r="BE1954" s="115"/>
      <c r="BF1954" s="115"/>
      <c r="BG1954" s="115"/>
      <c r="BH1954" s="122"/>
      <c r="BI1954" s="122"/>
      <c r="BJ1954" s="122"/>
      <c r="BK1954" s="115"/>
      <c r="BL1954" s="115"/>
      <c r="BM1954" s="115"/>
      <c r="BN1954" s="115"/>
      <c r="BO1954" s="115"/>
      <c r="BP1954" s="115"/>
      <c r="BQ1954" s="115"/>
      <c r="BR1954" s="115"/>
      <c r="BS1954" s="115"/>
      <c r="BT1954" s="115"/>
      <c r="BU1954" s="115"/>
      <c r="BV1954" s="115"/>
      <c r="BW1954" s="115"/>
      <c r="BX1954" s="115"/>
      <c r="BY1954" s="17"/>
      <c r="BZ1954" s="15"/>
    </row>
    <row r="1955" spans="1:78" x14ac:dyDescent="0.4">
      <c r="BY1955" s="26"/>
      <c r="BZ1955" s="15"/>
    </row>
    <row r="1956" spans="1:78" ht="17.25" customHeight="1" x14ac:dyDescent="0.4">
      <c r="B1956" s="115"/>
      <c r="C1956" s="115"/>
      <c r="D1956" s="115"/>
      <c r="E1956" s="115"/>
      <c r="F1956" s="115"/>
      <c r="G1956" s="115"/>
      <c r="H1956" s="115"/>
      <c r="I1956" s="115"/>
      <c r="J1956" s="115"/>
      <c r="K1956" s="115"/>
      <c r="L1956" s="115"/>
      <c r="M1956" s="115"/>
      <c r="N1956" s="115"/>
      <c r="O1956" s="115"/>
      <c r="P1956" s="115"/>
      <c r="Q1956" s="115"/>
      <c r="R1956" s="115"/>
      <c r="S1956" s="115"/>
      <c r="T1956" s="115"/>
      <c r="U1956" s="115"/>
      <c r="V1956" s="115"/>
      <c r="W1956" s="115"/>
      <c r="X1956" s="115"/>
      <c r="Y1956" s="115"/>
      <c r="Z1956" s="115"/>
      <c r="AA1956" s="115"/>
      <c r="AB1956" s="115"/>
      <c r="AC1956" s="115"/>
      <c r="AD1956" s="115"/>
      <c r="AE1956" s="115"/>
      <c r="AF1956" s="115"/>
      <c r="AG1956" s="115"/>
      <c r="AH1956" s="115"/>
      <c r="AI1956" s="115"/>
      <c r="AJ1956" s="115"/>
      <c r="AK1956" s="115"/>
      <c r="AL1956" s="115"/>
      <c r="AM1956" s="115"/>
      <c r="AN1956" s="115"/>
      <c r="AO1956" s="115"/>
      <c r="AP1956" s="115"/>
      <c r="AQ1956" s="115"/>
      <c r="AR1956" s="115"/>
      <c r="AS1956" s="115"/>
      <c r="AT1956" s="115"/>
      <c r="AU1956" s="115"/>
      <c r="AV1956" s="115"/>
      <c r="AW1956" s="115"/>
      <c r="AX1956" s="115"/>
      <c r="AY1956" s="115"/>
      <c r="AZ1956" s="115"/>
      <c r="BA1956" s="115"/>
      <c r="BB1956" s="115"/>
      <c r="BC1956" s="115"/>
      <c r="BD1956" s="115"/>
      <c r="BE1956" s="115"/>
      <c r="BF1956" s="115"/>
      <c r="BG1956" s="115"/>
      <c r="BH1956" s="122"/>
      <c r="BI1956" s="122"/>
      <c r="BJ1956" s="122"/>
      <c r="BK1956" s="115"/>
      <c r="BL1956" s="115"/>
      <c r="BM1956" s="115"/>
      <c r="BN1956" s="115"/>
      <c r="BO1956" s="115"/>
      <c r="BP1956" s="115"/>
      <c r="BQ1956" s="115"/>
      <c r="BR1956" s="115"/>
      <c r="BS1956" s="115"/>
      <c r="BT1956" s="115"/>
      <c r="BU1956" s="115"/>
      <c r="BV1956" s="115"/>
      <c r="BW1956" s="115"/>
      <c r="BX1956" s="115"/>
      <c r="BY1956" s="26"/>
      <c r="BZ1956" s="15"/>
    </row>
    <row r="1957" spans="1:78" x14ac:dyDescent="0.4">
      <c r="BY1957" s="26"/>
      <c r="BZ1957" s="15"/>
    </row>
    <row r="1958" spans="1:78" x14ac:dyDescent="0.4">
      <c r="BA1958" s="115"/>
      <c r="BB1958" s="115"/>
      <c r="BC1958" s="115"/>
      <c r="BD1958" s="115"/>
      <c r="BE1958" s="115"/>
      <c r="BF1958" s="115"/>
      <c r="BG1958" s="115"/>
      <c r="BH1958" s="122"/>
      <c r="BI1958" s="122"/>
      <c r="BJ1958" s="122"/>
      <c r="BK1958" s="115"/>
      <c r="BL1958" s="115"/>
      <c r="BM1958" s="115"/>
      <c r="BN1958" s="115"/>
      <c r="BO1958" s="115"/>
      <c r="BP1958" s="115"/>
      <c r="BQ1958" s="115"/>
      <c r="BR1958" s="115"/>
      <c r="BS1958" s="115"/>
      <c r="BT1958" s="115"/>
      <c r="BU1958" s="115"/>
      <c r="BV1958" s="115"/>
      <c r="BW1958" s="115"/>
      <c r="BX1958" s="115"/>
      <c r="BY1958" s="17"/>
      <c r="BZ1958" s="15"/>
    </row>
    <row r="1959" spans="1:78" ht="16.5" customHeight="1" x14ac:dyDescent="0.4">
      <c r="A1959" s="115"/>
      <c r="B1959" s="115"/>
      <c r="C1959" s="115"/>
      <c r="D1959" s="115"/>
      <c r="E1959" s="115"/>
      <c r="F1959" s="115"/>
      <c r="G1959" s="115"/>
      <c r="H1959" s="115"/>
      <c r="I1959" s="115"/>
      <c r="J1959" s="115"/>
      <c r="K1959" s="115"/>
      <c r="L1959" s="115"/>
      <c r="M1959" s="115"/>
      <c r="N1959" s="115"/>
      <c r="O1959" s="115"/>
      <c r="P1959" s="115"/>
      <c r="Q1959" s="115"/>
      <c r="R1959" s="115"/>
      <c r="S1959" s="115"/>
      <c r="T1959" s="115"/>
      <c r="U1959" s="115"/>
      <c r="V1959" s="115"/>
      <c r="W1959" s="115"/>
      <c r="X1959" s="115"/>
      <c r="Y1959" s="115"/>
      <c r="Z1959" s="115"/>
      <c r="AA1959" s="115"/>
      <c r="AB1959" s="115"/>
      <c r="AC1959" s="115"/>
      <c r="AD1959" s="115"/>
      <c r="AE1959" s="115"/>
      <c r="AF1959" s="115"/>
      <c r="AG1959" s="115"/>
      <c r="AH1959" s="115"/>
      <c r="AI1959" s="115"/>
      <c r="AJ1959" s="115"/>
      <c r="AK1959" s="115"/>
      <c r="AL1959" s="115"/>
      <c r="AM1959" s="115"/>
      <c r="AN1959" s="115"/>
      <c r="AO1959" s="115"/>
      <c r="AP1959" s="115"/>
      <c r="AQ1959" s="115"/>
      <c r="AR1959" s="115"/>
      <c r="AS1959" s="115"/>
      <c r="AT1959" s="115"/>
      <c r="AU1959" s="115"/>
      <c r="AV1959" s="115"/>
      <c r="AW1959" s="115"/>
      <c r="AX1959" s="115"/>
      <c r="AY1959" s="115"/>
      <c r="AZ1959" s="115"/>
      <c r="BA1959" s="115"/>
      <c r="BB1959" s="115"/>
      <c r="BC1959" s="115"/>
      <c r="BD1959" s="115"/>
      <c r="BE1959" s="115"/>
      <c r="BF1959" s="115"/>
      <c r="BG1959" s="115"/>
      <c r="BH1959" s="122"/>
      <c r="BI1959" s="122"/>
      <c r="BJ1959" s="122"/>
      <c r="BK1959" s="115"/>
      <c r="BL1959" s="115"/>
      <c r="BM1959" s="115"/>
      <c r="BN1959" s="115"/>
      <c r="BO1959" s="115"/>
      <c r="BP1959" s="115"/>
      <c r="BQ1959" s="115"/>
      <c r="BR1959" s="115"/>
      <c r="BS1959" s="115"/>
      <c r="BT1959" s="115"/>
      <c r="BU1959" s="115"/>
      <c r="BV1959" s="115"/>
      <c r="BW1959" s="115"/>
      <c r="BX1959" s="115"/>
      <c r="BY1959" s="26"/>
      <c r="BZ1959" s="15"/>
    </row>
    <row r="1960" spans="1:78" ht="22.5" customHeight="1" x14ac:dyDescent="0.4">
      <c r="A1960" s="115"/>
      <c r="B1960" s="115"/>
      <c r="C1960" s="115"/>
      <c r="D1960" s="115"/>
      <c r="E1960" s="115"/>
      <c r="F1960" s="115"/>
      <c r="G1960" s="115"/>
      <c r="H1960" s="115"/>
      <c r="I1960" s="115"/>
      <c r="J1960" s="115"/>
      <c r="K1960" s="115"/>
      <c r="L1960" s="115"/>
      <c r="M1960" s="115"/>
      <c r="N1960" s="115"/>
      <c r="O1960" s="115"/>
      <c r="P1960" s="115"/>
      <c r="Q1960" s="115"/>
      <c r="R1960" s="115"/>
      <c r="S1960" s="115"/>
      <c r="T1960" s="115"/>
      <c r="U1960" s="115"/>
      <c r="V1960" s="115"/>
      <c r="W1960" s="115"/>
      <c r="X1960" s="115"/>
      <c r="Y1960" s="115"/>
      <c r="Z1960" s="115"/>
      <c r="AA1960" s="115"/>
      <c r="AB1960" s="115"/>
      <c r="AC1960" s="115"/>
      <c r="AD1960" s="115"/>
      <c r="AE1960" s="115"/>
      <c r="AF1960" s="115"/>
      <c r="AG1960" s="115"/>
      <c r="AH1960" s="115"/>
      <c r="AI1960" s="115"/>
      <c r="AJ1960" s="115"/>
      <c r="AK1960" s="115"/>
      <c r="AL1960" s="115"/>
      <c r="AM1960" s="115"/>
      <c r="AN1960" s="115"/>
      <c r="AO1960" s="115"/>
      <c r="AP1960" s="115"/>
      <c r="AQ1960" s="115"/>
      <c r="AR1960" s="115"/>
      <c r="AS1960" s="115"/>
      <c r="AT1960" s="115"/>
      <c r="AU1960" s="115"/>
      <c r="AV1960" s="115"/>
      <c r="AW1960" s="115"/>
      <c r="AX1960" s="115"/>
      <c r="AY1960" s="115"/>
      <c r="AZ1960" s="115"/>
      <c r="BA1960" s="115"/>
      <c r="BB1960" s="115"/>
      <c r="BC1960" s="115"/>
      <c r="BD1960" s="115"/>
      <c r="BE1960" s="115"/>
      <c r="BF1960" s="115"/>
      <c r="BG1960" s="115"/>
      <c r="BH1960" s="122"/>
      <c r="BI1960" s="122"/>
      <c r="BJ1960" s="122"/>
      <c r="BK1960" s="115"/>
      <c r="BL1960" s="115"/>
      <c r="BM1960" s="115"/>
      <c r="BN1960" s="115"/>
      <c r="BO1960" s="115"/>
      <c r="BP1960" s="115"/>
      <c r="BQ1960" s="115"/>
      <c r="BR1960" s="115"/>
      <c r="BS1960" s="115"/>
      <c r="BT1960" s="115"/>
      <c r="BU1960" s="115"/>
      <c r="BV1960" s="115"/>
      <c r="BW1960" s="115"/>
      <c r="BX1960" s="115"/>
      <c r="BY1960" s="26"/>
      <c r="BZ1960" s="15"/>
    </row>
    <row r="1961" spans="1:78" x14ac:dyDescent="0.4">
      <c r="BY1961" s="26"/>
      <c r="BZ1961" s="15"/>
    </row>
    <row r="1962" spans="1:78" x14ac:dyDescent="0.4">
      <c r="BY1962" s="26"/>
      <c r="BZ1962" s="105"/>
    </row>
    <row r="1963" spans="1:78" x14ac:dyDescent="0.4">
      <c r="A1963" s="115"/>
      <c r="B1963" s="115"/>
      <c r="C1963" s="115"/>
      <c r="D1963" s="115"/>
      <c r="E1963" s="115"/>
      <c r="F1963" s="115"/>
      <c r="G1963" s="115"/>
      <c r="H1963" s="115"/>
      <c r="I1963" s="115"/>
      <c r="J1963" s="115"/>
      <c r="K1963" s="115"/>
      <c r="L1963" s="115"/>
      <c r="M1963" s="115"/>
      <c r="N1963" s="115"/>
      <c r="O1963" s="115"/>
      <c r="P1963" s="115"/>
      <c r="Q1963" s="115"/>
      <c r="R1963" s="115"/>
      <c r="S1963" s="115"/>
      <c r="T1963" s="115"/>
      <c r="U1963" s="115"/>
      <c r="V1963" s="115"/>
      <c r="W1963" s="115"/>
      <c r="X1963" s="115"/>
      <c r="Y1963" s="115"/>
      <c r="Z1963" s="115"/>
      <c r="AA1963" s="115"/>
      <c r="AB1963" s="115"/>
      <c r="AC1963" s="115"/>
      <c r="AD1963" s="115"/>
      <c r="AE1963" s="115"/>
      <c r="AF1963" s="115"/>
      <c r="AG1963" s="115"/>
      <c r="AH1963" s="115"/>
      <c r="AI1963" s="115"/>
      <c r="AJ1963" s="115"/>
      <c r="AK1963" s="115"/>
      <c r="AL1963" s="115"/>
      <c r="AM1963" s="115"/>
      <c r="AN1963" s="115"/>
      <c r="AO1963" s="115"/>
      <c r="AP1963" s="115"/>
      <c r="AQ1963" s="115"/>
      <c r="AR1963" s="115"/>
      <c r="AS1963" s="115"/>
      <c r="AT1963" s="115"/>
      <c r="AU1963" s="115"/>
      <c r="AV1963" s="115"/>
      <c r="AW1963" s="115"/>
      <c r="AX1963" s="115"/>
      <c r="AY1963" s="115"/>
      <c r="AZ1963" s="115"/>
      <c r="BA1963" s="115"/>
      <c r="BB1963" s="115"/>
      <c r="BC1963" s="115"/>
      <c r="BD1963" s="115"/>
      <c r="BE1963" s="115"/>
      <c r="BF1963" s="115"/>
      <c r="BG1963" s="115"/>
      <c r="BH1963" s="122"/>
      <c r="BI1963" s="122"/>
      <c r="BJ1963" s="122"/>
      <c r="BK1963" s="115"/>
      <c r="BL1963" s="115"/>
      <c r="BM1963" s="115"/>
      <c r="BN1963" s="115"/>
      <c r="BO1963" s="115"/>
      <c r="BP1963" s="115"/>
      <c r="BQ1963" s="115"/>
      <c r="BR1963" s="115"/>
      <c r="BS1963" s="115"/>
      <c r="BT1963" s="115"/>
      <c r="BU1963" s="115"/>
      <c r="BV1963" s="115"/>
      <c r="BW1963" s="115"/>
      <c r="BX1963" s="115"/>
      <c r="BY1963" s="26"/>
      <c r="BZ1963" s="15"/>
    </row>
    <row r="1964" spans="1:78" x14ac:dyDescent="0.4">
      <c r="BY1964" s="26"/>
      <c r="BZ1964" s="15"/>
    </row>
    <row r="1965" spans="1:78" x14ac:dyDescent="0.4">
      <c r="BY1965" s="26"/>
      <c r="BZ1965" s="15"/>
    </row>
    <row r="1966" spans="1:78" x14ac:dyDescent="0.4">
      <c r="BY1966" s="26"/>
      <c r="BZ1966" s="15"/>
    </row>
    <row r="1967" spans="1:78" x14ac:dyDescent="0.4">
      <c r="BY1967" s="26"/>
      <c r="BZ1967" s="15"/>
    </row>
    <row r="1968" spans="1:78" x14ac:dyDescent="0.4">
      <c r="A1968" s="115"/>
      <c r="B1968" s="115"/>
      <c r="C1968" s="115"/>
      <c r="D1968" s="115"/>
      <c r="E1968" s="115"/>
      <c r="F1968" s="115"/>
      <c r="G1968" s="115"/>
      <c r="H1968" s="115"/>
      <c r="I1968" s="115"/>
      <c r="J1968" s="115"/>
      <c r="K1968" s="115"/>
      <c r="L1968" s="115"/>
      <c r="M1968" s="115"/>
      <c r="N1968" s="115"/>
      <c r="O1968" s="115"/>
      <c r="P1968" s="115"/>
      <c r="Q1968" s="115"/>
      <c r="R1968" s="115"/>
      <c r="S1968" s="115"/>
      <c r="T1968" s="115"/>
      <c r="U1968" s="115"/>
      <c r="V1968" s="115"/>
      <c r="W1968" s="115"/>
      <c r="X1968" s="115"/>
      <c r="Y1968" s="115"/>
      <c r="Z1968" s="115"/>
      <c r="AA1968" s="115"/>
      <c r="AB1968" s="115"/>
      <c r="AC1968" s="115"/>
      <c r="AD1968" s="115"/>
      <c r="AE1968" s="115"/>
      <c r="AF1968" s="115"/>
      <c r="AG1968" s="115"/>
      <c r="AH1968" s="115"/>
      <c r="AI1968" s="115"/>
      <c r="AJ1968" s="115"/>
      <c r="AK1968" s="115"/>
      <c r="AL1968" s="115"/>
      <c r="AM1968" s="115"/>
      <c r="AN1968" s="115"/>
      <c r="AO1968" s="115"/>
      <c r="AP1968" s="115"/>
      <c r="AQ1968" s="115"/>
      <c r="AR1968" s="115"/>
      <c r="AS1968" s="115"/>
      <c r="AT1968" s="115"/>
      <c r="AU1968" s="115"/>
      <c r="AV1968" s="115"/>
      <c r="AW1968" s="115"/>
      <c r="AX1968" s="115"/>
      <c r="AY1968" s="115"/>
      <c r="AZ1968" s="115"/>
      <c r="BA1968" s="115"/>
      <c r="BB1968" s="115"/>
      <c r="BC1968" s="115"/>
      <c r="BD1968" s="115"/>
      <c r="BE1968" s="115"/>
      <c r="BF1968" s="115"/>
      <c r="BG1968" s="115"/>
      <c r="BH1968" s="122"/>
      <c r="BI1968" s="122"/>
      <c r="BJ1968" s="122"/>
      <c r="BK1968" s="115"/>
      <c r="BL1968" s="115"/>
      <c r="BM1968" s="115"/>
      <c r="BN1968" s="115"/>
      <c r="BO1968" s="115"/>
      <c r="BP1968" s="115"/>
      <c r="BQ1968" s="115"/>
      <c r="BR1968" s="115"/>
      <c r="BS1968" s="115"/>
      <c r="BT1968" s="115"/>
      <c r="BU1968" s="115"/>
      <c r="BV1968" s="115"/>
      <c r="BW1968" s="115"/>
      <c r="BX1968" s="115"/>
      <c r="BY1968" s="26"/>
      <c r="BZ1968" s="15"/>
    </row>
    <row r="1969" spans="1:78" x14ac:dyDescent="0.4">
      <c r="BY1969" s="26"/>
      <c r="BZ1969" s="15"/>
    </row>
    <row r="1970" spans="1:78" x14ac:dyDescent="0.4">
      <c r="BY1970" s="26"/>
      <c r="BZ1970" s="15"/>
    </row>
    <row r="1971" spans="1:78" x14ac:dyDescent="0.4">
      <c r="BY1971" s="26"/>
      <c r="BZ1971" s="15"/>
    </row>
    <row r="1972" spans="1:78" x14ac:dyDescent="0.4">
      <c r="BY1972" s="26"/>
      <c r="BZ1972" s="15"/>
    </row>
    <row r="1973" spans="1:78" ht="18.75" customHeight="1" x14ac:dyDescent="0.4">
      <c r="B1973" s="115"/>
      <c r="C1973" s="115"/>
      <c r="D1973" s="115"/>
      <c r="E1973" s="115"/>
      <c r="F1973" s="115"/>
      <c r="G1973" s="115"/>
      <c r="H1973" s="115"/>
      <c r="I1973" s="115"/>
      <c r="J1973" s="115"/>
      <c r="K1973" s="115"/>
      <c r="L1973" s="115"/>
      <c r="M1973" s="115"/>
      <c r="N1973" s="115"/>
      <c r="O1973" s="115"/>
      <c r="P1973" s="115"/>
      <c r="Q1973" s="115"/>
      <c r="R1973" s="115"/>
      <c r="S1973" s="115"/>
      <c r="T1973" s="115"/>
      <c r="U1973" s="115"/>
      <c r="V1973" s="115"/>
      <c r="W1973" s="115"/>
      <c r="X1973" s="115"/>
      <c r="Y1973" s="115"/>
      <c r="Z1973" s="115"/>
      <c r="AA1973" s="115"/>
      <c r="AB1973" s="115"/>
      <c r="AC1973" s="115"/>
      <c r="AD1973" s="115"/>
      <c r="AE1973" s="115"/>
      <c r="AF1973" s="115"/>
      <c r="AG1973" s="115"/>
      <c r="AH1973" s="115"/>
      <c r="AI1973" s="115"/>
      <c r="AJ1973" s="115"/>
      <c r="AK1973" s="115"/>
      <c r="AL1973" s="115"/>
      <c r="AM1973" s="115"/>
      <c r="AN1973" s="115"/>
      <c r="AO1973" s="115"/>
      <c r="AP1973" s="115"/>
      <c r="AQ1973" s="115"/>
      <c r="AR1973" s="115"/>
      <c r="AS1973" s="115"/>
      <c r="AT1973" s="115"/>
      <c r="AU1973" s="115"/>
      <c r="AV1973" s="115"/>
      <c r="AW1973" s="115"/>
      <c r="AX1973" s="115"/>
      <c r="AY1973" s="115"/>
      <c r="AZ1973" s="115"/>
      <c r="BA1973" s="115"/>
      <c r="BB1973" s="115"/>
      <c r="BC1973" s="115"/>
      <c r="BD1973" s="115"/>
      <c r="BE1973" s="115"/>
      <c r="BF1973" s="115"/>
      <c r="BG1973" s="115"/>
      <c r="BH1973" s="122"/>
      <c r="BI1973" s="122"/>
      <c r="BJ1973" s="122"/>
      <c r="BK1973" s="115"/>
      <c r="BL1973" s="115"/>
      <c r="BM1973" s="115"/>
      <c r="BN1973" s="115"/>
      <c r="BO1973" s="115"/>
      <c r="BP1973" s="115"/>
      <c r="BQ1973" s="115"/>
      <c r="BR1973" s="115"/>
      <c r="BS1973" s="115"/>
      <c r="BT1973" s="115"/>
      <c r="BU1973" s="115"/>
      <c r="BV1973" s="115"/>
      <c r="BW1973" s="115"/>
      <c r="BX1973" s="115"/>
      <c r="BY1973" s="26"/>
      <c r="BZ1973" s="15"/>
    </row>
    <row r="1974" spans="1:78" x14ac:dyDescent="0.4">
      <c r="BY1974" s="26"/>
      <c r="BZ1974" s="15"/>
    </row>
    <row r="1975" spans="1:78" x14ac:dyDescent="0.4">
      <c r="BY1975" s="26"/>
      <c r="BZ1975" s="15"/>
    </row>
    <row r="1976" spans="1:78" x14ac:dyDescent="0.4">
      <c r="B1976" s="115"/>
      <c r="C1976" s="115"/>
      <c r="D1976" s="115"/>
      <c r="E1976" s="115"/>
      <c r="F1976" s="115"/>
      <c r="G1976" s="115"/>
      <c r="H1976" s="115"/>
      <c r="I1976" s="115"/>
      <c r="J1976" s="115"/>
      <c r="K1976" s="115"/>
      <c r="L1976" s="115"/>
      <c r="M1976" s="115"/>
      <c r="N1976" s="115"/>
      <c r="O1976" s="115"/>
      <c r="P1976" s="115"/>
      <c r="Q1976" s="115"/>
      <c r="R1976" s="115"/>
      <c r="S1976" s="115"/>
      <c r="T1976" s="115"/>
      <c r="U1976" s="115"/>
      <c r="V1976" s="115"/>
      <c r="W1976" s="115"/>
      <c r="X1976" s="115"/>
      <c r="Y1976" s="115"/>
      <c r="Z1976" s="115"/>
      <c r="AA1976" s="115"/>
      <c r="AB1976" s="115"/>
      <c r="AC1976" s="115"/>
      <c r="AD1976" s="115"/>
      <c r="AE1976" s="115"/>
      <c r="AF1976" s="115"/>
      <c r="AG1976" s="115"/>
      <c r="AH1976" s="115"/>
      <c r="AI1976" s="115"/>
      <c r="AJ1976" s="115"/>
      <c r="AK1976" s="115"/>
      <c r="AL1976" s="115"/>
      <c r="AM1976" s="115"/>
      <c r="AN1976" s="115"/>
      <c r="AO1976" s="115"/>
      <c r="AP1976" s="115"/>
      <c r="AQ1976" s="115"/>
      <c r="AR1976" s="115"/>
      <c r="AS1976" s="115"/>
      <c r="AT1976" s="115"/>
      <c r="AU1976" s="115"/>
      <c r="AV1976" s="115"/>
      <c r="AW1976" s="115"/>
      <c r="AX1976" s="115"/>
      <c r="AY1976" s="115"/>
      <c r="AZ1976" s="115"/>
      <c r="BA1976" s="115"/>
      <c r="BB1976" s="115"/>
      <c r="BC1976" s="115"/>
      <c r="BD1976" s="115"/>
      <c r="BE1976" s="115"/>
      <c r="BF1976" s="115"/>
      <c r="BG1976" s="115"/>
      <c r="BH1976" s="122"/>
      <c r="BI1976" s="122"/>
      <c r="BJ1976" s="122"/>
      <c r="BK1976" s="115"/>
      <c r="BL1976" s="115"/>
      <c r="BM1976" s="115"/>
      <c r="BN1976" s="115"/>
      <c r="BO1976" s="115"/>
      <c r="BP1976" s="115"/>
      <c r="BQ1976" s="115"/>
      <c r="BR1976" s="115"/>
      <c r="BS1976" s="115"/>
      <c r="BT1976" s="115"/>
      <c r="BU1976" s="115"/>
      <c r="BV1976" s="115"/>
      <c r="BW1976" s="115"/>
      <c r="BX1976" s="115"/>
      <c r="BY1976" s="26"/>
      <c r="BZ1976" s="15"/>
    </row>
    <row r="1977" spans="1:78" x14ac:dyDescent="0.4">
      <c r="A1977" s="115"/>
      <c r="B1977" s="115"/>
      <c r="C1977" s="115"/>
      <c r="D1977" s="115"/>
      <c r="E1977" s="115"/>
      <c r="F1977" s="115"/>
      <c r="G1977" s="115"/>
      <c r="H1977" s="115"/>
      <c r="I1977" s="115"/>
      <c r="J1977" s="115"/>
      <c r="K1977" s="115"/>
      <c r="L1977" s="115"/>
      <c r="M1977" s="115"/>
      <c r="N1977" s="115"/>
      <c r="O1977" s="115"/>
      <c r="P1977" s="115"/>
      <c r="Q1977" s="115"/>
      <c r="R1977" s="115"/>
      <c r="S1977" s="115"/>
      <c r="T1977" s="115"/>
      <c r="U1977" s="115"/>
      <c r="V1977" s="115"/>
      <c r="W1977" s="115"/>
      <c r="X1977" s="115"/>
      <c r="Y1977" s="115"/>
      <c r="Z1977" s="115"/>
      <c r="AA1977" s="115"/>
      <c r="AB1977" s="115"/>
      <c r="AC1977" s="115"/>
      <c r="AD1977" s="115"/>
      <c r="AE1977" s="115"/>
      <c r="AF1977" s="115"/>
      <c r="AG1977" s="115"/>
      <c r="AH1977" s="115"/>
      <c r="AI1977" s="115"/>
      <c r="AJ1977" s="115"/>
      <c r="AK1977" s="115"/>
      <c r="AL1977" s="115"/>
      <c r="AM1977" s="115"/>
      <c r="AN1977" s="115"/>
      <c r="AO1977" s="115"/>
      <c r="AP1977" s="115"/>
      <c r="AQ1977" s="115"/>
      <c r="AR1977" s="115"/>
      <c r="AS1977" s="115"/>
      <c r="AT1977" s="115"/>
      <c r="AU1977" s="115"/>
      <c r="AV1977" s="115"/>
      <c r="AW1977" s="115"/>
      <c r="AX1977" s="115"/>
      <c r="AY1977" s="115"/>
      <c r="AZ1977" s="115"/>
      <c r="BA1977" s="115"/>
      <c r="BB1977" s="115"/>
      <c r="BC1977" s="115"/>
      <c r="BD1977" s="115"/>
      <c r="BE1977" s="115"/>
      <c r="BF1977" s="115"/>
      <c r="BG1977" s="115"/>
      <c r="BH1977" s="122"/>
      <c r="BI1977" s="122"/>
      <c r="BJ1977" s="122"/>
      <c r="BK1977" s="115"/>
      <c r="BL1977" s="115"/>
      <c r="BM1977" s="115"/>
      <c r="BN1977" s="115"/>
      <c r="BO1977" s="115"/>
      <c r="BP1977" s="115"/>
      <c r="BQ1977" s="115"/>
      <c r="BR1977" s="115"/>
      <c r="BS1977" s="115"/>
      <c r="BT1977" s="115"/>
      <c r="BU1977" s="115"/>
      <c r="BV1977" s="115"/>
      <c r="BW1977" s="115"/>
      <c r="BX1977" s="115"/>
      <c r="BY1977" s="26"/>
      <c r="BZ1977" s="15"/>
    </row>
    <row r="1978" spans="1:78" x14ac:dyDescent="0.4">
      <c r="BY1978" s="26"/>
      <c r="BZ1978" s="15"/>
    </row>
    <row r="1979" spans="1:78" x14ac:dyDescent="0.4">
      <c r="BA1979" s="115"/>
      <c r="BB1979" s="115"/>
      <c r="BC1979" s="115"/>
      <c r="BD1979" s="115"/>
      <c r="BE1979" s="115"/>
      <c r="BF1979" s="115"/>
      <c r="BG1979" s="115"/>
      <c r="BH1979" s="122"/>
      <c r="BI1979" s="122"/>
      <c r="BJ1979" s="122"/>
      <c r="BK1979" s="115"/>
      <c r="BL1979" s="115"/>
      <c r="BM1979" s="115"/>
      <c r="BN1979" s="115"/>
      <c r="BO1979" s="115"/>
      <c r="BP1979" s="115"/>
      <c r="BQ1979" s="115"/>
      <c r="BR1979" s="115"/>
      <c r="BS1979" s="115"/>
      <c r="BT1979" s="115"/>
      <c r="BU1979" s="115"/>
      <c r="BV1979" s="115"/>
      <c r="BW1979" s="115"/>
      <c r="BX1979" s="115"/>
      <c r="BY1979" s="17"/>
      <c r="BZ1979" s="15"/>
    </row>
    <row r="1980" spans="1:78" x14ac:dyDescent="0.4">
      <c r="A1980" s="115"/>
      <c r="B1980" s="115"/>
      <c r="C1980" s="115"/>
      <c r="D1980" s="115"/>
      <c r="E1980" s="115"/>
      <c r="F1980" s="115"/>
      <c r="G1980" s="115"/>
      <c r="H1980" s="115"/>
      <c r="I1980" s="115"/>
      <c r="J1980" s="115"/>
      <c r="K1980" s="115"/>
      <c r="L1980" s="115"/>
      <c r="M1980" s="115"/>
      <c r="N1980" s="115"/>
      <c r="O1980" s="115"/>
      <c r="P1980" s="115"/>
      <c r="Q1980" s="115"/>
      <c r="R1980" s="115"/>
      <c r="S1980" s="115"/>
      <c r="T1980" s="115"/>
      <c r="U1980" s="115"/>
      <c r="V1980" s="115"/>
      <c r="W1980" s="115"/>
      <c r="X1980" s="115"/>
      <c r="Y1980" s="115"/>
      <c r="Z1980" s="115"/>
      <c r="AA1980" s="115"/>
      <c r="AB1980" s="115"/>
      <c r="AC1980" s="115"/>
      <c r="AD1980" s="115"/>
      <c r="AE1980" s="115"/>
      <c r="AF1980" s="115"/>
      <c r="AG1980" s="115"/>
      <c r="AH1980" s="115"/>
      <c r="AI1980" s="115"/>
      <c r="AJ1980" s="115"/>
      <c r="AK1980" s="115"/>
      <c r="AL1980" s="115"/>
      <c r="AM1980" s="115"/>
      <c r="AN1980" s="115"/>
      <c r="AO1980" s="115"/>
      <c r="AP1980" s="115"/>
      <c r="AQ1980" s="115"/>
      <c r="AR1980" s="115"/>
      <c r="AS1980" s="115"/>
      <c r="AT1980" s="115"/>
      <c r="AU1980" s="115"/>
      <c r="AV1980" s="115"/>
      <c r="AW1980" s="115"/>
      <c r="AX1980" s="115"/>
      <c r="AY1980" s="115"/>
      <c r="AZ1980" s="115"/>
      <c r="BA1980" s="115"/>
      <c r="BB1980" s="115"/>
      <c r="BC1980" s="115"/>
      <c r="BD1980" s="115"/>
      <c r="BE1980" s="115"/>
      <c r="BF1980" s="115"/>
      <c r="BG1980" s="115"/>
      <c r="BH1980" s="122"/>
      <c r="BI1980" s="122"/>
      <c r="BJ1980" s="122"/>
      <c r="BK1980" s="115"/>
      <c r="BL1980" s="115"/>
      <c r="BM1980" s="115"/>
      <c r="BN1980" s="115"/>
      <c r="BO1980" s="115"/>
      <c r="BP1980" s="115"/>
      <c r="BQ1980" s="115"/>
      <c r="BR1980" s="115"/>
      <c r="BS1980" s="115"/>
      <c r="BT1980" s="115"/>
      <c r="BU1980" s="115"/>
      <c r="BV1980" s="115"/>
      <c r="BW1980" s="115"/>
      <c r="BX1980" s="115"/>
      <c r="BY1980" s="26"/>
      <c r="BZ1980" s="15"/>
    </row>
    <row r="1981" spans="1:78" x14ac:dyDescent="0.4">
      <c r="BY1981" s="26"/>
      <c r="BZ1981" s="15"/>
    </row>
    <row r="1982" spans="1:78" x14ac:dyDescent="0.4">
      <c r="BA1982" s="115"/>
      <c r="BB1982" s="115"/>
      <c r="BC1982" s="115"/>
      <c r="BD1982" s="115"/>
      <c r="BE1982" s="115"/>
      <c r="BF1982" s="115"/>
      <c r="BG1982" s="115"/>
      <c r="BH1982" s="122"/>
      <c r="BI1982" s="122"/>
      <c r="BJ1982" s="122"/>
      <c r="BK1982" s="115"/>
      <c r="BL1982" s="115"/>
      <c r="BM1982" s="115"/>
      <c r="BN1982" s="115"/>
      <c r="BO1982" s="115"/>
      <c r="BP1982" s="115"/>
      <c r="BQ1982" s="115"/>
      <c r="BR1982" s="115"/>
      <c r="BS1982" s="115"/>
      <c r="BT1982" s="115"/>
      <c r="BU1982" s="115"/>
      <c r="BV1982" s="115"/>
      <c r="BW1982" s="115"/>
      <c r="BX1982" s="115"/>
      <c r="BY1982" s="17"/>
      <c r="BZ1982" s="15"/>
    </row>
    <row r="1983" spans="1:78" x14ac:dyDescent="0.4">
      <c r="BY1983" s="26"/>
      <c r="BZ1983" s="15"/>
    </row>
    <row r="1984" spans="1:78" x14ac:dyDescent="0.4">
      <c r="B1984" s="115"/>
      <c r="C1984" s="115"/>
      <c r="D1984" s="115"/>
      <c r="E1984" s="115"/>
      <c r="F1984" s="115"/>
      <c r="G1984" s="115"/>
      <c r="H1984" s="115"/>
      <c r="I1984" s="115"/>
      <c r="J1984" s="115"/>
      <c r="K1984" s="115"/>
      <c r="L1984" s="115"/>
      <c r="M1984" s="115"/>
      <c r="N1984" s="115"/>
      <c r="O1984" s="115"/>
      <c r="P1984" s="115"/>
      <c r="Q1984" s="115"/>
      <c r="R1984" s="115"/>
      <c r="S1984" s="115"/>
      <c r="T1984" s="115"/>
      <c r="U1984" s="115"/>
      <c r="V1984" s="115"/>
      <c r="W1984" s="115"/>
      <c r="X1984" s="115"/>
      <c r="Y1984" s="115"/>
      <c r="Z1984" s="115"/>
      <c r="AA1984" s="115"/>
      <c r="AB1984" s="115"/>
      <c r="AC1984" s="115"/>
      <c r="AD1984" s="115"/>
      <c r="AE1984" s="115"/>
      <c r="AF1984" s="115"/>
      <c r="AG1984" s="115"/>
      <c r="AH1984" s="115"/>
      <c r="AI1984" s="115"/>
      <c r="AJ1984" s="115"/>
      <c r="AK1984" s="115"/>
      <c r="AL1984" s="115"/>
      <c r="AM1984" s="115"/>
      <c r="AN1984" s="115"/>
      <c r="AO1984" s="115"/>
      <c r="AP1984" s="115"/>
      <c r="AQ1984" s="115"/>
      <c r="AR1984" s="115"/>
      <c r="AS1984" s="115"/>
      <c r="AT1984" s="115"/>
      <c r="AU1984" s="115"/>
      <c r="AV1984" s="115"/>
      <c r="AW1984" s="115"/>
      <c r="AX1984" s="115"/>
      <c r="AY1984" s="115"/>
      <c r="AZ1984" s="115"/>
      <c r="BA1984" s="115"/>
      <c r="BB1984" s="115"/>
      <c r="BC1984" s="115"/>
      <c r="BD1984" s="115"/>
      <c r="BE1984" s="115"/>
      <c r="BF1984" s="115"/>
      <c r="BG1984" s="115"/>
      <c r="BH1984" s="122"/>
      <c r="BI1984" s="122"/>
      <c r="BJ1984" s="122"/>
      <c r="BK1984" s="115"/>
      <c r="BL1984" s="115"/>
      <c r="BM1984" s="115"/>
      <c r="BN1984" s="115"/>
      <c r="BO1984" s="115"/>
      <c r="BP1984" s="115"/>
      <c r="BQ1984" s="115"/>
      <c r="BR1984" s="115"/>
      <c r="BS1984" s="115"/>
      <c r="BT1984" s="115"/>
      <c r="BU1984" s="115"/>
      <c r="BV1984" s="115"/>
      <c r="BW1984" s="115"/>
      <c r="BX1984" s="115"/>
      <c r="BY1984" s="26"/>
      <c r="BZ1984" s="15"/>
    </row>
    <row r="1985" spans="1:78" x14ac:dyDescent="0.4">
      <c r="A1985" s="115"/>
      <c r="B1985" s="115"/>
      <c r="C1985" s="115"/>
      <c r="D1985" s="115"/>
      <c r="E1985" s="115"/>
      <c r="F1985" s="115"/>
      <c r="G1985" s="115"/>
      <c r="H1985" s="115"/>
      <c r="I1985" s="115"/>
      <c r="J1985" s="115"/>
      <c r="K1985" s="115"/>
      <c r="L1985" s="115"/>
      <c r="M1985" s="115"/>
      <c r="N1985" s="115"/>
      <c r="O1985" s="115"/>
      <c r="P1985" s="115"/>
      <c r="Q1985" s="115"/>
      <c r="R1985" s="115"/>
      <c r="S1985" s="115"/>
      <c r="T1985" s="115"/>
      <c r="U1985" s="115"/>
      <c r="V1985" s="115"/>
      <c r="W1985" s="115"/>
      <c r="X1985" s="115"/>
      <c r="Y1985" s="115"/>
      <c r="Z1985" s="115"/>
      <c r="AA1985" s="115"/>
      <c r="AB1985" s="115"/>
      <c r="AC1985" s="115"/>
      <c r="AD1985" s="115"/>
      <c r="AE1985" s="115"/>
      <c r="AF1985" s="115"/>
      <c r="AG1985" s="115"/>
      <c r="AH1985" s="115"/>
      <c r="AI1985" s="115"/>
      <c r="AJ1985" s="115"/>
      <c r="AK1985" s="115"/>
      <c r="AL1985" s="115"/>
      <c r="AM1985" s="115"/>
      <c r="AN1985" s="115"/>
      <c r="AO1985" s="115"/>
      <c r="AP1985" s="115"/>
      <c r="AQ1985" s="115"/>
      <c r="AR1985" s="115"/>
      <c r="AS1985" s="115"/>
      <c r="AT1985" s="115"/>
      <c r="AU1985" s="115"/>
      <c r="AV1985" s="115"/>
      <c r="AW1985" s="115"/>
      <c r="AX1985" s="115"/>
      <c r="AY1985" s="115"/>
      <c r="AZ1985" s="115"/>
      <c r="BA1985" s="115"/>
      <c r="BB1985" s="115"/>
      <c r="BC1985" s="115"/>
      <c r="BD1985" s="115"/>
      <c r="BE1985" s="115"/>
      <c r="BF1985" s="115"/>
      <c r="BG1985" s="115"/>
      <c r="BH1985" s="122"/>
      <c r="BI1985" s="122"/>
      <c r="BJ1985" s="122"/>
      <c r="BK1985" s="115"/>
      <c r="BL1985" s="115"/>
      <c r="BM1985" s="115"/>
      <c r="BN1985" s="115"/>
      <c r="BO1985" s="115"/>
      <c r="BP1985" s="115"/>
      <c r="BQ1985" s="115"/>
      <c r="BR1985" s="115"/>
      <c r="BS1985" s="115"/>
      <c r="BT1985" s="115"/>
      <c r="BU1985" s="115"/>
      <c r="BV1985" s="115"/>
      <c r="BW1985" s="115"/>
      <c r="BX1985" s="115"/>
      <c r="BY1985" s="26"/>
      <c r="BZ1985" s="15"/>
    </row>
    <row r="1986" spans="1:78" x14ac:dyDescent="0.4">
      <c r="A1986" s="115"/>
      <c r="B1986" s="115"/>
      <c r="C1986" s="115"/>
      <c r="D1986" s="115"/>
      <c r="E1986" s="115"/>
      <c r="F1986" s="115"/>
      <c r="G1986" s="115"/>
      <c r="H1986" s="115"/>
      <c r="I1986" s="115"/>
      <c r="J1986" s="115"/>
      <c r="K1986" s="115"/>
      <c r="L1986" s="115"/>
      <c r="M1986" s="115"/>
      <c r="N1986" s="115"/>
      <c r="O1986" s="115"/>
      <c r="P1986" s="115"/>
      <c r="Q1986" s="115"/>
      <c r="R1986" s="115"/>
      <c r="S1986" s="115"/>
      <c r="T1986" s="115"/>
      <c r="U1986" s="115"/>
      <c r="V1986" s="115"/>
      <c r="W1986" s="115"/>
      <c r="X1986" s="115"/>
      <c r="Y1986" s="115"/>
      <c r="Z1986" s="115"/>
      <c r="AA1986" s="115"/>
      <c r="AB1986" s="115"/>
      <c r="AC1986" s="115"/>
      <c r="AD1986" s="115"/>
      <c r="AE1986" s="115"/>
      <c r="AF1986" s="115"/>
      <c r="AG1986" s="115"/>
      <c r="AH1986" s="115"/>
      <c r="AI1986" s="115"/>
      <c r="AJ1986" s="115"/>
      <c r="AK1986" s="115"/>
      <c r="AL1986" s="115"/>
      <c r="AM1986" s="115"/>
      <c r="AN1986" s="115"/>
      <c r="AO1986" s="115"/>
      <c r="AP1986" s="115"/>
      <c r="AQ1986" s="115"/>
      <c r="AR1986" s="115"/>
      <c r="AS1986" s="115"/>
      <c r="AT1986" s="115"/>
      <c r="AU1986" s="115"/>
      <c r="AV1986" s="115"/>
      <c r="AW1986" s="115"/>
      <c r="AX1986" s="115"/>
      <c r="AY1986" s="115"/>
      <c r="AZ1986" s="115"/>
      <c r="BA1986" s="115"/>
      <c r="BB1986" s="115"/>
      <c r="BC1986" s="115"/>
      <c r="BD1986" s="115"/>
      <c r="BE1986" s="115"/>
      <c r="BF1986" s="115"/>
      <c r="BG1986" s="115"/>
      <c r="BH1986" s="122"/>
      <c r="BI1986" s="122"/>
      <c r="BJ1986" s="122"/>
      <c r="BK1986" s="115"/>
      <c r="BL1986" s="115"/>
      <c r="BM1986" s="115"/>
      <c r="BN1986" s="115"/>
      <c r="BO1986" s="115"/>
      <c r="BP1986" s="115"/>
      <c r="BQ1986" s="115"/>
      <c r="BR1986" s="115"/>
      <c r="BS1986" s="115"/>
      <c r="BT1986" s="115"/>
      <c r="BU1986" s="115"/>
      <c r="BV1986" s="115"/>
      <c r="BW1986" s="115"/>
      <c r="BX1986" s="115"/>
      <c r="BY1986" s="26"/>
      <c r="BZ1986" s="15"/>
    </row>
    <row r="1987" spans="1:78" x14ac:dyDescent="0.4">
      <c r="BY1987" s="26"/>
      <c r="BZ1987" s="15"/>
    </row>
    <row r="1988" spans="1:78" x14ac:dyDescent="0.4">
      <c r="B1988" s="115"/>
      <c r="C1988" s="115"/>
      <c r="D1988" s="115"/>
      <c r="E1988" s="115"/>
      <c r="F1988" s="115"/>
      <c r="G1988" s="115"/>
      <c r="H1988" s="115"/>
      <c r="I1988" s="115"/>
      <c r="J1988" s="115"/>
      <c r="K1988" s="115"/>
      <c r="L1988" s="115"/>
      <c r="M1988" s="115"/>
      <c r="N1988" s="115"/>
      <c r="O1988" s="115"/>
      <c r="P1988" s="115"/>
      <c r="Q1988" s="115"/>
      <c r="R1988" s="115"/>
      <c r="S1988" s="115"/>
      <c r="T1988" s="115"/>
      <c r="U1988" s="115"/>
      <c r="V1988" s="115"/>
      <c r="W1988" s="115"/>
      <c r="X1988" s="115"/>
      <c r="Y1988" s="115"/>
      <c r="Z1988" s="115"/>
      <c r="AA1988" s="115"/>
      <c r="AB1988" s="115"/>
      <c r="AC1988" s="115"/>
      <c r="AD1988" s="115"/>
      <c r="AE1988" s="115"/>
      <c r="AF1988" s="115"/>
      <c r="AG1988" s="115"/>
      <c r="AH1988" s="115"/>
      <c r="AI1988" s="115"/>
      <c r="AJ1988" s="115"/>
      <c r="AK1988" s="115"/>
      <c r="AL1988" s="115"/>
      <c r="AM1988" s="115"/>
      <c r="AN1988" s="115"/>
      <c r="AO1988" s="115"/>
      <c r="AP1988" s="115"/>
      <c r="AQ1988" s="115"/>
      <c r="AR1988" s="115"/>
      <c r="AS1988" s="115"/>
      <c r="AT1988" s="115"/>
      <c r="AU1988" s="115"/>
      <c r="AV1988" s="115"/>
      <c r="AW1988" s="115"/>
      <c r="AX1988" s="115"/>
      <c r="AY1988" s="115"/>
      <c r="AZ1988" s="115"/>
      <c r="BA1988" s="115"/>
      <c r="BB1988" s="115"/>
      <c r="BC1988" s="115"/>
      <c r="BD1988" s="115"/>
      <c r="BE1988" s="115"/>
      <c r="BF1988" s="115"/>
      <c r="BG1988" s="115"/>
      <c r="BH1988" s="122"/>
      <c r="BI1988" s="122"/>
      <c r="BJ1988" s="122"/>
      <c r="BK1988" s="115"/>
      <c r="BL1988" s="115"/>
      <c r="BM1988" s="115"/>
      <c r="BN1988" s="115"/>
      <c r="BO1988" s="115"/>
      <c r="BP1988" s="115"/>
      <c r="BQ1988" s="115"/>
      <c r="BR1988" s="115"/>
      <c r="BS1988" s="115"/>
      <c r="BT1988" s="115"/>
      <c r="BU1988" s="115"/>
      <c r="BV1988" s="115"/>
      <c r="BW1988" s="115"/>
      <c r="BX1988" s="115"/>
      <c r="BY1988" s="26"/>
      <c r="BZ1988" s="15"/>
    </row>
    <row r="1989" spans="1:78" x14ac:dyDescent="0.4">
      <c r="BY1989" s="26"/>
      <c r="BZ1989" s="15"/>
    </row>
    <row r="1990" spans="1:78" x14ac:dyDescent="0.4">
      <c r="B1990" s="115"/>
      <c r="C1990" s="115"/>
      <c r="D1990" s="115"/>
      <c r="E1990" s="115"/>
      <c r="F1990" s="115"/>
      <c r="G1990" s="115"/>
      <c r="H1990" s="115"/>
      <c r="I1990" s="115"/>
      <c r="J1990" s="115"/>
      <c r="K1990" s="115"/>
      <c r="L1990" s="115"/>
      <c r="M1990" s="115"/>
      <c r="N1990" s="115"/>
      <c r="O1990" s="115"/>
      <c r="P1990" s="115"/>
      <c r="Q1990" s="115"/>
      <c r="R1990" s="115"/>
      <c r="S1990" s="115"/>
      <c r="T1990" s="115"/>
      <c r="U1990" s="115"/>
      <c r="V1990" s="115"/>
      <c r="W1990" s="115"/>
      <c r="X1990" s="115"/>
      <c r="Y1990" s="115"/>
      <c r="Z1990" s="115"/>
      <c r="AA1990" s="115"/>
      <c r="AB1990" s="115"/>
      <c r="AC1990" s="115"/>
      <c r="AD1990" s="115"/>
      <c r="AE1990" s="115"/>
      <c r="AF1990" s="115"/>
      <c r="AG1990" s="115"/>
      <c r="AH1990" s="115"/>
      <c r="AI1990" s="115"/>
      <c r="AJ1990" s="115"/>
      <c r="AK1990" s="115"/>
      <c r="AL1990" s="115"/>
      <c r="AM1990" s="115"/>
      <c r="AN1990" s="115"/>
      <c r="AO1990" s="115"/>
      <c r="AP1990" s="115"/>
      <c r="AQ1990" s="115"/>
      <c r="AR1990" s="115"/>
      <c r="AS1990" s="115"/>
      <c r="AT1990" s="115"/>
      <c r="AU1990" s="115"/>
      <c r="AV1990" s="115"/>
      <c r="AW1990" s="115"/>
      <c r="AX1990" s="115"/>
      <c r="AY1990" s="115"/>
      <c r="AZ1990" s="115"/>
      <c r="BA1990" s="115"/>
      <c r="BB1990" s="115"/>
      <c r="BC1990" s="115"/>
      <c r="BD1990" s="115"/>
      <c r="BE1990" s="115"/>
      <c r="BF1990" s="115"/>
      <c r="BG1990" s="115"/>
      <c r="BH1990" s="122"/>
      <c r="BI1990" s="122"/>
      <c r="BJ1990" s="122"/>
      <c r="BK1990" s="115"/>
      <c r="BL1990" s="115"/>
      <c r="BM1990" s="115"/>
      <c r="BN1990" s="115"/>
      <c r="BO1990" s="115"/>
      <c r="BP1990" s="115"/>
      <c r="BQ1990" s="115"/>
      <c r="BR1990" s="115"/>
      <c r="BS1990" s="115"/>
      <c r="BT1990" s="115"/>
      <c r="BU1990" s="115"/>
      <c r="BV1990" s="115"/>
      <c r="BW1990" s="115"/>
      <c r="BX1990" s="115"/>
      <c r="BY1990" s="26"/>
      <c r="BZ1990" s="15"/>
    </row>
    <row r="1991" spans="1:78" x14ac:dyDescent="0.4">
      <c r="BY1991" s="26"/>
      <c r="BZ1991" s="15"/>
    </row>
    <row r="1992" spans="1:78" x14ac:dyDescent="0.4">
      <c r="BY1992" s="26"/>
      <c r="BZ1992" s="15"/>
    </row>
    <row r="1993" spans="1:78" x14ac:dyDescent="0.4">
      <c r="BY1993" s="26"/>
      <c r="BZ1993" s="15"/>
    </row>
    <row r="1994" spans="1:78" x14ac:dyDescent="0.4">
      <c r="BY1994" s="26"/>
      <c r="BZ1994" s="15"/>
    </row>
    <row r="1995" spans="1:78" x14ac:dyDescent="0.4">
      <c r="BY1995" s="26"/>
      <c r="BZ1995" s="15"/>
    </row>
    <row r="1996" spans="1:78" x14ac:dyDescent="0.4">
      <c r="BY1996" s="26"/>
      <c r="BZ1996" s="15"/>
    </row>
    <row r="1997" spans="1:78" x14ac:dyDescent="0.4">
      <c r="A1997" s="115"/>
      <c r="B1997" s="115"/>
      <c r="C1997" s="115"/>
      <c r="D1997" s="115"/>
      <c r="E1997" s="115"/>
      <c r="F1997" s="115"/>
      <c r="G1997" s="115"/>
      <c r="H1997" s="115"/>
      <c r="I1997" s="115"/>
      <c r="J1997" s="115"/>
      <c r="K1997" s="115"/>
      <c r="L1997" s="115"/>
      <c r="M1997" s="115"/>
      <c r="N1997" s="115"/>
      <c r="O1997" s="115"/>
      <c r="P1997" s="115"/>
      <c r="Q1997" s="115"/>
      <c r="R1997" s="115"/>
      <c r="S1997" s="115"/>
      <c r="T1997" s="115"/>
      <c r="U1997" s="115"/>
      <c r="V1997" s="115"/>
      <c r="W1997" s="115"/>
      <c r="X1997" s="115"/>
      <c r="Y1997" s="115"/>
      <c r="Z1997" s="115"/>
      <c r="AA1997" s="115"/>
      <c r="AB1997" s="115"/>
      <c r="AC1997" s="115"/>
      <c r="AD1997" s="115"/>
      <c r="AE1997" s="115"/>
      <c r="AF1997" s="115"/>
      <c r="AG1997" s="115"/>
      <c r="AH1997" s="115"/>
      <c r="AI1997" s="115"/>
      <c r="AJ1997" s="115"/>
      <c r="AK1997" s="115"/>
      <c r="AL1997" s="115"/>
      <c r="AM1997" s="115"/>
      <c r="AN1997" s="115"/>
      <c r="AO1997" s="115"/>
      <c r="AP1997" s="115"/>
      <c r="AQ1997" s="115"/>
      <c r="AR1997" s="115"/>
      <c r="AS1997" s="115"/>
      <c r="AT1997" s="115"/>
      <c r="AU1997" s="115"/>
      <c r="AV1997" s="115"/>
      <c r="AW1997" s="115"/>
      <c r="AX1997" s="115"/>
      <c r="AY1997" s="115"/>
      <c r="AZ1997" s="115"/>
      <c r="BA1997" s="115"/>
      <c r="BB1997" s="115"/>
      <c r="BC1997" s="115"/>
      <c r="BD1997" s="115"/>
      <c r="BE1997" s="115"/>
      <c r="BF1997" s="115"/>
      <c r="BG1997" s="115"/>
      <c r="BH1997" s="122"/>
      <c r="BI1997" s="122"/>
      <c r="BJ1997" s="122"/>
      <c r="BK1997" s="115"/>
      <c r="BL1997" s="115"/>
      <c r="BM1997" s="115"/>
      <c r="BN1997" s="115"/>
      <c r="BO1997" s="115"/>
      <c r="BP1997" s="115"/>
      <c r="BQ1997" s="115"/>
      <c r="BR1997" s="115"/>
      <c r="BS1997" s="115"/>
      <c r="BT1997" s="115"/>
      <c r="BU1997" s="115"/>
      <c r="BV1997" s="115"/>
      <c r="BW1997" s="115"/>
      <c r="BX1997" s="115"/>
      <c r="BY1997" s="26"/>
      <c r="BZ1997" s="15"/>
    </row>
    <row r="1998" spans="1:78" x14ac:dyDescent="0.4">
      <c r="BY1998" s="26"/>
      <c r="BZ1998" s="15"/>
    </row>
    <row r="1999" spans="1:78" x14ac:dyDescent="0.4">
      <c r="BY1999" s="26"/>
      <c r="BZ1999" s="15"/>
    </row>
    <row r="2000" spans="1:78" x14ac:dyDescent="0.4">
      <c r="BY2000" s="26"/>
      <c r="BZ2000" s="15"/>
    </row>
    <row r="2001" spans="1:78" x14ac:dyDescent="0.4">
      <c r="BY2001" s="26"/>
      <c r="BZ2001" s="15"/>
    </row>
    <row r="2002" spans="1:78" x14ac:dyDescent="0.4">
      <c r="BY2002" s="26"/>
      <c r="BZ2002" s="15"/>
    </row>
    <row r="2003" spans="1:78" x14ac:dyDescent="0.4">
      <c r="BA2003" s="115"/>
      <c r="BB2003" s="115"/>
      <c r="BC2003" s="115"/>
      <c r="BD2003" s="115"/>
      <c r="BE2003" s="115"/>
      <c r="BF2003" s="115"/>
      <c r="BG2003" s="115"/>
      <c r="BH2003" s="122"/>
      <c r="BI2003" s="122"/>
      <c r="BJ2003" s="122"/>
      <c r="BK2003" s="115"/>
      <c r="BL2003" s="115"/>
      <c r="BM2003" s="115"/>
      <c r="BN2003" s="115"/>
      <c r="BO2003" s="115"/>
      <c r="BP2003" s="115"/>
      <c r="BQ2003" s="115"/>
      <c r="BR2003" s="115"/>
      <c r="BS2003" s="115"/>
      <c r="BT2003" s="115"/>
      <c r="BU2003" s="115"/>
      <c r="BV2003" s="115"/>
      <c r="BW2003" s="115"/>
      <c r="BX2003" s="115"/>
      <c r="BY2003" s="17"/>
      <c r="BZ2003" s="15"/>
    </row>
    <row r="2004" spans="1:78" x14ac:dyDescent="0.4">
      <c r="BA2004" s="115"/>
      <c r="BB2004" s="115"/>
      <c r="BC2004" s="115"/>
      <c r="BD2004" s="115"/>
      <c r="BE2004" s="115"/>
      <c r="BF2004" s="115"/>
      <c r="BG2004" s="115"/>
      <c r="BH2004" s="122"/>
      <c r="BI2004" s="122"/>
      <c r="BJ2004" s="122"/>
      <c r="BK2004" s="115"/>
      <c r="BL2004" s="115"/>
      <c r="BM2004" s="115"/>
      <c r="BN2004" s="115"/>
      <c r="BO2004" s="115"/>
      <c r="BP2004" s="115"/>
      <c r="BQ2004" s="115"/>
      <c r="BR2004" s="115"/>
      <c r="BS2004" s="115"/>
      <c r="BT2004" s="115"/>
      <c r="BU2004" s="115"/>
      <c r="BV2004" s="115"/>
      <c r="BW2004" s="115"/>
      <c r="BX2004" s="115"/>
      <c r="BY2004" s="17"/>
      <c r="BZ2004" s="15"/>
    </row>
    <row r="2005" spans="1:78" x14ac:dyDescent="0.4">
      <c r="BY2005" s="26"/>
      <c r="BZ2005" s="15"/>
    </row>
    <row r="2006" spans="1:78" x14ac:dyDescent="0.4">
      <c r="BY2006" s="26"/>
      <c r="BZ2006" s="15"/>
    </row>
    <row r="2007" spans="1:78" x14ac:dyDescent="0.4">
      <c r="A2007" s="115"/>
      <c r="B2007" s="115"/>
      <c r="C2007" s="115"/>
      <c r="D2007" s="115"/>
      <c r="E2007" s="115"/>
      <c r="F2007" s="115"/>
      <c r="G2007" s="115"/>
      <c r="H2007" s="115"/>
      <c r="I2007" s="115"/>
      <c r="J2007" s="115"/>
      <c r="K2007" s="115"/>
      <c r="L2007" s="115"/>
      <c r="M2007" s="115"/>
      <c r="N2007" s="115"/>
      <c r="O2007" s="115"/>
      <c r="P2007" s="115"/>
      <c r="Q2007" s="115"/>
      <c r="R2007" s="115"/>
      <c r="S2007" s="115"/>
      <c r="T2007" s="115"/>
      <c r="U2007" s="115"/>
      <c r="V2007" s="115"/>
      <c r="W2007" s="115"/>
      <c r="X2007" s="115"/>
      <c r="Y2007" s="115"/>
      <c r="Z2007" s="115"/>
      <c r="AA2007" s="115"/>
      <c r="AB2007" s="115"/>
      <c r="AC2007" s="115"/>
      <c r="AD2007" s="115"/>
      <c r="AE2007" s="115"/>
      <c r="AF2007" s="115"/>
      <c r="AG2007" s="115"/>
      <c r="AH2007" s="115"/>
      <c r="AI2007" s="115"/>
      <c r="AJ2007" s="115"/>
      <c r="AK2007" s="115"/>
      <c r="AL2007" s="115"/>
      <c r="AM2007" s="115"/>
      <c r="AN2007" s="115"/>
      <c r="AO2007" s="115"/>
      <c r="AP2007" s="115"/>
      <c r="AQ2007" s="115"/>
      <c r="AR2007" s="115"/>
      <c r="AS2007" s="115"/>
      <c r="AT2007" s="115"/>
      <c r="AU2007" s="115"/>
      <c r="AV2007" s="115"/>
      <c r="AW2007" s="115"/>
      <c r="AX2007" s="115"/>
      <c r="AY2007" s="115"/>
      <c r="AZ2007" s="115"/>
      <c r="BA2007" s="115"/>
      <c r="BB2007" s="115"/>
      <c r="BC2007" s="115"/>
      <c r="BD2007" s="115"/>
      <c r="BE2007" s="115"/>
      <c r="BF2007" s="115"/>
      <c r="BG2007" s="115"/>
      <c r="BH2007" s="122"/>
      <c r="BI2007" s="122"/>
      <c r="BJ2007" s="122"/>
      <c r="BK2007" s="115"/>
      <c r="BL2007" s="115"/>
      <c r="BM2007" s="115"/>
      <c r="BN2007" s="115"/>
      <c r="BO2007" s="115"/>
      <c r="BP2007" s="115"/>
      <c r="BQ2007" s="115"/>
      <c r="BR2007" s="115"/>
      <c r="BS2007" s="115"/>
      <c r="BT2007" s="115"/>
      <c r="BU2007" s="115"/>
      <c r="BV2007" s="115"/>
      <c r="BW2007" s="115"/>
      <c r="BX2007" s="115"/>
      <c r="BY2007" s="26"/>
      <c r="BZ2007" s="15"/>
    </row>
    <row r="2008" spans="1:78" x14ac:dyDescent="0.4">
      <c r="A2008" s="115"/>
      <c r="B2008" s="115"/>
      <c r="C2008" s="115"/>
      <c r="D2008" s="115"/>
      <c r="E2008" s="115"/>
      <c r="F2008" s="115"/>
      <c r="G2008" s="115"/>
      <c r="H2008" s="115"/>
      <c r="I2008" s="115"/>
      <c r="J2008" s="115"/>
      <c r="K2008" s="115"/>
      <c r="L2008" s="115"/>
      <c r="M2008" s="115"/>
      <c r="N2008" s="115"/>
      <c r="O2008" s="115"/>
      <c r="P2008" s="115"/>
      <c r="Q2008" s="115"/>
      <c r="R2008" s="115"/>
      <c r="S2008" s="115"/>
      <c r="T2008" s="115"/>
      <c r="U2008" s="115"/>
      <c r="V2008" s="115"/>
      <c r="W2008" s="115"/>
      <c r="X2008" s="115"/>
      <c r="Y2008" s="115"/>
      <c r="Z2008" s="115"/>
      <c r="AA2008" s="115"/>
      <c r="AB2008" s="115"/>
      <c r="AC2008" s="115"/>
      <c r="AD2008" s="115"/>
      <c r="AE2008" s="115"/>
      <c r="AF2008" s="115"/>
      <c r="AG2008" s="115"/>
      <c r="AH2008" s="115"/>
      <c r="AI2008" s="115"/>
      <c r="AJ2008" s="115"/>
      <c r="AK2008" s="115"/>
      <c r="AL2008" s="115"/>
      <c r="AM2008" s="115"/>
      <c r="AN2008" s="115"/>
      <c r="AO2008" s="115"/>
      <c r="AP2008" s="115"/>
      <c r="AQ2008" s="115"/>
      <c r="AR2008" s="115"/>
      <c r="AS2008" s="115"/>
      <c r="AT2008" s="115"/>
      <c r="AU2008" s="115"/>
      <c r="AV2008" s="115"/>
      <c r="AW2008" s="115"/>
      <c r="AX2008" s="115"/>
      <c r="AY2008" s="115"/>
      <c r="AZ2008" s="115"/>
      <c r="BA2008" s="115"/>
      <c r="BB2008" s="115"/>
      <c r="BC2008" s="115"/>
      <c r="BD2008" s="115"/>
      <c r="BE2008" s="115"/>
      <c r="BF2008" s="115"/>
      <c r="BG2008" s="115"/>
      <c r="BH2008" s="122"/>
      <c r="BI2008" s="122"/>
      <c r="BJ2008" s="122"/>
      <c r="BK2008" s="115"/>
      <c r="BL2008" s="115"/>
      <c r="BM2008" s="115"/>
      <c r="BN2008" s="115"/>
      <c r="BO2008" s="115"/>
      <c r="BP2008" s="115"/>
      <c r="BQ2008" s="115"/>
      <c r="BR2008" s="115"/>
      <c r="BS2008" s="115"/>
      <c r="BT2008" s="115"/>
      <c r="BU2008" s="115"/>
      <c r="BV2008" s="115"/>
      <c r="BW2008" s="115"/>
      <c r="BX2008" s="115"/>
      <c r="BY2008" s="26"/>
      <c r="BZ2008" s="13"/>
    </row>
    <row r="2009" spans="1:78" x14ac:dyDescent="0.4">
      <c r="BY2009" s="26"/>
      <c r="BZ2009" s="15"/>
    </row>
    <row r="2010" spans="1:78" x14ac:dyDescent="0.4">
      <c r="B2010" s="115"/>
      <c r="C2010" s="115"/>
      <c r="D2010" s="115"/>
      <c r="E2010" s="115"/>
      <c r="F2010" s="115"/>
      <c r="G2010" s="115"/>
      <c r="H2010" s="115"/>
      <c r="I2010" s="115"/>
      <c r="J2010" s="115"/>
      <c r="K2010" s="115"/>
      <c r="L2010" s="115"/>
      <c r="M2010" s="115"/>
      <c r="N2010" s="115"/>
      <c r="O2010" s="115"/>
      <c r="P2010" s="115"/>
      <c r="Q2010" s="115"/>
      <c r="R2010" s="115"/>
      <c r="S2010" s="115"/>
      <c r="T2010" s="115"/>
      <c r="U2010" s="115"/>
      <c r="V2010" s="115"/>
      <c r="W2010" s="115"/>
      <c r="X2010" s="115"/>
      <c r="Y2010" s="115"/>
      <c r="Z2010" s="115"/>
      <c r="AA2010" s="115"/>
      <c r="AB2010" s="115"/>
      <c r="AC2010" s="115"/>
      <c r="AD2010" s="115"/>
      <c r="AE2010" s="115"/>
      <c r="AF2010" s="115"/>
      <c r="AG2010" s="115"/>
      <c r="AH2010" s="115"/>
      <c r="AI2010" s="115"/>
      <c r="AJ2010" s="115"/>
      <c r="AK2010" s="115"/>
      <c r="AL2010" s="115"/>
      <c r="AM2010" s="115"/>
      <c r="AN2010" s="115"/>
      <c r="AO2010" s="115"/>
      <c r="AP2010" s="115"/>
      <c r="AQ2010" s="115"/>
      <c r="AR2010" s="115"/>
      <c r="AS2010" s="115"/>
      <c r="AT2010" s="115"/>
      <c r="AU2010" s="115"/>
      <c r="AV2010" s="115"/>
      <c r="AW2010" s="115"/>
      <c r="AX2010" s="115"/>
      <c r="AY2010" s="115"/>
      <c r="AZ2010" s="115"/>
      <c r="BA2010" s="115"/>
      <c r="BB2010" s="115"/>
      <c r="BC2010" s="115"/>
      <c r="BD2010" s="115"/>
      <c r="BE2010" s="115"/>
      <c r="BF2010" s="115"/>
      <c r="BG2010" s="115"/>
      <c r="BH2010" s="122"/>
      <c r="BI2010" s="122"/>
      <c r="BJ2010" s="122"/>
      <c r="BK2010" s="115"/>
      <c r="BL2010" s="115"/>
      <c r="BM2010" s="115"/>
      <c r="BN2010" s="115"/>
      <c r="BO2010" s="115"/>
      <c r="BP2010" s="115"/>
      <c r="BQ2010" s="115"/>
      <c r="BR2010" s="115"/>
      <c r="BS2010" s="115"/>
      <c r="BT2010" s="115"/>
      <c r="BU2010" s="115"/>
      <c r="BV2010" s="115"/>
      <c r="BW2010" s="115"/>
      <c r="BX2010" s="115"/>
      <c r="BY2010" s="26"/>
      <c r="BZ2010" s="15"/>
    </row>
    <row r="2011" spans="1:78" x14ac:dyDescent="0.4">
      <c r="BY2011" s="26"/>
      <c r="BZ2011" s="15"/>
    </row>
    <row r="2012" spans="1:78" x14ac:dyDescent="0.4">
      <c r="BY2012" s="26"/>
      <c r="BZ2012" s="15"/>
    </row>
    <row r="2013" spans="1:78" x14ac:dyDescent="0.4">
      <c r="A2013" s="115"/>
      <c r="B2013" s="115"/>
      <c r="C2013" s="115"/>
      <c r="D2013" s="115"/>
      <c r="E2013" s="115"/>
      <c r="F2013" s="115"/>
      <c r="G2013" s="115"/>
      <c r="H2013" s="115"/>
      <c r="I2013" s="115"/>
      <c r="J2013" s="115"/>
      <c r="K2013" s="115"/>
      <c r="L2013" s="115"/>
      <c r="M2013" s="115"/>
      <c r="N2013" s="115"/>
      <c r="O2013" s="115"/>
      <c r="P2013" s="115"/>
      <c r="Q2013" s="115"/>
      <c r="R2013" s="115"/>
      <c r="S2013" s="115"/>
      <c r="T2013" s="115"/>
      <c r="U2013" s="115"/>
      <c r="V2013" s="115"/>
      <c r="W2013" s="115"/>
      <c r="X2013" s="115"/>
      <c r="Y2013" s="115"/>
      <c r="Z2013" s="115"/>
      <c r="AA2013" s="115"/>
      <c r="AB2013" s="115"/>
      <c r="AC2013" s="115"/>
      <c r="AD2013" s="115"/>
      <c r="AE2013" s="115"/>
      <c r="AF2013" s="115"/>
      <c r="AG2013" s="115"/>
      <c r="AH2013" s="115"/>
      <c r="AI2013" s="115"/>
      <c r="AJ2013" s="115"/>
      <c r="AK2013" s="115"/>
      <c r="AL2013" s="115"/>
      <c r="AM2013" s="115"/>
      <c r="AN2013" s="115"/>
      <c r="AO2013" s="115"/>
      <c r="AP2013" s="115"/>
      <c r="AQ2013" s="115"/>
      <c r="AR2013" s="115"/>
      <c r="AS2013" s="115"/>
      <c r="AT2013" s="115"/>
      <c r="AU2013" s="115"/>
      <c r="AV2013" s="115"/>
      <c r="AW2013" s="115"/>
      <c r="AX2013" s="115"/>
      <c r="AY2013" s="115"/>
      <c r="AZ2013" s="115"/>
      <c r="BA2013" s="115"/>
      <c r="BB2013" s="115"/>
      <c r="BC2013" s="115"/>
      <c r="BD2013" s="115"/>
      <c r="BE2013" s="115"/>
      <c r="BF2013" s="115"/>
      <c r="BG2013" s="115"/>
      <c r="BH2013" s="122"/>
      <c r="BI2013" s="122"/>
      <c r="BJ2013" s="122"/>
      <c r="BK2013" s="115"/>
      <c r="BL2013" s="115"/>
      <c r="BM2013" s="115"/>
      <c r="BN2013" s="115"/>
      <c r="BO2013" s="115"/>
      <c r="BP2013" s="115"/>
      <c r="BQ2013" s="115"/>
      <c r="BR2013" s="115"/>
      <c r="BS2013" s="115"/>
      <c r="BT2013" s="115"/>
      <c r="BU2013" s="115"/>
      <c r="BV2013" s="115"/>
      <c r="BW2013" s="115"/>
      <c r="BX2013" s="115"/>
      <c r="BY2013" s="26"/>
      <c r="BZ2013" s="15"/>
    </row>
    <row r="2014" spans="1:78" x14ac:dyDescent="0.4">
      <c r="BY2014" s="26"/>
      <c r="BZ2014" s="13"/>
    </row>
    <row r="2015" spans="1:78" x14ac:dyDescent="0.4">
      <c r="BY2015" s="26"/>
      <c r="BZ2015" s="13"/>
    </row>
    <row r="2016" spans="1:78" x14ac:dyDescent="0.4">
      <c r="A2016" s="115"/>
      <c r="B2016" s="115"/>
      <c r="C2016" s="115"/>
      <c r="D2016" s="115"/>
      <c r="E2016" s="115"/>
      <c r="F2016" s="115"/>
      <c r="G2016" s="115"/>
      <c r="H2016" s="115"/>
      <c r="I2016" s="115"/>
      <c r="J2016" s="115"/>
      <c r="K2016" s="115"/>
      <c r="L2016" s="115"/>
      <c r="M2016" s="115"/>
      <c r="N2016" s="115"/>
      <c r="O2016" s="115"/>
      <c r="P2016" s="115"/>
      <c r="Q2016" s="115"/>
      <c r="R2016" s="115"/>
      <c r="S2016" s="115"/>
      <c r="T2016" s="115"/>
      <c r="U2016" s="115"/>
      <c r="V2016" s="115"/>
      <c r="W2016" s="115"/>
      <c r="X2016" s="115"/>
      <c r="Y2016" s="115"/>
      <c r="Z2016" s="115"/>
      <c r="AA2016" s="115"/>
      <c r="AB2016" s="115"/>
      <c r="AC2016" s="115"/>
      <c r="AD2016" s="115"/>
      <c r="AE2016" s="115"/>
      <c r="AF2016" s="115"/>
      <c r="AG2016" s="115"/>
      <c r="AH2016" s="115"/>
      <c r="AI2016" s="115"/>
      <c r="AJ2016" s="115"/>
      <c r="AK2016" s="115"/>
      <c r="AL2016" s="115"/>
      <c r="AM2016" s="115"/>
      <c r="AN2016" s="115"/>
      <c r="AO2016" s="115"/>
      <c r="AP2016" s="115"/>
      <c r="AQ2016" s="115"/>
      <c r="AR2016" s="115"/>
      <c r="AS2016" s="115"/>
      <c r="AT2016" s="115"/>
      <c r="AU2016" s="115"/>
      <c r="AV2016" s="115"/>
      <c r="AW2016" s="115"/>
      <c r="AX2016" s="115"/>
      <c r="AY2016" s="115"/>
      <c r="AZ2016" s="115"/>
      <c r="BA2016" s="115"/>
      <c r="BB2016" s="115"/>
      <c r="BC2016" s="115"/>
      <c r="BD2016" s="115"/>
      <c r="BE2016" s="115"/>
      <c r="BF2016" s="115"/>
      <c r="BG2016" s="115"/>
      <c r="BH2016" s="122"/>
      <c r="BI2016" s="122"/>
      <c r="BJ2016" s="122"/>
      <c r="BK2016" s="115"/>
      <c r="BL2016" s="115"/>
      <c r="BM2016" s="115"/>
      <c r="BN2016" s="115"/>
      <c r="BO2016" s="115"/>
      <c r="BP2016" s="115"/>
      <c r="BQ2016" s="115"/>
      <c r="BR2016" s="115"/>
      <c r="BS2016" s="115"/>
      <c r="BT2016" s="115"/>
      <c r="BU2016" s="115"/>
      <c r="BV2016" s="115"/>
      <c r="BW2016" s="115"/>
      <c r="BX2016" s="115"/>
      <c r="BY2016" s="26"/>
      <c r="BZ2016" s="13"/>
    </row>
    <row r="2017" spans="1:78" x14ac:dyDescent="0.4">
      <c r="BY2017" s="26"/>
      <c r="BZ2017" s="13"/>
    </row>
    <row r="2018" spans="1:78" x14ac:dyDescent="0.4">
      <c r="BY2018" s="26"/>
      <c r="BZ2018" s="13"/>
    </row>
    <row r="2019" spans="1:78" x14ac:dyDescent="0.4">
      <c r="BY2019" s="26"/>
      <c r="BZ2019" s="13"/>
    </row>
    <row r="2020" spans="1:78" x14ac:dyDescent="0.4">
      <c r="BY2020" s="26"/>
      <c r="BZ2020" s="13"/>
    </row>
    <row r="2021" spans="1:78" x14ac:dyDescent="0.4">
      <c r="BY2021" s="26"/>
      <c r="BZ2021" s="13"/>
    </row>
    <row r="2022" spans="1:78" x14ac:dyDescent="0.4">
      <c r="A2022" s="115"/>
      <c r="B2022" s="115"/>
      <c r="C2022" s="115"/>
      <c r="D2022" s="115"/>
      <c r="E2022" s="115"/>
      <c r="F2022" s="115"/>
      <c r="G2022" s="115"/>
      <c r="H2022" s="115"/>
      <c r="I2022" s="115"/>
      <c r="J2022" s="115"/>
      <c r="K2022" s="115"/>
      <c r="L2022" s="115"/>
      <c r="M2022" s="115"/>
      <c r="N2022" s="115"/>
      <c r="O2022" s="115"/>
      <c r="P2022" s="115"/>
      <c r="Q2022" s="115"/>
      <c r="R2022" s="115"/>
      <c r="S2022" s="115"/>
      <c r="T2022" s="115"/>
      <c r="U2022" s="115"/>
      <c r="V2022" s="115"/>
      <c r="W2022" s="115"/>
      <c r="X2022" s="115"/>
      <c r="Y2022" s="115"/>
      <c r="Z2022" s="115"/>
      <c r="AA2022" s="115"/>
      <c r="AB2022" s="115"/>
      <c r="AC2022" s="115"/>
      <c r="AD2022" s="115"/>
      <c r="AE2022" s="115"/>
      <c r="AF2022" s="115"/>
      <c r="AG2022" s="115"/>
      <c r="AH2022" s="115"/>
      <c r="AI2022" s="115"/>
      <c r="AJ2022" s="115"/>
      <c r="AK2022" s="115"/>
      <c r="AL2022" s="115"/>
      <c r="AM2022" s="115"/>
      <c r="AN2022" s="115"/>
      <c r="AO2022" s="115"/>
      <c r="AP2022" s="115"/>
      <c r="AQ2022" s="115"/>
      <c r="AR2022" s="115"/>
      <c r="AS2022" s="115"/>
      <c r="AT2022" s="115"/>
      <c r="AU2022" s="115"/>
      <c r="AV2022" s="115"/>
      <c r="AW2022" s="115"/>
      <c r="AX2022" s="115"/>
      <c r="AY2022" s="115"/>
      <c r="AZ2022" s="115"/>
      <c r="BA2022" s="115"/>
      <c r="BB2022" s="115"/>
      <c r="BC2022" s="115"/>
      <c r="BD2022" s="115"/>
      <c r="BE2022" s="115"/>
      <c r="BF2022" s="115"/>
      <c r="BG2022" s="115"/>
      <c r="BH2022" s="122"/>
      <c r="BI2022" s="122"/>
      <c r="BJ2022" s="122"/>
      <c r="BK2022" s="115"/>
      <c r="BL2022" s="115"/>
      <c r="BM2022" s="115"/>
      <c r="BN2022" s="115"/>
      <c r="BO2022" s="115"/>
      <c r="BP2022" s="115"/>
      <c r="BQ2022" s="115"/>
      <c r="BR2022" s="115"/>
      <c r="BS2022" s="115"/>
      <c r="BT2022" s="115"/>
      <c r="BU2022" s="115"/>
      <c r="BV2022" s="115"/>
      <c r="BW2022" s="115"/>
      <c r="BX2022" s="115"/>
      <c r="BY2022" s="26"/>
      <c r="BZ2022" s="25"/>
    </row>
    <row r="2023" spans="1:78" x14ac:dyDescent="0.4">
      <c r="BY2023" s="26"/>
      <c r="BZ2023" s="13"/>
    </row>
    <row r="2024" spans="1:78" x14ac:dyDescent="0.4">
      <c r="A2024" s="115"/>
      <c r="B2024" s="115"/>
      <c r="C2024" s="115"/>
      <c r="D2024" s="115"/>
      <c r="E2024" s="115"/>
      <c r="F2024" s="115"/>
      <c r="G2024" s="115"/>
      <c r="H2024" s="115"/>
      <c r="I2024" s="115"/>
      <c r="J2024" s="115"/>
      <c r="K2024" s="115"/>
      <c r="L2024" s="115"/>
      <c r="M2024" s="115"/>
      <c r="N2024" s="115"/>
      <c r="O2024" s="115"/>
      <c r="P2024" s="115"/>
      <c r="Q2024" s="115"/>
      <c r="R2024" s="115"/>
      <c r="S2024" s="115"/>
      <c r="T2024" s="115"/>
      <c r="U2024" s="115"/>
      <c r="V2024" s="115"/>
      <c r="W2024" s="115"/>
      <c r="X2024" s="115"/>
      <c r="Y2024" s="115"/>
      <c r="Z2024" s="115"/>
      <c r="AA2024" s="115"/>
      <c r="AB2024" s="115"/>
      <c r="AC2024" s="115"/>
      <c r="AD2024" s="115"/>
      <c r="AE2024" s="115"/>
      <c r="AF2024" s="115"/>
      <c r="AG2024" s="115"/>
      <c r="AH2024" s="115"/>
      <c r="AI2024" s="115"/>
      <c r="AJ2024" s="115"/>
      <c r="AK2024" s="115"/>
      <c r="AL2024" s="115"/>
      <c r="AM2024" s="115"/>
      <c r="AN2024" s="115"/>
      <c r="AO2024" s="115"/>
      <c r="AP2024" s="115"/>
      <c r="AQ2024" s="115"/>
      <c r="AR2024" s="115"/>
      <c r="AS2024" s="115"/>
      <c r="AT2024" s="115"/>
      <c r="AU2024" s="115"/>
      <c r="AV2024" s="115"/>
      <c r="AW2024" s="115"/>
      <c r="AX2024" s="115"/>
      <c r="AY2024" s="115"/>
      <c r="AZ2024" s="115"/>
      <c r="BA2024" s="115"/>
      <c r="BB2024" s="115"/>
      <c r="BC2024" s="115"/>
      <c r="BD2024" s="115"/>
      <c r="BE2024" s="115"/>
      <c r="BF2024" s="115"/>
      <c r="BG2024" s="115"/>
      <c r="BH2024" s="122"/>
      <c r="BI2024" s="122"/>
      <c r="BJ2024" s="122"/>
      <c r="BK2024" s="115"/>
      <c r="BL2024" s="115"/>
      <c r="BM2024" s="115"/>
      <c r="BN2024" s="115"/>
      <c r="BO2024" s="115"/>
      <c r="BP2024" s="115"/>
      <c r="BQ2024" s="115"/>
      <c r="BR2024" s="115"/>
      <c r="BS2024" s="115"/>
      <c r="BT2024" s="115"/>
      <c r="BU2024" s="115"/>
      <c r="BV2024" s="115"/>
      <c r="BW2024" s="115"/>
      <c r="BX2024" s="115"/>
      <c r="BY2024" s="26"/>
      <c r="BZ2024" s="13"/>
    </row>
    <row r="2025" spans="1:78" x14ac:dyDescent="0.4">
      <c r="A2025" s="115"/>
      <c r="B2025" s="115"/>
      <c r="C2025" s="115"/>
      <c r="D2025" s="115"/>
      <c r="E2025" s="115"/>
      <c r="F2025" s="115"/>
      <c r="G2025" s="115"/>
      <c r="H2025" s="115"/>
      <c r="I2025" s="115"/>
      <c r="J2025" s="115"/>
      <c r="K2025" s="115"/>
      <c r="L2025" s="115"/>
      <c r="M2025" s="115"/>
      <c r="N2025" s="115"/>
      <c r="O2025" s="115"/>
      <c r="P2025" s="115"/>
      <c r="Q2025" s="115"/>
      <c r="R2025" s="115"/>
      <c r="S2025" s="115"/>
      <c r="T2025" s="115"/>
      <c r="U2025" s="115"/>
      <c r="V2025" s="115"/>
      <c r="W2025" s="115"/>
      <c r="X2025" s="115"/>
      <c r="Y2025" s="115"/>
      <c r="Z2025" s="115"/>
      <c r="AA2025" s="115"/>
      <c r="AB2025" s="115"/>
      <c r="AC2025" s="115"/>
      <c r="AD2025" s="115"/>
      <c r="AE2025" s="115"/>
      <c r="AF2025" s="115"/>
      <c r="AG2025" s="115"/>
      <c r="AH2025" s="115"/>
      <c r="AI2025" s="115"/>
      <c r="AJ2025" s="115"/>
      <c r="AK2025" s="115"/>
      <c r="AL2025" s="115"/>
      <c r="AM2025" s="115"/>
      <c r="AN2025" s="115"/>
      <c r="AO2025" s="115"/>
      <c r="AP2025" s="115"/>
      <c r="AQ2025" s="115"/>
      <c r="AR2025" s="115"/>
      <c r="AS2025" s="115"/>
      <c r="AT2025" s="115"/>
      <c r="AU2025" s="115"/>
      <c r="AV2025" s="115"/>
      <c r="AW2025" s="115"/>
      <c r="AX2025" s="115"/>
      <c r="AY2025" s="115"/>
      <c r="AZ2025" s="115"/>
      <c r="BA2025" s="115"/>
      <c r="BB2025" s="115"/>
      <c r="BC2025" s="115"/>
      <c r="BD2025" s="115"/>
      <c r="BE2025" s="115"/>
      <c r="BF2025" s="115"/>
      <c r="BG2025" s="115"/>
      <c r="BH2025" s="122"/>
      <c r="BI2025" s="122"/>
      <c r="BJ2025" s="122"/>
      <c r="BK2025" s="115"/>
      <c r="BL2025" s="115"/>
      <c r="BM2025" s="115"/>
      <c r="BN2025" s="115"/>
      <c r="BO2025" s="115"/>
      <c r="BP2025" s="115"/>
      <c r="BQ2025" s="115"/>
      <c r="BR2025" s="115"/>
      <c r="BS2025" s="115"/>
      <c r="BT2025" s="115"/>
      <c r="BU2025" s="115"/>
      <c r="BV2025" s="115"/>
      <c r="BW2025" s="115"/>
      <c r="BX2025" s="115"/>
      <c r="BY2025" s="26"/>
      <c r="BZ2025" s="13"/>
    </row>
    <row r="2026" spans="1:78" x14ac:dyDescent="0.4">
      <c r="BY2026" s="26"/>
      <c r="BZ2026" s="15"/>
    </row>
    <row r="2027" spans="1:78" x14ac:dyDescent="0.4">
      <c r="BY2027" s="26"/>
      <c r="BZ2027" s="15"/>
    </row>
    <row r="2028" spans="1:78" x14ac:dyDescent="0.4">
      <c r="BY2028" s="26"/>
      <c r="BZ2028" s="15"/>
    </row>
    <row r="2029" spans="1:78" x14ac:dyDescent="0.4">
      <c r="BY2029" s="26"/>
      <c r="BZ2029" s="13"/>
    </row>
    <row r="2030" spans="1:78" x14ac:dyDescent="0.4">
      <c r="BY2030" s="26"/>
      <c r="BZ2030" s="15"/>
    </row>
    <row r="2031" spans="1:78" x14ac:dyDescent="0.4">
      <c r="B2031" s="115"/>
      <c r="C2031" s="115"/>
      <c r="D2031" s="115"/>
      <c r="E2031" s="115"/>
      <c r="F2031" s="115"/>
      <c r="G2031" s="115"/>
      <c r="H2031" s="115"/>
      <c r="I2031" s="115"/>
      <c r="J2031" s="115"/>
      <c r="K2031" s="115"/>
      <c r="L2031" s="115"/>
      <c r="M2031" s="115"/>
      <c r="N2031" s="115"/>
      <c r="O2031" s="115"/>
      <c r="P2031" s="115"/>
      <c r="Q2031" s="115"/>
      <c r="R2031" s="115"/>
      <c r="S2031" s="115"/>
      <c r="T2031" s="115"/>
      <c r="U2031" s="115"/>
      <c r="V2031" s="115"/>
      <c r="W2031" s="115"/>
      <c r="X2031" s="115"/>
      <c r="Y2031" s="115"/>
      <c r="Z2031" s="115"/>
      <c r="AA2031" s="115"/>
      <c r="AB2031" s="115"/>
      <c r="AC2031" s="115"/>
      <c r="AD2031" s="115"/>
      <c r="AE2031" s="115"/>
      <c r="AF2031" s="115"/>
      <c r="AG2031" s="115"/>
      <c r="AH2031" s="115"/>
      <c r="AI2031" s="115"/>
      <c r="AJ2031" s="115"/>
      <c r="AK2031" s="115"/>
      <c r="AL2031" s="115"/>
      <c r="AM2031" s="115"/>
      <c r="AN2031" s="115"/>
      <c r="AO2031" s="115"/>
      <c r="AP2031" s="115"/>
      <c r="AQ2031" s="115"/>
      <c r="AR2031" s="115"/>
      <c r="AS2031" s="115"/>
      <c r="AT2031" s="115"/>
      <c r="AU2031" s="115"/>
      <c r="AV2031" s="115"/>
      <c r="AW2031" s="115"/>
      <c r="AX2031" s="115"/>
      <c r="AY2031" s="115"/>
      <c r="AZ2031" s="115"/>
      <c r="BA2031" s="115"/>
      <c r="BB2031" s="115"/>
      <c r="BC2031" s="115"/>
      <c r="BD2031" s="115"/>
      <c r="BE2031" s="115"/>
      <c r="BF2031" s="115"/>
      <c r="BG2031" s="115"/>
      <c r="BH2031" s="122"/>
      <c r="BI2031" s="122"/>
      <c r="BJ2031" s="122"/>
      <c r="BK2031" s="115"/>
      <c r="BL2031" s="115"/>
      <c r="BM2031" s="115"/>
      <c r="BN2031" s="115"/>
      <c r="BO2031" s="115"/>
      <c r="BP2031" s="115"/>
      <c r="BQ2031" s="115"/>
      <c r="BR2031" s="115"/>
      <c r="BS2031" s="115"/>
      <c r="BT2031" s="115"/>
      <c r="BU2031" s="115"/>
      <c r="BV2031" s="115"/>
      <c r="BW2031" s="115"/>
      <c r="BX2031" s="115"/>
      <c r="BY2031" s="17"/>
      <c r="BZ2031" s="15"/>
    </row>
    <row r="2032" spans="1:78" x14ac:dyDescent="0.4">
      <c r="BY2032" s="26"/>
      <c r="BZ2032" s="15"/>
    </row>
    <row r="2033" spans="2:78" x14ac:dyDescent="0.4">
      <c r="B2033" s="115"/>
      <c r="C2033" s="115"/>
      <c r="D2033" s="115"/>
      <c r="E2033" s="115"/>
      <c r="F2033" s="115"/>
      <c r="G2033" s="115"/>
      <c r="H2033" s="115"/>
      <c r="I2033" s="115"/>
      <c r="J2033" s="115"/>
      <c r="K2033" s="115"/>
      <c r="L2033" s="115"/>
      <c r="M2033" s="115"/>
      <c r="N2033" s="115"/>
      <c r="O2033" s="115"/>
      <c r="P2033" s="115"/>
      <c r="Q2033" s="115"/>
      <c r="R2033" s="115"/>
      <c r="S2033" s="115"/>
      <c r="T2033" s="115"/>
      <c r="U2033" s="115"/>
      <c r="V2033" s="115"/>
      <c r="W2033" s="115"/>
      <c r="X2033" s="115"/>
      <c r="Y2033" s="115"/>
      <c r="Z2033" s="115"/>
      <c r="AA2033" s="115"/>
      <c r="AB2033" s="115"/>
      <c r="AC2033" s="115"/>
      <c r="AD2033" s="115"/>
      <c r="AE2033" s="115"/>
      <c r="AF2033" s="115"/>
      <c r="AG2033" s="115"/>
      <c r="AH2033" s="115"/>
      <c r="AI2033" s="115"/>
      <c r="AJ2033" s="115"/>
      <c r="AK2033" s="115"/>
      <c r="AL2033" s="115"/>
      <c r="AM2033" s="115"/>
      <c r="AN2033" s="115"/>
      <c r="AO2033" s="115"/>
      <c r="AP2033" s="115"/>
      <c r="AQ2033" s="115"/>
      <c r="AR2033" s="115"/>
      <c r="AS2033" s="115"/>
      <c r="AT2033" s="115"/>
      <c r="AU2033" s="115"/>
      <c r="AV2033" s="115"/>
      <c r="AW2033" s="115"/>
      <c r="AX2033" s="115"/>
      <c r="AY2033" s="115"/>
      <c r="AZ2033" s="115"/>
      <c r="BA2033" s="115"/>
      <c r="BB2033" s="115"/>
      <c r="BC2033" s="115"/>
      <c r="BD2033" s="115"/>
      <c r="BE2033" s="115"/>
      <c r="BF2033" s="115"/>
      <c r="BG2033" s="115"/>
      <c r="BH2033" s="122"/>
      <c r="BI2033" s="122"/>
      <c r="BJ2033" s="122"/>
      <c r="BK2033" s="115"/>
      <c r="BL2033" s="115"/>
      <c r="BM2033" s="115"/>
      <c r="BN2033" s="115"/>
      <c r="BO2033" s="115"/>
      <c r="BP2033" s="115"/>
      <c r="BQ2033" s="115"/>
      <c r="BR2033" s="115"/>
      <c r="BS2033" s="115"/>
      <c r="BT2033" s="115"/>
      <c r="BU2033" s="115"/>
      <c r="BV2033" s="115"/>
      <c r="BW2033" s="115"/>
      <c r="BX2033" s="115"/>
      <c r="BY2033" s="17"/>
      <c r="BZ2033" s="15"/>
    </row>
    <row r="2034" spans="2:78" x14ac:dyDescent="0.4">
      <c r="BY2034" s="26"/>
      <c r="BZ2034" s="15"/>
    </row>
    <row r="2035" spans="2:78" x14ac:dyDescent="0.4">
      <c r="BY2035" s="26"/>
      <c r="BZ2035" s="15"/>
    </row>
    <row r="2036" spans="2:78" x14ac:dyDescent="0.4">
      <c r="B2036" s="115"/>
      <c r="C2036" s="115"/>
      <c r="D2036" s="115"/>
      <c r="E2036" s="115"/>
      <c r="F2036" s="115"/>
      <c r="G2036" s="115"/>
      <c r="H2036" s="115"/>
      <c r="I2036" s="115"/>
      <c r="J2036" s="115"/>
      <c r="K2036" s="115"/>
      <c r="L2036" s="115"/>
      <c r="M2036" s="115"/>
      <c r="N2036" s="115"/>
      <c r="O2036" s="115"/>
      <c r="P2036" s="115"/>
      <c r="Q2036" s="115"/>
      <c r="R2036" s="115"/>
      <c r="S2036" s="115"/>
      <c r="T2036" s="115"/>
      <c r="U2036" s="115"/>
      <c r="V2036" s="115"/>
      <c r="W2036" s="115"/>
      <c r="X2036" s="115"/>
      <c r="Y2036" s="115"/>
      <c r="Z2036" s="115"/>
      <c r="AA2036" s="115"/>
      <c r="AB2036" s="115"/>
      <c r="AC2036" s="115"/>
      <c r="AD2036" s="115"/>
      <c r="AE2036" s="115"/>
      <c r="AF2036" s="115"/>
      <c r="AG2036" s="115"/>
      <c r="AH2036" s="115"/>
      <c r="AI2036" s="115"/>
      <c r="AJ2036" s="115"/>
      <c r="AK2036" s="115"/>
      <c r="AL2036" s="115"/>
      <c r="AM2036" s="115"/>
      <c r="AN2036" s="115"/>
      <c r="AO2036" s="115"/>
      <c r="AP2036" s="115"/>
      <c r="AQ2036" s="115"/>
      <c r="AR2036" s="115"/>
      <c r="AS2036" s="115"/>
      <c r="AT2036" s="115"/>
      <c r="AU2036" s="115"/>
      <c r="AV2036" s="115"/>
      <c r="AW2036" s="115"/>
      <c r="AX2036" s="115"/>
      <c r="AY2036" s="115"/>
      <c r="AZ2036" s="115"/>
      <c r="BA2036" s="115"/>
      <c r="BB2036" s="115"/>
      <c r="BC2036" s="115"/>
      <c r="BD2036" s="115"/>
      <c r="BE2036" s="115"/>
      <c r="BF2036" s="115"/>
      <c r="BG2036" s="115"/>
      <c r="BH2036" s="122"/>
      <c r="BI2036" s="122"/>
      <c r="BJ2036" s="122"/>
      <c r="BK2036" s="115"/>
      <c r="BL2036" s="115"/>
      <c r="BM2036" s="115"/>
      <c r="BN2036" s="115"/>
      <c r="BO2036" s="115"/>
      <c r="BP2036" s="115"/>
      <c r="BQ2036" s="115"/>
      <c r="BR2036" s="115"/>
      <c r="BS2036" s="115"/>
      <c r="BT2036" s="115"/>
      <c r="BU2036" s="115"/>
      <c r="BV2036" s="115"/>
      <c r="BW2036" s="115"/>
      <c r="BX2036" s="115"/>
      <c r="BY2036" s="17"/>
      <c r="BZ2036" s="15"/>
    </row>
    <row r="2037" spans="2:78" x14ac:dyDescent="0.4">
      <c r="BY2037" s="26"/>
      <c r="BZ2037" s="15"/>
    </row>
    <row r="2038" spans="2:78" x14ac:dyDescent="0.4">
      <c r="BY2038" s="26"/>
      <c r="BZ2038" s="15"/>
    </row>
    <row r="2039" spans="2:78" x14ac:dyDescent="0.4">
      <c r="BY2039" s="26"/>
      <c r="BZ2039" s="105"/>
    </row>
    <row r="2040" spans="2:78" x14ac:dyDescent="0.4">
      <c r="BY2040" s="26"/>
      <c r="BZ2040" s="15"/>
    </row>
    <row r="2041" spans="2:78" x14ac:dyDescent="0.4">
      <c r="BY2041" s="26"/>
      <c r="BZ2041" s="15"/>
    </row>
    <row r="2042" spans="2:78" x14ac:dyDescent="0.4">
      <c r="BY2042" s="26"/>
      <c r="BZ2042" s="15"/>
    </row>
    <row r="2043" spans="2:78" x14ac:dyDescent="0.4">
      <c r="BY2043" s="26"/>
      <c r="BZ2043" s="15"/>
    </row>
    <row r="2044" spans="2:78" x14ac:dyDescent="0.4">
      <c r="BY2044" s="26"/>
      <c r="BZ2044" s="15"/>
    </row>
    <row r="2045" spans="2:78" x14ac:dyDescent="0.4">
      <c r="B2045" s="115"/>
      <c r="C2045" s="115"/>
      <c r="D2045" s="115"/>
      <c r="E2045" s="115"/>
      <c r="F2045" s="115"/>
      <c r="G2045" s="115"/>
      <c r="H2045" s="115"/>
      <c r="I2045" s="115"/>
      <c r="J2045" s="115"/>
      <c r="K2045" s="115"/>
      <c r="L2045" s="115"/>
      <c r="M2045" s="115"/>
      <c r="N2045" s="115"/>
      <c r="O2045" s="115"/>
      <c r="P2045" s="115"/>
      <c r="Q2045" s="115"/>
      <c r="R2045" s="115"/>
      <c r="S2045" s="115"/>
      <c r="T2045" s="115"/>
      <c r="U2045" s="115"/>
      <c r="V2045" s="115"/>
      <c r="W2045" s="115"/>
      <c r="X2045" s="115"/>
      <c r="Y2045" s="115"/>
      <c r="Z2045" s="115"/>
      <c r="AA2045" s="115"/>
      <c r="AB2045" s="115"/>
      <c r="AC2045" s="115"/>
      <c r="AD2045" s="115"/>
      <c r="AE2045" s="115"/>
      <c r="AF2045" s="115"/>
      <c r="AG2045" s="115"/>
      <c r="AH2045" s="115"/>
      <c r="AI2045" s="115"/>
      <c r="AJ2045" s="115"/>
      <c r="AK2045" s="115"/>
      <c r="AL2045" s="115"/>
      <c r="AM2045" s="115"/>
      <c r="AN2045" s="115"/>
      <c r="AO2045" s="115"/>
      <c r="AP2045" s="115"/>
      <c r="AQ2045" s="115"/>
      <c r="AR2045" s="115"/>
      <c r="AS2045" s="115"/>
      <c r="AT2045" s="115"/>
      <c r="AU2045" s="115"/>
      <c r="AV2045" s="115"/>
      <c r="AW2045" s="115"/>
      <c r="AX2045" s="115"/>
      <c r="AY2045" s="115"/>
      <c r="AZ2045" s="115"/>
      <c r="BA2045" s="115"/>
      <c r="BB2045" s="115"/>
      <c r="BC2045" s="115"/>
      <c r="BD2045" s="115"/>
      <c r="BE2045" s="115"/>
      <c r="BF2045" s="115"/>
      <c r="BG2045" s="115"/>
      <c r="BH2045" s="122"/>
      <c r="BI2045" s="122"/>
      <c r="BJ2045" s="122"/>
      <c r="BK2045" s="115"/>
      <c r="BL2045" s="115"/>
      <c r="BM2045" s="115"/>
      <c r="BN2045" s="115"/>
      <c r="BO2045" s="115"/>
      <c r="BP2045" s="115"/>
      <c r="BQ2045" s="115"/>
      <c r="BR2045" s="115"/>
      <c r="BS2045" s="115"/>
      <c r="BT2045" s="115"/>
      <c r="BU2045" s="115"/>
      <c r="BV2045" s="115"/>
      <c r="BW2045" s="115"/>
      <c r="BX2045" s="115"/>
      <c r="BY2045" s="119"/>
      <c r="BZ2045" s="119"/>
    </row>
    <row r="2046" spans="2:78" x14ac:dyDescent="0.4">
      <c r="B2046" s="115"/>
      <c r="C2046" s="115"/>
      <c r="D2046" s="115"/>
      <c r="E2046" s="115"/>
      <c r="F2046" s="115"/>
      <c r="G2046" s="115"/>
      <c r="H2046" s="115"/>
      <c r="I2046" s="115"/>
      <c r="J2046" s="115"/>
      <c r="K2046" s="115"/>
      <c r="L2046" s="115"/>
      <c r="M2046" s="115"/>
      <c r="N2046" s="115"/>
      <c r="O2046" s="115"/>
      <c r="P2046" s="115"/>
      <c r="Q2046" s="115"/>
      <c r="R2046" s="115"/>
      <c r="S2046" s="115"/>
      <c r="T2046" s="115"/>
      <c r="U2046" s="115"/>
      <c r="V2046" s="115"/>
      <c r="W2046" s="115"/>
      <c r="X2046" s="115"/>
      <c r="Y2046" s="115"/>
      <c r="Z2046" s="115"/>
      <c r="AA2046" s="115"/>
      <c r="AB2046" s="115"/>
      <c r="AC2046" s="115"/>
      <c r="AD2046" s="115"/>
      <c r="AE2046" s="115"/>
      <c r="AF2046" s="115"/>
      <c r="AG2046" s="115"/>
      <c r="AH2046" s="115"/>
      <c r="AI2046" s="115"/>
      <c r="AJ2046" s="115"/>
      <c r="AK2046" s="115"/>
      <c r="AL2046" s="115"/>
      <c r="AM2046" s="115"/>
      <c r="AN2046" s="115"/>
      <c r="AO2046" s="115"/>
      <c r="AP2046" s="115"/>
      <c r="AQ2046" s="115"/>
      <c r="AR2046" s="115"/>
      <c r="AS2046" s="115"/>
      <c r="AT2046" s="115"/>
      <c r="AU2046" s="115"/>
      <c r="AV2046" s="115"/>
      <c r="AW2046" s="115"/>
      <c r="AX2046" s="115"/>
      <c r="AY2046" s="115"/>
      <c r="AZ2046" s="115"/>
      <c r="BA2046" s="115"/>
      <c r="BB2046" s="115"/>
      <c r="BC2046" s="115"/>
      <c r="BD2046" s="115"/>
      <c r="BE2046" s="115"/>
      <c r="BF2046" s="115"/>
      <c r="BG2046" s="115"/>
      <c r="BH2046" s="122"/>
      <c r="BI2046" s="122"/>
      <c r="BJ2046" s="122"/>
      <c r="BK2046" s="115"/>
      <c r="BL2046" s="115"/>
      <c r="BM2046" s="115"/>
      <c r="BN2046" s="115"/>
      <c r="BO2046" s="115"/>
      <c r="BP2046" s="115"/>
      <c r="BQ2046" s="115"/>
      <c r="BR2046" s="115"/>
      <c r="BS2046" s="115"/>
      <c r="BT2046" s="115"/>
      <c r="BU2046" s="115"/>
      <c r="BV2046" s="115"/>
      <c r="BW2046" s="115"/>
      <c r="BX2046" s="115"/>
      <c r="BY2046" s="119"/>
      <c r="BZ2046" s="119"/>
    </row>
  </sheetData>
  <sortState xmlns:xlrd2="http://schemas.microsoft.com/office/spreadsheetml/2017/richdata2" ref="Z2:AA198">
    <sortCondition ref="Z2:Z198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A169" zoomScaleNormal="100" workbookViewId="0">
      <selection sqref="A1:A1048576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85" t="s">
        <v>270</v>
      </c>
      <c r="B1" s="121"/>
      <c r="C1" s="121"/>
      <c r="D1" s="121"/>
      <c r="G1" s="120"/>
      <c r="H1" s="121"/>
      <c r="I1" s="121"/>
      <c r="J1" s="121"/>
    </row>
    <row r="2" spans="1:32" ht="19.5" x14ac:dyDescent="0.4">
      <c r="A2" s="85" t="s">
        <v>271</v>
      </c>
      <c r="B2" s="126"/>
      <c r="C2" s="126"/>
      <c r="D2" s="126"/>
      <c r="G2" s="118"/>
      <c r="H2" s="126"/>
      <c r="I2" s="126"/>
      <c r="J2" s="126"/>
      <c r="N2" s="127"/>
      <c r="O2" s="29"/>
      <c r="AE2" s="127"/>
      <c r="AF2" s="29"/>
    </row>
    <row r="3" spans="1:32" ht="19.5" x14ac:dyDescent="0.4">
      <c r="A3" s="85" t="s">
        <v>324</v>
      </c>
      <c r="B3" s="126"/>
      <c r="C3" s="126"/>
      <c r="D3" s="126"/>
      <c r="G3" s="125"/>
      <c r="H3" s="126"/>
      <c r="I3" s="126"/>
      <c r="J3" s="126"/>
      <c r="M3" s="115"/>
      <c r="N3" s="127"/>
      <c r="O3" s="29"/>
      <c r="AE3" s="127"/>
      <c r="AF3" s="29"/>
    </row>
    <row r="4" spans="1:32" ht="19.5" x14ac:dyDescent="0.4">
      <c r="A4" s="85" t="s">
        <v>272</v>
      </c>
      <c r="B4" s="126"/>
      <c r="C4" s="126"/>
      <c r="D4" s="126"/>
      <c r="G4" s="125"/>
      <c r="H4" s="126"/>
      <c r="I4" s="126"/>
      <c r="J4" s="126"/>
      <c r="L4" s="115"/>
      <c r="M4" s="115"/>
      <c r="N4" s="127"/>
      <c r="O4" s="29"/>
      <c r="AE4" s="127"/>
      <c r="AF4" s="29"/>
    </row>
    <row r="5" spans="1:32" ht="19.5" x14ac:dyDescent="0.4">
      <c r="A5" s="85" t="s">
        <v>273</v>
      </c>
      <c r="B5" s="126"/>
      <c r="C5" s="126"/>
      <c r="D5" s="126"/>
      <c r="G5" s="125"/>
      <c r="H5" s="126"/>
      <c r="I5" s="126"/>
      <c r="J5" s="126"/>
      <c r="L5" s="115"/>
      <c r="M5" s="115"/>
      <c r="N5" s="127"/>
      <c r="O5" s="29"/>
      <c r="AE5" s="127"/>
      <c r="AF5" s="29"/>
    </row>
    <row r="6" spans="1:32" ht="19.5" x14ac:dyDescent="0.4">
      <c r="A6" s="85" t="s">
        <v>274</v>
      </c>
      <c r="B6" s="126"/>
      <c r="C6" s="126"/>
      <c r="D6" s="126"/>
      <c r="G6" s="125"/>
      <c r="H6" s="126"/>
      <c r="I6" s="126"/>
      <c r="J6" s="126"/>
      <c r="K6" s="115"/>
      <c r="L6" s="115"/>
      <c r="M6" s="115"/>
      <c r="N6" s="127"/>
      <c r="O6" s="29"/>
      <c r="AE6" s="127"/>
      <c r="AF6" s="29"/>
    </row>
    <row r="7" spans="1:32" ht="19.5" x14ac:dyDescent="0.4">
      <c r="A7" s="85" t="s">
        <v>275</v>
      </c>
      <c r="B7" s="126"/>
      <c r="C7" s="126"/>
      <c r="D7" s="126"/>
      <c r="G7" s="125"/>
      <c r="H7" s="126"/>
      <c r="I7" s="126"/>
      <c r="J7" s="126"/>
      <c r="K7" s="115"/>
      <c r="L7" s="115"/>
      <c r="M7" s="115"/>
      <c r="N7" s="127"/>
      <c r="O7" s="29"/>
      <c r="AE7" s="127"/>
      <c r="AF7" s="29"/>
    </row>
    <row r="8" spans="1:32" ht="19.5" x14ac:dyDescent="0.4">
      <c r="A8" s="85" t="s">
        <v>301</v>
      </c>
      <c r="B8" s="126"/>
      <c r="C8" s="126"/>
      <c r="D8" s="126"/>
      <c r="G8" s="125"/>
      <c r="H8" s="126"/>
      <c r="I8" s="126"/>
      <c r="J8" s="126"/>
      <c r="K8" s="115"/>
      <c r="L8" s="115"/>
      <c r="M8" s="115"/>
      <c r="N8" s="127"/>
      <c r="O8" s="29"/>
      <c r="AE8" s="127"/>
      <c r="AF8" s="29"/>
    </row>
    <row r="9" spans="1:32" ht="19.5" x14ac:dyDescent="0.4">
      <c r="A9" s="85" t="s">
        <v>276</v>
      </c>
      <c r="B9" s="126"/>
      <c r="C9" s="126"/>
      <c r="D9" s="126"/>
      <c r="G9" s="125"/>
      <c r="H9" s="126"/>
      <c r="I9" s="126"/>
      <c r="J9" s="126"/>
      <c r="K9" s="115"/>
      <c r="L9" s="115"/>
      <c r="M9" s="115"/>
      <c r="N9" s="127"/>
      <c r="O9" s="29"/>
      <c r="AE9" s="127"/>
      <c r="AF9" s="29"/>
    </row>
    <row r="10" spans="1:32" ht="19.5" x14ac:dyDescent="0.4">
      <c r="A10" s="85" t="s">
        <v>277</v>
      </c>
      <c r="B10" s="126"/>
      <c r="C10" s="126"/>
      <c r="D10" s="126"/>
      <c r="G10" s="125"/>
      <c r="H10" s="126"/>
      <c r="I10" s="126"/>
      <c r="J10" s="126"/>
      <c r="K10" s="115"/>
      <c r="L10" s="115"/>
      <c r="M10" s="115"/>
      <c r="N10" s="127"/>
      <c r="O10" s="29"/>
      <c r="AE10" s="127"/>
      <c r="AF10" s="29"/>
    </row>
    <row r="11" spans="1:32" ht="19.5" x14ac:dyDescent="0.4">
      <c r="A11" s="85" t="s">
        <v>278</v>
      </c>
      <c r="B11" s="126"/>
      <c r="C11" s="126"/>
      <c r="D11" s="126"/>
      <c r="G11" s="125"/>
      <c r="H11" s="126"/>
      <c r="I11" s="126"/>
      <c r="J11" s="126"/>
      <c r="K11" s="115"/>
      <c r="L11" s="115"/>
      <c r="M11" s="115"/>
      <c r="N11" s="127"/>
      <c r="O11" s="29"/>
      <c r="AE11" s="127"/>
      <c r="AF11" s="29"/>
    </row>
    <row r="12" spans="1:32" ht="19.5" x14ac:dyDescent="0.4">
      <c r="A12" s="85" t="s">
        <v>279</v>
      </c>
      <c r="B12" s="126"/>
      <c r="C12" s="126"/>
      <c r="D12" s="126"/>
      <c r="G12" s="125"/>
      <c r="H12" s="126"/>
      <c r="I12" s="126"/>
      <c r="J12" s="126"/>
      <c r="N12" s="127"/>
      <c r="O12" s="29"/>
      <c r="AE12" s="127"/>
      <c r="AF12" s="29"/>
    </row>
    <row r="13" spans="1:32" ht="19.5" x14ac:dyDescent="0.4">
      <c r="A13" s="85" t="s">
        <v>280</v>
      </c>
      <c r="B13" s="126"/>
      <c r="C13" s="126"/>
      <c r="D13" s="126"/>
      <c r="G13" s="125"/>
      <c r="H13" s="126"/>
      <c r="I13" s="126"/>
      <c r="J13" s="126"/>
      <c r="L13" s="115"/>
      <c r="M13" s="115"/>
      <c r="N13" s="127"/>
      <c r="O13" s="29"/>
      <c r="AE13" s="127"/>
      <c r="AF13" s="29"/>
    </row>
    <row r="14" spans="1:32" ht="19.5" x14ac:dyDescent="0.4">
      <c r="A14" s="85" t="s">
        <v>281</v>
      </c>
      <c r="B14" s="126"/>
      <c r="C14" s="126"/>
      <c r="D14" s="126"/>
      <c r="G14" s="125"/>
      <c r="H14" s="126"/>
      <c r="I14" s="126"/>
      <c r="J14" s="126"/>
      <c r="K14" s="115"/>
      <c r="L14" s="115"/>
      <c r="M14" s="115"/>
      <c r="N14" s="127"/>
      <c r="O14" s="29"/>
      <c r="AE14" s="127"/>
      <c r="AF14" s="29"/>
    </row>
    <row r="15" spans="1:32" ht="19.5" x14ac:dyDescent="0.4">
      <c r="A15" s="85" t="s">
        <v>282</v>
      </c>
      <c r="B15" s="126"/>
      <c r="C15" s="126"/>
      <c r="D15" s="126"/>
      <c r="G15" s="125"/>
      <c r="H15" s="126"/>
      <c r="I15" s="126"/>
      <c r="J15" s="126"/>
      <c r="K15" s="115"/>
      <c r="L15" s="115"/>
      <c r="M15" s="115"/>
      <c r="N15" s="127"/>
      <c r="O15" s="29"/>
      <c r="AD15" s="115"/>
      <c r="AE15" s="29"/>
      <c r="AF15" s="29"/>
    </row>
    <row r="16" spans="1:32" ht="19.5" x14ac:dyDescent="0.4">
      <c r="A16" s="85" t="s">
        <v>283</v>
      </c>
      <c r="B16" s="126"/>
      <c r="C16" s="126"/>
      <c r="D16" s="126"/>
      <c r="G16" s="125"/>
      <c r="H16" s="126"/>
      <c r="I16" s="126"/>
      <c r="J16" s="126"/>
      <c r="K16" s="115"/>
      <c r="L16" s="115"/>
      <c r="M16" s="115"/>
      <c r="N16" s="127"/>
      <c r="O16" s="29"/>
      <c r="AD16" s="115"/>
      <c r="AE16" s="29"/>
      <c r="AF16" s="29"/>
    </row>
    <row r="17" spans="1:32" ht="19.5" x14ac:dyDescent="0.4">
      <c r="A17" s="85" t="s">
        <v>302</v>
      </c>
      <c r="B17" s="126"/>
      <c r="C17" s="126"/>
      <c r="D17" s="126"/>
      <c r="G17" s="125"/>
      <c r="H17" s="126"/>
      <c r="I17" s="126"/>
      <c r="J17" s="126"/>
      <c r="K17" s="115"/>
      <c r="L17" s="115"/>
      <c r="M17" s="115"/>
      <c r="N17" s="127"/>
      <c r="O17" s="29"/>
      <c r="AD17" s="115"/>
      <c r="AE17" s="29"/>
      <c r="AF17" s="29"/>
    </row>
    <row r="18" spans="1:32" ht="19.5" x14ac:dyDescent="0.4">
      <c r="A18" s="85" t="s">
        <v>284</v>
      </c>
      <c r="B18" s="126"/>
      <c r="C18" s="126"/>
      <c r="D18" s="126"/>
      <c r="G18" s="125"/>
      <c r="H18" s="126"/>
      <c r="I18" s="126"/>
      <c r="J18" s="126"/>
      <c r="K18" s="115"/>
      <c r="L18" s="115"/>
      <c r="M18" s="115"/>
      <c r="N18" s="127"/>
      <c r="O18" s="29"/>
      <c r="AD18" s="115"/>
      <c r="AE18" s="29"/>
      <c r="AF18" s="29"/>
    </row>
    <row r="19" spans="1:32" ht="19.5" x14ac:dyDescent="0.4">
      <c r="A19" s="85" t="s">
        <v>285</v>
      </c>
      <c r="B19" s="126"/>
      <c r="C19" s="126"/>
      <c r="D19" s="126"/>
      <c r="G19" s="125"/>
      <c r="H19" s="126"/>
      <c r="I19" s="126"/>
      <c r="J19" s="126"/>
      <c r="K19" s="115"/>
      <c r="L19" s="115"/>
      <c r="M19" s="115"/>
      <c r="N19" s="127"/>
      <c r="O19" s="29"/>
      <c r="AD19" s="115"/>
      <c r="AE19" s="29"/>
      <c r="AF19" s="29"/>
    </row>
    <row r="20" spans="1:32" ht="19.5" x14ac:dyDescent="0.4">
      <c r="A20" s="85" t="s">
        <v>286</v>
      </c>
      <c r="B20" s="126"/>
      <c r="C20" s="126"/>
      <c r="D20" s="126"/>
      <c r="G20" s="125"/>
      <c r="H20" s="126"/>
      <c r="I20" s="126"/>
      <c r="J20" s="126"/>
      <c r="K20" s="115"/>
      <c r="L20" s="115"/>
      <c r="M20" s="115"/>
      <c r="N20" s="127"/>
      <c r="O20" s="29"/>
      <c r="AD20" s="115"/>
      <c r="AE20" s="29"/>
      <c r="AF20" s="29"/>
    </row>
    <row r="21" spans="1:32" ht="19.5" x14ac:dyDescent="0.4">
      <c r="A21" s="85" t="s">
        <v>287</v>
      </c>
      <c r="B21" s="126"/>
      <c r="C21" s="126"/>
      <c r="D21" s="126"/>
      <c r="G21" s="125"/>
      <c r="H21" s="126"/>
      <c r="I21" s="126"/>
      <c r="J21" s="126"/>
      <c r="K21" s="115"/>
      <c r="L21" s="115"/>
      <c r="M21" s="115"/>
      <c r="N21" s="127"/>
      <c r="O21" s="29"/>
      <c r="AD21" s="115"/>
      <c r="AE21" s="29"/>
      <c r="AF21" s="29"/>
    </row>
    <row r="22" spans="1:32" ht="19.5" x14ac:dyDescent="0.4">
      <c r="A22" s="85" t="s">
        <v>288</v>
      </c>
      <c r="B22" s="126"/>
      <c r="C22" s="126"/>
      <c r="D22" s="126"/>
      <c r="G22" s="125"/>
      <c r="H22" s="126"/>
      <c r="I22" s="126"/>
      <c r="J22" s="126"/>
      <c r="K22" s="115"/>
      <c r="L22" s="115"/>
      <c r="M22" s="115"/>
      <c r="N22" s="127"/>
      <c r="O22" s="29"/>
      <c r="AD22" s="115"/>
      <c r="AE22" s="29"/>
      <c r="AF22" s="29"/>
    </row>
    <row r="23" spans="1:32" ht="19.5" x14ac:dyDescent="0.4">
      <c r="A23" s="85" t="s">
        <v>356</v>
      </c>
      <c r="B23" s="126"/>
      <c r="C23" s="126"/>
      <c r="D23" s="126"/>
      <c r="G23" s="125"/>
      <c r="H23" s="126"/>
      <c r="I23" s="126"/>
      <c r="J23" s="126"/>
      <c r="K23" s="115"/>
      <c r="L23" s="115"/>
      <c r="M23" s="115"/>
      <c r="N23" s="127"/>
      <c r="O23" s="29"/>
      <c r="AD23" s="115"/>
      <c r="AE23" s="29"/>
      <c r="AF23" s="29"/>
    </row>
    <row r="24" spans="1:32" ht="19.5" x14ac:dyDescent="0.4">
      <c r="A24" s="85" t="s">
        <v>357</v>
      </c>
      <c r="B24" s="126"/>
      <c r="C24" s="126"/>
      <c r="D24" s="126"/>
      <c r="G24" s="125"/>
      <c r="H24" s="126"/>
      <c r="I24" s="126"/>
      <c r="J24" s="126"/>
      <c r="K24" s="115"/>
      <c r="L24" s="115"/>
      <c r="M24" s="115"/>
      <c r="N24" s="127"/>
      <c r="O24" s="29"/>
      <c r="AD24" s="115"/>
      <c r="AE24" s="29"/>
      <c r="AF24" s="29"/>
    </row>
    <row r="25" spans="1:32" ht="19.5" x14ac:dyDescent="0.4">
      <c r="A25" s="85" t="s">
        <v>358</v>
      </c>
      <c r="B25" s="126"/>
      <c r="C25" s="126"/>
      <c r="D25" s="126"/>
      <c r="G25" s="125"/>
      <c r="H25" s="126"/>
      <c r="I25" s="126"/>
      <c r="J25" s="126"/>
      <c r="K25" s="115"/>
      <c r="L25" s="115"/>
      <c r="M25" s="115"/>
      <c r="N25" s="127"/>
      <c r="O25" s="29"/>
      <c r="AC25" s="115"/>
      <c r="AD25" s="115"/>
      <c r="AE25" s="127"/>
      <c r="AF25" s="29"/>
    </row>
    <row r="26" spans="1:32" ht="19.5" x14ac:dyDescent="0.4">
      <c r="A26" s="85" t="s">
        <v>359</v>
      </c>
      <c r="B26" s="126"/>
      <c r="C26" s="126"/>
      <c r="D26" s="126"/>
      <c r="G26" s="125"/>
      <c r="H26" s="126"/>
      <c r="I26" s="126"/>
      <c r="J26" s="126"/>
      <c r="K26" s="115"/>
      <c r="L26" s="115"/>
      <c r="M26" s="115"/>
      <c r="N26" s="127"/>
      <c r="O26" s="29"/>
      <c r="AC26" s="115"/>
      <c r="AD26" s="115"/>
      <c r="AE26" s="127"/>
      <c r="AF26" s="29"/>
    </row>
    <row r="27" spans="1:32" ht="19.5" x14ac:dyDescent="0.4">
      <c r="A27" s="85" t="s">
        <v>360</v>
      </c>
      <c r="B27" s="126"/>
      <c r="C27" s="126"/>
      <c r="D27" s="126"/>
      <c r="G27" s="125"/>
      <c r="H27" s="126"/>
      <c r="I27" s="126"/>
      <c r="J27" s="126"/>
      <c r="K27" s="115"/>
      <c r="L27" s="115"/>
      <c r="M27" s="115"/>
      <c r="N27" s="127"/>
      <c r="O27" s="29"/>
      <c r="AC27" s="115"/>
      <c r="AD27" s="115"/>
      <c r="AE27" s="127"/>
      <c r="AF27" s="29"/>
    </row>
    <row r="28" spans="1:32" ht="19.5" x14ac:dyDescent="0.4">
      <c r="A28" s="85" t="s">
        <v>289</v>
      </c>
      <c r="B28" s="126"/>
      <c r="C28" s="126"/>
      <c r="D28" s="126"/>
      <c r="H28" s="115"/>
      <c r="I28" s="115"/>
      <c r="J28" s="115"/>
      <c r="K28" s="115"/>
      <c r="L28" s="115"/>
      <c r="M28" s="115"/>
      <c r="N28" s="127"/>
      <c r="O28" s="29"/>
      <c r="AC28" s="115"/>
      <c r="AD28" s="115"/>
      <c r="AE28" s="127"/>
      <c r="AF28" s="29"/>
    </row>
    <row r="29" spans="1:32" ht="19.5" x14ac:dyDescent="0.4">
      <c r="A29" s="85" t="s">
        <v>361</v>
      </c>
      <c r="B29" s="126"/>
      <c r="C29" s="126"/>
      <c r="D29" s="126"/>
      <c r="H29" s="115"/>
      <c r="I29" s="115"/>
      <c r="J29" s="115"/>
      <c r="K29" s="115"/>
      <c r="L29" s="115"/>
      <c r="M29" s="115"/>
      <c r="N29" s="127"/>
      <c r="O29" s="29"/>
      <c r="AC29" s="115"/>
      <c r="AD29" s="115"/>
      <c r="AE29" s="127"/>
      <c r="AF29" s="29"/>
    </row>
    <row r="30" spans="1:32" ht="19.5" x14ac:dyDescent="0.4">
      <c r="A30" s="85" t="s">
        <v>325</v>
      </c>
      <c r="B30" s="126"/>
      <c r="C30" s="126"/>
      <c r="D30" s="126"/>
      <c r="H30" s="115"/>
      <c r="I30" s="115"/>
      <c r="J30" s="115"/>
      <c r="K30" s="115"/>
      <c r="L30" s="115"/>
      <c r="M30" s="115"/>
      <c r="N30" s="127"/>
      <c r="O30" s="29"/>
      <c r="AC30" s="115"/>
      <c r="AD30" s="115"/>
      <c r="AE30" s="127"/>
      <c r="AF30" s="29"/>
    </row>
    <row r="31" spans="1:32" ht="19.5" x14ac:dyDescent="0.4">
      <c r="A31" s="85" t="s">
        <v>326</v>
      </c>
      <c r="B31" s="126"/>
      <c r="C31" s="126"/>
      <c r="D31" s="126"/>
      <c r="H31" s="115"/>
      <c r="I31" s="115"/>
      <c r="J31" s="115"/>
      <c r="K31" s="115"/>
      <c r="L31" s="115"/>
      <c r="M31" s="115"/>
      <c r="N31" s="127"/>
      <c r="O31" s="29"/>
      <c r="AC31" s="115"/>
      <c r="AD31" s="115"/>
      <c r="AE31" s="29"/>
      <c r="AF31" s="29"/>
    </row>
    <row r="32" spans="1:32" ht="19.5" x14ac:dyDescent="0.4">
      <c r="A32" s="85" t="s">
        <v>327</v>
      </c>
      <c r="B32" s="126"/>
      <c r="C32" s="126"/>
      <c r="D32" s="126"/>
      <c r="H32" s="115"/>
      <c r="I32" s="115"/>
      <c r="J32" s="115"/>
      <c r="K32" s="115"/>
      <c r="L32" s="115"/>
      <c r="M32" s="115"/>
      <c r="N32" s="127"/>
      <c r="O32" s="29"/>
      <c r="AC32" s="115"/>
      <c r="AD32" s="115"/>
      <c r="AE32" s="29"/>
      <c r="AF32" s="29"/>
    </row>
    <row r="33" spans="1:32" ht="19.5" x14ac:dyDescent="0.4">
      <c r="A33" s="85" t="s">
        <v>328</v>
      </c>
      <c r="B33" s="126"/>
      <c r="C33" s="126"/>
      <c r="D33" s="126"/>
      <c r="H33" s="115"/>
      <c r="I33" s="115"/>
      <c r="J33" s="115"/>
      <c r="K33" s="115"/>
      <c r="L33" s="115"/>
      <c r="M33" s="115"/>
      <c r="N33" s="127"/>
      <c r="O33" s="29"/>
      <c r="AC33" s="115"/>
      <c r="AD33" s="115"/>
      <c r="AE33" s="29"/>
      <c r="AF33" s="29"/>
    </row>
    <row r="34" spans="1:32" ht="19.5" x14ac:dyDescent="0.4">
      <c r="A34" s="85" t="s">
        <v>329</v>
      </c>
      <c r="B34" s="126"/>
      <c r="C34" s="126"/>
      <c r="D34" s="126"/>
      <c r="H34" s="115"/>
      <c r="I34" s="115"/>
      <c r="J34" s="115"/>
      <c r="K34" s="115"/>
      <c r="L34" s="115"/>
      <c r="M34" s="115"/>
      <c r="N34" s="127"/>
      <c r="O34" s="29"/>
      <c r="AC34" s="115"/>
      <c r="AD34" s="115"/>
      <c r="AE34" s="29"/>
      <c r="AF34" s="29"/>
    </row>
    <row r="35" spans="1:32" ht="19.5" x14ac:dyDescent="0.4">
      <c r="A35" s="85" t="s">
        <v>330</v>
      </c>
      <c r="B35" s="126"/>
      <c r="C35" s="126"/>
      <c r="D35" s="126"/>
      <c r="H35" s="115"/>
      <c r="I35" s="115"/>
      <c r="J35" s="115"/>
      <c r="K35" s="115"/>
      <c r="L35" s="115"/>
      <c r="M35" s="115"/>
      <c r="N35" s="127"/>
      <c r="O35" s="29"/>
      <c r="AC35" s="115"/>
      <c r="AD35" s="115"/>
      <c r="AE35" s="29"/>
      <c r="AF35" s="29"/>
    </row>
    <row r="36" spans="1:32" ht="19.5" x14ac:dyDescent="0.4">
      <c r="A36" s="85" t="s">
        <v>303</v>
      </c>
      <c r="B36" s="126"/>
      <c r="C36" s="126"/>
      <c r="D36" s="126"/>
      <c r="H36" s="115"/>
      <c r="I36" s="115"/>
      <c r="J36" s="115"/>
      <c r="K36" s="115"/>
      <c r="L36" s="115"/>
      <c r="M36" s="115"/>
      <c r="N36" s="127"/>
      <c r="O36" s="29"/>
      <c r="AC36" s="115"/>
      <c r="AD36" s="115"/>
      <c r="AE36" s="29"/>
      <c r="AF36" s="29"/>
    </row>
    <row r="37" spans="1:32" ht="19.5" x14ac:dyDescent="0.4">
      <c r="A37" s="85" t="s">
        <v>331</v>
      </c>
      <c r="B37" s="126"/>
      <c r="C37" s="126"/>
      <c r="D37" s="126"/>
      <c r="H37" s="115"/>
      <c r="I37" s="115"/>
      <c r="J37" s="115"/>
      <c r="K37" s="115"/>
      <c r="L37" s="115"/>
      <c r="M37" s="115"/>
      <c r="N37" s="127"/>
      <c r="O37" s="29"/>
      <c r="AC37" s="115"/>
      <c r="AD37" s="115"/>
      <c r="AE37" s="29"/>
      <c r="AF37" s="29"/>
    </row>
    <row r="38" spans="1:32" ht="19.5" x14ac:dyDescent="0.4">
      <c r="A38" s="85" t="s">
        <v>236</v>
      </c>
      <c r="B38" s="126"/>
      <c r="C38" s="126"/>
      <c r="D38" s="126"/>
      <c r="H38" s="115"/>
      <c r="I38" s="115"/>
      <c r="J38" s="115"/>
      <c r="K38" s="115"/>
      <c r="L38" s="115"/>
      <c r="M38" s="115"/>
      <c r="N38" s="127"/>
      <c r="O38" s="29"/>
      <c r="AC38" s="115"/>
      <c r="AD38" s="115"/>
      <c r="AE38" s="29"/>
      <c r="AF38" s="29"/>
    </row>
    <row r="39" spans="1:32" ht="19.5" x14ac:dyDescent="0.4">
      <c r="A39" s="85" t="s">
        <v>332</v>
      </c>
      <c r="B39" s="126"/>
      <c r="C39" s="126"/>
      <c r="D39" s="126"/>
      <c r="H39" s="115"/>
      <c r="I39" s="115"/>
      <c r="J39" s="115"/>
      <c r="K39" s="115"/>
      <c r="L39" s="115"/>
      <c r="M39" s="115"/>
      <c r="N39" s="127"/>
      <c r="O39" s="29"/>
      <c r="AC39" s="115"/>
      <c r="AD39" s="115"/>
      <c r="AE39" s="29"/>
      <c r="AF39" s="29"/>
    </row>
    <row r="40" spans="1:32" ht="19.5" x14ac:dyDescent="0.4">
      <c r="A40" s="85" t="s">
        <v>208</v>
      </c>
      <c r="B40" s="126"/>
      <c r="C40" s="126"/>
      <c r="D40" s="126"/>
      <c r="H40" s="115"/>
      <c r="I40" s="115"/>
      <c r="J40" s="115"/>
      <c r="K40" s="115"/>
      <c r="L40" s="115"/>
      <c r="M40" s="115"/>
      <c r="N40" s="127"/>
      <c r="O40" s="29"/>
      <c r="AC40" s="115"/>
      <c r="AD40" s="115"/>
      <c r="AE40" s="29"/>
      <c r="AF40" s="29"/>
    </row>
    <row r="41" spans="1:32" ht="19.5" x14ac:dyDescent="0.4">
      <c r="A41" s="85" t="s">
        <v>333</v>
      </c>
      <c r="B41" s="126"/>
      <c r="C41" s="126"/>
      <c r="D41" s="126"/>
      <c r="H41" s="115"/>
      <c r="I41" s="115"/>
      <c r="J41" s="115"/>
      <c r="K41" s="115"/>
      <c r="L41" s="115"/>
      <c r="M41" s="115"/>
      <c r="N41" s="127"/>
      <c r="O41" s="29"/>
      <c r="AB41" s="115"/>
      <c r="AC41" s="115"/>
      <c r="AD41" s="115"/>
      <c r="AE41" s="127"/>
      <c r="AF41" s="29"/>
    </row>
    <row r="42" spans="1:32" ht="19.5" x14ac:dyDescent="0.4">
      <c r="A42" s="86" t="s">
        <v>334</v>
      </c>
      <c r="B42" s="126"/>
      <c r="C42" s="126"/>
      <c r="D42" s="126"/>
      <c r="H42" s="115"/>
      <c r="I42" s="115"/>
      <c r="J42" s="115"/>
      <c r="K42" s="115"/>
      <c r="L42" s="115"/>
      <c r="M42" s="115"/>
      <c r="N42" s="127"/>
      <c r="O42" s="29"/>
      <c r="AB42" s="115"/>
      <c r="AC42" s="115"/>
      <c r="AD42" s="115"/>
      <c r="AE42" s="127"/>
      <c r="AF42" s="29"/>
    </row>
    <row r="43" spans="1:32" ht="19.5" x14ac:dyDescent="0.4">
      <c r="A43" s="86" t="s">
        <v>335</v>
      </c>
      <c r="B43" s="126"/>
      <c r="C43" s="126"/>
      <c r="D43" s="126"/>
      <c r="H43" s="115"/>
      <c r="I43" s="115"/>
      <c r="J43" s="115"/>
      <c r="K43" s="115"/>
      <c r="L43" s="115"/>
      <c r="M43" s="115"/>
      <c r="N43" s="127"/>
      <c r="O43" s="29"/>
      <c r="AB43" s="115"/>
      <c r="AC43" s="115"/>
      <c r="AD43" s="115"/>
      <c r="AE43" s="127"/>
      <c r="AF43" s="29"/>
    </row>
    <row r="44" spans="1:32" ht="19.5" x14ac:dyDescent="0.4">
      <c r="A44" s="85" t="s">
        <v>336</v>
      </c>
      <c r="B44" s="126"/>
      <c r="C44" s="126"/>
      <c r="D44" s="126"/>
      <c r="H44" s="115"/>
      <c r="I44" s="115"/>
      <c r="J44" s="115"/>
      <c r="K44" s="115"/>
      <c r="L44" s="115"/>
      <c r="M44" s="115"/>
      <c r="N44" s="127"/>
      <c r="O44" s="29"/>
      <c r="AB44" s="115"/>
      <c r="AC44" s="115"/>
      <c r="AD44" s="115"/>
      <c r="AE44" s="127"/>
      <c r="AF44" s="29"/>
    </row>
    <row r="45" spans="1:32" ht="19.5" x14ac:dyDescent="0.4">
      <c r="A45" s="85" t="s">
        <v>237</v>
      </c>
      <c r="B45" s="126"/>
      <c r="C45" s="126"/>
      <c r="D45" s="126"/>
      <c r="H45" s="115"/>
      <c r="I45" s="115"/>
      <c r="J45" s="115"/>
      <c r="K45" s="115"/>
      <c r="L45" s="115"/>
      <c r="M45" s="115"/>
      <c r="N45" s="127"/>
      <c r="O45" s="29"/>
      <c r="AB45" s="115"/>
      <c r="AC45" s="115"/>
      <c r="AD45" s="115"/>
      <c r="AE45" s="127"/>
      <c r="AF45" s="29"/>
    </row>
    <row r="46" spans="1:32" ht="19.5" x14ac:dyDescent="0.4">
      <c r="A46" s="85" t="s">
        <v>363</v>
      </c>
      <c r="B46" s="126"/>
      <c r="C46" s="126"/>
      <c r="D46" s="126"/>
      <c r="H46" s="115"/>
      <c r="I46" s="115"/>
      <c r="J46" s="115"/>
      <c r="K46" s="115"/>
      <c r="L46" s="115"/>
      <c r="M46" s="115"/>
      <c r="N46" s="127"/>
      <c r="O46" s="29"/>
      <c r="AB46" s="115"/>
      <c r="AC46" s="115"/>
      <c r="AD46" s="115"/>
      <c r="AE46" s="127"/>
      <c r="AF46" s="29"/>
    </row>
    <row r="47" spans="1:32" ht="19.5" x14ac:dyDescent="0.4">
      <c r="A47" s="85" t="s">
        <v>362</v>
      </c>
      <c r="B47" s="126"/>
      <c r="C47" s="126"/>
      <c r="D47" s="126"/>
      <c r="H47" s="115"/>
      <c r="I47" s="115"/>
      <c r="J47" s="115"/>
      <c r="K47" s="115"/>
      <c r="L47" s="115"/>
      <c r="M47" s="115"/>
      <c r="N47" s="127"/>
      <c r="O47" s="29"/>
      <c r="AA47" s="115"/>
      <c r="AB47" s="115"/>
      <c r="AC47" s="115"/>
      <c r="AD47" s="115"/>
      <c r="AE47" s="127"/>
      <c r="AF47" s="29"/>
    </row>
    <row r="48" spans="1:32" ht="19.5" x14ac:dyDescent="0.4">
      <c r="A48" s="85" t="s">
        <v>210</v>
      </c>
      <c r="B48" s="126"/>
      <c r="C48" s="126"/>
      <c r="D48" s="126"/>
      <c r="H48" s="115"/>
      <c r="I48" s="115"/>
      <c r="J48" s="115"/>
      <c r="K48" s="115"/>
      <c r="L48" s="115"/>
      <c r="M48" s="115"/>
      <c r="N48" s="127"/>
      <c r="O48" s="29"/>
      <c r="AA48" s="115"/>
      <c r="AB48" s="115"/>
      <c r="AC48" s="115"/>
      <c r="AD48" s="115"/>
      <c r="AE48" s="127"/>
      <c r="AF48" s="29"/>
    </row>
    <row r="49" spans="1:32" ht="19.5" x14ac:dyDescent="0.4">
      <c r="A49" s="85" t="s">
        <v>364</v>
      </c>
      <c r="B49" s="126"/>
      <c r="C49" s="126"/>
      <c r="D49" s="126"/>
      <c r="H49" s="115"/>
      <c r="I49" s="115"/>
      <c r="J49" s="115"/>
      <c r="K49" s="115"/>
      <c r="L49" s="115"/>
      <c r="M49" s="115"/>
      <c r="N49" s="127"/>
      <c r="O49" s="29"/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85" t="s">
        <v>365</v>
      </c>
      <c r="B50" s="126"/>
      <c r="C50" s="126"/>
      <c r="D50" s="126"/>
      <c r="H50" s="115"/>
      <c r="I50" s="115"/>
      <c r="J50" s="115"/>
      <c r="K50" s="115"/>
      <c r="L50" s="115"/>
      <c r="M50" s="115"/>
      <c r="N50" s="127"/>
      <c r="O50" s="29"/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85" t="s">
        <v>211</v>
      </c>
      <c r="B51" s="126"/>
      <c r="C51" s="126"/>
      <c r="D51" s="126"/>
      <c r="H51" s="115"/>
      <c r="I51" s="115"/>
      <c r="J51" s="115"/>
      <c r="K51" s="115"/>
      <c r="L51" s="115"/>
      <c r="M51" s="115"/>
      <c r="N51" s="127"/>
      <c r="O51" s="29"/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85" t="s">
        <v>240</v>
      </c>
      <c r="B52" s="126"/>
      <c r="C52" s="126"/>
      <c r="D52" s="126"/>
      <c r="H52" s="115"/>
      <c r="I52" s="115"/>
      <c r="J52" s="115"/>
      <c r="K52" s="115"/>
      <c r="L52" s="115"/>
      <c r="M52" s="115"/>
      <c r="N52" s="127"/>
      <c r="O52" s="29"/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85" t="s">
        <v>241</v>
      </c>
      <c r="B53" s="126"/>
      <c r="C53" s="126"/>
      <c r="D53" s="126"/>
      <c r="H53" s="115"/>
      <c r="I53" s="115"/>
      <c r="J53" s="115"/>
      <c r="K53" s="115"/>
      <c r="L53" s="115"/>
      <c r="M53" s="115"/>
      <c r="N53" s="127"/>
      <c r="O53" s="29"/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85" t="s">
        <v>242</v>
      </c>
      <c r="B54" s="126"/>
      <c r="C54" s="126"/>
      <c r="D54" s="126"/>
      <c r="H54" s="115"/>
      <c r="I54" s="115"/>
      <c r="J54" s="115"/>
      <c r="K54" s="115"/>
      <c r="L54" s="115"/>
      <c r="M54" s="115"/>
      <c r="N54" s="127"/>
      <c r="O54" s="29"/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85" t="s">
        <v>243</v>
      </c>
      <c r="B55" s="126"/>
      <c r="C55" s="126"/>
      <c r="D55" s="126"/>
      <c r="H55" s="115"/>
      <c r="I55" s="115"/>
      <c r="J55" s="115"/>
      <c r="K55" s="115"/>
      <c r="L55" s="115"/>
      <c r="M55" s="115"/>
      <c r="N55" s="127"/>
      <c r="O55" s="29"/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85" t="s">
        <v>244</v>
      </c>
      <c r="B56" s="126"/>
      <c r="C56" s="126"/>
      <c r="D56" s="126"/>
      <c r="H56" s="115"/>
      <c r="I56" s="115"/>
      <c r="J56" s="115"/>
      <c r="K56" s="115"/>
      <c r="L56" s="115"/>
      <c r="M56" s="115"/>
      <c r="N56" s="127"/>
      <c r="O56" s="29"/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85" t="s">
        <v>245</v>
      </c>
      <c r="B57" s="126"/>
      <c r="C57" s="126"/>
      <c r="D57" s="126"/>
      <c r="H57" s="115"/>
      <c r="I57" s="115"/>
      <c r="J57" s="115"/>
      <c r="K57" s="115"/>
      <c r="L57" s="115"/>
      <c r="M57" s="115"/>
      <c r="N57" s="127"/>
      <c r="O57" s="29"/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85" t="s">
        <v>246</v>
      </c>
      <c r="B58" s="126"/>
      <c r="C58" s="126"/>
      <c r="D58" s="126"/>
      <c r="H58" s="115"/>
      <c r="I58" s="115"/>
      <c r="J58" s="115"/>
      <c r="K58" s="115"/>
      <c r="L58" s="115"/>
      <c r="M58" s="115"/>
      <c r="N58" s="127"/>
      <c r="O58" s="29"/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85" t="s">
        <v>247</v>
      </c>
      <c r="B59" s="126"/>
      <c r="C59" s="126"/>
      <c r="D59" s="126"/>
      <c r="H59" s="115"/>
      <c r="I59" s="115"/>
      <c r="J59" s="115"/>
      <c r="K59" s="115"/>
      <c r="L59" s="115"/>
      <c r="M59" s="115"/>
      <c r="N59" s="127"/>
      <c r="O59" s="29"/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85" t="s">
        <v>248</v>
      </c>
      <c r="B60" s="126"/>
      <c r="C60" s="126"/>
      <c r="D60" s="126"/>
      <c r="H60" s="115"/>
      <c r="I60" s="115"/>
      <c r="J60" s="115"/>
      <c r="K60" s="115"/>
      <c r="L60" s="115"/>
      <c r="M60" s="115"/>
      <c r="N60" s="127"/>
      <c r="O60" s="29"/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85" t="s">
        <v>249</v>
      </c>
      <c r="B61" s="126"/>
      <c r="C61" s="126"/>
      <c r="D61" s="126"/>
      <c r="H61" s="115"/>
      <c r="I61" s="115"/>
      <c r="J61" s="115"/>
      <c r="K61" s="115"/>
      <c r="L61" s="115"/>
      <c r="M61" s="115"/>
      <c r="N61" s="127"/>
      <c r="O61" s="29"/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85" t="s">
        <v>250</v>
      </c>
      <c r="B62" s="126"/>
      <c r="C62" s="126"/>
      <c r="D62" s="126"/>
      <c r="H62" s="115"/>
      <c r="I62" s="115"/>
      <c r="J62" s="115"/>
      <c r="K62" s="115"/>
      <c r="L62" s="115"/>
      <c r="M62" s="115"/>
      <c r="N62" s="127"/>
      <c r="O62" s="29"/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85" t="s">
        <v>251</v>
      </c>
      <c r="B63" s="126"/>
      <c r="C63" s="126"/>
      <c r="D63" s="126"/>
      <c r="H63" s="115"/>
      <c r="I63" s="115"/>
      <c r="J63" s="115"/>
      <c r="K63" s="115"/>
      <c r="L63" s="115"/>
      <c r="M63" s="115"/>
      <c r="N63" s="127"/>
      <c r="O63" s="29"/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85" t="s">
        <v>256</v>
      </c>
      <c r="B64" s="126"/>
      <c r="C64" s="126"/>
      <c r="D64" s="126"/>
      <c r="H64" s="115"/>
      <c r="I64" s="115"/>
      <c r="J64" s="115"/>
      <c r="K64" s="115"/>
      <c r="L64" s="115"/>
      <c r="M64" s="115"/>
      <c r="N64" s="127"/>
      <c r="O64" s="29"/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85" t="s">
        <v>257</v>
      </c>
      <c r="B65" s="126"/>
      <c r="C65" s="126"/>
      <c r="D65" s="126"/>
      <c r="H65" s="115"/>
      <c r="I65" s="115"/>
      <c r="J65" s="115"/>
      <c r="K65" s="115"/>
      <c r="L65" s="115"/>
      <c r="M65" s="115"/>
      <c r="N65" s="127"/>
      <c r="O65" s="29"/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85" t="s">
        <v>258</v>
      </c>
      <c r="B66" s="126"/>
      <c r="C66" s="126"/>
      <c r="D66" s="126"/>
      <c r="H66" s="115"/>
      <c r="I66" s="115"/>
      <c r="J66" s="115"/>
      <c r="K66" s="115"/>
      <c r="L66" s="115"/>
      <c r="M66" s="115"/>
      <c r="N66" s="127"/>
      <c r="O66" s="29"/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85" t="s">
        <v>259</v>
      </c>
      <c r="B67" s="126"/>
      <c r="C67" s="126"/>
      <c r="D67" s="126"/>
      <c r="H67" s="115"/>
      <c r="I67" s="115"/>
      <c r="J67" s="115"/>
      <c r="K67" s="115"/>
      <c r="L67" s="115"/>
      <c r="M67" s="115"/>
      <c r="N67" s="127"/>
      <c r="O67" s="29"/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85" t="s">
        <v>260</v>
      </c>
      <c r="B68" s="126"/>
      <c r="C68" s="126"/>
      <c r="D68" s="126"/>
      <c r="H68" s="115"/>
      <c r="I68" s="115"/>
      <c r="J68" s="115"/>
      <c r="K68" s="115"/>
      <c r="L68" s="115"/>
      <c r="M68" s="115"/>
      <c r="N68" s="127"/>
      <c r="O68" s="29"/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85" t="s">
        <v>261</v>
      </c>
      <c r="B69" s="126"/>
      <c r="C69" s="126"/>
      <c r="D69" s="126"/>
      <c r="H69" s="115"/>
      <c r="I69" s="115"/>
      <c r="J69" s="115"/>
      <c r="K69" s="115"/>
      <c r="L69" s="115"/>
      <c r="M69" s="115"/>
      <c r="N69" s="127"/>
      <c r="O69" s="29"/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85" t="s">
        <v>262</v>
      </c>
      <c r="B70" s="126"/>
      <c r="C70" s="126"/>
      <c r="D70" s="126"/>
      <c r="H70" s="115"/>
      <c r="I70" s="115"/>
      <c r="J70" s="115"/>
      <c r="K70" s="115"/>
      <c r="L70" s="115"/>
      <c r="M70" s="115"/>
      <c r="N70" s="127"/>
      <c r="O70" s="29"/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85" t="s">
        <v>263</v>
      </c>
      <c r="B71" s="126"/>
      <c r="C71" s="126"/>
      <c r="D71" s="126"/>
      <c r="H71" s="115"/>
      <c r="I71" s="115"/>
      <c r="J71" s="115"/>
      <c r="K71" s="115"/>
      <c r="L71" s="115"/>
      <c r="M71" s="115"/>
      <c r="N71" s="127"/>
      <c r="O71" s="29"/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85" t="s">
        <v>264</v>
      </c>
      <c r="B72" s="126"/>
      <c r="C72" s="126"/>
      <c r="D72" s="126"/>
      <c r="H72" s="115"/>
      <c r="I72" s="115"/>
      <c r="J72" s="115"/>
      <c r="K72" s="115"/>
      <c r="L72" s="115"/>
      <c r="M72" s="115"/>
      <c r="N72" s="127"/>
      <c r="O72" s="29"/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85" t="s">
        <v>265</v>
      </c>
      <c r="B73" s="126"/>
      <c r="C73" s="126"/>
      <c r="D73" s="126"/>
      <c r="H73" s="115"/>
      <c r="I73" s="115"/>
      <c r="J73" s="115"/>
      <c r="K73" s="115"/>
      <c r="L73" s="115"/>
      <c r="M73" s="115"/>
      <c r="N73" s="127"/>
      <c r="O73" s="127"/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85" t="s">
        <v>266</v>
      </c>
      <c r="B74" s="126"/>
      <c r="C74" s="126"/>
      <c r="D74" s="126"/>
      <c r="H74" s="115"/>
      <c r="I74" s="115"/>
      <c r="J74" s="115"/>
      <c r="K74" s="115"/>
      <c r="L74" s="115"/>
      <c r="M74" s="115"/>
      <c r="N74" s="127"/>
      <c r="O74" s="29"/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85" t="s">
        <v>267</v>
      </c>
      <c r="B75" s="126"/>
      <c r="C75" s="126"/>
      <c r="D75" s="126"/>
      <c r="H75" s="115"/>
      <c r="I75" s="115"/>
      <c r="J75" s="115"/>
      <c r="K75" s="115"/>
      <c r="L75" s="115"/>
      <c r="M75" s="115"/>
      <c r="N75" s="127"/>
      <c r="O75" s="29"/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85" t="s">
        <v>375</v>
      </c>
      <c r="B76" s="126"/>
      <c r="C76" s="126"/>
      <c r="D76" s="126"/>
      <c r="H76" s="115"/>
      <c r="I76" s="115"/>
      <c r="J76" s="115"/>
      <c r="K76" s="115"/>
      <c r="L76" s="115"/>
      <c r="M76" s="115"/>
      <c r="N76" s="127"/>
      <c r="O76" s="29"/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85" t="s">
        <v>213</v>
      </c>
      <c r="B77" s="126"/>
      <c r="C77" s="126"/>
      <c r="D77" s="126"/>
      <c r="H77" s="115"/>
      <c r="I77" s="115"/>
      <c r="J77" s="115"/>
      <c r="K77" s="115"/>
      <c r="L77" s="115"/>
      <c r="M77" s="115"/>
      <c r="N77" s="127"/>
      <c r="O77" s="29"/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85" t="s">
        <v>215</v>
      </c>
      <c r="B78" s="126"/>
      <c r="C78" s="126"/>
      <c r="D78" s="126"/>
      <c r="H78" s="115"/>
      <c r="I78" s="115"/>
      <c r="J78" s="115"/>
      <c r="K78" s="115"/>
      <c r="L78" s="115"/>
      <c r="M78" s="115"/>
      <c r="N78" s="127"/>
      <c r="O78" s="127"/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85" t="s">
        <v>216</v>
      </c>
      <c r="B79" s="126"/>
      <c r="C79" s="126"/>
      <c r="D79" s="126"/>
      <c r="H79" s="115"/>
      <c r="I79" s="115"/>
      <c r="J79" s="115"/>
      <c r="K79" s="115"/>
      <c r="L79" s="115"/>
      <c r="M79" s="115"/>
      <c r="N79" s="127"/>
      <c r="O79" s="127"/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85" t="s">
        <v>217</v>
      </c>
      <c r="B80" s="126"/>
      <c r="C80" s="126"/>
      <c r="D80" s="126"/>
      <c r="H80" s="115"/>
      <c r="I80" s="115"/>
      <c r="J80" s="115"/>
      <c r="K80" s="115"/>
      <c r="L80" s="115"/>
      <c r="M80" s="115"/>
      <c r="N80" s="127"/>
      <c r="O80" s="127"/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85" t="s">
        <v>212</v>
      </c>
      <c r="B81" s="126"/>
      <c r="C81" s="126"/>
      <c r="D81" s="126"/>
      <c r="H81" s="115"/>
      <c r="I81" s="115"/>
      <c r="J81" s="115"/>
      <c r="K81" s="115"/>
      <c r="L81" s="115"/>
      <c r="M81" s="115"/>
      <c r="N81" s="127"/>
      <c r="O81" s="127"/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85" t="s">
        <v>226</v>
      </c>
      <c r="B82" s="126"/>
      <c r="C82" s="126"/>
      <c r="D82" s="126"/>
      <c r="H82" s="115"/>
      <c r="I82" s="115"/>
      <c r="J82" s="115"/>
      <c r="K82" s="115"/>
      <c r="L82" s="115"/>
      <c r="M82" s="115"/>
      <c r="N82" s="127"/>
      <c r="O82" s="127"/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85" t="s">
        <v>227</v>
      </c>
      <c r="B83" s="126"/>
      <c r="C83" s="126"/>
      <c r="D83" s="126"/>
      <c r="H83" s="115"/>
      <c r="I83" s="115"/>
      <c r="J83" s="115"/>
      <c r="K83" s="115"/>
      <c r="L83" s="115"/>
      <c r="M83" s="115"/>
      <c r="N83" s="127"/>
      <c r="O83" s="127"/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85" t="s">
        <v>228</v>
      </c>
      <c r="B84" s="126"/>
      <c r="C84" s="126"/>
      <c r="D84" s="126"/>
      <c r="H84" s="115"/>
      <c r="I84" s="115"/>
      <c r="J84" s="115"/>
      <c r="K84" s="115"/>
      <c r="L84" s="115"/>
      <c r="M84" s="115"/>
      <c r="N84" s="127"/>
      <c r="O84" s="29"/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85" t="s">
        <v>229</v>
      </c>
      <c r="B85" s="126"/>
      <c r="C85" s="126"/>
      <c r="D85" s="126"/>
      <c r="H85" s="115"/>
      <c r="I85" s="115"/>
      <c r="J85" s="115"/>
      <c r="K85" s="115"/>
      <c r="L85" s="115"/>
      <c r="M85" s="115"/>
      <c r="N85" s="127"/>
      <c r="O85" s="29"/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85" t="s">
        <v>230</v>
      </c>
      <c r="B86" s="126"/>
      <c r="C86" s="126"/>
      <c r="D86" s="126"/>
      <c r="H86" s="115"/>
      <c r="I86" s="115"/>
      <c r="J86" s="115"/>
      <c r="K86" s="115"/>
      <c r="L86" s="115"/>
      <c r="M86" s="115"/>
      <c r="N86" s="127"/>
      <c r="O86" s="29"/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85" t="s">
        <v>231</v>
      </c>
      <c r="B87" s="126"/>
      <c r="C87" s="126"/>
      <c r="D87" s="126"/>
      <c r="H87" s="115"/>
      <c r="I87" s="115"/>
      <c r="J87" s="115"/>
      <c r="K87" s="115"/>
      <c r="L87" s="115"/>
      <c r="M87" s="115"/>
      <c r="N87" s="127"/>
      <c r="O87" s="29"/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85" t="s">
        <v>232</v>
      </c>
      <c r="B88" s="126"/>
      <c r="C88" s="126"/>
      <c r="D88" s="126"/>
      <c r="H88" s="115"/>
      <c r="I88" s="115"/>
      <c r="J88" s="115"/>
      <c r="K88" s="115"/>
      <c r="L88" s="115"/>
      <c r="M88" s="115"/>
      <c r="N88" s="127"/>
      <c r="O88" s="29"/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85" t="s">
        <v>233</v>
      </c>
      <c r="B89" s="126"/>
      <c r="C89" s="126"/>
      <c r="D89" s="126"/>
      <c r="H89" s="115"/>
      <c r="I89" s="115"/>
      <c r="J89" s="115"/>
      <c r="K89" s="115"/>
      <c r="L89" s="115"/>
      <c r="M89" s="115"/>
      <c r="N89" s="127"/>
      <c r="O89" s="29"/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85" t="s">
        <v>234</v>
      </c>
      <c r="B90" s="126"/>
      <c r="C90" s="126"/>
      <c r="D90" s="126"/>
      <c r="H90" s="115"/>
      <c r="I90" s="115"/>
      <c r="J90" s="115"/>
      <c r="K90" s="115"/>
      <c r="L90" s="115"/>
      <c r="M90" s="115"/>
      <c r="N90" s="127"/>
      <c r="O90" s="29"/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85" t="s">
        <v>235</v>
      </c>
      <c r="B91" s="126"/>
      <c r="C91" s="126"/>
      <c r="D91" s="126"/>
      <c r="H91" s="115"/>
      <c r="I91" s="115"/>
      <c r="J91" s="115"/>
      <c r="K91" s="115"/>
      <c r="L91" s="115"/>
      <c r="M91" s="115"/>
      <c r="N91" s="127"/>
      <c r="O91" s="29"/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85" t="s">
        <v>224</v>
      </c>
      <c r="B92" s="126"/>
      <c r="C92" s="126"/>
      <c r="D92" s="126"/>
      <c r="H92" s="115"/>
      <c r="I92" s="115"/>
      <c r="J92" s="115"/>
      <c r="K92" s="115"/>
      <c r="L92" s="115"/>
      <c r="M92" s="115"/>
      <c r="N92" s="127"/>
      <c r="O92" s="29"/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85" t="s">
        <v>225</v>
      </c>
      <c r="B93" s="126"/>
      <c r="C93" s="126"/>
      <c r="D93" s="126"/>
      <c r="H93" s="115"/>
      <c r="I93" s="115"/>
      <c r="J93" s="115"/>
      <c r="K93" s="115"/>
      <c r="L93" s="115"/>
      <c r="M93" s="115"/>
      <c r="N93" s="127"/>
      <c r="O93" s="29"/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85" t="s">
        <v>218</v>
      </c>
      <c r="B94" s="126"/>
      <c r="C94" s="126"/>
      <c r="D94" s="126"/>
      <c r="H94" s="115"/>
      <c r="I94" s="115"/>
      <c r="J94" s="115"/>
      <c r="K94" s="115"/>
      <c r="L94" s="115"/>
      <c r="M94" s="115"/>
      <c r="N94" s="127"/>
      <c r="O94" s="29"/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85" t="s">
        <v>366</v>
      </c>
      <c r="B95" s="126"/>
      <c r="C95" s="126"/>
      <c r="D95" s="126"/>
      <c r="H95" s="115"/>
      <c r="I95" s="115"/>
      <c r="J95" s="115"/>
      <c r="K95" s="115"/>
      <c r="L95" s="115"/>
      <c r="M95" s="115"/>
      <c r="N95" s="127"/>
      <c r="O95" s="29"/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85" t="s">
        <v>367</v>
      </c>
      <c r="B96" s="126"/>
      <c r="C96" s="126"/>
      <c r="D96" s="126"/>
      <c r="H96" s="115"/>
      <c r="I96" s="115"/>
      <c r="J96" s="115"/>
      <c r="K96" s="115"/>
      <c r="L96" s="115"/>
      <c r="M96" s="115"/>
      <c r="N96" s="127"/>
      <c r="O96" s="29"/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85" t="s">
        <v>368</v>
      </c>
      <c r="B97" s="126"/>
      <c r="C97" s="126"/>
      <c r="D97" s="126"/>
      <c r="H97" s="115"/>
      <c r="I97" s="115"/>
      <c r="J97" s="115"/>
      <c r="K97" s="115"/>
      <c r="L97" s="115"/>
      <c r="M97" s="115"/>
      <c r="N97" s="127"/>
      <c r="O97" s="29"/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85" t="s">
        <v>220</v>
      </c>
      <c r="B98" s="126"/>
      <c r="C98" s="126"/>
      <c r="D98" s="126"/>
      <c r="H98" s="115"/>
      <c r="I98" s="115"/>
      <c r="J98" s="115"/>
      <c r="K98" s="115"/>
      <c r="L98" s="115"/>
      <c r="M98" s="115"/>
      <c r="N98" s="127"/>
      <c r="O98" s="29"/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85" t="s">
        <v>221</v>
      </c>
      <c r="B99" s="126"/>
      <c r="C99" s="126"/>
      <c r="D99" s="126"/>
      <c r="H99" s="115"/>
      <c r="I99" s="115"/>
      <c r="J99" s="115"/>
      <c r="K99" s="115"/>
      <c r="L99" s="115"/>
      <c r="M99" s="115"/>
      <c r="N99" s="127"/>
      <c r="O99" s="29"/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85" t="s">
        <v>290</v>
      </c>
      <c r="B100" s="126"/>
      <c r="C100" s="126"/>
      <c r="D100" s="126"/>
      <c r="H100" s="115"/>
      <c r="I100" s="115"/>
      <c r="J100" s="115"/>
      <c r="K100" s="115"/>
      <c r="L100" s="115"/>
      <c r="M100" s="115"/>
      <c r="N100" s="127"/>
      <c r="O100" s="29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85" t="s">
        <v>222</v>
      </c>
      <c r="B101" s="126"/>
      <c r="C101" s="126"/>
      <c r="D101" s="126"/>
      <c r="H101" s="115"/>
      <c r="I101" s="115"/>
      <c r="J101" s="115"/>
      <c r="K101" s="115"/>
      <c r="L101" s="115"/>
      <c r="M101" s="115"/>
      <c r="N101" s="127"/>
      <c r="O101" s="29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85" t="s">
        <v>223</v>
      </c>
      <c r="B102" s="126"/>
      <c r="C102" s="126"/>
      <c r="D102" s="126"/>
      <c r="H102" s="115"/>
      <c r="I102" s="115"/>
      <c r="J102" s="115"/>
      <c r="K102" s="115"/>
      <c r="L102" s="115"/>
      <c r="M102" s="115"/>
      <c r="N102" s="127"/>
      <c r="O102" s="29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85" t="s">
        <v>376</v>
      </c>
      <c r="B103" s="126"/>
      <c r="C103" s="126"/>
      <c r="D103" s="126"/>
      <c r="H103" s="115"/>
      <c r="I103" s="115"/>
      <c r="J103" s="115"/>
      <c r="K103" s="115"/>
      <c r="L103" s="115"/>
      <c r="M103" s="115"/>
      <c r="N103" s="127"/>
      <c r="O103" s="29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85" t="s">
        <v>377</v>
      </c>
      <c r="B104" s="126"/>
      <c r="C104" s="126"/>
      <c r="D104" s="126"/>
      <c r="H104" s="115"/>
      <c r="I104" s="115"/>
      <c r="J104" s="115"/>
      <c r="K104" s="115"/>
      <c r="L104" s="115"/>
      <c r="M104" s="115"/>
      <c r="N104" s="127"/>
      <c r="O104" s="29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85" t="s">
        <v>369</v>
      </c>
      <c r="B105" s="126"/>
      <c r="C105" s="126"/>
      <c r="D105" s="126"/>
      <c r="H105" s="115"/>
      <c r="I105" s="115"/>
      <c r="J105" s="115"/>
      <c r="K105" s="115"/>
      <c r="L105" s="115"/>
      <c r="M105" s="115"/>
      <c r="N105" s="127"/>
      <c r="O105" s="29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85" t="s">
        <v>370</v>
      </c>
      <c r="B106" s="126"/>
      <c r="C106" s="126"/>
      <c r="D106" s="126"/>
      <c r="H106" s="115"/>
      <c r="I106" s="115"/>
      <c r="J106" s="115"/>
      <c r="K106" s="115"/>
      <c r="L106" s="115"/>
      <c r="M106" s="115"/>
      <c r="N106" s="127"/>
      <c r="O106" s="29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85" t="s">
        <v>252</v>
      </c>
      <c r="B107" s="126"/>
      <c r="C107" s="126"/>
      <c r="D107" s="126"/>
      <c r="H107" s="115"/>
      <c r="I107" s="115"/>
      <c r="J107" s="115"/>
      <c r="K107" s="115"/>
      <c r="L107" s="115"/>
      <c r="M107" s="115"/>
      <c r="N107" s="127"/>
      <c r="O107" s="29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85" t="s">
        <v>238</v>
      </c>
      <c r="B108" s="126"/>
      <c r="C108" s="126"/>
      <c r="D108" s="126"/>
      <c r="H108" s="115"/>
      <c r="I108" s="115"/>
      <c r="J108" s="115"/>
      <c r="K108" s="115"/>
      <c r="L108" s="115"/>
      <c r="M108" s="115"/>
      <c r="N108" s="127"/>
      <c r="O108" s="29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85" t="s">
        <v>254</v>
      </c>
      <c r="B109" s="126"/>
      <c r="C109" s="126"/>
      <c r="D109" s="126"/>
      <c r="H109" s="115"/>
      <c r="I109" s="115"/>
      <c r="J109" s="115"/>
      <c r="K109" s="115"/>
      <c r="L109" s="115"/>
      <c r="M109" s="115"/>
      <c r="N109" s="127"/>
      <c r="O109" s="29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85" t="s">
        <v>255</v>
      </c>
      <c r="B110" s="126"/>
      <c r="C110" s="126"/>
      <c r="D110" s="126"/>
      <c r="H110" s="115"/>
      <c r="I110" s="115"/>
      <c r="J110" s="115"/>
      <c r="K110" s="115"/>
      <c r="L110" s="115"/>
      <c r="M110" s="115"/>
      <c r="N110" s="127"/>
      <c r="O110" s="29"/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85" t="s">
        <v>304</v>
      </c>
      <c r="B111" s="126"/>
      <c r="C111" s="126"/>
      <c r="D111" s="126"/>
      <c r="H111" s="115"/>
      <c r="I111" s="115"/>
      <c r="J111" s="115"/>
      <c r="K111" s="115"/>
      <c r="L111" s="115"/>
      <c r="M111" s="115"/>
      <c r="N111" s="127"/>
      <c r="O111" s="29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85" t="s">
        <v>305</v>
      </c>
      <c r="B112" s="126"/>
      <c r="C112" s="126"/>
      <c r="D112" s="126"/>
      <c r="H112" s="115"/>
      <c r="I112" s="115"/>
      <c r="J112" s="115"/>
      <c r="K112" s="115"/>
      <c r="L112" s="115"/>
      <c r="M112" s="115"/>
      <c r="N112" s="127"/>
      <c r="O112" s="29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85" t="s">
        <v>269</v>
      </c>
      <c r="B113" s="126"/>
      <c r="C113" s="126"/>
      <c r="D113" s="126"/>
      <c r="H113" s="115"/>
      <c r="I113" s="115"/>
      <c r="J113" s="115"/>
      <c r="K113" s="115"/>
      <c r="L113" s="115"/>
      <c r="M113" s="115"/>
      <c r="N113" s="127"/>
      <c r="O113" s="29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85" t="s">
        <v>268</v>
      </c>
      <c r="B114" s="126"/>
      <c r="C114" s="126"/>
      <c r="D114" s="126"/>
      <c r="H114" s="115"/>
      <c r="I114" s="115"/>
      <c r="J114" s="115"/>
      <c r="K114" s="115"/>
      <c r="L114" s="115"/>
      <c r="M114" s="115"/>
      <c r="N114" s="127"/>
      <c r="O114" s="29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85" t="s">
        <v>337</v>
      </c>
      <c r="B115" s="126"/>
      <c r="C115" s="126"/>
      <c r="D115" s="126"/>
      <c r="H115" s="115"/>
      <c r="I115" s="115"/>
      <c r="J115" s="115"/>
      <c r="K115" s="115"/>
      <c r="L115" s="115"/>
      <c r="M115" s="115"/>
      <c r="N115" s="127"/>
      <c r="O115" s="29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85" t="s">
        <v>306</v>
      </c>
      <c r="B116" s="126"/>
      <c r="C116" s="126"/>
      <c r="D116" s="126"/>
      <c r="H116" s="115"/>
      <c r="I116" s="115"/>
      <c r="J116" s="115"/>
      <c r="K116" s="115"/>
      <c r="L116" s="115"/>
      <c r="M116" s="115"/>
      <c r="N116" s="127"/>
      <c r="O116" s="29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85" t="s">
        <v>307</v>
      </c>
      <c r="B117" s="126"/>
      <c r="C117" s="126"/>
      <c r="D117" s="126"/>
      <c r="H117" s="115"/>
      <c r="I117" s="115"/>
      <c r="J117" s="115"/>
      <c r="K117" s="115"/>
      <c r="L117" s="115"/>
      <c r="M117" s="115"/>
      <c r="N117" s="127"/>
      <c r="O117" s="29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85" t="s">
        <v>291</v>
      </c>
      <c r="B118" s="126"/>
      <c r="C118" s="126"/>
      <c r="D118" s="126"/>
      <c r="H118" s="115"/>
      <c r="I118" s="115"/>
      <c r="J118" s="115"/>
      <c r="K118" s="115"/>
      <c r="L118" s="115"/>
      <c r="M118" s="115"/>
      <c r="N118" s="127"/>
      <c r="O118" s="29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85" t="s">
        <v>292</v>
      </c>
      <c r="B119" s="126"/>
      <c r="C119" s="126"/>
      <c r="D119" s="126"/>
      <c r="H119" s="115"/>
      <c r="I119" s="115"/>
      <c r="J119" s="115"/>
      <c r="K119" s="115"/>
      <c r="L119" s="115"/>
      <c r="M119" s="115"/>
      <c r="N119" s="127"/>
      <c r="O119" s="29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85" t="s">
        <v>293</v>
      </c>
      <c r="B120" s="126"/>
      <c r="C120" s="126"/>
      <c r="D120" s="126"/>
      <c r="H120" s="115"/>
      <c r="I120" s="115"/>
      <c r="J120" s="115"/>
      <c r="K120" s="115"/>
      <c r="L120" s="115"/>
      <c r="M120" s="115"/>
      <c r="N120" s="127"/>
      <c r="O120" s="29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85" t="s">
        <v>294</v>
      </c>
      <c r="B121" s="126"/>
      <c r="C121" s="126"/>
      <c r="D121" s="126"/>
      <c r="H121" s="115"/>
      <c r="I121" s="115"/>
      <c r="J121" s="115"/>
      <c r="K121" s="115"/>
      <c r="L121" s="115"/>
      <c r="M121" s="115"/>
      <c r="N121" s="127"/>
      <c r="O121" s="29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85" t="s">
        <v>295</v>
      </c>
      <c r="B122" s="126"/>
      <c r="C122" s="126"/>
      <c r="D122" s="126"/>
      <c r="H122" s="115"/>
      <c r="I122" s="115"/>
      <c r="J122" s="115"/>
      <c r="K122" s="115"/>
      <c r="L122" s="115"/>
      <c r="M122" s="115"/>
      <c r="N122" s="127"/>
      <c r="O122" s="29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85" t="s">
        <v>296</v>
      </c>
      <c r="B123" s="126"/>
      <c r="C123" s="126"/>
      <c r="D123" s="126"/>
      <c r="H123" s="115"/>
      <c r="I123" s="115"/>
      <c r="J123" s="115"/>
      <c r="K123" s="115"/>
      <c r="L123" s="115"/>
      <c r="M123" s="115"/>
      <c r="N123" s="29"/>
      <c r="O123" s="29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85" t="s">
        <v>297</v>
      </c>
      <c r="B124" s="126"/>
      <c r="C124" s="126"/>
      <c r="D124" s="126"/>
      <c r="H124" s="115"/>
      <c r="I124" s="115"/>
      <c r="J124" s="115"/>
      <c r="K124" s="115"/>
      <c r="L124" s="115"/>
      <c r="M124" s="115"/>
      <c r="N124" s="127"/>
      <c r="O124" s="29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85" t="s">
        <v>298</v>
      </c>
      <c r="B125" s="126"/>
      <c r="C125" s="126"/>
      <c r="D125" s="126"/>
      <c r="H125" s="115"/>
      <c r="I125" s="115"/>
      <c r="J125" s="115"/>
      <c r="K125" s="115"/>
      <c r="L125" s="115"/>
      <c r="M125" s="115"/>
      <c r="N125" s="127"/>
      <c r="O125" s="29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85" t="s">
        <v>299</v>
      </c>
      <c r="B126" s="126"/>
      <c r="C126" s="126"/>
      <c r="D126" s="126"/>
      <c r="H126" s="115"/>
      <c r="I126" s="115"/>
      <c r="J126" s="115"/>
      <c r="K126" s="115"/>
      <c r="L126" s="115"/>
      <c r="M126" s="115"/>
      <c r="N126" s="127"/>
      <c r="O126" s="29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85" t="s">
        <v>300</v>
      </c>
      <c r="B127" s="126"/>
      <c r="C127" s="126"/>
      <c r="D127" s="126"/>
      <c r="H127" s="115"/>
      <c r="I127" s="115"/>
      <c r="J127" s="115"/>
      <c r="K127" s="115"/>
      <c r="L127" s="115"/>
      <c r="M127" s="115"/>
      <c r="N127" s="127"/>
      <c r="O127" s="29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85" t="s">
        <v>308</v>
      </c>
      <c r="B128" s="126"/>
      <c r="C128" s="126"/>
      <c r="D128" s="126"/>
      <c r="H128" s="115"/>
      <c r="I128" s="115"/>
      <c r="J128" s="115"/>
      <c r="K128" s="115"/>
      <c r="L128" s="115"/>
      <c r="M128" s="115"/>
      <c r="N128" s="127"/>
      <c r="O128" s="29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85" t="s">
        <v>309</v>
      </c>
      <c r="B129" s="126"/>
      <c r="C129" s="126"/>
      <c r="D129" s="126"/>
      <c r="H129" s="115"/>
      <c r="I129" s="115"/>
      <c r="J129" s="115"/>
      <c r="K129" s="115"/>
      <c r="L129" s="115"/>
      <c r="M129" s="115"/>
      <c r="N129" s="127"/>
      <c r="O129" s="29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85" t="s">
        <v>310</v>
      </c>
      <c r="B130" s="126"/>
      <c r="C130" s="126"/>
      <c r="D130" s="126"/>
      <c r="H130" s="115"/>
      <c r="I130" s="115"/>
      <c r="J130" s="115"/>
      <c r="K130" s="115"/>
      <c r="L130" s="115"/>
      <c r="M130" s="115"/>
      <c r="N130" s="29"/>
      <c r="O130" s="29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85" t="s">
        <v>311</v>
      </c>
      <c r="B131" s="126"/>
      <c r="C131" s="126"/>
      <c r="D131" s="126"/>
      <c r="H131" s="115"/>
      <c r="I131" s="115"/>
      <c r="J131" s="115"/>
      <c r="K131" s="115"/>
      <c r="L131" s="115"/>
      <c r="M131" s="115"/>
      <c r="N131" s="127"/>
      <c r="O131" s="29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85" t="s">
        <v>312</v>
      </c>
      <c r="B132" s="126"/>
      <c r="C132" s="126"/>
      <c r="D132" s="126"/>
      <c r="H132" s="115"/>
      <c r="I132" s="115"/>
      <c r="J132" s="115"/>
      <c r="K132" s="115"/>
      <c r="L132" s="115"/>
      <c r="M132" s="115"/>
      <c r="N132" s="127"/>
      <c r="O132" s="29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85" t="s">
        <v>313</v>
      </c>
      <c r="B133" s="126"/>
      <c r="C133" s="126"/>
      <c r="D133" s="126"/>
      <c r="H133" s="115"/>
      <c r="I133" s="115"/>
      <c r="J133" s="115"/>
      <c r="K133" s="115"/>
      <c r="L133" s="115"/>
      <c r="M133" s="115"/>
      <c r="N133" s="127"/>
      <c r="O133" s="29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85" t="s">
        <v>314</v>
      </c>
      <c r="B134" s="126"/>
      <c r="C134" s="126"/>
      <c r="D134" s="126"/>
      <c r="H134" s="115"/>
      <c r="I134" s="115"/>
      <c r="J134" s="115"/>
      <c r="K134" s="115"/>
      <c r="L134" s="115"/>
      <c r="M134" s="115"/>
      <c r="N134" s="127"/>
      <c r="O134" s="29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85" t="s">
        <v>315</v>
      </c>
      <c r="B135" s="126"/>
      <c r="C135" s="126"/>
      <c r="D135" s="126"/>
      <c r="H135" s="115"/>
      <c r="I135" s="115"/>
      <c r="J135" s="115"/>
      <c r="K135" s="115"/>
      <c r="L135" s="115"/>
      <c r="M135" s="115"/>
      <c r="N135" s="127"/>
      <c r="O135" s="29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85" t="s">
        <v>316</v>
      </c>
      <c r="B136" s="126"/>
      <c r="C136" s="126"/>
      <c r="D136" s="126"/>
      <c r="H136" s="115"/>
      <c r="I136" s="115"/>
      <c r="J136" s="115"/>
      <c r="K136" s="115"/>
      <c r="L136" s="115"/>
      <c r="M136" s="115"/>
      <c r="N136" s="127"/>
      <c r="O136" s="29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85" t="s">
        <v>317</v>
      </c>
      <c r="B137" s="126"/>
      <c r="C137" s="126"/>
      <c r="D137" s="126"/>
      <c r="H137" s="115"/>
      <c r="I137" s="115"/>
      <c r="J137" s="115"/>
      <c r="K137" s="115"/>
      <c r="L137" s="115"/>
      <c r="M137" s="115"/>
      <c r="N137" s="127"/>
      <c r="O137" s="29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85" t="s">
        <v>318</v>
      </c>
      <c r="B138" s="126"/>
      <c r="C138" s="126"/>
      <c r="D138" s="126"/>
      <c r="H138" s="115"/>
      <c r="I138" s="115"/>
      <c r="J138" s="115"/>
      <c r="K138" s="115"/>
      <c r="L138" s="115"/>
      <c r="M138" s="115"/>
      <c r="N138" s="127"/>
      <c r="O138" s="29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85" t="s">
        <v>319</v>
      </c>
      <c r="B139" s="126"/>
      <c r="C139" s="126"/>
      <c r="D139" s="126"/>
      <c r="H139" s="115"/>
      <c r="I139" s="115"/>
      <c r="J139" s="115"/>
      <c r="K139" s="115"/>
      <c r="L139" s="115"/>
      <c r="M139" s="115"/>
      <c r="N139" s="127"/>
      <c r="O139" s="29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85" t="s">
        <v>320</v>
      </c>
      <c r="B140" s="126"/>
      <c r="C140" s="126"/>
      <c r="D140" s="126"/>
      <c r="H140" s="115"/>
      <c r="I140" s="115"/>
      <c r="J140" s="115"/>
      <c r="K140" s="115"/>
      <c r="L140" s="115"/>
      <c r="M140" s="115"/>
      <c r="N140" s="127"/>
      <c r="O140" s="29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85" t="s">
        <v>321</v>
      </c>
      <c r="B141" s="126"/>
      <c r="C141" s="126"/>
      <c r="D141" s="126"/>
      <c r="H141" s="115"/>
      <c r="I141" s="115"/>
      <c r="J141" s="115"/>
      <c r="K141" s="115"/>
      <c r="L141" s="115"/>
      <c r="M141" s="115"/>
      <c r="N141" s="29"/>
      <c r="O141" s="29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85" t="s">
        <v>322</v>
      </c>
      <c r="B142" s="126"/>
      <c r="C142" s="126"/>
      <c r="D142" s="126"/>
      <c r="H142" s="115"/>
      <c r="I142" s="115"/>
      <c r="J142" s="115"/>
      <c r="K142" s="115"/>
      <c r="L142" s="115"/>
      <c r="M142" s="115"/>
      <c r="N142" s="127"/>
      <c r="O142" s="29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85" t="s">
        <v>323</v>
      </c>
      <c r="B143" s="126"/>
      <c r="C143" s="126"/>
      <c r="D143" s="126"/>
      <c r="H143" s="115"/>
      <c r="I143" s="115"/>
      <c r="J143" s="115"/>
      <c r="K143" s="115"/>
      <c r="L143" s="115"/>
      <c r="M143" s="115"/>
      <c r="N143" s="127"/>
      <c r="O143" s="29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85" t="s">
        <v>342</v>
      </c>
      <c r="B144" s="126"/>
      <c r="C144" s="126"/>
      <c r="D144" s="126"/>
      <c r="H144" s="115"/>
      <c r="I144" s="115"/>
      <c r="J144" s="115"/>
      <c r="K144" s="115"/>
      <c r="L144" s="115"/>
      <c r="M144" s="115"/>
      <c r="N144" s="127"/>
      <c r="O144" s="29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85" t="s">
        <v>343</v>
      </c>
      <c r="B145" s="126"/>
      <c r="C145" s="126"/>
      <c r="D145" s="126"/>
      <c r="H145" s="115"/>
      <c r="I145" s="115"/>
      <c r="J145" s="115"/>
      <c r="K145" s="115"/>
      <c r="L145" s="115"/>
      <c r="M145" s="115"/>
      <c r="N145" s="127"/>
      <c r="O145" s="29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85" t="s">
        <v>344</v>
      </c>
      <c r="B146" s="126"/>
      <c r="C146" s="126"/>
      <c r="D146" s="126"/>
      <c r="H146" s="115"/>
      <c r="I146" s="115"/>
      <c r="J146" s="115"/>
      <c r="K146" s="115"/>
      <c r="L146" s="115"/>
      <c r="M146" s="115"/>
      <c r="N146" s="29"/>
      <c r="O146" s="29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85" t="s">
        <v>345</v>
      </c>
      <c r="B147" s="126"/>
      <c r="C147" s="126"/>
      <c r="D147" s="126"/>
      <c r="H147" s="115"/>
      <c r="I147" s="115"/>
      <c r="J147" s="115"/>
      <c r="K147" s="115"/>
      <c r="L147" s="115"/>
      <c r="M147" s="115"/>
      <c r="N147" s="127"/>
      <c r="O147" s="29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85" t="s">
        <v>338</v>
      </c>
      <c r="B148" s="126"/>
      <c r="C148" s="126"/>
      <c r="D148" s="126"/>
      <c r="H148" s="115"/>
      <c r="I148" s="115"/>
      <c r="J148" s="115"/>
      <c r="K148" s="115"/>
      <c r="L148" s="115"/>
      <c r="M148" s="115"/>
      <c r="N148" s="29"/>
      <c r="O148" s="29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85" t="s">
        <v>339</v>
      </c>
      <c r="B149" s="126"/>
      <c r="C149" s="126"/>
      <c r="D149" s="126"/>
      <c r="H149" s="115"/>
      <c r="I149" s="115"/>
      <c r="J149" s="115"/>
      <c r="K149" s="115"/>
      <c r="L149" s="115"/>
      <c r="M149" s="115"/>
      <c r="N149" s="127"/>
      <c r="O149" s="29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85" t="s">
        <v>340</v>
      </c>
      <c r="B150" s="126"/>
      <c r="C150" s="126"/>
      <c r="D150" s="126"/>
      <c r="H150" s="115"/>
      <c r="I150" s="115"/>
      <c r="J150" s="115"/>
      <c r="K150" s="115"/>
      <c r="L150" s="115"/>
      <c r="M150" s="115"/>
      <c r="N150" s="127"/>
      <c r="O150" s="29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85" t="s">
        <v>341</v>
      </c>
      <c r="B151" s="126"/>
      <c r="C151" s="126"/>
      <c r="D151" s="126"/>
      <c r="H151" s="115"/>
      <c r="I151" s="115"/>
      <c r="J151" s="115"/>
      <c r="K151" s="115"/>
      <c r="L151" s="115"/>
      <c r="M151" s="115"/>
      <c r="N151" s="29"/>
      <c r="O151" s="29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85" t="s">
        <v>371</v>
      </c>
      <c r="B152" s="126"/>
      <c r="C152" s="126"/>
      <c r="D152" s="126"/>
      <c r="H152" s="115"/>
      <c r="I152" s="115"/>
      <c r="J152" s="115"/>
      <c r="K152" s="115"/>
      <c r="L152" s="115"/>
      <c r="M152" s="115"/>
      <c r="N152" s="127"/>
      <c r="O152" s="29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85" t="s">
        <v>372</v>
      </c>
      <c r="B153" s="126"/>
      <c r="C153" s="126"/>
      <c r="D153" s="126"/>
      <c r="H153" s="115"/>
      <c r="I153" s="115"/>
      <c r="J153" s="115"/>
      <c r="K153" s="115"/>
      <c r="L153" s="115"/>
      <c r="M153" s="115"/>
      <c r="N153" s="127"/>
      <c r="O153" s="29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85" t="s">
        <v>373</v>
      </c>
      <c r="B154" s="126"/>
      <c r="C154" s="126"/>
      <c r="D154" s="126"/>
      <c r="H154" s="115"/>
      <c r="I154" s="115"/>
      <c r="J154" s="115"/>
      <c r="K154" s="115"/>
      <c r="L154" s="115"/>
      <c r="M154" s="115"/>
      <c r="N154" s="127"/>
      <c r="O154" s="29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85" t="s">
        <v>346</v>
      </c>
      <c r="B155" s="126"/>
      <c r="C155" s="126"/>
      <c r="D155" s="126"/>
      <c r="H155" s="115"/>
      <c r="I155" s="115"/>
      <c r="J155" s="115"/>
      <c r="K155" s="115"/>
      <c r="L155" s="115"/>
      <c r="M155" s="115"/>
      <c r="N155" s="127"/>
      <c r="O155" s="29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85" t="s">
        <v>347</v>
      </c>
      <c r="B156" s="126"/>
      <c r="C156" s="126"/>
      <c r="D156" s="126"/>
      <c r="H156" s="115"/>
      <c r="I156" s="115"/>
      <c r="J156" s="115"/>
      <c r="K156" s="115"/>
      <c r="L156" s="115"/>
      <c r="M156" s="115"/>
      <c r="N156" s="127"/>
      <c r="O156" s="29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85" t="s">
        <v>348</v>
      </c>
      <c r="B157" s="126"/>
      <c r="C157" s="126"/>
      <c r="D157" s="126"/>
      <c r="H157" s="115"/>
      <c r="I157" s="115"/>
      <c r="J157" s="115"/>
      <c r="K157" s="115"/>
      <c r="L157" s="115"/>
      <c r="M157" s="115"/>
      <c r="N157" s="127"/>
      <c r="O157" s="29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85" t="s">
        <v>349</v>
      </c>
      <c r="B158" s="126"/>
      <c r="C158" s="126"/>
      <c r="D158" s="126"/>
      <c r="H158" s="115"/>
      <c r="I158" s="115"/>
      <c r="J158" s="115"/>
      <c r="K158" s="115"/>
      <c r="L158" s="115"/>
      <c r="M158" s="115"/>
      <c r="N158" s="127"/>
      <c r="O158" s="29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85" t="s">
        <v>350</v>
      </c>
      <c r="B159" s="126"/>
      <c r="C159" s="126"/>
      <c r="D159" s="126"/>
      <c r="H159" s="115"/>
      <c r="I159" s="115"/>
      <c r="J159" s="115"/>
      <c r="K159" s="115"/>
      <c r="L159" s="115"/>
      <c r="M159" s="115"/>
      <c r="N159" s="127"/>
      <c r="O159" s="29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85" t="s">
        <v>351</v>
      </c>
      <c r="B160" s="126"/>
      <c r="C160" s="126"/>
      <c r="D160" s="126"/>
      <c r="H160" s="115"/>
      <c r="I160" s="115"/>
      <c r="J160" s="115"/>
      <c r="K160" s="115"/>
      <c r="L160" s="115"/>
      <c r="M160" s="115"/>
      <c r="N160" s="29"/>
      <c r="O160" s="29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85" t="s">
        <v>352</v>
      </c>
      <c r="B161" s="126"/>
      <c r="C161" s="126"/>
      <c r="D161" s="126"/>
      <c r="H161" s="115"/>
      <c r="I161" s="115"/>
      <c r="J161" s="115"/>
      <c r="K161" s="115"/>
      <c r="L161" s="115"/>
      <c r="M161" s="115"/>
      <c r="N161" s="127"/>
      <c r="O161" s="29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86" t="s">
        <v>353</v>
      </c>
      <c r="B162" s="126"/>
      <c r="C162" s="126"/>
      <c r="D162" s="126"/>
      <c r="H162" s="115"/>
      <c r="I162" s="115"/>
      <c r="J162" s="115"/>
      <c r="K162" s="115"/>
      <c r="L162" s="115"/>
      <c r="M162" s="115"/>
      <c r="N162" s="127"/>
      <c r="O162" s="29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86" t="s">
        <v>354</v>
      </c>
      <c r="B163" s="126"/>
      <c r="C163" s="126"/>
      <c r="D163" s="126"/>
      <c r="H163" s="115"/>
      <c r="I163" s="115"/>
      <c r="J163" s="115"/>
      <c r="K163" s="115"/>
      <c r="L163" s="115"/>
      <c r="M163" s="115"/>
      <c r="N163" s="127"/>
      <c r="O163" s="29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86" t="s">
        <v>355</v>
      </c>
      <c r="B164" s="126"/>
      <c r="C164" s="126"/>
      <c r="D164" s="126"/>
      <c r="H164" s="115"/>
      <c r="I164" s="115"/>
      <c r="J164" s="115"/>
      <c r="K164" s="115"/>
      <c r="L164" s="115"/>
      <c r="M164" s="115"/>
      <c r="N164" s="29"/>
      <c r="O164" s="29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86" t="s">
        <v>374</v>
      </c>
      <c r="B165" s="126"/>
      <c r="C165" s="126"/>
      <c r="D165" s="126"/>
      <c r="H165" s="115"/>
      <c r="I165" s="115"/>
      <c r="J165" s="115"/>
      <c r="K165" s="115"/>
      <c r="L165" s="115"/>
      <c r="M165" s="115"/>
      <c r="N165" s="127"/>
      <c r="O165" s="29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86" t="s">
        <v>378</v>
      </c>
      <c r="B166" s="126"/>
      <c r="C166" s="126"/>
      <c r="D166" s="126"/>
      <c r="H166" s="115"/>
      <c r="I166" s="115"/>
      <c r="J166" s="115"/>
      <c r="K166" s="115"/>
      <c r="L166" s="115"/>
      <c r="M166" s="115"/>
      <c r="N166" s="29"/>
      <c r="O166" s="29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86" t="s">
        <v>379</v>
      </c>
      <c r="B167" s="126"/>
      <c r="C167" s="126"/>
      <c r="D167" s="126"/>
      <c r="H167" s="115"/>
      <c r="I167" s="115"/>
      <c r="J167" s="115"/>
      <c r="K167" s="115"/>
      <c r="L167" s="115"/>
      <c r="M167" s="115"/>
      <c r="N167" s="127"/>
      <c r="O167" s="29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86" t="s">
        <v>380</v>
      </c>
      <c r="B168" s="126"/>
      <c r="C168" s="126"/>
      <c r="D168" s="126"/>
      <c r="H168" s="115"/>
      <c r="I168" s="115"/>
      <c r="J168" s="115"/>
      <c r="K168" s="115"/>
      <c r="L168" s="115"/>
      <c r="M168" s="115"/>
      <c r="N168" s="127"/>
      <c r="O168" s="127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86" t="s">
        <v>381</v>
      </c>
      <c r="B169" s="126"/>
      <c r="C169" s="126"/>
      <c r="D169" s="126"/>
      <c r="H169" s="115"/>
      <c r="I169" s="115"/>
      <c r="J169" s="115"/>
      <c r="K169" s="115"/>
      <c r="L169" s="115"/>
      <c r="M169" s="115"/>
      <c r="N169" s="127"/>
      <c r="O169" s="127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86" t="s">
        <v>382</v>
      </c>
      <c r="B170" s="126"/>
      <c r="C170" s="126"/>
      <c r="D170" s="126"/>
      <c r="H170" s="115"/>
      <c r="I170" s="115"/>
      <c r="J170" s="115"/>
      <c r="K170" s="115"/>
      <c r="L170" s="115"/>
      <c r="M170" s="115"/>
      <c r="N170" s="127"/>
      <c r="O170" s="29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86" t="s">
        <v>383</v>
      </c>
      <c r="B171" s="126"/>
      <c r="C171" s="126"/>
      <c r="D171" s="126"/>
      <c r="H171" s="115"/>
      <c r="I171" s="115"/>
      <c r="J171" s="115"/>
      <c r="K171" s="115"/>
      <c r="L171" s="115"/>
      <c r="M171" s="115"/>
      <c r="N171" s="127"/>
      <c r="O171" s="29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86" t="s">
        <v>384</v>
      </c>
      <c r="B172" s="126"/>
      <c r="C172" s="126"/>
      <c r="D172" s="126"/>
      <c r="H172" s="115"/>
      <c r="I172" s="115"/>
      <c r="J172" s="115"/>
      <c r="K172" s="115"/>
      <c r="L172" s="115"/>
      <c r="M172" s="115"/>
      <c r="N172" s="127"/>
      <c r="O172" s="29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86" t="s">
        <v>385</v>
      </c>
      <c r="B173" s="126"/>
      <c r="C173" s="126"/>
      <c r="D173" s="126"/>
      <c r="H173" s="115"/>
      <c r="I173" s="115"/>
      <c r="J173" s="115"/>
      <c r="K173" s="115"/>
      <c r="L173" s="115"/>
      <c r="M173" s="115"/>
      <c r="N173" s="127"/>
      <c r="O173" s="29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86" t="s">
        <v>386</v>
      </c>
      <c r="B174" s="126"/>
      <c r="C174" s="126"/>
      <c r="D174" s="126"/>
      <c r="H174" s="115"/>
      <c r="I174" s="115"/>
      <c r="J174" s="115"/>
      <c r="K174" s="115"/>
      <c r="L174" s="115"/>
      <c r="M174" s="115"/>
      <c r="N174" s="127"/>
      <c r="O174" s="29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86" t="s">
        <v>387</v>
      </c>
      <c r="B175" s="126"/>
      <c r="C175" s="126"/>
      <c r="D175" s="126"/>
      <c r="H175" s="115"/>
      <c r="I175" s="115"/>
      <c r="J175" s="115"/>
      <c r="K175" s="115"/>
      <c r="L175" s="115"/>
      <c r="M175" s="115"/>
      <c r="N175" s="127"/>
      <c r="O175" s="29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86"/>
      <c r="B176" s="126"/>
      <c r="C176" s="126"/>
      <c r="D176" s="126"/>
      <c r="H176" s="115"/>
      <c r="I176" s="115"/>
      <c r="J176" s="115"/>
      <c r="K176" s="115"/>
      <c r="L176" s="115"/>
      <c r="M176" s="115"/>
      <c r="N176" s="127"/>
      <c r="O176" s="29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86"/>
      <c r="B177" s="126"/>
      <c r="C177" s="126"/>
      <c r="D177" s="126"/>
      <c r="H177" s="115"/>
      <c r="I177" s="115"/>
      <c r="J177" s="115"/>
      <c r="K177" s="115"/>
      <c r="L177" s="115"/>
      <c r="M177" s="115"/>
      <c r="N177" s="127"/>
      <c r="O177" s="29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86"/>
      <c r="B178" s="126"/>
      <c r="C178" s="126"/>
      <c r="D178" s="126"/>
      <c r="H178" s="115"/>
      <c r="I178" s="115"/>
      <c r="J178" s="115"/>
      <c r="K178" s="115"/>
      <c r="L178" s="115"/>
      <c r="M178" s="115"/>
      <c r="N178" s="127"/>
      <c r="O178" s="29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86"/>
      <c r="B179" s="126"/>
      <c r="C179" s="126"/>
      <c r="D179" s="126"/>
      <c r="H179" s="115"/>
      <c r="I179" s="115"/>
      <c r="J179" s="115"/>
      <c r="K179" s="115"/>
      <c r="L179" s="115"/>
      <c r="M179" s="115"/>
      <c r="N179" s="29"/>
      <c r="O179" s="29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86"/>
      <c r="B180" s="126"/>
      <c r="C180" s="126"/>
      <c r="D180" s="126"/>
      <c r="H180" s="115"/>
      <c r="I180" s="115"/>
      <c r="J180" s="115"/>
      <c r="K180" s="115"/>
      <c r="L180" s="115"/>
      <c r="M180" s="115"/>
      <c r="N180" s="127"/>
      <c r="O180" s="29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86"/>
      <c r="B181" s="126"/>
      <c r="C181" s="126"/>
      <c r="D181" s="126"/>
      <c r="H181" s="115"/>
      <c r="I181" s="115"/>
      <c r="J181" s="115"/>
      <c r="K181" s="115"/>
      <c r="L181" s="115"/>
      <c r="M181" s="115"/>
      <c r="N181" s="29"/>
      <c r="O181" s="29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86"/>
      <c r="B182" s="126"/>
      <c r="C182" s="126"/>
      <c r="D182" s="126"/>
      <c r="H182" s="115"/>
      <c r="I182" s="115"/>
      <c r="J182" s="115"/>
      <c r="K182" s="115"/>
      <c r="L182" s="115"/>
      <c r="M182" s="115"/>
      <c r="N182" s="127"/>
      <c r="O182" s="29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86"/>
      <c r="B183" s="126"/>
      <c r="C183" s="126"/>
      <c r="D183" s="126"/>
      <c r="H183" s="115"/>
      <c r="I183" s="115"/>
      <c r="J183" s="115"/>
      <c r="K183" s="115"/>
      <c r="L183" s="115"/>
      <c r="M183" s="115"/>
      <c r="N183" s="127"/>
      <c r="O183" s="29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25"/>
      <c r="B184" s="126"/>
      <c r="C184" s="126"/>
      <c r="D184" s="126"/>
      <c r="H184" s="115"/>
      <c r="I184" s="115"/>
      <c r="J184" s="115"/>
      <c r="K184" s="115"/>
      <c r="L184" s="115"/>
      <c r="M184" s="115"/>
      <c r="N184" s="127"/>
      <c r="O184" s="29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25"/>
      <c r="B185" s="126"/>
      <c r="C185" s="126"/>
      <c r="D185" s="126"/>
      <c r="H185" s="115"/>
      <c r="I185" s="115"/>
      <c r="J185" s="115"/>
      <c r="K185" s="115"/>
      <c r="L185" s="115"/>
      <c r="M185" s="115"/>
      <c r="N185" s="127"/>
      <c r="O185" s="29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25"/>
      <c r="B186" s="126"/>
      <c r="C186" s="126"/>
      <c r="D186" s="126"/>
      <c r="H186" s="115"/>
      <c r="I186" s="115"/>
      <c r="J186" s="115"/>
      <c r="K186" s="115"/>
      <c r="L186" s="115"/>
      <c r="M186" s="115"/>
      <c r="N186" s="29"/>
      <c r="O186" s="29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25"/>
      <c r="B187" s="126"/>
      <c r="C187" s="126"/>
      <c r="D187" s="126"/>
      <c r="H187" s="115"/>
      <c r="I187" s="115"/>
      <c r="J187" s="115"/>
      <c r="K187" s="115"/>
      <c r="L187" s="115"/>
      <c r="M187" s="115"/>
      <c r="N187" s="127"/>
      <c r="O187" s="29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25"/>
      <c r="B188" s="126"/>
      <c r="C188" s="126"/>
      <c r="D188" s="126"/>
      <c r="H188" s="115"/>
      <c r="I188" s="115"/>
      <c r="J188" s="115"/>
      <c r="K188" s="115"/>
      <c r="L188" s="115"/>
      <c r="M188" s="115"/>
      <c r="N188" s="29"/>
      <c r="O188" s="29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25"/>
      <c r="B189" s="126"/>
      <c r="C189" s="126"/>
      <c r="D189" s="126"/>
      <c r="H189" s="115"/>
      <c r="I189" s="115"/>
      <c r="J189" s="115"/>
      <c r="K189" s="115"/>
      <c r="L189" s="115"/>
      <c r="M189" s="115"/>
      <c r="N189" s="127"/>
      <c r="O189" s="29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25"/>
      <c r="B190" s="126"/>
      <c r="C190" s="126"/>
      <c r="D190" s="126"/>
      <c r="H190" s="115"/>
      <c r="I190" s="115"/>
      <c r="J190" s="115"/>
      <c r="K190" s="115"/>
      <c r="L190" s="115"/>
      <c r="M190" s="115"/>
      <c r="N190" s="29"/>
      <c r="O190" s="29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25"/>
      <c r="B191" s="126"/>
      <c r="C191" s="126"/>
      <c r="D191" s="126"/>
      <c r="H191" s="115"/>
      <c r="I191" s="115"/>
      <c r="J191" s="115"/>
      <c r="K191" s="115"/>
      <c r="L191" s="115"/>
      <c r="M191" s="115"/>
      <c r="N191" s="127"/>
      <c r="O191" s="29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25"/>
      <c r="B192" s="126"/>
      <c r="C192" s="126"/>
      <c r="D192" s="126"/>
      <c r="H192" s="115"/>
      <c r="I192" s="115"/>
      <c r="J192" s="115"/>
      <c r="K192" s="115"/>
      <c r="L192" s="115"/>
      <c r="M192" s="115"/>
      <c r="N192" s="127"/>
      <c r="O192" s="127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25"/>
      <c r="B193" s="126"/>
      <c r="C193" s="126"/>
      <c r="D193" s="126"/>
      <c r="H193" s="115"/>
      <c r="I193" s="115"/>
      <c r="J193" s="115"/>
      <c r="K193" s="115"/>
      <c r="L193" s="115"/>
      <c r="M193" s="115"/>
      <c r="N193" s="127"/>
      <c r="O193" s="127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25"/>
      <c r="B194" s="126"/>
      <c r="C194" s="126"/>
      <c r="D194" s="126"/>
      <c r="H194" s="115"/>
      <c r="I194" s="115"/>
      <c r="J194" s="115"/>
      <c r="K194" s="115"/>
      <c r="L194" s="115"/>
      <c r="M194" s="115"/>
      <c r="N194" s="127"/>
      <c r="O194" s="29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25"/>
      <c r="B195" s="126"/>
      <c r="C195" s="126"/>
      <c r="D195" s="126"/>
      <c r="H195" s="115"/>
      <c r="I195" s="115"/>
      <c r="J195" s="115"/>
      <c r="K195" s="115"/>
      <c r="L195" s="115"/>
      <c r="M195" s="115"/>
      <c r="N195" s="29"/>
      <c r="O195" s="29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25"/>
      <c r="B196" s="126"/>
      <c r="C196" s="126"/>
      <c r="D196" s="126"/>
      <c r="H196" s="115"/>
      <c r="I196" s="115"/>
      <c r="J196" s="115"/>
      <c r="K196" s="115"/>
      <c r="L196" s="115"/>
      <c r="M196" s="115"/>
      <c r="N196" s="29"/>
      <c r="O196" s="29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25"/>
      <c r="B197" s="126"/>
      <c r="C197" s="126"/>
      <c r="D197" s="126"/>
      <c r="H197" s="115"/>
      <c r="I197" s="115"/>
      <c r="J197" s="115"/>
      <c r="K197" s="115"/>
      <c r="L197" s="115"/>
      <c r="M197" s="115"/>
      <c r="N197" s="127"/>
      <c r="O197" s="29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25"/>
      <c r="B198" s="126"/>
      <c r="C198" s="126"/>
      <c r="D198" s="126"/>
      <c r="H198" s="115"/>
      <c r="I198" s="115"/>
      <c r="J198" s="115"/>
      <c r="K198" s="115"/>
      <c r="L198" s="115"/>
      <c r="M198" s="115"/>
      <c r="N198" s="29"/>
      <c r="O198" s="29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25"/>
      <c r="B199" s="126"/>
      <c r="C199" s="126"/>
      <c r="D199" s="126"/>
      <c r="H199" s="115"/>
      <c r="I199" s="115"/>
      <c r="J199" s="115"/>
      <c r="K199" s="115"/>
      <c r="L199" s="115"/>
      <c r="M199" s="115"/>
      <c r="N199" s="127"/>
      <c r="O199" s="29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25"/>
      <c r="B200" s="126"/>
      <c r="C200" s="126"/>
      <c r="D200" s="126"/>
      <c r="H200" s="115"/>
      <c r="I200" s="115"/>
      <c r="J200" s="115"/>
      <c r="K200" s="115"/>
      <c r="L200" s="115"/>
      <c r="M200" s="115"/>
      <c r="N200" s="127"/>
      <c r="O200" s="29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25"/>
      <c r="B201" s="126"/>
      <c r="C201" s="126"/>
      <c r="D201" s="126"/>
      <c r="H201" s="115"/>
      <c r="I201" s="115"/>
      <c r="J201" s="115"/>
      <c r="K201" s="115"/>
      <c r="L201" s="115"/>
      <c r="M201" s="115"/>
      <c r="N201" s="127"/>
      <c r="O201" s="29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25"/>
      <c r="B202" s="126"/>
      <c r="C202" s="126"/>
      <c r="D202" s="126"/>
      <c r="H202" s="115"/>
      <c r="I202" s="115"/>
      <c r="J202" s="115"/>
      <c r="K202" s="115"/>
      <c r="L202" s="115"/>
      <c r="M202" s="115"/>
      <c r="N202" s="127"/>
      <c r="O202" s="29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25"/>
      <c r="B203" s="126"/>
      <c r="C203" s="126"/>
      <c r="D203" s="126"/>
      <c r="H203" s="115"/>
      <c r="I203" s="115"/>
      <c r="J203" s="115"/>
      <c r="K203" s="115"/>
      <c r="L203" s="115"/>
      <c r="M203" s="115"/>
      <c r="N203" s="29"/>
      <c r="O203" s="29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25"/>
      <c r="B204" s="126"/>
      <c r="C204" s="126"/>
      <c r="D204" s="126"/>
      <c r="H204" s="115"/>
      <c r="I204" s="115"/>
      <c r="J204" s="115"/>
      <c r="K204" s="115"/>
      <c r="L204" s="115"/>
      <c r="M204" s="115"/>
      <c r="N204" s="127"/>
      <c r="O204" s="29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25"/>
      <c r="B205" s="126"/>
      <c r="C205" s="126"/>
      <c r="D205" s="126"/>
      <c r="H205" s="115"/>
      <c r="I205" s="115"/>
      <c r="J205" s="115"/>
      <c r="K205" s="115"/>
      <c r="L205" s="115"/>
      <c r="M205" s="115"/>
      <c r="N205" s="127"/>
      <c r="O205" s="29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25"/>
      <c r="B206" s="126"/>
      <c r="C206" s="126"/>
      <c r="D206" s="126"/>
      <c r="H206" s="115"/>
      <c r="I206" s="115"/>
      <c r="J206" s="115"/>
      <c r="K206" s="115"/>
      <c r="L206" s="115"/>
      <c r="M206" s="115"/>
      <c r="N206" s="127"/>
      <c r="O206" s="29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25"/>
      <c r="B207" s="126"/>
      <c r="C207" s="126"/>
      <c r="D207" s="126"/>
      <c r="H207" s="115"/>
      <c r="I207" s="115"/>
      <c r="J207" s="115"/>
      <c r="K207" s="115"/>
      <c r="L207" s="115"/>
      <c r="M207" s="115"/>
      <c r="N207" s="127"/>
      <c r="O207" s="29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25"/>
      <c r="B208" s="126"/>
      <c r="C208" s="126"/>
      <c r="D208" s="126"/>
      <c r="H208" s="115"/>
      <c r="I208" s="115"/>
      <c r="J208" s="115"/>
      <c r="K208" s="115"/>
      <c r="L208" s="115"/>
      <c r="M208" s="115"/>
      <c r="N208" s="127"/>
      <c r="O208" s="29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25"/>
      <c r="B209" s="126"/>
      <c r="C209" s="126"/>
      <c r="D209" s="126"/>
      <c r="H209" s="115"/>
      <c r="I209" s="115"/>
      <c r="J209" s="115"/>
      <c r="K209" s="115"/>
      <c r="L209" s="115"/>
      <c r="M209" s="115"/>
      <c r="N209" s="29"/>
      <c r="O209" s="29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25"/>
      <c r="B210" s="126"/>
      <c r="C210" s="126"/>
      <c r="D210" s="126"/>
      <c r="H210" s="115"/>
      <c r="I210" s="115"/>
      <c r="J210" s="115"/>
      <c r="K210" s="115"/>
      <c r="L210" s="115"/>
      <c r="M210" s="115"/>
      <c r="N210" s="127"/>
      <c r="O210" s="29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25"/>
      <c r="B211" s="126"/>
      <c r="C211" s="126"/>
      <c r="D211" s="126"/>
      <c r="H211" s="115"/>
      <c r="I211" s="115"/>
      <c r="J211" s="115"/>
      <c r="K211" s="115"/>
      <c r="L211" s="115"/>
      <c r="M211" s="115"/>
      <c r="N211" s="29"/>
      <c r="O211" s="29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25"/>
      <c r="B212" s="126"/>
      <c r="C212" s="126"/>
      <c r="D212" s="126"/>
      <c r="H212" s="115"/>
      <c r="I212" s="115"/>
      <c r="J212" s="115"/>
      <c r="K212" s="115"/>
      <c r="L212" s="115"/>
      <c r="M212" s="115"/>
      <c r="N212" s="29"/>
      <c r="O212" s="29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25"/>
      <c r="B213" s="126"/>
      <c r="C213" s="126"/>
      <c r="D213" s="126"/>
      <c r="H213" s="115"/>
      <c r="I213" s="115"/>
      <c r="J213" s="115"/>
      <c r="K213" s="115"/>
      <c r="L213" s="115"/>
      <c r="M213" s="115"/>
      <c r="N213" s="127"/>
      <c r="O213" s="29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25"/>
      <c r="B214" s="126"/>
      <c r="C214" s="126"/>
      <c r="D214" s="126"/>
      <c r="H214" s="115"/>
      <c r="I214" s="115"/>
      <c r="J214" s="115"/>
      <c r="K214" s="115"/>
      <c r="L214" s="115"/>
      <c r="M214" s="115"/>
      <c r="N214" s="127"/>
      <c r="O214" s="29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25"/>
      <c r="B215" s="126"/>
      <c r="C215" s="126"/>
      <c r="D215" s="126"/>
      <c r="H215" s="115"/>
      <c r="I215" s="115"/>
      <c r="J215" s="115"/>
      <c r="K215" s="115"/>
      <c r="L215" s="115"/>
      <c r="M215" s="115"/>
      <c r="N215" s="127"/>
      <c r="O215" s="29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25"/>
      <c r="B216" s="126"/>
      <c r="C216" s="126"/>
      <c r="D216" s="126"/>
      <c r="H216" s="115"/>
      <c r="I216" s="115"/>
      <c r="J216" s="115"/>
      <c r="K216" s="115"/>
      <c r="L216" s="115"/>
      <c r="M216" s="115"/>
      <c r="N216" s="127"/>
      <c r="O216" s="29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25"/>
      <c r="B217" s="126"/>
      <c r="C217" s="126"/>
      <c r="D217" s="126"/>
      <c r="H217" s="115"/>
      <c r="I217" s="115"/>
      <c r="J217" s="115"/>
      <c r="K217" s="115"/>
      <c r="L217" s="115"/>
      <c r="M217" s="115"/>
      <c r="N217" s="127"/>
      <c r="O217" s="29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25"/>
      <c r="B218" s="126"/>
      <c r="C218" s="126"/>
      <c r="D218" s="126"/>
      <c r="H218" s="115"/>
      <c r="I218" s="115"/>
      <c r="J218" s="115"/>
      <c r="K218" s="115"/>
      <c r="L218" s="115"/>
      <c r="M218" s="115"/>
      <c r="N218" s="127"/>
      <c r="O218" s="29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25"/>
      <c r="B219" s="126"/>
      <c r="C219" s="126"/>
      <c r="D219" s="126"/>
      <c r="H219" s="115"/>
      <c r="I219" s="115"/>
      <c r="J219" s="115"/>
      <c r="K219" s="115"/>
      <c r="L219" s="115"/>
      <c r="M219" s="115"/>
      <c r="N219" s="127"/>
      <c r="O219" s="29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25"/>
      <c r="B220" s="126"/>
      <c r="C220" s="126"/>
      <c r="D220" s="126"/>
      <c r="H220" s="115"/>
      <c r="I220" s="115"/>
      <c r="J220" s="115"/>
      <c r="K220" s="115"/>
      <c r="L220" s="115"/>
      <c r="M220" s="115"/>
      <c r="N220" s="127"/>
      <c r="O220" s="29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25"/>
      <c r="B221" s="126"/>
      <c r="C221" s="126"/>
      <c r="D221" s="126"/>
      <c r="H221" s="115"/>
      <c r="I221" s="115"/>
      <c r="J221" s="115"/>
      <c r="K221" s="115"/>
      <c r="L221" s="115"/>
      <c r="M221" s="115"/>
      <c r="N221" s="127"/>
      <c r="O221" s="29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25"/>
      <c r="B222" s="126"/>
      <c r="C222" s="126"/>
      <c r="D222" s="126"/>
      <c r="H222" s="115"/>
      <c r="I222" s="115"/>
      <c r="J222" s="115"/>
      <c r="K222" s="115"/>
      <c r="L222" s="115"/>
      <c r="M222" s="115"/>
      <c r="N222" s="29"/>
      <c r="O222" s="29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25"/>
      <c r="B223" s="126"/>
      <c r="C223" s="126"/>
      <c r="D223" s="126"/>
      <c r="H223" s="115"/>
      <c r="I223" s="115"/>
      <c r="J223" s="115"/>
      <c r="K223" s="115"/>
      <c r="L223" s="115"/>
      <c r="M223" s="115"/>
      <c r="N223" s="127"/>
      <c r="O223" s="29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25"/>
      <c r="B224" s="126"/>
      <c r="C224" s="126"/>
      <c r="D224" s="126"/>
      <c r="H224" s="115"/>
      <c r="I224" s="115"/>
      <c r="J224" s="115"/>
      <c r="K224" s="115"/>
      <c r="L224" s="115"/>
      <c r="M224" s="115"/>
      <c r="N224" s="29"/>
      <c r="O224" s="29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25"/>
      <c r="B225" s="126"/>
      <c r="C225" s="126"/>
      <c r="D225" s="126"/>
      <c r="H225" s="115"/>
      <c r="I225" s="115"/>
      <c r="J225" s="115"/>
      <c r="K225" s="115"/>
      <c r="L225" s="115"/>
      <c r="M225" s="115"/>
      <c r="N225" s="127"/>
      <c r="O225" s="29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25"/>
      <c r="B226" s="126"/>
      <c r="C226" s="126"/>
      <c r="D226" s="126"/>
      <c r="H226" s="115"/>
      <c r="I226" s="115"/>
      <c r="J226" s="115"/>
      <c r="K226" s="115"/>
      <c r="L226" s="115"/>
      <c r="M226" s="115"/>
      <c r="N226" s="127"/>
      <c r="O226" s="29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25"/>
      <c r="B227" s="126"/>
      <c r="C227" s="126"/>
      <c r="D227" s="126"/>
      <c r="H227" s="115"/>
      <c r="I227" s="115"/>
      <c r="J227" s="115"/>
      <c r="K227" s="115"/>
      <c r="L227" s="115"/>
      <c r="M227" s="115"/>
      <c r="N227" s="127"/>
      <c r="O227" s="29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25"/>
      <c r="B228" s="126"/>
      <c r="C228" s="126"/>
      <c r="D228" s="126"/>
      <c r="H228" s="115"/>
      <c r="I228" s="115"/>
      <c r="J228" s="115"/>
      <c r="K228" s="115"/>
      <c r="L228" s="115"/>
      <c r="M228" s="115"/>
      <c r="N228" s="127"/>
      <c r="O228" s="29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25"/>
      <c r="B229" s="126"/>
      <c r="C229" s="126"/>
      <c r="D229" s="126"/>
      <c r="H229" s="115"/>
      <c r="I229" s="115"/>
      <c r="J229" s="115"/>
      <c r="K229" s="115"/>
      <c r="L229" s="115"/>
      <c r="M229" s="115"/>
      <c r="N229" s="127"/>
      <c r="O229" s="29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25"/>
      <c r="B230" s="126"/>
      <c r="C230" s="126"/>
      <c r="D230" s="126"/>
      <c r="H230" s="115"/>
      <c r="I230" s="115"/>
      <c r="J230" s="115"/>
      <c r="K230" s="115"/>
      <c r="L230" s="115"/>
      <c r="M230" s="115"/>
      <c r="N230" s="127"/>
      <c r="O230" s="29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25"/>
      <c r="B231" s="126"/>
      <c r="C231" s="126"/>
      <c r="D231" s="126"/>
      <c r="H231" s="115"/>
      <c r="I231" s="115"/>
      <c r="J231" s="115"/>
      <c r="K231" s="115"/>
      <c r="L231" s="115"/>
      <c r="M231" s="115"/>
      <c r="N231" s="29"/>
      <c r="O231" s="29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25"/>
      <c r="B232" s="126"/>
      <c r="C232" s="126"/>
      <c r="D232" s="126"/>
      <c r="H232" s="115"/>
      <c r="I232" s="115"/>
      <c r="J232" s="115"/>
      <c r="K232" s="115"/>
      <c r="L232" s="115"/>
      <c r="M232" s="115"/>
      <c r="N232" s="127"/>
      <c r="O232" s="29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25"/>
      <c r="B233" s="126"/>
      <c r="C233" s="126"/>
      <c r="D233" s="126"/>
      <c r="H233" s="115"/>
      <c r="I233" s="115"/>
      <c r="J233" s="115"/>
      <c r="K233" s="115"/>
      <c r="L233" s="115"/>
      <c r="M233" s="115"/>
      <c r="N233" s="29"/>
      <c r="O233" s="29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25"/>
      <c r="B234" s="126"/>
      <c r="C234" s="126"/>
      <c r="D234" s="126"/>
      <c r="H234" s="115"/>
      <c r="I234" s="115"/>
      <c r="J234" s="115"/>
      <c r="K234" s="115"/>
      <c r="L234" s="115"/>
      <c r="M234" s="115"/>
      <c r="N234" s="127"/>
      <c r="O234" s="29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25"/>
      <c r="B235" s="126"/>
      <c r="C235" s="126"/>
      <c r="D235" s="126"/>
      <c r="H235" s="115"/>
      <c r="I235" s="115"/>
      <c r="J235" s="115"/>
      <c r="K235" s="115"/>
      <c r="L235" s="115"/>
      <c r="M235" s="115"/>
      <c r="N235" s="29"/>
      <c r="O235" s="29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25"/>
      <c r="B236" s="126"/>
      <c r="C236" s="126"/>
      <c r="D236" s="126"/>
      <c r="H236" s="115"/>
      <c r="I236" s="115"/>
      <c r="J236" s="115"/>
      <c r="K236" s="115"/>
      <c r="L236" s="115"/>
      <c r="M236" s="115"/>
      <c r="N236" s="127"/>
      <c r="O236" s="29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25"/>
      <c r="B237" s="126"/>
      <c r="C237" s="126"/>
      <c r="D237" s="126"/>
      <c r="H237" s="115"/>
      <c r="I237" s="115"/>
      <c r="J237" s="115"/>
      <c r="K237" s="115"/>
      <c r="L237" s="115"/>
      <c r="M237" s="115"/>
      <c r="N237" s="29"/>
      <c r="O237" s="29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25"/>
      <c r="B238" s="126"/>
      <c r="C238" s="126"/>
      <c r="D238" s="126"/>
      <c r="H238" s="115"/>
      <c r="I238" s="115"/>
      <c r="J238" s="115"/>
      <c r="K238" s="115"/>
      <c r="L238" s="115"/>
      <c r="M238" s="115"/>
      <c r="N238" s="29"/>
      <c r="O238" s="29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25"/>
      <c r="B239" s="126"/>
      <c r="C239" s="126"/>
      <c r="D239" s="126"/>
      <c r="H239" s="115"/>
      <c r="I239" s="115"/>
      <c r="J239" s="115"/>
      <c r="K239" s="115"/>
      <c r="L239" s="115"/>
      <c r="M239" s="115"/>
      <c r="N239" s="127"/>
      <c r="O239" s="29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25"/>
      <c r="B240" s="126"/>
      <c r="C240" s="126"/>
      <c r="D240" s="126"/>
      <c r="H240" s="115"/>
      <c r="I240" s="115"/>
      <c r="J240" s="115"/>
      <c r="K240" s="115"/>
      <c r="L240" s="115"/>
      <c r="M240" s="115"/>
      <c r="N240" s="127"/>
      <c r="O240" s="29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25"/>
      <c r="B241" s="126"/>
      <c r="C241" s="126"/>
      <c r="D241" s="126"/>
      <c r="H241" s="115"/>
      <c r="I241" s="115"/>
      <c r="J241" s="115"/>
      <c r="K241" s="115"/>
      <c r="L241" s="115"/>
      <c r="M241" s="115"/>
      <c r="N241" s="127"/>
      <c r="O241" s="29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25"/>
      <c r="B242" s="126"/>
      <c r="C242" s="126"/>
      <c r="D242" s="126"/>
      <c r="H242" s="115"/>
      <c r="I242" s="115"/>
      <c r="J242" s="115"/>
      <c r="K242" s="115"/>
      <c r="L242" s="115"/>
      <c r="M242" s="115"/>
      <c r="N242" s="127"/>
      <c r="O242" s="29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25"/>
      <c r="B243" s="126"/>
      <c r="C243" s="126"/>
      <c r="D243" s="126"/>
      <c r="H243" s="115"/>
      <c r="I243" s="115"/>
      <c r="J243" s="115"/>
      <c r="K243" s="115"/>
      <c r="L243" s="115"/>
      <c r="M243" s="115"/>
      <c r="N243" s="128"/>
      <c r="O243" s="29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25"/>
      <c r="B244" s="126"/>
      <c r="C244" s="126"/>
      <c r="D244" s="126"/>
      <c r="H244" s="115"/>
      <c r="I244" s="115"/>
      <c r="J244" s="115"/>
      <c r="K244" s="115"/>
      <c r="L244" s="115"/>
      <c r="M244" s="115"/>
      <c r="N244" s="127"/>
      <c r="O244" s="29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25"/>
      <c r="B245" s="126"/>
      <c r="C245" s="126"/>
      <c r="D245" s="126"/>
      <c r="H245" s="115"/>
      <c r="I245" s="115"/>
      <c r="J245" s="115"/>
      <c r="K245" s="115"/>
      <c r="L245" s="115"/>
      <c r="M245" s="115"/>
      <c r="N245" s="127"/>
      <c r="O245" s="29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25"/>
      <c r="B246" s="126"/>
      <c r="C246" s="126"/>
      <c r="D246" s="126"/>
      <c r="H246" s="115"/>
      <c r="I246" s="115"/>
      <c r="J246" s="115"/>
      <c r="K246" s="115"/>
      <c r="L246" s="115"/>
      <c r="M246" s="115"/>
      <c r="N246" s="128"/>
      <c r="O246" s="29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25"/>
      <c r="B247" s="126"/>
      <c r="C247" s="126"/>
      <c r="D247" s="126"/>
      <c r="H247" s="115"/>
      <c r="I247" s="115"/>
      <c r="J247" s="115"/>
      <c r="K247" s="115"/>
      <c r="L247" s="115"/>
      <c r="M247" s="115"/>
      <c r="N247" s="127"/>
      <c r="O247" s="29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25"/>
      <c r="B248" s="126"/>
      <c r="C248" s="126"/>
      <c r="D248" s="126"/>
      <c r="H248" s="115"/>
      <c r="I248" s="115"/>
      <c r="J248" s="115"/>
      <c r="K248" s="115"/>
      <c r="L248" s="115"/>
      <c r="M248" s="115"/>
      <c r="N248" s="127"/>
      <c r="O248" s="29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25"/>
      <c r="B249" s="126"/>
      <c r="C249" s="126"/>
      <c r="D249" s="126"/>
      <c r="H249" s="115"/>
      <c r="I249" s="115"/>
      <c r="J249" s="115"/>
      <c r="K249" s="115"/>
      <c r="L249" s="115"/>
      <c r="M249" s="115"/>
      <c r="N249" s="127"/>
      <c r="O249" s="29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25"/>
      <c r="B250" s="126"/>
      <c r="C250" s="126"/>
      <c r="D250" s="126"/>
      <c r="H250" s="115"/>
      <c r="I250" s="115"/>
      <c r="J250" s="115"/>
      <c r="K250" s="115"/>
      <c r="L250" s="115"/>
      <c r="M250" s="115"/>
      <c r="N250" s="128"/>
      <c r="O250" s="29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25"/>
      <c r="B251" s="126"/>
      <c r="C251" s="126"/>
      <c r="D251" s="126"/>
      <c r="H251" s="115"/>
      <c r="I251" s="115"/>
      <c r="J251" s="115"/>
      <c r="K251" s="115"/>
      <c r="L251" s="115"/>
      <c r="M251" s="115"/>
      <c r="N251" s="127"/>
      <c r="O251" s="29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25"/>
      <c r="B252" s="126"/>
      <c r="C252" s="126"/>
      <c r="D252" s="126"/>
      <c r="H252" s="115"/>
      <c r="I252" s="115"/>
      <c r="J252" s="115"/>
      <c r="K252" s="115"/>
      <c r="L252" s="115"/>
      <c r="M252" s="115"/>
      <c r="N252" s="127"/>
      <c r="O252" s="29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25"/>
      <c r="B253" s="126"/>
      <c r="C253" s="126"/>
      <c r="D253" s="126"/>
      <c r="H253" s="115"/>
      <c r="I253" s="115"/>
      <c r="J253" s="115"/>
      <c r="K253" s="115"/>
      <c r="L253" s="115"/>
      <c r="M253" s="115"/>
      <c r="N253" s="128"/>
      <c r="O253" s="29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25"/>
      <c r="B254" s="126"/>
      <c r="C254" s="126"/>
      <c r="D254" s="126"/>
      <c r="H254" s="115"/>
      <c r="I254" s="115"/>
      <c r="J254" s="115"/>
      <c r="K254" s="115"/>
      <c r="L254" s="115"/>
      <c r="M254" s="115"/>
      <c r="N254" s="127"/>
      <c r="O254" s="29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25"/>
      <c r="B255" s="126"/>
      <c r="C255" s="126"/>
      <c r="D255" s="126"/>
      <c r="N255" s="127"/>
      <c r="O255" s="29"/>
      <c r="AE255" s="127"/>
      <c r="AF255" s="29"/>
    </row>
    <row r="256" spans="1:32" ht="19.5" x14ac:dyDescent="0.4">
      <c r="A256" s="125"/>
      <c r="B256" s="126"/>
      <c r="C256" s="126"/>
      <c r="D256" s="126"/>
      <c r="H256" s="115"/>
      <c r="I256" s="115"/>
      <c r="J256" s="115"/>
      <c r="K256" s="115"/>
      <c r="L256" s="115"/>
      <c r="M256" s="115"/>
      <c r="N256" s="127"/>
      <c r="O256" s="29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25"/>
      <c r="B257" s="126"/>
      <c r="C257" s="126"/>
      <c r="D257" s="126"/>
      <c r="H257" s="115"/>
      <c r="I257" s="115"/>
      <c r="J257" s="115"/>
      <c r="K257" s="115"/>
      <c r="L257" s="115"/>
      <c r="M257" s="115"/>
      <c r="N257" s="127"/>
      <c r="O257" s="29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25"/>
      <c r="B258" s="126"/>
      <c r="C258" s="126"/>
      <c r="D258" s="126"/>
      <c r="H258" s="115"/>
      <c r="I258" s="115"/>
      <c r="J258" s="115"/>
      <c r="K258" s="115"/>
      <c r="L258" s="115"/>
      <c r="M258" s="115"/>
      <c r="N258" s="127"/>
      <c r="O258" s="29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25"/>
      <c r="B259" s="126"/>
      <c r="C259" s="126"/>
      <c r="D259" s="126"/>
      <c r="H259" s="115"/>
      <c r="I259" s="115"/>
      <c r="J259" s="115"/>
      <c r="K259" s="115"/>
      <c r="L259" s="115"/>
      <c r="M259" s="115"/>
      <c r="N259" s="127"/>
      <c r="O259" s="127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25"/>
      <c r="B260" s="126"/>
      <c r="C260" s="126"/>
      <c r="D260" s="126"/>
      <c r="H260" s="115"/>
      <c r="I260" s="115"/>
      <c r="J260" s="115"/>
      <c r="K260" s="115"/>
      <c r="L260" s="115"/>
      <c r="M260" s="115"/>
      <c r="N260" s="127"/>
      <c r="O260" s="29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25"/>
      <c r="B261" s="126"/>
      <c r="C261" s="126"/>
      <c r="D261" s="126"/>
      <c r="H261" s="115"/>
      <c r="I261" s="115"/>
      <c r="J261" s="115"/>
      <c r="K261" s="115"/>
      <c r="L261" s="115"/>
      <c r="M261" s="115"/>
      <c r="N261" s="127"/>
      <c r="O261" s="29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25"/>
      <c r="B262" s="126"/>
      <c r="C262" s="126"/>
      <c r="D262" s="126"/>
      <c r="H262" s="115"/>
      <c r="I262" s="115"/>
      <c r="J262" s="115"/>
      <c r="K262" s="115"/>
      <c r="L262" s="115"/>
      <c r="M262" s="115"/>
      <c r="N262" s="127"/>
      <c r="O262" s="29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25"/>
      <c r="B263" s="126"/>
      <c r="C263" s="126"/>
      <c r="D263" s="126"/>
      <c r="H263" s="115"/>
      <c r="I263" s="115"/>
      <c r="J263" s="115"/>
      <c r="K263" s="115"/>
      <c r="L263" s="115"/>
      <c r="M263" s="115"/>
      <c r="N263" s="127"/>
      <c r="O263" s="29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25"/>
      <c r="B264" s="126"/>
      <c r="C264" s="126"/>
      <c r="D264" s="126"/>
      <c r="H264" s="115"/>
      <c r="I264" s="115"/>
      <c r="J264" s="115"/>
      <c r="K264" s="115"/>
      <c r="L264" s="115"/>
      <c r="M264" s="115"/>
      <c r="N264" s="128"/>
      <c r="O264" s="29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25"/>
      <c r="B265" s="126"/>
      <c r="C265" s="126"/>
      <c r="D265" s="126"/>
      <c r="H265" s="115"/>
      <c r="I265" s="115"/>
      <c r="J265" s="115"/>
      <c r="K265" s="115"/>
      <c r="L265" s="115"/>
      <c r="M265" s="115"/>
      <c r="N265" s="127"/>
      <c r="O265" s="29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25"/>
      <c r="B266" s="126"/>
      <c r="C266" s="126"/>
      <c r="D266" s="126"/>
      <c r="N266" s="127"/>
      <c r="O266" s="29"/>
      <c r="AE266" s="127"/>
      <c r="AF266" s="29"/>
    </row>
    <row r="267" spans="1:32" ht="19.5" x14ac:dyDescent="0.4">
      <c r="A267" s="125"/>
      <c r="B267" s="126"/>
      <c r="C267" s="126"/>
      <c r="D267" s="126"/>
      <c r="H267" s="115"/>
      <c r="I267" s="115"/>
      <c r="J267" s="115"/>
      <c r="K267" s="115"/>
      <c r="L267" s="115"/>
      <c r="M267" s="115"/>
      <c r="N267" s="127"/>
      <c r="O267" s="29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25"/>
      <c r="B268" s="126"/>
      <c r="C268" s="126"/>
      <c r="D268" s="126"/>
      <c r="H268" s="115"/>
      <c r="I268" s="115"/>
      <c r="J268" s="115"/>
      <c r="K268" s="115"/>
      <c r="L268" s="115"/>
      <c r="M268" s="115"/>
      <c r="N268" s="127"/>
      <c r="O268" s="29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25"/>
      <c r="B269" s="126"/>
      <c r="C269" s="126"/>
      <c r="D269" s="126"/>
      <c r="H269" s="115"/>
      <c r="I269" s="115"/>
      <c r="J269" s="115"/>
      <c r="K269" s="115"/>
      <c r="L269" s="115"/>
      <c r="M269" s="115"/>
      <c r="N269" s="127"/>
      <c r="O269" s="29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25"/>
      <c r="B270" s="126"/>
      <c r="C270" s="126"/>
      <c r="D270" s="126"/>
      <c r="H270" s="115"/>
      <c r="I270" s="115"/>
      <c r="J270" s="115"/>
      <c r="K270" s="115"/>
      <c r="L270" s="115"/>
      <c r="M270" s="115"/>
      <c r="N270" s="127"/>
      <c r="O270" s="29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25"/>
      <c r="B271" s="126"/>
      <c r="C271" s="126"/>
      <c r="D271" s="126"/>
      <c r="H271" s="115"/>
      <c r="I271" s="115"/>
      <c r="J271" s="115"/>
      <c r="K271" s="115"/>
      <c r="L271" s="115"/>
      <c r="M271" s="115"/>
      <c r="N271" s="127"/>
      <c r="O271" s="29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25"/>
      <c r="B272" s="126"/>
      <c r="C272" s="126"/>
      <c r="D272" s="126"/>
      <c r="H272" s="115"/>
      <c r="I272" s="115"/>
      <c r="J272" s="115"/>
      <c r="K272" s="115"/>
      <c r="L272" s="115"/>
      <c r="M272" s="115"/>
      <c r="N272" s="128"/>
      <c r="O272" s="29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25"/>
      <c r="B273" s="126"/>
      <c r="C273" s="126"/>
      <c r="D273" s="126"/>
      <c r="H273" s="115"/>
      <c r="I273" s="115"/>
      <c r="J273" s="115"/>
      <c r="K273" s="115"/>
      <c r="L273" s="115"/>
      <c r="M273" s="115"/>
      <c r="N273" s="127"/>
      <c r="O273" s="29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25"/>
      <c r="B274" s="126"/>
      <c r="C274" s="126"/>
      <c r="D274" s="126"/>
      <c r="H274" s="115"/>
      <c r="I274" s="115"/>
      <c r="J274" s="115"/>
      <c r="K274" s="115"/>
      <c r="L274" s="115"/>
      <c r="M274" s="115"/>
      <c r="N274" s="127"/>
      <c r="O274" s="29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25"/>
      <c r="B275" s="126"/>
      <c r="C275" s="126"/>
      <c r="D275" s="126"/>
      <c r="H275" s="115"/>
      <c r="I275" s="115"/>
      <c r="J275" s="115"/>
      <c r="K275" s="115"/>
      <c r="L275" s="115"/>
      <c r="M275" s="115"/>
      <c r="N275" s="128"/>
      <c r="O275" s="29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25"/>
      <c r="B276" s="126"/>
      <c r="C276" s="126"/>
      <c r="D276" s="126"/>
      <c r="H276" s="115"/>
      <c r="I276" s="115"/>
      <c r="J276" s="115"/>
      <c r="K276" s="115"/>
      <c r="L276" s="115"/>
      <c r="M276" s="115"/>
      <c r="N276" s="127"/>
      <c r="O276" s="29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25"/>
      <c r="B277" s="126"/>
      <c r="C277" s="126"/>
      <c r="D277" s="126"/>
      <c r="H277" s="115"/>
      <c r="I277" s="115"/>
      <c r="J277" s="115"/>
      <c r="K277" s="115"/>
      <c r="L277" s="115"/>
      <c r="M277" s="115"/>
      <c r="N277" s="127"/>
      <c r="O277" s="29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25"/>
      <c r="B278" s="126"/>
      <c r="C278" s="126"/>
      <c r="D278" s="126"/>
      <c r="H278" s="115"/>
      <c r="I278" s="115"/>
      <c r="J278" s="115"/>
      <c r="K278" s="115"/>
      <c r="L278" s="115"/>
      <c r="M278" s="115"/>
      <c r="N278" s="127"/>
      <c r="O278" s="29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25"/>
      <c r="B279" s="126"/>
      <c r="C279" s="126"/>
      <c r="D279" s="126"/>
      <c r="H279" s="115"/>
      <c r="I279" s="115"/>
      <c r="J279" s="115"/>
      <c r="K279" s="115"/>
      <c r="L279" s="115"/>
      <c r="M279" s="115"/>
      <c r="N279" s="127"/>
      <c r="O279" s="29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25"/>
      <c r="B280" s="126"/>
      <c r="C280" s="126"/>
      <c r="D280" s="126"/>
      <c r="H280" s="115"/>
      <c r="I280" s="115"/>
      <c r="J280" s="115"/>
      <c r="K280" s="115"/>
      <c r="L280" s="115"/>
      <c r="M280" s="115"/>
      <c r="N280" s="128"/>
      <c r="O280" s="29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25"/>
      <c r="B281" s="126"/>
      <c r="C281" s="126"/>
      <c r="D281" s="126"/>
      <c r="H281" s="115"/>
      <c r="I281" s="115"/>
      <c r="J281" s="115"/>
      <c r="K281" s="115"/>
      <c r="L281" s="115"/>
      <c r="M281" s="115"/>
      <c r="N281" s="127"/>
      <c r="O281" s="29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25"/>
      <c r="B282" s="126"/>
      <c r="C282" s="126"/>
      <c r="D282" s="126"/>
      <c r="H282" s="115"/>
      <c r="I282" s="115"/>
      <c r="J282" s="115"/>
      <c r="K282" s="115"/>
      <c r="L282" s="115"/>
      <c r="M282" s="115"/>
      <c r="N282" s="128"/>
      <c r="O282" s="29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25"/>
      <c r="B283" s="126"/>
      <c r="C283" s="126"/>
      <c r="D283" s="126"/>
      <c r="H283" s="115"/>
      <c r="I283" s="115"/>
      <c r="J283" s="115"/>
      <c r="K283" s="115"/>
      <c r="L283" s="115"/>
      <c r="M283" s="115"/>
      <c r="N283" s="127"/>
      <c r="O283" s="29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25"/>
      <c r="B284" s="126"/>
      <c r="C284" s="126"/>
      <c r="D284" s="126"/>
      <c r="H284" s="115"/>
      <c r="I284" s="115"/>
      <c r="J284" s="115"/>
      <c r="K284" s="115"/>
      <c r="L284" s="115"/>
      <c r="M284" s="115"/>
      <c r="N284" s="128"/>
      <c r="O284" s="29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25"/>
      <c r="B285" s="126"/>
      <c r="C285" s="126"/>
      <c r="D285" s="126"/>
      <c r="H285" s="115"/>
      <c r="I285" s="115"/>
      <c r="J285" s="115"/>
      <c r="K285" s="115"/>
      <c r="L285" s="115"/>
      <c r="M285" s="115"/>
      <c r="N285" s="127"/>
      <c r="O285" s="29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25"/>
      <c r="B286" s="126"/>
      <c r="C286" s="126"/>
      <c r="D286" s="126"/>
      <c r="H286" s="115"/>
      <c r="I286" s="115"/>
      <c r="J286" s="115"/>
      <c r="K286" s="115"/>
      <c r="L286" s="115"/>
      <c r="M286" s="115"/>
      <c r="N286" s="128"/>
      <c r="O286" s="29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25"/>
      <c r="B287" s="126"/>
      <c r="C287" s="126"/>
      <c r="D287" s="126"/>
      <c r="H287" s="115"/>
      <c r="I287" s="115"/>
      <c r="J287" s="115"/>
      <c r="K287" s="115"/>
      <c r="L287" s="115"/>
      <c r="M287" s="115"/>
      <c r="N287" s="128"/>
      <c r="O287" s="29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25"/>
      <c r="B288" s="126"/>
      <c r="C288" s="126"/>
      <c r="D288" s="126"/>
      <c r="H288" s="115"/>
      <c r="I288" s="115"/>
      <c r="J288" s="115"/>
      <c r="K288" s="115"/>
      <c r="L288" s="115"/>
      <c r="M288" s="115"/>
      <c r="N288" s="127"/>
      <c r="O288" s="29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25"/>
      <c r="B289" s="126"/>
      <c r="C289" s="126"/>
      <c r="D289" s="126"/>
      <c r="H289" s="115"/>
      <c r="I289" s="115"/>
      <c r="J289" s="115"/>
      <c r="K289" s="115"/>
      <c r="L289" s="115"/>
      <c r="M289" s="115"/>
      <c r="N289" s="127"/>
      <c r="O289" s="29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25"/>
      <c r="B290" s="126"/>
      <c r="C290" s="126"/>
      <c r="D290" s="126"/>
      <c r="H290" s="115"/>
      <c r="I290" s="115"/>
      <c r="J290" s="115"/>
      <c r="K290" s="115"/>
      <c r="L290" s="115"/>
      <c r="M290" s="115"/>
      <c r="N290" s="127"/>
      <c r="O290" s="29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25"/>
      <c r="B291" s="126"/>
      <c r="C291" s="126"/>
      <c r="D291" s="126"/>
      <c r="H291" s="115"/>
      <c r="I291" s="115"/>
      <c r="J291" s="115"/>
      <c r="K291" s="115"/>
      <c r="L291" s="115"/>
      <c r="M291" s="115"/>
      <c r="N291" s="127"/>
      <c r="O291" s="29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25"/>
      <c r="B292" s="126"/>
      <c r="C292" s="126"/>
      <c r="D292" s="126"/>
      <c r="H292" s="115"/>
      <c r="I292" s="115"/>
      <c r="J292" s="115"/>
      <c r="K292" s="115"/>
      <c r="L292" s="115"/>
      <c r="M292" s="115"/>
      <c r="N292" s="127"/>
      <c r="O292" s="29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25"/>
      <c r="B293" s="126"/>
      <c r="C293" s="126"/>
      <c r="D293" s="126"/>
      <c r="H293" s="115"/>
      <c r="I293" s="115"/>
      <c r="J293" s="115"/>
      <c r="K293" s="115"/>
      <c r="L293" s="115"/>
      <c r="M293" s="115"/>
      <c r="N293" s="127"/>
      <c r="O293" s="29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25"/>
      <c r="B294" s="126"/>
      <c r="C294" s="126"/>
      <c r="D294" s="126"/>
      <c r="H294" s="115"/>
      <c r="I294" s="115"/>
      <c r="J294" s="115"/>
      <c r="K294" s="115"/>
      <c r="L294" s="115"/>
      <c r="M294" s="115"/>
      <c r="N294" s="127"/>
      <c r="O294" s="29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25"/>
      <c r="B295" s="126"/>
      <c r="C295" s="126"/>
      <c r="D295" s="126"/>
      <c r="H295" s="115"/>
      <c r="I295" s="115"/>
      <c r="J295" s="115"/>
      <c r="K295" s="115"/>
      <c r="L295" s="115"/>
      <c r="M295" s="115"/>
      <c r="N295" s="127"/>
      <c r="O295" s="29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25"/>
      <c r="B296" s="126"/>
      <c r="C296" s="126"/>
      <c r="D296" s="126"/>
      <c r="H296" s="115"/>
      <c r="I296" s="115"/>
      <c r="J296" s="115"/>
      <c r="K296" s="115"/>
      <c r="L296" s="115"/>
      <c r="M296" s="115"/>
      <c r="N296" s="127"/>
      <c r="O296" s="29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25"/>
      <c r="B297" s="126"/>
      <c r="C297" s="126"/>
      <c r="D297" s="126"/>
      <c r="H297" s="115"/>
      <c r="I297" s="115"/>
      <c r="J297" s="115"/>
      <c r="K297" s="115"/>
      <c r="L297" s="115"/>
      <c r="M297" s="115"/>
      <c r="N297" s="127"/>
      <c r="O297" s="29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25"/>
      <c r="B298" s="126"/>
      <c r="C298" s="126"/>
      <c r="D298" s="126"/>
      <c r="N298" s="127"/>
      <c r="O298" s="29"/>
      <c r="AE298" s="127"/>
      <c r="AF298" s="29"/>
    </row>
    <row r="299" spans="1:32" ht="19.5" x14ac:dyDescent="0.4">
      <c r="A299" s="125"/>
      <c r="B299" s="126"/>
      <c r="C299" s="126"/>
      <c r="D299" s="126"/>
      <c r="H299" s="115"/>
      <c r="I299" s="115"/>
      <c r="J299" s="115"/>
      <c r="K299" s="115"/>
      <c r="L299" s="115"/>
      <c r="M299" s="115"/>
      <c r="N299" s="127"/>
      <c r="O299" s="29"/>
      <c r="AD299" s="115"/>
      <c r="AE299" s="29"/>
      <c r="AF299" s="29"/>
    </row>
    <row r="300" spans="1:32" ht="19.5" x14ac:dyDescent="0.4">
      <c r="A300" s="125"/>
      <c r="B300" s="126"/>
      <c r="C300" s="126"/>
      <c r="D300" s="126"/>
      <c r="H300" s="115"/>
      <c r="I300" s="115"/>
      <c r="J300" s="115"/>
      <c r="K300" s="115"/>
      <c r="L300" s="115"/>
      <c r="M300" s="115"/>
      <c r="N300" s="127"/>
      <c r="O300" s="29"/>
      <c r="AD300" s="115"/>
      <c r="AE300" s="29"/>
      <c r="AF300" s="29"/>
    </row>
    <row r="301" spans="1:32" ht="19.5" x14ac:dyDescent="0.4">
      <c r="A301" s="125"/>
      <c r="B301" s="126"/>
      <c r="C301" s="126"/>
      <c r="D301" s="126"/>
      <c r="H301" s="115"/>
      <c r="I301" s="115"/>
      <c r="J301" s="115"/>
      <c r="K301" s="115"/>
      <c r="L301" s="115"/>
      <c r="M301" s="115"/>
      <c r="N301" s="127"/>
      <c r="O301" s="29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25"/>
      <c r="B302" s="126"/>
      <c r="C302" s="126"/>
      <c r="D302" s="126"/>
      <c r="N302" s="127"/>
      <c r="O302" s="29"/>
      <c r="AE302" s="127"/>
      <c r="AF302" s="29"/>
    </row>
    <row r="303" spans="1:32" ht="19.5" x14ac:dyDescent="0.4">
      <c r="A303" s="125"/>
      <c r="B303" s="126"/>
      <c r="C303" s="126"/>
      <c r="D303" s="126"/>
      <c r="I303" s="115"/>
      <c r="J303" s="115"/>
      <c r="K303" s="115"/>
      <c r="L303" s="115"/>
      <c r="M303" s="115"/>
      <c r="N303" s="29"/>
      <c r="O303" s="29"/>
      <c r="AE303" s="127"/>
      <c r="AF303" s="29"/>
    </row>
    <row r="304" spans="1:32" ht="19.5" x14ac:dyDescent="0.4">
      <c r="A304" s="125"/>
      <c r="B304" s="126"/>
      <c r="C304" s="126"/>
      <c r="D304" s="126"/>
      <c r="H304" s="115"/>
      <c r="I304" s="115"/>
      <c r="J304" s="115"/>
      <c r="K304" s="115"/>
      <c r="L304" s="115"/>
      <c r="M304" s="115"/>
      <c r="N304" s="127"/>
      <c r="O304" s="29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25"/>
      <c r="B305" s="126"/>
      <c r="C305" s="126"/>
      <c r="D305" s="126"/>
      <c r="H305" s="115"/>
      <c r="I305" s="115"/>
      <c r="J305" s="115"/>
      <c r="K305" s="115"/>
      <c r="L305" s="115"/>
      <c r="M305" s="115"/>
      <c r="N305" s="29"/>
      <c r="O305" s="29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25"/>
      <c r="B306" s="126"/>
      <c r="C306" s="126"/>
      <c r="D306" s="126"/>
      <c r="H306" s="115"/>
      <c r="I306" s="115"/>
      <c r="J306" s="115"/>
      <c r="K306" s="115"/>
      <c r="L306" s="115"/>
      <c r="M306" s="115"/>
      <c r="N306" s="127"/>
      <c r="O306" s="29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25"/>
      <c r="B307" s="126"/>
      <c r="C307" s="126"/>
      <c r="D307" s="126"/>
      <c r="H307" s="115"/>
      <c r="I307" s="115"/>
      <c r="J307" s="115"/>
      <c r="K307" s="115"/>
      <c r="L307" s="115"/>
      <c r="M307" s="115"/>
      <c r="N307" s="127"/>
      <c r="O307" s="29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25"/>
      <c r="B308" s="126"/>
      <c r="C308" s="126"/>
      <c r="D308" s="126"/>
      <c r="H308" s="115"/>
      <c r="I308" s="115"/>
      <c r="J308" s="115"/>
      <c r="K308" s="115"/>
      <c r="L308" s="115"/>
      <c r="M308" s="115"/>
      <c r="N308" s="29"/>
      <c r="O308" s="29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25"/>
      <c r="B309" s="126"/>
      <c r="C309" s="126"/>
      <c r="D309" s="126"/>
      <c r="H309" s="115"/>
      <c r="I309" s="115"/>
      <c r="J309" s="115"/>
      <c r="K309" s="115"/>
      <c r="L309" s="115"/>
      <c r="M309" s="115"/>
      <c r="N309" s="127"/>
      <c r="O309" s="29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25"/>
      <c r="B310" s="126"/>
      <c r="C310" s="126"/>
      <c r="D310" s="126"/>
      <c r="H310" s="115"/>
      <c r="I310" s="115"/>
      <c r="J310" s="115"/>
      <c r="K310" s="115"/>
      <c r="L310" s="115"/>
      <c r="M310" s="115"/>
      <c r="N310" s="127"/>
      <c r="O310" s="29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25"/>
      <c r="B311" s="126"/>
      <c r="C311" s="126"/>
      <c r="D311" s="126"/>
      <c r="H311" s="115"/>
      <c r="I311" s="115"/>
      <c r="J311" s="115"/>
      <c r="K311" s="115"/>
      <c r="L311" s="115"/>
      <c r="M311" s="115"/>
      <c r="N311" s="29"/>
      <c r="O311" s="29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25"/>
      <c r="B312" s="126"/>
      <c r="C312" s="126"/>
      <c r="D312" s="126"/>
      <c r="H312" s="115"/>
      <c r="I312" s="115"/>
      <c r="J312" s="115"/>
      <c r="K312" s="115"/>
      <c r="L312" s="115"/>
      <c r="M312" s="115"/>
      <c r="N312" s="29"/>
      <c r="O312" s="29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25"/>
      <c r="B313" s="126"/>
      <c r="C313" s="126"/>
      <c r="D313" s="126"/>
      <c r="H313" s="115"/>
      <c r="I313" s="115"/>
      <c r="J313" s="115"/>
      <c r="K313" s="115"/>
      <c r="L313" s="115"/>
      <c r="M313" s="115"/>
      <c r="N313" s="29"/>
      <c r="O313" s="29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25"/>
      <c r="B314" s="126"/>
      <c r="C314" s="126"/>
      <c r="D314" s="126"/>
      <c r="H314" s="115"/>
      <c r="I314" s="115"/>
      <c r="J314" s="115"/>
      <c r="K314" s="115"/>
      <c r="L314" s="115"/>
      <c r="M314" s="115"/>
      <c r="N314" s="127"/>
      <c r="O314" s="29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25"/>
      <c r="B315" s="126"/>
      <c r="C315" s="126"/>
      <c r="D315" s="126"/>
      <c r="H315" s="115"/>
      <c r="I315" s="115"/>
      <c r="J315" s="115"/>
      <c r="K315" s="115"/>
      <c r="L315" s="115"/>
      <c r="M315" s="115"/>
      <c r="N315" s="127"/>
      <c r="O315" s="29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25"/>
      <c r="B316" s="126"/>
      <c r="C316" s="126"/>
      <c r="D316" s="126"/>
      <c r="H316" s="115"/>
      <c r="I316" s="115"/>
      <c r="J316" s="115"/>
      <c r="K316" s="115"/>
      <c r="L316" s="115"/>
      <c r="M316" s="115"/>
      <c r="N316" s="127"/>
      <c r="O316" s="127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25"/>
      <c r="B317" s="126"/>
      <c r="C317" s="126"/>
      <c r="D317" s="126"/>
      <c r="H317" s="115"/>
      <c r="I317" s="115"/>
      <c r="J317" s="115"/>
      <c r="K317" s="115"/>
      <c r="L317" s="115"/>
      <c r="M317" s="115"/>
      <c r="N317" s="127"/>
      <c r="O317" s="29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25"/>
      <c r="B318" s="126"/>
      <c r="C318" s="126"/>
      <c r="D318" s="126"/>
      <c r="N318" s="127"/>
      <c r="O318" s="29"/>
      <c r="AE318" s="127"/>
      <c r="AF318" s="29"/>
    </row>
    <row r="319" spans="1:32" ht="19.5" x14ac:dyDescent="0.4">
      <c r="A319" s="125"/>
      <c r="B319" s="126"/>
      <c r="C319" s="126"/>
      <c r="D319" s="126"/>
      <c r="H319" s="115"/>
      <c r="I319" s="115"/>
      <c r="J319" s="115"/>
      <c r="K319" s="115"/>
      <c r="L319" s="115"/>
      <c r="M319" s="115"/>
      <c r="N319" s="127"/>
      <c r="O319" s="29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25"/>
      <c r="B320" s="126"/>
      <c r="C320" s="126"/>
      <c r="D320" s="126"/>
      <c r="H320" s="115"/>
      <c r="I320" s="115"/>
      <c r="J320" s="115"/>
      <c r="K320" s="115"/>
      <c r="L320" s="115"/>
      <c r="M320" s="115"/>
      <c r="N320" s="127"/>
      <c r="O320" s="29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25"/>
      <c r="B321" s="126"/>
      <c r="C321" s="126"/>
      <c r="D321" s="126"/>
      <c r="H321" s="115"/>
      <c r="I321" s="115"/>
      <c r="J321" s="115"/>
      <c r="K321" s="115"/>
      <c r="L321" s="115"/>
      <c r="M321" s="115"/>
      <c r="N321" s="127"/>
      <c r="O321" s="29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25"/>
      <c r="B322" s="126"/>
      <c r="C322" s="126"/>
      <c r="D322" s="126"/>
      <c r="H322" s="115"/>
      <c r="I322" s="115"/>
      <c r="J322" s="115"/>
      <c r="K322" s="115"/>
      <c r="L322" s="115"/>
      <c r="M322" s="115"/>
      <c r="N322" s="127"/>
      <c r="O322" s="29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25"/>
      <c r="B323" s="126"/>
      <c r="C323" s="126"/>
      <c r="D323" s="126"/>
      <c r="H323" s="115"/>
      <c r="I323" s="115"/>
      <c r="J323" s="115"/>
      <c r="K323" s="115"/>
      <c r="L323" s="115"/>
      <c r="M323" s="115"/>
      <c r="N323" s="127"/>
      <c r="O323" s="29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25"/>
      <c r="B324" s="126"/>
      <c r="C324" s="126"/>
      <c r="D324" s="126"/>
      <c r="H324" s="115"/>
      <c r="I324" s="115"/>
      <c r="J324" s="115"/>
      <c r="K324" s="115"/>
      <c r="L324" s="115"/>
      <c r="M324" s="115"/>
      <c r="N324" s="127"/>
      <c r="O324" s="29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25"/>
      <c r="B325" s="126"/>
      <c r="C325" s="126"/>
      <c r="D325" s="126"/>
      <c r="H325" s="115"/>
      <c r="I325" s="115"/>
      <c r="J325" s="115"/>
      <c r="K325" s="115"/>
      <c r="L325" s="115"/>
      <c r="M325" s="115"/>
      <c r="N325" s="127"/>
      <c r="O325" s="29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25"/>
      <c r="B326" s="126"/>
      <c r="C326" s="126"/>
      <c r="D326" s="126"/>
      <c r="H326" s="115"/>
      <c r="I326" s="115"/>
      <c r="J326" s="115"/>
      <c r="K326" s="115"/>
      <c r="L326" s="115"/>
      <c r="M326" s="115"/>
      <c r="N326" s="127"/>
      <c r="O326" s="29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25"/>
      <c r="B327" s="126"/>
      <c r="C327" s="126"/>
      <c r="D327" s="126"/>
      <c r="H327" s="115"/>
      <c r="I327" s="115"/>
      <c r="J327" s="115"/>
      <c r="K327" s="115"/>
      <c r="L327" s="115"/>
      <c r="M327" s="115"/>
      <c r="N327" s="127"/>
      <c r="O327" s="29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25"/>
      <c r="B328" s="126"/>
      <c r="C328" s="126"/>
      <c r="D328" s="126"/>
      <c r="H328" s="115"/>
      <c r="I328" s="115"/>
      <c r="J328" s="115"/>
      <c r="K328" s="115"/>
      <c r="L328" s="115"/>
      <c r="M328" s="115"/>
      <c r="N328" s="127"/>
      <c r="O328" s="29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25"/>
      <c r="B329" s="126"/>
      <c r="C329" s="126"/>
      <c r="D329" s="126"/>
      <c r="N329" s="127"/>
      <c r="O329" s="29"/>
      <c r="AE329" s="127"/>
      <c r="AF329" s="29"/>
    </row>
    <row r="330" spans="1:32" ht="19.5" x14ac:dyDescent="0.4">
      <c r="A330" s="125"/>
      <c r="B330" s="126"/>
      <c r="C330" s="126"/>
      <c r="D330" s="126"/>
      <c r="H330" s="115"/>
      <c r="I330" s="115"/>
      <c r="J330" s="115"/>
      <c r="K330" s="115"/>
      <c r="L330" s="115"/>
      <c r="M330" s="115"/>
      <c r="N330" s="29"/>
      <c r="O330" s="29"/>
      <c r="AC330" s="115"/>
      <c r="AD330" s="115"/>
      <c r="AE330" s="29"/>
      <c r="AF330" s="29"/>
    </row>
    <row r="331" spans="1:32" ht="19.5" x14ac:dyDescent="0.4">
      <c r="A331" s="125"/>
      <c r="B331" s="126"/>
      <c r="C331" s="126"/>
      <c r="D331" s="126"/>
      <c r="H331" s="115"/>
      <c r="I331" s="115"/>
      <c r="J331" s="115"/>
      <c r="K331" s="115"/>
      <c r="L331" s="115"/>
      <c r="M331" s="115"/>
      <c r="N331" s="127"/>
      <c r="O331" s="29"/>
      <c r="AA331" s="115"/>
      <c r="AB331" s="115"/>
      <c r="AC331" s="115"/>
      <c r="AD331" s="115"/>
      <c r="AE331" s="127"/>
      <c r="AF331" s="29"/>
    </row>
    <row r="332" spans="1:32" ht="19.5" x14ac:dyDescent="0.4">
      <c r="A332" s="125"/>
      <c r="B332" s="126"/>
      <c r="C332" s="126"/>
      <c r="D332" s="126"/>
      <c r="H332" s="115"/>
      <c r="I332" s="115"/>
      <c r="J332" s="115"/>
      <c r="K332" s="115"/>
      <c r="L332" s="115"/>
      <c r="M332" s="115"/>
      <c r="N332" s="127"/>
      <c r="O332" s="29"/>
      <c r="AA332" s="115"/>
      <c r="AB332" s="115"/>
      <c r="AC332" s="115"/>
      <c r="AD332" s="115"/>
      <c r="AE332" s="127"/>
      <c r="AF332" s="29"/>
    </row>
    <row r="333" spans="1:32" ht="19.5" x14ac:dyDescent="0.4">
      <c r="A333" s="125"/>
      <c r="B333" s="126"/>
      <c r="C333" s="126"/>
      <c r="D333" s="126"/>
      <c r="H333" s="115"/>
      <c r="I333" s="115"/>
      <c r="J333" s="115"/>
      <c r="K333" s="115"/>
      <c r="L333" s="115"/>
      <c r="M333" s="115"/>
      <c r="N333" s="127"/>
      <c r="O333" s="29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25"/>
      <c r="B334" s="126"/>
      <c r="C334" s="126"/>
      <c r="D334" s="126"/>
      <c r="N334" s="127"/>
      <c r="O334" s="29"/>
      <c r="AE334" s="127"/>
      <c r="AF334" s="29"/>
    </row>
    <row r="335" spans="1:32" ht="19.5" x14ac:dyDescent="0.4">
      <c r="A335" s="125"/>
      <c r="B335" s="126"/>
      <c r="C335" s="126"/>
      <c r="D335" s="126"/>
      <c r="H335" s="115"/>
      <c r="I335" s="115"/>
      <c r="J335" s="115"/>
      <c r="K335" s="115"/>
      <c r="L335" s="115"/>
      <c r="M335" s="115"/>
      <c r="N335" s="127"/>
      <c r="O335" s="29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25"/>
      <c r="B336" s="126"/>
      <c r="C336" s="126"/>
      <c r="D336" s="126"/>
      <c r="H336" s="115"/>
      <c r="I336" s="115"/>
      <c r="J336" s="115"/>
      <c r="K336" s="115"/>
      <c r="L336" s="115"/>
      <c r="M336" s="115"/>
      <c r="N336" s="29"/>
      <c r="O336" s="29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25"/>
      <c r="B337" s="126"/>
      <c r="C337" s="126"/>
      <c r="D337" s="126"/>
      <c r="H337" s="115"/>
      <c r="I337" s="115"/>
      <c r="J337" s="115"/>
      <c r="K337" s="115"/>
      <c r="L337" s="115"/>
      <c r="M337" s="115"/>
      <c r="N337" s="127"/>
      <c r="O337" s="29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25"/>
      <c r="B338" s="126"/>
      <c r="C338" s="126"/>
      <c r="D338" s="126"/>
      <c r="H338" s="115"/>
      <c r="I338" s="115"/>
      <c r="J338" s="115"/>
      <c r="K338" s="115"/>
      <c r="L338" s="115"/>
      <c r="M338" s="115"/>
      <c r="N338" s="127"/>
      <c r="O338" s="29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25"/>
      <c r="B339" s="126"/>
      <c r="C339" s="126"/>
      <c r="D339" s="126"/>
      <c r="H339" s="115"/>
      <c r="I339" s="115"/>
      <c r="J339" s="115"/>
      <c r="K339" s="115"/>
      <c r="L339" s="115"/>
      <c r="M339" s="115"/>
      <c r="N339" s="127"/>
      <c r="O339" s="29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25"/>
      <c r="B340" s="126"/>
      <c r="C340" s="126"/>
      <c r="D340" s="126"/>
      <c r="H340" s="115"/>
      <c r="I340" s="115"/>
      <c r="J340" s="115"/>
      <c r="K340" s="115"/>
      <c r="L340" s="115"/>
      <c r="M340" s="115"/>
      <c r="N340" s="127"/>
      <c r="O340" s="29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25"/>
      <c r="B341" s="126"/>
      <c r="C341" s="126"/>
      <c r="D341" s="126"/>
      <c r="H341" s="115"/>
      <c r="I341" s="115"/>
      <c r="J341" s="115"/>
      <c r="K341" s="115"/>
      <c r="L341" s="115"/>
      <c r="M341" s="115"/>
      <c r="N341" s="29"/>
      <c r="O341" s="29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25"/>
      <c r="B342" s="126"/>
      <c r="C342" s="126"/>
      <c r="D342" s="126"/>
      <c r="H342" s="115"/>
      <c r="I342" s="115"/>
      <c r="J342" s="115"/>
      <c r="K342" s="115"/>
      <c r="L342" s="115"/>
      <c r="M342" s="115"/>
      <c r="N342" s="127"/>
      <c r="O342" s="29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25"/>
      <c r="B343" s="126"/>
      <c r="C343" s="126"/>
      <c r="D343" s="126"/>
      <c r="H343" s="115"/>
      <c r="I343" s="115"/>
      <c r="J343" s="115"/>
      <c r="K343" s="115"/>
      <c r="L343" s="115"/>
      <c r="M343" s="115"/>
      <c r="N343" s="127"/>
      <c r="O343" s="29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25"/>
      <c r="B344" s="126"/>
      <c r="C344" s="126"/>
      <c r="D344" s="126"/>
      <c r="H344" s="115"/>
      <c r="I344" s="115"/>
      <c r="J344" s="115"/>
      <c r="K344" s="115"/>
      <c r="L344" s="115"/>
      <c r="M344" s="115"/>
      <c r="N344" s="29"/>
      <c r="O344" s="29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25"/>
      <c r="B345" s="126"/>
      <c r="C345" s="126"/>
      <c r="D345" s="126"/>
      <c r="H345" s="115"/>
      <c r="I345" s="115"/>
      <c r="J345" s="115"/>
      <c r="K345" s="115"/>
      <c r="L345" s="115"/>
      <c r="M345" s="115"/>
      <c r="N345" s="127"/>
      <c r="O345" s="29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25"/>
      <c r="B346" s="126"/>
      <c r="C346" s="126"/>
      <c r="D346" s="126"/>
      <c r="H346" s="115"/>
      <c r="I346" s="115"/>
      <c r="J346" s="115"/>
      <c r="K346" s="115"/>
      <c r="L346" s="115"/>
      <c r="M346" s="115"/>
      <c r="N346" s="29"/>
      <c r="O346" s="29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25"/>
      <c r="B347" s="126"/>
      <c r="C347" s="126"/>
      <c r="D347" s="126"/>
      <c r="N347" s="127"/>
      <c r="O347" s="29"/>
      <c r="AE347" s="127"/>
      <c r="AF347" s="29"/>
    </row>
    <row r="348" spans="1:32" ht="19.5" x14ac:dyDescent="0.4">
      <c r="A348" s="125"/>
      <c r="B348" s="126"/>
      <c r="C348" s="126"/>
      <c r="D348" s="126"/>
      <c r="H348" s="115"/>
      <c r="I348" s="115"/>
      <c r="J348" s="115"/>
      <c r="K348" s="115"/>
      <c r="L348" s="115"/>
      <c r="M348" s="115"/>
      <c r="N348" s="29"/>
      <c r="O348" s="29"/>
      <c r="AC348" s="115"/>
      <c r="AD348" s="115"/>
      <c r="AE348" s="29"/>
      <c r="AF348" s="29"/>
    </row>
    <row r="349" spans="1:32" ht="19.5" x14ac:dyDescent="0.4">
      <c r="A349" s="125"/>
      <c r="B349" s="126"/>
      <c r="C349" s="126"/>
      <c r="D349" s="126"/>
      <c r="H349" s="115"/>
      <c r="I349" s="115"/>
      <c r="J349" s="115"/>
      <c r="K349" s="115"/>
      <c r="L349" s="115"/>
      <c r="M349" s="115"/>
      <c r="N349" s="29"/>
      <c r="O349" s="29"/>
      <c r="AC349" s="115"/>
      <c r="AD349" s="115"/>
      <c r="AE349" s="29"/>
      <c r="AF349" s="29"/>
    </row>
    <row r="350" spans="1:32" ht="19.5" x14ac:dyDescent="0.4">
      <c r="A350" s="125"/>
      <c r="B350" s="126"/>
      <c r="C350" s="126"/>
      <c r="D350" s="126"/>
      <c r="H350" s="115"/>
      <c r="I350" s="115"/>
      <c r="J350" s="115"/>
      <c r="K350" s="115"/>
      <c r="L350" s="115"/>
      <c r="M350" s="115"/>
      <c r="N350" s="29"/>
      <c r="O350" s="29"/>
      <c r="AB350" s="115"/>
      <c r="AC350" s="115"/>
      <c r="AD350" s="115"/>
      <c r="AE350" s="29"/>
      <c r="AF350" s="29"/>
    </row>
    <row r="351" spans="1:32" ht="19.5" x14ac:dyDescent="0.4">
      <c r="A351" s="125"/>
      <c r="B351" s="126"/>
      <c r="C351" s="126"/>
      <c r="D351" s="126"/>
      <c r="H351" s="115"/>
      <c r="I351" s="115"/>
      <c r="J351" s="115"/>
      <c r="K351" s="115"/>
      <c r="L351" s="115"/>
      <c r="M351" s="115"/>
      <c r="N351" s="127"/>
      <c r="O351" s="29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25"/>
      <c r="B352" s="126"/>
      <c r="C352" s="126"/>
      <c r="D352" s="126"/>
      <c r="H352" s="115"/>
      <c r="I352" s="115"/>
      <c r="J352" s="115"/>
      <c r="K352" s="115"/>
      <c r="L352" s="115"/>
      <c r="M352" s="115"/>
      <c r="N352" s="127"/>
      <c r="O352" s="29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25"/>
      <c r="B353" s="126"/>
      <c r="C353" s="126"/>
      <c r="D353" s="126"/>
      <c r="N353" s="127"/>
      <c r="O353" s="29"/>
      <c r="AE353" s="127"/>
      <c r="AF353" s="29"/>
    </row>
    <row r="354" spans="1:32" ht="19.5" x14ac:dyDescent="0.4">
      <c r="A354" s="125"/>
      <c r="B354" s="126"/>
      <c r="C354" s="126"/>
      <c r="D354" s="126"/>
      <c r="H354" s="115"/>
      <c r="I354" s="115"/>
      <c r="J354" s="115"/>
      <c r="K354" s="115"/>
      <c r="L354" s="115"/>
      <c r="M354" s="115"/>
      <c r="N354" s="127"/>
      <c r="O354" s="29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25"/>
      <c r="B355" s="126"/>
      <c r="C355" s="126"/>
      <c r="D355" s="126"/>
      <c r="H355" s="115"/>
      <c r="I355" s="115"/>
      <c r="J355" s="115"/>
      <c r="K355" s="115"/>
      <c r="L355" s="115"/>
      <c r="M355" s="115"/>
      <c r="N355" s="127"/>
      <c r="O355" s="29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25"/>
      <c r="B356" s="126"/>
      <c r="C356" s="126"/>
      <c r="D356" s="126"/>
      <c r="H356" s="115"/>
      <c r="I356" s="115"/>
      <c r="J356" s="115"/>
      <c r="K356" s="115"/>
      <c r="L356" s="115"/>
      <c r="M356" s="115"/>
      <c r="N356" s="127"/>
      <c r="O356" s="29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25"/>
      <c r="B357" s="126"/>
      <c r="C357" s="126"/>
      <c r="D357" s="126"/>
      <c r="N357" s="127"/>
      <c r="O357" s="29"/>
      <c r="AE357" s="127"/>
      <c r="AF357" s="29"/>
    </row>
    <row r="358" spans="1:32" ht="19.5" x14ac:dyDescent="0.4">
      <c r="A358" s="125"/>
      <c r="B358" s="126"/>
      <c r="C358" s="126"/>
      <c r="D358" s="126"/>
      <c r="H358" s="115"/>
      <c r="I358" s="115"/>
      <c r="J358" s="115"/>
      <c r="K358" s="115"/>
      <c r="L358" s="115"/>
      <c r="M358" s="115"/>
      <c r="N358" s="127"/>
      <c r="O358" s="29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25"/>
      <c r="B359" s="126"/>
      <c r="C359" s="126"/>
      <c r="D359" s="126"/>
      <c r="H359" s="115"/>
      <c r="I359" s="115"/>
      <c r="J359" s="115"/>
      <c r="K359" s="115"/>
      <c r="L359" s="115"/>
      <c r="M359" s="115"/>
      <c r="N359" s="29"/>
      <c r="O359" s="29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25"/>
      <c r="B360" s="126"/>
      <c r="C360" s="126"/>
      <c r="D360" s="126"/>
      <c r="H360" s="115"/>
      <c r="I360" s="115"/>
      <c r="J360" s="115"/>
      <c r="K360" s="115"/>
      <c r="L360" s="115"/>
      <c r="M360" s="115"/>
      <c r="N360" s="127"/>
      <c r="O360" s="29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25"/>
      <c r="B361" s="126"/>
      <c r="C361" s="126"/>
      <c r="D361" s="126"/>
      <c r="H361" s="115"/>
      <c r="I361" s="115"/>
      <c r="J361" s="115"/>
      <c r="K361" s="115"/>
      <c r="L361" s="115"/>
      <c r="M361" s="115"/>
      <c r="N361" s="127"/>
      <c r="O361" s="29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25"/>
      <c r="B362" s="126"/>
      <c r="C362" s="126"/>
      <c r="D362" s="126"/>
      <c r="H362" s="115"/>
      <c r="I362" s="115"/>
      <c r="J362" s="115"/>
      <c r="K362" s="115"/>
      <c r="L362" s="115"/>
      <c r="M362" s="115"/>
      <c r="N362" s="127"/>
      <c r="O362" s="29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25"/>
      <c r="B363" s="126"/>
      <c r="C363" s="126"/>
      <c r="D363" s="126"/>
      <c r="H363" s="115"/>
      <c r="I363" s="115"/>
      <c r="J363" s="115"/>
      <c r="K363" s="115"/>
      <c r="L363" s="115"/>
      <c r="M363" s="115"/>
      <c r="N363" s="127"/>
      <c r="O363" s="29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25"/>
      <c r="B364" s="126"/>
      <c r="C364" s="126"/>
      <c r="D364" s="126"/>
      <c r="N364" s="127"/>
      <c r="O364" s="29"/>
      <c r="AE364" s="127"/>
      <c r="AF364" s="29"/>
    </row>
    <row r="365" spans="1:32" ht="19.5" x14ac:dyDescent="0.4">
      <c r="A365" s="125"/>
      <c r="B365" s="126"/>
      <c r="C365" s="126"/>
      <c r="D365" s="126"/>
      <c r="H365" s="115"/>
      <c r="I365" s="115"/>
      <c r="J365" s="115"/>
      <c r="K365" s="115"/>
      <c r="L365" s="115"/>
      <c r="M365" s="115"/>
      <c r="N365" s="127"/>
      <c r="O365" s="29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25"/>
      <c r="B366" s="126"/>
      <c r="C366" s="126"/>
      <c r="D366" s="126"/>
      <c r="H366" s="115"/>
      <c r="I366" s="115"/>
      <c r="J366" s="115"/>
      <c r="K366" s="115"/>
      <c r="L366" s="115"/>
      <c r="M366" s="115"/>
      <c r="N366" s="127"/>
      <c r="O366" s="29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25"/>
      <c r="B367" s="126"/>
      <c r="C367" s="126"/>
      <c r="D367" s="126"/>
      <c r="H367" s="115"/>
      <c r="I367" s="115"/>
      <c r="J367" s="115"/>
      <c r="K367" s="115"/>
      <c r="L367" s="115"/>
      <c r="M367" s="115"/>
      <c r="N367" s="127"/>
      <c r="O367" s="29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25"/>
      <c r="B368" s="126"/>
      <c r="C368" s="126"/>
      <c r="D368" s="126"/>
      <c r="H368" s="115"/>
      <c r="I368" s="115"/>
      <c r="J368" s="115"/>
      <c r="K368" s="115"/>
      <c r="L368" s="115"/>
      <c r="M368" s="115"/>
      <c r="N368" s="127"/>
      <c r="O368" s="29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25"/>
      <c r="B369" s="126"/>
      <c r="C369" s="126"/>
      <c r="D369" s="126"/>
      <c r="H369" s="115"/>
      <c r="I369" s="115"/>
      <c r="J369" s="115"/>
      <c r="K369" s="115"/>
      <c r="L369" s="115"/>
      <c r="M369" s="115"/>
      <c r="N369" s="127"/>
      <c r="O369" s="29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25"/>
      <c r="B370" s="126"/>
      <c r="C370" s="126"/>
      <c r="D370" s="126"/>
      <c r="H370" s="115"/>
      <c r="I370" s="115"/>
      <c r="J370" s="115"/>
      <c r="K370" s="115"/>
      <c r="L370" s="115"/>
      <c r="M370" s="115"/>
      <c r="N370" s="127"/>
      <c r="O370" s="29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25"/>
      <c r="B371" s="126"/>
      <c r="C371" s="126"/>
      <c r="D371" s="126"/>
      <c r="H371" s="115"/>
      <c r="I371" s="115"/>
      <c r="J371" s="115"/>
      <c r="K371" s="115"/>
      <c r="L371" s="115"/>
      <c r="M371" s="115"/>
      <c r="N371" s="127"/>
      <c r="O371" s="29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25"/>
      <c r="B372" s="126"/>
      <c r="C372" s="126"/>
      <c r="D372" s="126"/>
      <c r="H372" s="115"/>
      <c r="I372" s="115"/>
      <c r="J372" s="115"/>
      <c r="K372" s="115"/>
      <c r="L372" s="115"/>
      <c r="M372" s="115"/>
      <c r="N372" s="29"/>
      <c r="O372" s="29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25"/>
      <c r="B373" s="126"/>
      <c r="C373" s="126"/>
      <c r="D373" s="126"/>
      <c r="H373" s="115"/>
      <c r="I373" s="115"/>
      <c r="J373" s="115"/>
      <c r="K373" s="115"/>
      <c r="L373" s="115"/>
      <c r="M373" s="115"/>
      <c r="N373" s="127"/>
      <c r="O373" s="29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25"/>
      <c r="B374" s="126"/>
      <c r="C374" s="126"/>
      <c r="D374" s="126"/>
      <c r="H374" s="115"/>
      <c r="I374" s="115"/>
      <c r="J374" s="115"/>
      <c r="K374" s="115"/>
      <c r="L374" s="115"/>
      <c r="M374" s="115"/>
      <c r="N374" s="127"/>
      <c r="O374" s="29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25"/>
      <c r="B375" s="126"/>
      <c r="C375" s="126"/>
      <c r="D375" s="126"/>
      <c r="H375" s="115"/>
      <c r="I375" s="115"/>
      <c r="J375" s="115"/>
      <c r="K375" s="115"/>
      <c r="L375" s="115"/>
      <c r="M375" s="115"/>
      <c r="N375" s="29"/>
      <c r="O375" s="29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25"/>
      <c r="B376" s="126"/>
      <c r="C376" s="126"/>
      <c r="D376" s="126"/>
      <c r="N376" s="127"/>
      <c r="O376" s="29"/>
      <c r="AE376" s="127"/>
      <c r="AF376" s="29"/>
    </row>
    <row r="377" spans="1:32" ht="19.5" x14ac:dyDescent="0.4">
      <c r="A377" s="125"/>
      <c r="B377" s="126"/>
      <c r="C377" s="126"/>
      <c r="D377" s="126"/>
      <c r="N377" s="127"/>
      <c r="O377" s="29"/>
      <c r="AE377" s="127"/>
      <c r="AF377" s="29"/>
    </row>
    <row r="378" spans="1:32" ht="19.5" x14ac:dyDescent="0.4">
      <c r="A378" s="125"/>
      <c r="B378" s="126"/>
      <c r="C378" s="126"/>
      <c r="D378" s="126"/>
      <c r="H378" s="115"/>
      <c r="I378" s="115"/>
      <c r="J378" s="115"/>
      <c r="K378" s="115"/>
      <c r="L378" s="115"/>
      <c r="M378" s="115"/>
      <c r="N378" s="127"/>
      <c r="O378" s="29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25"/>
      <c r="B379" s="126"/>
      <c r="C379" s="126"/>
      <c r="D379" s="126"/>
      <c r="N379" s="127"/>
      <c r="O379" s="29"/>
      <c r="AE379" s="127"/>
      <c r="AF379" s="29"/>
    </row>
    <row r="380" spans="1:32" ht="19.5" x14ac:dyDescent="0.4">
      <c r="A380" s="125"/>
      <c r="B380" s="126"/>
      <c r="C380" s="126"/>
      <c r="D380" s="126"/>
      <c r="H380" s="115"/>
      <c r="I380" s="115"/>
      <c r="J380" s="115"/>
      <c r="K380" s="115"/>
      <c r="L380" s="115"/>
      <c r="M380" s="115"/>
      <c r="N380" s="127"/>
      <c r="O380" s="29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25"/>
      <c r="B381" s="126"/>
      <c r="C381" s="126"/>
      <c r="D381" s="126"/>
      <c r="H381" s="115"/>
      <c r="I381" s="115"/>
      <c r="J381" s="115"/>
      <c r="K381" s="115"/>
      <c r="L381" s="115"/>
      <c r="M381" s="115"/>
      <c r="N381" s="29"/>
      <c r="O381" s="29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25"/>
      <c r="B382" s="126"/>
      <c r="C382" s="126"/>
      <c r="D382" s="126"/>
      <c r="H382" s="115"/>
      <c r="I382" s="115"/>
      <c r="J382" s="115"/>
      <c r="K382" s="115"/>
      <c r="L382" s="115"/>
      <c r="M382" s="115"/>
      <c r="N382" s="127"/>
      <c r="O382" s="29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25"/>
      <c r="B383" s="126"/>
      <c r="C383" s="126"/>
      <c r="D383" s="126"/>
      <c r="H383" s="115"/>
      <c r="I383" s="115"/>
      <c r="J383" s="115"/>
      <c r="K383" s="115"/>
      <c r="L383" s="115"/>
      <c r="M383" s="115"/>
      <c r="N383" s="127"/>
      <c r="O383" s="29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25"/>
      <c r="B384" s="126"/>
      <c r="C384" s="126"/>
      <c r="D384" s="126"/>
      <c r="H384" s="115"/>
      <c r="I384" s="115"/>
      <c r="J384" s="115"/>
      <c r="K384" s="115"/>
      <c r="L384" s="115"/>
      <c r="M384" s="115"/>
      <c r="N384" s="127"/>
      <c r="O384" s="29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25"/>
      <c r="B385" s="126"/>
      <c r="C385" s="126"/>
      <c r="D385" s="126"/>
      <c r="H385" s="115"/>
      <c r="I385" s="115"/>
      <c r="J385" s="115"/>
      <c r="K385" s="115"/>
      <c r="L385" s="115"/>
      <c r="M385" s="115"/>
      <c r="N385" s="127"/>
      <c r="O385" s="29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25"/>
      <c r="B386" s="126"/>
      <c r="C386" s="126"/>
      <c r="D386" s="126"/>
      <c r="H386" s="115"/>
      <c r="I386" s="115"/>
      <c r="J386" s="115"/>
      <c r="K386" s="115"/>
      <c r="L386" s="115"/>
      <c r="M386" s="115"/>
      <c r="N386" s="127"/>
      <c r="O386" s="29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25"/>
      <c r="B387" s="126"/>
      <c r="C387" s="126"/>
      <c r="D387" s="126"/>
      <c r="H387" s="115"/>
      <c r="I387" s="115"/>
      <c r="J387" s="115"/>
      <c r="K387" s="115"/>
      <c r="L387" s="115"/>
      <c r="M387" s="115"/>
      <c r="N387" s="29"/>
      <c r="O387" s="29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25"/>
      <c r="B388" s="126"/>
      <c r="C388" s="126"/>
      <c r="D388" s="126"/>
      <c r="H388" s="115"/>
      <c r="I388" s="115"/>
      <c r="J388" s="115"/>
      <c r="K388" s="115"/>
      <c r="L388" s="115"/>
      <c r="M388" s="115"/>
      <c r="N388" s="127"/>
      <c r="O388" s="29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25"/>
      <c r="B389" s="126"/>
      <c r="C389" s="126"/>
      <c r="D389" s="126"/>
      <c r="H389" s="115"/>
      <c r="I389" s="115"/>
      <c r="J389" s="115"/>
      <c r="K389" s="115"/>
      <c r="L389" s="115"/>
      <c r="M389" s="115"/>
      <c r="N389" s="29"/>
      <c r="O389" s="29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25"/>
      <c r="B390" s="126"/>
      <c r="C390" s="126"/>
      <c r="D390" s="126"/>
      <c r="H390" s="115"/>
      <c r="I390" s="115"/>
      <c r="J390" s="115"/>
      <c r="K390" s="115"/>
      <c r="L390" s="115"/>
      <c r="M390" s="115"/>
      <c r="N390" s="29"/>
      <c r="O390" s="29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25"/>
      <c r="B391" s="126"/>
      <c r="C391" s="126"/>
      <c r="D391" s="126"/>
      <c r="H391" s="115"/>
      <c r="I391" s="115"/>
      <c r="J391" s="115"/>
      <c r="K391" s="115"/>
      <c r="L391" s="115"/>
      <c r="M391" s="115"/>
      <c r="N391" s="127"/>
      <c r="O391" s="29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25"/>
      <c r="B392" s="126"/>
      <c r="C392" s="126"/>
      <c r="D392" s="126"/>
      <c r="H392" s="115"/>
      <c r="I392" s="115"/>
      <c r="J392" s="115"/>
      <c r="K392" s="115"/>
      <c r="L392" s="115"/>
      <c r="M392" s="115"/>
      <c r="N392" s="127"/>
      <c r="O392" s="29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25"/>
      <c r="B393" s="126"/>
      <c r="C393" s="126"/>
      <c r="D393" s="126"/>
      <c r="H393" s="115"/>
      <c r="I393" s="115"/>
      <c r="J393" s="115"/>
      <c r="K393" s="115"/>
      <c r="L393" s="115"/>
      <c r="M393" s="115"/>
      <c r="N393" s="29"/>
      <c r="O393" s="29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25"/>
      <c r="B394" s="126"/>
      <c r="C394" s="126"/>
      <c r="D394" s="126"/>
      <c r="H394" s="115"/>
      <c r="I394" s="115"/>
      <c r="J394" s="115"/>
      <c r="K394" s="115"/>
      <c r="L394" s="115"/>
      <c r="M394" s="115"/>
      <c r="N394" s="127"/>
      <c r="O394" s="29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25"/>
      <c r="B395" s="126"/>
      <c r="C395" s="126"/>
      <c r="D395" s="126"/>
      <c r="H395" s="115"/>
      <c r="I395" s="115"/>
      <c r="J395" s="115"/>
      <c r="K395" s="115"/>
      <c r="L395" s="115"/>
      <c r="M395" s="115"/>
      <c r="N395" s="127"/>
      <c r="O395" s="29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25"/>
      <c r="B396" s="126"/>
      <c r="C396" s="126"/>
      <c r="D396" s="126"/>
      <c r="N396" s="127"/>
      <c r="O396" s="29"/>
      <c r="AE396" s="127"/>
      <c r="AF396" s="29"/>
    </row>
    <row r="397" spans="1:32" ht="19.5" x14ac:dyDescent="0.4">
      <c r="A397" s="125"/>
      <c r="B397" s="126"/>
      <c r="C397" s="126"/>
      <c r="D397" s="126"/>
      <c r="H397" s="115"/>
      <c r="I397" s="115"/>
      <c r="J397" s="115"/>
      <c r="K397" s="115"/>
      <c r="L397" s="115"/>
      <c r="M397" s="115"/>
      <c r="N397" s="127"/>
      <c r="O397" s="29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25"/>
      <c r="B398" s="126"/>
      <c r="C398" s="126"/>
      <c r="D398" s="126"/>
      <c r="H398" s="115"/>
      <c r="I398" s="115"/>
      <c r="J398" s="115"/>
      <c r="K398" s="115"/>
      <c r="L398" s="115"/>
      <c r="M398" s="115"/>
      <c r="N398" s="127"/>
      <c r="O398" s="29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25"/>
      <c r="B399" s="126"/>
      <c r="C399" s="126"/>
      <c r="D399" s="126"/>
      <c r="H399" s="115"/>
      <c r="I399" s="115"/>
      <c r="J399" s="115"/>
      <c r="K399" s="115"/>
      <c r="L399" s="115"/>
      <c r="M399" s="115"/>
      <c r="N399" s="127"/>
      <c r="O399" s="29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25"/>
      <c r="B400" s="126"/>
      <c r="C400" s="126"/>
      <c r="D400" s="126"/>
      <c r="H400" s="115"/>
      <c r="I400" s="115"/>
      <c r="J400" s="115"/>
      <c r="K400" s="115"/>
      <c r="L400" s="115"/>
      <c r="M400" s="115"/>
      <c r="N400" s="127"/>
      <c r="O400" s="29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25"/>
      <c r="B401" s="126"/>
      <c r="C401" s="126"/>
      <c r="D401" s="126"/>
      <c r="N401" s="127"/>
      <c r="O401" s="29"/>
      <c r="AE401" s="127"/>
      <c r="AF401" s="29"/>
    </row>
    <row r="402" spans="1:32" ht="19.5" x14ac:dyDescent="0.4">
      <c r="A402" s="125"/>
      <c r="B402" s="126"/>
      <c r="C402" s="126"/>
      <c r="D402" s="126"/>
      <c r="H402" s="115"/>
      <c r="I402" s="115"/>
      <c r="J402" s="115"/>
      <c r="K402" s="115"/>
      <c r="L402" s="115"/>
      <c r="M402" s="115"/>
      <c r="N402" s="127"/>
      <c r="O402" s="29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25"/>
      <c r="B403" s="126"/>
      <c r="C403" s="126"/>
      <c r="D403" s="126"/>
      <c r="H403" s="115"/>
      <c r="I403" s="115"/>
      <c r="J403" s="115"/>
      <c r="K403" s="115"/>
      <c r="L403" s="115"/>
      <c r="M403" s="115"/>
      <c r="N403" s="127"/>
      <c r="O403" s="29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25"/>
      <c r="B404" s="126"/>
      <c r="C404" s="126"/>
      <c r="D404" s="126"/>
      <c r="H404" s="115"/>
      <c r="I404" s="115"/>
      <c r="J404" s="115"/>
      <c r="K404" s="115"/>
      <c r="L404" s="115"/>
      <c r="M404" s="115"/>
      <c r="N404" s="29"/>
      <c r="O404" s="29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25"/>
      <c r="B405" s="126"/>
      <c r="C405" s="126"/>
      <c r="D405" s="126"/>
      <c r="N405" s="127"/>
      <c r="O405" s="29"/>
      <c r="AE405" s="127"/>
      <c r="AF405" s="29"/>
    </row>
    <row r="406" spans="1:32" ht="19.5" x14ac:dyDescent="0.4">
      <c r="A406" s="125"/>
      <c r="B406" s="126"/>
      <c r="C406" s="126"/>
      <c r="D406" s="126"/>
      <c r="H406" s="115"/>
      <c r="I406" s="115"/>
      <c r="J406" s="115"/>
      <c r="K406" s="115"/>
      <c r="L406" s="115"/>
      <c r="M406" s="115"/>
      <c r="N406" s="127"/>
      <c r="O406" s="29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25"/>
      <c r="B407" s="126"/>
      <c r="C407" s="126"/>
      <c r="D407" s="126"/>
      <c r="H407" s="115"/>
      <c r="I407" s="115"/>
      <c r="J407" s="115"/>
      <c r="K407" s="115"/>
      <c r="L407" s="115"/>
      <c r="M407" s="115"/>
      <c r="N407" s="127"/>
      <c r="O407" s="29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25"/>
      <c r="B408" s="126"/>
      <c r="C408" s="126"/>
      <c r="D408" s="126"/>
      <c r="H408" s="115"/>
      <c r="I408" s="115"/>
      <c r="J408" s="115"/>
      <c r="K408" s="115"/>
      <c r="L408" s="115"/>
      <c r="M408" s="115"/>
      <c r="N408" s="29"/>
      <c r="O408" s="29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25"/>
      <c r="B409" s="126"/>
      <c r="C409" s="126"/>
      <c r="D409" s="126"/>
      <c r="N409" s="127"/>
      <c r="O409" s="29"/>
      <c r="AE409" s="127"/>
      <c r="AF409" s="29"/>
    </row>
    <row r="410" spans="1:32" ht="19.5" x14ac:dyDescent="0.4">
      <c r="A410" s="125"/>
      <c r="B410" s="126"/>
      <c r="C410" s="126"/>
      <c r="D410" s="126"/>
      <c r="H410" s="115"/>
      <c r="I410" s="115"/>
      <c r="J410" s="115"/>
      <c r="K410" s="115"/>
      <c r="L410" s="115"/>
      <c r="M410" s="115"/>
      <c r="N410" s="29"/>
      <c r="O410" s="29"/>
      <c r="AA410" s="115"/>
      <c r="AB410" s="115"/>
      <c r="AC410" s="115"/>
      <c r="AD410" s="115"/>
      <c r="AE410" s="29"/>
      <c r="AF410" s="29"/>
    </row>
    <row r="411" spans="1:32" ht="19.5" x14ac:dyDescent="0.4">
      <c r="A411" s="125"/>
      <c r="B411" s="126"/>
      <c r="C411" s="126"/>
      <c r="D411" s="126"/>
      <c r="N411" s="127"/>
      <c r="O411" s="29"/>
      <c r="AE411" s="127"/>
      <c r="AF411" s="29"/>
    </row>
    <row r="412" spans="1:32" ht="19.5" x14ac:dyDescent="0.4">
      <c r="A412" s="125"/>
      <c r="B412" s="126"/>
      <c r="C412" s="126"/>
      <c r="D412" s="126"/>
      <c r="H412" s="115"/>
      <c r="I412" s="115"/>
      <c r="J412" s="115"/>
      <c r="K412" s="115"/>
      <c r="L412" s="115"/>
      <c r="M412" s="115"/>
      <c r="N412" s="127"/>
      <c r="O412" s="29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25"/>
      <c r="B413" s="126"/>
      <c r="C413" s="126"/>
      <c r="D413" s="126"/>
      <c r="N413" s="127"/>
      <c r="O413" s="29"/>
      <c r="AE413" s="127"/>
      <c r="AF413" s="29"/>
    </row>
    <row r="414" spans="1:32" ht="19.5" x14ac:dyDescent="0.4">
      <c r="A414" s="125"/>
      <c r="B414" s="126"/>
      <c r="C414" s="126"/>
      <c r="D414" s="126"/>
      <c r="H414" s="115"/>
      <c r="I414" s="115"/>
      <c r="J414" s="115"/>
      <c r="K414" s="115"/>
      <c r="L414" s="115"/>
      <c r="M414" s="115"/>
      <c r="N414" s="127"/>
      <c r="O414" s="29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25"/>
      <c r="B415" s="126"/>
      <c r="C415" s="126"/>
      <c r="D415" s="126"/>
      <c r="N415" s="127"/>
      <c r="O415" s="29"/>
      <c r="AE415" s="127"/>
      <c r="AF415" s="29"/>
    </row>
    <row r="416" spans="1:32" ht="19.5" x14ac:dyDescent="0.4">
      <c r="A416" s="125"/>
      <c r="B416" s="126"/>
      <c r="C416" s="126"/>
      <c r="D416" s="126"/>
      <c r="H416" s="115"/>
      <c r="I416" s="115"/>
      <c r="J416" s="115"/>
      <c r="K416" s="115"/>
      <c r="L416" s="115"/>
      <c r="M416" s="115"/>
      <c r="N416" s="127"/>
      <c r="O416" s="29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25"/>
      <c r="B417" s="126"/>
      <c r="C417" s="126"/>
      <c r="D417" s="126"/>
      <c r="H417" s="115"/>
      <c r="I417" s="115"/>
      <c r="J417" s="115"/>
      <c r="K417" s="115"/>
      <c r="L417" s="115"/>
      <c r="M417" s="115"/>
      <c r="N417" s="29"/>
      <c r="O417" s="29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25"/>
      <c r="B418" s="126"/>
      <c r="C418" s="126"/>
      <c r="D418" s="126"/>
      <c r="H418" s="115"/>
      <c r="I418" s="115"/>
      <c r="J418" s="115"/>
      <c r="K418" s="115"/>
      <c r="L418" s="115"/>
      <c r="M418" s="115"/>
      <c r="N418" s="127"/>
      <c r="O418" s="29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25"/>
      <c r="B419" s="126"/>
      <c r="C419" s="126"/>
      <c r="D419" s="126"/>
      <c r="H419" s="115"/>
      <c r="I419" s="115"/>
      <c r="J419" s="115"/>
      <c r="K419" s="115"/>
      <c r="L419" s="115"/>
      <c r="M419" s="115"/>
      <c r="N419" s="29"/>
      <c r="O419" s="29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25"/>
      <c r="B420" s="126"/>
      <c r="C420" s="126"/>
      <c r="D420" s="126"/>
      <c r="H420" s="115"/>
      <c r="I420" s="115"/>
      <c r="J420" s="115"/>
      <c r="K420" s="115"/>
      <c r="L420" s="115"/>
      <c r="M420" s="115"/>
      <c r="N420" s="29"/>
      <c r="O420" s="29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25"/>
      <c r="B421" s="126"/>
      <c r="C421" s="126"/>
      <c r="D421" s="126"/>
      <c r="H421" s="115"/>
      <c r="I421" s="115"/>
      <c r="J421" s="115"/>
      <c r="K421" s="115"/>
      <c r="L421" s="115"/>
      <c r="M421" s="115"/>
      <c r="N421" s="29"/>
      <c r="O421" s="29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25"/>
      <c r="B422" s="126"/>
      <c r="C422" s="126"/>
      <c r="D422" s="126"/>
      <c r="H422" s="115"/>
      <c r="I422" s="115"/>
      <c r="J422" s="115"/>
      <c r="K422" s="115"/>
      <c r="L422" s="115"/>
      <c r="M422" s="115"/>
      <c r="N422" s="127"/>
      <c r="O422" s="29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25"/>
      <c r="B423" s="126"/>
      <c r="C423" s="126"/>
      <c r="D423" s="126"/>
      <c r="H423" s="115"/>
      <c r="I423" s="115"/>
      <c r="J423" s="115"/>
      <c r="K423" s="115"/>
      <c r="L423" s="115"/>
      <c r="M423" s="115"/>
      <c r="N423" s="127"/>
      <c r="O423" s="29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25"/>
      <c r="B424" s="126"/>
      <c r="C424" s="126"/>
      <c r="D424" s="126"/>
      <c r="N424" s="127"/>
      <c r="O424" s="29"/>
      <c r="AE424" s="127"/>
      <c r="AF424" s="29"/>
    </row>
    <row r="425" spans="1:32" ht="19.5" x14ac:dyDescent="0.4">
      <c r="A425" s="125"/>
      <c r="B425" s="126"/>
      <c r="C425" s="126"/>
      <c r="D425" s="126"/>
      <c r="H425" s="115"/>
      <c r="I425" s="115"/>
      <c r="J425" s="115"/>
      <c r="K425" s="115"/>
      <c r="L425" s="115"/>
      <c r="M425" s="115"/>
      <c r="N425" s="29"/>
      <c r="O425" s="29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25"/>
      <c r="B426" s="126"/>
      <c r="C426" s="126"/>
      <c r="D426" s="126"/>
      <c r="H426" s="115"/>
      <c r="I426" s="115"/>
      <c r="J426" s="115"/>
      <c r="K426" s="115"/>
      <c r="L426" s="115"/>
      <c r="M426" s="115"/>
      <c r="N426" s="127"/>
      <c r="O426" s="29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25"/>
      <c r="B427" s="126"/>
      <c r="C427" s="126"/>
      <c r="D427" s="126"/>
      <c r="N427" s="127"/>
      <c r="O427" s="29"/>
      <c r="AE427" s="127"/>
      <c r="AF427" s="29"/>
    </row>
    <row r="428" spans="1:32" ht="19.5" x14ac:dyDescent="0.4">
      <c r="A428" s="125"/>
      <c r="B428" s="126"/>
      <c r="C428" s="126"/>
      <c r="D428" s="126"/>
      <c r="H428" s="115"/>
      <c r="I428" s="115"/>
      <c r="J428" s="115"/>
      <c r="K428" s="115"/>
      <c r="L428" s="115"/>
      <c r="M428" s="115"/>
      <c r="N428" s="127"/>
      <c r="O428" s="29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25"/>
      <c r="B429" s="126"/>
      <c r="C429" s="126"/>
      <c r="D429" s="126"/>
      <c r="H429" s="115"/>
      <c r="I429" s="115"/>
      <c r="J429" s="115"/>
      <c r="K429" s="115"/>
      <c r="L429" s="115"/>
      <c r="M429" s="115"/>
      <c r="N429" s="127"/>
      <c r="O429" s="29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25"/>
      <c r="B430" s="126"/>
      <c r="C430" s="126"/>
      <c r="D430" s="126"/>
      <c r="H430" s="115"/>
      <c r="I430" s="115"/>
      <c r="J430" s="115"/>
      <c r="K430" s="115"/>
      <c r="L430" s="115"/>
      <c r="M430" s="115"/>
      <c r="N430" s="127"/>
      <c r="O430" s="29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25"/>
      <c r="B431" s="126"/>
      <c r="C431" s="126"/>
      <c r="D431" s="126"/>
      <c r="H431" s="115"/>
      <c r="I431" s="115"/>
      <c r="J431" s="115"/>
      <c r="K431" s="115"/>
      <c r="L431" s="115"/>
      <c r="M431" s="115"/>
      <c r="N431" s="127"/>
      <c r="O431" s="29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25"/>
      <c r="B432" s="126"/>
      <c r="C432" s="126"/>
      <c r="D432" s="126"/>
      <c r="H432" s="115"/>
      <c r="I432" s="115"/>
      <c r="J432" s="115"/>
      <c r="K432" s="115"/>
      <c r="L432" s="115"/>
      <c r="M432" s="115"/>
      <c r="N432" s="29"/>
      <c r="O432" s="29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25"/>
      <c r="B433" s="126"/>
      <c r="C433" s="126"/>
      <c r="D433" s="126"/>
      <c r="H433" s="115"/>
      <c r="I433" s="115"/>
      <c r="J433" s="115"/>
      <c r="K433" s="115"/>
      <c r="L433" s="115"/>
      <c r="M433" s="115"/>
      <c r="N433" s="127"/>
      <c r="O433" s="29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25"/>
      <c r="B434" s="126"/>
      <c r="C434" s="126"/>
      <c r="D434" s="126"/>
      <c r="H434" s="115"/>
      <c r="I434" s="115"/>
      <c r="J434" s="115"/>
      <c r="K434" s="115"/>
      <c r="L434" s="115"/>
      <c r="M434" s="115"/>
      <c r="N434" s="127"/>
      <c r="O434" s="29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25"/>
      <c r="B435" s="126"/>
      <c r="C435" s="126"/>
      <c r="D435" s="126"/>
      <c r="H435" s="115"/>
      <c r="I435" s="115"/>
      <c r="J435" s="115"/>
      <c r="K435" s="115"/>
      <c r="L435" s="115"/>
      <c r="M435" s="115"/>
      <c r="N435" s="127"/>
      <c r="O435" s="29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25"/>
      <c r="B436" s="126"/>
      <c r="C436" s="126"/>
      <c r="D436" s="126"/>
      <c r="H436" s="115"/>
      <c r="I436" s="115"/>
      <c r="J436" s="115"/>
      <c r="K436" s="115"/>
      <c r="L436" s="115"/>
      <c r="M436" s="115"/>
      <c r="N436" s="127"/>
      <c r="O436" s="29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25"/>
      <c r="B437" s="126"/>
      <c r="C437" s="126"/>
      <c r="D437" s="126"/>
      <c r="H437" s="115"/>
      <c r="I437" s="115"/>
      <c r="J437" s="115"/>
      <c r="K437" s="115"/>
      <c r="L437" s="115"/>
      <c r="M437" s="115"/>
      <c r="N437" s="127"/>
      <c r="O437" s="29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25"/>
      <c r="B438" s="126"/>
      <c r="C438" s="126"/>
      <c r="D438" s="126"/>
      <c r="H438" s="115"/>
      <c r="I438" s="115"/>
      <c r="J438" s="115"/>
      <c r="K438" s="115"/>
      <c r="L438" s="115"/>
      <c r="M438" s="115"/>
      <c r="N438" s="127"/>
      <c r="O438" s="29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25"/>
      <c r="B439" s="126"/>
      <c r="C439" s="126"/>
      <c r="D439" s="126"/>
      <c r="H439" s="115"/>
      <c r="I439" s="115"/>
      <c r="J439" s="115"/>
      <c r="K439" s="115"/>
      <c r="L439" s="115"/>
      <c r="M439" s="115"/>
      <c r="N439" s="127"/>
      <c r="O439" s="29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25"/>
      <c r="B440" s="126"/>
      <c r="C440" s="126"/>
      <c r="D440" s="126"/>
      <c r="H440" s="115"/>
      <c r="I440" s="115"/>
      <c r="J440" s="115"/>
      <c r="K440" s="115"/>
      <c r="L440" s="115"/>
      <c r="M440" s="115"/>
      <c r="N440" s="127"/>
      <c r="O440" s="29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25"/>
      <c r="B441" s="126"/>
      <c r="C441" s="126"/>
      <c r="D441" s="126"/>
      <c r="H441" s="115"/>
      <c r="I441" s="115"/>
      <c r="J441" s="115"/>
      <c r="K441" s="115"/>
      <c r="L441" s="115"/>
      <c r="M441" s="115"/>
      <c r="N441" s="29"/>
      <c r="O441" s="29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25"/>
      <c r="B442" s="126"/>
      <c r="C442" s="126"/>
      <c r="D442" s="126"/>
      <c r="N442" s="127"/>
      <c r="O442" s="29"/>
      <c r="AE442" s="127"/>
      <c r="AF442" s="29"/>
    </row>
    <row r="443" spans="1:32" ht="19.5" x14ac:dyDescent="0.4">
      <c r="A443" s="125"/>
      <c r="B443" s="126"/>
      <c r="C443" s="126"/>
      <c r="D443" s="126"/>
      <c r="H443" s="115"/>
      <c r="I443" s="115"/>
      <c r="J443" s="115"/>
      <c r="K443" s="115"/>
      <c r="L443" s="115"/>
      <c r="M443" s="115"/>
      <c r="N443" s="29"/>
      <c r="O443" s="29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25"/>
      <c r="B444" s="126"/>
      <c r="C444" s="126"/>
      <c r="D444" s="126"/>
      <c r="N444" s="127"/>
      <c r="O444" s="29"/>
      <c r="AE444" s="127"/>
      <c r="AF444" s="29"/>
    </row>
    <row r="445" spans="1:32" ht="19.5" x14ac:dyDescent="0.4">
      <c r="A445" s="125"/>
      <c r="B445" s="126"/>
      <c r="C445" s="126"/>
      <c r="D445" s="126"/>
      <c r="H445" s="115"/>
      <c r="I445" s="115"/>
      <c r="J445" s="115"/>
      <c r="K445" s="115"/>
      <c r="L445" s="115"/>
      <c r="M445" s="115"/>
      <c r="N445" s="29"/>
      <c r="O445" s="29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25"/>
      <c r="B446" s="126"/>
      <c r="C446" s="126"/>
      <c r="D446" s="126"/>
      <c r="H446" s="115"/>
      <c r="I446" s="115"/>
      <c r="J446" s="115"/>
      <c r="K446" s="115"/>
      <c r="L446" s="115"/>
      <c r="M446" s="115"/>
      <c r="N446" s="127"/>
      <c r="O446" s="29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25"/>
      <c r="B447" s="126"/>
      <c r="C447" s="126"/>
      <c r="D447" s="126"/>
      <c r="H447" s="115"/>
      <c r="I447" s="115"/>
      <c r="J447" s="115"/>
      <c r="K447" s="115"/>
      <c r="L447" s="115"/>
      <c r="M447" s="115"/>
      <c r="N447" s="29"/>
      <c r="O447" s="29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25"/>
      <c r="B448" s="126"/>
      <c r="C448" s="126"/>
      <c r="D448" s="126"/>
      <c r="H448" s="115"/>
      <c r="I448" s="115"/>
      <c r="J448" s="115"/>
      <c r="K448" s="115"/>
      <c r="L448" s="115"/>
      <c r="M448" s="115"/>
      <c r="N448" s="127"/>
      <c r="O448" s="29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25"/>
      <c r="B449" s="126"/>
      <c r="C449" s="126"/>
      <c r="D449" s="126"/>
      <c r="H449" s="115"/>
      <c r="I449" s="115"/>
      <c r="J449" s="115"/>
      <c r="K449" s="115"/>
      <c r="L449" s="115"/>
      <c r="M449" s="115"/>
      <c r="N449" s="29"/>
      <c r="O449" s="29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25"/>
      <c r="B450" s="126"/>
      <c r="C450" s="126"/>
      <c r="D450" s="126"/>
      <c r="H450" s="115"/>
      <c r="I450" s="115"/>
      <c r="J450" s="115"/>
      <c r="K450" s="115"/>
      <c r="L450" s="115"/>
      <c r="M450" s="115"/>
      <c r="N450" s="127"/>
      <c r="O450" s="29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25"/>
      <c r="B451" s="126"/>
      <c r="C451" s="126"/>
      <c r="D451" s="126"/>
      <c r="H451" s="115"/>
      <c r="I451" s="115"/>
      <c r="J451" s="115"/>
      <c r="K451" s="115"/>
      <c r="L451" s="115"/>
      <c r="M451" s="115"/>
      <c r="N451" s="29"/>
      <c r="O451" s="29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25"/>
      <c r="B452" s="126"/>
      <c r="C452" s="126"/>
      <c r="D452" s="126"/>
      <c r="H452" s="115"/>
      <c r="I452" s="115"/>
      <c r="J452" s="115"/>
      <c r="K452" s="115"/>
      <c r="L452" s="115"/>
      <c r="M452" s="115"/>
      <c r="N452" s="29"/>
      <c r="O452" s="29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25"/>
      <c r="B453" s="126"/>
      <c r="C453" s="126"/>
      <c r="D453" s="126"/>
      <c r="H453" s="115"/>
      <c r="I453" s="115"/>
      <c r="J453" s="115"/>
      <c r="K453" s="115"/>
      <c r="L453" s="115"/>
      <c r="M453" s="115"/>
      <c r="N453" s="29"/>
      <c r="O453" s="29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25"/>
      <c r="B454" s="126"/>
      <c r="C454" s="126"/>
      <c r="D454" s="126"/>
      <c r="H454" s="115"/>
      <c r="I454" s="115"/>
      <c r="J454" s="115"/>
      <c r="K454" s="115"/>
      <c r="L454" s="115"/>
      <c r="M454" s="115"/>
      <c r="N454" s="127"/>
      <c r="O454" s="29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25"/>
      <c r="B455" s="126"/>
      <c r="C455" s="126"/>
      <c r="D455" s="126"/>
      <c r="N455" s="127"/>
      <c r="O455" s="29"/>
      <c r="AE455" s="127"/>
      <c r="AF455" s="29"/>
    </row>
    <row r="456" spans="1:32" ht="19.5" x14ac:dyDescent="0.4">
      <c r="A456" s="125"/>
      <c r="B456" s="126"/>
      <c r="C456" s="126"/>
      <c r="D456" s="126"/>
      <c r="H456" s="115"/>
      <c r="I456" s="115"/>
      <c r="J456" s="115"/>
      <c r="K456" s="115"/>
      <c r="L456" s="115"/>
      <c r="M456" s="115"/>
      <c r="N456" s="127"/>
      <c r="O456" s="29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25"/>
      <c r="B457" s="126"/>
      <c r="C457" s="126"/>
      <c r="D457" s="126"/>
      <c r="H457" s="115"/>
      <c r="I457" s="115"/>
      <c r="J457" s="115"/>
      <c r="K457" s="115"/>
      <c r="L457" s="115"/>
      <c r="M457" s="115"/>
      <c r="N457" s="127"/>
      <c r="O457" s="29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25"/>
      <c r="B458" s="126"/>
      <c r="C458" s="126"/>
      <c r="D458" s="126"/>
      <c r="H458" s="115"/>
      <c r="I458" s="115"/>
      <c r="J458" s="115"/>
      <c r="K458" s="115"/>
      <c r="L458" s="115"/>
      <c r="M458" s="115"/>
      <c r="N458" s="29"/>
      <c r="O458" s="29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25"/>
      <c r="B459" s="126"/>
      <c r="C459" s="126"/>
      <c r="D459" s="126"/>
      <c r="H459" s="115"/>
      <c r="I459" s="115"/>
      <c r="J459" s="115"/>
      <c r="K459" s="115"/>
      <c r="L459" s="115"/>
      <c r="M459" s="115"/>
      <c r="N459" s="127"/>
      <c r="O459" s="29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25"/>
      <c r="B460" s="126"/>
      <c r="C460" s="126"/>
      <c r="D460" s="126"/>
      <c r="H460" s="115"/>
      <c r="I460" s="115"/>
      <c r="J460" s="115"/>
      <c r="K460" s="115"/>
      <c r="L460" s="115"/>
      <c r="M460" s="115"/>
      <c r="N460" s="29"/>
      <c r="O460" s="29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25"/>
      <c r="B461" s="126"/>
      <c r="C461" s="126"/>
      <c r="D461" s="126"/>
      <c r="H461" s="115"/>
      <c r="I461" s="115"/>
      <c r="J461" s="115"/>
      <c r="K461" s="115"/>
      <c r="L461" s="115"/>
      <c r="M461" s="115"/>
      <c r="N461" s="127"/>
      <c r="O461" s="29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25"/>
      <c r="B462" s="126"/>
      <c r="C462" s="126"/>
      <c r="D462" s="126"/>
      <c r="N462" s="127"/>
      <c r="O462" s="29"/>
      <c r="AE462" s="127"/>
      <c r="AF462" s="29"/>
    </row>
    <row r="463" spans="1:32" ht="19.5" x14ac:dyDescent="0.4">
      <c r="A463" s="125"/>
      <c r="B463" s="126"/>
      <c r="C463" s="126"/>
      <c r="D463" s="126"/>
      <c r="N463" s="127"/>
      <c r="O463" s="29"/>
      <c r="AE463" s="127"/>
      <c r="AF463" s="29"/>
    </row>
    <row r="464" spans="1:32" ht="19.5" x14ac:dyDescent="0.4">
      <c r="A464" s="125"/>
      <c r="B464" s="126"/>
      <c r="C464" s="126"/>
      <c r="D464" s="126"/>
      <c r="H464" s="115"/>
      <c r="I464" s="115"/>
      <c r="J464" s="115"/>
      <c r="K464" s="115"/>
      <c r="L464" s="115"/>
      <c r="M464" s="115"/>
      <c r="N464" s="127"/>
      <c r="O464" s="29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25"/>
      <c r="B465" s="126"/>
      <c r="C465" s="126"/>
      <c r="D465" s="126"/>
      <c r="H465" s="115"/>
      <c r="I465" s="115"/>
      <c r="J465" s="115"/>
      <c r="K465" s="115"/>
      <c r="L465" s="115"/>
      <c r="M465" s="115"/>
      <c r="N465" s="127"/>
      <c r="O465" s="29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25"/>
      <c r="B466" s="126"/>
      <c r="C466" s="126"/>
      <c r="D466" s="126"/>
      <c r="H466" s="115"/>
      <c r="I466" s="115"/>
      <c r="J466" s="115"/>
      <c r="K466" s="115"/>
      <c r="L466" s="115"/>
      <c r="M466" s="115"/>
      <c r="N466" s="29"/>
      <c r="O466" s="29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25"/>
      <c r="B467" s="126"/>
      <c r="C467" s="126"/>
      <c r="D467" s="126"/>
      <c r="N467" s="127"/>
      <c r="O467" s="29"/>
      <c r="AE467" s="127"/>
      <c r="AF467" s="29"/>
    </row>
    <row r="468" spans="1:32" ht="19.5" x14ac:dyDescent="0.4">
      <c r="A468" s="125"/>
      <c r="B468" s="126"/>
      <c r="C468" s="126"/>
      <c r="D468" s="126"/>
      <c r="H468" s="115"/>
      <c r="I468" s="115"/>
      <c r="J468" s="115"/>
      <c r="K468" s="115"/>
      <c r="L468" s="115"/>
      <c r="M468" s="115"/>
      <c r="N468" s="127"/>
      <c r="O468" s="29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25"/>
      <c r="B469" s="126"/>
      <c r="C469" s="126"/>
      <c r="D469" s="126"/>
      <c r="H469" s="115"/>
      <c r="I469" s="115"/>
      <c r="J469" s="115"/>
      <c r="K469" s="115"/>
      <c r="L469" s="115"/>
      <c r="M469" s="115"/>
      <c r="N469" s="127"/>
      <c r="O469" s="29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25"/>
      <c r="B470" s="126"/>
      <c r="C470" s="126"/>
      <c r="D470" s="126"/>
      <c r="N470" s="127"/>
      <c r="O470" s="29"/>
      <c r="AE470" s="127"/>
      <c r="AF470" s="29"/>
    </row>
    <row r="471" spans="1:32" ht="19.5" x14ac:dyDescent="0.4">
      <c r="A471" s="125"/>
      <c r="B471" s="126"/>
      <c r="C471" s="126"/>
      <c r="D471" s="126"/>
      <c r="H471" s="115"/>
      <c r="I471" s="115"/>
      <c r="J471" s="115"/>
      <c r="K471" s="115"/>
      <c r="L471" s="115"/>
      <c r="M471" s="115"/>
      <c r="N471" s="127"/>
      <c r="O471" s="29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25"/>
      <c r="B472" s="126"/>
      <c r="C472" s="126"/>
      <c r="D472" s="126"/>
      <c r="N472" s="127"/>
      <c r="O472" s="29"/>
      <c r="AE472" s="127"/>
      <c r="AF472" s="29"/>
    </row>
    <row r="473" spans="1:32" ht="19.5" x14ac:dyDescent="0.4">
      <c r="A473" s="125"/>
      <c r="B473" s="126"/>
      <c r="C473" s="126"/>
      <c r="D473" s="126"/>
      <c r="H473" s="115"/>
      <c r="I473" s="115"/>
      <c r="J473" s="115"/>
      <c r="K473" s="115"/>
      <c r="L473" s="115"/>
      <c r="M473" s="115"/>
      <c r="N473" s="29"/>
      <c r="O473" s="29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25"/>
      <c r="B474" s="126"/>
      <c r="C474" s="126"/>
      <c r="D474" s="126"/>
      <c r="H474" s="115"/>
      <c r="I474" s="115"/>
      <c r="J474" s="115"/>
      <c r="K474" s="115"/>
      <c r="L474" s="115"/>
      <c r="M474" s="115"/>
      <c r="N474" s="127"/>
      <c r="O474" s="29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25"/>
      <c r="B475" s="126"/>
      <c r="C475" s="126"/>
      <c r="D475" s="126"/>
      <c r="H475" s="115"/>
      <c r="I475" s="115"/>
      <c r="J475" s="115"/>
      <c r="K475" s="115"/>
      <c r="L475" s="115"/>
      <c r="M475" s="115"/>
      <c r="N475" s="127"/>
      <c r="O475" s="29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25"/>
      <c r="B476" s="126"/>
      <c r="C476" s="126"/>
      <c r="D476" s="126"/>
      <c r="H476" s="115"/>
      <c r="I476" s="115"/>
      <c r="J476" s="115"/>
      <c r="K476" s="115"/>
      <c r="L476" s="115"/>
      <c r="M476" s="115"/>
      <c r="N476" s="127"/>
      <c r="O476" s="29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25"/>
      <c r="B477" s="126"/>
      <c r="C477" s="126"/>
      <c r="D477" s="126"/>
      <c r="H477" s="115"/>
      <c r="I477" s="115"/>
      <c r="J477" s="115"/>
      <c r="K477" s="115"/>
      <c r="L477" s="115"/>
      <c r="M477" s="115"/>
      <c r="N477" s="127"/>
      <c r="O477" s="29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25"/>
      <c r="B478" s="126"/>
      <c r="C478" s="126"/>
      <c r="D478" s="126"/>
      <c r="H478" s="115"/>
      <c r="I478" s="115"/>
      <c r="J478" s="115"/>
      <c r="K478" s="115"/>
      <c r="L478" s="115"/>
      <c r="M478" s="115"/>
      <c r="N478" s="127"/>
      <c r="O478" s="29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25"/>
      <c r="B479" s="126"/>
      <c r="C479" s="126"/>
      <c r="D479" s="126"/>
      <c r="N479" s="127"/>
      <c r="O479" s="29"/>
      <c r="AE479" s="127"/>
      <c r="AF479" s="29"/>
    </row>
    <row r="480" spans="1:32" ht="19.5" x14ac:dyDescent="0.4">
      <c r="A480" s="125"/>
      <c r="B480" s="126"/>
      <c r="C480" s="126"/>
      <c r="D480" s="126"/>
      <c r="H480" s="115"/>
      <c r="I480" s="115"/>
      <c r="J480" s="115"/>
      <c r="K480" s="115"/>
      <c r="L480" s="115"/>
      <c r="M480" s="115"/>
      <c r="N480" s="127"/>
      <c r="O480" s="29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25"/>
      <c r="B481" s="126"/>
      <c r="C481" s="126"/>
      <c r="D481" s="126"/>
      <c r="N481" s="127"/>
      <c r="O481" s="29"/>
      <c r="AE481" s="127"/>
      <c r="AF481" s="29"/>
    </row>
    <row r="482" spans="1:32" ht="19.5" x14ac:dyDescent="0.4">
      <c r="A482" s="125"/>
      <c r="B482" s="126"/>
      <c r="C482" s="126"/>
      <c r="D482" s="126"/>
      <c r="N482" s="127"/>
      <c r="O482" s="29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127"/>
      <c r="O483" s="29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127"/>
      <c r="O484" s="29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127"/>
      <c r="O485" s="29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127"/>
      <c r="O486" s="29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127"/>
      <c r="O487" s="29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127"/>
      <c r="O488" s="29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127"/>
      <c r="O489" s="29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127"/>
      <c r="O490" s="29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127"/>
      <c r="O491" s="29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127"/>
      <c r="O492" s="29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127"/>
      <c r="O493" s="29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127"/>
      <c r="O494" s="29"/>
      <c r="AE494" s="127"/>
      <c r="AF494" s="29"/>
    </row>
    <row r="495" spans="1:32" x14ac:dyDescent="0.4">
      <c r="N495" s="127"/>
      <c r="O495" s="29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127"/>
      <c r="O496" s="29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127"/>
      <c r="O497" s="29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127"/>
      <c r="O498" s="29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127"/>
      <c r="O499" s="29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127"/>
      <c r="O500" s="29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29"/>
      <c r="O501" s="29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127"/>
      <c r="O502" s="29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127"/>
      <c r="O503" s="29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29"/>
      <c r="O504" s="29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127"/>
      <c r="O505" s="29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127"/>
      <c r="O506" s="29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127"/>
      <c r="O507" s="29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127"/>
      <c r="O508" s="29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127"/>
      <c r="O509" s="29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A1:A720">
    <sortCondition ref="A1:A720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2026-03-12T08:02:24Z</cp:lastPrinted>
  <dcterms:created xsi:type="dcterms:W3CDTF">2020-05-08T06:29:04Z</dcterms:created>
  <dcterms:modified xsi:type="dcterms:W3CDTF">2026-03-13T01:13:50Z</dcterms:modified>
</cp:coreProperties>
</file>